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88367a0b7245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cb0401e2f3448eb"/>
    <x:sheet xmlns:r="http://schemas.openxmlformats.org/officeDocument/2006/relationships" name="Counter_PnL" sheetId="2" r:id="Rdc05cfe0fe5f43fd"/>
    <x:sheet xmlns:r="http://schemas.openxmlformats.org/officeDocument/2006/relationships" name="Drivers" sheetId="3" r:id="Ra2aa81ec08844062"/>
    <x:sheet xmlns:r="http://schemas.openxmlformats.org/officeDocument/2006/relationships" name="Checks" sheetId="4" r:id="Ra7f5183e26274dfd"/>
    <x:sheet xmlns:r="http://schemas.openxmlformats.org/officeDocument/2006/relationships" name="Row_Checks" sheetId="5" r:id="Ra8d87e340a4743e4"/>
    <x:sheet xmlns:r="http://schemas.openxmlformats.org/officeDocument/2006/relationships" name="Data_Dictionary" sheetId="6" r:id="R42375e5e66b64d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0;[Red](#,##0.0);-"/>
    <x:numFmt numFmtId="201" formatCode="0.0%;[Red](0.0%);-"/>
    <x:numFmt numFmtId="202" formatCode="#,##0"/>
    <x:numFmt numFmtId="203" formatCode="0"/>
    <x:numFmt numFmtId="204" formatCode="0.0x"/>
    <x:numFmt numFmtId="205" formatCode="0.00%"/>
    <x:numFmt numFmtId="206" formatCode="0.000000"/>
  </x:numFmts>
  <x:fonts count="1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i/>
      <x:sz val="11"/>
      <x:color rgb="FF6F562A"/>
      <x:name val="Carlito"/>
    </x:font>
    <x:font>
      <x:b/>
      <x:sz val="11"/>
      <x:color rgb="FF595B60"/>
      <x:name val="Carlito"/>
    </x:font>
    <x:font>
      <x:b/>
      <x:sz val="16"/>
      <x:color rgb="FFFFFFFF"/>
      <x:name val="Aptos"/>
    </x:font>
    <x:font>
      <x:sz val="11"/>
      <x:name val="Aptos"/>
    </x:font>
    <x:font>
      <x:b/>
      <x:sz val="11"/>
      <x:color rgb="FF595B60"/>
      <x:name val="Aptos"/>
    </x:font>
    <x:font>
      <x:b/>
      <x:sz val="11"/>
      <x:color rgb="FFFFFFFF"/>
      <x:name val="Aptos"/>
    </x:font>
    <x:font>
      <x:i/>
      <x:sz val="11"/>
      <x:color rgb="FF6F562A"/>
      <x:name val="Aptos"/>
    </x:font>
    <x:font>
      <x:sz val="11"/>
      <x:color rgb="FF008000"/>
      <x:name val="Carlito"/>
    </x:font>
    <x:font>
      <x:sz val="11"/>
      <x:color rgb="FF000000"/>
      <x:name val="Carlito"/>
    </x:font>
    <x:font>
      <x:sz val="11"/>
      <x:color rgb="FF008000"/>
      <x:name val="Aptos"/>
    </x:font>
    <x:font>
      <x:sz val="11"/>
      <x:color rgb="FF000000"/>
      <x:name val="Aptos"/>
    </x:font>
    <x:font>
      <x:sz val="11"/>
      <x:color rgb="FF0000FF"/>
      <x:name val="Carlito"/>
    </x:font>
    <x:font>
      <x:b/>
      <x:sz val="15"/>
      <x:color rgb="FFFFFFFF"/>
      <x:name val="Carlito"/>
    </x:font>
    <x:font>
      <x:b/>
      <x:sz val="13"/>
      <x:color rgb="FFFFFFFF"/>
      <x:name val="Carlito"/>
    </x:font>
    <x:font>
      <x:b/>
      <x:sz val="11"/>
      <x:color rgb="FF1E3652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11111"/>
      </x:patternFill>
    </x:fill>
    <x:fill>
      <x:patternFill patternType="solid">
        <x:fgColor rgb="FF244F82"/>
      </x:patternFill>
    </x:fill>
    <x:fill>
      <x:patternFill patternType="solid">
        <x:fgColor rgb="FFF4EEE2"/>
      </x:patternFill>
    </x:fill>
    <x:fill>
      <x:patternFill patternType="solid">
        <x:fgColor rgb="FFF7F6F2"/>
      </x:patternFill>
    </x:fill>
    <x:fill>
      <x:patternFill patternType="solid">
        <x:fgColor rgb="FF171717"/>
      </x:patternFill>
    </x:fill>
    <x:fill>
      <x:patternFill patternType="solid">
        <x:fgColor rgb="FF4D7197"/>
      </x:patternFill>
    </x:fill>
    <x:fill>
      <x:patternFill patternType="solid">
        <x:fgColor rgb="FF315B70"/>
      </x:patternFill>
    </x:fill>
    <x:fill>
      <x:patternFill patternType="solid">
        <x:fgColor rgb="FF80683B"/>
      </x:patternFill>
    </x:fill>
    <x:fill>
      <x:patternFill patternType="solid">
        <x:fgColor rgb="FF222222"/>
      </x:patternFill>
    </x:fill>
    <x:fill>
      <x:patternFill patternType="solid">
        <x:fgColor rgb="FF333333"/>
      </x:patternFill>
    </x:fill>
    <x:fill>
      <x:patternFill patternType="solid">
        <x:fgColor rgb="FFD9E5F2"/>
      </x:patternFill>
    </x:fill>
  </x:fills>
  <x:borders count="4">
    <x:border/>
    <x:border>
      <x:bottom style="thin">
        <x:color rgb="FFE5E1D9"/>
      </x:bottom>
    </x:border>
    <x:border>
      <x:top style="thin">
        <x:color rgb="FFE5E1D9"/>
      </x:top>
      <x:bottom style="thin">
        <x:color rgb="FFE5E1D9"/>
      </x:bottom>
    </x:border>
    <x:border>
      <x:top style="thin">
        <x:color rgb="FFE5E1D9"/>
      </x:top>
    </x:border>
  </x:borders>
  <x:cellStyleXfs count="1">
    <x:xf numFmtId="0" fontId="0" fillId="0" borderId="0"/>
  </x:cellStyleXfs>
  <x:cellXfs count="9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0" fillId="0" borderId="1" xfId="0" applyNumberFormat="1" applyFont="1" applyFill="1" applyBorder="1"/>
    <x:xf numFmtId="0" fontId="4" fillId="5" borderId="2" xfId="0" applyNumberFormat="1" applyFont="1" applyFill="1" applyBorder="1"/>
    <x:xf numFmtId="0" fontId="0" fillId="0" borderId="2" xfId="0" applyNumberFormat="1" applyFont="1" applyFill="1" applyBorder="1"/>
    <x:xf numFmtId="0" fontId="4" fillId="5" borderId="3" xfId="0" applyNumberFormat="1" applyFont="1" applyFill="1" applyBorder="1"/>
    <x:xf numFmtId="0" fontId="0" fillId="0" borderId="3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7" fillId="5" borderId="1" xfId="0" applyNumberFormat="1" applyFont="1" applyFill="1" applyBorder="1"/>
    <x:xf numFmtId="0" fontId="6" fillId="0" borderId="1" xfId="0" applyNumberFormat="1" applyFont="1" applyFill="1" applyBorder="1"/>
    <x:xf numFmtId="0" fontId="7" fillId="5" borderId="2" xfId="0" applyNumberFormat="1" applyFont="1" applyFill="1" applyBorder="1"/>
    <x:xf numFmtId="0" fontId="6" fillId="0" borderId="2" xfId="0" applyNumberFormat="1" applyFont="1" applyFill="1" applyBorder="1"/>
    <x:xf numFmtId="0" fontId="7" fillId="5" borderId="3" xfId="0" applyNumberFormat="1" applyFont="1" applyFill="1" applyBorder="1"/>
    <x:xf numFmtId="0" fontId="6" fillId="0" borderId="3" xfId="0" applyNumberFormat="1" applyFont="1" applyFill="1" applyBorder="1"/>
    <x:xf numFmtId="0" fontId="8" fillId="3" borderId="0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2" fontId="10" fillId="0" borderId="0" xfId="0" applyNumberFormat="1" applyFont="1" applyFill="1" applyBorder="1"/>
    <x:xf numFmtId="200" fontId="11" fillId="0" borderId="0" xfId="0" applyNumberFormat="1" applyFont="1" applyFill="1" applyBorder="1"/>
    <x:xf numFmtId="201" fontId="11" fillId="0" borderId="0" xfId="0" applyNumberFormat="1" applyFont="1" applyFill="1" applyBorder="1"/>
    <x:xf numFmtId="0" fontId="11" fillId="0" borderId="0" xfId="0" applyNumberFormat="1" applyFont="1" applyFill="1" applyBorder="1"/>
    <x:xf numFmtId="202" fontId="11" fillId="0" borderId="0" xfId="0" applyNumberFormat="1" applyFont="1" applyFill="1" applyBorder="1"/>
    <x:xf numFmtId="204" fontId="11" fillId="0" borderId="0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 applyAlignment="1">
      <x:alignment vertical="center" wrapText="1"/>
    </x:xf>
    <x:xf numFmtId="0" fontId="8" fillId="8" borderId="0" xfId="0" applyNumberFormat="1" applyFont="1" applyFill="1" applyBorder="1" applyAlignment="1">
      <x:alignment vertical="center" wrapText="1"/>
    </x:xf>
    <x:xf numFmtId="0" fontId="8" fillId="9" borderId="0" xfId="0" applyNumberFormat="1" applyFont="1" applyFill="1" applyBorder="1" applyAlignment="1">
      <x:alignment vertical="center" wrapText="1"/>
    </x:xf>
    <x:xf numFmtId="203" fontId="6" fillId="0" borderId="0" xfId="0" applyNumberFormat="1" applyFont="1" applyFill="1" applyBorder="1"/>
    <x:xf numFmtId="202" fontId="6" fillId="0" borderId="0" xfId="0" applyNumberFormat="1" applyFont="1" applyFill="1" applyBorder="1"/>
    <x:xf numFmtId="202" fontId="12" fillId="0" borderId="0" xfId="0" applyNumberFormat="1" applyFont="1" applyFill="1" applyBorder="1"/>
    <x:xf numFmtId="200" fontId="13" fillId="0" borderId="0" xfId="0" applyNumberFormat="1" applyFont="1" applyFill="1" applyBorder="1"/>
    <x:xf numFmtId="201" fontId="13" fillId="0" borderId="0" xfId="0" applyNumberFormat="1" applyFont="1" applyFill="1" applyBorder="1"/>
    <x:xf numFmtId="0" fontId="13" fillId="0" borderId="0" xfId="0" applyNumberFormat="1" applyFont="1" applyFill="1" applyBorder="1"/>
    <x:xf numFmtId="202" fontId="13" fillId="0" borderId="0" xfId="0" applyNumberFormat="1" applyFont="1" applyFill="1" applyBorder="1"/>
    <x:xf numFmtId="204" fontId="13" fillId="0" borderId="0" xfId="0" applyNumberFormat="1" applyFont="1" applyFill="1" applyBorder="1"/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vertical="center" wrapText="1"/>
    </x:xf>
    <x:xf numFmtId="0" fontId="14" fillId="0" borderId="0" xfId="0" applyNumberFormat="1" applyFont="1" applyFill="1" applyBorder="1"/>
    <x:xf numFmtId="202" fontId="14" fillId="0" borderId="0" xfId="0" applyNumberFormat="1" applyFont="1" applyFill="1" applyBorder="1"/>
    <x:xf numFmtId="205" fontId="14" fillId="0" borderId="0" xfId="0" applyNumberFormat="1" applyFont="1" applyFill="1" applyBorder="1"/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wrapText="1"/>
    </x:xf>
    <x:xf numFmtId="206" fontId="0" fillId="0" borderId="0" xfId="0" applyNumberFormat="1" applyFont="1" applyFill="1" applyBorder="1"/>
    <x:xf numFmtId="0" fontId="15" fillId="2" borderId="0" xfId="0" applyNumberFormat="1" applyFont="1" applyFill="1" applyBorder="1"/>
    <x:xf numFmtId="0" fontId="15" fillId="2" borderId="0" xfId="0" applyNumberFormat="1" applyFont="1" applyFill="1" applyBorder="1" applyAlignment="1">
      <x:alignment vertical="center"/>
    </x:xf>
    <x:xf numFmtId="0" fontId="16" fillId="3" borderId="0" xfId="0" applyNumberFormat="1" applyFont="1" applyFill="1" applyBorder="1"/>
    <x:xf numFmtId="0" fontId="0" fillId="12" borderId="0" xfId="0" applyNumberFormat="1" applyFont="1" applyFill="1" applyBorder="1"/>
    <x:xf numFmtId="0" fontId="17" fillId="12" borderId="0" xfId="0" applyNumberFormat="1" applyFont="1" applyFill="1" applyBorder="1"/>
    <x:xf numFmtId="0" fontId="17" fillId="12" borderId="0" xfId="0" applyNumberFormat="1" applyFont="1" applyFill="1" applyBorder="1" applyAlignment="1">
      <x:alignment wrapText="1"/>
    </x:xf>
    <x:xf numFmtId="206" fontId="0" fillId="0" borderId="1" xfId="0" applyNumberFormat="1" applyFont="1" applyFill="1" applyBorder="1"/>
    <x:xf numFmtId="206" fontId="0" fillId="0" borderId="2" xfId="0" applyNumberFormat="1" applyFont="1" applyFill="1" applyBorder="1"/>
    <x:xf numFmtId="206" fontId="0" fillId="0" borderId="3" xfId="0" applyNumberFormat="1" applyFont="1" applyFill="1" applyBorder="1"/>
    <x:xf numFmtId="202" fontId="0" fillId="0" borderId="1" xfId="0" applyNumberFormat="1" applyFont="1" applyFill="1" applyBorder="1"/>
    <x:xf numFmtId="202" fontId="0" fillId="0" borderId="2" xfId="0" applyNumberFormat="1" applyFont="1" applyFill="1" applyBorder="1"/>
    <x:xf numFmtId="202" fontId="0" fillId="0" borderId="3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A33D45"/>
      </x:font>
      <x:fill>
        <x:patternFill patternType="solid">
          <x:bgColor rgb="FFFCE8E8"/>
        </x:patternFill>
      </x:fill>
    </x:dxf>
    <x:dxf>
      <x:font>
        <x:b/>
        <x:color rgb="FFA33D45"/>
      </x:font>
      <x:fill>
        <x:patternFill patternType="solid">
          <x:bgColor rgb="FFFCE8E8"/>
        </x:patternFill>
      </x:fill>
    </x:dxf>
    <x:dxf>
      <x:font>
        <x:b/>
        <x:color rgb="FF287B68"/>
      </x:font>
      <x:fill>
        <x:patternFill patternType="solid">
          <x:bgColor rgb="FFE8F5EE"/>
        </x:patternFill>
      </x:fill>
    </x:dxf>
    <x:dxf>
      <x:font>
        <x:b/>
        <x:color rgb="FF287B68"/>
      </x:font>
      <x:fill>
        <x:patternFill patternType="solid">
          <x:bgColor rgb="FFE8F5E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395309155a4585" /><Relationship Type="http://schemas.openxmlformats.org/officeDocument/2006/relationships/theme" Target="/xl/theme/theme1.xml" Id="R5a4656ae129244f4" /><Relationship Type="http://schemas.openxmlformats.org/officeDocument/2006/relationships/sharedStrings" Target="/xl/sharedStrings.xml" Id="R4c05438908354712" /><Relationship Type="http://schemas.openxmlformats.org/officeDocument/2006/relationships/worksheet" Target="/xl/worksheets/sheet1.xml" Id="Racb0401e2f3448eb" /><Relationship Type="http://schemas.openxmlformats.org/officeDocument/2006/relationships/worksheet" Target="/xl/worksheets/sheet2.xml" Id="Rdc05cfe0fe5f43fd" /><Relationship Type="http://schemas.openxmlformats.org/officeDocument/2006/relationships/worksheet" Target="/xl/worksheets/sheet3.xml" Id="Ra2aa81ec08844062" /><Relationship Type="http://schemas.openxmlformats.org/officeDocument/2006/relationships/worksheet" Target="/xl/worksheets/sheet4.xml" Id="Ra7f5183e26274dfd" /><Relationship Type="http://schemas.openxmlformats.org/officeDocument/2006/relationships/worksheet" Target="/xl/worksheets/sheet5.xml" Id="Ra8d87e340a4743e4" /><Relationship Type="http://schemas.openxmlformats.org/officeDocument/2006/relationships/worksheet" Target="/xl/worksheets/sheet6.xml" Id="R42375e5e66b64d5a" /></Relationships>
</file>

<file path=xl/tables/table1.xml><?xml version="1.0" encoding="utf-8"?>
<x:table xmlns:x="http://schemas.openxmlformats.org/spreadsheetml/2006/main" id="1" name="CounterPnLTable" displayName="CounterPnLTable" ref="A1:BP641" headerRowCount="1" totalsRowCount="0" totalsRowShown="0">
  <x:autoFilter ref="A1:BP641"/>
  <x:tableColumns count="68">
    <x:tableColumn id="1" name="Year"/>
    <x:tableColumn id="2" name="Review Period"/>
    <x:tableColumn id="3" name="Period Key"/>
    <x:tableColumn id="4" name="Store ID"/>
    <x:tableColumn id="5" name="Store"/>
    <x:tableColumn id="6" name="City"/>
    <x:tableColumn id="7" name="Province"/>
    <x:tableColumn id="8" name="Region"/>
    <x:tableColumn id="9" name="Channel"/>
    <x:tableColumn id="10" name="Store Type"/>
    <x:tableColumn id="11" name="Status"/>
    <x:tableColumn id="12" name="POS Count"/>
    <x:tableColumn id="13" name="City POS Count"/>
    <x:tableColumn id="14" name="Customer Transactions"/>
    <x:tableColumn id="15" name="Average Ticket"/>
    <x:tableColumn id="16" name="RSP"/>
    <x:tableColumn id="17" name="Gross Sales"/>
    <x:tableColumn id="18" name="Discount"/>
    <x:tableColumn id="19" name="Discount % of GS"/>
    <x:tableColumn id="20" name="Rebates"/>
    <x:tableColumn id="21" name="Rebates % of GS"/>
    <x:tableColumn id="22" name="Structural Conditions On"/>
    <x:tableColumn id="23" name="Structural Conditions Off"/>
    <x:tableColumn id="24" name="Active Support"/>
    <x:tableColumn id="25" name="Shopper Investment"/>
    <x:tableColumn id="26" name="Promo Allow On Invoice"/>
    <x:tableColumn id="27" name="Promo Allow Applied Separately"/>
    <x:tableColumn id="28" name="Promo Allow Loyalty"/>
    <x:tableColumn id="29" name="Promotional Allowance"/>
    <x:tableColumn id="30" name="Promotional Allowance % of GS"/>
    <x:tableColumn id="31" name="Returns"/>
    <x:tableColumn id="32" name="Returns % of GS"/>
    <x:tableColumn id="33" name="OCA"/>
    <x:tableColumn id="34" name="Coupon"/>
    <x:tableColumn id="35" name="Minorations"/>
    <x:tableColumn id="36" name="Minorations % of GS"/>
    <x:tableColumn id="37" name="Net Sales"/>
    <x:tableColumn id="38" name="Net Sales % of GS"/>
    <x:tableColumn id="39" name="Net Sales / POS"/>
    <x:tableColumn id="40" name="Store Productivity Tier"/>
    <x:tableColumn id="41" name="Std COS"/>
    <x:tableColumn id="42" name="Royal / TA / MS"/>
    <x:tableColumn id="43" name="Special Operations Cost"/>
    <x:tableColumn id="44" name="Obsolete / Slow Moving / Return"/>
    <x:tableColumn id="45" name="Physical Distribution"/>
    <x:tableColumn id="46" name="Cost of Sales"/>
    <x:tableColumn id="47" name="Cost of Sales % of Net Sales"/>
    <x:tableColumn id="48" name="Gross Margin"/>
    <x:tableColumn id="49" name="Gross Margin %"/>
    <x:tableColumn id="50" name="Customer Samples"/>
    <x:tableColumn id="51" name="Promotional Gifts"/>
    <x:tableColumn id="52" name="Animations"/>
    <x:tableColumn id="53" name="POS Advertising Amortization"/>
    <x:tableColumn id="54" name="Other POS Advertising"/>
    <x:tableColumn id="55" name="POS Advertising"/>
    <x:tableColumn id="56" name="Specific Development"/>
    <x:tableColumn id="57" name="DA Cost"/>
    <x:tableColumn id="58" name="DA HC"/>
    <x:tableColumn id="59" name="Non DA Cost"/>
    <x:tableColumn id="60" name="DA Cost / HC"/>
    <x:tableColumn id="61" name="DA HC / POS"/>
    <x:tableColumn id="62" name="Specific A&amp;P"/>
    <x:tableColumn id="63" name="Specific SG&amp;A"/>
    <x:tableColumn id="64" name="Customer Contribution"/>
    <x:tableColumn id="65" name="Customer Contribution %"/>
    <x:tableColumn id="66" name="Non-specific Costs"/>
    <x:tableColumn id="67" name="Operating Profit"/>
    <x:tableColumn id="68" name="Operating Margin %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unterDriversTable" displayName="CounterDriversTable" ref="A1:AF641" headerRowCount="1" totalsRowCount="0" totalsRowShown="0">
  <x:tableColumns count="32">
    <x:tableColumn id="1" name="Period Key"/>
    <x:tableColumn id="2" name="Store ID"/>
    <x:tableColumn id="3" name="Customer Transactions"/>
    <x:tableColumn id="4" name="Average Ticket"/>
    <x:tableColumn id="5" name="Gross Sales Realization Rate"/>
    <x:tableColumn id="6" name="Discount Rate"/>
    <x:tableColumn id="7" name="Rebate Rate"/>
    <x:tableColumn id="8" name="Structural Conditions On Rate"/>
    <x:tableColumn id="9" name="Structural Conditions Off Rate"/>
    <x:tableColumn id="10" name="Active Support Rate"/>
    <x:tableColumn id="11" name="Shopper Investment Rate"/>
    <x:tableColumn id="12" name="Promo Allow On Invoice Rate"/>
    <x:tableColumn id="13" name="Promo Allow Applied Separately Rate"/>
    <x:tableColumn id="14" name="Promo Allow Loyalty Rate"/>
    <x:tableColumn id="15" name="Returns Rate"/>
    <x:tableColumn id="16" name="OCA Rate"/>
    <x:tableColumn id="17" name="Coupon Rate"/>
    <x:tableColumn id="18" name="Std COS Rate on GS"/>
    <x:tableColumn id="19" name="Royal / TA / MS Rate"/>
    <x:tableColumn id="20" name="Special Operations Cost Rate"/>
    <x:tableColumn id="21" name="Obsolete / Slow Moving / Return Rate"/>
    <x:tableColumn id="22" name="Physical Distribution Rate"/>
    <x:tableColumn id="23" name="Customer Samples Rate"/>
    <x:tableColumn id="24" name="Promotional Gifts Rate"/>
    <x:tableColumn id="25" name="Animations Rate"/>
    <x:tableColumn id="26" name="POS Advertising Amortization Rate"/>
    <x:tableColumn id="27" name="Other POS Advertising Rate"/>
    <x:tableColumn id="28" name="Specific Development Rate"/>
    <x:tableColumn id="29" name="Specific A&amp;P Rate"/>
    <x:tableColumn id="30" name="Specific SG&amp;A Rate"/>
    <x:tableColumn id="31" name="Non-specific Costs Rate"/>
    <x:tableColumn id="32" name="DA HC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owChecksTable" displayName="RowChecksTable" ref="A1:M641" headerRowCount="1" totalsRowCount="0" totalsRowShown="0">
  <x:tableColumns count="13">
    <x:tableColumn id="1" name="Store ID"/>
    <x:tableColumn id="2" name="Period Key"/>
    <x:tableColumn id="3" name="Store-Period Frequency"/>
    <x:tableColumn id="4" name="PA Delta"/>
    <x:tableColumn id="5" name="Minorations Delta"/>
    <x:tableColumn id="6" name="Net Sales Delta"/>
    <x:tableColumn id="7" name="Cost of Sales Delta"/>
    <x:tableColumn id="8" name="Gross Margin Delta"/>
    <x:tableColumn id="9" name="DA Cost Delta"/>
    <x:tableColumn id="10" name="Customer Contribution Delta"/>
    <x:tableColumn id="11" name="Operating Profit Delta"/>
    <x:tableColumn id="12" name="Percent Delta"/>
    <x:tableColumn id="13" name="Sign Exception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taDictionaryTable" displayName="DataDictionaryTable" ref="A1:D69" headerRowCount="1" totalsRowCount="0" totalsRowShown="0">
  <x:tableColumns count="4">
    <x:tableColumn id="1" name="Field"/>
    <x:tableColumn id="2" name="Data type / unit"/>
    <x:tableColumn id="3" name="Definition / calculation"/>
    <x:tableColumn id="4" name="Dashboard ro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f9b6977f6e94c2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c4f8d9dc9494ed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470fcaeb40fd498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96b39b4ebef946e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17" t="str">
        <x:v>LRP COUNTER P&amp;L — SEMI-ANNUAL MOCK DATASET</x:v>
      </x:c>
      <x:c r="B1" s="17"/>
      <x:c r="C1" s="17"/>
      <x:c r="D1" s="17"/>
      <x:c r="E1" s="17"/>
      <x:c r="F1" s="17"/>
      <x:c r="G1" s="17"/>
      <x:c r="H1" s="17"/>
    </x:row>
    <x:row r="2">
      <x:c r="A2" s="18"/>
      <x:c r="B2" s="18"/>
      <x:c r="C2" s="18"/>
      <x:c r="D2" s="18"/>
      <x:c r="E2" s="18"/>
      <x:c r="F2" s="18"/>
      <x:c r="G2" s="18"/>
      <x:c r="H2" s="18"/>
    </x:row>
    <x:row r="3">
      <x:c r="A3" s="19" t="str">
        <x:v>Purpose</x:v>
      </x:c>
      <x:c r="B3" s="20" t="str">
        <x:v>Synthetic Counter P&amp;L dataset for internal Dashboard development and testing</x:v>
      </x:c>
      <x:c r="C3" s="18"/>
      <x:c r="D3" s="18"/>
      <x:c r="E3" s="18"/>
      <x:c r="F3" s="18"/>
      <x:c r="G3" s="18"/>
      <x:c r="H3" s="18"/>
    </x:row>
    <x:row r="4">
      <x:c r="A4" s="21" t="str">
        <x:v>Grain</x:v>
      </x:c>
      <x:c r="B4" s="22" t="str">
        <x:v>One row = one Counter × one semi-annual Review Period</x:v>
      </x:c>
      <x:c r="C4" s="18"/>
      <x:c r="D4" s="18"/>
      <x:c r="E4" s="18"/>
      <x:c r="F4" s="18"/>
      <x:c r="G4" s="18"/>
      <x:c r="H4" s="18"/>
    </x:row>
    <x:row r="5">
      <x:c r="A5" s="21" t="str">
        <x:v>Periods</x:v>
      </x:c>
      <x:c r="B5" s="22" t="str">
        <x:v>2025 S1, 2025 S2, 2026 S1, 2026 S2</x:v>
      </x:c>
      <x:c r="C5" s="18"/>
      <x:c r="D5" s="18"/>
      <x:c r="E5" s="18"/>
      <x:c r="F5" s="18"/>
      <x:c r="G5" s="18"/>
      <x:c r="H5" s="18"/>
    </x:row>
    <x:row r="6">
      <x:c r="A6" s="21" t="str">
        <x:v>Store count</x:v>
      </x:c>
      <x:c r="B6" s="22" t="str">
        <x:v>160 unique Counters</x:v>
      </x:c>
      <x:c r="C6" s="18"/>
      <x:c r="D6" s="18"/>
      <x:c r="E6" s="18"/>
      <x:c r="F6" s="18"/>
      <x:c r="G6" s="18"/>
      <x:c r="H6" s="18"/>
    </x:row>
    <x:row r="7">
      <x:c r="A7" s="21" t="str">
        <x:v>Fact rows</x:v>
      </x:c>
      <x:c r="B7" s="22" t="str">
        <x:v>640 rows</x:v>
      </x:c>
      <x:c r="C7" s="18"/>
      <x:c r="D7" s="18"/>
      <x:c r="E7" s="18"/>
      <x:c r="F7" s="18"/>
      <x:c r="G7" s="18"/>
      <x:c r="H7" s="18"/>
    </x:row>
    <x:row r="8">
      <x:c r="A8" s="21" t="str">
        <x:v>Currency / unit</x:v>
      </x:c>
      <x:c r="B8" s="22" t="str">
        <x:v>RMB 000; percentages stored as decimals</x:v>
      </x:c>
      <x:c r="C8" s="18"/>
      <x:c r="D8" s="18"/>
      <x:c r="E8" s="18"/>
      <x:c r="F8" s="18"/>
      <x:c r="G8" s="18"/>
      <x:c r="H8" s="18"/>
    </x:row>
    <x:row r="9">
      <x:c r="A9" s="21" t="str">
        <x:v>Sign convention</x:v>
      </x:c>
      <x:c r="B9" s="22" t="str">
        <x:v>Sales and margins positive; deductions and costs negative</x:v>
      </x:c>
      <x:c r="C9" s="18"/>
      <x:c r="D9" s="18"/>
      <x:c r="E9" s="18"/>
      <x:c r="F9" s="18"/>
      <x:c r="G9" s="18"/>
      <x:c r="H9" s="18"/>
    </x:row>
    <x:row r="10">
      <x:c r="A10" s="21" t="str">
        <x:v>Dashboard source</x:v>
      </x:c>
      <x:c r="B10" s="22" t="str">
        <x:v>Use the Counter_PnL worksheet only</x:v>
      </x:c>
      <x:c r="C10" s="18"/>
      <x:c r="D10" s="18"/>
      <x:c r="E10" s="18"/>
      <x:c r="F10" s="18"/>
      <x:c r="G10" s="18"/>
      <x:c r="H10" s="18"/>
    </x:row>
    <x:row r="11">
      <x:c r="A11" s="21" t="str">
        <x:v>Calculation model</x:v>
      </x:c>
      <x:c r="B11" s="22" t="str">
        <x:v>P&amp;L outputs are formula-driven from the Drivers worksheet</x:v>
      </x:c>
      <x:c r="C11" s="18"/>
      <x:c r="D11" s="18"/>
      <x:c r="E11" s="18"/>
      <x:c r="F11" s="18"/>
      <x:c r="G11" s="18"/>
      <x:c r="H11" s="18"/>
    </x:row>
    <x:row r="12">
      <x:c r="A12" s="23" t="str">
        <x:v>Data privacy</x:v>
      </x:c>
      <x:c r="B12" s="24" t="str">
        <x:v>Synthetic data only; contains no actual L'Oréal operating data</x:v>
      </x:c>
      <x:c r="C12" s="18"/>
      <x:c r="D12" s="18"/>
      <x:c r="E12" s="18"/>
      <x:c r="F12" s="18"/>
      <x:c r="G12" s="18"/>
      <x:c r="H12" s="18"/>
    </x:row>
    <x:row r="13">
      <x:c r="A13" s="18"/>
      <x:c r="B13" s="18"/>
      <x:c r="C13" s="18"/>
      <x:c r="D13" s="18"/>
      <x:c r="E13" s="18"/>
      <x:c r="F13" s="18"/>
      <x:c r="G13" s="18"/>
      <x:c r="H13" s="18"/>
    </x:row>
    <x:row r="14" ht="24" customHeight="1">
      <x:c r="A14" s="25" t="str">
        <x:v>MODEL FLOW</x:v>
      </x:c>
      <x:c r="B14" s="25"/>
      <x:c r="C14" s="25"/>
      <x:c r="D14" s="25"/>
      <x:c r="E14" s="25"/>
      <x:c r="F14" s="25"/>
      <x:c r="G14" s="25"/>
      <x:c r="H14" s="25"/>
    </x:row>
    <x:row r="15">
      <x:c r="A15" s="18" t="str">
        <x:v>Gross Sales</x:v>
      </x:c>
      <x:c r="B15" s="18" t="str">
        <x:v>→</x:v>
      </x:c>
      <x:c r="C15" s="18" t="str">
        <x:v>Minorations</x:v>
      </x:c>
      <x:c r="D15" s="18" t="str">
        <x:v>→</x:v>
      </x:c>
      <x:c r="E15" s="18" t="str">
        <x:v>Net Sales</x:v>
      </x:c>
      <x:c r="F15" s="18" t="str">
        <x:v>→</x:v>
      </x:c>
      <x:c r="G15" s="18" t="str">
        <x:v>Cost of Sales</x:v>
      </x:c>
      <x:c r="H15" s="18" t="str">
        <x:v>→ Gross Margin</x:v>
      </x:c>
    </x:row>
    <x:row r="16">
      <x:c r="A16" s="18" t="str">
        <x:v>Gross Margin</x:v>
      </x:c>
      <x:c r="B16" s="18" t="str">
        <x:v>→</x:v>
      </x:c>
      <x:c r="C16" s="18" t="str">
        <x:v>DA Cost + Specific A&amp;P</x:v>
      </x:c>
      <x:c r="D16" s="18" t="str">
        <x:v>→</x:v>
      </x:c>
      <x:c r="E16" s="18" t="str">
        <x:v>Specific SG&amp;A</x:v>
      </x:c>
      <x:c r="F16" s="18" t="str">
        <x:v>→</x:v>
      </x:c>
      <x:c r="G16" s="18" t="str">
        <x:v>Customer Contribution</x:v>
      </x:c>
      <x:c r="H16" s="18" t="str"/>
    </x:row>
    <x:row r="17">
      <x:c r="A17" s="18" t="str">
        <x:v>Customer Contribution</x:v>
      </x:c>
      <x:c r="B17" s="18" t="str">
        <x:v>→</x:v>
      </x:c>
      <x:c r="C17" s="18" t="str">
        <x:v>Non-specific Costs</x:v>
      </x:c>
      <x:c r="D17" s="18" t="str">
        <x:v>→</x:v>
      </x:c>
      <x:c r="E17" s="18" t="str">
        <x:v>Operating Profit</x:v>
      </x:c>
      <x:c r="F17" s="18" t="str"/>
      <x:c r="G17" s="18" t="str"/>
      <x:c r="H17" s="18" t="str"/>
    </x:row>
    <x:row r="18">
      <x:c r="A18" s="18" t="str">
        <x:v>Analysis path</x:v>
      </x:c>
      <x:c r="B18" s="18" t="str">
        <x:v>→</x:v>
      </x:c>
      <x:c r="C18" s="18" t="str">
        <x:v>Total Company</x:v>
      </x:c>
      <x:c r="D18" s="18" t="str">
        <x:v>→</x:v>
      </x:c>
      <x:c r="E18" s="18" t="str">
        <x:v>P&amp;L Line / Region</x:v>
      </x:c>
      <x:c r="F18" s="18" t="str">
        <x:v>→</x:v>
      </x:c>
      <x:c r="G18" s="18" t="str">
        <x:v>Store Drill-down</x:v>
      </x:c>
      <x:c r="H18" s="18" t="str"/>
    </x:row>
    <x:row r="19">
      <x:c r="A19" s="18"/>
      <x:c r="B19" s="18"/>
      <x:c r="C19" s="18"/>
      <x:c r="D19" s="18"/>
      <x:c r="E19" s="18"/>
      <x:c r="F19" s="18"/>
      <x:c r="G19" s="18"/>
      <x:c r="H19" s="18"/>
    </x:row>
    <x:row r="20" ht="34" customHeight="1">
      <x:c r="A20" s="26" t="str">
        <x:v>IMPORTANT: Business patterns are embedded through deterministic scenario drivers. The Counter_PnL table contains no story labels or answer flags.</x:v>
      </x:c>
      <x:c r="B20" s="26"/>
      <x:c r="C20" s="26"/>
      <x:c r="D20" s="26"/>
      <x:c r="E20" s="26"/>
      <x:c r="F20" s="26"/>
      <x:c r="G20" s="26"/>
      <x:c r="H20" s="26"/>
    </x:row>
  </x:sheetData>
  <x:mergeCells>
    <x:mergeCell ref="A1:H1"/>
    <x:mergeCell ref="A14:H14"/>
    <x:mergeCell ref="A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28" hidden="0" customWidth="1"/>
    <x:col min="6" max="6" width="14" hidden="0" customWidth="1"/>
    <x:col min="7" max="7" width="14" hidden="0" customWidth="1"/>
    <x:col min="8" max="8" width="14" hidden="0" customWidth="1"/>
    <x:col min="9" max="9" width="22" hidden="0" customWidth="1"/>
    <x:col min="10" max="10" width="22" hidden="0" customWidth="1"/>
    <x:col min="11" max="11" width="14" hidden="0" customWidth="1"/>
    <x:col min="12" max="12" width="14" hidden="0" customWidth="1"/>
    <x:col min="13" max="13" width="14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20" hidden="0" customWidth="1"/>
    <x:col min="41" max="41" width="15" hidden="0" customWidth="1"/>
    <x:col min="42" max="42" width="15" hidden="0" customWidth="1"/>
    <x:col min="43" max="43" width="15" hidden="0" customWidth="1"/>
    <x:col min="44" max="44" width="25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  <x:col min="52" max="52" width="15" hidden="0" customWidth="1"/>
    <x:col min="53" max="53" width="15" hidden="0" customWidth="1"/>
    <x:col min="54" max="54" width="15" hidden="0" customWidth="1"/>
    <x:col min="55" max="55" width="15" hidden="0" customWidth="1"/>
    <x:col min="56" max="56" width="15" hidden="0" customWidth="1"/>
    <x:col min="57" max="57" width="15" hidden="0" customWidth="1"/>
    <x:col min="58" max="58" width="15" hidden="0" customWidth="1"/>
    <x:col min="59" max="59" width="15" hidden="0" customWidth="1"/>
    <x:col min="60" max="60" width="15" hidden="0" customWidth="1"/>
    <x:col min="61" max="61" width="15" hidden="0" customWidth="1"/>
    <x:col min="62" max="62" width="15" hidden="0" customWidth="1"/>
    <x:col min="63" max="63" width="15" hidden="0" customWidth="1"/>
    <x:col min="64" max="64" width="15" hidden="0" customWidth="1"/>
    <x:col min="65" max="65" width="15" hidden="0" customWidth="1"/>
    <x:col min="66" max="66" width="15" hidden="0" customWidth="1"/>
    <x:col min="67" max="67" width="15" hidden="0" customWidth="1"/>
    <x:col min="68" max="68" width="15" hidden="0" customWidth="1"/>
  </x:cols>
  <x:sheetData>
    <x:row r="1" ht="38" customHeight="1">
      <x:c r="A1" s="56" t="str">
        <x:v>Year</x:v>
      </x:c>
      <x:c r="B1" s="56" t="str">
        <x:v>Review Period</x:v>
      </x:c>
      <x:c r="C1" s="56" t="str">
        <x:v>Period Key</x:v>
      </x:c>
      <x:c r="D1" s="56" t="str">
        <x:v>Store ID</x:v>
      </x:c>
      <x:c r="E1" s="56" t="str">
        <x:v>Store</x:v>
      </x:c>
      <x:c r="F1" s="56" t="str">
        <x:v>City</x:v>
      </x:c>
      <x:c r="G1" s="56" t="str">
        <x:v>Province</x:v>
      </x:c>
      <x:c r="H1" s="56" t="str">
        <x:v>Region</x:v>
      </x:c>
      <x:c r="I1" s="56" t="str">
        <x:v>Channel</x:v>
      </x:c>
      <x:c r="J1" s="56" t="str">
        <x:v>Store Type</x:v>
      </x:c>
      <x:c r="K1" s="56" t="str">
        <x:v>Status</x:v>
      </x:c>
      <x:c r="L1" s="56" t="str">
        <x:v>POS Count</x:v>
      </x:c>
      <x:c r="M1" s="56" t="str">
        <x:v>City POS Count</x:v>
      </x:c>
      <x:c r="N1" s="57" t="str">
        <x:v>Customer Transactions</x:v>
      </x:c>
      <x:c r="O1" s="57" t="str">
        <x:v>Average Ticket</x:v>
      </x:c>
      <x:c r="P1" s="57" t="str">
        <x:v>RSP</x:v>
      </x:c>
      <x:c r="Q1" s="57" t="str">
        <x:v>Gross Sales</x:v>
      </x:c>
      <x:c r="R1" s="58" t="str">
        <x:v>Discount</x:v>
      </x:c>
      <x:c r="S1" s="58" t="str">
        <x:v>Discount % of GS</x:v>
      </x:c>
      <x:c r="T1" s="58" t="str">
        <x:v>Rebates</x:v>
      </x:c>
      <x:c r="U1" s="58" t="str">
        <x:v>Rebates % of GS</x:v>
      </x:c>
      <x:c r="V1" s="58" t="str">
        <x:v>Structural Conditions On</x:v>
      </x:c>
      <x:c r="W1" s="58" t="str">
        <x:v>Structural Conditions Off</x:v>
      </x:c>
      <x:c r="X1" s="58" t="str">
        <x:v>Active Support</x:v>
      </x:c>
      <x:c r="Y1" s="58" t="str">
        <x:v>Shopper Investment</x:v>
      </x:c>
      <x:c r="Z1" s="58" t="str">
        <x:v>Promo Allow On Invoice</x:v>
      </x:c>
      <x:c r="AA1" s="58" t="str">
        <x:v>Promo Allow Applied Separately</x:v>
      </x:c>
      <x:c r="AB1" s="58" t="str">
        <x:v>Promo Allow Loyalty</x:v>
      </x:c>
      <x:c r="AC1" s="58" t="str">
        <x:v>Promotional Allowance</x:v>
      </x:c>
      <x:c r="AD1" s="58" t="str">
        <x:v>Promotional Allowance % of GS</x:v>
      </x:c>
      <x:c r="AE1" s="58" t="str">
        <x:v>Returns</x:v>
      </x:c>
      <x:c r="AF1" s="58" t="str">
        <x:v>Returns % of GS</x:v>
      </x:c>
      <x:c r="AG1" s="58" t="str">
        <x:v>OCA</x:v>
      </x:c>
      <x:c r="AH1" s="58" t="str">
        <x:v>Coupon</x:v>
      </x:c>
      <x:c r="AI1" s="58" t="str">
        <x:v>Minorations</x:v>
      </x:c>
      <x:c r="AJ1" s="58" t="str">
        <x:v>Minorations % of GS</x:v>
      </x:c>
      <x:c r="AK1" s="59" t="str">
        <x:v>Net Sales</x:v>
      </x:c>
      <x:c r="AL1" s="59" t="str">
        <x:v>Net Sales % of GS</x:v>
      </x:c>
      <x:c r="AM1" s="59" t="str">
        <x:v>Net Sales / POS</x:v>
      </x:c>
      <x:c r="AN1" s="59" t="str">
        <x:v>Store Productivity Tier</x:v>
      </x:c>
      <x:c r="AO1" s="59" t="str">
        <x:v>Std COS</x:v>
      </x:c>
      <x:c r="AP1" s="59" t="str">
        <x:v>Royal / TA / MS</x:v>
      </x:c>
      <x:c r="AQ1" s="59" t="str">
        <x:v>Special Operations Cost</x:v>
      </x:c>
      <x:c r="AR1" s="59" t="str">
        <x:v>Obsolete / Slow Moving / Return</x:v>
      </x:c>
      <x:c r="AS1" s="59" t="str">
        <x:v>Physical Distribution</x:v>
      </x:c>
      <x:c r="AT1" s="59" t="str">
        <x:v>Cost of Sales</x:v>
      </x:c>
      <x:c r="AU1" s="59" t="str">
        <x:v>Cost of Sales % of Net Sales</x:v>
      </x:c>
      <x:c r="AV1" s="59" t="str">
        <x:v>Gross Margin</x:v>
      </x:c>
      <x:c r="AW1" s="59" t="str">
        <x:v>Gross Margin %</x:v>
      </x:c>
      <x:c r="AX1" s="60" t="str">
        <x:v>Customer Samples</x:v>
      </x:c>
      <x:c r="AY1" s="60" t="str">
        <x:v>Promotional Gifts</x:v>
      </x:c>
      <x:c r="AZ1" s="60" t="str">
        <x:v>Animations</x:v>
      </x:c>
      <x:c r="BA1" s="60" t="str">
        <x:v>POS Advertising Amortization</x:v>
      </x:c>
      <x:c r="BB1" s="60" t="str">
        <x:v>Other POS Advertising</x:v>
      </x:c>
      <x:c r="BC1" s="60" t="str">
        <x:v>POS Advertising</x:v>
      </x:c>
      <x:c r="BD1" s="60" t="str">
        <x:v>Specific Development</x:v>
      </x:c>
      <x:c r="BE1" s="60" t="str">
        <x:v>DA Cost</x:v>
      </x:c>
      <x:c r="BF1" s="60" t="str">
        <x:v>DA HC</x:v>
      </x:c>
      <x:c r="BG1" s="60" t="str">
        <x:v>Non DA Cost</x:v>
      </x:c>
      <x:c r="BH1" s="60" t="str">
        <x:v>DA Cost / HC</x:v>
      </x:c>
      <x:c r="BI1" s="60" t="str">
        <x:v>DA HC / POS</x:v>
      </x:c>
      <x:c r="BJ1" s="60" t="str">
        <x:v>Specific A&amp;P</x:v>
      </x:c>
      <x:c r="BK1" s="60" t="str">
        <x:v>Specific SG&amp;A</x:v>
      </x:c>
      <x:c r="BL1" s="60" t="str">
        <x:v>Customer Contribution</x:v>
      </x:c>
      <x:c r="BM1" s="60" t="str">
        <x:v>Customer Contribution %</x:v>
      </x:c>
      <x:c r="BN1" s="60" t="str">
        <x:v>Non-specific Costs</x:v>
      </x:c>
      <x:c r="BO1" s="60" t="str">
        <x:v>Operating Profit</x:v>
      </x:c>
      <x:c r="BP1" s="60" t="str">
        <x:v>Operating Margin %</x:v>
      </x:c>
    </x:row>
    <x:row r="2">
      <x:c r="A2" s="61" t="n">
        <x:v>2025</x:v>
      </x:c>
      <x:c r="B2" s="18" t="str">
        <x:v>S1</x:v>
      </x:c>
      <x:c r="C2" s="18" t="str">
        <x:v>2025 S1</x:v>
      </x:c>
      <x:c r="D2" s="18" t="str">
        <x:v>CNCT0001</x:v>
      </x:c>
      <x:c r="E2" s="18" t="str">
        <x:v>北京SKP</x:v>
      </x:c>
      <x:c r="F2" s="18" t="str">
        <x:v>北京</x:v>
      </x:c>
      <x:c r="G2" s="18" t="str">
        <x:v>北京市</x:v>
      </x:c>
      <x:c r="H2" s="18" t="str">
        <x:v>北区</x:v>
      </x:c>
      <x:c r="I2" s="18" t="str">
        <x:v>Shopping Mall</x:v>
      </x:c>
      <x:c r="J2" s="18" t="str">
        <x:v>Prestige Shopping Center</x:v>
      </x:c>
      <x:c r="K2" s="18" t="str">
        <x:v>正常</x:v>
      </x:c>
      <x:c r="L2" s="62" t="n">
        <x:v>6</x:v>
      </x:c>
      <x:c r="M2" s="62" t="n">
        <x:v>53</x:v>
      </x:c>
      <x:c r="N2" s="63" t="n">
        <x:f>'Drivers'!C2</x:f>
        <x:v>2910</x:v>
      </x:c>
      <x:c r="O2" s="63" t="n">
        <x:f>'Drivers'!D2</x:f>
        <x:v>1151.678</x:v>
      </x:c>
      <x:c r="P2" s="64" t="n">
        <x:f>ROUND(N2*O2/1000,3)</x:f>
        <x:v>3351.383</x:v>
      </x:c>
      <x:c r="Q2" s="64" t="n">
        <x:f>ROUND(P2*'Drivers'!E2,3)</x:f>
        <x:v>3282.836</x:v>
      </x:c>
      <x:c r="R2" s="64" t="n">
        <x:f>-ROUND(Q2*'Drivers'!F2,3)</x:f>
        <x:v>-556.222</x:v>
      </x:c>
      <x:c r="S2" s="65" t="n">
        <x:f>R2/Q2</x:f>
        <x:v>-0.16943338016276172</x:v>
      </x:c>
      <x:c r="T2" s="64" t="n">
        <x:f>-ROUND(Q2*'Drivers'!G2,3)</x:f>
        <x:v>-55.385</x:v>
      </x:c>
      <x:c r="U2" s="65" t="n">
        <x:f>T2/Q2</x:f>
        <x:v>-0.01687108341689929</x:v>
      </x:c>
      <x:c r="V2" s="64" t="n">
        <x:f>-ROUND(Q2*'Drivers'!H2,3)</x:f>
        <x:v>-32.924</x:v>
      </x:c>
      <x:c r="W2" s="64" t="n">
        <x:f>-ROUND(Q2*'Drivers'!I2,3)</x:f>
        <x:v>-19.768</x:v>
      </x:c>
      <x:c r="X2" s="64" t="n">
        <x:f>-ROUND(Q2*'Drivers'!J2,3)</x:f>
        <x:v>-42.117</x:v>
      </x:c>
      <x:c r="Y2" s="64" t="n">
        <x:f>-ROUND(Q2*'Drivers'!K2,3)</x:f>
        <x:v>-38.38</x:v>
      </x:c>
      <x:c r="Z2" s="64" t="n">
        <x:f>-ROUND(Q2*'Drivers'!L2,3)</x:f>
        <x:v>-35.204</x:v>
      </x:c>
      <x:c r="AA2" s="64" t="n">
        <x:f>-ROUND(Q2*'Drivers'!M2,3)</x:f>
        <x:v>-25.694</x:v>
      </x:c>
      <x:c r="AB2" s="64" t="n">
        <x:f>-ROUND(Q2*'Drivers'!N2,3)</x:f>
        <x:v>-17.973</x:v>
      </x:c>
      <x:c r="AC2" s="64" t="n">
        <x:f>SUM(V2:AB2)</x:f>
        <x:v>-212.06</x:v>
      </x:c>
      <x:c r="AD2" s="65" t="n">
        <x:f>AC2/Q2</x:f>
        <x:v>-0.06459658660987025</x:v>
      </x:c>
      <x:c r="AE2" s="64" t="n">
        <x:f>-ROUND(Q2*'Drivers'!O2,3)</x:f>
        <x:v>-45.713</x:v>
      </x:c>
      <x:c r="AF2" s="65" t="n">
        <x:f>AE2/Q2</x:f>
        <x:v>-0.01392485034281335</x:v>
      </x:c>
      <x:c r="AG2" s="64" t="n">
        <x:f>-ROUND(Q2*'Drivers'!P2,3)</x:f>
        <x:v>-8.758</x:v>
      </x:c>
      <x:c r="AH2" s="64" t="n">
        <x:f>-ROUND(Q2*'Drivers'!Q2,3)</x:f>
        <x:v>-9.823</x:v>
      </x:c>
      <x:c r="AI2" s="64" t="n">
        <x:f>SUM(R2,T2,AC2,AE2,AG2,AH2)</x:f>
        <x:v>-887.9609999999999</x:v>
      </x:c>
      <x:c r="AJ2" s="65" t="n">
        <x:f>AI2/Q2</x:f>
        <x:v>-0.27048594568842305</x:v>
      </x:c>
      <x:c r="AK2" s="64" t="n">
        <x:f>Q2+AI2</x:f>
        <x:v>2394.875</x:v>
      </x:c>
      <x:c r="AL2" s="65" t="n">
        <x:f>AK2/Q2</x:f>
        <x:v>0.729514054311577</x:v>
      </x:c>
      <x:c r="AM2" s="64" t="n">
        <x:f>AK2/L2</x:f>
        <x:v>399.1458333333333</x:v>
      </x:c>
      <x:c r="AN2" s="66" t="str">
        <x:f>IF(AM2&lt;=200,"≤200K",IF(AM2&lt;=350,"200–350K",IF(AM2&lt;=500,"350–500K",IF(AM2&lt;=700,"500–700K","&gt;700K"))))</x:f>
        <x:v>350–500K</x:v>
      </x:c>
      <x:c r="AO2" s="64" t="n">
        <x:f>-ROUND(Q2*'Drivers'!R2,3)</x:f>
        <x:v>-1217.356</x:v>
      </x:c>
      <x:c r="AP2" s="64" t="n">
        <x:f>-ROUND(AK2*'Drivers'!S2,3)</x:f>
        <x:v>-33.625</x:v>
      </x:c>
      <x:c r="AQ2" s="64" t="n">
        <x:f>-ROUND(AK2*'Drivers'!T2,3)</x:f>
        <x:v>-12.778</x:v>
      </x:c>
      <x:c r="AR2" s="64" t="n">
        <x:f>-ROUND(AK2*'Drivers'!U2,3)</x:f>
        <x:v>-17.212</x:v>
      </x:c>
      <x:c r="AS2" s="64" t="n">
        <x:f>-ROUND(AK2*'Drivers'!V2,3)</x:f>
        <x:v>-83.826</x:v>
      </x:c>
      <x:c r="AT2" s="64" t="n">
        <x:f>SUM(AO2:AS2)</x:f>
        <x:v>-1364.797</x:v>
      </x:c>
      <x:c r="AU2" s="65" t="n">
        <x:f>AT2/AK2</x:f>
        <x:v>-0.5698823529411765</x:v>
      </x:c>
      <x:c r="AV2" s="64" t="n">
        <x:f>AK2+AT2</x:f>
        <x:v>1030.078</x:v>
      </x:c>
      <x:c r="AW2" s="65" t="n">
        <x:f>AV2/AK2</x:f>
        <x:v>0.4301176470588235</x:v>
      </x:c>
      <x:c r="AX2" s="64" t="n">
        <x:f>-ROUND(AK2*'Drivers'!W2,3)</x:f>
        <x:v>-33.227</x:v>
      </x:c>
      <x:c r="AY2" s="64" t="n">
        <x:f>-ROUND(AK2*'Drivers'!X2,3)</x:f>
        <x:v>-56.772</x:v>
      </x:c>
      <x:c r="AZ2" s="64" t="n">
        <x:f>-ROUND(AK2*'Drivers'!Y2,3)</x:f>
        <x:v>-41.897</x:v>
      </x:c>
      <x:c r="BA2" s="64" t="n">
        <x:f>-ROUND(AK2*'Drivers'!Z2,3)</x:f>
        <x:v>-14.682</x:v>
      </x:c>
      <x:c r="BB2" s="64" t="n">
        <x:f>-ROUND(AK2*'Drivers'!AA2,3)</x:f>
        <x:v>-20.902</x:v>
      </x:c>
      <x:c r="BC2" s="64" t="n">
        <x:f>SUM(BA2,BB2)</x:f>
        <x:v>-35.584</x:v>
      </x:c>
      <x:c r="BD2" s="64" t="n">
        <x:f>-ROUND(AK2*'Drivers'!AB2,3)</x:f>
        <x:v>-8.587</x:v>
      </x:c>
      <x:c r="BE2" s="64" t="n">
        <x:f>SUM(AX2:BB2,BD2)</x:f>
        <x:v>-176.06699999999995</x:v>
      </x:c>
      <x:c r="BF2" s="67" t="n">
        <x:f>'Drivers'!AF2</x:f>
        <x:v>9</x:v>
      </x:c>
      <x:c r="BG2" s="64" t="n">
        <x:f>BJ2</x:f>
        <x:v>-48.112</x:v>
      </x:c>
      <x:c r="BH2" s="64" t="n">
        <x:f>BE2/BF2</x:f>
        <x:v>-19.562999999999995</x:v>
      </x:c>
      <x:c r="BI2" s="68" t="n">
        <x:f>BF2/L2</x:f>
        <x:v>1.5</x:v>
      </x:c>
      <x:c r="BJ2" s="64" t="n">
        <x:f>-ROUND(AK2*'Drivers'!AC2,3)</x:f>
        <x:v>-48.112</x:v>
      </x:c>
      <x:c r="BK2" s="64" t="n">
        <x:f>-ROUND(AK2*'Drivers'!AD2,3)</x:f>
        <x:v>-237.429</x:v>
      </x:c>
      <x:c r="BL2" s="64" t="n">
        <x:f>SUM(AV2,BE2,BJ2,BK2)</x:f>
        <x:v>568.47</x:v>
      </x:c>
      <x:c r="BM2" s="65" t="n">
        <x:f>BL2/AK2</x:f>
        <x:v>0.23736938253562295</x:v>
      </x:c>
      <x:c r="BN2" s="64" t="n">
        <x:f>-ROUND(AK2*'Drivers'!AE2,3)</x:f>
        <x:v>-205.725</x:v>
      </x:c>
      <x:c r="BO2" s="64" t="n">
        <x:f>BL2+BN2</x:f>
        <x:v>362.745</x:v>
      </x:c>
      <x:c r="BP2" s="65" t="n">
        <x:f>BO2/AK2</x:f>
        <x:v>0.15146719557388172</x:v>
      </x:c>
    </x:row>
    <x:row r="3">
      <x:c r="A3" s="61" t="n">
        <x:v>2025</x:v>
      </x:c>
      <x:c r="B3" s="18" t="str">
        <x:v>S2</x:v>
      </x:c>
      <x:c r="C3" s="18" t="str">
        <x:v>2025 S2</x:v>
      </x:c>
      <x:c r="D3" s="18" t="str">
        <x:v>CNCT0001</x:v>
      </x:c>
      <x:c r="E3" s="18" t="str">
        <x:v>北京SKP</x:v>
      </x:c>
      <x:c r="F3" s="18" t="str">
        <x:v>北京</x:v>
      </x:c>
      <x:c r="G3" s="18" t="str">
        <x:v>北京市</x:v>
      </x:c>
      <x:c r="H3" s="18" t="str">
        <x:v>北区</x:v>
      </x:c>
      <x:c r="I3" s="18" t="str">
        <x:v>Shopping Mall</x:v>
      </x:c>
      <x:c r="J3" s="18" t="str">
        <x:v>Prestige Shopping Center</x:v>
      </x:c>
      <x:c r="K3" s="18" t="str">
        <x:v>正常</x:v>
      </x:c>
      <x:c r="L3" s="62" t="n">
        <x:v>6</x:v>
      </x:c>
      <x:c r="M3" s="62" t="n">
        <x:v>53</x:v>
      </x:c>
      <x:c r="N3" s="63" t="n">
        <x:f>'Drivers'!C3</x:f>
        <x:v>3199</x:v>
      </x:c>
      <x:c r="O3" s="63" t="n">
        <x:f>'Drivers'!D3</x:f>
        <x:v>1165.498</x:v>
      </x:c>
      <x:c r="P3" s="64" t="n">
        <x:f>ROUND(N3*O3/1000,3)</x:f>
        <x:v>3728.428</x:v>
      </x:c>
      <x:c r="Q3" s="64" t="n">
        <x:f>ROUND(P3*'Drivers'!E3,3)</x:f>
        <x:v>3583.759</x:v>
      </x:c>
      <x:c r="R3" s="64" t="n">
        <x:f>-ROUND(Q3*'Drivers'!F3,3)</x:f>
        <x:v>-607.208</x:v>
      </x:c>
      <x:c r="S3" s="65" t="n">
        <x:f>R3/Q3</x:f>
        <x:v>-0.1694332682526922</x:v>
      </x:c>
      <x:c r="T3" s="64" t="n">
        <x:f>-ROUND(Q3*'Drivers'!G3,3)</x:f>
        <x:v>-60.462</x:v>
      </x:c>
      <x:c r="U3" s="65" t="n">
        <x:f>T3/Q3</x:f>
        <x:v>-0.01687111214788718</x:v>
      </x:c>
      <x:c r="V3" s="64" t="n">
        <x:f>-ROUND(Q3*'Drivers'!H3,3)</x:f>
        <x:v>-35.942</x:v>
      </x:c>
      <x:c r="W3" s="64" t="n">
        <x:f>-ROUND(Q3*'Drivers'!I3,3)</x:f>
        <x:v>-21.58</x:v>
      </x:c>
      <x:c r="X3" s="64" t="n">
        <x:f>-ROUND(Q3*'Drivers'!J3,3)</x:f>
        <x:v>-45.978</x:v>
      </x:c>
      <x:c r="Y3" s="64" t="n">
        <x:f>-ROUND(Q3*'Drivers'!K3,3)</x:f>
        <x:v>-41.899</x:v>
      </x:c>
      <x:c r="Z3" s="64" t="n">
        <x:f>-ROUND(Q3*'Drivers'!L3,3)</x:f>
        <x:v>-38.431</x:v>
      </x:c>
      <x:c r="AA3" s="64" t="n">
        <x:f>-ROUND(Q3*'Drivers'!M3,3)</x:f>
        <x:v>-28.049</x:v>
      </x:c>
      <x:c r="AB3" s="64" t="n">
        <x:f>-ROUND(Q3*'Drivers'!N3,3)</x:f>
        <x:v>-19.621</x:v>
      </x:c>
      <x:c r="AC3" s="64" t="n">
        <x:f>SUM(V3:AB3)</x:f>
        <x:v>-231.5</x:v>
      </x:c>
      <x:c r="AD3" s="65" t="n">
        <x:f>AC3/Q3</x:f>
        <x:v>-0.06459697764274885</x:v>
      </x:c>
      <x:c r="AE3" s="64" t="n">
        <x:f>-ROUND(Q3*'Drivers'!O3,3)</x:f>
        <x:v>-49.903</x:v>
      </x:c>
      <x:c r="AF3" s="65" t="n">
        <x:f>AE3/Q3</x:f>
        <x:v>-0.013924764472164562</x:v>
      </x:c>
      <x:c r="AG3" s="64" t="n">
        <x:f>-ROUND(Q3*'Drivers'!P3,3)</x:f>
        <x:v>-9.561</x:v>
      </x:c>
      <x:c r="AH3" s="64" t="n">
        <x:f>-ROUND(Q3*'Drivers'!Q3,3)</x:f>
        <x:v>-10.723</x:v>
      </x:c>
      <x:c r="AI3" s="64" t="n">
        <x:f>SUM(R3,T3,AC3,AE3,AG3,AH3)</x:f>
        <x:v>-969.357</x:v>
      </x:c>
      <x:c r="AJ3" s="65" t="n">
        <x:f>AI3/Q3</x:f>
        <x:v>-0.27048610132545187</x:v>
      </x:c>
      <x:c r="AK3" s="64" t="n">
        <x:f>Q3+AI3</x:f>
        <x:v>2614.402</x:v>
      </x:c>
      <x:c r="AL3" s="65" t="n">
        <x:f>AK3/Q3</x:f>
        <x:v>0.7295138986745482</x:v>
      </x:c>
      <x:c r="AM3" s="64" t="n">
        <x:f>AK3/L3</x:f>
        <x:v>435.7336666666667</x:v>
      </x:c>
      <x:c r="AN3" s="66" t="str">
        <x:f>IF(AM3&lt;=200,"≤200K",IF(AM3&lt;=350,"200–350K",IF(AM3&lt;=500,"350–500K",IF(AM3&lt;=700,"500–700K","&gt;700K"))))</x:f>
        <x:v>350–500K</x:v>
      </x:c>
      <x:c r="AO3" s="64" t="n">
        <x:f>-ROUND(Q3*'Drivers'!R3,3)</x:f>
        <x:v>-1381.346</x:v>
      </x:c>
      <x:c r="AP3" s="64" t="n">
        <x:f>-ROUND(AK3*'Drivers'!S3,3)</x:f>
        <x:v>-36.707</x:v>
      </x:c>
      <x:c r="AQ3" s="64" t="n">
        <x:f>-ROUND(AK3*'Drivers'!T3,3)</x:f>
        <x:v>-13.949</x:v>
      </x:c>
      <x:c r="AR3" s="64" t="n">
        <x:f>-ROUND(AK3*'Drivers'!U3,3)</x:f>
        <x:v>-18.789</x:v>
      </x:c>
      <x:c r="AS3" s="64" t="n">
        <x:f>-ROUND(AK3*'Drivers'!V3,3)</x:f>
        <x:v>-91.51</x:v>
      </x:c>
      <x:c r="AT3" s="64" t="n">
        <x:f>SUM(AO3:AS3)</x:f>
        <x:v>-1542.3010000000002</x:v>
      </x:c>
      <x:c r="AU3" s="65" t="n">
        <x:f>AT3/AK3</x:f>
        <x:v>-0.5899249618077098</x:v>
      </x:c>
      <x:c r="AV3" s="64" t="n">
        <x:f>AK3+AT3</x:f>
        <x:v>1072.1009999999999</x:v>
      </x:c>
      <x:c r="AW3" s="65" t="n">
        <x:f>AV3/AK3</x:f>
        <x:v>0.4100750381922902</x:v>
      </x:c>
      <x:c r="AX3" s="64" t="n">
        <x:f>-ROUND(AK3*'Drivers'!W3,3)</x:f>
        <x:v>-36.273</x:v>
      </x:c>
      <x:c r="AY3" s="64" t="n">
        <x:f>-ROUND(AK3*'Drivers'!X3,3)</x:f>
        <x:v>-61.976</x:v>
      </x:c>
      <x:c r="AZ3" s="64" t="n">
        <x:f>-ROUND(AK3*'Drivers'!Y3,3)</x:f>
        <x:v>-45.738</x:v>
      </x:c>
      <x:c r="BA3" s="64" t="n">
        <x:f>-ROUND(AK3*'Drivers'!Z3,3)</x:f>
        <x:v>-16.028</x:v>
      </x:c>
      <x:c r="BB3" s="64" t="n">
        <x:f>-ROUND(AK3*'Drivers'!AA3,3)</x:f>
        <x:v>-22.818</x:v>
      </x:c>
      <x:c r="BC3" s="64" t="n">
        <x:f>SUM(BA3,BB3)</x:f>
        <x:v>-38.846000000000004</x:v>
      </x:c>
      <x:c r="BD3" s="64" t="n">
        <x:f>-ROUND(AK3*'Drivers'!AB3,3)</x:f>
        <x:v>-9.374</x:v>
      </x:c>
      <x:c r="BE3" s="64" t="n">
        <x:f>SUM(AX3:BB3,BD3)</x:f>
        <x:v>-192.207</x:v>
      </x:c>
      <x:c r="BF3" s="67" t="n">
        <x:f>'Drivers'!AF3</x:f>
        <x:v>9</x:v>
      </x:c>
      <x:c r="BG3" s="64" t="n">
        <x:f>BJ3</x:f>
        <x:v>-52.523</x:v>
      </x:c>
      <x:c r="BH3" s="64" t="n">
        <x:f>BE3/BF3</x:f>
        <x:v>-21.356333333333332</x:v>
      </x:c>
      <x:c r="BI3" s="68" t="n">
        <x:f>BF3/L3</x:f>
        <x:v>1.5</x:v>
      </x:c>
      <x:c r="BJ3" s="64" t="n">
        <x:f>-ROUND(AK3*'Drivers'!AC3,3)</x:f>
        <x:v>-52.523</x:v>
      </x:c>
      <x:c r="BK3" s="64" t="n">
        <x:f>-ROUND(AK3*'Drivers'!AD3,3)</x:f>
        <x:v>-259.193</x:v>
      </x:c>
      <x:c r="BL3" s="64" t="n">
        <x:f>SUM(AV3,BE3,BJ3,BK3)</x:f>
        <x:v>568.1779999999999</x:v>
      </x:c>
      <x:c r="BM3" s="65" t="n">
        <x:f>BL3/AK3</x:f>
        <x:v>0.21732618013603106</x:v>
      </x:c>
      <x:c r="BN3" s="64" t="n">
        <x:f>-ROUND(AK3*'Drivers'!AE3,3)</x:f>
        <x:v>-224.583</x:v>
      </x:c>
      <x:c r="BO3" s="64" t="n">
        <x:f>BL3+BN3</x:f>
        <x:v>343.5949999999999</x:v>
      </x:c>
      <x:c r="BP3" s="65" t="n">
        <x:f>BO3/AK3</x:f>
        <x:v>0.1314239355692047</x:v>
      </x:c>
    </x:row>
    <x:row r="4">
      <x:c r="A4" s="61" t="n">
        <x:v>2026</x:v>
      </x:c>
      <x:c r="B4" s="18" t="str">
        <x:v>S1</x:v>
      </x:c>
      <x:c r="C4" s="18" t="str">
        <x:v>2026 S1</x:v>
      </x:c>
      <x:c r="D4" s="18" t="str">
        <x:v>CNCT0001</x:v>
      </x:c>
      <x:c r="E4" s="18" t="str">
        <x:v>北京SKP</x:v>
      </x:c>
      <x:c r="F4" s="18" t="str">
        <x:v>北京</x:v>
      </x:c>
      <x:c r="G4" s="18" t="str">
        <x:v>北京市</x:v>
      </x:c>
      <x:c r="H4" s="18" t="str">
        <x:v>北区</x:v>
      </x:c>
      <x:c r="I4" s="18" t="str">
        <x:v>Shopping Mall</x:v>
      </x:c>
      <x:c r="J4" s="18" t="str">
        <x:v>Prestige Shopping Center</x:v>
      </x:c>
      <x:c r="K4" s="18" t="str">
        <x:v>正常</x:v>
      </x:c>
      <x:c r="L4" s="62" t="n">
        <x:v>6</x:v>
      </x:c>
      <x:c r="M4" s="62" t="n">
        <x:v>53</x:v>
      </x:c>
      <x:c r="N4" s="63" t="n">
        <x:f>'Drivers'!C4</x:f>
        <x:v>2813</x:v>
      </x:c>
      <x:c r="O4" s="63" t="n">
        <x:f>'Drivers'!D4</x:f>
        <x:v>1167.652</x:v>
      </x:c>
      <x:c r="P4" s="64" t="n">
        <x:f>ROUND(N4*O4/1000,3)</x:f>
        <x:v>3284.605</x:v>
      </x:c>
      <x:c r="Q4" s="64" t="n">
        <x:f>ROUND(P4*'Drivers'!E4,3)</x:f>
        <x:v>3225.366</x:v>
      </x:c>
      <x:c r="R4" s="64" t="n">
        <x:f>-ROUND(Q4*'Drivers'!F4,3)</x:f>
        <x:v>-538.197</x:v>
      </x:c>
      <x:c r="S4" s="65" t="n">
        <x:f>R4/Q4</x:f>
        <x:v>-0.16686385359056927</x:v>
      </x:c>
      <x:c r="T4" s="64" t="n">
        <x:f>-ROUND(Q4*'Drivers'!G4,3)</x:f>
        <x:v>-50.045</x:v>
      </x:c>
      <x:c r="U4" s="65" t="n">
        <x:f>T4/Q4</x:f>
        <x:v>-0.01551606856400173</x:v>
      </x:c>
      <x:c r="V4" s="64" t="n">
        <x:f>-ROUND(Q4*'Drivers'!H4,3)</x:f>
        <x:v>-32.348</x:v>
      </x:c>
      <x:c r="W4" s="64" t="n">
        <x:f>-ROUND(Q4*'Drivers'!I4,3)</x:f>
        <x:v>-19.422</x:v>
      </x:c>
      <x:c r="X4" s="64" t="n">
        <x:f>-ROUND(Q4*'Drivers'!J4,3)</x:f>
        <x:v>-41.38</x:v>
      </x:c>
      <x:c r="Y4" s="64" t="n">
        <x:f>-ROUND(Q4*'Drivers'!K4,3)</x:f>
        <x:v>-37.709</x:v>
      </x:c>
      <x:c r="Z4" s="64" t="n">
        <x:f>-ROUND(Q4*'Drivers'!L4,3)</x:f>
        <x:v>-34.588</x:v>
      </x:c>
      <x:c r="AA4" s="64" t="n">
        <x:f>-ROUND(Q4*'Drivers'!M4,3)</x:f>
        <x:v>-25.244</x:v>
      </x:c>
      <x:c r="AB4" s="64" t="n">
        <x:f>-ROUND(Q4*'Drivers'!N4,3)</x:f>
        <x:v>-17.659</x:v>
      </x:c>
      <x:c r="AC4" s="64" t="n">
        <x:f>SUM(V4:AB4)</x:f>
        <x:v>-208.35</x:v>
      </x:c>
      <x:c r="AD4" s="65" t="n">
        <x:f>AC4/Q4</x:f>
        <x:v>-0.06459732011808893</x:v>
      </x:c>
      <x:c r="AE4" s="64" t="n">
        <x:f>-ROUND(Q4*'Drivers'!O4,3)</x:f>
        <x:v>-43.477</x:v>
      </x:c>
      <x:c r="AF4" s="65" t="n">
        <x:f>AE4/Q4</x:f>
        <x:v>-0.013479710519674355</x:v>
      </x:c>
      <x:c r="AG4" s="64" t="n">
        <x:f>-ROUND(Q4*'Drivers'!P4,3)</x:f>
        <x:v>-8.605</x:v>
      </x:c>
      <x:c r="AH4" s="64" t="n">
        <x:f>-ROUND(Q4*'Drivers'!Q4,3)</x:f>
        <x:v>-9.651</x:v>
      </x:c>
      <x:c r="AI4" s="64" t="n">
        <x:f>SUM(R4,T4,AC4,AE4,AG4,AH4)</x:f>
        <x:v>-858.3249999999999</x:v>
      </x:c>
      <x:c r="AJ4" s="65" t="n">
        <x:f>AI4/Q4</x:f>
        <x:v>-0.2661170856268715</x:v>
      </x:c>
      <x:c r="AK4" s="64" t="n">
        <x:f>Q4+AI4</x:f>
        <x:v>2367.041</x:v>
      </x:c>
      <x:c r="AL4" s="65" t="n">
        <x:f>AK4/Q4</x:f>
        <x:v>0.7338829143731286</x:v>
      </x:c>
      <x:c r="AM4" s="64" t="n">
        <x:f>AK4/L4</x:f>
        <x:v>394.50683333333336</x:v>
      </x:c>
      <x:c r="AN4" s="66" t="str">
        <x:f>IF(AM4&lt;=200,"≤200K",IF(AM4&lt;=350,"200–350K",IF(AM4&lt;=500,"350–500K",IF(AM4&lt;=700,"500–700K","&gt;700K"))))</x:f>
        <x:v>350–500K</x:v>
      </x:c>
      <x:c r="AO4" s="64" t="n">
        <x:f>-ROUND(Q4*'Drivers'!R4,3)</x:f>
        <x:v>-1201.421</x:v>
      </x:c>
      <x:c r="AP4" s="64" t="n">
        <x:f>-ROUND(AK4*'Drivers'!S4,3)</x:f>
        <x:v>-33.234</x:v>
      </x:c>
      <x:c r="AQ4" s="64" t="n">
        <x:f>-ROUND(AK4*'Drivers'!T4,3)</x:f>
        <x:v>-12.63</x:v>
      </x:c>
      <x:c r="AR4" s="64" t="n">
        <x:f>-ROUND(AK4*'Drivers'!U4,3)</x:f>
        <x:v>-17.012</x:v>
      </x:c>
      <x:c r="AS4" s="64" t="n">
        <x:f>-ROUND(AK4*'Drivers'!V4,3)</x:f>
        <x:v>-82.852</x:v>
      </x:c>
      <x:c r="AT4" s="64" t="n">
        <x:f>SUM(AO4:AS4)</x:f>
        <x:v>-1347.1490000000001</x:v>
      </x:c>
      <x:c r="AU4" s="65" t="n">
        <x:f>AT4/AK4</x:f>
        <x:v>-0.569127868930027</x:v>
      </x:c>
      <x:c r="AV4" s="64" t="n">
        <x:f>AK4+AT4</x:f>
        <x:v>1019.892</x:v>
      </x:c>
      <x:c r="AW4" s="65" t="n">
        <x:f>AV4/AK4</x:f>
        <x:v>0.430872131069973</x:v>
      </x:c>
      <x:c r="AX4" s="64" t="n">
        <x:f>-ROUND(AK4*'Drivers'!W4,3)</x:f>
        <x:v>-40.41</x:v>
      </x:c>
      <x:c r="AY4" s="64" t="n">
        <x:f>-ROUND(AK4*'Drivers'!X4,3)</x:f>
        <x:v>-86.305</x:v>
      </x:c>
      <x:c r="AZ4" s="64" t="n">
        <x:f>-ROUND(AK4*'Drivers'!Y4,3)</x:f>
        <x:v>-67.258</x:v>
      </x:c>
      <x:c r="BA4" s="64" t="n">
        <x:f>-ROUND(AK4*'Drivers'!Z4,3)</x:f>
        <x:v>-17.856</x:v>
      </x:c>
      <x:c r="BB4" s="64" t="n">
        <x:f>-ROUND(AK4*'Drivers'!AA4,3)</x:f>
        <x:v>-25.42</x:v>
      </x:c>
      <x:c r="BC4" s="64" t="n">
        <x:f>SUM(BA4,BB4)</x:f>
        <x:v>-43.276</x:v>
      </x:c>
      <x:c r="BD4" s="64" t="n">
        <x:f>-ROUND(AK4*'Drivers'!AB4,3)</x:f>
        <x:v>-10.443</x:v>
      </x:c>
      <x:c r="BE4" s="64" t="n">
        <x:f>SUM(AX4:BB4,BD4)</x:f>
        <x:v>-247.69200000000004</x:v>
      </x:c>
      <x:c r="BF4" s="67" t="n">
        <x:f>'Drivers'!AF4</x:f>
        <x:v>9</x:v>
      </x:c>
      <x:c r="BG4" s="64" t="n">
        <x:f>BJ4</x:f>
        <x:v>-58.512</x:v>
      </x:c>
      <x:c r="BH4" s="64" t="n">
        <x:f>BE4/BF4</x:f>
        <x:v>-27.521333333333338</x:v>
      </x:c>
      <x:c r="BI4" s="68" t="n">
        <x:f>BF4/L4</x:f>
        <x:v>1.5</x:v>
      </x:c>
      <x:c r="BJ4" s="64" t="n">
        <x:f>-ROUND(AK4*'Drivers'!AC4,3)</x:f>
        <x:v>-58.512</x:v>
      </x:c>
      <x:c r="BK4" s="64" t="n">
        <x:f>-ROUND(AK4*'Drivers'!AD4,3)</x:f>
        <x:v>-234.67</x:v>
      </x:c>
      <x:c r="BL4" s="64" t="n">
        <x:f>SUM(AV4,BE4,BJ4,BK4)</x:f>
        <x:v>479.01800000000014</x:v>
      </x:c>
      <x:c r="BM4" s="65" t="n">
        <x:f>BL4/AK4</x:f>
        <x:v>0.2023699631734305</x:v>
      </x:c>
      <x:c r="BN4" s="64" t="n">
        <x:f>-ROUND(AK4*'Drivers'!AE4,3)</x:f>
        <x:v>-203.334</x:v>
      </x:c>
      <x:c r="BO4" s="64" t="n">
        <x:f>BL4+BN4</x:f>
        <x:v>275.68400000000014</x:v>
      </x:c>
      <x:c r="BP4" s="65" t="n">
        <x:f>BO4/AK4</x:f>
        <x:v>0.11646777558986098</x:v>
      </x:c>
    </x:row>
    <x:row r="5">
      <x:c r="A5" s="61" t="n">
        <x:v>2026</x:v>
      </x:c>
      <x:c r="B5" s="18" t="str">
        <x:v>S2</x:v>
      </x:c>
      <x:c r="C5" s="18" t="str">
        <x:v>2026 S2</x:v>
      </x:c>
      <x:c r="D5" s="18" t="str">
        <x:v>CNCT0001</x:v>
      </x:c>
      <x:c r="E5" s="18" t="str">
        <x:v>北京SKP</x:v>
      </x:c>
      <x:c r="F5" s="18" t="str">
        <x:v>北京</x:v>
      </x:c>
      <x:c r="G5" s="18" t="str">
        <x:v>北京市</x:v>
      </x:c>
      <x:c r="H5" s="18" t="str">
        <x:v>北区</x:v>
      </x:c>
      <x:c r="I5" s="18" t="str">
        <x:v>Shopping Mall</x:v>
      </x:c>
      <x:c r="J5" s="18" t="str">
        <x:v>Prestige Shopping Center</x:v>
      </x:c>
      <x:c r="K5" s="18" t="str">
        <x:v>正常</x:v>
      </x:c>
      <x:c r="L5" s="62" t="n">
        <x:v>6</x:v>
      </x:c>
      <x:c r="M5" s="62" t="n">
        <x:v>53</x:v>
      </x:c>
      <x:c r="N5" s="63" t="n">
        <x:f>'Drivers'!C5</x:f>
        <x:v>3141</x:v>
      </x:c>
      <x:c r="O5" s="63" t="n">
        <x:f>'Drivers'!D5</x:f>
        <x:v>1203.562</x:v>
      </x:c>
      <x:c r="P5" s="64" t="n">
        <x:f>ROUND(N5*O5/1000,3)</x:f>
        <x:v>3780.388</x:v>
      </x:c>
      <x:c r="Q5" s="64" t="n">
        <x:f>ROUND(P5*'Drivers'!E5,3)</x:f>
        <x:v>3633.703</x:v>
      </x:c>
      <x:c r="R5" s="64" t="n">
        <x:f>-ROUND(Q5*'Drivers'!F5,3)</x:f>
        <x:v>-614.039</x:v>
      </x:c>
      <x:c r="S5" s="65" t="n">
        <x:f>R5/Q5</x:f>
        <x:v>-0.16898436663645872</x:v>
      </x:c>
      <x:c r="T5" s="64" t="n">
        <x:f>-ROUND(Q5*'Drivers'!G5,3)</x:f>
        <x:v>-64.905</x:v>
      </x:c>
      <x:c r="U5" s="65" t="n">
        <x:f>T5/Q5</x:f>
        <x:v>-0.017861944137977155</x:v>
      </x:c>
      <x:c r="V5" s="64" t="n">
        <x:f>-ROUND(Q5*'Drivers'!H5,3)</x:f>
        <x:v>-36.443</x:v>
      </x:c>
      <x:c r="W5" s="64" t="n">
        <x:f>-ROUND(Q5*'Drivers'!I5,3)</x:f>
        <x:v>-21.881</x:v>
      </x:c>
      <x:c r="X5" s="64" t="n">
        <x:f>-ROUND(Q5*'Drivers'!J5,3)</x:f>
        <x:v>-46.619</x:v>
      </x:c>
      <x:c r="Y5" s="64" t="n">
        <x:f>-ROUND(Q5*'Drivers'!K5,3)</x:f>
        <x:v>-42.483</x:v>
      </x:c>
      <x:c r="Z5" s="64" t="n">
        <x:f>-ROUND(Q5*'Drivers'!L5,3)</x:f>
        <x:v>-38.967</x:v>
      </x:c>
      <x:c r="AA5" s="64" t="n">
        <x:f>-ROUND(Q5*'Drivers'!M5,3)</x:f>
        <x:v>-28.44</x:v>
      </x:c>
      <x:c r="AB5" s="64" t="n">
        <x:f>-ROUND(Q5*'Drivers'!N5,3)</x:f>
        <x:v>-19.894</x:v>
      </x:c>
      <x:c r="AC5" s="64" t="n">
        <x:f>SUM(V5:AB5)</x:f>
        <x:v>-234.72699999999998</x:v>
      </x:c>
      <x:c r="AD5" s="65" t="n">
        <x:f>AC5/Q5</x:f>
        <x:v>-0.06459718914837012</x:v>
      </x:c>
      <x:c r="AE5" s="64" t="n">
        <x:f>-ROUND(Q5*'Drivers'!O5,3)</x:f>
        <x:v>-50.599</x:v>
      </x:c>
      <x:c r="AF5" s="65" t="n">
        <x:f>AE5/Q5</x:f>
        <x:v>-0.013924913511093229</x:v>
      </x:c>
      <x:c r="AG5" s="64" t="n">
        <x:f>-ROUND(Q5*'Drivers'!P5,3)</x:f>
        <x:v>-9.694</x:v>
      </x:c>
      <x:c r="AH5" s="64" t="n">
        <x:f>-ROUND(Q5*'Drivers'!Q5,3)</x:f>
        <x:v>-10.873</x:v>
      </x:c>
      <x:c r="AI5" s="64" t="n">
        <x:f>SUM(R5,T5,AC5,AE5,AG5,AH5)</x:f>
        <x:v>-984.837</x:v>
      </x:c>
      <x:c r="AJ5" s="65" t="n">
        <x:f>AI5/Q5</x:f>
        <x:v>-0.27102847976293054</x:v>
      </x:c>
      <x:c r="AK5" s="64" t="n">
        <x:f>Q5+AI5</x:f>
        <x:v>2648.866</x:v>
      </x:c>
      <x:c r="AL5" s="65" t="n">
        <x:f>AK5/Q5</x:f>
        <x:v>0.7289715202370695</x:v>
      </x:c>
      <x:c r="AM5" s="64" t="n">
        <x:f>AK5/L5</x:f>
        <x:v>441.47766666666666</x:v>
      </x:c>
      <x:c r="AN5" s="66" t="str">
        <x:f>IF(AM5&lt;=200,"≤200K",IF(AM5&lt;=350,"200–350K",IF(AM5&lt;=500,"350–500K",IF(AM5&lt;=700,"500–700K","&gt;700K"))))</x:f>
        <x:v>350–500K</x:v>
      </x:c>
      <x:c r="AO5" s="64" t="n">
        <x:f>-ROUND(Q5*'Drivers'!R5,3)</x:f>
        <x:v>-1368.408</x:v>
      </x:c>
      <x:c r="AP5" s="64" t="n">
        <x:f>-ROUND(AK5*'Drivers'!S5,3)</x:f>
        <x:v>-37.191</x:v>
      </x:c>
      <x:c r="AQ5" s="64" t="n">
        <x:f>-ROUND(AK5*'Drivers'!T5,3)</x:f>
        <x:v>-14.133</x:v>
      </x:c>
      <x:c r="AR5" s="64" t="n">
        <x:f>-ROUND(AK5*'Drivers'!U5,3)</x:f>
        <x:v>-19.037</x:v>
      </x:c>
      <x:c r="AS5" s="64" t="n">
        <x:f>-ROUND(AK5*'Drivers'!V5,3)</x:f>
        <x:v>-92.716</x:v>
      </x:c>
      <x:c r="AT5" s="64" t="n">
        <x:f>SUM(AO5:AS5)</x:f>
        <x:v>-1531.485</x:v>
      </x:c>
      <x:c r="AU5" s="65" t="n">
        <x:f>AT5/AK5</x:f>
        <x:v>-0.578166279456945</x:v>
      </x:c>
      <x:c r="AV5" s="64" t="n">
        <x:f>AK5+AT5</x:f>
        <x:v>1117.381</x:v>
      </x:c>
      <x:c r="AW5" s="65" t="n">
        <x:f>AV5/AK5</x:f>
        <x:v>0.42183372054305507</x:v>
      </x:c>
      <x:c r="AX5" s="64" t="n">
        <x:f>-ROUND(AK5*'Drivers'!W5,3)</x:f>
        <x:v>-38.956</x:v>
      </x:c>
      <x:c r="AY5" s="64" t="n">
        <x:f>-ROUND(AK5*'Drivers'!X5,3)</x:f>
        <x:v>-66.561</x:v>
      </x:c>
      <x:c r="AZ5" s="64" t="n">
        <x:f>-ROUND(AK5*'Drivers'!Y5,3)</x:f>
        <x:v>-49.121</x:v>
      </x:c>
      <x:c r="BA5" s="64" t="n">
        <x:f>-ROUND(AK5*'Drivers'!Z5,3)</x:f>
        <x:v>-17.213</x:v>
      </x:c>
      <x:c r="BB5" s="64" t="n">
        <x:f>-ROUND(AK5*'Drivers'!AA5,3)</x:f>
        <x:v>-24.506</x:v>
      </x:c>
      <x:c r="BC5" s="64" t="n">
        <x:f>SUM(BA5,BB5)</x:f>
        <x:v>-41.719</x:v>
      </x:c>
      <x:c r="BD5" s="64" t="n">
        <x:f>-ROUND(AK5*'Drivers'!AB5,3)</x:f>
        <x:v>-10.067</x:v>
      </x:c>
      <x:c r="BE5" s="64" t="n">
        <x:f>SUM(AX5:BB5,BD5)</x:f>
        <x:v>-206.424</x:v>
      </x:c>
      <x:c r="BF5" s="67" t="n">
        <x:f>'Drivers'!AF5</x:f>
        <x:v>9</x:v>
      </x:c>
      <x:c r="BG5" s="64" t="n">
        <x:f>BJ5</x:f>
        <x:v>-56.408</x:v>
      </x:c>
      <x:c r="BH5" s="64" t="n">
        <x:f>BE5/BF5</x:f>
        <x:v>-22.936</x:v>
      </x:c>
      <x:c r="BI5" s="68" t="n">
        <x:f>BF5/L5</x:f>
        <x:v>1.5</x:v>
      </x:c>
      <x:c r="BJ5" s="64" t="n">
        <x:f>-ROUND(AK5*'Drivers'!AC5,3)</x:f>
        <x:v>-56.408</x:v>
      </x:c>
      <x:c r="BK5" s="64" t="n">
        <x:f>-ROUND(AK5*'Drivers'!AD5,3)</x:f>
        <x:v>-262.61</x:v>
      </x:c>
      <x:c r="BL5" s="64" t="n">
        <x:f>SUM(AV5,BE5,BJ5,BK5)</x:f>
        <x:v>591.9390000000001</x:v>
      </x:c>
      <x:c r="BM5" s="65" t="n">
        <x:f>BL5/AK5</x:f>
        <x:v>0.22346883534312423</x:v>
      </x:c>
      <x:c r="BN5" s="64" t="n">
        <x:f>-ROUND(AK5*'Drivers'!AE5,3)</x:f>
        <x:v>-227.543</x:v>
      </x:c>
      <x:c r="BO5" s="64" t="n">
        <x:f>BL5+BN5</x:f>
        <x:v>364.3960000000001</x:v>
      </x:c>
      <x:c r="BP5" s="65" t="n">
        <x:f>BO5/AK5</x:f>
        <x:v>0.13756679273319228</x:v>
      </x:c>
    </x:row>
    <x:row r="6">
      <x:c r="A6" s="61" t="n">
        <x:v>2025</x:v>
      </x:c>
      <x:c r="B6" s="18" t="str">
        <x:v>S1</x:v>
      </x:c>
      <x:c r="C6" s="18" t="str">
        <x:v>2025 S1</x:v>
      </x:c>
      <x:c r="D6" s="18" t="str">
        <x:v>CNCT0002</x:v>
      </x:c>
      <x:c r="E6" s="18" t="str">
        <x:v>北京国贸商城</x:v>
      </x:c>
      <x:c r="F6" s="18" t="str">
        <x:v>北京</x:v>
      </x:c>
      <x:c r="G6" s="18" t="str">
        <x:v>北京市</x:v>
      </x:c>
      <x:c r="H6" s="18" t="str">
        <x:v>北区</x:v>
      </x:c>
      <x:c r="I6" s="18" t="str">
        <x:v>Department Store</x:v>
      </x:c>
      <x:c r="J6" s="18" t="str">
        <x:v>Luxury Department Store</x:v>
      </x:c>
      <x:c r="K6" s="18" t="str">
        <x:v>正常</x:v>
      </x:c>
      <x:c r="L6" s="62" t="n">
        <x:v>6</x:v>
      </x:c>
      <x:c r="M6" s="62" t="n">
        <x:v>53</x:v>
      </x:c>
      <x:c r="N6" s="63" t="n">
        <x:f>'Drivers'!C6</x:f>
        <x:v>3581</x:v>
      </x:c>
      <x:c r="O6" s="63" t="n">
        <x:f>'Drivers'!D6</x:f>
        <x:v>1248.208</x:v>
      </x:c>
      <x:c r="P6" s="64" t="n">
        <x:f>ROUND(N6*O6/1000,3)</x:f>
        <x:v>4469.833</x:v>
      </x:c>
      <x:c r="Q6" s="64" t="n">
        <x:f>ROUND(P6*'Drivers'!E6,3)</x:f>
        <x:v>4402.395</x:v>
      </x:c>
      <x:c r="R6" s="64" t="n">
        <x:f>-ROUND(Q6*'Drivers'!F6,3)</x:f>
        <x:v>-823.75</x:v>
      </x:c>
      <x:c r="S6" s="65" t="n">
        <x:f>R6/Q6</x:f>
        <x:v>-0.18711405950624602</x:v>
      </x:c>
      <x:c r="T6" s="64" t="n">
        <x:f>-ROUND(Q6*'Drivers'!G6,3)</x:f>
        <x:v>-90.085</x:v>
      </x:c>
      <x:c r="U6" s="65" t="n">
        <x:f>T6/Q6</x:f>
        <x:v>-0.020462725402877295</x:v>
      </x:c>
      <x:c r="V6" s="64" t="n">
        <x:f>-ROUND(Q6*'Drivers'!H6,3)</x:f>
        <x:v>-54.551</x:v>
      </x:c>
      <x:c r="W6" s="64" t="n">
        <x:f>-ROUND(Q6*'Drivers'!I6,3)</x:f>
        <x:v>-30.11</x:v>
      </x:c>
      <x:c r="X6" s="64" t="n">
        <x:f>-ROUND(Q6*'Drivers'!J6,3)</x:f>
        <x:v>-62.843</x:v>
      </x:c>
      <x:c r="Y6" s="64" t="n">
        <x:f>-ROUND(Q6*'Drivers'!K6,3)</x:f>
        <x:v>-57.386</x:v>
      </x:c>
      <x:c r="Z6" s="64" t="n">
        <x:f>-ROUND(Q6*'Drivers'!L6,3)</x:f>
        <x:v>-43.518</x:v>
      </x:c>
      <x:c r="AA6" s="64" t="n">
        <x:f>-ROUND(Q6*'Drivers'!M6,3)</x:f>
        <x:v>-43.039</x:v>
      </x:c>
      <x:c r="AB6" s="64" t="n">
        <x:f>-ROUND(Q6*'Drivers'!N6,3)</x:f>
        <x:v>-26.928</x:v>
      </x:c>
      <x:c r="AC6" s="64" t="n">
        <x:f>SUM(V6:AB6)</x:f>
        <x:v>-318.375</x:v>
      </x:c>
      <x:c r="AD6" s="65" t="n">
        <x:f>AC6/Q6</x:f>
        <x:v>-0.0723185902219133</x:v>
      </x:c>
      <x:c r="AE6" s="64" t="n">
        <x:f>-ROUND(Q6*'Drivers'!O6,3)</x:f>
        <x:v>-60.81</x:v>
      </x:c>
      <x:c r="AF6" s="65" t="n">
        <x:f>AE6/Q6</x:f>
        <x:v>-0.01381293591329265</x:v>
      </x:c>
      <x:c r="AG6" s="64" t="n">
        <x:f>-ROUND(Q6*'Drivers'!P6,3)</x:f>
        <x:v>-4.994</x:v>
      </x:c>
      <x:c r="AH6" s="64" t="n">
        <x:f>-ROUND(Q6*'Drivers'!Q6,3)</x:f>
        <x:v>-24.348</x:v>
      </x:c>
      <x:c r="AI6" s="64" t="n">
        <x:f>SUM(R6,T6,AC6,AE6,AG6,AH6)</x:f>
        <x:v>-1322.3619999999999</x:v>
      </x:c>
      <x:c r="AJ6" s="65" t="n">
        <x:f>AI6/Q6</x:f>
        <x:v>-0.3003733195226688</x:v>
      </x:c>
      <x:c r="AK6" s="64" t="n">
        <x:f>Q6+AI6</x:f>
        <x:v>3080.0330000000004</x:v>
      </x:c>
      <x:c r="AL6" s="65" t="n">
        <x:f>AK6/Q6</x:f>
        <x:v>0.6996266804773311</x:v>
      </x:c>
      <x:c r="AM6" s="64" t="n">
        <x:f>AK6/L6</x:f>
        <x:v>513.3388333333334</x:v>
      </x:c>
      <x:c r="AN6" s="66" t="str">
        <x:f>IF(AM6&lt;=200,"≤200K",IF(AM6&lt;=350,"200–350K",IF(AM6&lt;=500,"350–500K",IF(AM6&lt;=700,"500–700K","&gt;700K"))))</x:f>
        <x:v>500–700K</x:v>
      </x:c>
      <x:c r="AO6" s="64" t="n">
        <x:f>-ROUND(Q6*'Drivers'!R6,3)</x:f>
        <x:v>-1509.875</x:v>
      </x:c>
      <x:c r="AP6" s="64" t="n">
        <x:f>-ROUND(AK6*'Drivers'!S6,3)</x:f>
        <x:v>-51.034</x:v>
      </x:c>
      <x:c r="AQ6" s="64" t="n">
        <x:f>-ROUND(AK6*'Drivers'!T6,3)</x:f>
        <x:v>-15.632</x:v>
      </x:c>
      <x:c r="AR6" s="64" t="n">
        <x:f>-ROUND(AK6*'Drivers'!U6,3)</x:f>
        <x:v>-30.49</x:v>
      </x:c>
      <x:c r="AS6" s="64" t="n">
        <x:f>-ROUND(AK6*'Drivers'!V6,3)</x:f>
        <x:v>-99.188</x:v>
      </x:c>
      <x:c r="AT6" s="64" t="n">
        <x:f>SUM(AO6:AS6)</x:f>
        <x:v>-1706.2190000000003</x:v>
      </x:c>
      <x:c r="AU6" s="65" t="n">
        <x:f>AT6/AK6</x:f>
        <x:v>-0.5539612724928596</x:v>
      </x:c>
      <x:c r="AV6" s="64" t="n">
        <x:f>AK6+AT6</x:f>
        <x:v>1373.814</x:v>
      </x:c>
      <x:c r="AW6" s="65" t="n">
        <x:f>AV6/AK6</x:f>
        <x:v>0.4460387275071403</x:v>
      </x:c>
      <x:c r="AX6" s="64" t="n">
        <x:f>-ROUND(AK6*'Drivers'!W6,3)</x:f>
        <x:v>-32.736</x:v>
      </x:c>
      <x:c r="AY6" s="64" t="n">
        <x:f>-ROUND(AK6*'Drivers'!X6,3)</x:f>
        <x:v>-63.415</x:v>
      </x:c>
      <x:c r="AZ6" s="64" t="n">
        <x:f>-ROUND(AK6*'Drivers'!Y6,3)</x:f>
        <x:v>-59.158</x:v>
      </x:c>
      <x:c r="BA6" s="64" t="n">
        <x:f>-ROUND(AK6*'Drivers'!Z6,3)</x:f>
        <x:v>-13.783</x:v>
      </x:c>
      <x:c r="BB6" s="64" t="n">
        <x:f>-ROUND(AK6*'Drivers'!AA6,3)</x:f>
        <x:v>-23.076</x:v>
      </x:c>
      <x:c r="BC6" s="64" t="n">
        <x:f>SUM(BA6,BB6)</x:f>
        <x:v>-36.859</x:v>
      </x:c>
      <x:c r="BD6" s="64" t="n">
        <x:f>-ROUND(AK6*'Drivers'!AB6,3)</x:f>
        <x:v>-11.755</x:v>
      </x:c>
      <x:c r="BE6" s="64" t="n">
        <x:f>SUM(AX6:BB6,BD6)</x:f>
        <x:v>-203.92299999999997</x:v>
      </x:c>
      <x:c r="BF6" s="67" t="n">
        <x:f>'Drivers'!AF6</x:f>
        <x:v>10</x:v>
      </x:c>
      <x:c r="BG6" s="64" t="n">
        <x:f>BJ6</x:f>
        <x:v>-77.76</x:v>
      </x:c>
      <x:c r="BH6" s="64" t="n">
        <x:f>BE6/BF6</x:f>
        <x:v>-20.3923</x:v>
      </x:c>
      <x:c r="BI6" s="68" t="n">
        <x:f>BF6/L6</x:f>
        <x:v>1.6666666666666667</x:v>
      </x:c>
      <x:c r="BJ6" s="64" t="n">
        <x:f>-ROUND(AK6*'Drivers'!AC6,3)</x:f>
        <x:v>-77.76</x:v>
      </x:c>
      <x:c r="BK6" s="64" t="n">
        <x:f>-ROUND(AK6*'Drivers'!AD6,3)</x:f>
        <x:v>-271.09</x:v>
      </x:c>
      <x:c r="BL6" s="64" t="n">
        <x:f>SUM(AV6,BE6,BJ6,BK6)</x:f>
        <x:v>821.0410000000002</x:v>
      </x:c>
      <x:c r="BM6" s="65" t="n">
        <x:f>BL6/AK6</x:f>
        <x:v>0.2665688971514266</x:v>
      </x:c>
      <x:c r="BN6" s="64" t="n">
        <x:f>-ROUND(AK6*'Drivers'!AE6,3)</x:f>
        <x:v>-295.142</x:v>
      </x:c>
      <x:c r="BO6" s="64" t="n">
        <x:f>BL6+BN6</x:f>
        <x:v>525.8990000000001</x:v>
      </x:c>
      <x:c r="BP6" s="65" t="n">
        <x:f>BO6/AK6</x:f>
        <x:v>0.17074459916500898</x:v>
      </x:c>
    </x:row>
    <x:row r="7">
      <x:c r="A7" s="61" t="n">
        <x:v>2025</x:v>
      </x:c>
      <x:c r="B7" s="18" t="str">
        <x:v>S2</x:v>
      </x:c>
      <x:c r="C7" s="18" t="str">
        <x:v>2025 S2</x:v>
      </x:c>
      <x:c r="D7" s="18" t="str">
        <x:v>CNCT0002</x:v>
      </x:c>
      <x:c r="E7" s="18" t="str">
        <x:v>北京国贸商城</x:v>
      </x:c>
      <x:c r="F7" s="18" t="str">
        <x:v>北京</x:v>
      </x:c>
      <x:c r="G7" s="18" t="str">
        <x:v>北京市</x:v>
      </x:c>
      <x:c r="H7" s="18" t="str">
        <x:v>北区</x:v>
      </x:c>
      <x:c r="I7" s="18" t="str">
        <x:v>Department Store</x:v>
      </x:c>
      <x:c r="J7" s="18" t="str">
        <x:v>Luxury Department Store</x:v>
      </x:c>
      <x:c r="K7" s="18" t="str">
        <x:v>正常</x:v>
      </x:c>
      <x:c r="L7" s="62" t="n">
        <x:v>6</x:v>
      </x:c>
      <x:c r="M7" s="62" t="n">
        <x:v>53</x:v>
      </x:c>
      <x:c r="N7" s="63" t="n">
        <x:f>'Drivers'!C7</x:f>
        <x:v>3881</x:v>
      </x:c>
      <x:c r="O7" s="63" t="n">
        <x:f>'Drivers'!D7</x:f>
        <x:v>1263.187</x:v>
      </x:c>
      <x:c r="P7" s="64" t="n">
        <x:f>ROUND(N7*O7/1000,3)</x:f>
        <x:v>4902.429</x:v>
      </x:c>
      <x:c r="Q7" s="64" t="n">
        <x:f>ROUND(P7*'Drivers'!E7,3)</x:f>
        <x:v>4736.3</x:v>
      </x:c>
      <x:c r="R7" s="64" t="n">
        <x:f>-ROUND(Q7*'Drivers'!F7,3)</x:f>
        <x:v>-886.228</x:v>
      </x:c>
      <x:c r="S7" s="65" t="n">
        <x:f>R7/Q7</x:f>
        <x:v>-0.1871139919346325</x:v>
      </x:c>
      <x:c r="T7" s="64" t="n">
        <x:f>-ROUND(Q7*'Drivers'!G7,3)</x:f>
        <x:v>-96.918</x:v>
      </x:c>
      <x:c r="U7" s="65" t="n">
        <x:f>T7/Q7</x:f>
        <x:v>-0.020462808521419674</x:v>
      </x:c>
      <x:c r="V7" s="64" t="n">
        <x:f>-ROUND(Q7*'Drivers'!H7,3)</x:f>
        <x:v>-58.688</x:v>
      </x:c>
      <x:c r="W7" s="64" t="n">
        <x:f>-ROUND(Q7*'Drivers'!I7,3)</x:f>
        <x:v>-32.394</x:v>
      </x:c>
      <x:c r="X7" s="64" t="n">
        <x:f>-ROUND(Q7*'Drivers'!J7,3)</x:f>
        <x:v>-67.609</x:v>
      </x:c>
      <x:c r="Y7" s="64" t="n">
        <x:f>-ROUND(Q7*'Drivers'!K7,3)</x:f>
        <x:v>-61.738</x:v>
      </x:c>
      <x:c r="Z7" s="64" t="n">
        <x:f>-ROUND(Q7*'Drivers'!L7,3)</x:f>
        <x:v>-46.818</x:v>
      </x:c>
      <x:c r="AA7" s="64" t="n">
        <x:f>-ROUND(Q7*'Drivers'!M7,3)</x:f>
        <x:v>-46.303</x:v>
      </x:c>
      <x:c r="AB7" s="64" t="n">
        <x:f>-ROUND(Q7*'Drivers'!N7,3)</x:f>
        <x:v>-28.971</x:v>
      </x:c>
      <x:c r="AC7" s="64" t="n">
        <x:f>SUM(V7:AB7)</x:f>
        <x:v>-342.52099999999996</x:v>
      </x:c>
      <x:c r="AD7" s="65" t="n">
        <x:f>AC7/Q7</x:f>
        <x:v>-0.07231826531258576</x:v>
      </x:c>
      <x:c r="AE7" s="64" t="n">
        <x:f>-ROUND(Q7*'Drivers'!O7,3)</x:f>
        <x:v>-65.422</x:v>
      </x:c>
      <x:c r="AF7" s="65" t="n">
        <x:f>AE7/Q7</x:f>
        <x:v>-0.013812891919853049</x:v>
      </x:c>
      <x:c r="AG7" s="64" t="n">
        <x:f>-ROUND(Q7*'Drivers'!P7,3)</x:f>
        <x:v>-5.373</x:v>
      </x:c>
      <x:c r="AH7" s="64" t="n">
        <x:f>-ROUND(Q7*'Drivers'!Q7,3)</x:f>
        <x:v>-26.194</x:v>
      </x:c>
      <x:c r="AI7" s="64" t="n">
        <x:f>SUM(R7,T7,AC7,AE7,AG7,AH7)</x:f>
        <x:v>-1422.656</x:v>
      </x:c>
      <x:c r="AJ7" s="65" t="n">
        <x:f>AI7/Q7</x:f>
        <x:v>-0.3003728648945379</x:v>
      </x:c>
      <x:c r="AK7" s="64" t="n">
        <x:f>Q7+AI7</x:f>
        <x:v>3313.6440000000002</x:v>
      </x:c>
      <x:c r="AL7" s="65" t="n">
        <x:f>AK7/Q7</x:f>
        <x:v>0.699627135105462</x:v>
      </x:c>
      <x:c r="AM7" s="64" t="n">
        <x:f>AK7/L7</x:f>
        <x:v>552.274</x:v>
      </x:c>
      <x:c r="AN7" s="66" t="str">
        <x:f>IF(AM7&lt;=200,"≤200K",IF(AM7&lt;=350,"200–350K",IF(AM7&lt;=500,"350–500K",IF(AM7&lt;=700,"500–700K","&gt;700K"))))</x:f>
        <x:v>500–700K</x:v>
      </x:c>
      <x:c r="AO7" s="64" t="n">
        <x:f>-ROUND(Q7*'Drivers'!R7,3)</x:f>
        <x:v>-1728.183</x:v>
      </x:c>
      <x:c r="AP7" s="64" t="n">
        <x:f>-ROUND(AK7*'Drivers'!S7,3)</x:f>
        <x:v>-54.905</x:v>
      </x:c>
      <x:c r="AQ7" s="64" t="n">
        <x:f>-ROUND(AK7*'Drivers'!T7,3)</x:f>
        <x:v>-16.818</x:v>
      </x:c>
      <x:c r="AR7" s="64" t="n">
        <x:f>-ROUND(AK7*'Drivers'!U7,3)</x:f>
        <x:v>-32.803</x:v>
      </x:c>
      <x:c r="AS7" s="64" t="n">
        <x:f>-ROUND(AK7*'Drivers'!V7,3)</x:f>
        <x:v>-106.711</x:v>
      </x:c>
      <x:c r="AT7" s="64" t="n">
        <x:f>SUM(AO7:AS7)</x:f>
        <x:v>-1939.4199999999998</x:v>
      </x:c>
      <x:c r="AU7" s="65" t="n">
        <x:f>AT7/AK7</x:f>
        <x:v>-0.5852831505134528</x:v>
      </x:c>
      <x:c r="AV7" s="64" t="n">
        <x:f>AK7+AT7</x:f>
        <x:v>1374.2240000000004</x:v>
      </x:c>
      <x:c r="AW7" s="65" t="n">
        <x:f>AV7/AK7</x:f>
        <x:v>0.41471684948654725</x:v>
      </x:c>
      <x:c r="AX7" s="64" t="n">
        <x:f>-ROUND(AK7*'Drivers'!W7,3)</x:f>
        <x:v>-35.219</x:v>
      </x:c>
      <x:c r="AY7" s="64" t="n">
        <x:f>-ROUND(AK7*'Drivers'!X7,3)</x:f>
        <x:v>-68.225</x:v>
      </x:c>
      <x:c r="AZ7" s="64" t="n">
        <x:f>-ROUND(AK7*'Drivers'!Y7,3)</x:f>
        <x:v>-63.645</x:v>
      </x:c>
      <x:c r="BA7" s="64" t="n">
        <x:f>-ROUND(AK7*'Drivers'!Z7,3)</x:f>
        <x:v>-14.828</x:v>
      </x:c>
      <x:c r="BB7" s="64" t="n">
        <x:f>-ROUND(AK7*'Drivers'!AA7,3)</x:f>
        <x:v>-24.826</x:v>
      </x:c>
      <x:c r="BC7" s="64" t="n">
        <x:f>SUM(BA7,BB7)</x:f>
        <x:v>-39.653999999999996</x:v>
      </x:c>
      <x:c r="BD7" s="64" t="n">
        <x:f>-ROUND(AK7*'Drivers'!AB7,3)</x:f>
        <x:v>-12.646</x:v>
      </x:c>
      <x:c r="BE7" s="64" t="n">
        <x:f>SUM(AX7:BB7,BD7)</x:f>
        <x:v>-219.389</x:v>
      </x:c>
      <x:c r="BF7" s="67" t="n">
        <x:f>'Drivers'!AF7</x:f>
        <x:v>10</x:v>
      </x:c>
      <x:c r="BG7" s="64" t="n">
        <x:f>BJ7</x:f>
        <x:v>-83.658</x:v>
      </x:c>
      <x:c r="BH7" s="64" t="n">
        <x:f>BE7/BF7</x:f>
        <x:v>-21.9389</x:v>
      </x:c>
      <x:c r="BI7" s="68" t="n">
        <x:f>BF7/L7</x:f>
        <x:v>1.6666666666666667</x:v>
      </x:c>
      <x:c r="BJ7" s="64" t="n">
        <x:f>-ROUND(AK7*'Drivers'!AC7,3)</x:f>
        <x:v>-83.658</x:v>
      </x:c>
      <x:c r="BK7" s="64" t="n">
        <x:f>-ROUND(AK7*'Drivers'!AD7,3)</x:f>
        <x:v>-291.652</x:v>
      </x:c>
      <x:c r="BL7" s="64" t="n">
        <x:f>SUM(AV7,BE7,BJ7,BK7)</x:f>
        <x:v>779.5250000000005</x:v>
      </x:c>
      <x:c r="BM7" s="65" t="n">
        <x:f>BL7/AK7</x:f>
        <x:v>0.23524705731816709</x:v>
      </x:c>
      <x:c r="BN7" s="64" t="n">
        <x:f>-ROUND(AK7*'Drivers'!AE7,3)</x:f>
        <x:v>-317.527</x:v>
      </x:c>
      <x:c r="BO7" s="64" t="n">
        <x:f>BL7+BN7</x:f>
        <x:v>461.99800000000056</x:v>
      </x:c>
      <x:c r="BP7" s="65" t="n">
        <x:f>BO7/AK7</x:f>
        <x:v>0.13942294344232528</x:v>
      </x:c>
    </x:row>
    <x:row r="8">
      <x:c r="A8" s="61" t="n">
        <x:v>2026</x:v>
      </x:c>
      <x:c r="B8" s="18" t="str">
        <x:v>S1</x:v>
      </x:c>
      <x:c r="C8" s="18" t="str">
        <x:v>2026 S1</x:v>
      </x:c>
      <x:c r="D8" s="18" t="str">
        <x:v>CNCT0002</x:v>
      </x:c>
      <x:c r="E8" s="18" t="str">
        <x:v>北京国贸商城</x:v>
      </x:c>
      <x:c r="F8" s="18" t="str">
        <x:v>北京</x:v>
      </x:c>
      <x:c r="G8" s="18" t="str">
        <x:v>北京市</x:v>
      </x:c>
      <x:c r="H8" s="18" t="str">
        <x:v>北区</x:v>
      </x:c>
      <x:c r="I8" s="18" t="str">
        <x:v>Department Store</x:v>
      </x:c>
      <x:c r="J8" s="18" t="str">
        <x:v>Luxury Department Store</x:v>
      </x:c>
      <x:c r="K8" s="18" t="str">
        <x:v>正常</x:v>
      </x:c>
      <x:c r="L8" s="62" t="n">
        <x:v>6</x:v>
      </x:c>
      <x:c r="M8" s="62" t="n">
        <x:v>53</x:v>
      </x:c>
      <x:c r="N8" s="63" t="n">
        <x:f>'Drivers'!C8</x:f>
        <x:v>3494</x:v>
      </x:c>
      <x:c r="O8" s="63" t="n">
        <x:f>'Drivers'!D8</x:f>
        <x:v>1266.783</x:v>
      </x:c>
      <x:c r="P8" s="64" t="n">
        <x:f>ROUND(N8*O8/1000,3)</x:f>
        <x:v>4426.14</x:v>
      </x:c>
      <x:c r="Q8" s="64" t="n">
        <x:f>ROUND(P8*'Drivers'!E8,3)</x:f>
        <x:v>4362.809</x:v>
      </x:c>
      <x:c r="R8" s="64" t="n">
        <x:f>-ROUND(Q8*'Drivers'!F8,3)</x:f>
        <x:v>-815.822</x:v>
      </x:c>
      <x:c r="S8" s="65" t="n">
        <x:f>R8/Q8</x:f>
        <x:v>-0.18699466330063955</x:v>
      </x:c>
      <x:c r="T8" s="64" t="n">
        <x:f>-ROUND(Q8*'Drivers'!G8,3)</x:f>
        <x:v>-89.165</x:v>
      </x:c>
      <x:c r="U8" s="65" t="n">
        <x:f>T8/Q8</x:f>
        <x:v>-0.020437520872447087</x:v>
      </x:c>
      <x:c r="V8" s="64" t="n">
        <x:f>-ROUND(Q8*'Drivers'!H8,3)</x:f>
        <x:v>-54.06</x:v>
      </x:c>
      <x:c r="W8" s="64" t="n">
        <x:f>-ROUND(Q8*'Drivers'!I8,3)</x:f>
        <x:v>-29.839</x:v>
      </x:c>
      <x:c r="X8" s="64" t="n">
        <x:f>-ROUND(Q8*'Drivers'!J8,3)</x:f>
        <x:v>-62.277</x:v>
      </x:c>
      <x:c r="Y8" s="64" t="n">
        <x:f>-ROUND(Q8*'Drivers'!K8,3)</x:f>
        <x:v>-56.87</x:v>
      </x:c>
      <x:c r="Z8" s="64" t="n">
        <x:f>-ROUND(Q8*'Drivers'!L8,3)</x:f>
        <x:v>-43.126</x:v>
      </x:c>
      <x:c r="AA8" s="64" t="n">
        <x:f>-ROUND(Q8*'Drivers'!M8,3)</x:f>
        <x:v>-42.652</x:v>
      </x:c>
      <x:c r="AB8" s="64" t="n">
        <x:f>-ROUND(Q8*'Drivers'!N8,3)</x:f>
        <x:v>-26.686</x:v>
      </x:c>
      <x:c r="AC8" s="64" t="n">
        <x:f>SUM(V8:AB8)</x:f>
        <x:v>-315.51</x:v>
      </x:c>
      <x:c r="AD8" s="65" t="n">
        <x:f>AC8/Q8</x:f>
        <x:v>-0.07231808681058464</x:v>
      </x:c>
      <x:c r="AE8" s="64" t="n">
        <x:f>-ROUND(Q8*'Drivers'!O8,3)</x:f>
        <x:v>-61.789</x:v>
      </x:c>
      <x:c r="AF8" s="65" t="n">
        <x:f>AE8/Q8</x:f>
        <x:v>-0.014162664466860686</x:v>
      </x:c>
      <x:c r="AG8" s="64" t="n">
        <x:f>-ROUND(Q8*'Drivers'!P8,3)</x:f>
        <x:v>-4.95</x:v>
      </x:c>
      <x:c r="AH8" s="64" t="n">
        <x:f>-ROUND(Q8*'Drivers'!Q8,3)</x:f>
        <x:v>-24.129</x:v>
      </x:c>
      <x:c r="AI8" s="64" t="n">
        <x:f>SUM(R8,T8,AC8,AE8,AG8,AH8)</x:f>
        <x:v>-1311.3649999999998</x:v>
      </x:c>
      <x:c r="AJ8" s="65" t="n">
        <x:f>AI8/Q8</x:f>
        <x:v>-0.3005781367004606</x:v>
      </x:c>
      <x:c r="AK8" s="64" t="n">
        <x:f>Q8+AI8</x:f>
        <x:v>3051.4440000000004</x:v>
      </x:c>
      <x:c r="AL8" s="65" t="n">
        <x:f>AK8/Q8</x:f>
        <x:v>0.6994218632995394</x:v>
      </x:c>
      <x:c r="AM8" s="64" t="n">
        <x:f>AK8/L8</x:f>
        <x:v>508.57400000000007</x:v>
      </x:c>
      <x:c r="AN8" s="66" t="str">
        <x:f>IF(AM8&lt;=200,"≤200K",IF(AM8&lt;=350,"200–350K",IF(AM8&lt;=500,"350–500K",IF(AM8&lt;=700,"500–700K","&gt;700K"))))</x:f>
        <x:v>500–700K</x:v>
      </x:c>
      <x:c r="AO8" s="64" t="n">
        <x:f>-ROUND(Q8*'Drivers'!R8,3)</x:f>
        <x:v>-1476.846</x:v>
      </x:c>
      <x:c r="AP8" s="64" t="n">
        <x:f>-ROUND(AK8*'Drivers'!S8,3)</x:f>
        <x:v>-50.56</x:v>
      </x:c>
      <x:c r="AQ8" s="64" t="n">
        <x:f>-ROUND(AK8*'Drivers'!T8,3)</x:f>
        <x:v>-15.487</x:v>
      </x:c>
      <x:c r="AR8" s="64" t="n">
        <x:f>-ROUND(AK8*'Drivers'!U8,3)</x:f>
        <x:v>-30.207</x:v>
      </x:c>
      <x:c r="AS8" s="64" t="n">
        <x:f>-ROUND(AK8*'Drivers'!V8,3)</x:f>
        <x:v>-98.268</x:v>
      </x:c>
      <x:c r="AT8" s="64" t="n">
        <x:f>SUM(AO8:AS8)</x:f>
        <x:v>-1671.3680000000002</x:v>
      </x:c>
      <x:c r="AU8" s="65" t="n">
        <x:f>AT8/AK8</x:f>
        <x:v>-0.5477301893791923</x:v>
      </x:c>
      <x:c r="AV8" s="64" t="n">
        <x:f>AK8+AT8</x:f>
        <x:v>1380.0760000000002</x:v>
      </x:c>
      <x:c r="AW8" s="65" t="n">
        <x:f>AV8/AK8</x:f>
        <x:v>0.45226981062080773</x:v>
      </x:c>
      <x:c r="AX8" s="64" t="n">
        <x:f>-ROUND(AK8*'Drivers'!W8,3)</x:f>
        <x:v>-39.906</x:v>
      </x:c>
      <x:c r="AY8" s="64" t="n">
        <x:f>-ROUND(AK8*'Drivers'!X8,3)</x:f>
        <x:v>-96.631</x:v>
      </x:c>
      <x:c r="AZ8" s="64" t="n">
        <x:f>-ROUND(AK8*'Drivers'!Y8,3)</x:f>
        <x:v>-95.192</x:v>
      </x:c>
      <x:c r="BA8" s="64" t="n">
        <x:f>-ROUND(AK8*'Drivers'!Z8,3)</x:f>
        <x:v>-16.802</x:v>
      </x:c>
      <x:c r="BB8" s="64" t="n">
        <x:f>-ROUND(AK8*'Drivers'!AA8,3)</x:f>
        <x:v>-28.131</x:v>
      </x:c>
      <x:c r="BC8" s="64" t="n">
        <x:f>SUM(BA8,BB8)</x:f>
        <x:v>-44.933</x:v>
      </x:c>
      <x:c r="BD8" s="64" t="n">
        <x:f>-ROUND(AK8*'Drivers'!AB8,3)</x:f>
        <x:v>-14.329</x:v>
      </x:c>
      <x:c r="BE8" s="64" t="n">
        <x:f>SUM(AX8:BB8,BD8)</x:f>
        <x:v>-290.991</x:v>
      </x:c>
      <x:c r="BF8" s="67" t="n">
        <x:f>'Drivers'!AF8</x:f>
        <x:v>10</x:v>
      </x:c>
      <x:c r="BG8" s="64" t="n">
        <x:f>BJ8</x:f>
        <x:v>-94.792</x:v>
      </x:c>
      <x:c r="BH8" s="64" t="n">
        <x:f>BE8/BF8</x:f>
        <x:v>-29.0991</x:v>
      </x:c>
      <x:c r="BI8" s="68" t="n">
        <x:f>BF8/L8</x:f>
        <x:v>1.6666666666666667</x:v>
      </x:c>
      <x:c r="BJ8" s="64" t="n">
        <x:f>-ROUND(AK8*'Drivers'!AC8,3)</x:f>
        <x:v>-94.792</x:v>
      </x:c>
      <x:c r="BK8" s="64" t="n">
        <x:f>-ROUND(AK8*'Drivers'!AD8,3)</x:f>
        <x:v>-268.574</x:v>
      </x:c>
      <x:c r="BL8" s="64" t="n">
        <x:f>SUM(AV8,BE8,BJ8,BK8)</x:f>
        <x:v>725.7190000000003</x:v>
      </x:c>
      <x:c r="BM8" s="65" t="n">
        <x:f>BL8/AK8</x:f>
        <x:v>0.2378280577982097</x:v>
      </x:c>
      <x:c r="BN8" s="64" t="n">
        <x:f>-ROUND(AK8*'Drivers'!AE8,3)</x:f>
        <x:v>-292.402</x:v>
      </x:c>
      <x:c r="BO8" s="64" t="n">
        <x:f>BL8+BN8</x:f>
        <x:v>433.3170000000003</x:v>
      </x:c>
      <x:c r="BP8" s="65" t="n">
        <x:f>BO8/AK8</x:f>
        <x:v>0.14200391683412844</x:v>
      </x:c>
    </x:row>
    <x:row r="9">
      <x:c r="A9" s="61" t="n">
        <x:v>2026</x:v>
      </x:c>
      <x:c r="B9" s="18" t="str">
        <x:v>S2</x:v>
      </x:c>
      <x:c r="C9" s="18" t="str">
        <x:v>2026 S2</x:v>
      </x:c>
      <x:c r="D9" s="18" t="str">
        <x:v>CNCT0002</x:v>
      </x:c>
      <x:c r="E9" s="18" t="str">
        <x:v>北京国贸商城</x:v>
      </x:c>
      <x:c r="F9" s="18" t="str">
        <x:v>北京</x:v>
      </x:c>
      <x:c r="G9" s="18" t="str">
        <x:v>北京市</x:v>
      </x:c>
      <x:c r="H9" s="18" t="str">
        <x:v>北区</x:v>
      </x:c>
      <x:c r="I9" s="18" t="str">
        <x:v>Department Store</x:v>
      </x:c>
      <x:c r="J9" s="18" t="str">
        <x:v>Luxury Department Store</x:v>
      </x:c>
      <x:c r="K9" s="18" t="str">
        <x:v>正常</x:v>
      </x:c>
      <x:c r="L9" s="62" t="n">
        <x:v>6</x:v>
      </x:c>
      <x:c r="M9" s="62" t="n">
        <x:v>53</x:v>
      </x:c>
      <x:c r="N9" s="63" t="n">
        <x:f>'Drivers'!C9</x:f>
        <x:v>3837</x:v>
      </x:c>
      <x:c r="O9" s="63" t="n">
        <x:f>'Drivers'!D9</x:f>
        <x:v>1290.923</x:v>
      </x:c>
      <x:c r="P9" s="64" t="n">
        <x:f>ROUND(N9*O9/1000,3)</x:f>
        <x:v>4953.272</x:v>
      </x:c>
      <x:c r="Q9" s="64" t="n">
        <x:f>ROUND(P9*'Drivers'!E9,3)</x:f>
        <x:v>4785.42</x:v>
      </x:c>
      <x:c r="R9" s="64" t="n">
        <x:f>-ROUND(Q9*'Drivers'!F9,3)</x:f>
        <x:v>-892.583</x:v>
      </x:c>
      <x:c r="S9" s="65" t="n">
        <x:f>R9/Q9</x:f>
        <x:v>-0.18652135026810604</x:v>
      </x:c>
      <x:c r="T9" s="64" t="n">
        <x:f>-ROUND(Q9*'Drivers'!G9,3)</x:f>
        <x:v>-99.117</x:v>
      </x:c>
      <x:c r="U9" s="65" t="n">
        <x:f>T9/Q9</x:f>
        <x:v>-0.020712288576551274</x:v>
      </x:c>
      <x:c r="V9" s="64" t="n">
        <x:f>-ROUND(Q9*'Drivers'!H9,3)</x:f>
        <x:v>-59.297</x:v>
      </x:c>
      <x:c r="W9" s="64" t="n">
        <x:f>-ROUND(Q9*'Drivers'!I9,3)</x:f>
        <x:v>-32.73</x:v>
      </x:c>
      <x:c r="X9" s="64" t="n">
        <x:f>-ROUND(Q9*'Drivers'!J9,3)</x:f>
        <x:v>-68.31</x:v>
      </x:c>
      <x:c r="Y9" s="64" t="n">
        <x:f>-ROUND(Q9*'Drivers'!K9,3)</x:f>
        <x:v>-62.378</x:v>
      </x:c>
      <x:c r="Z9" s="64" t="n">
        <x:f>-ROUND(Q9*'Drivers'!L9,3)</x:f>
        <x:v>-47.304</x:v>
      </x:c>
      <x:c r="AA9" s="64" t="n">
        <x:f>-ROUND(Q9*'Drivers'!M9,3)</x:f>
        <x:v>-46.783</x:v>
      </x:c>
      <x:c r="AB9" s="64" t="n">
        <x:f>-ROUND(Q9*'Drivers'!N9,3)</x:f>
        <x:v>-29.271</x:v>
      </x:c>
      <x:c r="AC9" s="64" t="n">
        <x:f>SUM(V9:AB9)</x:f>
        <x:v>-346.07300000000004</x:v>
      </x:c>
      <x:c r="AD9" s="65" t="n">
        <x:f>AC9/Q9</x:f>
        <x:v>-0.07231820822414751</x:v>
      </x:c>
      <x:c r="AE9" s="64" t="n">
        <x:f>-ROUND(Q9*'Drivers'!O9,3)</x:f>
        <x:v>-66.1</x:v>
      </x:c>
      <x:c r="AF9" s="65" t="n">
        <x:f>AE9/Q9</x:f>
        <x:v>-0.013812789681992383</x:v>
      </x:c>
      <x:c r="AG9" s="64" t="n">
        <x:f>-ROUND(Q9*'Drivers'!P9,3)</x:f>
        <x:v>-5.429</x:v>
      </x:c>
      <x:c r="AH9" s="64" t="n">
        <x:f>-ROUND(Q9*'Drivers'!Q9,3)</x:f>
        <x:v>-26.466</x:v>
      </x:c>
      <x:c r="AI9" s="64" t="n">
        <x:f>SUM(R9,T9,AC9,AE9,AG9,AH9)</x:f>
        <x:v>-1435.7679999999998</x:v>
      </x:c>
      <x:c r="AJ9" s="65" t="n">
        <x:f>AI9/Q9</x:f>
        <x:v>-0.30002967346648773</x:v>
      </x:c>
      <x:c r="AK9" s="64" t="n">
        <x:f>Q9+AI9</x:f>
        <x:v>3349.652</x:v>
      </x:c>
      <x:c r="AL9" s="65" t="n">
        <x:f>AK9/Q9</x:f>
        <x:v>0.6999703265335122</x:v>
      </x:c>
      <x:c r="AM9" s="64" t="n">
        <x:f>AK9/L9</x:f>
        <x:v>558.2753333333334</x:v>
      </x:c>
      <x:c r="AN9" s="66" t="str">
        <x:f>IF(AM9&lt;=200,"≤200K",IF(AM9&lt;=350,"200–350K",IF(AM9&lt;=500,"350–500K",IF(AM9&lt;=700,"500–700K","&gt;700K"))))</x:f>
        <x:v>500–700K</x:v>
      </x:c>
      <x:c r="AO9" s="64" t="n">
        <x:f>-ROUND(Q9*'Drivers'!R9,3)</x:f>
        <x:v>-1736.933</x:v>
      </x:c>
      <x:c r="AP9" s="64" t="n">
        <x:f>-ROUND(AK9*'Drivers'!S9,3)</x:f>
        <x:v>-55.501</x:v>
      </x:c>
      <x:c r="AQ9" s="64" t="n">
        <x:f>-ROUND(AK9*'Drivers'!T9,3)</x:f>
        <x:v>-17.001</x:v>
      </x:c>
      <x:c r="AR9" s="64" t="n">
        <x:f>-ROUND(AK9*'Drivers'!U9,3)</x:f>
        <x:v>-33.159</x:v>
      </x:c>
      <x:c r="AS9" s="64" t="n">
        <x:f>-ROUND(AK9*'Drivers'!V9,3)</x:f>
        <x:v>-107.871</x:v>
      </x:c>
      <x:c r="AT9" s="64" t="n">
        <x:f>SUM(AO9:AS9)</x:f>
        <x:v>-1950.4650000000001</x:v>
      </x:c>
      <x:c r="AU9" s="65" t="n">
        <x:f>AT9/AK9</x:f>
        <x:v>-0.5822888467219879</x:v>
      </x:c>
      <x:c r="AV9" s="64" t="n">
        <x:f>AK9+AT9</x:f>
        <x:v>1399.187</x:v>
      </x:c>
      <x:c r="AW9" s="65" t="n">
        <x:f>AV9/AK9</x:f>
        <x:v>0.4177111532780121</x:v>
      </x:c>
      <x:c r="AX9" s="64" t="n">
        <x:f>-ROUND(AK9*'Drivers'!W9,3)</x:f>
        <x:v>-37.738</x:v>
      </x:c>
      <x:c r="AY9" s="64" t="n">
        <x:f>-ROUND(AK9*'Drivers'!X9,3)</x:f>
        <x:v>-73.104</x:v>
      </x:c>
      <x:c r="AZ9" s="64" t="n">
        <x:f>-ROUND(AK9*'Drivers'!Y9,3)</x:f>
        <x:v>-68.197</x:v>
      </x:c>
      <x:c r="BA9" s="64" t="n">
        <x:f>-ROUND(AK9*'Drivers'!Z9,3)</x:f>
        <x:v>-15.889</x:v>
      </x:c>
      <x:c r="BB9" s="64" t="n">
        <x:f>-ROUND(AK9*'Drivers'!AA9,3)</x:f>
        <x:v>-26.602</x:v>
      </x:c>
      <x:c r="BC9" s="64" t="n">
        <x:f>SUM(BA9,BB9)</x:f>
        <x:v>-42.491</x:v>
      </x:c>
      <x:c r="BD9" s="64" t="n">
        <x:f>-ROUND(AK9*'Drivers'!AB9,3)</x:f>
        <x:v>-13.551</x:v>
      </x:c>
      <x:c r="BE9" s="64" t="n">
        <x:f>SUM(AX9:BB9,BD9)</x:f>
        <x:v>-235.081</x:v>
      </x:c>
      <x:c r="BF9" s="67" t="n">
        <x:f>'Drivers'!AF9</x:f>
        <x:v>10</x:v>
      </x:c>
      <x:c r="BG9" s="64" t="n">
        <x:f>BJ9</x:f>
        <x:v>-89.641</x:v>
      </x:c>
      <x:c r="BH9" s="64" t="n">
        <x:f>BE9/BF9</x:f>
        <x:v>-23.5081</x:v>
      </x:c>
      <x:c r="BI9" s="68" t="n">
        <x:f>BF9/L9</x:f>
        <x:v>1.6666666666666667</x:v>
      </x:c>
      <x:c r="BJ9" s="64" t="n">
        <x:f>-ROUND(AK9*'Drivers'!AC9,3)</x:f>
        <x:v>-89.641</x:v>
      </x:c>
      <x:c r="BK9" s="64" t="n">
        <x:f>-ROUND(AK9*'Drivers'!AD9,3)</x:f>
        <x:v>-294.821</x:v>
      </x:c>
      <x:c r="BL9" s="64" t="n">
        <x:f>SUM(AV9,BE9,BJ9,BK9)</x:f>
        <x:v>779.6439999999999</x:v>
      </x:c>
      <x:c r="BM9" s="65" t="n">
        <x:f>BL9/AK9</x:f>
        <x:v>0.23275373083532255</x:v>
      </x:c>
      <x:c r="BN9" s="64" t="n">
        <x:f>-ROUND(AK9*'Drivers'!AE9,3)</x:f>
        <x:v>-320.978</x:v>
      </x:c>
      <x:c r="BO9" s="64" t="n">
        <x:f>BL9+BN9</x:f>
        <x:v>458.6659999999999</x:v>
      </x:c>
      <x:c r="BP9" s="65" t="n">
        <x:f>BO9/AK9</x:f>
        <x:v>0.13692944819342423</x:v>
      </x:c>
    </x:row>
    <x:row r="10">
      <x:c r="A10" s="61" t="n">
        <x:v>2025</x:v>
      </x:c>
      <x:c r="B10" s="18" t="str">
        <x:v>S1</x:v>
      </x:c>
      <x:c r="C10" s="18" t="str">
        <x:v>2025 S1</x:v>
      </x:c>
      <x:c r="D10" s="18" t="str">
        <x:v>CNCT0003</x:v>
      </x:c>
      <x:c r="E10" s="18" t="str">
        <x:v>北京王府井百货</x:v>
      </x:c>
      <x:c r="F10" s="18" t="str">
        <x:v>北京</x:v>
      </x:c>
      <x:c r="G10" s="18" t="str">
        <x:v>北京市</x:v>
      </x:c>
      <x:c r="H10" s="18" t="str">
        <x:v>北区</x:v>
      </x:c>
      <x:c r="I10" s="18" t="str">
        <x:v>Department Store</x:v>
      </x:c>
      <x:c r="J10" s="18" t="str">
        <x:v>Core Shopping Center</x:v>
      </x:c>
      <x:c r="K10" s="18" t="str">
        <x:v>正常</x:v>
      </x:c>
      <x:c r="L10" s="62" t="n">
        <x:v>7</x:v>
      </x:c>
      <x:c r="M10" s="62" t="n">
        <x:v>53</x:v>
      </x:c>
      <x:c r="N10" s="63" t="n">
        <x:f>'Drivers'!C10</x:f>
        <x:v>3058</x:v>
      </x:c>
      <x:c r="O10" s="63" t="n">
        <x:f>'Drivers'!D10</x:f>
        <x:v>1126.911</x:v>
      </x:c>
      <x:c r="P10" s="64" t="n">
        <x:f>ROUND(N10*O10/1000,3)</x:f>
        <x:v>3446.094</x:v>
      </x:c>
      <x:c r="Q10" s="64" t="n">
        <x:f>ROUND(P10*'Drivers'!E10,3)</x:f>
        <x:v>3379.194</x:v>
      </x:c>
      <x:c r="R10" s="64" t="n">
        <x:f>-ROUND(Q10*'Drivers'!F10,3)</x:f>
        <x:v>-731.555</x:v>
      </x:c>
      <x:c r="S10" s="65" t="n">
        <x:f>R10/Q10</x:f>
        <x:v>-0.21648801459756378</x:v>
      </x:c>
      <x:c r="T10" s="64" t="n">
        <x:f>-ROUND(Q10*'Drivers'!G10,3)</x:f>
        <x:v>-50.641</x:v>
      </x:c>
      <x:c r="U10" s="65" t="n">
        <x:f>T10/Q10</x:f>
        <x:v>-0.014986117991450032</x:v>
      </x:c>
      <x:c r="V10" s="64" t="n">
        <x:f>-ROUND(Q10*'Drivers'!H10,3)</x:f>
        <x:v>-38.599</x:v>
      </x:c>
      <x:c r="W10" s="64" t="n">
        <x:f>-ROUND(Q10*'Drivers'!I10,3)</x:f>
        <x:v>-21.226</x:v>
      </x:c>
      <x:c r="X10" s="64" t="n">
        <x:f>-ROUND(Q10*'Drivers'!J10,3)</x:f>
        <x:v>-50.337</x:v>
      </x:c>
      <x:c r="Y10" s="64" t="n">
        <x:f>-ROUND(Q10*'Drivers'!K10,3)</x:f>
        <x:v>-46.033</x:v>
      </x:c>
      <x:c r="Z10" s="64" t="n">
        <x:f>-ROUND(Q10*'Drivers'!L10,3)</x:f>
        <x:v>-32.784</x:v>
      </x:c>
      <x:c r="AA10" s="64" t="n">
        <x:f>-ROUND(Q10*'Drivers'!M10,3)</x:f>
        <x:v>-31.096</x:v>
      </x:c>
      <x:c r="AB10" s="64" t="n">
        <x:f>-ROUND(Q10*'Drivers'!N10,3)</x:f>
        <x:v>-17.302</x:v>
      </x:c>
      <x:c r="AC10" s="64" t="n">
        <x:f>SUM(V10:AB10)</x:f>
        <x:v>-237.37699999999998</x:v>
      </x:c>
      <x:c r="AD10" s="65" t="n">
        <x:f>AC10/Q10</x:f>
        <x:v>-0.07024663277692846</x:v>
      </x:c>
      <x:c r="AE10" s="64" t="n">
        <x:f>-ROUND(Q10*'Drivers'!O10,3)</x:f>
        <x:v>-23.761</x:v>
      </x:c>
      <x:c r="AF10" s="65" t="n">
        <x:f>AE10/Q10</x:f>
        <x:v>-0.00703155841304169</x:v>
      </x:c>
      <x:c r="AG10" s="64" t="n">
        <x:f>-ROUND(Q10*'Drivers'!P10,3)</x:f>
        <x:v>-4.01</x:v>
      </x:c>
      <x:c r="AH10" s="64" t="n">
        <x:f>-ROUND(Q10*'Drivers'!Q10,3)</x:f>
        <x:v>-22.965</x:v>
      </x:c>
      <x:c r="AI10" s="64" t="n">
        <x:f>SUM(R10,T10,AC10,AE10,AG10,AH10)</x:f>
        <x:v>-1070.3089999999997</x:v>
      </x:c>
      <x:c r="AJ10" s="65" t="n">
        <x:f>AI10/Q10</x:f>
        <x:v>-0.31673499657018794</x:v>
      </x:c>
      <x:c r="AK10" s="64" t="n">
        <x:f>Q10+AI10</x:f>
        <x:v>2308.885</x:v>
      </x:c>
      <x:c r="AL10" s="65" t="n">
        <x:f>AK10/Q10</x:f>
        <x:v>0.683265003429812</x:v>
      </x:c>
      <x:c r="AM10" s="64" t="n">
        <x:f>AK10/L10</x:f>
        <x:v>329.84071428571434</x:v>
      </x:c>
      <x:c r="AN10" s="66" t="str">
        <x:f>IF(AM10&lt;=200,"≤200K",IF(AM10&lt;=350,"200–350K",IF(AM10&lt;=500,"350–500K",IF(AM10&lt;=700,"500–700K","&gt;700K"))))</x:f>
        <x:v>200–350K</x:v>
      </x:c>
      <x:c r="AO10" s="64" t="n">
        <x:f>-ROUND(Q10*'Drivers'!R10,3)</x:f>
        <x:v>-1223.209</x:v>
      </x:c>
      <x:c r="AP10" s="64" t="n">
        <x:f>-ROUND(AK10*'Drivers'!S10,3)</x:f>
        <x:v>-26.648</x:v>
      </x:c>
      <x:c r="AQ10" s="64" t="n">
        <x:f>-ROUND(AK10*'Drivers'!T10,3)</x:f>
        <x:v>-9.268</x:v>
      </x:c>
      <x:c r="AR10" s="64" t="n">
        <x:f>-ROUND(AK10*'Drivers'!U10,3)</x:f>
        <x:v>-15.867</x:v>
      </x:c>
      <x:c r="AS10" s="64" t="n">
        <x:f>-ROUND(AK10*'Drivers'!V10,3)</x:f>
        <x:v>-85.488</x:v>
      </x:c>
      <x:c r="AT10" s="64" t="n">
        <x:f>SUM(AO10:AS10)</x:f>
        <x:v>-1360.48</x:v>
      </x:c>
      <x:c r="AU10" s="65" t="n">
        <x:f>AT10/AK10</x:f>
        <x:v>-0.5892367961158741</x:v>
      </x:c>
      <x:c r="AV10" s="64" t="n">
        <x:f>AK10+AT10</x:f>
        <x:v>948.4050000000002</x:v>
      </x:c>
      <x:c r="AW10" s="65" t="n">
        <x:f>AV10/AK10</x:f>
        <x:v>0.41076320388412596</x:v>
      </x:c>
      <x:c r="AX10" s="64" t="n">
        <x:f>-ROUND(AK10*'Drivers'!W10,3)</x:f>
        <x:v>-35.142</x:v>
      </x:c>
      <x:c r="AY10" s="64" t="n">
        <x:f>-ROUND(AK10*'Drivers'!X10,3)</x:f>
        <x:v>-45.636</x:v>
      </x:c>
      <x:c r="AZ10" s="64" t="n">
        <x:f>-ROUND(AK10*'Drivers'!Y10,3)</x:f>
        <x:v>-43.025</x:v>
      </x:c>
      <x:c r="BA10" s="64" t="n">
        <x:f>-ROUND(AK10*'Drivers'!Z10,3)</x:f>
        <x:v>-18.02</x:v>
      </x:c>
      <x:c r="BB10" s="64" t="n">
        <x:f>-ROUND(AK10*'Drivers'!AA10,3)</x:f>
        <x:v>-21.418</x:v>
      </x:c>
      <x:c r="BC10" s="64" t="n">
        <x:f>SUM(BA10,BB10)</x:f>
        <x:v>-39.438</x:v>
      </x:c>
      <x:c r="BD10" s="64" t="n">
        <x:f>-ROUND(AK10*'Drivers'!AB10,3)</x:f>
        <x:v>-16.428</x:v>
      </x:c>
      <x:c r="BE10" s="64" t="n">
        <x:f>SUM(AX10:BB10,BD10)</x:f>
        <x:v>-179.669</x:v>
      </x:c>
      <x:c r="BF10" s="67" t="n">
        <x:f>'Drivers'!AF10</x:f>
        <x:v>13</x:v>
      </x:c>
      <x:c r="BG10" s="64" t="n">
        <x:f>BJ10</x:f>
        <x:v>-58.696</x:v>
      </x:c>
      <x:c r="BH10" s="64" t="n">
        <x:f>BE10/BF10</x:f>
        <x:v>-13.820692307692308</x:v>
      </x:c>
      <x:c r="BI10" s="68" t="n">
        <x:f>BF10/L10</x:f>
        <x:v>1.8571428571428572</x:v>
      </x:c>
      <x:c r="BJ10" s="64" t="n">
        <x:f>-ROUND(AK10*'Drivers'!AC10,3)</x:f>
        <x:v>-58.696</x:v>
      </x:c>
      <x:c r="BK10" s="64" t="n">
        <x:f>-ROUND(AK10*'Drivers'!AD10,3)</x:f>
        <x:v>-200.568</x:v>
      </x:c>
      <x:c r="BL10" s="64" t="n">
        <x:f>SUM(AV10,BE10,BJ10,BK10)</x:f>
        <x:v>509.4720000000002</x:v>
      </x:c>
      <x:c r="BM10" s="65" t="n">
        <x:f>BL10/AK10</x:f>
        <x:v>0.22065715702601046</x:v>
      </x:c>
      <x:c r="BN10" s="64" t="n">
        <x:f>-ROUND(AK10*'Drivers'!AE10,3)</x:f>
        <x:v>-183.105</x:v>
      </x:c>
      <x:c r="BO10" s="64" t="n">
        <x:f>BL10+BN10</x:f>
        <x:v>326.3670000000002</x:v>
      </x:c>
      <x:c r="BP10" s="65" t="n">
        <x:f>BO10/AK10</x:f>
        <x:v>0.14135264424170116</x:v>
      </x:c>
    </x:row>
    <x:row r="11">
      <x:c r="A11" s="61" t="n">
        <x:v>2025</x:v>
      </x:c>
      <x:c r="B11" s="18" t="str">
        <x:v>S2</x:v>
      </x:c>
      <x:c r="C11" s="18" t="str">
        <x:v>2025 S2</x:v>
      </x:c>
      <x:c r="D11" s="18" t="str">
        <x:v>CNCT0003</x:v>
      </x:c>
      <x:c r="E11" s="18" t="str">
        <x:v>北京王府井百货</x:v>
      </x:c>
      <x:c r="F11" s="18" t="str">
        <x:v>北京</x:v>
      </x:c>
      <x:c r="G11" s="18" t="str">
        <x:v>北京市</x:v>
      </x:c>
      <x:c r="H11" s="18" t="str">
        <x:v>北区</x:v>
      </x:c>
      <x:c r="I11" s="18" t="str">
        <x:v>Department Store</x:v>
      </x:c>
      <x:c r="J11" s="18" t="str">
        <x:v>Core Shopping Center</x:v>
      </x:c>
      <x:c r="K11" s="18" t="str">
        <x:v>正常</x:v>
      </x:c>
      <x:c r="L11" s="62" t="n">
        <x:v>7</x:v>
      </x:c>
      <x:c r="M11" s="62" t="n">
        <x:v>53</x:v>
      </x:c>
      <x:c r="N11" s="63" t="n">
        <x:f>'Drivers'!C11</x:f>
        <x:v>3333</x:v>
      </x:c>
      <x:c r="O11" s="63" t="n">
        <x:f>'Drivers'!D11</x:f>
        <x:v>1140.434</x:v>
      </x:c>
      <x:c r="P11" s="64" t="n">
        <x:f>ROUND(N11*O11/1000,3)</x:f>
        <x:v>3801.067</x:v>
      </x:c>
      <x:c r="Q11" s="64" t="n">
        <x:f>ROUND(P11*'Drivers'!E11,3)</x:f>
        <x:v>3719.201</x:v>
      </x:c>
      <x:c r="R11" s="64" t="n">
        <x:f>-ROUND(Q11*'Drivers'!F11,3)</x:f>
        <x:v>-805.163</x:v>
      </x:c>
      <x:c r="S11" s="65" t="n">
        <x:f>R11/Q11</x:f>
        <x:v>-0.21648816506556112</x:v>
      </x:c>
      <x:c r="T11" s="64" t="n">
        <x:f>-ROUND(Q11*'Drivers'!G11,3)</x:f>
        <x:v>-55.737</x:v>
      </x:c>
      <x:c r="U11" s="65" t="n">
        <x:f>T11/Q11</x:f>
        <x:v>-0.0149862833441914</x:v>
      </x:c>
      <x:c r="V11" s="64" t="n">
        <x:f>-ROUND(Q11*'Drivers'!H11,3)</x:f>
        <x:v>-42.482</x:v>
      </x:c>
      <x:c r="W11" s="64" t="n">
        <x:f>-ROUND(Q11*'Drivers'!I11,3)</x:f>
        <x:v>-23.362</x:v>
      </x:c>
      <x:c r="X11" s="64" t="n">
        <x:f>-ROUND(Q11*'Drivers'!J11,3)</x:f>
        <x:v>-55.402</x:v>
      </x:c>
      <x:c r="Y11" s="64" t="n">
        <x:f>-ROUND(Q11*'Drivers'!K11,3)</x:f>
        <x:v>-50.665</x:v>
      </x:c>
      <x:c r="Z11" s="64" t="n">
        <x:f>-ROUND(Q11*'Drivers'!L11,3)</x:f>
        <x:v>-36.083</x:v>
      </x:c>
      <x:c r="AA11" s="64" t="n">
        <x:f>-ROUND(Q11*'Drivers'!M11,3)</x:f>
        <x:v>-34.225</x:v>
      </x:c>
      <x:c r="AB11" s="64" t="n">
        <x:f>-ROUND(Q11*'Drivers'!N11,3)</x:f>
        <x:v>-19.043</x:v>
      </x:c>
      <x:c r="AC11" s="64" t="n">
        <x:f>SUM(V11:AB11)</x:f>
        <x:v>-261.262</x:v>
      </x:c>
      <x:c r="AD11" s="65" t="n">
        <x:f>AC11/Q11</x:f>
        <x:v>-0.07024680838707023</x:v>
      </x:c>
      <x:c r="AE11" s="64" t="n">
        <x:f>-ROUND(Q11*'Drivers'!O11,3)</x:f>
        <x:v>-26.152</x:v>
      </x:c>
      <x:c r="AF11" s="65" t="n">
        <x:f>AE11/Q11</x:f>
        <x:v>-0.007031617812535542</x:v>
      </x:c>
      <x:c r="AG11" s="64" t="n">
        <x:f>-ROUND(Q11*'Drivers'!P11,3)</x:f>
        <x:v>-4.413</x:v>
      </x:c>
      <x:c r="AH11" s="64" t="n">
        <x:f>-ROUND(Q11*'Drivers'!Q11,3)</x:f>
        <x:v>-25.275</x:v>
      </x:c>
      <x:c r="AI11" s="64" t="n">
        <x:f>SUM(R11,T11,AC11,AE11,AG11,AH11)</x:f>
        <x:v>-1178.0020000000002</x:v>
      </x:c>
      <x:c r="AJ11" s="65" t="n">
        <x:f>AI11/Q11</x:f>
        <x:v>-0.3167352342613374</x:v>
      </x:c>
      <x:c r="AK11" s="64" t="n">
        <x:f>Q11+AI11</x:f>
        <x:v>2541.1989999999996</x:v>
      </x:c>
      <x:c r="AL11" s="65" t="n">
        <x:f>AK11/Q11</x:f>
        <x:v>0.6832647657386626</x:v>
      </x:c>
      <x:c r="AM11" s="64" t="n">
        <x:f>AK11/L11</x:f>
        <x:v>363.0284285714285</x:v>
      </x:c>
      <x:c r="AN11" s="66" t="str">
        <x:f>IF(AM11&lt;=200,"≤200K",IF(AM11&lt;=350,"200–350K",IF(AM11&lt;=500,"350–500K",IF(AM11&lt;=700,"500–700K","&gt;700K"))))</x:f>
        <x:v>350–500K</x:v>
      </x:c>
      <x:c r="AO11" s="64" t="n">
        <x:f>-ROUND(Q11*'Drivers'!R11,3)</x:f>
        <x:v>-1280.611</x:v>
      </x:c>
      <x:c r="AP11" s="64" t="n">
        <x:f>-ROUND(AK11*'Drivers'!S11,3)</x:f>
        <x:v>-29.329</x:v>
      </x:c>
      <x:c r="AQ11" s="64" t="n">
        <x:f>-ROUND(AK11*'Drivers'!T11,3)</x:f>
        <x:v>-10.2</x:v>
      </x:c>
      <x:c r="AR11" s="64" t="n">
        <x:f>-ROUND(AK11*'Drivers'!U11,3)</x:f>
        <x:v>-17.464</x:v>
      </x:c>
      <x:c r="AS11" s="64" t="n">
        <x:f>-ROUND(AK11*'Drivers'!V11,3)</x:f>
        <x:v>-94.09</x:v>
      </x:c>
      <x:c r="AT11" s="64" t="n">
        <x:f>SUM(AO11:AS11)</x:f>
        <x:v>-1431.694</x:v>
      </x:c>
      <x:c r="AU11" s="65" t="n">
        <x:f>AT11/AK11</x:f>
        <x:v>-0.5633931069546305</x:v>
      </x:c>
      <x:c r="AV11" s="64" t="n">
        <x:f>AK11+AT11</x:f>
        <x:v>1109.5049999999997</x:v>
      </x:c>
      <x:c r="AW11" s="65" t="n">
        <x:f>AV11/AK11</x:f>
        <x:v>0.4366068930453695</x:v>
      </x:c>
      <x:c r="AX11" s="64" t="n">
        <x:f>-ROUND(AK11*'Drivers'!W11,3)</x:f>
        <x:v>-38.678</x:v>
      </x:c>
      <x:c r="AY11" s="64" t="n">
        <x:f>-ROUND(AK11*'Drivers'!X11,3)</x:f>
        <x:v>-50.227</x:v>
      </x:c>
      <x:c r="AZ11" s="64" t="n">
        <x:f>-ROUND(AK11*'Drivers'!Y11,3)</x:f>
        <x:v>-47.354</x:v>
      </x:c>
      <x:c r="BA11" s="64" t="n">
        <x:f>-ROUND(AK11*'Drivers'!Z11,3)</x:f>
        <x:v>-19.833</x:v>
      </x:c>
      <x:c r="BB11" s="64" t="n">
        <x:f>-ROUND(AK11*'Drivers'!AA11,3)</x:f>
        <x:v>-23.573</x:v>
      </x:c>
      <x:c r="BC11" s="64" t="n">
        <x:f>SUM(BA11,BB11)</x:f>
        <x:v>-43.406</x:v>
      </x:c>
      <x:c r="BD11" s="64" t="n">
        <x:f>-ROUND(AK11*'Drivers'!AB11,3)</x:f>
        <x:v>-18.08</x:v>
      </x:c>
      <x:c r="BE11" s="64" t="n">
        <x:f>SUM(AX11:BB11,BD11)</x:f>
        <x:v>-197.745</x:v>
      </x:c>
      <x:c r="BF11" s="67" t="n">
        <x:f>'Drivers'!AF11</x:f>
        <x:v>13</x:v>
      </x:c>
      <x:c r="BG11" s="64" t="n">
        <x:f>BJ11</x:f>
        <x:v>-64.602</x:v>
      </x:c>
      <x:c r="BH11" s="64" t="n">
        <x:f>BE11/BF11</x:f>
        <x:v>-15.211153846153847</x:v>
      </x:c>
      <x:c r="BI11" s="68" t="n">
        <x:f>BF11/L11</x:f>
        <x:v>1.8571428571428572</x:v>
      </x:c>
      <x:c r="BJ11" s="64" t="n">
        <x:f>-ROUND(AK11*'Drivers'!AC11,3)</x:f>
        <x:v>-64.602</x:v>
      </x:c>
      <x:c r="BK11" s="64" t="n">
        <x:f>-ROUND(AK11*'Drivers'!AD11,3)</x:f>
        <x:v>-220.749</x:v>
      </x:c>
      <x:c r="BL11" s="64" t="n">
        <x:f>SUM(AV11,BE11,BJ11,BK11)</x:f>
        <x:v>626.4089999999997</x:v>
      </x:c>
      <x:c r="BM11" s="65" t="n">
        <x:f>BL11/AK11</x:f>
        <x:v>0.24650135624954983</x:v>
      </x:c>
      <x:c r="BN11" s="64" t="n">
        <x:f>-ROUND(AK11*'Drivers'!AE11,3)</x:f>
        <x:v>-201.529</x:v>
      </x:c>
      <x:c r="BO11" s="64" t="n">
        <x:f>BL11+BN11</x:f>
        <x:v>424.87999999999965</x:v>
      </x:c>
      <x:c r="BP11" s="65" t="n">
        <x:f>BO11/AK11</x:f>
        <x:v>0.1671966658258561</x:v>
      </x:c>
    </x:row>
    <x:row r="12">
      <x:c r="A12" s="61" t="n">
        <x:v>2026</x:v>
      </x:c>
      <x:c r="B12" s="18" t="str">
        <x:v>S1</x:v>
      </x:c>
      <x:c r="C12" s="18" t="str">
        <x:v>2026 S1</x:v>
      </x:c>
      <x:c r="D12" s="18" t="str">
        <x:v>CNCT0003</x:v>
      </x:c>
      <x:c r="E12" s="18" t="str">
        <x:v>北京王府井百货</x:v>
      </x:c>
      <x:c r="F12" s="18" t="str">
        <x:v>北京</x:v>
      </x:c>
      <x:c r="G12" s="18" t="str">
        <x:v>北京市</x:v>
      </x:c>
      <x:c r="H12" s="18" t="str">
        <x:v>北区</x:v>
      </x:c>
      <x:c r="I12" s="18" t="str">
        <x:v>Department Store</x:v>
      </x:c>
      <x:c r="J12" s="18" t="str">
        <x:v>Core Shopping Center</x:v>
      </x:c>
      <x:c r="K12" s="18" t="str">
        <x:v>正常</x:v>
      </x:c>
      <x:c r="L12" s="62" t="n">
        <x:v>7</x:v>
      </x:c>
      <x:c r="M12" s="62" t="n">
        <x:v>53</x:v>
      </x:c>
      <x:c r="N12" s="63" t="n">
        <x:f>'Drivers'!C12</x:f>
        <x:v>2954</x:v>
      </x:c>
      <x:c r="O12" s="63" t="n">
        <x:f>'Drivers'!D12</x:f>
        <x:v>1140.976</x:v>
      </x:c>
      <x:c r="P12" s="64" t="n">
        <x:f>ROUND(N12*O12/1000,3)</x:f>
        <x:v>3370.443</x:v>
      </x:c>
      <x:c r="Q12" s="64" t="n">
        <x:f>ROUND(P12*'Drivers'!E12,3)</x:f>
        <x:v>3293.104</x:v>
      </x:c>
      <x:c r="R12" s="64" t="n">
        <x:f>-ROUND(Q12*'Drivers'!F12,3)</x:f>
        <x:v>-717.749</x:v>
      </x:c>
      <x:c r="S12" s="65" t="n">
        <x:f>R12/Q12</x:f>
        <x:v>-0.21795515720123024</x:v>
      </x:c>
      <x:c r="T12" s="64" t="n">
        <x:f>-ROUND(Q12*'Drivers'!G12,3)</x:f>
        <x:v>-42.766</x:v>
      </x:c>
      <x:c r="U12" s="65" t="n">
        <x:f>T12/Q12</x:f>
        <x:v>-0.012986531855659584</x:v>
      </x:c>
      <x:c r="V12" s="64" t="n">
        <x:f>-ROUND(Q12*'Drivers'!H12,3)</x:f>
        <x:v>-37.615</x:v>
      </x:c>
      <x:c r="W12" s="64" t="n">
        <x:f>-ROUND(Q12*'Drivers'!I12,3)</x:f>
        <x:v>-20.685</x:v>
      </x:c>
      <x:c r="X12" s="64" t="n">
        <x:f>-ROUND(Q12*'Drivers'!J12,3)</x:f>
        <x:v>-49.055</x:v>
      </x:c>
      <x:c r="Y12" s="64" t="n">
        <x:f>-ROUND(Q12*'Drivers'!K12,3)</x:f>
        <x:v>-44.861</x:v>
      </x:c>
      <x:c r="Z12" s="64" t="n">
        <x:f>-ROUND(Q12*'Drivers'!L12,3)</x:f>
        <x:v>-31.949</x:v>
      </x:c>
      <x:c r="AA12" s="64" t="n">
        <x:f>-ROUND(Q12*'Drivers'!M12,3)</x:f>
        <x:v>-30.304</x:v>
      </x:c>
      <x:c r="AB12" s="64" t="n">
        <x:f>-ROUND(Q12*'Drivers'!N12,3)</x:f>
        <x:v>-16.862</x:v>
      </x:c>
      <x:c r="AC12" s="64" t="n">
        <x:f>SUM(V12:AB12)</x:f>
        <x:v>-231.331</x:v>
      </x:c>
      <x:c r="AD12" s="65" t="n">
        <x:f>AC12/Q12</x:f>
        <x:v>-0.07024709817849664</x:v>
      </x:c>
      <x:c r="AE12" s="64" t="n">
        <x:f>-ROUND(Q12*'Drivers'!O12,3)</x:f>
        <x:v>-21.896</x:v>
      </x:c>
      <x:c r="AF12" s="65" t="n">
        <x:f>AE12/Q12</x:f>
        <x:v>-0.006649046006442554</x:v>
      </x:c>
      <x:c r="AG12" s="64" t="n">
        <x:f>-ROUND(Q12*'Drivers'!P12,3)</x:f>
        <x:v>-3.908</x:v>
      </x:c>
      <x:c r="AH12" s="64" t="n">
        <x:f>-ROUND(Q12*'Drivers'!Q12,3)</x:f>
        <x:v>-22.38</x:v>
      </x:c>
      <x:c r="AI12" s="64" t="n">
        <x:f>SUM(R12,T12,AC12,AE12,AG12,AH12)</x:f>
        <x:v>-1040.03</x:v>
      </x:c>
      <x:c r="AJ12" s="65" t="n">
        <x:f>AI12/Q12</x:f>
        <x:v>-0.3158205753599036</x:v>
      </x:c>
      <x:c r="AK12" s="64" t="n">
        <x:f>Q12+AI12</x:f>
        <x:v>2253.0739999999996</x:v>
      </x:c>
      <x:c r="AL12" s="65" t="n">
        <x:f>AK12/Q12</x:f>
        <x:v>0.6841794246400963</x:v>
      </x:c>
      <x:c r="AM12" s="64" t="n">
        <x:f>AK12/L12</x:f>
        <x:v>321.8677142857142</x:v>
      </x:c>
      <x:c r="AN12" s="66" t="str">
        <x:f>IF(AM12&lt;=200,"≤200K",IF(AM12&lt;=350,"200–350K",IF(AM12&lt;=500,"350–500K",IF(AM12&lt;=700,"500–700K","&gt;700K"))))</x:f>
        <x:v>200–350K</x:v>
      </x:c>
      <x:c r="AO12" s="64" t="n">
        <x:f>-ROUND(Q12*'Drivers'!R12,3)</x:f>
        <x:v>-1178.923</x:v>
      </x:c>
      <x:c r="AP12" s="64" t="n">
        <x:f>-ROUND(AK12*'Drivers'!S12,3)</x:f>
        <x:v>-26.004</x:v>
      </x:c>
      <x:c r="AQ12" s="64" t="n">
        <x:f>-ROUND(AK12*'Drivers'!T12,3)</x:f>
        <x:v>-9.044</x:v>
      </x:c>
      <x:c r="AR12" s="64" t="n">
        <x:f>-ROUND(AK12*'Drivers'!U12,3)</x:f>
        <x:v>-15.484</x:v>
      </x:c>
      <x:c r="AS12" s="64" t="n">
        <x:f>-ROUND(AK12*'Drivers'!V12,3)</x:f>
        <x:v>-83.422</x:v>
      </x:c>
      <x:c r="AT12" s="64" t="n">
        <x:f>SUM(AO12:AS12)</x:f>
        <x:v>-1312.877</x:v>
      </x:c>
      <x:c r="AU12" s="65" t="n">
        <x:f>AT12/AK12</x:f>
        <x:v>-0.5827047846630871</x:v>
      </x:c>
      <x:c r="AV12" s="64" t="n">
        <x:f>AK12+AT12</x:f>
        <x:v>940.1969999999997</x:v>
      </x:c>
      <x:c r="AW12" s="65" t="n">
        <x:f>AV12/AK12</x:f>
        <x:v>0.41729521533691294</x:v>
      </x:c>
      <x:c r="AX12" s="64" t="n">
        <x:f>-ROUND(AK12*'Drivers'!W12,3)</x:f>
        <x:v>-42.195</x:v>
      </x:c>
      <x:c r="AY12" s="64" t="n">
        <x:f>-ROUND(AK12*'Drivers'!X12,3)</x:f>
        <x:v>-68.494</x:v>
      </x:c>
      <x:c r="AZ12" s="64" t="n">
        <x:f>-ROUND(AK12*'Drivers'!Y12,3)</x:f>
        <x:v>-68.191</x:v>
      </x:c>
      <x:c r="BA12" s="64" t="n">
        <x:f>-ROUND(AK12*'Drivers'!Z12,3)</x:f>
        <x:v>-21.637</x:v>
      </x:c>
      <x:c r="BB12" s="64" t="n">
        <x:f>-ROUND(AK12*'Drivers'!AA12,3)</x:f>
        <x:v>-25.717</x:v>
      </x:c>
      <x:c r="BC12" s="64" t="n">
        <x:f>SUM(BA12,BB12)</x:f>
        <x:v>-47.354</x:v>
      </x:c>
      <x:c r="BD12" s="64" t="n">
        <x:f>-ROUND(AK12*'Drivers'!AB12,3)</x:f>
        <x:v>-19.725</x:v>
      </x:c>
      <x:c r="BE12" s="64" t="n">
        <x:f>SUM(AX12:BB12,BD12)</x:f>
        <x:v>-245.95899999999997</x:v>
      </x:c>
      <x:c r="BF12" s="67" t="n">
        <x:f>'Drivers'!AF12</x:f>
        <x:v>13</x:v>
      </x:c>
      <x:c r="BG12" s="64" t="n">
        <x:f>BJ12</x:f>
        <x:v>-70.477</x:v>
      </x:c>
      <x:c r="BH12" s="64" t="n">
        <x:f>BE12/BF12</x:f>
        <x:v>-18.919923076923077</x:v>
      </x:c>
      <x:c r="BI12" s="68" t="n">
        <x:f>BF12/L12</x:f>
        <x:v>1.8571428571428572</x:v>
      </x:c>
      <x:c r="BJ12" s="64" t="n">
        <x:f>-ROUND(AK12*'Drivers'!AC12,3)</x:f>
        <x:v>-70.477</x:v>
      </x:c>
      <x:c r="BK12" s="64" t="n">
        <x:f>-ROUND(AK12*'Drivers'!AD12,3)</x:f>
        <x:v>-195.72</x:v>
      </x:c>
      <x:c r="BL12" s="64" t="n">
        <x:f>SUM(AV12,BE12,BJ12,BK12)</x:f>
        <x:v>428.0409999999997</x:v>
      </x:c>
      <x:c r="BM12" s="65" t="n">
        <x:f>BL12/AK12</x:f>
        <x:v>0.18998088833300628</x:v>
      </x:c>
      <x:c r="BN12" s="64" t="n">
        <x:f>-ROUND(AK12*'Drivers'!AE12,3)</x:f>
        <x:v>-178.679</x:v>
      </x:c>
      <x:c r="BO12" s="64" t="n">
        <x:f>BL12+BN12</x:f>
        <x:v>249.3619999999997</x:v>
      </x:c>
      <x:c r="BP12" s="65" t="n">
        <x:f>BO12/AK12</x:f>
        <x:v>0.11067634707071305</x:v>
      </x:c>
    </x:row>
    <x:row r="13">
      <x:c r="A13" s="61" t="n">
        <x:v>2026</x:v>
      </x:c>
      <x:c r="B13" s="18" t="str">
        <x:v>S2</x:v>
      </x:c>
      <x:c r="C13" s="18" t="str">
        <x:v>2026 S2</x:v>
      </x:c>
      <x:c r="D13" s="18" t="str">
        <x:v>CNCT0003</x:v>
      </x:c>
      <x:c r="E13" s="18" t="str">
        <x:v>北京王府井百货</x:v>
      </x:c>
      <x:c r="F13" s="18" t="str">
        <x:v>北京</x:v>
      </x:c>
      <x:c r="G13" s="18" t="str">
        <x:v>北京市</x:v>
      </x:c>
      <x:c r="H13" s="18" t="str">
        <x:v>北区</x:v>
      </x:c>
      <x:c r="I13" s="18" t="str">
        <x:v>Department Store</x:v>
      </x:c>
      <x:c r="J13" s="18" t="str">
        <x:v>Core Shopping Center</x:v>
      </x:c>
      <x:c r="K13" s="18" t="str">
        <x:v>正常</x:v>
      </x:c>
      <x:c r="L13" s="62" t="n">
        <x:v>7</x:v>
      </x:c>
      <x:c r="M13" s="62" t="n">
        <x:v>53</x:v>
      </x:c>
      <x:c r="N13" s="63" t="n">
        <x:f>'Drivers'!C13</x:f>
        <x:v>3393</x:v>
      </x:c>
      <x:c r="O13" s="63" t="n">
        <x:f>'Drivers'!D13</x:f>
        <x:v>1194.25</x:v>
      </x:c>
      <x:c r="P13" s="64" t="n">
        <x:f>ROUND(N13*O13/1000,3)</x:f>
        <x:v>4052.09</x:v>
      </x:c>
      <x:c r="Q13" s="64" t="n">
        <x:f>ROUND(P13*'Drivers'!E13,3)</x:f>
        <x:v>3964.817</x:v>
      </x:c>
      <x:c r="R13" s="64" t="n">
        <x:f>-ROUND(Q13*'Drivers'!F13,3)</x:f>
        <x:v>-863.767</x:v>
      </x:c>
      <x:c r="S13" s="65" t="n">
        <x:f>R13/Q13</x:f>
        <x:v>-0.21785797427724912</x:v>
      </x:c>
      <x:c r="T13" s="64" t="n">
        <x:f>-ROUND(Q13*'Drivers'!G13,3)</x:f>
        <x:v>-61.089</x:v>
      </x:c>
      <x:c r="U13" s="65" t="n">
        <x:f>T13/Q13</x:f>
        <x:v>-0.015407772918649209</x:v>
      </x:c>
      <x:c r="V13" s="64" t="n">
        <x:f>-ROUND(Q13*'Drivers'!H13,3)</x:f>
        <x:v>-45.288</x:v>
      </x:c>
      <x:c r="W13" s="64" t="n">
        <x:f>-ROUND(Q13*'Drivers'!I13,3)</x:f>
        <x:v>-24.905</x:v>
      </x:c>
      <x:c r="X13" s="64" t="n">
        <x:f>-ROUND(Q13*'Drivers'!J13,3)</x:f>
        <x:v>-59.061</x:v>
      </x:c>
      <x:c r="Y13" s="64" t="n">
        <x:f>-ROUND(Q13*'Drivers'!K13,3)</x:f>
        <x:v>-54.011</x:v>
      </x:c>
      <x:c r="Z13" s="64" t="n">
        <x:f>-ROUND(Q13*'Drivers'!L13,3)</x:f>
        <x:v>-38.466</x:v>
      </x:c>
      <x:c r="AA13" s="64" t="n">
        <x:f>-ROUND(Q13*'Drivers'!M13,3)</x:f>
        <x:v>-36.485</x:v>
      </x:c>
      <x:c r="AB13" s="64" t="n">
        <x:f>-ROUND(Q13*'Drivers'!N13,3)</x:f>
        <x:v>-20.301</x:v>
      </x:c>
      <x:c r="AC13" s="64" t="n">
        <x:f>SUM(V13:AB13)</x:f>
        <x:v>-278.517</x:v>
      </x:c>
      <x:c r="AD13" s="65" t="n">
        <x:f>AC13/Q13</x:f>
        <x:v>-0.07024712615992112</x:v>
      </x:c>
      <x:c r="AE13" s="64" t="n">
        <x:f>-ROUND(Q13*'Drivers'!O13,3)</x:f>
        <x:v>-27.879</x:v>
      </x:c>
      <x:c r="AF13" s="65" t="n">
        <x:f>AE13/Q13</x:f>
        <x:v>-0.007031598179689</x:v>
      </x:c>
      <x:c r="AG13" s="64" t="n">
        <x:f>-ROUND(Q13*'Drivers'!P13,3)</x:f>
        <x:v>-4.705</x:v>
      </x:c>
      <x:c r="AH13" s="64" t="n">
        <x:f>-ROUND(Q13*'Drivers'!Q13,3)</x:f>
        <x:v>-26.945</x:v>
      </x:c>
      <x:c r="AI13" s="64" t="n">
        <x:f>SUM(R13,T13,AC13,AE13,AG13,AH13)</x:f>
        <x:v>-1262.9019999999998</x:v>
      </x:c>
      <x:c r="AJ13" s="65" t="n">
        <x:f>AI13/Q13</x:f>
        <x:v>-0.3185271854917894</x:v>
      </x:c>
      <x:c r="AK13" s="64" t="n">
        <x:f>Q13+AI13</x:f>
        <x:v>2701.915</x:v>
      </x:c>
      <x:c r="AL13" s="65" t="n">
        <x:f>AK13/Q13</x:f>
        <x:v>0.6814728145082106</x:v>
      </x:c>
      <x:c r="AM13" s="64" t="n">
        <x:f>AK13/L13</x:f>
        <x:v>385.98785714285714</x:v>
      </x:c>
      <x:c r="AN13" s="66" t="str">
        <x:f>IF(AM13&lt;=200,"≤200K",IF(AM13&lt;=350,"200–350K",IF(AM13&lt;=500,"350–500K",IF(AM13&lt;=700,"500–700K","&gt;700K"))))</x:f>
        <x:v>350–500K</x:v>
      </x:c>
      <x:c r="AO13" s="64" t="n">
        <x:f>-ROUND(Q13*'Drivers'!R13,3)</x:f>
        <x:v>-1331.865</x:v>
      </x:c>
      <x:c r="AP13" s="64" t="n">
        <x:f>-ROUND(AK13*'Drivers'!S13,3)</x:f>
        <x:v>-31.184</x:v>
      </x:c>
      <x:c r="AQ13" s="64" t="n">
        <x:f>-ROUND(AK13*'Drivers'!T13,3)</x:f>
        <x:v>-10.845</x:v>
      </x:c>
      <x:c r="AR13" s="64" t="n">
        <x:f>-ROUND(AK13*'Drivers'!U13,3)</x:f>
        <x:v>-18.568</x:v>
      </x:c>
      <x:c r="AS13" s="64" t="n">
        <x:f>-ROUND(AK13*'Drivers'!V13,3)</x:f>
        <x:v>-100.04</x:v>
      </x:c>
      <x:c r="AT13" s="64" t="n">
        <x:f>SUM(AO13:AS13)</x:f>
        <x:v>-1492.502</x:v>
      </x:c>
      <x:c r="AU13" s="65" t="n">
        <x:f>AT13/AK13</x:f>
        <x:v>-0.5523867331133658</x:v>
      </x:c>
      <x:c r="AV13" s="64" t="n">
        <x:f>AK13+AT13</x:f>
        <x:v>1209.413</x:v>
      </x:c>
      <x:c r="AW13" s="65" t="n">
        <x:f>AV13/AK13</x:f>
        <x:v>0.4476132668866341</x:v>
      </x:c>
      <x:c r="AX13" s="64" t="n">
        <x:f>-ROUND(AK13*'Drivers'!W13,3)</x:f>
        <x:v>-43.592</x:v>
      </x:c>
      <x:c r="AY13" s="64" t="n">
        <x:f>-ROUND(AK13*'Drivers'!X13,3)</x:f>
        <x:v>-56.608</x:v>
      </x:c>
      <x:c r="AZ13" s="64" t="n">
        <x:f>-ROUND(AK13*'Drivers'!Y13,3)</x:f>
        <x:v>-53.369</x:v>
      </x:c>
      <x:c r="BA13" s="64" t="n">
        <x:f>-ROUND(AK13*'Drivers'!Z13,3)</x:f>
        <x:v>-22.353</x:v>
      </x:c>
      <x:c r="BB13" s="64" t="n">
        <x:f>-ROUND(AK13*'Drivers'!AA13,3)</x:f>
        <x:v>-26.568</x:v>
      </x:c>
      <x:c r="BC13" s="64" t="n">
        <x:f>SUM(BA13,BB13)</x:f>
        <x:v>-48.92100000000001</x:v>
      </x:c>
      <x:c r="BD13" s="64" t="n">
        <x:f>-ROUND(AK13*'Drivers'!AB13,3)</x:f>
        <x:v>-20.377</x:v>
      </x:c>
      <x:c r="BE13" s="64" t="n">
        <x:f>SUM(AX13:BB13,BD13)</x:f>
        <x:v>-222.86700000000002</x:v>
      </x:c>
      <x:c r="BF13" s="67" t="n">
        <x:f>'Drivers'!AF13</x:f>
        <x:v>13</x:v>
      </x:c>
      <x:c r="BG13" s="64" t="n">
        <x:f>BJ13</x:f>
        <x:v>-72.809</x:v>
      </x:c>
      <x:c r="BH13" s="64" t="n">
        <x:f>BE13/BF13</x:f>
        <x:v>-17.143615384615387</x:v>
      </x:c>
      <x:c r="BI13" s="68" t="n">
        <x:f>BF13/L13</x:f>
        <x:v>1.8571428571428572</x:v>
      </x:c>
      <x:c r="BJ13" s="64" t="n">
        <x:f>-ROUND(AK13*'Drivers'!AC13,3)</x:f>
        <x:v>-72.809</x:v>
      </x:c>
      <x:c r="BK13" s="64" t="n">
        <x:f>-ROUND(AK13*'Drivers'!AD13,3)</x:f>
        <x:v>-234.71</x:v>
      </x:c>
      <x:c r="BL13" s="64" t="n">
        <x:f>SUM(AV13,BE13,BJ13,BK13)</x:f>
        <x:v>679.027</x:v>
      </x:c>
      <x:c r="BM13" s="65" t="n">
        <x:f>BL13/AK13</x:f>
        <x:v>0.25131323524241145</x:v>
      </x:c>
      <x:c r="BN13" s="64" t="n">
        <x:f>-ROUND(AK13*'Drivers'!AE13,3)</x:f>
        <x:v>-214.274</x:v>
      </x:c>
      <x:c r="BO13" s="64" t="n">
        <x:f>BL13+BN13</x:f>
        <x:v>464.75300000000004</x:v>
      </x:c>
      <x:c r="BP13" s="65" t="n">
        <x:f>BO13/AK13</x:f>
        <x:v>0.17200874194784072</x:v>
      </x:c>
    </x:row>
    <x:row r="14">
      <x:c r="A14" s="61" t="n">
        <x:v>2025</x:v>
      </x:c>
      <x:c r="B14" s="18" t="str">
        <x:v>S1</x:v>
      </x:c>
      <x:c r="C14" s="18" t="str">
        <x:v>2025 S1</x:v>
      </x:c>
      <x:c r="D14" s="18" t="str">
        <x:v>CNCT0004</x:v>
      </x:c>
      <x:c r="E14" s="18" t="str">
        <x:v>北京汉光百货</x:v>
      </x:c>
      <x:c r="F14" s="18" t="str">
        <x:v>北京</x:v>
      </x:c>
      <x:c r="G14" s="18" t="str">
        <x:v>北京市</x:v>
      </x:c>
      <x:c r="H14" s="18" t="str">
        <x:v>北区</x:v>
      </x:c>
      <x:c r="I14" s="18" t="str">
        <x:v>Department Store</x:v>
      </x:c>
      <x:c r="J14" s="18" t="str">
        <x:v>Core Shopping Center</x:v>
      </x:c>
      <x:c r="K14" s="18" t="str">
        <x:v>正常</x:v>
      </x:c>
      <x:c r="L14" s="62" t="n">
        <x:v>6</x:v>
      </x:c>
      <x:c r="M14" s="62" t="n">
        <x:v>53</x:v>
      </x:c>
      <x:c r="N14" s="63" t="n">
        <x:f>'Drivers'!C14</x:f>
        <x:v>3013</x:v>
      </x:c>
      <x:c r="O14" s="63" t="n">
        <x:f>'Drivers'!D14</x:f>
        <x:v>1034.475</x:v>
      </x:c>
      <x:c r="P14" s="64" t="n">
        <x:f>ROUND(N14*O14/1000,3)</x:f>
        <x:v>3116.873</x:v>
      </x:c>
      <x:c r="Q14" s="64" t="n">
        <x:f>ROUND(P14*'Drivers'!E14,3)</x:f>
        <x:v>3015.574</x:v>
      </x:c>
      <x:c r="R14" s="64" t="n">
        <x:f>-ROUND(Q14*'Drivers'!F14,3)</x:f>
        <x:v>-501.967</x:v>
      </x:c>
      <x:c r="S14" s="65" t="n">
        <x:f>R14/Q14</x:f>
        <x:v>-0.16645819336550852</x:v>
      </x:c>
      <x:c r="T14" s="64" t="n">
        <x:f>-ROUND(Q14*'Drivers'!G14,3)</x:f>
        <x:v>-41.281</x:v>
      </x:c>
      <x:c r="U14" s="65" t="n">
        <x:f>T14/Q14</x:f>
        <x:v>-0.013689267781191904</x:v>
      </x:c>
      <x:c r="V14" s="64" t="n">
        <x:f>-ROUND(Q14*'Drivers'!H14,3)</x:f>
        <x:v>-32.09</x:v>
      </x:c>
      <x:c r="W14" s="64" t="n">
        <x:f>-ROUND(Q14*'Drivers'!I14,3)</x:f>
        <x:v>-24.276</x:v>
      </x:c>
      <x:c r="X14" s="64" t="n">
        <x:f>-ROUND(Q14*'Drivers'!J14,3)</x:f>
        <x:v>-37.927</x:v>
      </x:c>
      <x:c r="Y14" s="64" t="n">
        <x:f>-ROUND(Q14*'Drivers'!K14,3)</x:f>
        <x:v>-42.177</x:v>
      </x:c>
      <x:c r="Z14" s="64" t="n">
        <x:f>-ROUND(Q14*'Drivers'!L14,3)</x:f>
        <x:v>-34.2</x:v>
      </x:c>
      <x:c r="AA14" s="64" t="n">
        <x:f>-ROUND(Q14*'Drivers'!M14,3)</x:f>
        <x:v>-19.521</x:v>
      </x:c>
      <x:c r="AB14" s="64" t="n">
        <x:f>-ROUND(Q14*'Drivers'!N14,3)</x:f>
        <x:v>-24.515</x:v>
      </x:c>
      <x:c r="AC14" s="64" t="n">
        <x:f>SUM(V14:AB14)</x:f>
        <x:v>-214.70600000000002</x:v>
      </x:c>
      <x:c r="AD14" s="65" t="n">
        <x:f>AC14/Q14</x:f>
        <x:v>-0.07119904867199413</x:v>
      </x:c>
      <x:c r="AE14" s="64" t="n">
        <x:f>-ROUND(Q14*'Drivers'!O14,3)</x:f>
        <x:v>-32.065</x:v>
      </x:c>
      <x:c r="AF14" s="65" t="n">
        <x:f>AE14/Q14</x:f>
        <x:v>-0.01063313319454273</x:v>
      </x:c>
      <x:c r="AG14" s="64" t="n">
        <x:f>-ROUND(Q14*'Drivers'!P14,3)</x:f>
        <x:v>-0.37</x:v>
      </x:c>
      <x:c r="AH14" s="64" t="n">
        <x:f>-ROUND(Q14*'Drivers'!Q14,3)</x:f>
        <x:v>-7.775</x:v>
      </x:c>
      <x:c r="AI14" s="64" t="n">
        <x:f>SUM(R14,T14,AC14,AE14,AG14,AH14)</x:f>
        <x:v>-798.164</x:v>
      </x:c>
      <x:c r="AJ14" s="65" t="n">
        <x:f>AI14/Q14</x:f>
        <x:v>-0.26468062133444575</x:v>
      </x:c>
      <x:c r="AK14" s="64" t="n">
        <x:f>Q14+AI14</x:f>
        <x:v>2217.41</x:v>
      </x:c>
      <x:c r="AL14" s="65" t="n">
        <x:f>AK14/Q14</x:f>
        <x:v>0.7353193786655542</x:v>
      </x:c>
      <x:c r="AM14" s="64" t="n">
        <x:f>AK14/L14</x:f>
        <x:v>369.5683333333333</x:v>
      </x:c>
      <x:c r="AN14" s="66" t="str">
        <x:f>IF(AM14&lt;=200,"≤200K",IF(AM14&lt;=350,"200–350K",IF(AM14&lt;=500,"350–500K",IF(AM14&lt;=700,"500–700K","&gt;700K"))))</x:f>
        <x:v>350–500K</x:v>
      </x:c>
      <x:c r="AO14" s="64" t="n">
        <x:f>-ROUND(Q14*'Drivers'!R14,3)</x:f>
        <x:v>-1174.863</x:v>
      </x:c>
      <x:c r="AP14" s="64" t="n">
        <x:f>-ROUND(AK14*'Drivers'!S14,3)</x:f>
        <x:v>-30.412</x:v>
      </x:c>
      <x:c r="AQ14" s="64" t="n">
        <x:f>-ROUND(AK14*'Drivers'!T14,3)</x:f>
        <x:v>-8.864</x:v>
      </x:c>
      <x:c r="AR14" s="64" t="n">
        <x:f>-ROUND(AK14*'Drivers'!U14,3)</x:f>
        <x:v>-27.238</x:v>
      </x:c>
      <x:c r="AS14" s="64" t="n">
        <x:f>-ROUND(AK14*'Drivers'!V14,3)</x:f>
        <x:v>-78.42</x:v>
      </x:c>
      <x:c r="AT14" s="64" t="n">
        <x:f>SUM(AO14:AS14)</x:f>
        <x:v>-1319.7970000000003</x:v>
      </x:c>
      <x:c r="AU14" s="65" t="n">
        <x:f>AT14/AK14</x:f>
        <x:v>-0.5951975502951643</x:v>
      </x:c>
      <x:c r="AV14" s="64" t="n">
        <x:f>AK14+AT14</x:f>
        <x:v>897.6129999999996</x:v>
      </x:c>
      <x:c r="AW14" s="65" t="n">
        <x:f>AV14/AK14</x:f>
        <x:v>0.40480244970483564</x:v>
      </x:c>
      <x:c r="AX14" s="64" t="n">
        <x:f>-ROUND(AK14*'Drivers'!W14,3)</x:f>
        <x:v>-30.644</x:v>
      </x:c>
      <x:c r="AY14" s="64" t="n">
        <x:f>-ROUND(AK14*'Drivers'!X14,3)</x:f>
        <x:v>-49.298</x:v>
      </x:c>
      <x:c r="AZ14" s="64" t="n">
        <x:f>-ROUND(AK14*'Drivers'!Y14,3)</x:f>
        <x:v>-34.836</x:v>
      </x:c>
      <x:c r="BA14" s="64" t="n">
        <x:f>-ROUND(AK14*'Drivers'!Z14,3)</x:f>
        <x:v>-17.171</x:v>
      </x:c>
      <x:c r="BB14" s="64" t="n">
        <x:f>-ROUND(AK14*'Drivers'!AA14,3)</x:f>
        <x:v>-19.079</x:v>
      </x:c>
      <x:c r="BC14" s="64" t="n">
        <x:f>SUM(BA14,BB14)</x:f>
        <x:v>-36.25</x:v>
      </x:c>
      <x:c r="BD14" s="64" t="n">
        <x:f>-ROUND(AK14*'Drivers'!AB14,3)</x:f>
        <x:v>-8.203</x:v>
      </x:c>
      <x:c r="BE14" s="64" t="n">
        <x:f>SUM(AX14:BB14,BD14)</x:f>
        <x:v>-159.23100000000002</x:v>
      </x:c>
      <x:c r="BF14" s="67" t="n">
        <x:f>'Drivers'!AF14</x:f>
        <x:v>8</x:v>
      </x:c>
      <x:c r="BG14" s="64" t="n">
        <x:f>BJ14</x:f>
        <x:v>-55.247</x:v>
      </x:c>
      <x:c r="BH14" s="64" t="n">
        <x:f>BE14/BF14</x:f>
        <x:v>-19.903875000000003</x:v>
      </x:c>
      <x:c r="BI14" s="68" t="n">
        <x:f>BF14/L14</x:f>
        <x:v>1.3333333333333333</x:v>
      </x:c>
      <x:c r="BJ14" s="64" t="n">
        <x:f>-ROUND(AK14*'Drivers'!AC14,3)</x:f>
        <x:v>-55.247</x:v>
      </x:c>
      <x:c r="BK14" s="64" t="n">
        <x:f>-ROUND(AK14*'Drivers'!AD14,3)</x:f>
        <x:v>-253.11</x:v>
      </x:c>
      <x:c r="BL14" s="64" t="n">
        <x:f>SUM(AV14,BE14,BJ14,BK14)</x:f>
        <x:v>430.02499999999964</x:v>
      </x:c>
      <x:c r="BM14" s="65" t="n">
        <x:f>BL14/AK14</x:f>
        <x:v>0.19393120803099095</x:v>
      </x:c>
      <x:c r="BN14" s="64" t="n">
        <x:f>-ROUND(AK14*'Drivers'!AE14,3)</x:f>
        <x:v>-149.15</x:v>
      </x:c>
      <x:c r="BO14" s="64" t="n">
        <x:f>BL14+BN14</x:f>
        <x:v>280.87499999999966</x:v>
      </x:c>
      <x:c r="BP14" s="65" t="n">
        <x:f>BO14/AK14</x:f>
        <x:v>0.12666804966154194</x:v>
      </x:c>
    </x:row>
    <x:row r="15">
      <x:c r="A15" s="61" t="n">
        <x:v>2025</x:v>
      </x:c>
      <x:c r="B15" s="18" t="str">
        <x:v>S2</x:v>
      </x:c>
      <x:c r="C15" s="18" t="str">
        <x:v>2025 S2</x:v>
      </x:c>
      <x:c r="D15" s="18" t="str">
        <x:v>CNCT0004</x:v>
      </x:c>
      <x:c r="E15" s="18" t="str">
        <x:v>北京汉光百货</x:v>
      </x:c>
      <x:c r="F15" s="18" t="str">
        <x:v>北京</x:v>
      </x:c>
      <x:c r="G15" s="18" t="str">
        <x:v>北京市</x:v>
      </x:c>
      <x:c r="H15" s="18" t="str">
        <x:v>北区</x:v>
      </x:c>
      <x:c r="I15" s="18" t="str">
        <x:v>Department Store</x:v>
      </x:c>
      <x:c r="J15" s="18" t="str">
        <x:v>Core Shopping Center</x:v>
      </x:c>
      <x:c r="K15" s="18" t="str">
        <x:v>正常</x:v>
      </x:c>
      <x:c r="L15" s="62" t="n">
        <x:v>6</x:v>
      </x:c>
      <x:c r="M15" s="62" t="n">
        <x:v>53</x:v>
      </x:c>
      <x:c r="N15" s="63" t="n">
        <x:f>'Drivers'!C15</x:f>
        <x:v>3250</x:v>
      </x:c>
      <x:c r="O15" s="63" t="n">
        <x:f>'Drivers'!D15</x:f>
        <x:v>1046.889</x:v>
      </x:c>
      <x:c r="P15" s="64" t="n">
        <x:f>ROUND(N15*O15/1000,3)</x:f>
        <x:v>3402.389</x:v>
      </x:c>
      <x:c r="Q15" s="64" t="n">
        <x:f>ROUND(P15*'Drivers'!E15,3)</x:f>
        <x:v>3337.497</x:v>
      </x:c>
      <x:c r="R15" s="64" t="n">
        <x:f>-ROUND(Q15*'Drivers'!F15,3)</x:f>
        <x:v>-555.554</x:v>
      </x:c>
      <x:c r="S15" s="65" t="n">
        <x:f>R15/Q15</x:f>
        <x:v>-0.16645827696624146</x:v>
      </x:c>
      <x:c r="T15" s="64" t="n">
        <x:f>-ROUND(Q15*'Drivers'!G15,3)</x:f>
        <x:v>-45.688</x:v>
      </x:c>
      <x:c r="U15" s="65" t="n">
        <x:f>T15/Q15</x:f>
        <x:v>-0.013689300694502499</x:v>
      </x:c>
      <x:c r="V15" s="64" t="n">
        <x:f>-ROUND(Q15*'Drivers'!H15,3)</x:f>
        <x:v>-35.515</x:v>
      </x:c>
      <x:c r="W15" s="64" t="n">
        <x:f>-ROUND(Q15*'Drivers'!I15,3)</x:f>
        <x:v>-26.868</x:v>
      </x:c>
      <x:c r="X15" s="64" t="n">
        <x:f>-ROUND(Q15*'Drivers'!J15,3)</x:f>
        <x:v>-41.976</x:v>
      </x:c>
      <x:c r="Y15" s="64" t="n">
        <x:f>-ROUND(Q15*'Drivers'!K15,3)</x:f>
        <x:v>-46.679</x:v>
      </x:c>
      <x:c r="Z15" s="64" t="n">
        <x:f>-ROUND(Q15*'Drivers'!L15,3)</x:f>
        <x:v>-37.851</x:v>
      </x:c>
      <x:c r="AA15" s="64" t="n">
        <x:f>-ROUND(Q15*'Drivers'!M15,3)</x:f>
        <x:v>-21.605</x:v>
      </x:c>
      <x:c r="AB15" s="64" t="n">
        <x:f>-ROUND(Q15*'Drivers'!N15,3)</x:f>
        <x:v>-27.132</x:v>
      </x:c>
      <x:c r="AC15" s="64" t="n">
        <x:f>SUM(V15:AB15)</x:f>
        <x:v>-237.626</x:v>
      </x:c>
      <x:c r="AD15" s="65" t="n">
        <x:f>AC15/Q15</x:f>
        <x:v>-0.07119886549710756</x:v>
      </x:c>
      <x:c r="AE15" s="64" t="n">
        <x:f>-ROUND(Q15*'Drivers'!O15,3)</x:f>
        <x:v>-35.488</x:v>
      </x:c>
      <x:c r="AF15" s="65" t="n">
        <x:f>AE15/Q15</x:f>
        <x:v>-0.010633118172091241</x:v>
      </x:c>
      <x:c r="AG15" s="64" t="n">
        <x:f>-ROUND(Q15*'Drivers'!P15,3)</x:f>
        <x:v>-0.409</x:v>
      </x:c>
      <x:c r="AH15" s="64" t="n">
        <x:f>-ROUND(Q15*'Drivers'!Q15,3)</x:f>
        <x:v>-8.605</x:v>
      </x:c>
      <x:c r="AI15" s="64" t="n">
        <x:f>SUM(R15,T15,AC15,AE15,AG15,AH15)</x:f>
        <x:v>-883.37</x:v>
      </x:c>
      <x:c r="AJ15" s="65" t="n">
        <x:f>AI15/Q15</x:f>
        <x:v>-0.26468038772768937</x:v>
      </x:c>
      <x:c r="AK15" s="64" t="n">
        <x:f>Q15+AI15</x:f>
        <x:v>2454.127</x:v>
      </x:c>
      <x:c r="AL15" s="65" t="n">
        <x:f>AK15/Q15</x:f>
        <x:v>0.7353196122723107</x:v>
      </x:c>
      <x:c r="AM15" s="64" t="n">
        <x:f>AK15/L15</x:f>
        <x:v>409.02116666666666</x:v>
      </x:c>
      <x:c r="AN15" s="66" t="str">
        <x:f>IF(AM15&lt;=200,"≤200K",IF(AM15&lt;=350,"200–350K",IF(AM15&lt;=500,"350–500K",IF(AM15&lt;=700,"500–700K","&gt;700K"))))</x:f>
        <x:v>350–500K</x:v>
      </x:c>
      <x:c r="AO15" s="64" t="n">
        <x:f>-ROUND(Q15*'Drivers'!R15,3)</x:f>
        <x:v>-1271.587</x:v>
      </x:c>
      <x:c r="AP15" s="64" t="n">
        <x:f>-ROUND(AK15*'Drivers'!S15,3)</x:f>
        <x:v>-33.659</x:v>
      </x:c>
      <x:c r="AQ15" s="64" t="n">
        <x:f>-ROUND(AK15*'Drivers'!T15,3)</x:f>
        <x:v>-9.81</x:v>
      </x:c>
      <x:c r="AR15" s="64" t="n">
        <x:f>-ROUND(AK15*'Drivers'!U15,3)</x:f>
        <x:v>-30.146</x:v>
      </x:c>
      <x:c r="AS15" s="64" t="n">
        <x:f>-ROUND(AK15*'Drivers'!V15,3)</x:f>
        <x:v>-86.791</x:v>
      </x:c>
      <x:c r="AT15" s="64" t="n">
        <x:f>SUM(AO15:AS15)</x:f>
        <x:v>-1431.993</x:v>
      </x:c>
      <x:c r="AU15" s="65" t="n">
        <x:f>AT15/AK15</x:f>
        <x:v>-0.5835040321874133</x:v>
      </x:c>
      <x:c r="AV15" s="64" t="n">
        <x:f>AK15+AT15</x:f>
        <x:v>1022.134</x:v>
      </x:c>
      <x:c r="AW15" s="65" t="n">
        <x:f>AV15/AK15</x:f>
        <x:v>0.41649596781258674</x:v>
      </x:c>
      <x:c r="AX15" s="64" t="n">
        <x:f>-ROUND(AK15*'Drivers'!W15,3)</x:f>
        <x:v>-33.916</x:v>
      </x:c>
      <x:c r="AY15" s="64" t="n">
        <x:f>-ROUND(AK15*'Drivers'!X15,3)</x:f>
        <x:v>-54.561</x:v>
      </x:c>
      <x:c r="AZ15" s="64" t="n">
        <x:f>-ROUND(AK15*'Drivers'!Y15,3)</x:f>
        <x:v>-38.555</x:v>
      </x:c>
      <x:c r="BA15" s="64" t="n">
        <x:f>-ROUND(AK15*'Drivers'!Z15,3)</x:f>
        <x:v>-19.004</x:v>
      </x:c>
      <x:c r="BB15" s="64" t="n">
        <x:f>-ROUND(AK15*'Drivers'!AA15,3)</x:f>
        <x:v>-21.115</x:v>
      </x:c>
      <x:c r="BC15" s="64" t="n">
        <x:f>SUM(BA15,BB15)</x:f>
        <x:v>-40.119</x:v>
      </x:c>
      <x:c r="BD15" s="64" t="n">
        <x:f>-ROUND(AK15*'Drivers'!AB15,3)</x:f>
        <x:v>-9.079</x:v>
      </x:c>
      <x:c r="BE15" s="64" t="n">
        <x:f>SUM(AX15:BB15,BD15)</x:f>
        <x:v>-176.23000000000002</x:v>
      </x:c>
      <x:c r="BF15" s="67" t="n">
        <x:f>'Drivers'!AF15</x:f>
        <x:v>8</x:v>
      </x:c>
      <x:c r="BG15" s="64" t="n">
        <x:f>BJ15</x:f>
        <x:v>-61.145</x:v>
      </x:c>
      <x:c r="BH15" s="64" t="n">
        <x:f>BE15/BF15</x:f>
        <x:v>-22.028750000000002</x:v>
      </x:c>
      <x:c r="BI15" s="68" t="n">
        <x:f>BF15/L15</x:f>
        <x:v>1.3333333333333333</x:v>
      </x:c>
      <x:c r="BJ15" s="64" t="n">
        <x:f>-ROUND(AK15*'Drivers'!AC15,3)</x:f>
        <x:v>-61.145</x:v>
      </x:c>
      <x:c r="BK15" s="64" t="n">
        <x:f>-ROUND(AK15*'Drivers'!AD15,3)</x:f>
        <x:v>-280.13</x:v>
      </x:c>
      <x:c r="BL15" s="64" t="n">
        <x:f>SUM(AV15,BE15,BJ15,BK15)</x:f>
        <x:v>504.629</x:v>
      </x:c>
      <x:c r="BM15" s="65" t="n">
        <x:f>BL15/AK15</x:f>
        <x:v>0.20562464778717646</x:v>
      </x:c>
      <x:c r="BN15" s="64" t="n">
        <x:f>-ROUND(AK15*'Drivers'!AE15,3)</x:f>
        <x:v>-165.073</x:v>
      </x:c>
      <x:c r="BO15" s="64" t="n">
        <x:f>BL15+BN15</x:f>
        <x:v>339.55600000000004</x:v>
      </x:c>
      <x:c r="BP15" s="65" t="n">
        <x:f>BO15/AK15</x:f>
        <x:v>0.13836121765499507</x:v>
      </x:c>
    </x:row>
    <x:row r="16">
      <x:c r="A16" s="61" t="n">
        <x:v>2026</x:v>
      </x:c>
      <x:c r="B16" s="18" t="str">
        <x:v>S1</x:v>
      </x:c>
      <x:c r="C16" s="18" t="str">
        <x:v>2026 S1</x:v>
      </x:c>
      <x:c r="D16" s="18" t="str">
        <x:v>CNCT0004</x:v>
      </x:c>
      <x:c r="E16" s="18" t="str">
        <x:v>北京汉光百货</x:v>
      </x:c>
      <x:c r="F16" s="18" t="str">
        <x:v>北京</x:v>
      </x:c>
      <x:c r="G16" s="18" t="str">
        <x:v>北京市</x:v>
      </x:c>
      <x:c r="H16" s="18" t="str">
        <x:v>北区</x:v>
      </x:c>
      <x:c r="I16" s="18" t="str">
        <x:v>Department Store</x:v>
      </x:c>
      <x:c r="J16" s="18" t="str">
        <x:v>Core Shopping Center</x:v>
      </x:c>
      <x:c r="K16" s="18" t="str">
        <x:v>正常</x:v>
      </x:c>
      <x:c r="L16" s="62" t="n">
        <x:v>6</x:v>
      </x:c>
      <x:c r="M16" s="62" t="n">
        <x:v>53</x:v>
      </x:c>
      <x:c r="N16" s="63" t="n">
        <x:f>'Drivers'!C16</x:f>
        <x:v>2949</x:v>
      </x:c>
      <x:c r="O16" s="63" t="n">
        <x:f>'Drivers'!D16</x:f>
        <x:v>1045.826</x:v>
      </x:c>
      <x:c r="P16" s="64" t="n">
        <x:f>ROUND(N16*O16/1000,3)</x:f>
        <x:v>3084.141</x:v>
      </x:c>
      <x:c r="Q16" s="64" t="n">
        <x:f>ROUND(P16*'Drivers'!E16,3)</x:f>
        <x:v>2991.033</x:v>
      </x:c>
      <x:c r="R16" s="64" t="n">
        <x:f>-ROUND(Q16*'Drivers'!F16,3)</x:f>
        <x:v>-508.699</x:v>
      </x:c>
      <x:c r="S16" s="65" t="n">
        <x:f>R16/Q16</x:f>
        <x:v>-0.17007468657149555</x:v>
      </x:c>
      <x:c r="T16" s="64" t="n">
        <x:f>-ROUND(Q16*'Drivers'!G16,3)</x:f>
        <x:v>-36.714</x:v>
      </x:c>
      <x:c r="U16" s="65" t="n">
        <x:f>T16/Q16</x:f>
        <x:v>-0.012274689045557171</x:v>
      </x:c>
      <x:c r="V16" s="64" t="n">
        <x:f>-ROUND(Q16*'Drivers'!H16,3)</x:f>
        <x:v>-31.829</x:v>
      </x:c>
      <x:c r="W16" s="64" t="n">
        <x:f>-ROUND(Q16*'Drivers'!I16,3)</x:f>
        <x:v>-24.079</x:v>
      </x:c>
      <x:c r="X16" s="64" t="n">
        <x:f>-ROUND(Q16*'Drivers'!J16,3)</x:f>
        <x:v>-37.618</x:v>
      </x:c>
      <x:c r="Y16" s="64" t="n">
        <x:f>-ROUND(Q16*'Drivers'!K16,3)</x:f>
        <x:v>-41.833</x:v>
      </x:c>
      <x:c r="Z16" s="64" t="n">
        <x:f>-ROUND(Q16*'Drivers'!L16,3)</x:f>
        <x:v>-33.921</x:v>
      </x:c>
      <x:c r="AA16" s="64" t="n">
        <x:f>-ROUND(Q16*'Drivers'!M16,3)</x:f>
        <x:v>-19.362</x:v>
      </x:c>
      <x:c r="AB16" s="64" t="n">
        <x:f>-ROUND(Q16*'Drivers'!N16,3)</x:f>
        <x:v>-24.316</x:v>
      </x:c>
      <x:c r="AC16" s="64" t="n">
        <x:f>SUM(V16:AB16)</x:f>
        <x:v>-212.958</x:v>
      </x:c>
      <x:c r="AD16" s="65" t="n">
        <x:f>AC16/Q16</x:f>
        <x:v>-0.07119881325281266</x:v>
      </x:c>
      <x:c r="AE16" s="64" t="n">
        <x:f>-ROUND(Q16*'Drivers'!O16,3)</x:f>
        <x:v>-26.657</x:v>
      </x:c>
      <x:c r="AF16" s="65" t="n">
        <x:f>AE16/Q16</x:f>
        <x:v>-0.008912305547949488</x:v>
      </x:c>
      <x:c r="AG16" s="64" t="n">
        <x:f>-ROUND(Q16*'Drivers'!P16,3)</x:f>
        <x:v>-0.367</x:v>
      </x:c>
      <x:c r="AH16" s="64" t="n">
        <x:f>-ROUND(Q16*'Drivers'!Q16,3)</x:f>
        <x:v>-7.712</x:v>
      </x:c>
      <x:c r="AI16" s="64" t="n">
        <x:f>SUM(R16,T16,AC16,AE16,AG16,AH16)</x:f>
        <x:v>-793.107</x:v>
      </x:c>
      <x:c r="AJ16" s="65" t="n">
        <x:f>AI16/Q16</x:f>
        <x:v>-0.2651615679265324</x:v>
      </x:c>
      <x:c r="AK16" s="64" t="n">
        <x:f>Q16+AI16</x:f>
        <x:v>2197.926</x:v>
      </x:c>
      <x:c r="AL16" s="65" t="n">
        <x:f>AK16/Q16</x:f>
        <x:v>0.7348384320734676</x:v>
      </x:c>
      <x:c r="AM16" s="64" t="n">
        <x:f>AK16/L16</x:f>
        <x:v>366.32099999999997</x:v>
      </x:c>
      <x:c r="AN16" s="66" t="str">
        <x:f>IF(AM16&lt;=200,"≤200K",IF(AM16&lt;=350,"200–350K",IF(AM16&lt;=500,"350–500K",IF(AM16&lt;=700,"500–700K","&gt;700K"))))</x:f>
        <x:v>350–500K</x:v>
      </x:c>
      <x:c r="AO16" s="64" t="n">
        <x:f>-ROUND(Q16*'Drivers'!R16,3)</x:f>
        <x:v>-1177.211</x:v>
      </x:c>
      <x:c r="AP16" s="64" t="n">
        <x:f>-ROUND(AK16*'Drivers'!S16,3)</x:f>
        <x:v>-30.145</x:v>
      </x:c>
      <x:c r="AQ16" s="64" t="n">
        <x:f>-ROUND(AK16*'Drivers'!T16,3)</x:f>
        <x:v>-8.786</x:v>
      </x:c>
      <x:c r="AR16" s="64" t="n">
        <x:f>-ROUND(AK16*'Drivers'!U16,3)</x:f>
        <x:v>-26.999</x:v>
      </x:c>
      <x:c r="AS16" s="64" t="n">
        <x:f>-ROUND(AK16*'Drivers'!V16,3)</x:f>
        <x:v>-77.731</x:v>
      </x:c>
      <x:c r="AT16" s="64" t="n">
        <x:f>SUM(AO16:AS16)</x:f>
        <x:v>-1320.872</x:v>
      </x:c>
      <x:c r="AU16" s="65" t="n">
        <x:f>AT16/AK16</x:f>
        <x:v>-0.600962907759406</x:v>
      </x:c>
      <x:c r="AV16" s="64" t="n">
        <x:f>AK16+AT16</x:f>
        <x:v>877.0539999999999</x:v>
      </x:c>
      <x:c r="AW16" s="65" t="n">
        <x:f>AV16/AK16</x:f>
        <x:v>0.399037092240594</x:v>
      </x:c>
      <x:c r="AX16" s="64" t="n">
        <x:f>-ROUND(AK16*'Drivers'!W16,3)</x:f>
        <x:v>-37.375</x:v>
      </x:c>
      <x:c r="AY16" s="64" t="n">
        <x:f>-ROUND(AK16*'Drivers'!X16,3)</x:f>
        <x:v>-75.158</x:v>
      </x:c>
      <x:c r="AZ16" s="64" t="n">
        <x:f>-ROUND(AK16*'Drivers'!Y16,3)</x:f>
        <x:v>-56.083</x:v>
      </x:c>
      <x:c r="BA16" s="64" t="n">
        <x:f>-ROUND(AK16*'Drivers'!Z16,3)</x:f>
        <x:v>-20.943</x:v>
      </x:c>
      <x:c r="BB16" s="64" t="n">
        <x:f>-ROUND(AK16*'Drivers'!AA16,3)</x:f>
        <x:v>-23.269</x:v>
      </x:c>
      <x:c r="BC16" s="64" t="n">
        <x:f>SUM(BA16,BB16)</x:f>
        <x:v>-44.212</x:v>
      </x:c>
      <x:c r="BD16" s="64" t="n">
        <x:f>-ROUND(AK16*'Drivers'!AB16,3)</x:f>
        <x:v>-10.005</x:v>
      </x:c>
      <x:c r="BE16" s="64" t="n">
        <x:f>SUM(AX16:BB16,BD16)</x:f>
        <x:v>-222.833</x:v>
      </x:c>
      <x:c r="BF16" s="67" t="n">
        <x:f>'Drivers'!AF16</x:f>
        <x:v>8</x:v>
      </x:c>
      <x:c r="BG16" s="64" t="n">
        <x:f>BJ16</x:f>
        <x:v>-67.381</x:v>
      </x:c>
      <x:c r="BH16" s="64" t="n">
        <x:f>BE16/BF16</x:f>
        <x:v>-27.854125</x:v>
      </x:c>
      <x:c r="BI16" s="68" t="n">
        <x:f>BF16/L16</x:f>
        <x:v>1.3333333333333333</x:v>
      </x:c>
      <x:c r="BJ16" s="64" t="n">
        <x:f>-ROUND(AK16*'Drivers'!AC16,3)</x:f>
        <x:v>-67.381</x:v>
      </x:c>
      <x:c r="BK16" s="64" t="n">
        <x:f>-ROUND(AK16*'Drivers'!AD16,3)</x:f>
        <x:v>-250.886</x:v>
      </x:c>
      <x:c r="BL16" s="64" t="n">
        <x:f>SUM(AV16,BE16,BJ16,BK16)</x:f>
        <x:v>335.95399999999995</x:v>
      </x:c>
      <x:c r="BM16" s="65" t="n">
        <x:f>BL16/AK16</x:f>
        <x:v>0.15285045993359192</x:v>
      </x:c>
      <x:c r="BN16" s="64" t="n">
        <x:f>-ROUND(AK16*'Drivers'!AE16,3)</x:f>
        <x:v>-147.84</x:v>
      </x:c>
      <x:c r="BO16" s="64" t="n">
        <x:f>BL16+BN16</x:f>
        <x:v>188.11399999999995</x:v>
      </x:c>
      <x:c r="BP16" s="65" t="n">
        <x:f>BO16/AK16</x:f>
        <x:v>0.08558704888153648</x:v>
      </x:c>
    </x:row>
    <x:row r="17">
      <x:c r="A17" s="61" t="n">
        <x:v>2026</x:v>
      </x:c>
      <x:c r="B17" s="18" t="str">
        <x:v>S2</x:v>
      </x:c>
      <x:c r="C17" s="18" t="str">
        <x:v>2026 S2</x:v>
      </x:c>
      <x:c r="D17" s="18" t="str">
        <x:v>CNCT0004</x:v>
      </x:c>
      <x:c r="E17" s="18" t="str">
        <x:v>北京汉光百货</x:v>
      </x:c>
      <x:c r="F17" s="18" t="str">
        <x:v>北京</x:v>
      </x:c>
      <x:c r="G17" s="18" t="str">
        <x:v>北京市</x:v>
      </x:c>
      <x:c r="H17" s="18" t="str">
        <x:v>北区</x:v>
      </x:c>
      <x:c r="I17" s="18" t="str">
        <x:v>Department Store</x:v>
      </x:c>
      <x:c r="J17" s="18" t="str">
        <x:v>Core Shopping Center</x:v>
      </x:c>
      <x:c r="K17" s="18" t="str">
        <x:v>正常</x:v>
      </x:c>
      <x:c r="L17" s="62" t="n">
        <x:v>6</x:v>
      </x:c>
      <x:c r="M17" s="62" t="n">
        <x:v>53</x:v>
      </x:c>
      <x:c r="N17" s="63" t="n">
        <x:f>'Drivers'!C17</x:f>
        <x:v>3370</x:v>
      </x:c>
      <x:c r="O17" s="63" t="n">
        <x:f>'Drivers'!D17</x:f>
        <x:v>1075.037</x:v>
      </x:c>
      <x:c r="P17" s="64" t="n">
        <x:f>ROUND(N17*O17/1000,3)</x:f>
        <x:v>3622.875</x:v>
      </x:c>
      <x:c r="Q17" s="64" t="n">
        <x:f>ROUND(P17*'Drivers'!E17,3)</x:f>
        <x:v>3553.778</x:v>
      </x:c>
      <x:c r="R17" s="64" t="n">
        <x:f>-ROUND(Q17*'Drivers'!F17,3)</x:f>
        <x:v>-599.696</x:v>
      </x:c>
      <x:c r="S17" s="65" t="n">
        <x:f>R17/Q17</x:f>
        <x:v>-0.1687488638851386</x:v>
      </x:c>
      <x:c r="T17" s="64" t="n">
        <x:f>-ROUND(Q17*'Drivers'!G17,3)</x:f>
        <x:v>-54.287</x:v>
      </x:c>
      <x:c r="U17" s="65" t="n">
        <x:f>T17/Q17</x:f>
        <x:v>-0.015275855723120579</x:v>
      </x:c>
      <x:c r="V17" s="64" t="n">
        <x:f>-ROUND(Q17*'Drivers'!H17,3)</x:f>
        <x:v>-37.817</x:v>
      </x:c>
      <x:c r="W17" s="64" t="n">
        <x:f>-ROUND(Q17*'Drivers'!I17,3)</x:f>
        <x:v>-28.609</x:v>
      </x:c>
      <x:c r="X17" s="64" t="n">
        <x:f>-ROUND(Q17*'Drivers'!J17,3)</x:f>
        <x:v>-44.696</x:v>
      </x:c>
      <x:c r="Y17" s="64" t="n">
        <x:f>-ROUND(Q17*'Drivers'!K17,3)</x:f>
        <x:v>-49.704</x:v>
      </x:c>
      <x:c r="Z17" s="64" t="n">
        <x:f>-ROUND(Q17*'Drivers'!L17,3)</x:f>
        <x:v>-40.303</x:v>
      </x:c>
      <x:c r="AA17" s="64" t="n">
        <x:f>-ROUND(Q17*'Drivers'!M17,3)</x:f>
        <x:v>-23.005</x:v>
      </x:c>
      <x:c r="AB17" s="64" t="n">
        <x:f>-ROUND(Q17*'Drivers'!N17,3)</x:f>
        <x:v>-28.89</x:v>
      </x:c>
      <x:c r="AC17" s="64" t="n">
        <x:f>SUM(V17:AB17)</x:f>
        <x:v>-253.024</x:v>
      </x:c>
      <x:c r="AD17" s="65" t="n">
        <x:f>AC17/Q17</x:f>
        <x:v>-0.07119859484751158</x:v>
      </x:c>
      <x:c r="AE17" s="64" t="n">
        <x:f>-ROUND(Q17*'Drivers'!O17,3)</x:f>
        <x:v>-37.787</x:v>
      </x:c>
      <x:c r="AF17" s="65" t="n">
        <x:f>AE17/Q17</x:f>
        <x:v>-0.01063290954021326</x:v>
      </x:c>
      <x:c r="AG17" s="64" t="n">
        <x:f>-ROUND(Q17*'Drivers'!P17,3)</x:f>
        <x:v>-0.436</x:v>
      </x:c>
      <x:c r="AH17" s="64" t="n">
        <x:f>-ROUND(Q17*'Drivers'!Q17,3)</x:f>
        <x:v>-9.163</x:v>
      </x:c>
      <x:c r="AI17" s="64" t="n">
        <x:f>SUM(R17,T17,AC17,AE17,AG17,AH17)</x:f>
        <x:v>-954.3930000000001</x:v>
      </x:c>
      <x:c r="AJ17" s="65" t="n">
        <x:f>AI17/Q17</x:f>
        <x:v>-0.2685572931117251</x:v>
      </x:c>
      <x:c r="AK17" s="64" t="n">
        <x:f>Q17+AI17</x:f>
        <x:v>2599.3849999999998</x:v>
      </x:c>
      <x:c r="AL17" s="65" t="n">
        <x:f>AK17/Q17</x:f>
        <x:v>0.731442706888275</x:v>
      </x:c>
      <x:c r="AM17" s="64" t="n">
        <x:f>AK17/L17</x:f>
        <x:v>433.2308333333333</x:v>
      </x:c>
      <x:c r="AN17" s="66" t="str">
        <x:f>IF(AM17&lt;=200,"≤200K",IF(AM17&lt;=350,"200–350K",IF(AM17&lt;=500,"350–500K",IF(AM17&lt;=700,"500–700K","&gt;700K"))))</x:f>
        <x:v>350–500K</x:v>
      </x:c>
      <x:c r="AO17" s="64" t="n">
        <x:f>-ROUND(Q17*'Drivers'!R17,3)</x:f>
        <x:v>-1330.41</x:v>
      </x:c>
      <x:c r="AP17" s="64" t="n">
        <x:f>-ROUND(AK17*'Drivers'!S17,3)</x:f>
        <x:v>-35.651</x:v>
      </x:c>
      <x:c r="AQ17" s="64" t="n">
        <x:f>-ROUND(AK17*'Drivers'!T17,3)</x:f>
        <x:v>-10.39</x:v>
      </x:c>
      <x:c r="AR17" s="64" t="n">
        <x:f>-ROUND(AK17*'Drivers'!U17,3)</x:f>
        <x:v>-31.93</x:v>
      </x:c>
      <x:c r="AS17" s="64" t="n">
        <x:f>-ROUND(AK17*'Drivers'!V17,3)</x:f>
        <x:v>-91.928</x:v>
      </x:c>
      <x:c r="AT17" s="64" t="n">
        <x:f>SUM(AO17:AS17)</x:f>
        <x:v>-1500.3090000000002</x:v>
      </x:c>
      <x:c r="AU17" s="65" t="n">
        <x:f>AT17/AK17</x:f>
        <x:v>-0.5771784479790413</x:v>
      </x:c>
      <x:c r="AV17" s="64" t="n">
        <x:f>AK17+AT17</x:f>
        <x:v>1099.0759999999996</x:v>
      </x:c>
      <x:c r="AW17" s="65" t="n">
        <x:f>AV17/AK17</x:f>
        <x:v>0.42282155202095867</x:v>
      </x:c>
      <x:c r="AX17" s="64" t="n">
        <x:f>-ROUND(AK17*'Drivers'!W17,3)</x:f>
        <x:v>-38.078</x:v>
      </x:c>
      <x:c r="AY17" s="64" t="n">
        <x:f>-ROUND(AK17*'Drivers'!X17,3)</x:f>
        <x:v>-61.258</x:v>
      </x:c>
      <x:c r="AZ17" s="64" t="n">
        <x:f>-ROUND(AK17*'Drivers'!Y17,3)</x:f>
        <x:v>-43.287</x:v>
      </x:c>
      <x:c r="BA17" s="64" t="n">
        <x:f>-ROUND(AK17*'Drivers'!Z17,3)</x:f>
        <x:v>-21.337</x:v>
      </x:c>
      <x:c r="BB17" s="64" t="n">
        <x:f>-ROUND(AK17*'Drivers'!AA17,3)</x:f>
        <x:v>-23.707</x:v>
      </x:c>
      <x:c r="BC17" s="64" t="n">
        <x:f>SUM(BA17,BB17)</x:f>
        <x:v>-45.044</x:v>
      </x:c>
      <x:c r="BD17" s="64" t="n">
        <x:f>-ROUND(AK17*'Drivers'!AB17,3)</x:f>
        <x:v>-10.193</x:v>
      </x:c>
      <x:c r="BE17" s="64" t="n">
        <x:f>SUM(AX17:BB17,BD17)</x:f>
        <x:v>-197.86</x:v>
      </x:c>
      <x:c r="BF17" s="67" t="n">
        <x:f>'Drivers'!AF17</x:f>
        <x:v>8</x:v>
      </x:c>
      <x:c r="BG17" s="64" t="n">
        <x:f>BJ17</x:f>
        <x:v>-68.65</x:v>
      </x:c>
      <x:c r="BH17" s="64" t="n">
        <x:f>BE17/BF17</x:f>
        <x:v>-24.7325</x:v>
      </x:c>
      <x:c r="BI17" s="68" t="n">
        <x:f>BF17/L17</x:f>
        <x:v>1.3333333333333333</x:v>
      </x:c>
      <x:c r="BJ17" s="64" t="n">
        <x:f>-ROUND(AK17*'Drivers'!AC17,3)</x:f>
        <x:v>-68.65</x:v>
      </x:c>
      <x:c r="BK17" s="64" t="n">
        <x:f>-ROUND(AK17*'Drivers'!AD17,3)</x:f>
        <x:v>-296.711</x:v>
      </x:c>
      <x:c r="BL17" s="64" t="n">
        <x:f>SUM(AV17,BE17,BJ17,BK17)</x:f>
        <x:v>535.8549999999996</x:v>
      </x:c>
      <x:c r="BM17" s="65" t="n">
        <x:f>BL17/AK17</x:f>
        <x:v>0.2061468385791253</x:v>
      </x:c>
      <x:c r="BN17" s="64" t="n">
        <x:f>-ROUND(AK17*'Drivers'!AE17,3)</x:f>
        <x:v>-174.843</x:v>
      </x:c>
      <x:c r="BO17" s="64" t="n">
        <x:f>BL17+BN17</x:f>
        <x:v>361.0119999999996</x:v>
      </x:c>
      <x:c r="BP17" s="65" t="n">
        <x:f>BO17/AK17</x:f>
        <x:v>0.13888362054870657</x:v>
      </x:c>
    </x:row>
    <x:row r="18">
      <x:c r="A18" s="61" t="n">
        <x:v>2025</x:v>
      </x:c>
      <x:c r="B18" s="18" t="str">
        <x:v>S1</x:v>
      </x:c>
      <x:c r="C18" s="18" t="str">
        <x:v>2025 S1</x:v>
      </x:c>
      <x:c r="D18" s="18" t="str">
        <x:v>CNCT0005</x:v>
      </x:c>
      <x:c r="E18" s="18" t="str">
        <x:v>北京西单大悦城</x:v>
      </x:c>
      <x:c r="F18" s="18" t="str">
        <x:v>北京</x:v>
      </x:c>
      <x:c r="G18" s="18" t="str">
        <x:v>北京市</x:v>
      </x:c>
      <x:c r="H18" s="18" t="str">
        <x:v>北区</x:v>
      </x:c>
      <x:c r="I18" s="18" t="str">
        <x:v>Shopping Mall</x:v>
      </x:c>
      <x:c r="J18" s="18" t="str">
        <x:v>Core Shopping Center</x:v>
      </x:c>
      <x:c r="K18" s="18" t="str">
        <x:v>正常</x:v>
      </x:c>
      <x:c r="L18" s="62" t="n">
        <x:v>6</x:v>
      </x:c>
      <x:c r="M18" s="62" t="n">
        <x:v>53</x:v>
      </x:c>
      <x:c r="N18" s="63" t="n">
        <x:f>'Drivers'!C18</x:f>
        <x:v>2713</x:v>
      </x:c>
      <x:c r="O18" s="63" t="n">
        <x:f>'Drivers'!D18</x:f>
        <x:v>1032.803</x:v>
      </x:c>
      <x:c r="P18" s="64" t="n">
        <x:f>ROUND(N18*O18/1000,3)</x:f>
        <x:v>2801.995</x:v>
      </x:c>
      <x:c r="Q18" s="64" t="n">
        <x:f>ROUND(P18*'Drivers'!E18,3)</x:f>
        <x:v>2710.63</x:v>
      </x:c>
      <x:c r="R18" s="64" t="n">
        <x:f>-ROUND(Q18*'Drivers'!F18,3)</x:f>
        <x:v>-463.555</x:v>
      </x:c>
      <x:c r="S18" s="65" t="n">
        <x:f>R18/Q18</x:f>
        <x:v>-0.1710137495711329</x:v>
      </x:c>
      <x:c r="T18" s="64" t="n">
        <x:f>-ROUND(Q18*'Drivers'!G18,3)</x:f>
        <x:v>-39.761</x:v>
      </x:c>
      <x:c r="U18" s="65" t="n">
        <x:f>T18/Q18</x:f>
        <x:v>-0.014668545688640648</x:v>
      </x:c>
      <x:c r="V18" s="64" t="n">
        <x:f>-ROUND(Q18*'Drivers'!H18,3)</x:f>
        <x:v>-26.707</x:v>
      </x:c>
      <x:c r="W18" s="64" t="n">
        <x:f>-ROUND(Q18*'Drivers'!I18,3)</x:f>
        <x:v>-25.143</x:v>
      </x:c>
      <x:c r="X18" s="64" t="n">
        <x:f>-ROUND(Q18*'Drivers'!J18,3)</x:f>
        <x:v>-38.416</x:v>
      </x:c>
      <x:c r="Y18" s="64" t="n">
        <x:f>-ROUND(Q18*'Drivers'!K18,3)</x:f>
        <x:v>-37.885</x:v>
      </x:c>
      <x:c r="Z18" s="64" t="n">
        <x:f>-ROUND(Q18*'Drivers'!L18,3)</x:f>
        <x:v>-31.625</x:v>
      </x:c>
      <x:c r="AA18" s="64" t="n">
        <x:f>-ROUND(Q18*'Drivers'!M18,3)</x:f>
        <x:v>-16.187</x:v>
      </x:c>
      <x:c r="AB18" s="64" t="n">
        <x:f>-ROUND(Q18*'Drivers'!N18,3)</x:f>
        <x:v>-14.026</x:v>
      </x:c>
      <x:c r="AC18" s="64" t="n">
        <x:f>SUM(V18:AB18)</x:f>
        <x:v>-189.989</x:v>
      </x:c>
      <x:c r="AD18" s="65" t="n">
        <x:f>AC18/Q18</x:f>
        <x:v>-0.07009034800028037</x:v>
      </x:c>
      <x:c r="AE18" s="64" t="n">
        <x:f>-ROUND(Q18*'Drivers'!O18,3)</x:f>
        <x:v>-31.9</x:v>
      </x:c>
      <x:c r="AF18" s="65" t="n">
        <x:f>AE18/Q18</x:f>
        <x:v>-0.011768481865839306</x:v>
      </x:c>
      <x:c r="AG18" s="64" t="n">
        <x:f>-ROUND(Q18*'Drivers'!P18,3)</x:f>
        <x:v>-0.568</x:v>
      </x:c>
      <x:c r="AH18" s="64" t="n">
        <x:f>-ROUND(Q18*'Drivers'!Q18,3)</x:f>
        <x:v>-9.26</x:v>
      </x:c>
      <x:c r="AI18" s="64" t="n">
        <x:f>SUM(R18,T18,AC18,AE18,AG18,AH18)</x:f>
        <x:v>-735.033</x:v>
      </x:c>
      <x:c r="AJ18" s="65" t="n">
        <x:f>AI18/Q18</x:f>
        <x:v>-0.2711668505107669</x:v>
      </x:c>
      <x:c r="AK18" s="64" t="n">
        <x:f>Q18+AI18</x:f>
        <x:v>1975.5970000000002</x:v>
      </x:c>
      <x:c r="AL18" s="65" t="n">
        <x:f>AK18/Q18</x:f>
        <x:v>0.7288331494892332</x:v>
      </x:c>
      <x:c r="AM18" s="64" t="n">
        <x:f>AK18/L18</x:f>
        <x:v>329.2661666666667</x:v>
      </x:c>
      <x:c r="AN18" s="66" t="str">
        <x:f>IF(AM18&lt;=200,"≤200K",IF(AM18&lt;=350,"200–350K",IF(AM18&lt;=500,"350–500K",IF(AM18&lt;=700,"500–700K","&gt;700K"))))</x:f>
        <x:v>200–350K</x:v>
      </x:c>
      <x:c r="AO18" s="64" t="n">
        <x:f>-ROUND(Q18*'Drivers'!R18,3)</x:f>
        <x:v>-1035.069</x:v>
      </x:c>
      <x:c r="AP18" s="64" t="n">
        <x:f>-ROUND(AK18*'Drivers'!S18,3)</x:f>
        <x:v>-23.416</x:v>
      </x:c>
      <x:c r="AQ18" s="64" t="n">
        <x:f>-ROUND(AK18*'Drivers'!T18,3)</x:f>
        <x:v>-7.836</x:v>
      </x:c>
      <x:c r="AR18" s="64" t="n">
        <x:f>-ROUND(AK18*'Drivers'!U18,3)</x:f>
        <x:v>-11.072</x:v>
      </x:c>
      <x:c r="AS18" s="64" t="n">
        <x:f>-ROUND(AK18*'Drivers'!V18,3)</x:f>
        <x:v>-72.722</x:v>
      </x:c>
      <x:c r="AT18" s="64" t="n">
        <x:f>SUM(AO18:AS18)</x:f>
        <x:v>-1150.1149999999998</x:v>
      </x:c>
      <x:c r="AU18" s="65" t="n">
        <x:f>AT18/AK18</x:f>
        <x:v>-0.5821607341983206</x:v>
      </x:c>
      <x:c r="AV18" s="64" t="n">
        <x:f>AK18+AT18</x:f>
        <x:v>825.4820000000004</x:v>
      </x:c>
      <x:c r="AW18" s="65" t="n">
        <x:f>AV18/AK18</x:f>
        <x:v>0.41783926580167935</x:v>
      </x:c>
      <x:c r="AX18" s="64" t="n">
        <x:f>-ROUND(AK18*'Drivers'!W18,3)</x:f>
        <x:v>-26.468</x:v>
      </x:c>
      <x:c r="AY18" s="64" t="n">
        <x:f>-ROUND(AK18*'Drivers'!X18,3)</x:f>
        <x:v>-54.118</x:v>
      </x:c>
      <x:c r="AZ18" s="64" t="n">
        <x:f>-ROUND(AK18*'Drivers'!Y18,3)</x:f>
        <x:v>-31.122</x:v>
      </x:c>
      <x:c r="BA18" s="64" t="n">
        <x:f>-ROUND(AK18*'Drivers'!Z18,3)</x:f>
        <x:v>-12.682</x:v>
      </x:c>
      <x:c r="BB18" s="64" t="n">
        <x:f>-ROUND(AK18*'Drivers'!AA18,3)</x:f>
        <x:v>-12.089</x:v>
      </x:c>
      <x:c r="BC18" s="64" t="n">
        <x:f>SUM(BA18,BB18)</x:f>
        <x:v>-24.771</x:v>
      </x:c>
      <x:c r="BD18" s="64" t="n">
        <x:f>-ROUND(AK18*'Drivers'!AB18,3)</x:f>
        <x:v>-8.076</x:v>
      </x:c>
      <x:c r="BE18" s="64" t="n">
        <x:f>SUM(AX18:BB18,BD18)</x:f>
        <x:v>-144.555</x:v>
      </x:c>
      <x:c r="BF18" s="67" t="n">
        <x:f>'Drivers'!AF18</x:f>
        <x:v>13</x:v>
      </x:c>
      <x:c r="BG18" s="64" t="n">
        <x:f>BJ18</x:f>
        <x:v>-41.885</x:v>
      </x:c>
      <x:c r="BH18" s="64" t="n">
        <x:f>BE18/BF18</x:f>
        <x:v>-11.119615384615384</x:v>
      </x:c>
      <x:c r="BI18" s="68" t="n">
        <x:f>BF18/L18</x:f>
        <x:v>2.1666666666666665</x:v>
      </x:c>
      <x:c r="BJ18" s="64" t="n">
        <x:f>-ROUND(AK18*'Drivers'!AC18,3)</x:f>
        <x:v>-41.885</x:v>
      </x:c>
      <x:c r="BK18" s="64" t="n">
        <x:f>-ROUND(AK18*'Drivers'!AD18,3)</x:f>
        <x:v>-215.839</x:v>
      </x:c>
      <x:c r="BL18" s="64" t="n">
        <x:f>SUM(AV18,BE18,BJ18,BK18)</x:f>
        <x:v>423.2030000000004</x:v>
      </x:c>
      <x:c r="BM18" s="65" t="n">
        <x:f>BL18/AK18</x:f>
        <x:v>0.21421524734042435</x:v>
      </x:c>
      <x:c r="BN18" s="64" t="n">
        <x:f>-ROUND(AK18*'Drivers'!AE18,3)</x:f>
        <x:v>-189.563</x:v>
      </x:c>
      <x:c r="BO18" s="64" t="n">
        <x:f>BL18+BN18</x:f>
        <x:v>233.64000000000038</x:v>
      </x:c>
      <x:c r="BP18" s="65" t="n">
        <x:f>BO18/AK18</x:f>
        <x:v>0.11826298582150123</x:v>
      </x:c>
    </x:row>
    <x:row r="19">
      <x:c r="A19" s="61" t="n">
        <x:v>2025</x:v>
      </x:c>
      <x:c r="B19" s="18" t="str">
        <x:v>S2</x:v>
      </x:c>
      <x:c r="C19" s="18" t="str">
        <x:v>2025 S2</x:v>
      </x:c>
      <x:c r="D19" s="18" t="str">
        <x:v>CNCT0005</x:v>
      </x:c>
      <x:c r="E19" s="18" t="str">
        <x:v>北京西单大悦城</x:v>
      </x:c>
      <x:c r="F19" s="18" t="str">
        <x:v>北京</x:v>
      </x:c>
      <x:c r="G19" s="18" t="str">
        <x:v>北京市</x:v>
      </x:c>
      <x:c r="H19" s="18" t="str">
        <x:v>北区</x:v>
      </x:c>
      <x:c r="I19" s="18" t="str">
        <x:v>Shopping Mall</x:v>
      </x:c>
      <x:c r="J19" s="18" t="str">
        <x:v>Core Shopping Center</x:v>
      </x:c>
      <x:c r="K19" s="18" t="str">
        <x:v>正常</x:v>
      </x:c>
      <x:c r="L19" s="62" t="n">
        <x:v>6</x:v>
      </x:c>
      <x:c r="M19" s="62" t="n">
        <x:v>53</x:v>
      </x:c>
      <x:c r="N19" s="63" t="n">
        <x:f>'Drivers'!C19</x:f>
        <x:v>2904</x:v>
      </x:c>
      <x:c r="O19" s="63" t="n">
        <x:f>'Drivers'!D19</x:f>
        <x:v>1045.196</x:v>
      </x:c>
      <x:c r="P19" s="64" t="n">
        <x:f>ROUND(N19*O19/1000,3)</x:f>
        <x:v>3035.249</x:v>
      </x:c>
      <x:c r="Q19" s="64" t="n">
        <x:f>ROUND(P19*'Drivers'!E19,3)</x:f>
        <x:v>2988.916</x:v>
      </x:c>
      <x:c r="R19" s="64" t="n">
        <x:f>-ROUND(Q19*'Drivers'!F19,3)</x:f>
        <x:v>-511.146</x:v>
      </x:c>
      <x:c r="S19" s="65" t="n">
        <x:f>R19/Q19</x:f>
        <x:v>-0.1710138391309759</x:v>
      </x:c>
      <x:c r="T19" s="64" t="n">
        <x:f>-ROUND(Q19*'Drivers'!G19,3)</x:f>
        <x:v>-43.843</x:v>
      </x:c>
      <x:c r="U19" s="65" t="n">
        <x:f>T19/Q19</x:f>
        <x:v>-0.01466852865721218</x:v>
      </x:c>
      <x:c r="V19" s="64" t="n">
        <x:f>-ROUND(Q19*'Drivers'!H19,3)</x:f>
        <x:v>-29.449</x:v>
      </x:c>
      <x:c r="W19" s="64" t="n">
        <x:f>-ROUND(Q19*'Drivers'!I19,3)</x:f>
        <x:v>-27.724</x:v>
      </x:c>
      <x:c r="X19" s="64" t="n">
        <x:f>-ROUND(Q19*'Drivers'!J19,3)</x:f>
        <x:v>-42.36</x:v>
      </x:c>
      <x:c r="Y19" s="64" t="n">
        <x:f>-ROUND(Q19*'Drivers'!K19,3)</x:f>
        <x:v>-41.774</x:v>
      </x:c>
      <x:c r="Z19" s="64" t="n">
        <x:f>-ROUND(Q19*'Drivers'!L19,3)</x:f>
        <x:v>-34.872</x:v>
      </x:c>
      <x:c r="AA19" s="64" t="n">
        <x:f>-ROUND(Q19*'Drivers'!M19,3)</x:f>
        <x:v>-17.849</x:v>
      </x:c>
      <x:c r="AB19" s="64" t="n">
        <x:f>-ROUND(Q19*'Drivers'!N19,3)</x:f>
        <x:v>-15.466</x:v>
      </x:c>
      <x:c r="AC19" s="64" t="n">
        <x:f>SUM(V19:AB19)</x:f>
        <x:v>-209.49400000000003</x:v>
      </x:c>
      <x:c r="AD19" s="65" t="n">
        <x:f>AC19/Q19</x:f>
        <x:v>-0.07009029360477177</x:v>
      </x:c>
      <x:c r="AE19" s="64" t="n">
        <x:f>-ROUND(Q19*'Drivers'!O19,3)</x:f>
        <x:v>-35.176</x:v>
      </x:c>
      <x:c r="AF19" s="65" t="n">
        <x:f>AE19/Q19</x:f>
        <x:v>-0.011768815182494256</x:v>
      </x:c>
      <x:c r="AG19" s="64" t="n">
        <x:f>-ROUND(Q19*'Drivers'!P19,3)</x:f>
        <x:v>-0.627</x:v>
      </x:c>
      <x:c r="AH19" s="64" t="n">
        <x:f>-ROUND(Q19*'Drivers'!Q19,3)</x:f>
        <x:v>-10.21</x:v>
      </x:c>
      <x:c r="AI19" s="64" t="n">
        <x:f>SUM(R19,T19,AC19,AE19,AG19,AH19)</x:f>
        <x:v>-810.4960000000001</x:v>
      </x:c>
      <x:c r="AJ19" s="65" t="n">
        <x:f>AI19/Q19</x:f>
        <x:v>-0.27116720576958336</x:v>
      </x:c>
      <x:c r="AK19" s="64" t="n">
        <x:f>Q19+AI19</x:f>
        <x:v>2178.42</x:v>
      </x:c>
      <x:c r="AL19" s="65" t="n">
        <x:f>AK19/Q19</x:f>
        <x:v>0.7288327942304166</x:v>
      </x:c>
      <x:c r="AM19" s="64" t="n">
        <x:f>AK19/L19</x:f>
        <x:v>363.07</x:v>
      </x:c>
      <x:c r="AN19" s="66" t="str">
        <x:f>IF(AM19&lt;=200,"≤200K",IF(AM19&lt;=350,"200–350K",IF(AM19&lt;=500,"350–500K",IF(AM19&lt;=700,"500–700K","&gt;700K"))))</x:f>
        <x:v>350–500K</x:v>
      </x:c>
      <x:c r="AO19" s="64" t="n">
        <x:f>-ROUND(Q19*'Drivers'!R19,3)</x:f>
        <x:v>-1119.749</x:v>
      </x:c>
      <x:c r="AP19" s="64" t="n">
        <x:f>-ROUND(AK19*'Drivers'!S19,3)</x:f>
        <x:v>-25.82</x:v>
      </x:c>
      <x:c r="AQ19" s="64" t="n">
        <x:f>-ROUND(AK19*'Drivers'!T19,3)</x:f>
        <x:v>-8.64</x:v>
      </x:c>
      <x:c r="AR19" s="64" t="n">
        <x:f>-ROUND(AK19*'Drivers'!U19,3)</x:f>
        <x:v>-12.209</x:v>
      </x:c>
      <x:c r="AS19" s="64" t="n">
        <x:f>-ROUND(AK19*'Drivers'!V19,3)</x:f>
        <x:v>-80.188</x:v>
      </x:c>
      <x:c r="AT19" s="64" t="n">
        <x:f>SUM(AO19:AS19)</x:f>
        <x:v>-1246.6060000000002</x:v>
      </x:c>
      <x:c r="AU19" s="65" t="n">
        <x:f>AT19/AK19</x:f>
        <x:v>-0.572252366393992</x:v>
      </x:c>
      <x:c r="AV19" s="64" t="n">
        <x:f>AK19+AT19</x:f>
        <x:v>931.8139999999999</x:v>
      </x:c>
      <x:c r="AW19" s="65" t="n">
        <x:f>AV19/AK19</x:f>
        <x:v>0.4277476336060079</x:v>
      </x:c>
      <x:c r="AX19" s="64" t="n">
        <x:f>-ROUND(AK19*'Drivers'!W19,3)</x:f>
        <x:v>-29.185</x:v>
      </x:c>
      <x:c r="AY19" s="64" t="n">
        <x:f>-ROUND(AK19*'Drivers'!X19,3)</x:f>
        <x:v>-59.674</x:v>
      </x:c>
      <x:c r="AZ19" s="64" t="n">
        <x:f>-ROUND(AK19*'Drivers'!Y19,3)</x:f>
        <x:v>-34.317</x:v>
      </x:c>
      <x:c r="BA19" s="64" t="n">
        <x:f>-ROUND(AK19*'Drivers'!Z19,3)</x:f>
        <x:v>-13.983</x:v>
      </x:c>
      <x:c r="BB19" s="64" t="n">
        <x:f>-ROUND(AK19*'Drivers'!AA19,3)</x:f>
        <x:v>-13.33</x:v>
      </x:c>
      <x:c r="BC19" s="64" t="n">
        <x:f>SUM(BA19,BB19)</x:f>
        <x:v>-27.313000000000002</x:v>
      </x:c>
      <x:c r="BD19" s="64" t="n">
        <x:f>-ROUND(AK19*'Drivers'!AB19,3)</x:f>
        <x:v>-8.905</x:v>
      </x:c>
      <x:c r="BE19" s="64" t="n">
        <x:f>SUM(AX19:BB19,BD19)</x:f>
        <x:v>-159.394</x:v>
      </x:c>
      <x:c r="BF19" s="67" t="n">
        <x:f>'Drivers'!AF19</x:f>
        <x:v>13</x:v>
      </x:c>
      <x:c r="BG19" s="64" t="n">
        <x:f>BJ19</x:f>
        <x:v>-46.185</x:v>
      </x:c>
      <x:c r="BH19" s="64" t="n">
        <x:f>BE19/BF19</x:f>
        <x:v>-12.261076923076924</x:v>
      </x:c>
      <x:c r="BI19" s="68" t="n">
        <x:f>BF19/L19</x:f>
        <x:v>2.1666666666666665</x:v>
      </x:c>
      <x:c r="BJ19" s="64" t="n">
        <x:f>-ROUND(AK19*'Drivers'!AC19,3)</x:f>
        <x:v>-46.185</x:v>
      </x:c>
      <x:c r="BK19" s="64" t="n">
        <x:f>-ROUND(AK19*'Drivers'!AD19,3)</x:f>
        <x:v>-237.998</x:v>
      </x:c>
      <x:c r="BL19" s="64" t="n">
        <x:f>SUM(AV19,BE19,BJ19,BK19)</x:f>
        <x:v>488.2369999999999</x:v>
      </x:c>
      <x:c r="BM19" s="65" t="n">
        <x:f>BL19/AK19</x:f>
        <x:v>0.22412436536572372</x:v>
      </x:c>
      <x:c r="BN19" s="64" t="n">
        <x:f>-ROUND(AK19*'Drivers'!AE19,3)</x:f>
        <x:v>-209.024</x:v>
      </x:c>
      <x:c r="BO19" s="64" t="n">
        <x:f>BL19+BN19</x:f>
        <x:v>279.2129999999999</x:v>
      </x:c>
      <x:c r="BP19" s="65" t="n">
        <x:f>BO19/AK19</x:f>
        <x:v>0.12817225328449056</x:v>
      </x:c>
    </x:row>
    <x:row r="20">
      <x:c r="A20" s="61" t="n">
        <x:v>2026</x:v>
      </x:c>
      <x:c r="B20" s="18" t="str">
        <x:v>S1</x:v>
      </x:c>
      <x:c r="C20" s="18" t="str">
        <x:v>2026 S1</x:v>
      </x:c>
      <x:c r="D20" s="18" t="str">
        <x:v>CNCT0005</x:v>
      </x:c>
      <x:c r="E20" s="18" t="str">
        <x:v>北京西单大悦城</x:v>
      </x:c>
      <x:c r="F20" s="18" t="str">
        <x:v>北京</x:v>
      </x:c>
      <x:c r="G20" s="18" t="str">
        <x:v>北京市</x:v>
      </x:c>
      <x:c r="H20" s="18" t="str">
        <x:v>北区</x:v>
      </x:c>
      <x:c r="I20" s="18" t="str">
        <x:v>Shopping Mall</x:v>
      </x:c>
      <x:c r="J20" s="18" t="str">
        <x:v>Core Shopping Center</x:v>
      </x:c>
      <x:c r="K20" s="18" t="str">
        <x:v>正常</x:v>
      </x:c>
      <x:c r="L20" s="62" t="n">
        <x:v>6</x:v>
      </x:c>
      <x:c r="M20" s="62" t="n">
        <x:v>53</x:v>
      </x:c>
      <x:c r="N20" s="63" t="n">
        <x:f>'Drivers'!C20</x:f>
        <x:v>2612</x:v>
      </x:c>
      <x:c r="O20" s="63" t="n">
        <x:f>'Drivers'!D20</x:f>
        <x:v>1053.419</x:v>
      </x:c>
      <x:c r="P20" s="64" t="n">
        <x:f>ROUND(N20*O20/1000,3)</x:f>
        <x:v>2751.53</x:v>
      </x:c>
      <x:c r="Q20" s="64" t="n">
        <x:f>ROUND(P20*'Drivers'!E20,3)</x:f>
        <x:v>2669.052</x:v>
      </x:c>
      <x:c r="R20" s="64" t="n">
        <x:f>-ROUND(Q20*'Drivers'!F20,3)</x:f>
        <x:v>-441.383</x:v>
      </x:c>
      <x:c r="S20" s="65" t="n">
        <x:f>R20/Q20</x:f>
        <x:v>-0.16537070090803774</x:v>
      </x:c>
      <x:c r="T20" s="64" t="n">
        <x:f>-ROUND(Q20*'Drivers'!G20,3)</x:f>
        <x:v>-36.039</x:v>
      </x:c>
      <x:c r="U20" s="65" t="n">
        <x:f>T20/Q20</x:f>
        <x:v>-0.013502546971733784</x:v>
      </x:c>
      <x:c r="V20" s="64" t="n">
        <x:f>-ROUND(Q20*'Drivers'!H20,3)</x:f>
        <x:v>-26.298</x:v>
      </x:c>
      <x:c r="W20" s="64" t="n">
        <x:f>-ROUND(Q20*'Drivers'!I20,3)</x:f>
        <x:v>-24.757</x:v>
      </x:c>
      <x:c r="X20" s="64" t="n">
        <x:f>-ROUND(Q20*'Drivers'!J20,3)</x:f>
        <x:v>-37.827</x:v>
      </x:c>
      <x:c r="Y20" s="64" t="n">
        <x:f>-ROUND(Q20*'Drivers'!K20,3)</x:f>
        <x:v>-37.304</x:v>
      </x:c>
      <x:c r="Z20" s="64" t="n">
        <x:f>-ROUND(Q20*'Drivers'!L20,3)</x:f>
        <x:v>-31.14</x:v>
      </x:c>
      <x:c r="AA20" s="64" t="n">
        <x:f>-ROUND(Q20*'Drivers'!M20,3)</x:f>
        <x:v>-15.938</x:v>
      </x:c>
      <x:c r="AB20" s="64" t="n">
        <x:f>-ROUND(Q20*'Drivers'!N20,3)</x:f>
        <x:v>-13.811</x:v>
      </x:c>
      <x:c r="AC20" s="64" t="n">
        <x:f>SUM(V20:AB20)</x:f>
        <x:v>-187.07500000000002</x:v>
      </x:c>
      <x:c r="AD20" s="65" t="n">
        <x:f>AC20/Q20</x:f>
        <x:v>-0.07009042911116008</x:v>
      </x:c>
      <x:c r="AE20" s="64" t="n">
        <x:f>-ROUND(Q20*'Drivers'!O20,3)</x:f>
        <x:v>-32.161</x:v>
      </x:c>
      <x:c r="AF20" s="65" t="n">
        <x:f>AE20/Q20</x:f>
        <x:v>-0.012049596635809269</x:v>
      </x:c>
      <x:c r="AG20" s="64" t="n">
        <x:f>-ROUND(Q20*'Drivers'!P20,3)</x:f>
        <x:v>-0.56</x:v>
      </x:c>
      <x:c r="AH20" s="64" t="n">
        <x:f>-ROUND(Q20*'Drivers'!Q20,3)</x:f>
        <x:v>-9.117</x:v>
      </x:c>
      <x:c r="AI20" s="64" t="n">
        <x:f>SUM(R20,T20,AC20,AE20,AG20,AH20)</x:f>
        <x:v>-706.3349999999998</x:v>
      </x:c>
      <x:c r="AJ20" s="65" t="n">
        <x:f>AI20/Q20</x:f>
        <x:v>-0.264638905499031</x:v>
      </x:c>
      <x:c r="AK20" s="64" t="n">
        <x:f>Q20+AI20</x:f>
        <x:v>1962.7170000000003</x:v>
      </x:c>
      <x:c r="AL20" s="65" t="n">
        <x:f>AK20/Q20</x:f>
        <x:v>0.735361094500969</x:v>
      </x:c>
      <x:c r="AM20" s="64" t="n">
        <x:f>AK20/L20</x:f>
        <x:v>327.1195000000001</x:v>
      </x:c>
      <x:c r="AN20" s="66" t="str">
        <x:f>IF(AM20&lt;=200,"≤200K",IF(AM20&lt;=350,"200–350K",IF(AM20&lt;=500,"350–500K",IF(AM20&lt;=700,"500–700K","&gt;700K"))))</x:f>
        <x:v>200–350K</x:v>
      </x:c>
      <x:c r="AO20" s="64" t="n">
        <x:f>-ROUND(Q20*'Drivers'!R20,3)</x:f>
        <x:v>-1040.915</x:v>
      </x:c>
      <x:c r="AP20" s="64" t="n">
        <x:f>-ROUND(AK20*'Drivers'!S20,3)</x:f>
        <x:v>-23.263</x:v>
      </x:c>
      <x:c r="AQ20" s="64" t="n">
        <x:f>-ROUND(AK20*'Drivers'!T20,3)</x:f>
        <x:v>-7.785</x:v>
      </x:c>
      <x:c r="AR20" s="64" t="n">
        <x:f>-ROUND(AK20*'Drivers'!U20,3)</x:f>
        <x:v>-11</x:v>
      </x:c>
      <x:c r="AS20" s="64" t="n">
        <x:f>-ROUND(AK20*'Drivers'!V20,3)</x:f>
        <x:v>-72.248</x:v>
      </x:c>
      <x:c r="AT20" s="64" t="n">
        <x:f>SUM(AO20:AS20)</x:f>
        <x:v>-1155.211</x:v>
      </x:c>
      <x:c r="AU20" s="65" t="n">
        <x:f>AT20/AK20</x:f>
        <x:v>-0.5885774668482516</x:v>
      </x:c>
      <x:c r="AV20" s="64" t="n">
        <x:f>AK20+AT20</x:f>
        <x:v>807.5060000000003</x:v>
      </x:c>
      <x:c r="AW20" s="65" t="n">
        <x:f>AV20/AK20</x:f>
        <x:v>0.4114225331517484</x:v>
      </x:c>
      <x:c r="AX20" s="64" t="n">
        <x:f>-ROUND(AK20*'Drivers'!W20,3)</x:f>
        <x:v>-32.355</x:v>
      </x:c>
      <x:c r="AY20" s="64" t="n">
        <x:f>-ROUND(AK20*'Drivers'!X20,3)</x:f>
        <x:v>-82.695</x:v>
      </x:c>
      <x:c r="AZ20" s="64" t="n">
        <x:f>-ROUND(AK20*'Drivers'!Y20,3)</x:f>
        <x:v>-50.218</x:v>
      </x:c>
      <x:c r="BA20" s="64" t="n">
        <x:f>-ROUND(AK20*'Drivers'!Z20,3)</x:f>
        <x:v>-15.502</x:v>
      </x:c>
      <x:c r="BB20" s="64" t="n">
        <x:f>-ROUND(AK20*'Drivers'!AA20,3)</x:f>
        <x:v>-14.777</x:v>
      </x:c>
      <x:c r="BC20" s="64" t="n">
        <x:f>SUM(BA20,BB20)</x:f>
        <x:v>-30.279</x:v>
      </x:c>
      <x:c r="BD20" s="64" t="n">
        <x:f>-ROUND(AK20*'Drivers'!AB20,3)</x:f>
        <x:v>-9.872</x:v>
      </x:c>
      <x:c r="BE20" s="64" t="n">
        <x:f>SUM(AX20:BB20,BD20)</x:f>
        <x:v>-205.41899999999998</x:v>
      </x:c>
      <x:c r="BF20" s="67" t="n">
        <x:f>'Drivers'!AF20</x:f>
        <x:v>13</x:v>
      </x:c>
      <x:c r="BG20" s="64" t="n">
        <x:f>BJ20</x:f>
        <x:v>-51.201</x:v>
      </x:c>
      <x:c r="BH20" s="64" t="n">
        <x:f>BE20/BF20</x:f>
        <x:v>-15.801461538461536</x:v>
      </x:c>
      <x:c r="BI20" s="68" t="n">
        <x:f>BF20/L20</x:f>
        <x:v>2.1666666666666665</x:v>
      </x:c>
      <x:c r="BJ20" s="64" t="n">
        <x:f>-ROUND(AK20*'Drivers'!AC20,3)</x:f>
        <x:v>-51.201</x:v>
      </x:c>
      <x:c r="BK20" s="64" t="n">
        <x:f>-ROUND(AK20*'Drivers'!AD20,3)</x:f>
        <x:v>-214.432</x:v>
      </x:c>
      <x:c r="BL20" s="64" t="n">
        <x:f>SUM(AV20,BE20,BJ20,BK20)</x:f>
        <x:v>336.4540000000003</x:v>
      </x:c>
      <x:c r="BM20" s="65" t="n">
        <x:f>BL20/AK20</x:f>
        <x:v>0.1714225739115727</x:v>
      </x:c>
      <x:c r="BN20" s="64" t="n">
        <x:f>-ROUND(AK20*'Drivers'!AE20,3)</x:f>
        <x:v>-188.327</x:v>
      </x:c>
      <x:c r="BO20" s="64" t="n">
        <x:f>BL20+BN20</x:f>
        <x:v>148.1270000000003</x:v>
      </x:c>
      <x:c r="BP20" s="65" t="n">
        <x:f>BO20/AK20</x:f>
        <x:v>0.07547038110945198</x:v>
      </x:c>
    </x:row>
    <x:row r="21">
      <x:c r="A21" s="61" t="n">
        <x:v>2026</x:v>
      </x:c>
      <x:c r="B21" s="18" t="str">
        <x:v>S2</x:v>
      </x:c>
      <x:c r="C21" s="18" t="str">
        <x:v>2026 S2</x:v>
      </x:c>
      <x:c r="D21" s="18" t="str">
        <x:v>CNCT0005</x:v>
      </x:c>
      <x:c r="E21" s="18" t="str">
        <x:v>北京西单大悦城</x:v>
      </x:c>
      <x:c r="F21" s="18" t="str">
        <x:v>北京</x:v>
      </x:c>
      <x:c r="G21" s="18" t="str">
        <x:v>北京市</x:v>
      </x:c>
      <x:c r="H21" s="18" t="str">
        <x:v>北区</x:v>
      </x:c>
      <x:c r="I21" s="18" t="str">
        <x:v>Shopping Mall</x:v>
      </x:c>
      <x:c r="J21" s="18" t="str">
        <x:v>Core Shopping Center</x:v>
      </x:c>
      <x:c r="K21" s="18" t="str">
        <x:v>正常</x:v>
      </x:c>
      <x:c r="L21" s="62" t="n">
        <x:v>6</x:v>
      </x:c>
      <x:c r="M21" s="62" t="n">
        <x:v>53</x:v>
      </x:c>
      <x:c r="N21" s="63" t="n">
        <x:f>'Drivers'!C21</x:f>
        <x:v>3109</x:v>
      </x:c>
      <x:c r="O21" s="63" t="n">
        <x:f>'Drivers'!D21</x:f>
        <x:v>1066.904</x:v>
      </x:c>
      <x:c r="P21" s="64" t="n">
        <x:f>ROUND(N21*O21/1000,3)</x:f>
        <x:v>3317.005</x:v>
      </x:c>
      <x:c r="Q21" s="64" t="n">
        <x:f>ROUND(P21*'Drivers'!E21,3)</x:f>
        <x:v>3266.371</x:v>
      </x:c>
      <x:c r="R21" s="64" t="n">
        <x:f>-ROUND(Q21*'Drivers'!F21,3)</x:f>
        <x:v>-555.936</x:v>
      </x:c>
      <x:c r="S21" s="65" t="n">
        <x:f>R21/Q21</x:f>
        <x:v>-0.17019989462311538</x:v>
      </x:c>
      <x:c r="T21" s="64" t="n">
        <x:f>-ROUND(Q21*'Drivers'!G21,3)</x:f>
        <x:v>-53.441</x:v>
      </x:c>
      <x:c r="U21" s="65" t="n">
        <x:f>T21/Q21</x:f>
        <x:v>-0.016360970630709126</x:v>
      </x:c>
      <x:c r="V21" s="64" t="n">
        <x:f>-ROUND(Q21*'Drivers'!H21,3)</x:f>
        <x:v>-32.183</x:v>
      </x:c>
      <x:c r="W21" s="64" t="n">
        <x:f>-ROUND(Q21*'Drivers'!I21,3)</x:f>
        <x:v>-30.298</x:v>
      </x:c>
      <x:c r="X21" s="64" t="n">
        <x:f>-ROUND(Q21*'Drivers'!J21,3)</x:f>
        <x:v>-46.292</x:v>
      </x:c>
      <x:c r="Y21" s="64" t="n">
        <x:f>-ROUND(Q21*'Drivers'!K21,3)</x:f>
        <x:v>-45.652</x:v>
      </x:c>
      <x:c r="Z21" s="64" t="n">
        <x:f>-ROUND(Q21*'Drivers'!L21,3)</x:f>
        <x:v>-38.109</x:v>
      </x:c>
      <x:c r="AA21" s="64" t="n">
        <x:f>-ROUND(Q21*'Drivers'!M21,3)</x:f>
        <x:v>-19.505</x:v>
      </x:c>
      <x:c r="AB21" s="64" t="n">
        <x:f>-ROUND(Q21*'Drivers'!N21,3)</x:f>
        <x:v>-16.901</x:v>
      </x:c>
      <x:c r="AC21" s="64" t="n">
        <x:f>SUM(V21:AB21)</x:f>
        <x:v>-228.94000000000003</x:v>
      </x:c>
      <x:c r="AD21" s="65" t="n">
        <x:f>AC21/Q21</x:f>
        <x:v>-0.07009001733116049</x:v>
      </x:c>
      <x:c r="AE21" s="64" t="n">
        <x:f>-ROUND(Q21*'Drivers'!O21,3)</x:f>
        <x:v>-38.441</x:v>
      </x:c>
      <x:c r="AF21" s="65" t="n">
        <x:f>AE21/Q21</x:f>
        <x:v>-0.011768718250315105</x:v>
      </x:c>
      <x:c r="AG21" s="64" t="n">
        <x:f>-ROUND(Q21*'Drivers'!P21,3)</x:f>
        <x:v>-0.685</x:v>
      </x:c>
      <x:c r="AH21" s="64" t="n">
        <x:f>-ROUND(Q21*'Drivers'!Q21,3)</x:f>
        <x:v>-11.158</x:v>
      </x:c>
      <x:c r="AI21" s="64" t="n">
        <x:f>SUM(R21,T21,AC21,AE21,AG21,AH21)</x:f>
        <x:v>-888.6010000000001</x:v>
      </x:c>
      <x:c r="AJ21" s="65" t="n">
        <x:f>AI21/Q21</x:f>
        <x:v>-0.27204533716470053</x:v>
      </x:c>
      <x:c r="AK21" s="64" t="n">
        <x:f>Q21+AI21</x:f>
        <x:v>2377.77</x:v>
      </x:c>
      <x:c r="AL21" s="65" t="n">
        <x:f>AK21/Q21</x:f>
        <x:v>0.7279546628352994</x:v>
      </x:c>
      <x:c r="AM21" s="64" t="n">
        <x:f>AK21/L21</x:f>
        <x:v>396.295</x:v>
      </x:c>
      <x:c r="AN21" s="66" t="str">
        <x:f>IF(AM21&lt;=200,"≤200K",IF(AM21&lt;=350,"200–350K",IF(AM21&lt;=500,"350–500K",IF(AM21&lt;=700,"500–700K","&gt;700K"))))</x:f>
        <x:v>350–500K</x:v>
      </x:c>
      <x:c r="AO21" s="64" t="n">
        <x:f>-ROUND(Q21*'Drivers'!R21,3)</x:f>
        <x:v>-1214.411</x:v>
      </x:c>
      <x:c r="AP21" s="64" t="n">
        <x:f>-ROUND(AK21*'Drivers'!S21,3)</x:f>
        <x:v>-28.183</x:v>
      </x:c>
      <x:c r="AQ21" s="64" t="n">
        <x:f>-ROUND(AK21*'Drivers'!T21,3)</x:f>
        <x:v>-9.431</x:v>
      </x:c>
      <x:c r="AR21" s="64" t="n">
        <x:f>-ROUND(AK21*'Drivers'!U21,3)</x:f>
        <x:v>-13.326</x:v>
      </x:c>
      <x:c r="AS21" s="64" t="n">
        <x:f>-ROUND(AK21*'Drivers'!V21,3)</x:f>
        <x:v>-87.526</x:v>
      </x:c>
      <x:c r="AT21" s="64" t="n">
        <x:f>SUM(AO21:AS21)</x:f>
        <x:v>-1352.8770000000002</x:v>
      </x:c>
      <x:c r="AU21" s="65" t="n">
        <x:f>AT21/AK21</x:f>
        <x:v>-0.5689688237297973</x:v>
      </x:c>
      <x:c r="AV21" s="64" t="n">
        <x:f>AK21+AT21</x:f>
        <x:v>1024.8929999999998</x:v>
      </x:c>
      <x:c r="AW21" s="65" t="n">
        <x:f>AV21/AK21</x:f>
        <x:v>0.43103117627020265</x:v>
      </x:c>
      <x:c r="AX21" s="64" t="n">
        <x:f>-ROUND(AK21*'Drivers'!W21,3)</x:f>
        <x:v>-33.767</x:v>
      </x:c>
      <x:c r="AY21" s="64" t="n">
        <x:f>-ROUND(AK21*'Drivers'!X21,3)</x:f>
        <x:v>-69.043</x:v>
      </x:c>
      <x:c r="AZ21" s="64" t="n">
        <x:f>-ROUND(AK21*'Drivers'!Y21,3)</x:f>
        <x:v>-39.704</x:v>
      </x:c>
      <x:c r="BA21" s="64" t="n">
        <x:f>-ROUND(AK21*'Drivers'!Z21,3)</x:f>
        <x:v>-16.179</x:v>
      </x:c>
      <x:c r="BB21" s="64" t="n">
        <x:f>-ROUND(AK21*'Drivers'!AA21,3)</x:f>
        <x:v>-15.422</x:v>
      </x:c>
      <x:c r="BC21" s="64" t="n">
        <x:f>SUM(BA21,BB21)</x:f>
        <x:v>-31.601</x:v>
      </x:c>
      <x:c r="BD21" s="64" t="n">
        <x:f>-ROUND(AK21*'Drivers'!AB21,3)</x:f>
        <x:v>-10.303</x:v>
      </x:c>
      <x:c r="BE21" s="64" t="n">
        <x:f>SUM(AX21:BB21,BD21)</x:f>
        <x:v>-184.418</x:v>
      </x:c>
      <x:c r="BF21" s="67" t="n">
        <x:f>'Drivers'!AF21</x:f>
        <x:v>13</x:v>
      </x:c>
      <x:c r="BG21" s="64" t="n">
        <x:f>BJ21</x:f>
        <x:v>-53.436</x:v>
      </x:c>
      <x:c r="BH21" s="64" t="n">
        <x:f>BE21/BF21</x:f>
        <x:v>-14.186</x:v>
      </x:c>
      <x:c r="BI21" s="68" t="n">
        <x:f>BF21/L21</x:f>
        <x:v>2.1666666666666665</x:v>
      </x:c>
      <x:c r="BJ21" s="64" t="n">
        <x:f>-ROUND(AK21*'Drivers'!AC21,3)</x:f>
        <x:v>-53.436</x:v>
      </x:c>
      <x:c r="BK21" s="64" t="n">
        <x:f>-ROUND(AK21*'Drivers'!AD21,3)</x:f>
        <x:v>-259.778</x:v>
      </x:c>
      <x:c r="BL21" s="64" t="n">
        <x:f>SUM(AV21,BE21,BJ21,BK21)</x:f>
        <x:v>527.2609999999997</x:v>
      </x:c>
      <x:c r="BM21" s="65" t="n">
        <x:f>BL21/AK21</x:f>
        <x:v>0.22174600571123354</x:v>
      </x:c>
      <x:c r="BN21" s="64" t="n">
        <x:f>-ROUND(AK21*'Drivers'!AE21,3)</x:f>
        <x:v>-228.153</x:v>
      </x:c>
      <x:c r="BO21" s="64" t="n">
        <x:f>BL21+BN21</x:f>
        <x:v>299.1079999999997</x:v>
      </x:c>
      <x:c r="BP21" s="65" t="n">
        <x:f>BO21/AK21</x:f>
        <x:v>0.1257934955862004</x:v>
      </x:c>
    </x:row>
    <x:row r="22">
      <x:c r="A22" s="61" t="n">
        <x:v>2025</x:v>
      </x:c>
      <x:c r="B22" s="18" t="str">
        <x:v>S1</x:v>
      </x:c>
      <x:c r="C22" s="18" t="str">
        <x:v>2025 S1</x:v>
      </x:c>
      <x:c r="D22" s="18" t="str">
        <x:v>CNCT0006</x:v>
      </x:c>
      <x:c r="E22" s="18" t="str">
        <x:v>北京三里屯太古里</x:v>
      </x:c>
      <x:c r="F22" s="18" t="str">
        <x:v>北京</x:v>
      </x:c>
      <x:c r="G22" s="18" t="str">
        <x:v>北京市</x:v>
      </x:c>
      <x:c r="H22" s="18" t="str">
        <x:v>北区</x:v>
      </x:c>
      <x:c r="I22" s="18" t="str">
        <x:v>Shopping Mall</x:v>
      </x:c>
      <x:c r="J22" s="18" t="str">
        <x:v>Prestige Shopping Center</x:v>
      </x:c>
      <x:c r="K22" s="18" t="str">
        <x:v>正常</x:v>
      </x:c>
      <x:c r="L22" s="62" t="n">
        <x:v>7</x:v>
      </x:c>
      <x:c r="M22" s="62" t="n">
        <x:v>53</x:v>
      </x:c>
      <x:c r="N22" s="63" t="n">
        <x:f>'Drivers'!C22</x:f>
        <x:v>3724</x:v>
      </x:c>
      <x:c r="O22" s="63" t="n">
        <x:f>'Drivers'!D22</x:f>
        <x:v>1240.538</x:v>
      </x:c>
      <x:c r="P22" s="64" t="n">
        <x:f>ROUND(N22*O22/1000,3)</x:f>
        <x:v>4619.764</x:v>
      </x:c>
      <x:c r="Q22" s="64" t="n">
        <x:f>ROUND(P22*'Drivers'!E22,3)</x:f>
        <x:v>4523.946</x:v>
      </x:c>
      <x:c r="R22" s="64" t="n">
        <x:f>-ROUND(Q22*'Drivers'!F22,3)</x:f>
        <x:v>-767.573</x:v>
      </x:c>
      <x:c r="S22" s="65" t="n">
        <x:f>R22/Q22</x:f>
        <x:v>-0.16966891293574238</x:v>
      </x:c>
      <x:c r="T22" s="64" t="n">
        <x:f>-ROUND(Q22*'Drivers'!G22,3)</x:f>
        <x:v>-53.579</x:v>
      </x:c>
      <x:c r="U22" s="65" t="n">
        <x:f>T22/Q22</x:f>
        <x:v>-0.01184342165003738</x:v>
      </x:c>
      <x:c r="V22" s="64" t="n">
        <x:f>-ROUND(Q22*'Drivers'!H22,3)</x:f>
        <x:v>-46.9</x:v>
      </x:c>
      <x:c r="W22" s="64" t="n">
        <x:f>-ROUND(Q22*'Drivers'!I22,3)</x:f>
        <x:v>-38.915</x:v>
      </x:c>
      <x:c r="X22" s="64" t="n">
        <x:f>-ROUND(Q22*'Drivers'!J22,3)</x:f>
        <x:v>-69.112</x:v>
      </x:c>
      <x:c r="Y22" s="64" t="n">
        <x:f>-ROUND(Q22*'Drivers'!K22,3)</x:f>
        <x:v>-58.303</x:v>
      </x:c>
      <x:c r="Z22" s="64" t="n">
        <x:f>-ROUND(Q22*'Drivers'!L22,3)</x:f>
        <x:v>-40.377</x:v>
      </x:c>
      <x:c r="AA22" s="64" t="n">
        <x:f>-ROUND(Q22*'Drivers'!M22,3)</x:f>
        <x:v>-44.199</x:v>
      </x:c>
      <x:c r="AB22" s="64" t="n">
        <x:f>-ROUND(Q22*'Drivers'!N22,3)</x:f>
        <x:v>-24.824</x:v>
      </x:c>
      <x:c r="AC22" s="64" t="n">
        <x:f>SUM(V22:AB22)</x:f>
        <x:v>-322.63</x:v>
      </x:c>
      <x:c r="AD22" s="65" t="n">
        <x:f>AC22/Q22</x:f>
        <x:v>-0.07131605903341906</x:v>
      </x:c>
      <x:c r="AE22" s="64" t="n">
        <x:f>-ROUND(Q22*'Drivers'!O22,3)</x:f>
        <x:v>-68.566</x:v>
      </x:c>
      <x:c r="AF22" s="65" t="n">
        <x:f>AE22/Q22</x:f>
        <x:v>-0.01515623749708772</x:v>
      </x:c>
      <x:c r="AG22" s="64" t="n">
        <x:f>-ROUND(Q22*'Drivers'!P22,3)</x:f>
        <x:v>-6.839</x:v>
      </x:c>
      <x:c r="AH22" s="64" t="n">
        <x:f>-ROUND(Q22*'Drivers'!Q22,3)</x:f>
        <x:v>-28.872</x:v>
      </x:c>
      <x:c r="AI22" s="64" t="n">
        <x:f>SUM(R22,T22,AC22,AE22,AG22,AH22)</x:f>
        <x:v>-1248.059</x:v>
      </x:c>
      <x:c r="AJ22" s="65" t="n">
        <x:f>AI22/Q22</x:f>
        <x:v>-0.27587840349995335</x:v>
      </x:c>
      <x:c r="AK22" s="64" t="n">
        <x:f>Q22+AI22</x:f>
        <x:v>3275.8869999999997</x:v>
      </x:c>
      <x:c r="AL22" s="65" t="n">
        <x:f>AK22/Q22</x:f>
        <x:v>0.7241215965000466</x:v>
      </x:c>
      <x:c r="AM22" s="64" t="n">
        <x:f>AK22/L22</x:f>
        <x:v>467.9838571428571</x:v>
      </x:c>
      <x:c r="AN22" s="66" t="str">
        <x:f>IF(AM22&lt;=200,"≤200K",IF(AM22&lt;=350,"200–350K",IF(AM22&lt;=500,"350–500K",IF(AM22&lt;=700,"500–700K","&gt;700K"))))</x:f>
        <x:v>350–500K</x:v>
      </x:c>
      <x:c r="AO22" s="64" t="n">
        <x:f>-ROUND(Q22*'Drivers'!R22,3)</x:f>
        <x:v>-1733.365</x:v>
      </x:c>
      <x:c r="AP22" s="64" t="n">
        <x:f>-ROUND(AK22*'Drivers'!S22,3)</x:f>
        <x:v>-37.079</x:v>
      </x:c>
      <x:c r="AQ22" s="64" t="n">
        <x:f>-ROUND(AK22*'Drivers'!T22,3)</x:f>
        <x:v>-10.691</x:v>
      </x:c>
      <x:c r="AR22" s="64" t="n">
        <x:f>-ROUND(AK22*'Drivers'!U22,3)</x:f>
        <x:v>-35.339</x:v>
      </x:c>
      <x:c r="AS22" s="64" t="n">
        <x:f>-ROUND(AK22*'Drivers'!V22,3)</x:f>
        <x:v>-117.276</x:v>
      </x:c>
      <x:c r="AT22" s="64" t="n">
        <x:f>SUM(AO22:AS22)</x:f>
        <x:v>-1933.75</x:v>
      </x:c>
      <x:c r="AU22" s="65" t="n">
        <x:f>AT22/AK22</x:f>
        <x:v>-0.5902981390994256</x:v>
      </x:c>
      <x:c r="AV22" s="64" t="n">
        <x:f>AK22+AT22</x:f>
        <x:v>1342.1369999999997</x:v>
      </x:c>
      <x:c r="AW22" s="65" t="n">
        <x:f>AV22/AK22</x:f>
        <x:v>0.40970186090057437</x:v>
      </x:c>
      <x:c r="AX22" s="64" t="n">
        <x:f>-ROUND(AK22*'Drivers'!W22,3)</x:f>
        <x:v>-37.762</x:v>
      </x:c>
      <x:c r="AY22" s="64" t="n">
        <x:f>-ROUND(AK22*'Drivers'!X22,3)</x:f>
        <x:v>-80.174</x:v>
      </x:c>
      <x:c r="AZ22" s="64" t="n">
        <x:f>-ROUND(AK22*'Drivers'!Y22,3)</x:f>
        <x:v>-64.462</x:v>
      </x:c>
      <x:c r="BA22" s="64" t="n">
        <x:f>-ROUND(AK22*'Drivers'!Z22,3)</x:f>
        <x:v>-23.134</x:v>
      </x:c>
      <x:c r="BB22" s="64" t="n">
        <x:f>-ROUND(AK22*'Drivers'!AA22,3)</x:f>
        <x:v>-24.905</x:v>
      </x:c>
      <x:c r="BC22" s="64" t="n">
        <x:f>SUM(BA22,BB22)</x:f>
        <x:v>-48.039</x:v>
      </x:c>
      <x:c r="BD22" s="64" t="n">
        <x:f>-ROUND(AK22*'Drivers'!AB22,3)</x:f>
        <x:v>-20.197</x:v>
      </x:c>
      <x:c r="BE22" s="64" t="n">
        <x:f>SUM(AX22:BB22,BD22)</x:f>
        <x:v>-250.63400000000004</x:v>
      </x:c>
      <x:c r="BF22" s="67" t="n">
        <x:f>'Drivers'!AF22</x:f>
        <x:v>14</x:v>
      </x:c>
      <x:c r="BG22" s="64" t="n">
        <x:f>BJ22</x:f>
        <x:v>-97.593</x:v>
      </x:c>
      <x:c r="BH22" s="64" t="n">
        <x:f>BE22/BF22</x:f>
        <x:v>-17.902428571428576</x:v>
      </x:c>
      <x:c r="BI22" s="68" t="n">
        <x:f>BF22/L22</x:f>
        <x:v>2</x:v>
      </x:c>
      <x:c r="BJ22" s="64" t="n">
        <x:f>-ROUND(AK22*'Drivers'!AC22,3)</x:f>
        <x:v>-97.593</x:v>
      </x:c>
      <x:c r="BK22" s="64" t="n">
        <x:f>-ROUND(AK22*'Drivers'!AD22,3)</x:f>
        <x:v>-364.164</x:v>
      </x:c>
      <x:c r="BL22" s="64" t="n">
        <x:f>SUM(AV22,BE22,BJ22,BK22)</x:f>
        <x:v>629.7459999999998</x:v>
      </x:c>
      <x:c r="BM22" s="65" t="n">
        <x:f>BL22/AK22</x:f>
        <x:v>0.1922367896084327</x:v>
      </x:c>
      <x:c r="BN22" s="64" t="n">
        <x:f>-ROUND(AK22*'Drivers'!AE22,3)</x:f>
        <x:v>-235.318</x:v>
      </x:c>
      <x:c r="BO22" s="64" t="n">
        <x:f>BL22+BN22</x:f>
        <x:v>394.42799999999977</x:v>
      </x:c>
      <x:c r="BP22" s="65" t="n">
        <x:f>BO22/AK22</x:f>
        <x:v>0.12040342050870491</x:v>
      </x:c>
    </x:row>
    <x:row r="23">
      <x:c r="A23" s="61" t="n">
        <x:v>2025</x:v>
      </x:c>
      <x:c r="B23" s="18" t="str">
        <x:v>S2</x:v>
      </x:c>
      <x:c r="C23" s="18" t="str">
        <x:v>2025 S2</x:v>
      </x:c>
      <x:c r="D23" s="18" t="str">
        <x:v>CNCT0006</x:v>
      </x:c>
      <x:c r="E23" s="18" t="str">
        <x:v>北京三里屯太古里</x:v>
      </x:c>
      <x:c r="F23" s="18" t="str">
        <x:v>北京</x:v>
      </x:c>
      <x:c r="G23" s="18" t="str">
        <x:v>北京市</x:v>
      </x:c>
      <x:c r="H23" s="18" t="str">
        <x:v>北区</x:v>
      </x:c>
      <x:c r="I23" s="18" t="str">
        <x:v>Shopping Mall</x:v>
      </x:c>
      <x:c r="J23" s="18" t="str">
        <x:v>Prestige Shopping Center</x:v>
      </x:c>
      <x:c r="K23" s="18" t="str">
        <x:v>正常</x:v>
      </x:c>
      <x:c r="L23" s="62" t="n">
        <x:v>7</x:v>
      </x:c>
      <x:c r="M23" s="62" t="n">
        <x:v>53</x:v>
      </x:c>
      <x:c r="N23" s="63" t="n">
        <x:f>'Drivers'!C23</x:f>
        <x:v>3911</x:v>
      </x:c>
      <x:c r="O23" s="63" t="n">
        <x:f>'Drivers'!D23</x:f>
        <x:v>1255.424</x:v>
      </x:c>
      <x:c r="P23" s="64" t="n">
        <x:f>ROUND(N23*O23/1000,3)</x:f>
        <x:v>4909.963</x:v>
      </x:c>
      <x:c r="Q23" s="64" t="n">
        <x:f>ROUND(P23*'Drivers'!E23,3)</x:f>
        <x:v>4780.918</x:v>
      </x:c>
      <x:c r="R23" s="64" t="n">
        <x:f>-ROUND(Q23*'Drivers'!F23,3)</x:f>
        <x:v>-811.173</x:v>
      </x:c>
      <x:c r="S23" s="65" t="n">
        <x:f>R23/Q23</x:f>
        <x:v>-0.16966887949134457</x:v>
      </x:c>
      <x:c r="T23" s="64" t="n">
        <x:f>-ROUND(Q23*'Drivers'!G23,3)</x:f>
        <x:v>-56.622</x:v>
      </x:c>
      <x:c r="U23" s="65" t="n">
        <x:f>T23/Q23</x:f>
        <x:v>-0.01184333218013779</x:v>
      </x:c>
      <x:c r="V23" s="64" t="n">
        <x:f>-ROUND(Q23*'Drivers'!H23,3)</x:f>
        <x:v>-49.564</x:v>
      </x:c>
      <x:c r="W23" s="64" t="n">
        <x:f>-ROUND(Q23*'Drivers'!I23,3)</x:f>
        <x:v>-41.126</x:v>
      </x:c>
      <x:c r="X23" s="64" t="n">
        <x:f>-ROUND(Q23*'Drivers'!J23,3)</x:f>
        <x:v>-73.038</x:v>
      </x:c>
      <x:c r="Y23" s="64" t="n">
        <x:f>-ROUND(Q23*'Drivers'!K23,3)</x:f>
        <x:v>-61.615</x:v>
      </x:c>
      <x:c r="Z23" s="64" t="n">
        <x:f>-ROUND(Q23*'Drivers'!L23,3)</x:f>
        <x:v>-42.671</x:v>
      </x:c>
      <x:c r="AA23" s="64" t="n">
        <x:f>-ROUND(Q23*'Drivers'!M23,3)</x:f>
        <x:v>-46.71</x:v>
      </x:c>
      <x:c r="AB23" s="64" t="n">
        <x:f>-ROUND(Q23*'Drivers'!N23,3)</x:f>
        <x:v>-26.234</x:v>
      </x:c>
      <x:c r="AC23" s="64" t="n">
        <x:f>SUM(V23:AB23)</x:f>
        <x:v>-340.95799999999997</x:v>
      </x:c>
      <x:c r="AD23" s="65" t="n">
        <x:f>AC23/Q23</x:f>
        <x:v>-0.07131642918786726</x:v>
      </x:c>
      <x:c r="AE23" s="64" t="n">
        <x:f>-ROUND(Q23*'Drivers'!O23,3)</x:f>
        <x:v>-72.461</x:v>
      </x:c>
      <x:c r="AF23" s="65" t="n">
        <x:f>AE23/Q23</x:f>
        <x:v>-0.01515629425143874</x:v>
      </x:c>
      <x:c r="AG23" s="64" t="n">
        <x:f>-ROUND(Q23*'Drivers'!P23,3)</x:f>
        <x:v>-7.228</x:v>
      </x:c>
      <x:c r="AH23" s="64" t="n">
        <x:f>-ROUND(Q23*'Drivers'!Q23,3)</x:f>
        <x:v>-30.512</x:v>
      </x:c>
      <x:c r="AI23" s="64" t="n">
        <x:f>SUM(R23,T23,AC23,AE23,AG23,AH23)</x:f>
        <x:v>-1318.954</x:v>
      </x:c>
      <x:c r="AJ23" s="65" t="n">
        <x:f>AI23/Q23</x:f>
        <x:v>-0.27587881657874075</x:v>
      </x:c>
      <x:c r="AK23" s="64" t="n">
        <x:f>Q23+AI23</x:f>
        <x:v>3461.964</x:v>
      </x:c>
      <x:c r="AL23" s="65" t="n">
        <x:f>AK23/Q23</x:f>
        <x:v>0.7241211834212593</x:v>
      </x:c>
      <x:c r="AM23" s="64" t="n">
        <x:f>AK23/L23</x:f>
        <x:v>494.5662857142857</x:v>
      </x:c>
      <x:c r="AN23" s="66" t="str">
        <x:f>IF(AM23&lt;=200,"≤200K",IF(AM23&lt;=350,"200–350K",IF(AM23&lt;=500,"350–500K",IF(AM23&lt;=700,"500–700K","&gt;700K"))))</x:f>
        <x:v>350–500K</x:v>
      </x:c>
      <x:c r="AO23" s="64" t="n">
        <x:f>-ROUND(Q23*'Drivers'!R23,3)</x:f>
        <x:v>-1826.265</x:v>
      </x:c>
      <x:c r="AP23" s="64" t="n">
        <x:f>-ROUND(AK23*'Drivers'!S23,3)</x:f>
        <x:v>-39.185</x:v>
      </x:c>
      <x:c r="AQ23" s="64" t="n">
        <x:f>-ROUND(AK23*'Drivers'!T23,3)</x:f>
        <x:v>-11.298</x:v>
      </x:c>
      <x:c r="AR23" s="64" t="n">
        <x:f>-ROUND(AK23*'Drivers'!U23,3)</x:f>
        <x:v>-37.347</x:v>
      </x:c>
      <x:c r="AS23" s="64" t="n">
        <x:f>-ROUND(AK23*'Drivers'!V23,3)</x:f>
        <x:v>-123.937</x:v>
      </x:c>
      <x:c r="AT23" s="64" t="n">
        <x:f>SUM(AO23:AS23)</x:f>
        <x:v>-2038.032</x:v>
      </x:c>
      <x:c r="AU23" s="65" t="n">
        <x:f>AT23/AK23</x:f>
        <x:v>-0.5886924300772625</x:v>
      </x:c>
      <x:c r="AV23" s="64" t="n">
        <x:f>AK23+AT23</x:f>
        <x:v>1423.932</x:v>
      </x:c>
      <x:c r="AW23" s="65" t="n">
        <x:f>AV23/AK23</x:f>
        <x:v>0.41130756992273754</x:v>
      </x:c>
      <x:c r="AX23" s="64" t="n">
        <x:f>-ROUND(AK23*'Drivers'!W23,3)</x:f>
        <x:v>-39.907</x:v>
      </x:c>
      <x:c r="AY23" s="64" t="n">
        <x:f>-ROUND(AK23*'Drivers'!X23,3)</x:f>
        <x:v>-84.728</x:v>
      </x:c>
      <x:c r="AZ23" s="64" t="n">
        <x:f>-ROUND(AK23*'Drivers'!Y23,3)</x:f>
        <x:v>-68.124</x:v>
      </x:c>
      <x:c r="BA23" s="64" t="n">
        <x:f>-ROUND(AK23*'Drivers'!Z23,3)</x:f>
        <x:v>-24.448</x:v>
      </x:c>
      <x:c r="BB23" s="64" t="n">
        <x:f>-ROUND(AK23*'Drivers'!AA23,3)</x:f>
        <x:v>-26.32</x:v>
      </x:c>
      <x:c r="BC23" s="64" t="n">
        <x:f>SUM(BA23,BB23)</x:f>
        <x:v>-50.768</x:v>
      </x:c>
      <x:c r="BD23" s="64" t="n">
        <x:f>-ROUND(AK23*'Drivers'!AB23,3)</x:f>
        <x:v>-21.345</x:v>
      </x:c>
      <x:c r="BE23" s="64" t="n">
        <x:f>SUM(AX23:BB23,BD23)</x:f>
        <x:v>-264.87199999999996</x:v>
      </x:c>
      <x:c r="BF23" s="67" t="n">
        <x:f>'Drivers'!AF23</x:f>
        <x:v>14</x:v>
      </x:c>
      <x:c r="BG23" s="64" t="n">
        <x:f>BJ23</x:f>
        <x:v>-103.137</x:v>
      </x:c>
      <x:c r="BH23" s="64" t="n">
        <x:f>BE23/BF23</x:f>
        <x:v>-18.91942857142857</x:v>
      </x:c>
      <x:c r="BI23" s="68" t="n">
        <x:f>BF23/L23</x:f>
        <x:v>2</x:v>
      </x:c>
      <x:c r="BJ23" s="64" t="n">
        <x:f>-ROUND(AK23*'Drivers'!AC23,3)</x:f>
        <x:v>-103.137</x:v>
      </x:c>
      <x:c r="BK23" s="64" t="n">
        <x:f>-ROUND(AK23*'Drivers'!AD23,3)</x:f>
        <x:v>-384.85</x:v>
      </x:c>
      <x:c r="BL23" s="64" t="n">
        <x:f>SUM(AV23,BE23,BJ23,BK23)</x:f>
        <x:v>671.073</x:v>
      </x:c>
      <x:c r="BM23" s="65" t="n">
        <x:f>BL23/AK23</x:f>
        <x:v>0.1938417037265552</x:v>
      </x:c>
      <x:c r="BN23" s="64" t="n">
        <x:f>-ROUND(AK23*'Drivers'!AE23,3)</x:f>
        <x:v>-248.684</x:v>
      </x:c>
      <x:c r="BO23" s="64" t="n">
        <x:f>BL23+BN23</x:f>
        <x:v>422.389</x:v>
      </x:c>
      <x:c r="BP23" s="65" t="n">
        <x:f>BO23/AK23</x:f>
        <x:v>0.12200848997852087</x:v>
      </x:c>
    </x:row>
    <x:row r="24">
      <x:c r="A24" s="61" t="n">
        <x:v>2026</x:v>
      </x:c>
      <x:c r="B24" s="18" t="str">
        <x:v>S1</x:v>
      </x:c>
      <x:c r="C24" s="18" t="str">
        <x:v>2026 S1</x:v>
      </x:c>
      <x:c r="D24" s="18" t="str">
        <x:v>CNCT0006</x:v>
      </x:c>
      <x:c r="E24" s="18" t="str">
        <x:v>北京三里屯太古里</x:v>
      </x:c>
      <x:c r="F24" s="18" t="str">
        <x:v>北京</x:v>
      </x:c>
      <x:c r="G24" s="18" t="str">
        <x:v>北京市</x:v>
      </x:c>
      <x:c r="H24" s="18" t="str">
        <x:v>北区</x:v>
      </x:c>
      <x:c r="I24" s="18" t="str">
        <x:v>Shopping Mall</x:v>
      </x:c>
      <x:c r="J24" s="18" t="str">
        <x:v>Prestige Shopping Center</x:v>
      </x:c>
      <x:c r="K24" s="18" t="str">
        <x:v>正常</x:v>
      </x:c>
      <x:c r="L24" s="62" t="n">
        <x:v>7</x:v>
      </x:c>
      <x:c r="M24" s="62" t="n">
        <x:v>53</x:v>
      </x:c>
      <x:c r="N24" s="63" t="n">
        <x:f>'Drivers'!C24</x:f>
        <x:v>3604</x:v>
      </x:c>
      <x:c r="O24" s="63" t="n">
        <x:f>'Drivers'!D24</x:f>
        <x:v>1258.363</x:v>
      </x:c>
      <x:c r="P24" s="64" t="n">
        <x:f>ROUND(N24*O24/1000,3)</x:f>
        <x:v>4535.14</x:v>
      </x:c>
      <x:c r="Q24" s="64" t="n">
        <x:f>ROUND(P24*'Drivers'!E24,3)</x:f>
        <x:v>4454.538</x:v>
      </x:c>
      <x:c r="R24" s="64" t="n">
        <x:f>-ROUND(Q24*'Drivers'!F24,3)</x:f>
        <x:v>-746.836</x:v>
      </x:c>
      <x:c r="S24" s="65" t="n">
        <x:f>R24/Q24</x:f>
        <x:v>-0.16765734179391895</x:v>
      </x:c>
      <x:c r="T24" s="64" t="n">
        <x:f>-ROUND(Q24*'Drivers'!G24,3)</x:f>
        <x:v>-54.089</x:v>
      </x:c>
      <x:c r="U24" s="65" t="n">
        <x:f>T24/Q24</x:f>
        <x:v>-0.012142448891445085</x:v>
      </x:c>
      <x:c r="V24" s="64" t="n">
        <x:f>-ROUND(Q24*'Drivers'!H24,3)</x:f>
        <x:v>-46.18</x:v>
      </x:c>
      <x:c r="W24" s="64" t="n">
        <x:f>-ROUND(Q24*'Drivers'!I24,3)</x:f>
        <x:v>-38.318</x:v>
      </x:c>
      <x:c r="X24" s="64" t="n">
        <x:f>-ROUND(Q24*'Drivers'!J24,3)</x:f>
        <x:v>-68.051</x:v>
      </x:c>
      <x:c r="Y24" s="64" t="n">
        <x:f>-ROUND(Q24*'Drivers'!K24,3)</x:f>
        <x:v>-57.409</x:v>
      </x:c>
      <x:c r="Z24" s="64" t="n">
        <x:f>-ROUND(Q24*'Drivers'!L24,3)</x:f>
        <x:v>-39.758</x:v>
      </x:c>
      <x:c r="AA24" s="64" t="n">
        <x:f>-ROUND(Q24*'Drivers'!M24,3)</x:f>
        <x:v>-43.521</x:v>
      </x:c>
      <x:c r="AB24" s="64" t="n">
        <x:f>-ROUND(Q24*'Drivers'!N24,3)</x:f>
        <x:v>-24.443</x:v>
      </x:c>
      <x:c r="AC24" s="64" t="n">
        <x:f>SUM(V24:AB24)</x:f>
        <x:v>-317.67999999999995</x:v>
      </x:c>
      <x:c r="AD24" s="65" t="n">
        <x:f>AC24/Q24</x:f>
        <x:v>-0.0713160377125529</x:v>
      </x:c>
      <x:c r="AE24" s="64" t="n">
        <x:f>-ROUND(Q24*'Drivers'!O24,3)</x:f>
        <x:v>-66.418</x:v>
      </x:c>
      <x:c r="AF24" s="65" t="n">
        <x:f>AE24/Q24</x:f>
        <x:v>-0.014910188217049673</x:v>
      </x:c>
      <x:c r="AG24" s="64" t="n">
        <x:f>-ROUND(Q24*'Drivers'!P24,3)</x:f>
        <x:v>-6.734</x:v>
      </x:c>
      <x:c r="AH24" s="64" t="n">
        <x:f>-ROUND(Q24*'Drivers'!Q24,3)</x:f>
        <x:v>-28.429</x:v>
      </x:c>
      <x:c r="AI24" s="64" t="n">
        <x:f>SUM(R24,T24,AC24,AE24,AG24,AH24)</x:f>
        <x:v>-1220.1860000000001</x:v>
      </x:c>
      <x:c r="AJ24" s="65" t="n">
        <x:f>AI24/Q24</x:f>
        <x:v>-0.2739197645187897</x:v>
      </x:c>
      <x:c r="AK24" s="64" t="n">
        <x:f>Q24+AI24</x:f>
        <x:v>3234.3519999999994</x:v>
      </x:c>
      <x:c r="AL24" s="65" t="n">
        <x:f>AK24/Q24</x:f>
        <x:v>0.7260802354812104</x:v>
      </x:c>
      <x:c r="AM24" s="64" t="n">
        <x:f>AK24/L24</x:f>
        <x:v>462.0502857142856</x:v>
      </x:c>
      <x:c r="AN24" s="66" t="str">
        <x:f>IF(AM24&lt;=200,"≤200K",IF(AM24&lt;=350,"200–350K",IF(AM24&lt;=500,"350–500K",IF(AM24&lt;=700,"500–700K","&gt;700K"))))</x:f>
        <x:v>350–500K</x:v>
      </x:c>
      <x:c r="AO24" s="64" t="n">
        <x:f>-ROUND(Q24*'Drivers'!R24,3)</x:f>
        <x:v>-1731.221</x:v>
      </x:c>
      <x:c r="AP24" s="64" t="n">
        <x:f>-ROUND(AK24*'Drivers'!S24,3)</x:f>
        <x:v>-36.609</x:v>
      </x:c>
      <x:c r="AQ24" s="64" t="n">
        <x:f>-ROUND(AK24*'Drivers'!T24,3)</x:f>
        <x:v>-10.555</x:v>
      </x:c>
      <x:c r="AR24" s="64" t="n">
        <x:f>-ROUND(AK24*'Drivers'!U24,3)</x:f>
        <x:v>-34.891</x:v>
      </x:c>
      <x:c r="AS24" s="64" t="n">
        <x:f>-ROUND(AK24*'Drivers'!V24,3)</x:f>
        <x:v>-115.789</x:v>
      </x:c>
      <x:c r="AT24" s="64" t="n">
        <x:f>SUM(AO24:AS24)</x:f>
        <x:v>-1929.065</x:v>
      </x:c>
      <x:c r="AU24" s="65" t="n">
        <x:f>AT24/AK24</x:f>
        <x:v>-0.5964301350007669</x:v>
      </x:c>
      <x:c r="AV24" s="64" t="n">
        <x:f>AK24+AT24</x:f>
        <x:v>1305.2869999999994</x:v>
      </x:c>
      <x:c r="AW24" s="65" t="n">
        <x:f>AV24/AK24</x:f>
        <x:v>0.4035698649992331</x:v>
      </x:c>
      <x:c r="AX24" s="64" t="n">
        <x:f>-ROUND(AK24*'Drivers'!W24,3)</x:f>
        <x:v>-45.875</x:v>
      </x:c>
      <x:c r="AY24" s="64" t="n">
        <x:f>-ROUND(AK24*'Drivers'!X24,3)</x:f>
        <x:v>-121.749</x:v>
      </x:c>
      <x:c r="AZ24" s="64" t="n">
        <x:f>-ROUND(AK24*'Drivers'!Y24,3)</x:f>
        <x:v>-103.372</x:v>
      </x:c>
      <x:c r="BA24" s="64" t="n">
        <x:f>-ROUND(AK24*'Drivers'!Z24,3)</x:f>
        <x:v>-28.104</x:v>
      </x:c>
      <x:c r="BB24" s="64" t="n">
        <x:f>-ROUND(AK24*'Drivers'!AA24,3)</x:f>
        <x:v>-30.256</x:v>
      </x:c>
      <x:c r="BC24" s="64" t="n">
        <x:f>SUM(BA24,BB24)</x:f>
        <x:v>-58.36</x:v>
      </x:c>
      <x:c r="BD24" s="64" t="n">
        <x:f>-ROUND(AK24*'Drivers'!AB24,3)</x:f>
        <x:v>-24.537</x:v>
      </x:c>
      <x:c r="BE24" s="64" t="n">
        <x:f>SUM(AX24:BB24,BD24)</x:f>
        <x:v>-353.893</x:v>
      </x:c>
      <x:c r="BF24" s="67" t="n">
        <x:f>'Drivers'!AF24</x:f>
        <x:v>14</x:v>
      </x:c>
      <x:c r="BG24" s="64" t="n">
        <x:f>BJ24</x:f>
        <x:v>-118.561</x:v>
      </x:c>
      <x:c r="BH24" s="64" t="n">
        <x:f>BE24/BF24</x:f>
        <x:v>-25.278071428571426</x:v>
      </x:c>
      <x:c r="BI24" s="68" t="n">
        <x:f>BF24/L24</x:f>
        <x:v>2</x:v>
      </x:c>
      <x:c r="BJ24" s="64" t="n">
        <x:f>-ROUND(AK24*'Drivers'!AC24,3)</x:f>
        <x:v>-118.561</x:v>
      </x:c>
      <x:c r="BK24" s="64" t="n">
        <x:f>-ROUND(AK24*'Drivers'!AD24,3)</x:f>
        <x:v>-359.547</x:v>
      </x:c>
      <x:c r="BL24" s="64" t="n">
        <x:f>SUM(AV24,BE24,BJ24,BK24)</x:f>
        <x:v>473.28599999999926</x:v>
      </x:c>
      <x:c r="BM24" s="65" t="n">
        <x:f>BL24/AK24</x:f>
        <x:v>0.14633101159057496</x:v>
      </x:c>
      <x:c r="BN24" s="64" t="n">
        <x:f>-ROUND(AK24*'Drivers'!AE24,3)</x:f>
        <x:v>-232.334</x:v>
      </x:c>
      <x:c r="BO24" s="64" t="n">
        <x:f>BL24+BN24</x:f>
        <x:v>240.95199999999926</x:v>
      </x:c>
      <x:c r="BP24" s="65" t="n">
        <x:f>BO24/AK24</x:f>
        <x:v>0.07449776647687058</x:v>
      </x:c>
    </x:row>
    <x:row r="25">
      <x:c r="A25" s="61" t="n">
        <x:v>2026</x:v>
      </x:c>
      <x:c r="B25" s="18" t="str">
        <x:v>S2</x:v>
      </x:c>
      <x:c r="C25" s="18" t="str">
        <x:v>2026 S2</x:v>
      </x:c>
      <x:c r="D25" s="18" t="str">
        <x:v>CNCT0006</x:v>
      </x:c>
      <x:c r="E25" s="18" t="str">
        <x:v>北京三里屯太古里</x:v>
      </x:c>
      <x:c r="F25" s="18" t="str">
        <x:v>北京</x:v>
      </x:c>
      <x:c r="G25" s="18" t="str">
        <x:v>北京市</x:v>
      </x:c>
      <x:c r="H25" s="18" t="str">
        <x:v>北区</x:v>
      </x:c>
      <x:c r="I25" s="18" t="str">
        <x:v>Shopping Mall</x:v>
      </x:c>
      <x:c r="J25" s="18" t="str">
        <x:v>Prestige Shopping Center</x:v>
      </x:c>
      <x:c r="K25" s="18" t="str">
        <x:v>正常</x:v>
      </x:c>
      <x:c r="L25" s="62" t="n">
        <x:v>7</x:v>
      </x:c>
      <x:c r="M25" s="62" t="n">
        <x:v>53</x:v>
      </x:c>
      <x:c r="N25" s="63" t="n">
        <x:f>'Drivers'!C25</x:f>
        <x:v>3799</x:v>
      </x:c>
      <x:c r="O25" s="63" t="n">
        <x:f>'Drivers'!D25</x:f>
        <x:v>1286.597</x:v>
      </x:c>
      <x:c r="P25" s="64" t="n">
        <x:f>ROUND(N25*O25/1000,3)</x:f>
        <x:v>4887.782</x:v>
      </x:c>
      <x:c r="Q25" s="64" t="n">
        <x:f>ROUND(P25*'Drivers'!E25,3)</x:f>
        <x:v>4759.32</x:v>
      </x:c>
      <x:c r="R25" s="64" t="n">
        <x:f>-ROUND(Q25*'Drivers'!F25,3)</x:f>
        <x:v>-790.649</x:v>
      </x:c>
      <x:c r="S25" s="65" t="n">
        <x:f>R25/Q25</x:f>
        <x:v>-0.1661264634443576</x:v>
      </x:c>
      <x:c r="T25" s="64" t="n">
        <x:f>-ROUND(Q25*'Drivers'!G25,3)</x:f>
        <x:v>-54.382</x:v>
      </x:c>
      <x:c r="U25" s="65" t="n">
        <x:f>T25/Q25</x:f>
        <x:v>-0.011426422262003817</x:v>
      </x:c>
      <x:c r="V25" s="64" t="n">
        <x:f>-ROUND(Q25*'Drivers'!H25,3)</x:f>
        <x:v>-49.34</x:v>
      </x:c>
      <x:c r="W25" s="64" t="n">
        <x:f>-ROUND(Q25*'Drivers'!I25,3)</x:f>
        <x:v>-40.94</x:v>
      </x:c>
      <x:c r="X25" s="64" t="n">
        <x:f>-ROUND(Q25*'Drivers'!J25,3)</x:f>
        <x:v>-72.708</x:v>
      </x:c>
      <x:c r="Y25" s="64" t="n">
        <x:f>-ROUND(Q25*'Drivers'!K25,3)</x:f>
        <x:v>-61.337</x:v>
      </x:c>
      <x:c r="Z25" s="64" t="n">
        <x:f>-ROUND(Q25*'Drivers'!L25,3)</x:f>
        <x:v>-42.478</x:v>
      </x:c>
      <x:c r="AA25" s="64" t="n">
        <x:f>-ROUND(Q25*'Drivers'!M25,3)</x:f>
        <x:v>-46.499</x:v>
      </x:c>
      <x:c r="AB25" s="64" t="n">
        <x:f>-ROUND(Q25*'Drivers'!N25,3)</x:f>
        <x:v>-26.116</x:v>
      </x:c>
      <x:c r="AC25" s="64" t="n">
        <x:f>SUM(V25:AB25)</x:f>
        <x:v>-339.418</x:v>
      </x:c>
      <x:c r="AD25" s="65" t="n">
        <x:f>AC25/Q25</x:f>
        <x:v>-0.07131649059109285</x:v>
      </x:c>
      <x:c r="AE25" s="64" t="n">
        <x:f>-ROUND(Q25*'Drivers'!O25,3)</x:f>
        <x:v>-72.134</x:v>
      </x:c>
      <x:c r="AF25" s="65" t="n">
        <x:f>AE25/Q25</x:f>
        <x:v>-0.01515636687594026</x:v>
      </x:c>
      <x:c r="AG25" s="64" t="n">
        <x:f>-ROUND(Q25*'Drivers'!P25,3)</x:f>
        <x:v>-7.195</x:v>
      </x:c>
      <x:c r="AH25" s="64" t="n">
        <x:f>-ROUND(Q25*'Drivers'!Q25,3)</x:f>
        <x:v>-30.374</x:v>
      </x:c>
      <x:c r="AI25" s="64" t="n">
        <x:f>SUM(R25,T25,AC25,AE25,AG25,AH25)</x:f>
        <x:v>-1294.152</x:v>
      </x:c>
      <x:c r="AJ25" s="65" t="n">
        <x:f>AI25/Q25</x:f>
        <x:v>-0.2719195179143239</x:v>
      </x:c>
      <x:c r="AK25" s="64" t="n">
        <x:f>Q25+AI25</x:f>
        <x:v>3465.1679999999997</x:v>
      </x:c>
      <x:c r="AL25" s="65" t="n">
        <x:f>AK25/Q25</x:f>
        <x:v>0.7280804820856761</x:v>
      </x:c>
      <x:c r="AM25" s="64" t="n">
        <x:f>AK25/L25</x:f>
        <x:v>495.02399999999994</x:v>
      </x:c>
      <x:c r="AN25" s="66" t="str">
        <x:f>IF(AM25&lt;=200,"≤200K",IF(AM25&lt;=350,"200–350K",IF(AM25&lt;=500,"350–500K",IF(AM25&lt;=700,"500–700K","&gt;700K"))))</x:f>
        <x:v>350–500K</x:v>
      </x:c>
      <x:c r="AO25" s="64" t="n">
        <x:f>-ROUND(Q25*'Drivers'!R25,3)</x:f>
        <x:v>-1836.141</x:v>
      </x:c>
      <x:c r="AP25" s="64" t="n">
        <x:f>-ROUND(AK25*'Drivers'!S25,3)</x:f>
        <x:v>-39.221</x:v>
      </x:c>
      <x:c r="AQ25" s="64" t="n">
        <x:f>-ROUND(AK25*'Drivers'!T25,3)</x:f>
        <x:v>-11.309</x:v>
      </x:c>
      <x:c r="AR25" s="64" t="n">
        <x:f>-ROUND(AK25*'Drivers'!U25,3)</x:f>
        <x:v>-37.381</x:v>
      </x:c>
      <x:c r="AS25" s="64" t="n">
        <x:f>-ROUND(AK25*'Drivers'!V25,3)</x:f>
        <x:v>-124.052</x:v>
      </x:c>
      <x:c r="AT25" s="64" t="n">
        <x:f>SUM(AO25:AS25)</x:f>
        <x:v>-2048.1040000000003</x:v>
      </x:c>
      <x:c r="AU25" s="65" t="n">
        <x:f>AT25/AK25</x:f>
        <x:v>-0.5910547482834888</x:v>
      </x:c>
      <x:c r="AV25" s="64" t="n">
        <x:f>AK25+AT25</x:f>
        <x:v>1417.0639999999994</x:v>
      </x:c>
      <x:c r="AW25" s="65" t="n">
        <x:f>AV25/AK25</x:f>
        <x:v>0.40894525171651114</x:v>
      </x:c>
      <x:c r="AX25" s="64" t="n">
        <x:f>-ROUND(AK25*'Drivers'!W25,3)</x:f>
        <x:v>-42.34</x:v>
      </x:c>
      <x:c r="AY25" s="64" t="n">
        <x:f>-ROUND(AK25*'Drivers'!X25,3)</x:f>
        <x:v>-89.894</x:v>
      </x:c>
      <x:c r="AZ25" s="64" t="n">
        <x:f>-ROUND(AK25*'Drivers'!Y25,3)</x:f>
        <x:v>-72.278</x:v>
      </x:c>
      <x:c r="BA25" s="64" t="n">
        <x:f>-ROUND(AK25*'Drivers'!Z25,3)</x:f>
        <x:v>-25.939</x:v>
      </x:c>
      <x:c r="BB25" s="64" t="n">
        <x:f>-ROUND(AK25*'Drivers'!AA25,3)</x:f>
        <x:v>-27.925</x:v>
      </x:c>
      <x:c r="BC25" s="64" t="n">
        <x:f>SUM(BA25,BB25)</x:f>
        <x:v>-53.864000000000004</x:v>
      </x:c>
      <x:c r="BD25" s="64" t="n">
        <x:f>-ROUND(AK25*'Drivers'!AB25,3)</x:f>
        <x:v>-22.646</x:v>
      </x:c>
      <x:c r="BE25" s="64" t="n">
        <x:f>SUM(AX25:BB25,BD25)</x:f>
        <x:v>-281.022</x:v>
      </x:c>
      <x:c r="BF25" s="67" t="n">
        <x:f>'Drivers'!AF25</x:f>
        <x:v>14</x:v>
      </x:c>
      <x:c r="BG25" s="64" t="n">
        <x:f>BJ25</x:f>
        <x:v>-109.426</x:v>
      </x:c>
      <x:c r="BH25" s="64" t="n">
        <x:f>BE25/BF25</x:f>
        <x:v>-20.073</x:v>
      </x:c>
      <x:c r="BI25" s="68" t="n">
        <x:f>BF25/L25</x:f>
        <x:v>2</x:v>
      </x:c>
      <x:c r="BJ25" s="64" t="n">
        <x:f>-ROUND(AK25*'Drivers'!AC25,3)</x:f>
        <x:v>-109.426</x:v>
      </x:c>
      <x:c r="BK25" s="64" t="n">
        <x:f>-ROUND(AK25*'Drivers'!AD25,3)</x:f>
        <x:v>-385.206</x:v>
      </x:c>
      <x:c r="BL25" s="64" t="n">
        <x:f>SUM(AV25,BE25,BJ25,BK25)</x:f>
        <x:v>641.4099999999995</x:v>
      </x:c>
      <x:c r="BM25" s="65" t="n">
        <x:f>BL25/AK25</x:f>
        <x:v>0.1851021364620704</x:v>
      </x:c>
      <x:c r="BN25" s="64" t="n">
        <x:f>-ROUND(AK25*'Drivers'!AE25,3)</x:f>
        <x:v>-248.915</x:v>
      </x:c>
      <x:c r="BO25" s="64" t="n">
        <x:f>BL25+BN25</x:f>
        <x:v>392.49499999999955</x:v>
      </x:c>
      <x:c r="BP25" s="65" t="n">
        <x:f>BO25/AK25</x:f>
        <x:v>0.11326867845945697</x:v>
      </x:c>
    </x:row>
    <x:row r="26">
      <x:c r="A26" s="61" t="n">
        <x:v>2025</x:v>
      </x:c>
      <x:c r="B26" s="18" t="str">
        <x:v>S1</x:v>
      </x:c>
      <x:c r="C26" s="18" t="str">
        <x:v>2025 S1</x:v>
      </x:c>
      <x:c r="D26" s="18" t="str">
        <x:v>CNCT0007</x:v>
      </x:c>
      <x:c r="E26" s="18" t="str">
        <x:v>北京朝阳大悦城</x:v>
      </x:c>
      <x:c r="F26" s="18" t="str">
        <x:v>北京</x:v>
      </x:c>
      <x:c r="G26" s="18" t="str">
        <x:v>北京市</x:v>
      </x:c>
      <x:c r="H26" s="18" t="str">
        <x:v>北区</x:v>
      </x:c>
      <x:c r="I26" s="18" t="str">
        <x:v>Shopping Mall</x:v>
      </x:c>
      <x:c r="J26" s="18" t="str">
        <x:v>Regional Mall</x:v>
      </x:c>
      <x:c r="K26" s="18" t="str">
        <x:v>正常</x:v>
      </x:c>
      <x:c r="L26" s="62" t="n">
        <x:v>5</x:v>
      </x:c>
      <x:c r="M26" s="62" t="n">
        <x:v>53</x:v>
      </x:c>
      <x:c r="N26" s="63" t="n">
        <x:f>'Drivers'!C26</x:f>
        <x:v>1863</x:v>
      </x:c>
      <x:c r="O26" s="63" t="n">
        <x:f>'Drivers'!D26</x:f>
        <x:v>1007.397</x:v>
      </x:c>
      <x:c r="P26" s="64" t="n">
        <x:f>ROUND(N26*O26/1000,3)</x:f>
        <x:v>1876.781</x:v>
      </x:c>
      <x:c r="Q26" s="64" t="n">
        <x:f>ROUND(P26*'Drivers'!E26,3)</x:f>
        <x:v>1823.734</x:v>
      </x:c>
      <x:c r="R26" s="64" t="n">
        <x:f>-ROUND(Q26*'Drivers'!F26,3)</x:f>
        <x:v>-284.673</x:v>
      </x:c>
      <x:c r="S26" s="65" t="n">
        <x:f>R26/Q26</x:f>
        <x:v>-0.1560934873177777</x:v>
      </x:c>
      <x:c r="T26" s="64" t="n">
        <x:f>-ROUND(Q26*'Drivers'!G26,3)</x:f>
        <x:v>-18.892</x:v>
      </x:c>
      <x:c r="U26" s="65" t="n">
        <x:f>T26/Q26</x:f>
        <x:v>-0.010358966823012567</x:v>
      </x:c>
      <x:c r="V26" s="64" t="n">
        <x:f>-ROUND(Q26*'Drivers'!H26,3)</x:f>
        <x:v>-14.436</x:v>
      </x:c>
      <x:c r="W26" s="64" t="n">
        <x:f>-ROUND(Q26*'Drivers'!I26,3)</x:f>
        <x:v>-10.611</x:v>
      </x:c>
      <x:c r="X26" s="64" t="n">
        <x:f>-ROUND(Q26*'Drivers'!J26,3)</x:f>
        <x:v>-25.261</x:v>
      </x:c>
      <x:c r="Y26" s="64" t="n">
        <x:f>-ROUND(Q26*'Drivers'!K26,3)</x:f>
        <x:v>-23.694</x:v>
      </x:c>
      <x:c r="Z26" s="64" t="n">
        <x:f>-ROUND(Q26*'Drivers'!L26,3)</x:f>
        <x:v>-15.345</x:v>
      </x:c>
      <x:c r="AA26" s="64" t="n">
        <x:f>-ROUND(Q26*'Drivers'!M26,3)</x:f>
        <x:v>-12.839</x:v>
      </x:c>
      <x:c r="AB26" s="64" t="n">
        <x:f>-ROUND(Q26*'Drivers'!N26,3)</x:f>
        <x:v>-12.185</x:v>
      </x:c>
      <x:c r="AC26" s="64" t="n">
        <x:f>SUM(V26:AB26)</x:f>
        <x:v>-114.371</x:v>
      </x:c>
      <x:c r="AD26" s="65" t="n">
        <x:f>AC26/Q26</x:f>
        <x:v>-0.06271254470224276</x:v>
      </x:c>
      <x:c r="AE26" s="64" t="n">
        <x:f>-ROUND(Q26*'Drivers'!O26,3)</x:f>
        <x:v>-18.609</x:v>
      </x:c>
      <x:c r="AF26" s="65" t="n">
        <x:f>AE26/Q26</x:f>
        <x:v>-0.010203790684387088</x:v>
      </x:c>
      <x:c r="AG26" s="64" t="n">
        <x:f>-ROUND(Q26*'Drivers'!P26,3)</x:f>
        <x:v>-1.224</x:v>
      </x:c>
      <x:c r="AH26" s="64" t="n">
        <x:f>-ROUND(Q26*'Drivers'!Q26,3)</x:f>
        <x:v>-3.737</x:v>
      </x:c>
      <x:c r="AI26" s="64" t="n">
        <x:f>SUM(R26,T26,AC26,AE26,AG26,AH26)</x:f>
        <x:v>-441.506</x:v>
      </x:c>
      <x:c r="AJ26" s="65" t="n">
        <x:f>AI26/Q26</x:f>
        <x:v>-0.24208903272078056</x:v>
      </x:c>
      <x:c r="AK26" s="64" t="n">
        <x:f>Q26+AI26</x:f>
        <x:v>1382.228</x:v>
      </x:c>
      <x:c r="AL26" s="65" t="n">
        <x:f>AK26/Q26</x:f>
        <x:v>0.7579109672792195</x:v>
      </x:c>
      <x:c r="AM26" s="64" t="n">
        <x:f>AK26/L26</x:f>
        <x:v>276.4456</x:v>
      </x:c>
      <x:c r="AN26" s="66" t="str">
        <x:f>IF(AM26&lt;=200,"≤200K",IF(AM26&lt;=350,"200–350K",IF(AM26&lt;=500,"350–500K",IF(AM26&lt;=700,"500–700K","&gt;700K"))))</x:f>
        <x:v>200–350K</x:v>
      </x:c>
      <x:c r="AO26" s="64" t="n">
        <x:f>-ROUND(Q26*'Drivers'!R26,3)</x:f>
        <x:v>-695.656</x:v>
      </x:c>
      <x:c r="AP26" s="64" t="n">
        <x:f>-ROUND(AK26*'Drivers'!S26,3)</x:f>
        <x:v>-16.51</x:v>
      </x:c>
      <x:c r="AQ26" s="64" t="n">
        <x:f>-ROUND(AK26*'Drivers'!T26,3)</x:f>
        <x:v>-5.467</x:v>
      </x:c>
      <x:c r="AR26" s="64" t="n">
        <x:f>-ROUND(AK26*'Drivers'!U26,3)</x:f>
        <x:v>-11.174</x:v>
      </x:c>
      <x:c r="AS26" s="64" t="n">
        <x:f>-ROUND(AK26*'Drivers'!V26,3)</x:f>
        <x:v>-46.948</x:v>
      </x:c>
      <x:c r="AT26" s="64" t="n">
        <x:f>SUM(AO26:AS26)</x:f>
        <x:v>-775.7549999999999</x:v>
      </x:c>
      <x:c r="AU26" s="65" t="n">
        <x:f>AT26/AK26</x:f>
        <x:v>-0.5612351941937219</x:v>
      </x:c>
      <x:c r="AV26" s="64" t="n">
        <x:f>AK26+AT26</x:f>
        <x:v>606.4730000000002</x:v>
      </x:c>
      <x:c r="AW26" s="65" t="n">
        <x:f>AV26/AK26</x:f>
        <x:v>0.4387648058062781</x:v>
      </x:c>
      <x:c r="AX26" s="64" t="n">
        <x:f>-ROUND(AK26*'Drivers'!W26,3)</x:f>
        <x:v>-14.374</x:v>
      </x:c>
      <x:c r="AY26" s="64" t="n">
        <x:f>-ROUND(AK26*'Drivers'!X26,3)</x:f>
        <x:v>-32.245</x:v>
      </x:c>
      <x:c r="AZ26" s="64" t="n">
        <x:f>-ROUND(AK26*'Drivers'!Y26,3)</x:f>
        <x:v>-29.387</x:v>
      </x:c>
      <x:c r="BA26" s="64" t="n">
        <x:f>-ROUND(AK26*'Drivers'!Z26,3)</x:f>
        <x:v>-9.561</x:v>
      </x:c>
      <x:c r="BB26" s="64" t="n">
        <x:f>-ROUND(AK26*'Drivers'!AA26,3)</x:f>
        <x:v>-13.05</x:v>
      </x:c>
      <x:c r="BC26" s="64" t="n">
        <x:f>SUM(BA26,BB26)</x:f>
        <x:v>-22.611</x:v>
      </x:c>
      <x:c r="BD26" s="64" t="n">
        <x:f>-ROUND(AK26*'Drivers'!AB26,3)</x:f>
        <x:v>-7.772</x:v>
      </x:c>
      <x:c r="BE26" s="64" t="n">
        <x:f>SUM(AX26:BB26,BD26)</x:f>
        <x:v>-106.38900000000001</x:v>
      </x:c>
      <x:c r="BF26" s="67" t="n">
        <x:f>'Drivers'!AF26</x:f>
        <x:v>8</x:v>
      </x:c>
      <x:c r="BG26" s="64" t="n">
        <x:f>BJ26</x:f>
        <x:v>-33.315</x:v>
      </x:c>
      <x:c r="BH26" s="64" t="n">
        <x:f>BE26/BF26</x:f>
        <x:v>-13.298625000000001</x:v>
      </x:c>
      <x:c r="BI26" s="68" t="n">
        <x:f>BF26/L26</x:f>
        <x:v>1.6</x:v>
      </x:c>
      <x:c r="BJ26" s="64" t="n">
        <x:f>-ROUND(AK26*'Drivers'!AC26,3)</x:f>
        <x:v>-33.315</x:v>
      </x:c>
      <x:c r="BK26" s="64" t="n">
        <x:f>-ROUND(AK26*'Drivers'!AD26,3)</x:f>
        <x:v>-152.686</x:v>
      </x:c>
      <x:c r="BL26" s="64" t="n">
        <x:f>SUM(AV26,BE26,BJ26,BK26)</x:f>
        <x:v>314.0830000000002</x:v>
      </x:c>
      <x:c r="BM26" s="65" t="n">
        <x:f>BL26/AK26</x:f>
        <x:v>0.22722951640395087</x:v>
      </x:c>
      <x:c r="BN26" s="64" t="n">
        <x:f>-ROUND(AK26*'Drivers'!AE26,3)</x:f>
        <x:v>-119.331</x:v>
      </x:c>
      <x:c r="BO26" s="64" t="n">
        <x:f>BL26+BN26</x:f>
        <x:v>194.75200000000018</x:v>
      </x:c>
      <x:c r="BP26" s="65" t="n">
        <x:f>BO26/AK26</x:f>
        <x:v>0.1408971602369509</x:v>
      </x:c>
    </x:row>
    <x:row r="27">
      <x:c r="A27" s="61" t="n">
        <x:v>2025</x:v>
      </x:c>
      <x:c r="B27" s="18" t="str">
        <x:v>S2</x:v>
      </x:c>
      <x:c r="C27" s="18" t="str">
        <x:v>2025 S2</x:v>
      </x:c>
      <x:c r="D27" s="18" t="str">
        <x:v>CNCT0007</x:v>
      </x:c>
      <x:c r="E27" s="18" t="str">
        <x:v>北京朝阳大悦城</x:v>
      </x:c>
      <x:c r="F27" s="18" t="str">
        <x:v>北京</x:v>
      </x:c>
      <x:c r="G27" s="18" t="str">
        <x:v>北京市</x:v>
      </x:c>
      <x:c r="H27" s="18" t="str">
        <x:v>北区</x:v>
      </x:c>
      <x:c r="I27" s="18" t="str">
        <x:v>Shopping Mall</x:v>
      </x:c>
      <x:c r="J27" s="18" t="str">
        <x:v>Regional Mall</x:v>
      </x:c>
      <x:c r="K27" s="18" t="str">
        <x:v>正常</x:v>
      </x:c>
      <x:c r="L27" s="62" t="n">
        <x:v>5</x:v>
      </x:c>
      <x:c r="M27" s="62" t="n">
        <x:v>53</x:v>
      </x:c>
      <x:c r="N27" s="63" t="n">
        <x:f>'Drivers'!C27</x:f>
        <x:v>1995</x:v>
      </x:c>
      <x:c r="O27" s="63" t="n">
        <x:f>'Drivers'!D27</x:f>
        <x:v>1019.486</x:v>
      </x:c>
      <x:c r="P27" s="64" t="n">
        <x:f>ROUND(N27*O27/1000,3)</x:f>
        <x:v>2033.875</x:v>
      </x:c>
      <x:c r="Q27" s="64" t="n">
        <x:f>ROUND(P27*'Drivers'!E27,3)</x:f>
        <x:v>1986.088</x:v>
      </x:c>
      <x:c r="R27" s="64" t="n">
        <x:f>-ROUND(Q27*'Drivers'!F27,3)</x:f>
        <x:v>-310.016</x:v>
      </x:c>
      <x:c r="S27" s="65" t="n">
        <x:f>R27/Q27</x:f>
        <x:v>-0.15609378839205515</x:v>
      </x:c>
      <x:c r="T27" s="64" t="n">
        <x:f>-ROUND(Q27*'Drivers'!G27,3)</x:f>
        <x:v>-20.574</x:v>
      </x:c>
      <x:c r="U27" s="65" t="n">
        <x:f>T27/Q27</x:f>
        <x:v>-0.010359057604698282</x:v>
      </x:c>
      <x:c r="V27" s="64" t="n">
        <x:f>-ROUND(Q27*'Drivers'!H27,3)</x:f>
        <x:v>-15.721</x:v>
      </x:c>
      <x:c r="W27" s="64" t="n">
        <x:f>-ROUND(Q27*'Drivers'!I27,3)</x:f>
        <x:v>-11.556</x:v>
      </x:c>
      <x:c r="X27" s="64" t="n">
        <x:f>-ROUND(Q27*'Drivers'!J27,3)</x:f>
        <x:v>-27.51</x:v>
      </x:c>
      <x:c r="Y27" s="64" t="n">
        <x:f>-ROUND(Q27*'Drivers'!K27,3)</x:f>
        <x:v>-25.804</x:v>
      </x:c>
      <x:c r="Z27" s="64" t="n">
        <x:f>-ROUND(Q27*'Drivers'!L27,3)</x:f>
        <x:v>-16.711</x:v>
      </x:c>
      <x:c r="AA27" s="64" t="n">
        <x:f>-ROUND(Q27*'Drivers'!M27,3)</x:f>
        <x:v>-13.982</x:v>
      </x:c>
      <x:c r="AB27" s="64" t="n">
        <x:f>-ROUND(Q27*'Drivers'!N27,3)</x:f>
        <x:v>-13.27</x:v>
      </x:c>
      <x:c r="AC27" s="64" t="n">
        <x:f>SUM(V27:AB27)</x:f>
        <x:v>-124.554</x:v>
      </x:c>
      <x:c r="AD27" s="65" t="n">
        <x:f>AC27/Q27</x:f>
        <x:v>-0.06271323325049041</x:v>
      </x:c>
      <x:c r="AE27" s="64" t="n">
        <x:f>-ROUND(Q27*'Drivers'!O27,3)</x:f>
        <x:v>-20.266</x:v>
      </x:c>
      <x:c r="AF27" s="65" t="n">
        <x:f>AE27/Q27</x:f>
        <x:v>-0.01020397887706889</x:v>
      </x:c>
      <x:c r="AG27" s="64" t="n">
        <x:f>-ROUND(Q27*'Drivers'!P27,3)</x:f>
        <x:v>-1.333</x:v>
      </x:c>
      <x:c r="AH27" s="64" t="n">
        <x:f>-ROUND(Q27*'Drivers'!Q27,3)</x:f>
        <x:v>-4.07</x:v>
      </x:c>
      <x:c r="AI27" s="64" t="n">
        <x:f>SUM(R27,T27,AC27,AE27,AG27,AH27)</x:f>
        <x:v>-480.81300000000005</x:v>
      </x:c>
      <x:c r="AJ27" s="65" t="n">
        <x:f>AI27/Q27</x:f>
        <x:v>-0.2420904813885387</x:v>
      </x:c>
      <x:c r="AK27" s="64" t="n">
        <x:f>Q27+AI27</x:f>
        <x:v>1505.2749999999999</x:v>
      </x:c>
      <x:c r="AL27" s="65" t="n">
        <x:f>AK27/Q27</x:f>
        <x:v>0.7579095186114613</x:v>
      </x:c>
      <x:c r="AM27" s="64" t="n">
        <x:f>AK27/L27</x:f>
        <x:v>301.05499999999995</x:v>
      </x:c>
      <x:c r="AN27" s="66" t="str">
        <x:f>IF(AM27&lt;=200,"≤200K",IF(AM27&lt;=350,"200–350K",IF(AM27&lt;=500,"350–500K",IF(AM27&lt;=700,"500–700K","&gt;700K"))))</x:f>
        <x:v>200–350K</x:v>
      </x:c>
      <x:c r="AO27" s="64" t="n">
        <x:f>-ROUND(Q27*'Drivers'!R27,3)</x:f>
        <x:v>-812.672</x:v>
      </x:c>
      <x:c r="AP27" s="64" t="n">
        <x:f>-ROUND(AK27*'Drivers'!S27,3)</x:f>
        <x:v>-17.979</x:v>
      </x:c>
      <x:c r="AQ27" s="64" t="n">
        <x:f>-ROUND(AK27*'Drivers'!T27,3)</x:f>
        <x:v>-5.953</x:v>
      </x:c>
      <x:c r="AR27" s="64" t="n">
        <x:f>-ROUND(AK27*'Drivers'!U27,3)</x:f>
        <x:v>-12.168</x:v>
      </x:c>
      <x:c r="AS27" s="64" t="n">
        <x:f>-ROUND(AK27*'Drivers'!V27,3)</x:f>
        <x:v>-51.127</x:v>
      </x:c>
      <x:c r="AT27" s="64" t="n">
        <x:f>SUM(AO27:AS27)</x:f>
        <x:v>-899.899</x:v>
      </x:c>
      <x:c r="AU27" s="65" t="n">
        <x:f>AT27/AK27</x:f>
        <x:v>-0.5978302967896232</x:v>
      </x:c>
      <x:c r="AV27" s="64" t="n">
        <x:f>AK27+AT27</x:f>
        <x:v>605.3759999999999</x:v>
      </x:c>
      <x:c r="AW27" s="65" t="n">
        <x:f>AV27/AK27</x:f>
        <x:v>0.40216970321037676</x:v>
      </x:c>
      <x:c r="AX27" s="64" t="n">
        <x:f>-ROUND(AK27*'Drivers'!W27,3)</x:f>
        <x:v>-15.654</x:v>
      </x:c>
      <x:c r="AY27" s="64" t="n">
        <x:f>-ROUND(AK27*'Drivers'!X27,3)</x:f>
        <x:v>-35.115</x:v>
      </x:c>
      <x:c r="AZ27" s="64" t="n">
        <x:f>-ROUND(AK27*'Drivers'!Y27,3)</x:f>
        <x:v>-32.003</x:v>
      </x:c>
      <x:c r="BA27" s="64" t="n">
        <x:f>-ROUND(AK27*'Drivers'!Z27,3)</x:f>
        <x:v>-10.413</x:v>
      </x:c>
      <x:c r="BB27" s="64" t="n">
        <x:f>-ROUND(AK27*'Drivers'!AA27,3)</x:f>
        <x:v>-14.212</x:v>
      </x:c>
      <x:c r="BC27" s="64" t="n">
        <x:f>SUM(BA27,BB27)</x:f>
        <x:v>-24.625</x:v>
      </x:c>
      <x:c r="BD27" s="64" t="n">
        <x:f>-ROUND(AK27*'Drivers'!AB27,3)</x:f>
        <x:v>-8.463</x:v>
      </x:c>
      <x:c r="BE27" s="64" t="n">
        <x:f>SUM(AX27:BB27,BD27)</x:f>
        <x:v>-115.86</x:v>
      </x:c>
      <x:c r="BF27" s="67" t="n">
        <x:f>'Drivers'!AF27</x:f>
        <x:v>8</x:v>
      </x:c>
      <x:c r="BG27" s="64" t="n">
        <x:f>BJ27</x:f>
        <x:v>-36.281</x:v>
      </x:c>
      <x:c r="BH27" s="64" t="n">
        <x:f>BE27/BF27</x:f>
        <x:v>-14.4825</x:v>
      </x:c>
      <x:c r="BI27" s="68" t="n">
        <x:f>BF27/L27</x:f>
        <x:v>1.6</x:v>
      </x:c>
      <x:c r="BJ27" s="64" t="n">
        <x:f>-ROUND(AK27*'Drivers'!AC27,3)</x:f>
        <x:v>-36.281</x:v>
      </x:c>
      <x:c r="BK27" s="64" t="n">
        <x:f>-ROUND(AK27*'Drivers'!AD27,3)</x:f>
        <x:v>-166.278</x:v>
      </x:c>
      <x:c r="BL27" s="64" t="n">
        <x:f>SUM(AV27,BE27,BJ27,BK27)</x:f>
        <x:v>286.9569999999999</x:v>
      </x:c>
      <x:c r="BM27" s="65" t="n">
        <x:f>BL27/AK27</x:f>
        <x:v>0.1906342694856421</x:v>
      </x:c>
      <x:c r="BN27" s="64" t="n">
        <x:f>-ROUND(AK27*'Drivers'!AE27,3)</x:f>
        <x:v>-129.953</x:v>
      </x:c>
      <x:c r="BO27" s="64" t="n">
        <x:f>BL27+BN27</x:f>
        <x:v>157.00399999999988</x:v>
      </x:c>
      <x:c r="BP27" s="65" t="n">
        <x:f>BO27/AK27</x:f>
        <x:v>0.10430253608144684</x:v>
      </x:c>
    </x:row>
    <x:row r="28">
      <x:c r="A28" s="61" t="n">
        <x:v>2026</x:v>
      </x:c>
      <x:c r="B28" s="18" t="str">
        <x:v>S1</x:v>
      </x:c>
      <x:c r="C28" s="18" t="str">
        <x:v>2026 S1</x:v>
      </x:c>
      <x:c r="D28" s="18" t="str">
        <x:v>CNCT0007</x:v>
      </x:c>
      <x:c r="E28" s="18" t="str">
        <x:v>北京朝阳大悦城</x:v>
      </x:c>
      <x:c r="F28" s="18" t="str">
        <x:v>北京</x:v>
      </x:c>
      <x:c r="G28" s="18" t="str">
        <x:v>北京市</x:v>
      </x:c>
      <x:c r="H28" s="18" t="str">
        <x:v>北区</x:v>
      </x:c>
      <x:c r="I28" s="18" t="str">
        <x:v>Shopping Mall</x:v>
      </x:c>
      <x:c r="J28" s="18" t="str">
        <x:v>Regional Mall</x:v>
      </x:c>
      <x:c r="K28" s="18" t="str">
        <x:v>正常</x:v>
      </x:c>
      <x:c r="L28" s="62" t="n">
        <x:v>5</x:v>
      </x:c>
      <x:c r="M28" s="62" t="n">
        <x:v>53</x:v>
      </x:c>
      <x:c r="N28" s="63" t="n">
        <x:f>'Drivers'!C28</x:f>
        <x:v>1783</x:v>
      </x:c>
      <x:c r="O28" s="63" t="n">
        <x:f>'Drivers'!D28</x:f>
        <x:v>1022.228</x:v>
      </x:c>
      <x:c r="P28" s="64" t="n">
        <x:f>ROUND(N28*O28/1000,3)</x:f>
        <x:v>1822.633</x:v>
      </x:c>
      <x:c r="Q28" s="64" t="n">
        <x:f>ROUND(P28*'Drivers'!E28,3)</x:f>
        <x:v>1778.146</x:v>
      </x:c>
      <x:c r="R28" s="64" t="n">
        <x:f>-ROUND(Q28*'Drivers'!F28,3)</x:f>
        <x:v>-273.85</x:v>
      </x:c>
      <x:c r="S28" s="65" t="n">
        <x:f>R28/Q28</x:f>
        <x:v>-0.15400872594263915</x:v>
      </x:c>
      <x:c r="T28" s="64" t="n">
        <x:f>-ROUND(Q28*'Drivers'!G28,3)</x:f>
        <x:v>-16.278</x:v>
      </x:c>
      <x:c r="U28" s="65" t="n">
        <x:f>T28/Q28</x:f>
        <x:v>-0.009154478878562277</x:v>
      </x:c>
      <x:c r="V28" s="64" t="n">
        <x:f>-ROUND(Q28*'Drivers'!H28,3)</x:f>
        <x:v>-14.075</x:v>
      </x:c>
      <x:c r="W28" s="64" t="n">
        <x:f>-ROUND(Q28*'Drivers'!I28,3)</x:f>
        <x:v>-10.346</x:v>
      </x:c>
      <x:c r="X28" s="64" t="n">
        <x:f>-ROUND(Q28*'Drivers'!J28,3)</x:f>
        <x:v>-24.629</x:v>
      </x:c>
      <x:c r="Y28" s="64" t="n">
        <x:f>-ROUND(Q28*'Drivers'!K28,3)</x:f>
        <x:v>-23.102</x:v>
      </x:c>
      <x:c r="Z28" s="64" t="n">
        <x:f>-ROUND(Q28*'Drivers'!L28,3)</x:f>
        <x:v>-14.961</x:v>
      </x:c>
      <x:c r="AA28" s="64" t="n">
        <x:f>-ROUND(Q28*'Drivers'!M28,3)</x:f>
        <x:v>-12.518</x:v>
      </x:c>
      <x:c r="AB28" s="64" t="n">
        <x:f>-ROUND(Q28*'Drivers'!N28,3)</x:f>
        <x:v>-11.88</x:v>
      </x:c>
      <x:c r="AC28" s="64" t="n">
        <x:f>SUM(V28:AB28)</x:f>
        <x:v>-111.511</x:v>
      </x:c>
      <x:c r="AD28" s="65" t="n">
        <x:f>AC28/Q28</x:f>
        <x:v>-0.0627119482877109</x:v>
      </x:c>
      <x:c r="AE28" s="64" t="n">
        <x:f>-ROUND(Q28*'Drivers'!O28,3)</x:f>
        <x:v>-20.1</x:v>
      </x:c>
      <x:c r="AF28" s="65" t="n">
        <x:f>AE28/Q28</x:f>
        <x:v>-0.011303908677915088</x:v>
      </x:c>
      <x:c r="AG28" s="64" t="n">
        <x:f>-ROUND(Q28*'Drivers'!P28,3)</x:f>
        <x:v>-1.194</x:v>
      </x:c>
      <x:c r="AH28" s="64" t="n">
        <x:f>-ROUND(Q28*'Drivers'!Q28,3)</x:f>
        <x:v>-3.643</x:v>
      </x:c>
      <x:c r="AI28" s="64" t="n">
        <x:f>SUM(R28,T28,AC28,AE28,AG28,AH28)</x:f>
        <x:v>-426.576</x:v>
      </x:c>
      <x:c r="AJ28" s="65" t="n">
        <x:f>AI28/Q28</x:f>
        <x:v>-0.23989931085523913</x:v>
      </x:c>
      <x:c r="AK28" s="64" t="n">
        <x:f>Q28+AI28</x:f>
        <x:v>1351.57</x:v>
      </x:c>
      <x:c r="AL28" s="65" t="n">
        <x:f>AK28/Q28</x:f>
        <x:v>0.7601006891447609</x:v>
      </x:c>
      <x:c r="AM28" s="64" t="n">
        <x:f>AK28/L28</x:f>
        <x:v>270.31399999999996</x:v>
      </x:c>
      <x:c r="AN28" s="66" t="str">
        <x:f>IF(AM28&lt;=200,"≤200K",IF(AM28&lt;=350,"200–350K",IF(AM28&lt;=500,"350–500K",IF(AM28&lt;=700,"500–700K","&gt;700K"))))</x:f>
        <x:v>200–350K</x:v>
      </x:c>
      <x:c r="AO28" s="64" t="n">
        <x:f>-ROUND(Q28*'Drivers'!R28,3)</x:f>
        <x:v>-681.561</x:v>
      </x:c>
      <x:c r="AP28" s="64" t="n">
        <x:f>-ROUND(AK28*'Drivers'!S28,3)</x:f>
        <x:v>-16.143</x:v>
      </x:c>
      <x:c r="AQ28" s="64" t="n">
        <x:f>-ROUND(AK28*'Drivers'!T28,3)</x:f>
        <x:v>-5.345</x:v>
      </x:c>
      <x:c r="AR28" s="64" t="n">
        <x:f>-ROUND(AK28*'Drivers'!U28,3)</x:f>
        <x:v>-10.926</x:v>
      </x:c>
      <x:c r="AS28" s="64" t="n">
        <x:f>-ROUND(AK28*'Drivers'!V28,3)</x:f>
        <x:v>-45.907</x:v>
      </x:c>
      <x:c r="AT28" s="64" t="n">
        <x:f>SUM(AO28:AS28)</x:f>
        <x:v>-759.8820000000002</x:v>
      </x:c>
      <x:c r="AU28" s="65" t="n">
        <x:f>AT28/AK28</x:f>
        <x:v>-0.5622217125269133</x:v>
      </x:c>
      <x:c r="AV28" s="64" t="n">
        <x:f>AK28+AT28</x:f>
        <x:v>591.6879999999998</x:v>
      </x:c>
      <x:c r="AW28" s="65" t="n">
        <x:f>AV28/AK28</x:f>
        <x:v>0.4377782874730867</x:v>
      </x:c>
      <x:c r="AX28" s="64" t="n">
        <x:f>-ROUND(AK28*'Drivers'!W28,3)</x:f>
        <x:v>-17.295</x:v>
      </x:c>
      <x:c r="AY28" s="64" t="n">
        <x:f>-ROUND(AK28*'Drivers'!X28,3)</x:f>
        <x:v>-48.495</x:v>
      </x:c>
      <x:c r="AZ28" s="64" t="n">
        <x:f>-ROUND(AK28*'Drivers'!Y28,3)</x:f>
        <x:v>-46.672</x:v>
      </x:c>
      <x:c r="BA28" s="64" t="n">
        <x:f>-ROUND(AK28*'Drivers'!Z28,3)</x:f>
        <x:v>-11.504</x:v>
      </x:c>
      <x:c r="BB28" s="64" t="n">
        <x:f>-ROUND(AK28*'Drivers'!AA28,3)</x:f>
        <x:v>-15.701</x:v>
      </x:c>
      <x:c r="BC28" s="64" t="n">
        <x:f>SUM(BA28,BB28)</x:f>
        <x:v>-27.205</x:v>
      </x:c>
      <x:c r="BD28" s="64" t="n">
        <x:f>-ROUND(AK28*'Drivers'!AB28,3)</x:f>
        <x:v>-9.35</x:v>
      </x:c>
      <x:c r="BE28" s="64" t="n">
        <x:f>SUM(AX28:BB28,BD28)</x:f>
        <x:v>-149.017</x:v>
      </x:c>
      <x:c r="BF28" s="67" t="n">
        <x:f>'Drivers'!AF28</x:f>
        <x:v>8</x:v>
      </x:c>
      <x:c r="BG28" s="64" t="n">
        <x:f>BJ28</x:f>
        <x:v>-40.084</x:v>
      </x:c>
      <x:c r="BH28" s="64" t="n">
        <x:f>BE28/BF28</x:f>
        <x:v>-18.627125</x:v>
      </x:c>
      <x:c r="BI28" s="68" t="n">
        <x:f>BF28/L28</x:f>
        <x:v>1.6</x:v>
      </x:c>
      <x:c r="BJ28" s="64" t="n">
        <x:f>-ROUND(AK28*'Drivers'!AC28,3)</x:f>
        <x:v>-40.084</x:v>
      </x:c>
      <x:c r="BK28" s="64" t="n">
        <x:f>-ROUND(AK28*'Drivers'!AD28,3)</x:f>
        <x:v>-149.299</x:v>
      </x:c>
      <x:c r="BL28" s="64" t="n">
        <x:f>SUM(AV28,BE28,BJ28,BK28)</x:f>
        <x:v>253.28799999999976</x:v>
      </x:c>
      <x:c r="BM28" s="65" t="n">
        <x:f>BL28/AK28</x:f>
        <x:v>0.18740279822724665</x:v>
      </x:c>
      <x:c r="BN28" s="64" t="n">
        <x:f>-ROUND(AK28*'Drivers'!AE28,3)</x:f>
        <x:v>-116.684</x:v>
      </x:c>
      <x:c r="BO28" s="64" t="n">
        <x:f>BL28+BN28</x:f>
        <x:v>136.60399999999976</x:v>
      </x:c>
      <x:c r="BP28" s="65" t="n">
        <x:f>BO28/AK28</x:f>
        <x:v>0.1010706067758235</x:v>
      </x:c>
    </x:row>
    <x:row r="29">
      <x:c r="A29" s="61" t="n">
        <x:v>2026</x:v>
      </x:c>
      <x:c r="B29" s="18" t="str">
        <x:v>S2</x:v>
      </x:c>
      <x:c r="C29" s="18" t="str">
        <x:v>2026 S2</x:v>
      </x:c>
      <x:c r="D29" s="18" t="str">
        <x:v>CNCT0007</x:v>
      </x:c>
      <x:c r="E29" s="18" t="str">
        <x:v>北京朝阳大悦城</x:v>
      </x:c>
      <x:c r="F29" s="18" t="str">
        <x:v>北京</x:v>
      </x:c>
      <x:c r="G29" s="18" t="str">
        <x:v>北京市</x:v>
      </x:c>
      <x:c r="H29" s="18" t="str">
        <x:v>北区</x:v>
      </x:c>
      <x:c r="I29" s="18" t="str">
        <x:v>Shopping Mall</x:v>
      </x:c>
      <x:c r="J29" s="18" t="str">
        <x:v>Regional Mall</x:v>
      </x:c>
      <x:c r="K29" s="18" t="str">
        <x:v>正常</x:v>
      </x:c>
      <x:c r="L29" s="62" t="n">
        <x:v>5</x:v>
      </x:c>
      <x:c r="M29" s="62" t="n">
        <x:v>53</x:v>
      </x:c>
      <x:c r="N29" s="63" t="n">
        <x:f>'Drivers'!C29</x:f>
        <x:v>1961</x:v>
      </x:c>
      <x:c r="O29" s="63" t="n">
        <x:f>'Drivers'!D29</x:f>
        <x:v>1042.109</x:v>
      </x:c>
      <x:c r="P29" s="64" t="n">
        <x:f>ROUND(N29*O29/1000,3)</x:f>
        <x:v>2043.576</x:v>
      </x:c>
      <x:c r="Q29" s="64" t="n">
        <x:f>ROUND(P29*'Drivers'!E29,3)</x:f>
        <x:v>1995.561</x:v>
      </x:c>
      <x:c r="R29" s="64" t="n">
        <x:f>-ROUND(Q29*'Drivers'!F29,3)</x:f>
        <x:v>-312.209</x:v>
      </x:c>
      <x:c r="S29" s="65" t="n">
        <x:f>R29/Q29</x:f>
        <x:v>-0.15645174464724457</x:v>
      </x:c>
      <x:c r="T29" s="64" t="n">
        <x:f>-ROUND(Q29*'Drivers'!G29,3)</x:f>
        <x:v>-22.968</x:v>
      </x:c>
      <x:c r="U29" s="65" t="n">
        <x:f>T29/Q29</x:f>
        <x:v>-0.011509545436095414</x:v>
      </x:c>
      <x:c r="V29" s="64" t="n">
        <x:f>-ROUND(Q29*'Drivers'!H29,3)</x:f>
        <x:v>-15.796</x:v>
      </x:c>
      <x:c r="W29" s="64" t="n">
        <x:f>-ROUND(Q29*'Drivers'!I29,3)</x:f>
        <x:v>-11.611</x:v>
      </x:c>
      <x:c r="X29" s="64" t="n">
        <x:f>-ROUND(Q29*'Drivers'!J29,3)</x:f>
        <x:v>-27.641</x:v>
      </x:c>
      <x:c r="Y29" s="64" t="n">
        <x:f>-ROUND(Q29*'Drivers'!K29,3)</x:f>
        <x:v>-25.927</x:v>
      </x:c>
      <x:c r="Z29" s="64" t="n">
        <x:f>-ROUND(Q29*'Drivers'!L29,3)</x:f>
        <x:v>-16.79</x:v>
      </x:c>
      <x:c r="AA29" s="64" t="n">
        <x:f>-ROUND(Q29*'Drivers'!M29,3)</x:f>
        <x:v>-14.049</x:v>
      </x:c>
      <x:c r="AB29" s="64" t="n">
        <x:f>-ROUND(Q29*'Drivers'!N29,3)</x:f>
        <x:v>-13.333</x:v>
      </x:c>
      <x:c r="AC29" s="64" t="n">
        <x:f>SUM(V29:AB29)</x:f>
        <x:v>-125.14699999999999</x:v>
      </x:c>
      <x:c r="AD29" s="65" t="n">
        <x:f>AC29/Q29</x:f>
        <x:v>-0.06271269081726892</x:v>
      </x:c>
      <x:c r="AE29" s="64" t="n">
        <x:f>-ROUND(Q29*'Drivers'!O29,3)</x:f>
        <x:v>-20.362</x:v>
      </x:c>
      <x:c r="AF29" s="65" t="n">
        <x:f>AE29/Q29</x:f>
        <x:v>-0.010203646994504302</x:v>
      </x:c>
      <x:c r="AG29" s="64" t="n">
        <x:f>-ROUND(Q29*'Drivers'!P29,3)</x:f>
        <x:v>-1.34</x:v>
      </x:c>
      <x:c r="AH29" s="64" t="n">
        <x:f>-ROUND(Q29*'Drivers'!Q29,3)</x:f>
        <x:v>-4.089</x:v>
      </x:c>
      <x:c r="AI29" s="64" t="n">
        <x:f>SUM(R29,T29,AC29,AE29,AG29,AH29)</x:f>
        <x:v>-486.115</x:v>
      </x:c>
      <x:c r="AJ29" s="65" t="n">
        <x:f>AI29/Q29</x:f>
        <x:v>-0.24359816612972493</x:v>
      </x:c>
      <x:c r="AK29" s="64" t="n">
        <x:f>Q29+AI29</x:f>
        <x:v>1509.446</x:v>
      </x:c>
      <x:c r="AL29" s="65" t="n">
        <x:f>AK29/Q29</x:f>
        <x:v>0.756401833870275</x:v>
      </x:c>
      <x:c r="AM29" s="64" t="n">
        <x:f>AK29/L29</x:f>
        <x:v>301.88919999999996</x:v>
      </x:c>
      <x:c r="AN29" s="66" t="str">
        <x:f>IF(AM29&lt;=200,"≤200K",IF(AM29&lt;=350,"200–350K",IF(AM29&lt;=500,"350–500K",IF(AM29&lt;=700,"500–700K","&gt;700K"))))</x:f>
        <x:v>200–350K</x:v>
      </x:c>
      <x:c r="AO29" s="64" t="n">
        <x:f>-ROUND(Q29*'Drivers'!R29,3)</x:f>
        <x:v>-818.781</x:v>
      </x:c>
      <x:c r="AP29" s="64" t="n">
        <x:f>-ROUND(AK29*'Drivers'!S29,3)</x:f>
        <x:v>-18.029</x:v>
      </x:c>
      <x:c r="AQ29" s="64" t="n">
        <x:f>-ROUND(AK29*'Drivers'!T29,3)</x:f>
        <x:v>-5.97</x:v>
      </x:c>
      <x:c r="AR29" s="64" t="n">
        <x:f>-ROUND(AK29*'Drivers'!U29,3)</x:f>
        <x:v>-12.202</x:v>
      </x:c>
      <x:c r="AS29" s="64" t="n">
        <x:f>-ROUND(AK29*'Drivers'!V29,3)</x:f>
        <x:v>-51.269</x:v>
      </x:c>
      <x:c r="AT29" s="64" t="n">
        <x:f>SUM(AO29:AS29)</x:f>
        <x:v>-906.251</x:v>
      </x:c>
      <x:c r="AU29" s="65" t="n">
        <x:f>AT29/AK29</x:f>
        <x:v>-0.6003864994176672</x:v>
      </x:c>
      <x:c r="AV29" s="64" t="n">
        <x:f>AK29+AT29</x:f>
        <x:v>603.1949999999999</x:v>
      </x:c>
      <x:c r="AW29" s="65" t="n">
        <x:f>AV29/AK29</x:f>
        <x:v>0.39961350058233286</x:v>
      </x:c>
      <x:c r="AX29" s="64" t="n">
        <x:f>-ROUND(AK29*'Drivers'!W29,3)</x:f>
        <x:v>-16.639</x:v>
      </x:c>
      <x:c r="AY29" s="64" t="n">
        <x:f>-ROUND(AK29*'Drivers'!X29,3)</x:f>
        <x:v>-37.326</x:v>
      </x:c>
      <x:c r="AZ29" s="64" t="n">
        <x:f>-ROUND(AK29*'Drivers'!Y29,3)</x:f>
        <x:v>-34.017</x:v>
      </x:c>
      <x:c r="BA29" s="64" t="n">
        <x:f>-ROUND(AK29*'Drivers'!Z29,3)</x:f>
        <x:v>-11.068</x:v>
      </x:c>
      <x:c r="BB29" s="64" t="n">
        <x:f>-ROUND(AK29*'Drivers'!AA29,3)</x:f>
        <x:v>-15.106</x:v>
      </x:c>
      <x:c r="BC29" s="64" t="n">
        <x:f>SUM(BA29,BB29)</x:f>
        <x:v>-26.174</x:v>
      </x:c>
      <x:c r="BD29" s="64" t="n">
        <x:f>-ROUND(AK29*'Drivers'!AB29,3)</x:f>
        <x:v>-8.996</x:v>
      </x:c>
      <x:c r="BE29" s="64" t="n">
        <x:f>SUM(AX29:BB29,BD29)</x:f>
        <x:v>-123.15199999999999</x:v>
      </x:c>
      <x:c r="BF29" s="67" t="n">
        <x:f>'Drivers'!AF29</x:f>
        <x:v>8</x:v>
      </x:c>
      <x:c r="BG29" s="64" t="n">
        <x:f>BJ29</x:f>
        <x:v>-38.564</x:v>
      </x:c>
      <x:c r="BH29" s="64" t="n">
        <x:f>BE29/BF29</x:f>
        <x:v>-15.393999999999998</x:v>
      </x:c>
      <x:c r="BI29" s="68" t="n">
        <x:f>BF29/L29</x:f>
        <x:v>1.6</x:v>
      </x:c>
      <x:c r="BJ29" s="64" t="n">
        <x:f>-ROUND(AK29*'Drivers'!AC29,3)</x:f>
        <x:v>-38.564</x:v>
      </x:c>
      <x:c r="BK29" s="64" t="n">
        <x:f>-ROUND(AK29*'Drivers'!AD29,3)</x:f>
        <x:v>-166.739</x:v>
      </x:c>
      <x:c r="BL29" s="64" t="n">
        <x:f>SUM(AV29,BE29,BJ29,BK29)</x:f>
        <x:v>274.7399999999999</x:v>
      </x:c>
      <x:c r="BM29" s="65" t="n">
        <x:f>BL29/AK29</x:f>
        <x:v>0.18201379843995738</x:v>
      </x:c>
      <x:c r="BN29" s="64" t="n">
        <x:f>-ROUND(AK29*'Drivers'!AE29,3)</x:f>
        <x:v>-130.313</x:v>
      </x:c>
      <x:c r="BO29" s="64" t="n">
        <x:f>BL29+BN29</x:f>
        <x:v>144.4269999999999</x:v>
      </x:c>
      <x:c r="BP29" s="65" t="n">
        <x:f>BO29/AK29</x:f>
        <x:v>0.09568212443505758</x:v>
      </x:c>
    </x:row>
    <x:row r="30">
      <x:c r="A30" s="61" t="n">
        <x:v>2025</x:v>
      </x:c>
      <x:c r="B30" s="18" t="str">
        <x:v>S1</x:v>
      </x:c>
      <x:c r="C30" s="18" t="str">
        <x:v>2025 S1</x:v>
      </x:c>
      <x:c r="D30" s="18" t="str">
        <x:v>CNCT0008</x:v>
      </x:c>
      <x:c r="E30" s="18" t="str">
        <x:v>北京合生汇</x:v>
      </x:c>
      <x:c r="F30" s="18" t="str">
        <x:v>北京</x:v>
      </x:c>
      <x:c r="G30" s="18" t="str">
        <x:v>北京市</x:v>
      </x:c>
      <x:c r="H30" s="18" t="str">
        <x:v>北区</x:v>
      </x:c>
      <x:c r="I30" s="18" t="str">
        <x:v>Shopping Mall</x:v>
      </x:c>
      <x:c r="J30" s="18" t="str">
        <x:v>Regional Mall</x:v>
      </x:c>
      <x:c r="K30" s="18" t="str">
        <x:v>新开店</x:v>
      </x:c>
      <x:c r="L30" s="62" t="n">
        <x:v>5</x:v>
      </x:c>
      <x:c r="M30" s="62" t="n">
        <x:v>53</x:v>
      </x:c>
      <x:c r="N30" s="63" t="n">
        <x:f>'Drivers'!C30</x:f>
        <x:v>1650</x:v>
      </x:c>
      <x:c r="O30" s="63" t="n">
        <x:f>'Drivers'!D30</x:f>
        <x:v>972.855</x:v>
      </x:c>
      <x:c r="P30" s="64" t="n">
        <x:f>ROUND(N30*O30/1000,3)</x:f>
        <x:v>1605.211</x:v>
      </x:c>
      <x:c r="Q30" s="64" t="n">
        <x:f>ROUND(P30*'Drivers'!E30,3)</x:f>
        <x:v>1570.323</x:v>
      </x:c>
      <x:c r="R30" s="64" t="n">
        <x:f>-ROUND(Q30*'Drivers'!F30,3)</x:f>
        <x:v>-280.848</x:v>
      </x:c>
      <x:c r="S30" s="65" t="n">
        <x:f>R30/Q30</x:f>
        <x:v>-0.17884728173757883</x:v>
      </x:c>
      <x:c r="T30" s="64" t="n">
        <x:f>-ROUND(Q30*'Drivers'!G30,3)</x:f>
        <x:v>-22.349</x:v>
      </x:c>
      <x:c r="U30" s="65" t="n">
        <x:f>T30/Q30</x:f>
        <x:v>-0.014232103841056902</x:v>
      </x:c>
      <x:c r="V30" s="64" t="n">
        <x:f>-ROUND(Q30*'Drivers'!H30,3)</x:f>
        <x:v>-14.926</x:v>
      </x:c>
      <x:c r="W30" s="64" t="n">
        <x:f>-ROUND(Q30*'Drivers'!I30,3)</x:f>
        <x:v>-8.829</x:v>
      </x:c>
      <x:c r="X30" s="64" t="n">
        <x:f>-ROUND(Q30*'Drivers'!J30,3)</x:f>
        <x:v>-19.99</x:v>
      </x:c>
      <x:c r="Y30" s="64" t="n">
        <x:f>-ROUND(Q30*'Drivers'!K30,3)</x:f>
        <x:v>-14.255</x:v>
      </x:c>
      <x:c r="Z30" s="64" t="n">
        <x:f>-ROUND(Q30*'Drivers'!L30,3)</x:f>
        <x:v>-16.788</x:v>
      </x:c>
      <x:c r="AA30" s="64" t="n">
        <x:f>-ROUND(Q30*'Drivers'!M30,3)</x:f>
        <x:v>-15.466</x:v>
      </x:c>
      <x:c r="AB30" s="64" t="n">
        <x:f>-ROUND(Q30*'Drivers'!N30,3)</x:f>
        <x:v>-9.45</x:v>
      </x:c>
      <x:c r="AC30" s="64" t="n">
        <x:f>SUM(V30:AB30)</x:f>
        <x:v>-99.70400000000001</x:v>
      </x:c>
      <x:c r="AD30" s="65" t="n">
        <x:f>AC30/Q30</x:f>
        <x:v>-0.06349266997936094</x:v>
      </x:c>
      <x:c r="AE30" s="64" t="n">
        <x:f>-ROUND(Q30*'Drivers'!O30,3)</x:f>
        <x:v>-18.324</x:v>
      </x:c>
      <x:c r="AF30" s="65" t="n">
        <x:f>AE30/Q30</x:f>
        <x:v>-0.011668936900242817</x:v>
      </x:c>
      <x:c r="AG30" s="64" t="n">
        <x:f>-ROUND(Q30*'Drivers'!P30,3)</x:f>
        <x:v>-0.921</x:v>
      </x:c>
      <x:c r="AH30" s="64" t="n">
        <x:f>-ROUND(Q30*'Drivers'!Q30,3)</x:f>
        <x:v>-7.923</x:v>
      </x:c>
      <x:c r="AI30" s="64" t="n">
        <x:f>SUM(R30,T30,AC30,AE30,AG30,AH30)</x:f>
        <x:v>-430.069</x:v>
      </x:c>
      <x:c r="AJ30" s="65" t="n">
        <x:f>AI30/Q30</x:f>
        <x:v>-0.273872954799745</x:v>
      </x:c>
      <x:c r="AK30" s="64" t="n">
        <x:f>Q30+AI30</x:f>
        <x:v>1140.2540000000001</x:v>
      </x:c>
      <x:c r="AL30" s="65" t="n">
        <x:f>AK30/Q30</x:f>
        <x:v>0.7261270452002551</x:v>
      </x:c>
      <x:c r="AM30" s="64" t="n">
        <x:f>AK30/L30</x:f>
        <x:v>228.05080000000004</x:v>
      </x:c>
      <x:c r="AN30" s="66" t="str">
        <x:f>IF(AM30&lt;=200,"≤200K",IF(AM30&lt;=350,"200–350K",IF(AM30&lt;=500,"350–500K",IF(AM30&lt;=700,"500–700K","&gt;700K"))))</x:f>
        <x:v>200–350K</x:v>
      </x:c>
      <x:c r="AO30" s="64" t="n">
        <x:f>-ROUND(Q30*'Drivers'!R30,3)</x:f>
        <x:v>-601.714</x:v>
      </x:c>
      <x:c r="AP30" s="64" t="n">
        <x:f>-ROUND(AK30*'Drivers'!S30,3)</x:f>
        <x:v>-14.328</x:v>
      </x:c>
      <x:c r="AQ30" s="64" t="n">
        <x:f>-ROUND(AK30*'Drivers'!T30,3)</x:f>
        <x:v>-4.912</x:v>
      </x:c>
      <x:c r="AR30" s="64" t="n">
        <x:f>-ROUND(AK30*'Drivers'!U30,3)</x:f>
        <x:v>-6.605</x:v>
      </x:c>
      <x:c r="AS30" s="64" t="n">
        <x:f>-ROUND(AK30*'Drivers'!V30,3)</x:f>
        <x:v>-43.572</x:v>
      </x:c>
      <x:c r="AT30" s="64" t="n">
        <x:f>SUM(AO30:AS30)</x:f>
        <x:v>-671.1310000000001</x:v>
      </x:c>
      <x:c r="AU30" s="65" t="n">
        <x:f>AT30/AK30</x:f>
        <x:v>-0.5885802636956328</x:v>
      </x:c>
      <x:c r="AV30" s="64" t="n">
        <x:f>AK30+AT30</x:f>
        <x:v>469.12300000000005</x:v>
      </x:c>
      <x:c r="AW30" s="65" t="n">
        <x:f>AV30/AK30</x:f>
        <x:v>0.4114197363043673</x:v>
      </x:c>
      <x:c r="AX30" s="64" t="n">
        <x:f>-ROUND(AK30*'Drivers'!W30,3)</x:f>
        <x:v>-22.65</x:v>
      </x:c>
      <x:c r="AY30" s="64" t="n">
        <x:f>-ROUND(AK30*'Drivers'!X30,3)</x:f>
        <x:v>-34.485</x:v>
      </x:c>
      <x:c r="AZ30" s="64" t="n">
        <x:f>-ROUND(AK30*'Drivers'!Y30,3)</x:f>
        <x:v>-31.396</x:v>
      </x:c>
      <x:c r="BA30" s="64" t="n">
        <x:f>-ROUND(AK30*'Drivers'!Z30,3)</x:f>
        <x:v>-9.119</x:v>
      </x:c>
      <x:c r="BB30" s="64" t="n">
        <x:f>-ROUND(AK30*'Drivers'!AA30,3)</x:f>
        <x:v>-8.64</x:v>
      </x:c>
      <x:c r="BC30" s="64" t="n">
        <x:f>SUM(BA30,BB30)</x:f>
        <x:v>-17.759</x:v>
      </x:c>
      <x:c r="BD30" s="64" t="n">
        <x:f>-ROUND(AK30*'Drivers'!AB30,3)</x:f>
        <x:v>-6.926</x:v>
      </x:c>
      <x:c r="BE30" s="64" t="n">
        <x:f>SUM(AX30:BB30,BD30)</x:f>
        <x:v>-113.21600000000001</x:v>
      </x:c>
      <x:c r="BF30" s="67" t="n">
        <x:f>'Drivers'!AF30</x:f>
        <x:v>10</x:v>
      </x:c>
      <x:c r="BG30" s="64" t="n">
        <x:f>BJ30</x:f>
        <x:v>-45.057</x:v>
      </x:c>
      <x:c r="BH30" s="64" t="n">
        <x:f>BE30/BF30</x:f>
        <x:v>-11.3216</x:v>
      </x:c>
      <x:c r="BI30" s="68" t="n">
        <x:f>BF30/L30</x:f>
        <x:v>2</x:v>
      </x:c>
      <x:c r="BJ30" s="64" t="n">
        <x:f>-ROUND(AK30*'Drivers'!AC30,3)</x:f>
        <x:v>-45.057</x:v>
      </x:c>
      <x:c r="BK30" s="64" t="n">
        <x:f>-ROUND(AK30*'Drivers'!AD30,3)</x:f>
        <x:v>-113.649</x:v>
      </x:c>
      <x:c r="BL30" s="64" t="n">
        <x:f>SUM(AV30,BE30,BJ30,BK30)</x:f>
        <x:v>197.20100000000002</x:v>
      </x:c>
      <x:c r="BM30" s="65" t="n">
        <x:f>BL30/AK30</x:f>
        <x:v>0.17294480001824156</x:v>
      </x:c>
      <x:c r="BN30" s="64" t="n">
        <x:f>-ROUND(AK30*'Drivers'!AE30,3)</x:f>
        <x:v>-96.888</x:v>
      </x:c>
      <x:c r="BO30" s="64" t="n">
        <x:f>BL30+BN30</x:f>
        <x:v>100.31300000000002</x:v>
      </x:c>
      <x:c r="BP30" s="65" t="n">
        <x:f>BO30/AK30</x:f>
        <x:v>0.08797425836699543</x:v>
      </x:c>
    </x:row>
    <x:row r="31">
      <x:c r="A31" s="61" t="n">
        <x:v>2025</x:v>
      </x:c>
      <x:c r="B31" s="18" t="str">
        <x:v>S2</x:v>
      </x:c>
      <x:c r="C31" s="18" t="str">
        <x:v>2025 S2</x:v>
      </x:c>
      <x:c r="D31" s="18" t="str">
        <x:v>CNCT0008</x:v>
      </x:c>
      <x:c r="E31" s="18" t="str">
        <x:v>北京合生汇</x:v>
      </x:c>
      <x:c r="F31" s="18" t="str">
        <x:v>北京</x:v>
      </x:c>
      <x:c r="G31" s="18" t="str">
        <x:v>北京市</x:v>
      </x:c>
      <x:c r="H31" s="18" t="str">
        <x:v>北区</x:v>
      </x:c>
      <x:c r="I31" s="18" t="str">
        <x:v>Shopping Mall</x:v>
      </x:c>
      <x:c r="J31" s="18" t="str">
        <x:v>Regional Mall</x:v>
      </x:c>
      <x:c r="K31" s="18" t="str">
        <x:v>正常</x:v>
      </x:c>
      <x:c r="L31" s="62" t="n">
        <x:v>5</x:v>
      </x:c>
      <x:c r="M31" s="62" t="n">
        <x:v>53</x:v>
      </x:c>
      <x:c r="N31" s="63" t="n">
        <x:f>'Drivers'!C31</x:f>
        <x:v>2419</x:v>
      </x:c>
      <x:c r="O31" s="63" t="n">
        <x:f>'Drivers'!D31</x:f>
        <x:v>984.529</x:v>
      </x:c>
      <x:c r="P31" s="64" t="n">
        <x:f>ROUND(N31*O31/1000,3)</x:f>
        <x:v>2381.576</x:v>
      </x:c>
      <x:c r="Q31" s="64" t="n">
        <x:f>ROUND(P31*'Drivers'!E31,3)</x:f>
        <x:v>2345.063</x:v>
      </x:c>
      <x:c r="R31" s="64" t="n">
        <x:f>-ROUND(Q31*'Drivers'!F31,3)</x:f>
        <x:v>-419.408</x:v>
      </x:c>
      <x:c r="S31" s="65" t="n">
        <x:f>R31/Q31</x:f>
        <x:v>-0.1788472207356476</x:v>
      </x:c>
      <x:c r="T31" s="64" t="n">
        <x:f>-ROUND(Q31*'Drivers'!G31,3)</x:f>
        <x:v>-33.375</x:v>
      </x:c>
      <x:c r="U31" s="65" t="n">
        <x:f>T31/Q31</x:f>
        <x:v>-0.014232027028698161</x:v>
      </x:c>
      <x:c r="V31" s="64" t="n">
        <x:f>-ROUND(Q31*'Drivers'!H31,3)</x:f>
        <x:v>-22.291</x:v>
      </x:c>
      <x:c r="W31" s="64" t="n">
        <x:f>-ROUND(Q31*'Drivers'!I31,3)</x:f>
        <x:v>-13.185</x:v>
      </x:c>
      <x:c r="X31" s="64" t="n">
        <x:f>-ROUND(Q31*'Drivers'!J31,3)</x:f>
        <x:v>-29.853</x:v>
      </x:c>
      <x:c r="Y31" s="64" t="n">
        <x:f>-ROUND(Q31*'Drivers'!K31,3)</x:f>
        <x:v>-21.288</x:v>
      </x:c>
      <x:c r="Z31" s="64" t="n">
        <x:f>-ROUND(Q31*'Drivers'!L31,3)</x:f>
        <x:v>-25.071</x:v>
      </x:c>
      <x:c r="AA31" s="64" t="n">
        <x:f>-ROUND(Q31*'Drivers'!M31,3)</x:f>
        <x:v>-23.097</x:v>
      </x:c>
      <x:c r="AB31" s="64" t="n">
        <x:f>-ROUND(Q31*'Drivers'!N31,3)</x:f>
        <x:v>-14.112</x:v>
      </x:c>
      <x:c r="AC31" s="64" t="n">
        <x:f>SUM(V31:AB31)</x:f>
        <x:v>-148.897</x:v>
      </x:c>
      <x:c r="AD31" s="65" t="n">
        <x:f>AC31/Q31</x:f>
        <x:v>-0.06349381658403207</x:v>
      </x:c>
      <x:c r="AE31" s="64" t="n">
        <x:f>-ROUND(Q31*'Drivers'!O31,3)</x:f>
        <x:v>-27.364</x:v>
      </x:c>
      <x:c r="AF31" s="65" t="n">
        <x:f>AE31/Q31</x:f>
        <x:v>-0.011668769666316001</x:v>
      </x:c>
      <x:c r="AG31" s="64" t="n">
        <x:f>-ROUND(Q31*'Drivers'!P31,3)</x:f>
        <x:v>-1.375</x:v>
      </x:c>
      <x:c r="AH31" s="64" t="n">
        <x:f>-ROUND(Q31*'Drivers'!Q31,3)</x:f>
        <x:v>-11.832</x:v>
      </x:c>
      <x:c r="AI31" s="64" t="n">
        <x:f>SUM(R31,T31,AC31,AE31,AG31,AH31)</x:f>
        <x:v>-642.2510000000001</x:v>
      </x:c>
      <x:c r="AJ31" s="65" t="n">
        <x:f>AI31/Q31</x:f>
        <x:v>-0.27387366565418503</x:v>
      </x:c>
      <x:c r="AK31" s="64" t="n">
        <x:f>Q31+AI31</x:f>
        <x:v>1702.812</x:v>
      </x:c>
      <x:c r="AL31" s="65" t="n">
        <x:f>AK31/Q31</x:f>
        <x:v>0.726126334345815</x:v>
      </x:c>
      <x:c r="AM31" s="64" t="n">
        <x:f>AK31/L31</x:f>
        <x:v>340.56239999999997</x:v>
      </x:c>
      <x:c r="AN31" s="66" t="str">
        <x:f>IF(AM31&lt;=200,"≤200K",IF(AM31&lt;=350,"200–350K",IF(AM31&lt;=500,"350–500K",IF(AM31&lt;=700,"500–700K","&gt;700K"))))</x:f>
        <x:v>200–350K</x:v>
      </x:c>
      <x:c r="AO31" s="64" t="n">
        <x:f>-ROUND(Q31*'Drivers'!R31,3)</x:f>
        <x:v>-857.827</x:v>
      </x:c>
      <x:c r="AP31" s="64" t="n">
        <x:f>-ROUND(AK31*'Drivers'!S31,3)</x:f>
        <x:v>-21.396</x:v>
      </x:c>
      <x:c r="AQ31" s="64" t="n">
        <x:f>-ROUND(AK31*'Drivers'!T31,3)</x:f>
        <x:v>-7.335</x:v>
      </x:c>
      <x:c r="AR31" s="64" t="n">
        <x:f>-ROUND(AK31*'Drivers'!U31,3)</x:f>
        <x:v>-9.863</x:v>
      </x:c>
      <x:c r="AS31" s="64" t="n">
        <x:f>-ROUND(AK31*'Drivers'!V31,3)</x:f>
        <x:v>-65.069</x:v>
      </x:c>
      <x:c r="AT31" s="64" t="n">
        <x:f>SUM(AO31:AS31)</x:f>
        <x:v>-961.49</x:v>
      </x:c>
      <x:c r="AU31" s="65" t="n">
        <x:f>AT31/AK31</x:f>
        <x:v>-0.5646483581276148</x:v>
      </x:c>
      <x:c r="AV31" s="64" t="n">
        <x:f>AK31+AT31</x:f>
        <x:v>741.3219999999999</x:v>
      </x:c>
      <x:c r="AW31" s="65" t="n">
        <x:f>AV31/AK31</x:f>
        <x:v>0.4353516418723852</x:v>
      </x:c>
      <x:c r="AX31" s="64" t="n">
        <x:f>-ROUND(AK31*'Drivers'!W31,3)</x:f>
        <x:v>-25.055</x:v>
      </x:c>
      <x:c r="AY31" s="64" t="n">
        <x:f>-ROUND(AK31*'Drivers'!X31,3)</x:f>
        <x:v>-38.147</x:v>
      </x:c>
      <x:c r="AZ31" s="64" t="n">
        <x:f>-ROUND(AK31*'Drivers'!Y31,3)</x:f>
        <x:v>-34.73</x:v>
      </x:c>
      <x:c r="BA31" s="64" t="n">
        <x:f>-ROUND(AK31*'Drivers'!Z31,3)</x:f>
        <x:v>-13.619</x:v>
      </x:c>
      <x:c r="BB31" s="64" t="n">
        <x:f>-ROUND(AK31*'Drivers'!AA31,3)</x:f>
        <x:v>-12.903</x:v>
      </x:c>
      <x:c r="BC31" s="64" t="n">
        <x:f>SUM(BA31,BB31)</x:f>
        <x:v>-26.522</x:v>
      </x:c>
      <x:c r="BD31" s="64" t="n">
        <x:f>-ROUND(AK31*'Drivers'!AB31,3)</x:f>
        <x:v>-7.661</x:v>
      </x:c>
      <x:c r="BE31" s="64" t="n">
        <x:f>SUM(AX31:BB31,BD31)</x:f>
        <x:v>-132.11499999999998</x:v>
      </x:c>
      <x:c r="BF31" s="67" t="n">
        <x:f>'Drivers'!AF31</x:f>
        <x:v>10</x:v>
      </x:c>
      <x:c r="BG31" s="64" t="n">
        <x:f>BJ31</x:f>
        <x:v>-49.842</x:v>
      </x:c>
      <x:c r="BH31" s="64" t="n">
        <x:f>BE31/BF31</x:f>
        <x:v>-13.211499999999997</x:v>
      </x:c>
      <x:c r="BI31" s="68" t="n">
        <x:f>BF31/L31</x:f>
        <x:v>2</x:v>
      </x:c>
      <x:c r="BJ31" s="64" t="n">
        <x:f>-ROUND(AK31*'Drivers'!AC31,3)</x:f>
        <x:v>-49.842</x:v>
      </x:c>
      <x:c r="BK31" s="64" t="n">
        <x:f>-ROUND(AK31*'Drivers'!AD31,3)</x:f>
        <x:v>-151.535</x:v>
      </x:c>
      <x:c r="BL31" s="64" t="n">
        <x:f>SUM(AV31,BE31,BJ31,BK31)</x:f>
        <x:v>407.8299999999999</x:v>
      </x:c>
      <x:c r="BM31" s="65" t="n">
        <x:f>BL31/AK31</x:f>
        <x:v>0.23950383248414972</x:v>
      </x:c>
      <x:c r="BN31" s="64" t="n">
        <x:f>-ROUND(AK31*'Drivers'!AE31,3)</x:f>
        <x:v>-144.689</x:v>
      </x:c>
      <x:c r="BO31" s="64" t="n">
        <x:f>BL31+BN31</x:f>
        <x:v>263.14099999999996</x:v>
      </x:c>
      <x:c r="BP31" s="65" t="n">
        <x:f>BO31/AK31</x:f>
        <x:v>0.15453320742395518</x:v>
      </x:c>
    </x:row>
    <x:row r="32">
      <x:c r="A32" s="61" t="n">
        <x:v>2026</x:v>
      </x:c>
      <x:c r="B32" s="18" t="str">
        <x:v>S1</x:v>
      </x:c>
      <x:c r="C32" s="18" t="str">
        <x:v>2026 S1</x:v>
      </x:c>
      <x:c r="D32" s="18" t="str">
        <x:v>CNCT0008</x:v>
      </x:c>
      <x:c r="E32" s="18" t="str">
        <x:v>北京合生汇</x:v>
      </x:c>
      <x:c r="F32" s="18" t="str">
        <x:v>北京</x:v>
      </x:c>
      <x:c r="G32" s="18" t="str">
        <x:v>北京市</x:v>
      </x:c>
      <x:c r="H32" s="18" t="str">
        <x:v>北区</x:v>
      </x:c>
      <x:c r="I32" s="18" t="str">
        <x:v>Shopping Mall</x:v>
      </x:c>
      <x:c r="J32" s="18" t="str">
        <x:v>Regional Mall</x:v>
      </x:c>
      <x:c r="K32" s="18" t="str">
        <x:v>正常</x:v>
      </x:c>
      <x:c r="L32" s="62" t="n">
        <x:v>5</x:v>
      </x:c>
      <x:c r="M32" s="62" t="n">
        <x:v>53</x:v>
      </x:c>
      <x:c r="N32" s="63" t="n">
        <x:f>'Drivers'!C32</x:f>
        <x:v>2149</x:v>
      </x:c>
      <x:c r="O32" s="63" t="n">
        <x:f>'Drivers'!D32</x:f>
        <x:v>977.803</x:v>
      </x:c>
      <x:c r="P32" s="64" t="n">
        <x:f>ROUND(N32*O32/1000,3)</x:f>
        <x:v>2101.299</x:v>
      </x:c>
      <x:c r="Q32" s="64" t="n">
        <x:f>ROUND(P32*'Drivers'!E32,3)</x:f>
        <x:v>2055.675</x:v>
      </x:c>
      <x:c r="R32" s="64" t="n">
        <x:f>-ROUND(Q32*'Drivers'!F32,3)</x:f>
        <x:v>-373.683</x:v>
      </x:c>
      <x:c r="S32" s="65" t="n">
        <x:f>R32/Q32</x:f>
        <x:v>-0.18178116677003903</x:v>
      </x:c>
      <x:c r="T32" s="64" t="n">
        <x:f>-ROUND(Q32*'Drivers'!G32,3)</x:f>
        <x:v>-26.181</x:v>
      </x:c>
      <x:c r="U32" s="65" t="n">
        <x:f>T32/Q32</x:f>
        <x:v>-0.012735962640008756</x:v>
      </x:c>
      <x:c r="V32" s="64" t="n">
        <x:f>-ROUND(Q32*'Drivers'!H32,3)</x:f>
        <x:v>-19.54</x:v>
      </x:c>
      <x:c r="W32" s="64" t="n">
        <x:f>-ROUND(Q32*'Drivers'!I32,3)</x:f>
        <x:v>-11.558</x:v>
      </x:c>
      <x:c r="X32" s="64" t="n">
        <x:f>-ROUND(Q32*'Drivers'!J32,3)</x:f>
        <x:v>-26.169</x:v>
      </x:c>
      <x:c r="Y32" s="64" t="n">
        <x:f>-ROUND(Q32*'Drivers'!K32,3)</x:f>
        <x:v>-18.661</x:v>
      </x:c>
      <x:c r="Z32" s="64" t="n">
        <x:f>-ROUND(Q32*'Drivers'!L32,3)</x:f>
        <x:v>-21.977</x:v>
      </x:c>
      <x:c r="AA32" s="64" t="n">
        <x:f>-ROUND(Q32*'Drivers'!M32,3)</x:f>
        <x:v>-20.247</x:v>
      </x:c>
      <x:c r="AB32" s="64" t="n">
        <x:f>-ROUND(Q32*'Drivers'!N32,3)</x:f>
        <x:v>-12.37</x:v>
      </x:c>
      <x:c r="AC32" s="64" t="n">
        <x:f>SUM(V32:AB32)</x:f>
        <x:v>-130.522</x:v>
      </x:c>
      <x:c r="AD32" s="65" t="n">
        <x:f>AC32/Q32</x:f>
        <x:v>-0.06349349970204433</x:v>
      </x:c>
      <x:c r="AE32" s="64" t="n">
        <x:f>-ROUND(Q32*'Drivers'!O32,3)</x:f>
        <x:v>-26.045</x:v>
      </x:c>
      <x:c r="AF32" s="65" t="n">
        <x:f>AE32/Q32</x:f>
        <x:v>-0.012669804322181278</x:v>
      </x:c>
      <x:c r="AG32" s="64" t="n">
        <x:f>-ROUND(Q32*'Drivers'!P32,3)</x:f>
        <x:v>-1.205</x:v>
      </x:c>
      <x:c r="AH32" s="64" t="n">
        <x:f>-ROUND(Q32*'Drivers'!Q32,3)</x:f>
        <x:v>-10.372</x:v>
      </x:c>
      <x:c r="AI32" s="64" t="n">
        <x:f>SUM(R32,T32,AC32,AE32,AG32,AH32)</x:f>
        <x:v>-568.0079999999999</x:v>
      </x:c>
      <x:c r="AJ32" s="65" t="n">
        <x:f>AI32/Q32</x:f>
        <x:v>-0.27631216023933736</x:v>
      </x:c>
      <x:c r="AK32" s="64" t="n">
        <x:f>Q32+AI32</x:f>
        <x:v>1487.6670000000004</x:v>
      </x:c>
      <x:c r="AL32" s="65" t="n">
        <x:f>AK32/Q32</x:f>
        <x:v>0.7236878397606626</x:v>
      </x:c>
      <x:c r="AM32" s="64" t="n">
        <x:f>AK32/L32</x:f>
        <x:v>297.5334000000001</x:v>
      </x:c>
      <x:c r="AN32" s="66" t="str">
        <x:f>IF(AM32&lt;=200,"≤200K",IF(AM32&lt;=350,"200–350K",IF(AM32&lt;=500,"350–500K",IF(AM32&lt;=700,"500–700K","&gt;700K"))))</x:f>
        <x:v>200–350K</x:v>
      </x:c>
      <x:c r="AO32" s="64" t="n">
        <x:f>-ROUND(Q32*'Drivers'!R32,3)</x:f>
        <x:v>-775.488</x:v>
      </x:c>
      <x:c r="AP32" s="64" t="n">
        <x:f>-ROUND(AK32*'Drivers'!S32,3)</x:f>
        <x:v>-18.693</x:v>
      </x:c>
      <x:c r="AQ32" s="64" t="n">
        <x:f>-ROUND(AK32*'Drivers'!T32,3)</x:f>
        <x:v>-6.408</x:v>
      </x:c>
      <x:c r="AR32" s="64" t="n">
        <x:f>-ROUND(AK32*'Drivers'!U32,3)</x:f>
        <x:v>-8.617</x:v>
      </x:c>
      <x:c r="AS32" s="64" t="n">
        <x:f>-ROUND(AK32*'Drivers'!V32,3)</x:f>
        <x:v>-56.848</x:v>
      </x:c>
      <x:c r="AT32" s="64" t="n">
        <x:f>SUM(AO32:AS32)</x:f>
        <x:v>-866.054</x:v>
      </x:c>
      <x:c r="AU32" s="65" t="n">
        <x:f>AT32/AK32</x:f>
        <x:v>-0.5821558184728167</x:v>
      </x:c>
      <x:c r="AV32" s="64" t="n">
        <x:f>AK32+AT32</x:f>
        <x:v>621.6130000000004</x:v>
      </x:c>
      <x:c r="AW32" s="65" t="n">
        <x:f>AV32/AK32</x:f>
        <x:v>0.41784418152718333</x:v>
      </x:c>
      <x:c r="AX32" s="64" t="n">
        <x:f>-ROUND(AK32*'Drivers'!W32,3)</x:f>
        <x:v>-36.361</x:v>
      </x:c>
      <x:c r="AY32" s="64" t="n">
        <x:f>-ROUND(AK32*'Drivers'!X32,3)</x:f>
        <x:v>-69.199</x:v>
      </x:c>
      <x:c r="AZ32" s="64" t="n">
        <x:f>-ROUND(AK32*'Drivers'!Y32,3)</x:f>
        <x:v>-66.53</x:v>
      </x:c>
      <x:c r="BA32" s="64" t="n">
        <x:f>-ROUND(AK32*'Drivers'!Z32,3)</x:f>
        <x:v>-14.64</x:v>
      </x:c>
      <x:c r="BB32" s="64" t="n">
        <x:f>-ROUND(AK32*'Drivers'!AA32,3)</x:f>
        <x:v>-13.87</x:v>
      </x:c>
      <x:c r="BC32" s="64" t="n">
        <x:f>SUM(BA32,BB32)</x:f>
        <x:v>-28.509999999999998</x:v>
      </x:c>
      <x:c r="BD32" s="64" t="n">
        <x:f>-ROUND(AK32*'Drivers'!AB32,3)</x:f>
        <x:v>-11.118</x:v>
      </x:c>
      <x:c r="BE32" s="64" t="n">
        <x:f>SUM(AX32:BB32,BD32)</x:f>
        <x:v>-211.71800000000002</x:v>
      </x:c>
      <x:c r="BF32" s="67" t="n">
        <x:f>'Drivers'!AF32</x:f>
        <x:v>10</x:v>
      </x:c>
      <x:c r="BG32" s="64" t="n">
        <x:f>BJ32</x:f>
        <x:v>-72.332</x:v>
      </x:c>
      <x:c r="BH32" s="64" t="n">
        <x:f>BE32/BF32</x:f>
        <x:v>-21.1718</x:v>
      </x:c>
      <x:c r="BI32" s="68" t="n">
        <x:f>BF32/L32</x:f>
        <x:v>2</x:v>
      </x:c>
      <x:c r="BJ32" s="64" t="n">
        <x:f>-ROUND(AK32*'Drivers'!AC32,3)</x:f>
        <x:v>-72.332</x:v>
      </x:c>
      <x:c r="BK32" s="64" t="n">
        <x:f>-ROUND(AK32*'Drivers'!AD32,3)</x:f>
        <x:v>-148.276</x:v>
      </x:c>
      <x:c r="BL32" s="64" t="n">
        <x:f>SUM(AV32,BE32,BJ32,BK32)</x:f>
        <x:v>189.28700000000038</x:v>
      </x:c>
      <x:c r="BM32" s="65" t="n">
        <x:f>BL32/AK32</x:f>
        <x:v>0.1272374798930139</x:v>
      </x:c>
      <x:c r="BN32" s="64" t="n">
        <x:f>-ROUND(AK32*'Drivers'!AE32,3)</x:f>
        <x:v>-126.408</x:v>
      </x:c>
      <x:c r="BO32" s="64" t="n">
        <x:f>BL32+BN32</x:f>
        <x:v>62.879000000000374</x:v>
      </x:c>
      <x:c r="BP32" s="65" t="n">
        <x:f>BO32/AK32</x:f>
        <x:v>0.042266851385424534</x:v>
      </x:c>
    </x:row>
    <x:row r="33">
      <x:c r="A33" s="61" t="n">
        <x:v>2026</x:v>
      </x:c>
      <x:c r="B33" s="18" t="str">
        <x:v>S2</x:v>
      </x:c>
      <x:c r="C33" s="18" t="str">
        <x:v>2026 S2</x:v>
      </x:c>
      <x:c r="D33" s="18" t="str">
        <x:v>CNCT0008</x:v>
      </x:c>
      <x:c r="E33" s="18" t="str">
        <x:v>北京合生汇</x:v>
      </x:c>
      <x:c r="F33" s="18" t="str">
        <x:v>北京</x:v>
      </x:c>
      <x:c r="G33" s="18" t="str">
        <x:v>北京市</x:v>
      </x:c>
      <x:c r="H33" s="18" t="str">
        <x:v>北区</x:v>
      </x:c>
      <x:c r="I33" s="18" t="str">
        <x:v>Shopping Mall</x:v>
      </x:c>
      <x:c r="J33" s="18" t="str">
        <x:v>Regional Mall</x:v>
      </x:c>
      <x:c r="K33" s="18" t="str">
        <x:v>正常</x:v>
      </x:c>
      <x:c r="L33" s="62" t="n">
        <x:v>5</x:v>
      </x:c>
      <x:c r="M33" s="62" t="n">
        <x:v>53</x:v>
      </x:c>
      <x:c r="N33" s="63" t="n">
        <x:f>'Drivers'!C33</x:f>
        <x:v>2445</x:v>
      </x:c>
      <x:c r="O33" s="63" t="n">
        <x:f>'Drivers'!D33</x:f>
        <x:v>1015.468</x:v>
      </x:c>
      <x:c r="P33" s="64" t="n">
        <x:f>ROUND(N33*O33/1000,3)</x:f>
        <x:v>2482.819</x:v>
      </x:c>
      <x:c r="Q33" s="64" t="n">
        <x:f>ROUND(P33*'Drivers'!E33,3)</x:f>
        <x:v>2444.754</x:v>
      </x:c>
      <x:c r="R33" s="64" t="n">
        <x:f>-ROUND(Q33*'Drivers'!F33,3)</x:f>
        <x:v>-448.503</x:v>
      </x:c>
      <x:c r="S33" s="65" t="n">
        <x:f>R33/Q33</x:f>
        <x:v>-0.18345526789198421</x:v>
      </x:c>
      <x:c r="T33" s="64" t="n">
        <x:f>-ROUND(Q33*'Drivers'!G33,3)</x:f>
        <x:v>-31.626</x:v>
      </x:c>
      <x:c r="U33" s="65" t="n">
        <x:f>T33/Q33</x:f>
        <x:v>-0.012936270888604743</x:v>
      </x:c>
      <x:c r="V33" s="64" t="n">
        <x:f>-ROUND(Q33*'Drivers'!H33,3)</x:f>
        <x:v>-23.238</x:v>
      </x:c>
      <x:c r="W33" s="64" t="n">
        <x:f>-ROUND(Q33*'Drivers'!I33,3)</x:f>
        <x:v>-13.746</x:v>
      </x:c>
      <x:c r="X33" s="64" t="n">
        <x:f>-ROUND(Q33*'Drivers'!J33,3)</x:f>
        <x:v>-31.122</x:v>
      </x:c>
      <x:c r="Y33" s="64" t="n">
        <x:f>-ROUND(Q33*'Drivers'!K33,3)</x:f>
        <x:v>-22.193</x:v>
      </x:c>
      <x:c r="Z33" s="64" t="n">
        <x:f>-ROUND(Q33*'Drivers'!L33,3)</x:f>
        <x:v>-26.136</x:v>
      </x:c>
      <x:c r="AA33" s="64" t="n">
        <x:f>-ROUND(Q33*'Drivers'!M33,3)</x:f>
        <x:v>-24.079</x:v>
      </x:c>
      <x:c r="AB33" s="64" t="n">
        <x:f>-ROUND(Q33*'Drivers'!N33,3)</x:f>
        <x:v>-14.712</x:v>
      </x:c>
      <x:c r="AC33" s="64" t="n">
        <x:f>SUM(V33:AB33)</x:f>
        <x:v>-155.22599999999997</x:v>
      </x:c>
      <x:c r="AD33" s="65" t="n">
        <x:f>AC33/Q33</x:f>
        <x:v>-0.06349350486797443</x:v>
      </x:c>
      <x:c r="AE33" s="64" t="n">
        <x:f>-ROUND(Q33*'Drivers'!O33,3)</x:f>
        <x:v>-28.527</x:v>
      </x:c>
      <x:c r="AF33" s="65" t="n">
        <x:f>AE33/Q33</x:f>
        <x:v>-0.011668658687131713</x:v>
      </x:c>
      <x:c r="AG33" s="64" t="n">
        <x:f>-ROUND(Q33*'Drivers'!P33,3)</x:f>
        <x:v>-1.433</x:v>
      </x:c>
      <x:c r="AH33" s="64" t="n">
        <x:f>-ROUND(Q33*'Drivers'!Q33,3)</x:f>
        <x:v>-12.335</x:v>
      </x:c>
      <x:c r="AI33" s="64" t="n">
        <x:f>SUM(R33,T33,AC33,AE33,AG33,AH33)</x:f>
        <x:v>-677.65</x:v>
      </x:c>
      <x:c r="AJ33" s="65" t="n">
        <x:f>AI33/Q33</x:f>
        <x:v>-0.27718535280032264</x:v>
      </x:c>
      <x:c r="AK33" s="64" t="n">
        <x:f>Q33+AI33</x:f>
        <x:v>1767.1039999999998</x:v>
      </x:c>
      <x:c r="AL33" s="65" t="n">
        <x:f>AK33/Q33</x:f>
        <x:v>0.7228146471996773</x:v>
      </x:c>
      <x:c r="AM33" s="64" t="n">
        <x:f>AK33/L33</x:f>
        <x:v>353.4208</x:v>
      </x:c>
      <x:c r="AN33" s="66" t="str">
        <x:f>IF(AM33&lt;=200,"≤200K",IF(AM33&lt;=350,"200–350K",IF(AM33&lt;=500,"350–500K",IF(AM33&lt;=700,"500–700K","&gt;700K"))))</x:f>
        <x:v>350–500K</x:v>
      </x:c>
      <x:c r="AO33" s="64" t="n">
        <x:f>-ROUND(Q33*'Drivers'!R33,3)</x:f>
        <x:v>-889.201</x:v>
      </x:c>
      <x:c r="AP33" s="64" t="n">
        <x:f>-ROUND(AK33*'Drivers'!S33,3)</x:f>
        <x:v>-22.204</x:v>
      </x:c>
      <x:c r="AQ33" s="64" t="n">
        <x:f>-ROUND(AK33*'Drivers'!T33,3)</x:f>
        <x:v>-7.612</x:v>
      </x:c>
      <x:c r="AR33" s="64" t="n">
        <x:f>-ROUND(AK33*'Drivers'!U33,3)</x:f>
        <x:v>-10.235</x:v>
      </x:c>
      <x:c r="AS33" s="64" t="n">
        <x:f>-ROUND(AK33*'Drivers'!V33,3)</x:f>
        <x:v>-67.526</x:v>
      </x:c>
      <x:c r="AT33" s="64" t="n">
        <x:f>SUM(AO33:AS33)</x:f>
        <x:v>-996.7779999999999</x:v>
      </x:c>
      <x:c r="AU33" s="65" t="n">
        <x:f>AT33/AK33</x:f>
        <x:v>-0.5640743272608743</x:v>
      </x:c>
      <x:c r="AV33" s="64" t="n">
        <x:f>AK33+AT33</x:f>
        <x:v>770.3259999999999</x:v>
      </x:c>
      <x:c r="AW33" s="65" t="n">
        <x:f>AV33/AK33</x:f>
        <x:v>0.4359256727391257</x:v>
      </x:c>
      <x:c r="AX33" s="64" t="n">
        <x:f>-ROUND(AK33*'Drivers'!W33,3)</x:f>
        <x:v>-27.561</x:v>
      </x:c>
      <x:c r="AY33" s="64" t="n">
        <x:f>-ROUND(AK33*'Drivers'!X33,3)</x:f>
        <x:v>-41.962</x:v>
      </x:c>
      <x:c r="AZ33" s="64" t="n">
        <x:f>-ROUND(AK33*'Drivers'!Y33,3)</x:f>
        <x:v>-38.204</x:v>
      </x:c>
      <x:c r="BA33" s="64" t="n">
        <x:f>-ROUND(AK33*'Drivers'!Z33,3)</x:f>
        <x:v>-14.981</x:v>
      </x:c>
      <x:c r="BB33" s="64" t="n">
        <x:f>-ROUND(AK33*'Drivers'!AA33,3)</x:f>
        <x:v>-14.193</x:v>
      </x:c>
      <x:c r="BC33" s="64" t="n">
        <x:f>SUM(BA33,BB33)</x:f>
        <x:v>-29.174</x:v>
      </x:c>
      <x:c r="BD33" s="64" t="n">
        <x:f>-ROUND(AK33*'Drivers'!AB33,3)</x:f>
        <x:v>-8.428</x:v>
      </x:c>
      <x:c r="BE33" s="64" t="n">
        <x:f>SUM(AX33:BB33,BD33)</x:f>
        <x:v>-145.329</x:v>
      </x:c>
      <x:c r="BF33" s="67" t="n">
        <x:f>'Drivers'!AF33</x:f>
        <x:v>10</x:v>
      </x:c>
      <x:c r="BG33" s="64" t="n">
        <x:f>BJ33</x:f>
        <x:v>-54.827</x:v>
      </x:c>
      <x:c r="BH33" s="64" t="n">
        <x:f>BE33/BF33</x:f>
        <x:v>-14.532900000000001</x:v>
      </x:c>
      <x:c r="BI33" s="68" t="n">
        <x:f>BF33/L33</x:f>
        <x:v>2</x:v>
      </x:c>
      <x:c r="BJ33" s="64" t="n">
        <x:f>-ROUND(AK33*'Drivers'!AC33,3)</x:f>
        <x:v>-54.827</x:v>
      </x:c>
      <x:c r="BK33" s="64" t="n">
        <x:f>-ROUND(AK33*'Drivers'!AD33,3)</x:f>
        <x:v>-157.256</x:v>
      </x:c>
      <x:c r="BL33" s="64" t="n">
        <x:f>SUM(AV33,BE33,BJ33,BK33)</x:f>
        <x:v>412.9139999999999</x:v>
      </x:c>
      <x:c r="BM33" s="65" t="n">
        <x:f>BL33/AK33</x:f>
        <x:v>0.23366706204049106</x:v>
      </x:c>
      <x:c r="BN33" s="64" t="n">
        <x:f>-ROUND(AK33*'Drivers'!AE33,3)</x:f>
        <x:v>-150.152</x:v>
      </x:c>
      <x:c r="BO33" s="64" t="n">
        <x:f>BL33+BN33</x:f>
        <x:v>262.7619999999999</x:v>
      </x:c>
      <x:c r="BP33" s="65" t="n">
        <x:f>BO33/AK33</x:f>
        <x:v>0.1486963981746405</x:v>
      </x:c>
    </x:row>
    <x:row r="34">
      <x:c r="A34" s="61" t="n">
        <x:v>2025</x:v>
      </x:c>
      <x:c r="B34" s="18" t="str">
        <x:v>S1</x:v>
      </x:c>
      <x:c r="C34" s="18" t="str">
        <x:v>2025 S1</x:v>
      </x:c>
      <x:c r="D34" s="18" t="str">
        <x:v>CNCT0009</x:v>
      </x:c>
      <x:c r="E34" s="18" t="str">
        <x:v>北京燕莎友谊商城</x:v>
      </x:c>
      <x:c r="F34" s="18" t="str">
        <x:v>北京</x:v>
      </x:c>
      <x:c r="G34" s="18" t="str">
        <x:v>北京市</x:v>
      </x:c>
      <x:c r="H34" s="18" t="str">
        <x:v>北区</x:v>
      </x:c>
      <x:c r="I34" s="18" t="str">
        <x:v>Department Store</x:v>
      </x:c>
      <x:c r="J34" s="18" t="str">
        <x:v>Regional Mall</x:v>
      </x:c>
      <x:c r="K34" s="18" t="str">
        <x:v>正常</x:v>
      </x:c>
      <x:c r="L34" s="62" t="n">
        <x:v>5</x:v>
      </x:c>
      <x:c r="M34" s="62" t="n">
        <x:v>53</x:v>
      </x:c>
      <x:c r="N34" s="63" t="n">
        <x:f>'Drivers'!C34</x:f>
        <x:v>2344</x:v>
      </x:c>
      <x:c r="O34" s="63" t="n">
        <x:f>'Drivers'!D34</x:f>
        <x:v>1013.21</x:v>
      </x:c>
      <x:c r="P34" s="64" t="n">
        <x:f>ROUND(N34*O34/1000,3)</x:f>
        <x:v>2374.964</x:v>
      </x:c>
      <x:c r="Q34" s="64" t="n">
        <x:f>ROUND(P34*'Drivers'!E34,3)</x:f>
        <x:v>2284.262</x:v>
      </x:c>
      <x:c r="R34" s="64" t="n">
        <x:f>-ROUND(Q34*'Drivers'!F34,3)</x:f>
        <x:v>-375.412</x:v>
      </x:c>
      <x:c r="S34" s="65" t="n">
        <x:f>R34/Q34</x:f>
        <x:v>-0.16434717208446314</x:v>
      </x:c>
      <x:c r="T34" s="64" t="n">
        <x:f>-ROUND(Q34*'Drivers'!G34,3)</x:f>
        <x:v>-23.284</x:v>
      </x:c>
      <x:c r="U34" s="65" t="n">
        <x:f>T34/Q34</x:f>
        <x:v>-0.01019322652130097</x:v>
      </x:c>
      <x:c r="V34" s="64" t="n">
        <x:f>-ROUND(Q34*'Drivers'!H34,3)</x:f>
        <x:v>-19.687</x:v>
      </x:c>
      <x:c r="W34" s="64" t="n">
        <x:f>-ROUND(Q34*'Drivers'!I34,3)</x:f>
        <x:v>-18.485</x:v>
      </x:c>
      <x:c r="X34" s="64" t="n">
        <x:f>-ROUND(Q34*'Drivers'!J34,3)</x:f>
        <x:v>-39.539</x:v>
      </x:c>
      <x:c r="Y34" s="64" t="n">
        <x:f>-ROUND(Q34*'Drivers'!K34,3)</x:f>
        <x:v>-26.376</x:v>
      </x:c>
      <x:c r="Z34" s="64" t="n">
        <x:f>-ROUND(Q34*'Drivers'!L34,3)</x:f>
        <x:v>-30.9</x:v>
      </x:c>
      <x:c r="AA34" s="64" t="n">
        <x:f>-ROUND(Q34*'Drivers'!M34,3)</x:f>
        <x:v>-13.622</x:v>
      </x:c>
      <x:c r="AB34" s="64" t="n">
        <x:f>-ROUND(Q34*'Drivers'!N34,3)</x:f>
        <x:v>-19.486</x:v>
      </x:c>
      <x:c r="AC34" s="64" t="n">
        <x:f>SUM(V34:AB34)</x:f>
        <x:v>-168.09499999999997</x:v>
      </x:c>
      <x:c r="AD34" s="65" t="n">
        <x:f>AC34/Q34</x:f>
        <x:v>-0.07358831867798</x:v>
      </x:c>
      <x:c r="AE34" s="64" t="n">
        <x:f>-ROUND(Q34*'Drivers'!O34,3)</x:f>
        <x:v>-30.207</x:v>
      </x:c>
      <x:c r="AF34" s="65" t="n">
        <x:f>AE34/Q34</x:f>
        <x:v>-0.013223964676556366</x:v>
      </x:c>
      <x:c r="AG34" s="64" t="n">
        <x:f>-ROUND(Q34*'Drivers'!P34,3)</x:f>
        <x:v>-2.956</x:v>
      </x:c>
      <x:c r="AH34" s="64" t="n">
        <x:f>-ROUND(Q34*'Drivers'!Q34,3)</x:f>
        <x:v>-8.325</x:v>
      </x:c>
      <x:c r="AI34" s="64" t="n">
        <x:f>SUM(R34,T34,AC34,AE34,AG34,AH34)</x:f>
        <x:v>-608.279</x:v>
      </x:c>
      <x:c r="AJ34" s="65" t="n">
        <x:f>AI34/Q34</x:f>
        <x:v>-0.26629125730761183</x:v>
      </x:c>
      <x:c r="AK34" s="64" t="n">
        <x:f>Q34+AI34</x:f>
        <x:v>1675.9830000000002</x:v>
      </x:c>
      <x:c r="AL34" s="65" t="n">
        <x:f>AK34/Q34</x:f>
        <x:v>0.7337087426923882</x:v>
      </x:c>
      <x:c r="AM34" s="64" t="n">
        <x:f>AK34/L34</x:f>
        <x:v>335.19660000000005</x:v>
      </x:c>
      <x:c r="AN34" s="66" t="str">
        <x:f>IF(AM34&lt;=200,"≤200K",IF(AM34&lt;=350,"200–350K",IF(AM34&lt;=500,"350–500K",IF(AM34&lt;=700,"500–700K","&gt;700K"))))</x:f>
        <x:v>200–350K</x:v>
      </x:c>
      <x:c r="AO34" s="64" t="n">
        <x:f>-ROUND(Q34*'Drivers'!R34,3)</x:f>
        <x:v>-853.128</x:v>
      </x:c>
      <x:c r="AP34" s="64" t="n">
        <x:f>-ROUND(AK34*'Drivers'!S34,3)</x:f>
        <x:v>-19.481</x:v>
      </x:c>
      <x:c r="AQ34" s="64" t="n">
        <x:f>-ROUND(AK34*'Drivers'!T34,3)</x:f>
        <x:v>-10.003</x:v>
      </x:c>
      <x:c r="AR34" s="64" t="n">
        <x:f>-ROUND(AK34*'Drivers'!U34,3)</x:f>
        <x:v>-18.732</x:v>
      </x:c>
      <x:c r="AS34" s="64" t="n">
        <x:f>-ROUND(AK34*'Drivers'!V34,3)</x:f>
        <x:v>-56.64</x:v>
      </x:c>
      <x:c r="AT34" s="64" t="n">
        <x:f>SUM(AO34:AS34)</x:f>
        <x:v>-957.984</x:v>
      </x:c>
      <x:c r="AU34" s="65" t="n">
        <x:f>AT34/AK34</x:f>
        <x:v>-0.5715952966110037</x:v>
      </x:c>
      <x:c r="AV34" s="64" t="n">
        <x:f>AK34+AT34</x:f>
        <x:v>717.9990000000001</x:v>
      </x:c>
      <x:c r="AW34" s="65" t="n">
        <x:f>AV34/AK34</x:f>
        <x:v>0.4284047033889962</x:v>
      </x:c>
      <x:c r="AX34" s="64" t="n">
        <x:f>-ROUND(AK34*'Drivers'!W34,3)</x:f>
        <x:v>-21.082</x:v>
      </x:c>
      <x:c r="AY34" s="64" t="n">
        <x:f>-ROUND(AK34*'Drivers'!X34,3)</x:f>
        <x:v>-37.705</x:v>
      </x:c>
      <x:c r="AZ34" s="64" t="n">
        <x:f>-ROUND(AK34*'Drivers'!Y34,3)</x:f>
        <x:v>-33.631</x:v>
      </x:c>
      <x:c r="BA34" s="64" t="n">
        <x:f>-ROUND(AK34*'Drivers'!Z34,3)</x:f>
        <x:v>-13.11</x:v>
      </x:c>
      <x:c r="BB34" s="64" t="n">
        <x:f>-ROUND(AK34*'Drivers'!AA34,3)</x:f>
        <x:v>-9.749</x:v>
      </x:c>
      <x:c r="BC34" s="64" t="n">
        <x:f>SUM(BA34,BB34)</x:f>
        <x:v>-22.859</x:v>
      </x:c>
      <x:c r="BD34" s="64" t="n">
        <x:f>-ROUND(AK34*'Drivers'!AB34,3)</x:f>
        <x:v>-7.875</x:v>
      </x:c>
      <x:c r="BE34" s="64" t="n">
        <x:f>SUM(AX34:BB34,BD34)</x:f>
        <x:v>-123.152</x:v>
      </x:c>
      <x:c r="BF34" s="67" t="n">
        <x:f>'Drivers'!AF34</x:f>
        <x:v>9</x:v>
      </x:c>
      <x:c r="BG34" s="64" t="n">
        <x:f>BJ34</x:f>
        <x:v>-34.467</x:v>
      </x:c>
      <x:c r="BH34" s="64" t="n">
        <x:f>BE34/BF34</x:f>
        <x:v>-13.683555555555555</x:v>
      </x:c>
      <x:c r="BI34" s="68" t="n">
        <x:f>BF34/L34</x:f>
        <x:v>1.8</x:v>
      </x:c>
      <x:c r="BJ34" s="64" t="n">
        <x:f>-ROUND(AK34*'Drivers'!AC34,3)</x:f>
        <x:v>-34.467</x:v>
      </x:c>
      <x:c r="BK34" s="64" t="n">
        <x:f>-ROUND(AK34*'Drivers'!AD34,3)</x:f>
        <x:v>-163.759</x:v>
      </x:c>
      <x:c r="BL34" s="64" t="n">
        <x:f>SUM(AV34,BE34,BJ34,BK34)</x:f>
        <x:v>396.6210000000001</x:v>
      </x:c>
      <x:c r="BM34" s="65" t="n">
        <x:f>BL34/AK34</x:f>
        <x:v>0.2366497750872175</x:v>
      </x:c>
      <x:c r="BN34" s="64" t="n">
        <x:f>-ROUND(AK34*'Drivers'!AE34,3)</x:f>
        <x:v>-131.916</x:v>
      </x:c>
      <x:c r="BO34" s="64" t="n">
        <x:f>BL34+BN34</x:f>
        <x:v>264.7050000000001</x:v>
      </x:c>
      <x:c r="BP34" s="65" t="n">
        <x:f>BO34/AK34</x:f>
        <x:v>0.15794014617093374</x:v>
      </x:c>
    </x:row>
    <x:row r="35">
      <x:c r="A35" s="61" t="n">
        <x:v>2025</x:v>
      </x:c>
      <x:c r="B35" s="18" t="str">
        <x:v>S2</x:v>
      </x:c>
      <x:c r="C35" s="18" t="str">
        <x:v>2025 S2</x:v>
      </x:c>
      <x:c r="D35" s="18" t="str">
        <x:v>CNCT0009</x:v>
      </x:c>
      <x:c r="E35" s="18" t="str">
        <x:v>北京燕莎友谊商城</x:v>
      </x:c>
      <x:c r="F35" s="18" t="str">
        <x:v>北京</x:v>
      </x:c>
      <x:c r="G35" s="18" t="str">
        <x:v>北京市</x:v>
      </x:c>
      <x:c r="H35" s="18" t="str">
        <x:v>北区</x:v>
      </x:c>
      <x:c r="I35" s="18" t="str">
        <x:v>Department Store</x:v>
      </x:c>
      <x:c r="J35" s="18" t="str">
        <x:v>Regional Mall</x:v>
      </x:c>
      <x:c r="K35" s="18" t="str">
        <x:v>正常</x:v>
      </x:c>
      <x:c r="L35" s="62" t="n">
        <x:v>5</x:v>
      </x:c>
      <x:c r="M35" s="62" t="n">
        <x:v>53</x:v>
      </x:c>
      <x:c r="N35" s="63" t="n">
        <x:f>'Drivers'!C35</x:f>
        <x:v>2573</x:v>
      </x:c>
      <x:c r="O35" s="63" t="n">
        <x:f>'Drivers'!D35</x:f>
        <x:v>1025.369</x:v>
      </x:c>
      <x:c r="P35" s="64" t="n">
        <x:f>ROUND(N35*O35/1000,3)</x:f>
        <x:v>2638.274</x:v>
      </x:c>
      <x:c r="Q35" s="64" t="n">
        <x:f>ROUND(P35*'Drivers'!E35,3)</x:f>
        <x:v>2572.861</x:v>
      </x:c>
      <x:c r="R35" s="64" t="n">
        <x:f>-ROUND(Q35*'Drivers'!F35,3)</x:f>
        <x:v>-422.843</x:v>
      </x:c>
      <x:c r="S35" s="65" t="n">
        <x:f>R35/Q35</x:f>
        <x:v>-0.16434739381567837</x:v>
      </x:c>
      <x:c r="T35" s="64" t="n">
        <x:f>-ROUND(Q35*'Drivers'!G35,3)</x:f>
        <x:v>-26.226</x:v>
      </x:c>
      <x:c r="U35" s="65" t="n">
        <x:f>T35/Q35</x:f>
        <x:v>-0.010193321753487654</x:v>
      </x:c>
      <x:c r="V35" s="64" t="n">
        <x:f>-ROUND(Q35*'Drivers'!H35,3)</x:f>
        <x:v>-22.174</x:v>
      </x:c>
      <x:c r="W35" s="64" t="n">
        <x:f>-ROUND(Q35*'Drivers'!I35,3)</x:f>
        <x:v>-20.82</x:v>
      </x:c>
      <x:c r="X35" s="64" t="n">
        <x:f>-ROUND(Q35*'Drivers'!J35,3)</x:f>
        <x:v>-44.534</x:v>
      </x:c>
      <x:c r="Y35" s="64" t="n">
        <x:f>-ROUND(Q35*'Drivers'!K35,3)</x:f>
        <x:v>-29.708</x:v>
      </x:c>
      <x:c r="Z35" s="64" t="n">
        <x:f>-ROUND(Q35*'Drivers'!L35,3)</x:f>
        <x:v>-34.804</x:v>
      </x:c>
      <x:c r="AA35" s="64" t="n">
        <x:f>-ROUND(Q35*'Drivers'!M35,3)</x:f>
        <x:v>-15.343</x:v>
      </x:c>
      <x:c r="AB35" s="64" t="n">
        <x:f>-ROUND(Q35*'Drivers'!N35,3)</x:f>
        <x:v>-21.948</x:v>
      </x:c>
      <x:c r="AC35" s="64" t="n">
        <x:f>SUM(V35:AB35)</x:f>
        <x:v>-189.331</x:v>
      </x:c>
      <x:c r="AD35" s="65" t="n">
        <x:f>AC35/Q35</x:f>
        <x:v>-0.07358772976853394</x:v>
      </x:c>
      <x:c r="AE35" s="64" t="n">
        <x:f>-ROUND(Q35*'Drivers'!O35,3)</x:f>
        <x:v>-34.023</x:v>
      </x:c>
      <x:c r="AF35" s="65" t="n">
        <x:f>AE35/Q35</x:f>
        <x:v>-0.01322380027525778</x:v>
      </x:c>
      <x:c r="AG35" s="64" t="n">
        <x:f>-ROUND(Q35*'Drivers'!P35,3)</x:f>
        <x:v>-3.33</x:v>
      </x:c>
      <x:c r="AH35" s="64" t="n">
        <x:f>-ROUND(Q35*'Drivers'!Q35,3)</x:f>
        <x:v>-9.377</x:v>
      </x:c>
      <x:c r="AI35" s="64" t="n">
        <x:f>SUM(R35,T35,AC35,AE35,AG35,AH35)</x:f>
        <x:v>-685.13</x:v>
      </x:c>
      <x:c r="AJ35" s="65" t="n">
        <x:f>AI35/Q35</x:f>
        <x:v>-0.266291105504728</x:v>
      </x:c>
      <x:c r="AK35" s="64" t="n">
        <x:f>Q35+AI35</x:f>
        <x:v>1887.7309999999998</x:v>
      </x:c>
      <x:c r="AL35" s="65" t="n">
        <x:f>AK35/Q35</x:f>
        <x:v>0.733708894495272</x:v>
      </x:c>
      <x:c r="AM35" s="64" t="n">
        <x:f>AK35/L35</x:f>
        <x:v>377.54619999999994</x:v>
      </x:c>
      <x:c r="AN35" s="66" t="str">
        <x:f>IF(AM35&lt;=200,"≤200K",IF(AM35&lt;=350,"200–350K",IF(AM35&lt;=500,"350–500K",IF(AM35&lt;=700,"500–700K","&gt;700K"))))</x:f>
        <x:v>350–500K</x:v>
      </x:c>
      <x:c r="AO35" s="64" t="n">
        <x:f>-ROUND(Q35*'Drivers'!R35,3)</x:f>
        <x:v>-947.611</x:v>
      </x:c>
      <x:c r="AP35" s="64" t="n">
        <x:f>-ROUND(AK35*'Drivers'!S35,3)</x:f>
        <x:v>-21.942</x:v>
      </x:c>
      <x:c r="AQ35" s="64" t="n">
        <x:f>-ROUND(AK35*'Drivers'!T35,3)</x:f>
        <x:v>-11.267</x:v>
      </x:c>
      <x:c r="AR35" s="64" t="n">
        <x:f>-ROUND(AK35*'Drivers'!U35,3)</x:f>
        <x:v>-21.098</x:v>
      </x:c>
      <x:c r="AS35" s="64" t="n">
        <x:f>-ROUND(AK35*'Drivers'!V35,3)</x:f>
        <x:v>-63.796</x:v>
      </x:c>
      <x:c r="AT35" s="64" t="n">
        <x:f>SUM(AO35:AS35)</x:f>
        <x:v>-1065.714</x:v>
      </x:c>
      <x:c r="AU35" s="65" t="n">
        <x:f>AT35/AK35</x:f>
        <x:v>-0.5645475970887802</x:v>
      </x:c>
      <x:c r="AV35" s="64" t="n">
        <x:f>AK35+AT35</x:f>
        <x:v>822.0169999999998</x:v>
      </x:c>
      <x:c r="AW35" s="65" t="n">
        <x:f>AV35/AK35</x:f>
        <x:v>0.43545240291121984</x:v>
      </x:c>
      <x:c r="AX35" s="64" t="n">
        <x:f>-ROUND(AK35*'Drivers'!W35,3)</x:f>
        <x:v>-23.746</x:v>
      </x:c>
      <x:c r="AY35" s="64" t="n">
        <x:f>-ROUND(AK35*'Drivers'!X35,3)</x:f>
        <x:v>-42.469</x:v>
      </x:c>
      <x:c r="AZ35" s="64" t="n">
        <x:f>-ROUND(AK35*'Drivers'!Y35,3)</x:f>
        <x:v>-37.881</x:v>
      </x:c>
      <x:c r="BA35" s="64" t="n">
        <x:f>-ROUND(AK35*'Drivers'!Z35,3)</x:f>
        <x:v>-14.767</x:v>
      </x:c>
      <x:c r="BB35" s="64" t="n">
        <x:f>-ROUND(AK35*'Drivers'!AA35,3)</x:f>
        <x:v>-10.981</x:v>
      </x:c>
      <x:c r="BC35" s="64" t="n">
        <x:f>SUM(BA35,BB35)</x:f>
        <x:v>-25.747999999999998</x:v>
      </x:c>
      <x:c r="BD35" s="64" t="n">
        <x:f>-ROUND(AK35*'Drivers'!AB35,3)</x:f>
        <x:v>-8.87</x:v>
      </x:c>
      <x:c r="BE35" s="64" t="n">
        <x:f>SUM(AX35:BB35,BD35)</x:f>
        <x:v>-138.714</x:v>
      </x:c>
      <x:c r="BF35" s="67" t="n">
        <x:f>'Drivers'!AF35</x:f>
        <x:v>9</x:v>
      </x:c>
      <x:c r="BG35" s="64" t="n">
        <x:f>BJ35</x:f>
        <x:v>-38.822</x:v>
      </x:c>
      <x:c r="BH35" s="64" t="n">
        <x:f>BE35/BF35</x:f>
        <x:v>-15.412666666666667</x:v>
      </x:c>
      <x:c r="BI35" s="68" t="n">
        <x:f>BF35/L35</x:f>
        <x:v>1.8</x:v>
      </x:c>
      <x:c r="BJ35" s="64" t="n">
        <x:f>-ROUND(AK35*'Drivers'!AC35,3)</x:f>
        <x:v>-38.822</x:v>
      </x:c>
      <x:c r="BK35" s="64" t="n">
        <x:f>-ROUND(AK35*'Drivers'!AD35,3)</x:f>
        <x:v>-184.449</x:v>
      </x:c>
      <x:c r="BL35" s="64" t="n">
        <x:f>SUM(AV35,BE35,BJ35,BK35)</x:f>
        <x:v>460.03199999999987</x:v>
      </x:c>
      <x:c r="BM35" s="65" t="n">
        <x:f>BL35/AK35</x:f>
        <x:v>0.2436957384288333</x:v>
      </x:c>
      <x:c r="BN35" s="64" t="n">
        <x:f>-ROUND(AK35*'Drivers'!AE35,3)</x:f>
        <x:v>-148.582</x:v>
      </x:c>
      <x:c r="BO35" s="64" t="n">
        <x:f>BL35+BN35</x:f>
        <x:v>311.4499999999999</x:v>
      </x:c>
      <x:c r="BP35" s="65" t="n">
        <x:f>BO35/AK35</x:f>
        <x:v>0.16498643079972725</x:v>
      </x:c>
    </x:row>
    <x:row r="36">
      <x:c r="A36" s="61" t="n">
        <x:v>2026</x:v>
      </x:c>
      <x:c r="B36" s="18" t="str">
        <x:v>S1</x:v>
      </x:c>
      <x:c r="C36" s="18" t="str">
        <x:v>2026 S1</x:v>
      </x:c>
      <x:c r="D36" s="18" t="str">
        <x:v>CNCT0009</x:v>
      </x:c>
      <x:c r="E36" s="18" t="str">
        <x:v>北京燕莎友谊商城</x:v>
      </x:c>
      <x:c r="F36" s="18" t="str">
        <x:v>北京</x:v>
      </x:c>
      <x:c r="G36" s="18" t="str">
        <x:v>北京市</x:v>
      </x:c>
      <x:c r="H36" s="18" t="str">
        <x:v>北区</x:v>
      </x:c>
      <x:c r="I36" s="18" t="str">
        <x:v>Department Store</x:v>
      </x:c>
      <x:c r="J36" s="18" t="str">
        <x:v>Regional Mall</x:v>
      </x:c>
      <x:c r="K36" s="18" t="str">
        <x:v>正常</x:v>
      </x:c>
      <x:c r="L36" s="62" t="n">
        <x:v>5</x:v>
      </x:c>
      <x:c r="M36" s="62" t="n">
        <x:v>53</x:v>
      </x:c>
      <x:c r="N36" s="63" t="n">
        <x:f>'Drivers'!C36</x:f>
        <x:v>2267</x:v>
      </x:c>
      <x:c r="O36" s="63" t="n">
        <x:f>'Drivers'!D36</x:f>
        <x:v>1032.736</x:v>
      </x:c>
      <x:c r="P36" s="64" t="n">
        <x:f>ROUND(N36*O36/1000,3)</x:f>
        <x:v>2341.213</x:v>
      </x:c>
      <x:c r="Q36" s="64" t="n">
        <x:f>ROUND(P36*'Drivers'!E36,3)</x:f>
        <x:v>2252.194</x:v>
      </x:c>
      <x:c r="R36" s="64" t="n">
        <x:f>-ROUND(Q36*'Drivers'!F36,3)</x:f>
        <x:v>-377.994</x:v>
      </x:c>
      <x:c r="S36" s="65" t="n">
        <x:f>R36/Q36</x:f>
        <x:v>-0.16783367685021808</x:v>
      </x:c>
      <x:c r="T36" s="64" t="n">
        <x:f>-ROUND(Q36*'Drivers'!G36,3)</x:f>
        <x:v>-22.949</x:v>
      </x:c>
      <x:c r="U36" s="65" t="n">
        <x:f>T36/Q36</x:f>
        <x:v>-0.010189619544319895</x:v>
      </x:c>
      <x:c r="V36" s="64" t="n">
        <x:f>-ROUND(Q36*'Drivers'!H36,3)</x:f>
        <x:v>-19.41</x:v>
      </x:c>
      <x:c r="W36" s="64" t="n">
        <x:f>-ROUND(Q36*'Drivers'!I36,3)</x:f>
        <x:v>-18.225</x:v>
      </x:c>
      <x:c r="X36" s="64" t="n">
        <x:f>-ROUND(Q36*'Drivers'!J36,3)</x:f>
        <x:v>-38.984</x:v>
      </x:c>
      <x:c r="Y36" s="64" t="n">
        <x:f>-ROUND(Q36*'Drivers'!K36,3)</x:f>
        <x:v>-26.006</x:v>
      </x:c>
      <x:c r="Z36" s="64" t="n">
        <x:f>-ROUND(Q36*'Drivers'!L36,3)</x:f>
        <x:v>-30.467</x:v>
      </x:c>
      <x:c r="AA36" s="64" t="n">
        <x:f>-ROUND(Q36*'Drivers'!M36,3)</x:f>
        <x:v>-13.43</x:v>
      </x:c>
      <x:c r="AB36" s="64" t="n">
        <x:f>-ROUND(Q36*'Drivers'!N36,3)</x:f>
        <x:v>-19.213</x:v>
      </x:c>
      <x:c r="AC36" s="64" t="n">
        <x:f>SUM(V36:AB36)</x:f>
        <x:v>-165.73499999999999</x:v>
      </x:c>
      <x:c r="AD36" s="65" t="n">
        <x:f>AC36/Q36</x:f>
        <x:v>-0.07358824328632435</x:v>
      </x:c>
      <x:c r="AE36" s="64" t="n">
        <x:f>-ROUND(Q36*'Drivers'!O36,3)</x:f>
        <x:v>-31.772</x:v>
      </x:c>
      <x:c r="AF36" s="65" t="n">
        <x:f>AE36/Q36</x:f>
        <x:v>-0.014107132866884468</x:v>
      </x:c>
      <x:c r="AG36" s="64" t="n">
        <x:f>-ROUND(Q36*'Drivers'!P36,3)</x:f>
        <x:v>-2.915</x:v>
      </x:c>
      <x:c r="AH36" s="64" t="n">
        <x:f>-ROUND(Q36*'Drivers'!Q36,3)</x:f>
        <x:v>-8.208</x:v>
      </x:c>
      <x:c r="AI36" s="64" t="n">
        <x:f>SUM(R36,T36,AC36,AE36,AG36,AH36)</x:f>
        <x:v>-609.573</x:v>
      </x:c>
      <x:c r="AJ36" s="65" t="n">
        <x:f>AI36/Q36</x:f>
        <x:v>-0.2706574122833113</x:v>
      </x:c>
      <x:c r="AK36" s="64" t="n">
        <x:f>Q36+AI36</x:f>
        <x:v>1642.621</x:v>
      </x:c>
      <x:c r="AL36" s="65" t="n">
        <x:f>AK36/Q36</x:f>
        <x:v>0.7293425877166888</x:v>
      </x:c>
      <x:c r="AM36" s="64" t="n">
        <x:f>AK36/L36</x:f>
        <x:v>328.5242</x:v>
      </x:c>
      <x:c r="AN36" s="66" t="str">
        <x:f>IF(AM36&lt;=200,"≤200K",IF(AM36&lt;=350,"200–350K",IF(AM36&lt;=500,"350–500K",IF(AM36&lt;=700,"500–700K","&gt;700K"))))</x:f>
        <x:v>200–350K</x:v>
      </x:c>
      <x:c r="AO36" s="64" t="n">
        <x:f>-ROUND(Q36*'Drivers'!R36,3)</x:f>
        <x:v>-836.423</x:v>
      </x:c>
      <x:c r="AP36" s="64" t="n">
        <x:f>-ROUND(AK36*'Drivers'!S36,3)</x:f>
        <x:v>-19.093</x:v>
      </x:c>
      <x:c r="AQ36" s="64" t="n">
        <x:f>-ROUND(AK36*'Drivers'!T36,3)</x:f>
        <x:v>-9.804</x:v>
      </x:c>
      <x:c r="AR36" s="64" t="n">
        <x:f>-ROUND(AK36*'Drivers'!U36,3)</x:f>
        <x:v>-18.359</x:v>
      </x:c>
      <x:c r="AS36" s="64" t="n">
        <x:f>-ROUND(AK36*'Drivers'!V36,3)</x:f>
        <x:v>-55.512</x:v>
      </x:c>
      <x:c r="AT36" s="64" t="n">
        <x:f>SUM(AO36:AS36)</x:f>
        <x:v>-939.191</x:v>
      </x:c>
      <x:c r="AU36" s="65" t="n">
        <x:f>AT36/AK36</x:f>
        <x:v>-0.5717636630726138</x:v>
      </x:c>
      <x:c r="AV36" s="64" t="n">
        <x:f>AK36+AT36</x:f>
        <x:v>703.4300000000001</x:v>
      </x:c>
      <x:c r="AW36" s="65" t="n">
        <x:f>AV36/AK36</x:f>
        <x:v>0.42823633692738616</x:v>
      </x:c>
      <x:c r="AX36" s="64" t="n">
        <x:f>-ROUND(AK36*'Drivers'!W36,3)</x:f>
        <x:v>-25.425</x:v>
      </x:c>
      <x:c r="AY36" s="64" t="n">
        <x:f>-ROUND(AK36*'Drivers'!X36,3)</x:f>
        <x:v>-56.839</x:v>
      </x:c>
      <x:c r="AZ36" s="64" t="n">
        <x:f>-ROUND(AK36*'Drivers'!Y36,3)</x:f>
        <x:v>-53.537</x:v>
      </x:c>
      <x:c r="BA36" s="64" t="n">
        <x:f>-ROUND(AK36*'Drivers'!Z36,3)</x:f>
        <x:v>-15.811</x:v>
      </x:c>
      <x:c r="BB36" s="64" t="n">
        <x:f>-ROUND(AK36*'Drivers'!AA36,3)</x:f>
        <x:v>-11.757</x:v>
      </x:c>
      <x:c r="BC36" s="64" t="n">
        <x:f>SUM(BA36,BB36)</x:f>
        <x:v>-27.567999999999998</x:v>
      </x:c>
      <x:c r="BD36" s="64" t="n">
        <x:f>-ROUND(AK36*'Drivers'!AB36,3)</x:f>
        <x:v>-9.497</x:v>
      </x:c>
      <x:c r="BE36" s="64" t="n">
        <x:f>SUM(AX36:BB36,BD36)</x:f>
        <x:v>-172.86599999999999</x:v>
      </x:c>
      <x:c r="BF36" s="67" t="n">
        <x:f>'Drivers'!AF36</x:f>
        <x:v>9</x:v>
      </x:c>
      <x:c r="BG36" s="64" t="n">
        <x:f>BJ36</x:f>
        <x:v>-41.566</x:v>
      </x:c>
      <x:c r="BH36" s="64" t="n">
        <x:f>BE36/BF36</x:f>
        <x:v>-19.20733333333333</x:v>
      </x:c>
      <x:c r="BI36" s="68" t="n">
        <x:f>BF36/L36</x:f>
        <x:v>1.8</x:v>
      </x:c>
      <x:c r="BJ36" s="64" t="n">
        <x:f>-ROUND(AK36*'Drivers'!AC36,3)</x:f>
        <x:v>-41.566</x:v>
      </x:c>
      <x:c r="BK36" s="64" t="n">
        <x:f>-ROUND(AK36*'Drivers'!AD36,3)</x:f>
        <x:v>-160.499</x:v>
      </x:c>
      <x:c r="BL36" s="64" t="n">
        <x:f>SUM(AV36,BE36,BJ36,BK36)</x:f>
        <x:v>328.499</x:v>
      </x:c>
      <x:c r="BM36" s="65" t="n">
        <x:f>BL36/AK36</x:f>
        <x:v>0.19998465866441498</x:v>
      </x:c>
      <x:c r="BN36" s="64" t="n">
        <x:f>-ROUND(AK36*'Drivers'!AE36,3)</x:f>
        <x:v>-129.29</x:v>
      </x:c>
      <x:c r="BO36" s="64" t="n">
        <x:f>BL36+BN36</x:f>
        <x:v>199.20900000000003</x:v>
      </x:c>
      <x:c r="BP36" s="65" t="n">
        <x:f>BO36/AK36</x:f>
        <x:v>0.12127508414905204</x:v>
      </x:c>
    </x:row>
    <x:row r="37">
      <x:c r="A37" s="61" t="n">
        <x:v>2026</x:v>
      </x:c>
      <x:c r="B37" s="18" t="str">
        <x:v>S2</x:v>
      </x:c>
      <x:c r="C37" s="18" t="str">
        <x:v>2026 S2</x:v>
      </x:c>
      <x:c r="D37" s="18" t="str">
        <x:v>CNCT0009</x:v>
      </x:c>
      <x:c r="E37" s="18" t="str">
        <x:v>北京燕莎友谊商城</x:v>
      </x:c>
      <x:c r="F37" s="18" t="str">
        <x:v>北京</x:v>
      </x:c>
      <x:c r="G37" s="18" t="str">
        <x:v>北京市</x:v>
      </x:c>
      <x:c r="H37" s="18" t="str">
        <x:v>北区</x:v>
      </x:c>
      <x:c r="I37" s="18" t="str">
        <x:v>Department Store</x:v>
      </x:c>
      <x:c r="J37" s="18" t="str">
        <x:v>Regional Mall</x:v>
      </x:c>
      <x:c r="K37" s="18" t="str">
        <x:v>正常</x:v>
      </x:c>
      <x:c r="L37" s="62" t="n">
        <x:v>5</x:v>
      </x:c>
      <x:c r="M37" s="62" t="n">
        <x:v>53</x:v>
      </x:c>
      <x:c r="N37" s="63" t="n">
        <x:f>'Drivers'!C37</x:f>
        <x:v>2692</x:v>
      </x:c>
      <x:c r="O37" s="63" t="n">
        <x:f>'Drivers'!D37</x:f>
        <x:v>1064.139</x:v>
      </x:c>
      <x:c r="P37" s="64" t="n">
        <x:f>ROUND(N37*O37/1000,3)</x:f>
        <x:v>2864.662</x:v>
      </x:c>
      <x:c r="Q37" s="64" t="n">
        <x:f>ROUND(P37*'Drivers'!E37,3)</x:f>
        <x:v>2793.636</x:v>
      </x:c>
      <x:c r="R37" s="64" t="n">
        <x:f>-ROUND(Q37*'Drivers'!F37,3)</x:f>
        <x:v>-476.708</x:v>
      </x:c>
      <x:c r="S37" s="65" t="n">
        <x:f>R37/Q37</x:f>
        <x:v>-0.17064069907461102</x:v>
      </x:c>
      <x:c r="T37" s="64" t="n">
        <x:f>-ROUND(Q37*'Drivers'!G37,3)</x:f>
        <x:v>-27.221</x:v>
      </x:c>
      <x:c r="U37" s="65" t="n">
        <x:f>T37/Q37</x:f>
        <x:v>-0.009743932280368666</x:v>
      </x:c>
      <x:c r="V37" s="64" t="n">
        <x:f>-ROUND(Q37*'Drivers'!H37,3)</x:f>
        <x:v>-24.077</x:v>
      </x:c>
      <x:c r="W37" s="64" t="n">
        <x:f>-ROUND(Q37*'Drivers'!I37,3)</x:f>
        <x:v>-22.607</x:v>
      </x:c>
      <x:c r="X37" s="64" t="n">
        <x:f>-ROUND(Q37*'Drivers'!J37,3)</x:f>
        <x:v>-48.355</x:v>
      </x:c>
      <x:c r="Y37" s="64" t="n">
        <x:f>-ROUND(Q37*'Drivers'!K37,3)</x:f>
        <x:v>-32.257</x:v>
      </x:c>
      <x:c r="Z37" s="64" t="n">
        <x:f>-ROUND(Q37*'Drivers'!L37,3)</x:f>
        <x:v>-37.791</x:v>
      </x:c>
      <x:c r="AA37" s="64" t="n">
        <x:f>-ROUND(Q37*'Drivers'!M37,3)</x:f>
        <x:v>-16.659</x:v>
      </x:c>
      <x:c r="AB37" s="64" t="n">
        <x:f>-ROUND(Q37*'Drivers'!N37,3)</x:f>
        <x:v>-23.831</x:v>
      </x:c>
      <x:c r="AC37" s="64" t="n">
        <x:f>SUM(V37:AB37)</x:f>
        <x:v>-205.57699999999997</x:v>
      </x:c>
      <x:c r="AD37" s="65" t="n">
        <x:f>AC37/Q37</x:f>
        <x:v>-0.07358761127075968</x:v>
      </x:c>
      <x:c r="AE37" s="64" t="n">
        <x:f>-ROUND(Q37*'Drivers'!O37,3)</x:f>
        <x:v>-36.943</x:v>
      </x:c>
      <x:c r="AF37" s="65" t="n">
        <x:f>AE37/Q37</x:f>
        <x:v>-0.013223984799737689</x:v>
      </x:c>
      <x:c r="AG37" s="64" t="n">
        <x:f>-ROUND(Q37*'Drivers'!P37,3)</x:f>
        <x:v>-3.615</x:v>
      </x:c>
      <x:c r="AH37" s="64" t="n">
        <x:f>-ROUND(Q37*'Drivers'!Q37,3)</x:f>
        <x:v>-10.182</x:v>
      </x:c>
      <x:c r="AI37" s="64" t="n">
        <x:f>SUM(R37,T37,AC37,AE37,AG37,AH37)</x:f>
        <x:v>-760.246</x:v>
      </x:c>
      <x:c r="AJ37" s="65" t="n">
        <x:f>AI37/Q37</x:f>
        <x:v>-0.2721349524419072</x:v>
      </x:c>
      <x:c r="AK37" s="64" t="n">
        <x:f>Q37+AI37</x:f>
        <x:v>2033.3899999999999</x:v>
      </x:c>
      <x:c r="AL37" s="65" t="n">
        <x:f>AK37/Q37</x:f>
        <x:v>0.7278650475580927</x:v>
      </x:c>
      <x:c r="AM37" s="64" t="n">
        <x:f>AK37/L37</x:f>
        <x:v>406.678</x:v>
      </x:c>
      <x:c r="AN37" s="66" t="str">
        <x:f>IF(AM37&lt;=200,"≤200K",IF(AM37&lt;=350,"200–350K",IF(AM37&lt;=500,"350–500K",IF(AM37&lt;=700,"500–700K","&gt;700K"))))</x:f>
        <x:v>350–500K</x:v>
      </x:c>
      <x:c r="AO37" s="64" t="n">
        <x:f>-ROUND(Q37*'Drivers'!R37,3)</x:f>
        <x:v>-1016.184</x:v>
      </x:c>
      <x:c r="AP37" s="64" t="n">
        <x:f>-ROUND(AK37*'Drivers'!S37,3)</x:f>
        <x:v>-23.636</x:v>
      </x:c>
      <x:c r="AQ37" s="64" t="n">
        <x:f>-ROUND(AK37*'Drivers'!T37,3)</x:f>
        <x:v>-12.137</x:v>
      </x:c>
      <x:c r="AR37" s="64" t="n">
        <x:f>-ROUND(AK37*'Drivers'!U37,3)</x:f>
        <x:v>-22.726</x:v>
      </x:c>
      <x:c r="AS37" s="64" t="n">
        <x:f>-ROUND(AK37*'Drivers'!V37,3)</x:f>
        <x:v>-68.718</x:v>
      </x:c>
      <x:c r="AT37" s="64" t="n">
        <x:f>SUM(AO37:AS37)</x:f>
        <x:v>-1143.401</x:v>
      </x:c>
      <x:c r="AU37" s="65" t="n">
        <x:f>AT37/AK37</x:f>
        <x:v>-0.5623126896463542</x:v>
      </x:c>
      <x:c r="AV37" s="64" t="n">
        <x:f>AK37+AT37</x:f>
        <x:v>889.9889999999998</x:v>
      </x:c>
      <x:c r="AW37" s="65" t="n">
        <x:f>AV37/AK37</x:f>
        <x:v>0.43768731035364583</x:v>
      </x:c>
      <x:c r="AX37" s="64" t="n">
        <x:f>-ROUND(AK37*'Drivers'!W37,3)</x:f>
        <x:v>-27.113</x:v>
      </x:c>
      <x:c r="AY37" s="64" t="n">
        <x:f>-ROUND(AK37*'Drivers'!X37,3)</x:f>
        <x:v>-48.491</x:v>
      </x:c>
      <x:c r="AZ37" s="64" t="n">
        <x:f>-ROUND(AK37*'Drivers'!Y37,3)</x:f>
        <x:v>-43.252</x:v>
      </x:c>
      <x:c r="BA37" s="64" t="n">
        <x:f>-ROUND(AK37*'Drivers'!Z37,3)</x:f>
        <x:v>-16.861</x:v>
      </x:c>
      <x:c r="BB37" s="64" t="n">
        <x:f>-ROUND(AK37*'Drivers'!AA37,3)</x:f>
        <x:v>-12.538</x:v>
      </x:c>
      <x:c r="BC37" s="64" t="n">
        <x:f>SUM(BA37,BB37)</x:f>
        <x:v>-29.399</x:v>
      </x:c>
      <x:c r="BD37" s="64" t="n">
        <x:f>-ROUND(AK37*'Drivers'!AB37,3)</x:f>
        <x:v>-10.128</x:v>
      </x:c>
      <x:c r="BE37" s="64" t="n">
        <x:f>SUM(AX37:BB37,BD37)</x:f>
        <x:v>-158.38299999999998</x:v>
      </x:c>
      <x:c r="BF37" s="67" t="n">
        <x:f>'Drivers'!AF37</x:f>
        <x:v>9</x:v>
      </x:c>
      <x:c r="BG37" s="64" t="n">
        <x:f>BJ37</x:f>
        <x:v>-44.327</x:v>
      </x:c>
      <x:c r="BH37" s="64" t="n">
        <x:f>BE37/BF37</x:f>
        <x:v>-17.59811111111111</x:v>
      </x:c>
      <x:c r="BI37" s="68" t="n">
        <x:f>BF37/L37</x:f>
        <x:v>1.8</x:v>
      </x:c>
      <x:c r="BJ37" s="64" t="n">
        <x:f>-ROUND(AK37*'Drivers'!AC37,3)</x:f>
        <x:v>-44.327</x:v>
      </x:c>
      <x:c r="BK37" s="64" t="n">
        <x:f>-ROUND(AK37*'Drivers'!AD37,3)</x:f>
        <x:v>-198.681</x:v>
      </x:c>
      <x:c r="BL37" s="64" t="n">
        <x:f>SUM(AV37,BE37,BJ37,BK37)</x:f>
        <x:v>488.59799999999973</x:v>
      </x:c>
      <x:c r="BM37" s="65" t="n">
        <x:f>BL37/AK37</x:f>
        <x:v>0.24028740182650635</x:v>
      </x:c>
      <x:c r="BN37" s="64" t="n">
        <x:f>-ROUND(AK37*'Drivers'!AE37,3)</x:f>
        <x:v>-160.047</x:v>
      </x:c>
      <x:c r="BO37" s="64" t="n">
        <x:f>BL37+BN37</x:f>
        <x:v>328.5509999999997</x:v>
      </x:c>
      <x:c r="BP37" s="65" t="n">
        <x:f>BO37/AK37</x:f>
        <x:v>0.16157795602417624</x:v>
      </x:c>
    </x:row>
    <x:row r="38">
      <x:c r="A38" s="61" t="n">
        <x:v>2025</x:v>
      </x:c>
      <x:c r="B38" s="18" t="str">
        <x:v>S1</x:v>
      </x:c>
      <x:c r="C38" s="18" t="str">
        <x:v>2025 S1</x:v>
      </x:c>
      <x:c r="D38" s="18" t="str">
        <x:v>CNCT0010</x:v>
      </x:c>
      <x:c r="E38" s="18" t="str">
        <x:v>上海久光百货</x:v>
      </x:c>
      <x:c r="F38" s="18" t="str">
        <x:v>上海</x:v>
      </x:c>
      <x:c r="G38" s="18" t="str">
        <x:v>上海市</x:v>
      </x:c>
      <x:c r="H38" s="18" t="str">
        <x:v>东区</x:v>
      </x:c>
      <x:c r="I38" s="18" t="str">
        <x:v>Department Store</x:v>
      </x:c>
      <x:c r="J38" s="18" t="str">
        <x:v>Luxury Department Store</x:v>
      </x:c>
      <x:c r="K38" s="18" t="str">
        <x:v>正常</x:v>
      </x:c>
      <x:c r="L38" s="62" t="n">
        <x:v>8</x:v>
      </x:c>
      <x:c r="M38" s="62" t="n">
        <x:v>61</x:v>
      </x:c>
      <x:c r="N38" s="63" t="n">
        <x:f>'Drivers'!C38</x:f>
        <x:v>3571</x:v>
      </x:c>
      <x:c r="O38" s="63" t="n">
        <x:f>'Drivers'!D38</x:f>
        <x:v>1388.693</x:v>
      </x:c>
      <x:c r="P38" s="64" t="n">
        <x:f>ROUND(N38*O38/1000,3)</x:f>
        <x:v>4959.023</x:v>
      </x:c>
      <x:c r="Q38" s="64" t="n">
        <x:f>ROUND(P38*'Drivers'!E38,3)</x:f>
        <x:v>4806.401</x:v>
      </x:c>
      <x:c r="R38" s="64" t="n">
        <x:f>-ROUND(Q38*'Drivers'!F38,3)</x:f>
        <x:v>-740.481</x:v>
      </x:c>
      <x:c r="S38" s="65" t="n">
        <x:f>R38/Q38</x:f>
        <x:v>-0.15406142766697994</x:v>
      </x:c>
      <x:c r="T38" s="64" t="n">
        <x:f>-ROUND(Q38*'Drivers'!G38,3)</x:f>
        <x:v>-52.613</x:v>
      </x:c>
      <x:c r="U38" s="65" t="n">
        <x:f>T38/Q38</x:f>
        <x:v>-0.010946444127321046</x:v>
      </x:c>
      <x:c r="V38" s="64" t="n">
        <x:f>-ROUND(Q38*'Drivers'!H38,3)</x:f>
        <x:v>-47.827</x:v>
      </x:c>
      <x:c r="W38" s="64" t="n">
        <x:f>-ROUND(Q38*'Drivers'!I38,3)</x:f>
        <x:v>-29.998</x:v>
      </x:c>
      <x:c r="X38" s="64" t="n">
        <x:f>-ROUND(Q38*'Drivers'!J38,3)</x:f>
        <x:v>-61.264</x:v>
      </x:c>
      <x:c r="Y38" s="64" t="n">
        <x:f>-ROUND(Q38*'Drivers'!K38,3)</x:f>
        <x:v>-64.938</x:v>
      </x:c>
      <x:c r="Z38" s="64" t="n">
        <x:f>-ROUND(Q38*'Drivers'!L38,3)</x:f>
        <x:v>-58.875</x:v>
      </x:c>
      <x:c r="AA38" s="64" t="n">
        <x:f>-ROUND(Q38*'Drivers'!M38,3)</x:f>
        <x:v>-38.409</x:v>
      </x:c>
      <x:c r="AB38" s="64" t="n">
        <x:f>-ROUND(Q38*'Drivers'!N38,3)</x:f>
        <x:v>-26.524</x:v>
      </x:c>
      <x:c r="AC38" s="64" t="n">
        <x:f>SUM(V38:AB38)</x:f>
        <x:v>-327.835</x:v>
      </x:c>
      <x:c r="AD38" s="65" t="n">
        <x:f>AC38/Q38</x:f>
        <x:v>-0.06820800012316908</x:v>
      </x:c>
      <x:c r="AE38" s="64" t="n">
        <x:f>-ROUND(Q38*'Drivers'!O38,3)</x:f>
        <x:v>-46.048</x:v>
      </x:c>
      <x:c r="AF38" s="65" t="n">
        <x:f>AE38/Q38</x:f>
        <x:v>-0.009580557261035856</x:v>
      </x:c>
      <x:c r="AG38" s="64" t="n">
        <x:f>-ROUND(Q38*'Drivers'!P38,3)</x:f>
        <x:v>-1.56</x:v>
      </x:c>
      <x:c r="AH38" s="64" t="n">
        <x:f>-ROUND(Q38*'Drivers'!Q38,3)</x:f>
        <x:v>-5.686</x:v>
      </x:c>
      <x:c r="AI38" s="64" t="n">
        <x:f>SUM(R38,T38,AC38,AE38,AG38,AH38)</x:f>
        <x:v>-1174.223</x:v>
      </x:c>
      <x:c r="AJ38" s="65" t="n">
        <x:f>AI38/Q38</x:f>
        <x:v>-0.24430400210053219</x:v>
      </x:c>
      <x:c r="AK38" s="64" t="n">
        <x:f>Q38+AI38</x:f>
        <x:v>3632.178</x:v>
      </x:c>
      <x:c r="AL38" s="65" t="n">
        <x:f>AK38/Q38</x:f>
        <x:v>0.7556959978994678</x:v>
      </x:c>
      <x:c r="AM38" s="64" t="n">
        <x:f>AK38/L38</x:f>
        <x:v>454.02225</x:v>
      </x:c>
      <x:c r="AN38" s="66" t="str">
        <x:f>IF(AM38&lt;=200,"≤200K",IF(AM38&lt;=350,"200–350K",IF(AM38&lt;=500,"350–500K",IF(AM38&lt;=700,"500–700K","&gt;700K"))))</x:f>
        <x:v>350–500K</x:v>
      </x:c>
      <x:c r="AO38" s="64" t="n">
        <x:f>-ROUND(Q38*'Drivers'!R38,3)</x:f>
        <x:v>-1846.591</x:v>
      </x:c>
      <x:c r="AP38" s="64" t="n">
        <x:f>-ROUND(AK38*'Drivers'!S38,3)</x:f>
        <x:v>-40.617</x:v>
      </x:c>
      <x:c r="AQ38" s="64" t="n">
        <x:f>-ROUND(AK38*'Drivers'!T38,3)</x:f>
        <x:v>-20.518</x:v>
      </x:c>
      <x:c r="AR38" s="64" t="n">
        <x:f>-ROUND(AK38*'Drivers'!U38,3)</x:f>
        <x:v>-25.289</x:v>
      </x:c>
      <x:c r="AS38" s="64" t="n">
        <x:f>-ROUND(AK38*'Drivers'!V38,3)</x:f>
        <x:v>-105.325</x:v>
      </x:c>
      <x:c r="AT38" s="64" t="n">
        <x:f>SUM(AO38:AS38)</x:f>
        <x:v>-2038.34</x:v>
      </x:c>
      <x:c r="AU38" s="65" t="n">
        <x:f>AT38/AK38</x:f>
        <x:v>-0.5611894571246233</x:v>
      </x:c>
      <x:c r="AV38" s="64" t="n">
        <x:f>AK38+AT38</x:f>
        <x:v>1593.838</x:v>
      </x:c>
      <x:c r="AW38" s="65" t="n">
        <x:f>AV38/AK38</x:f>
        <x:v>0.4388105428753767</x:v>
      </x:c>
      <x:c r="AX38" s="64" t="n">
        <x:f>-ROUND(AK38*'Drivers'!W38,3)</x:f>
        <x:v>-44.221</x:v>
      </x:c>
      <x:c r="AY38" s="64" t="n">
        <x:f>-ROUND(AK38*'Drivers'!X38,3)</x:f>
        <x:v>-91.863</x:v>
      </x:c>
      <x:c r="AZ38" s="64" t="n">
        <x:f>-ROUND(AK38*'Drivers'!Y38,3)</x:f>
        <x:v>-65.54</x:v>
      </x:c>
      <x:c r="BA38" s="64" t="n">
        <x:f>-ROUND(AK38*'Drivers'!Z38,3)</x:f>
        <x:v>-16.618</x:v>
      </x:c>
      <x:c r="BB38" s="64" t="n">
        <x:f>-ROUND(AK38*'Drivers'!AA38,3)</x:f>
        <x:v>-28.015</x:v>
      </x:c>
      <x:c r="BC38" s="64" t="n">
        <x:f>SUM(BA38,BB38)</x:f>
        <x:v>-44.632999999999996</x:v>
      </x:c>
      <x:c r="BD38" s="64" t="n">
        <x:f>-ROUND(AK38*'Drivers'!AB38,3)</x:f>
        <x:v>-26.385</x:v>
      </x:c>
      <x:c r="BE38" s="64" t="n">
        <x:f>SUM(AX38:BB38,BD38)</x:f>
        <x:v>-272.642</x:v>
      </x:c>
      <x:c r="BF38" s="67" t="n">
        <x:f>'Drivers'!AF38</x:f>
        <x:v>16</x:v>
      </x:c>
      <x:c r="BG38" s="64" t="n">
        <x:f>BJ38</x:f>
        <x:v>-81.299</x:v>
      </x:c>
      <x:c r="BH38" s="64" t="n">
        <x:f>BE38/BF38</x:f>
        <x:v>-17.040125</x:v>
      </x:c>
      <x:c r="BI38" s="68" t="n">
        <x:f>BF38/L38</x:f>
        <x:v>2</x:v>
      </x:c>
      <x:c r="BJ38" s="64" t="n">
        <x:f>-ROUND(AK38*'Drivers'!AC38,3)</x:f>
        <x:v>-81.299</x:v>
      </x:c>
      <x:c r="BK38" s="64" t="n">
        <x:f>-ROUND(AK38*'Drivers'!AD38,3)</x:f>
        <x:v>-416.1</x:v>
      </x:c>
      <x:c r="BL38" s="64" t="n">
        <x:f>SUM(AV38,BE38,BJ38,BK38)</x:f>
        <x:v>823.7969999999999</x:v>
      </x:c>
      <x:c r="BM38" s="65" t="n">
        <x:f>BL38/AK38</x:f>
        <x:v>0.22680523917054723</x:v>
      </x:c>
      <x:c r="BN38" s="64" t="n">
        <x:f>-ROUND(AK38*'Drivers'!AE38,3)</x:f>
        <x:v>-236.504</x:v>
      </x:c>
      <x:c r="BO38" s="64" t="n">
        <x:f>BL38+BN38</x:f>
        <x:v>587.2929999999999</x:v>
      </x:c>
      <x:c r="BP38" s="65" t="n">
        <x:f>BO38/AK38</x:f>
        <x:v>0.16169169022002775</x:v>
      </x:c>
    </x:row>
    <x:row r="39">
      <x:c r="A39" s="61" t="n">
        <x:v>2025</x:v>
      </x:c>
      <x:c r="B39" s="18" t="str">
        <x:v>S2</x:v>
      </x:c>
      <x:c r="C39" s="18" t="str">
        <x:v>2025 S2</x:v>
      </x:c>
      <x:c r="D39" s="18" t="str">
        <x:v>CNCT0010</x:v>
      </x:c>
      <x:c r="E39" s="18" t="str">
        <x:v>上海久光百货</x:v>
      </x:c>
      <x:c r="F39" s="18" t="str">
        <x:v>上海</x:v>
      </x:c>
      <x:c r="G39" s="18" t="str">
        <x:v>上海市</x:v>
      </x:c>
      <x:c r="H39" s="18" t="str">
        <x:v>东区</x:v>
      </x:c>
      <x:c r="I39" s="18" t="str">
        <x:v>Department Store</x:v>
      </x:c>
      <x:c r="J39" s="18" t="str">
        <x:v>Luxury Department Store</x:v>
      </x:c>
      <x:c r="K39" s="18" t="str">
        <x:v>正常</x:v>
      </x:c>
      <x:c r="L39" s="62" t="n">
        <x:v>8</x:v>
      </x:c>
      <x:c r="M39" s="62" t="n">
        <x:v>61</x:v>
      </x:c>
      <x:c r="N39" s="63" t="n">
        <x:f>'Drivers'!C39</x:f>
        <x:v>3789</x:v>
      </x:c>
      <x:c r="O39" s="63" t="n">
        <x:f>'Drivers'!D39</x:f>
        <x:v>1405.358</x:v>
      </x:c>
      <x:c r="P39" s="64" t="n">
        <x:f>ROUND(N39*O39/1000,3)</x:f>
        <x:v>5324.901</x:v>
      </x:c>
      <x:c r="Q39" s="64" t="n">
        <x:f>ROUND(P39*'Drivers'!E39,3)</x:f>
        <x:v>5181.305</x:v>
      </x:c>
      <x:c r="R39" s="64" t="n">
        <x:f>-ROUND(Q39*'Drivers'!F39,3)</x:f>
        <x:v>-798.239</x:v>
      </x:c>
      <x:c r="S39" s="65" t="n">
        <x:f>R39/Q39</x:f>
        <x:v>-0.15406138028932864</x:v>
      </x:c>
      <x:c r="T39" s="64" t="n">
        <x:f>-ROUND(Q39*'Drivers'!G39,3)</x:f>
        <x:v>-56.717</x:v>
      </x:c>
      <x:c r="U39" s="65" t="n">
        <x:f>T39/Q39</x:f>
        <x:v>-0.010946470049533853</x:v>
      </x:c>
      <x:c r="V39" s="64" t="n">
        <x:f>-ROUND(Q39*'Drivers'!H39,3)</x:f>
        <x:v>-51.558</x:v>
      </x:c>
      <x:c r="W39" s="64" t="n">
        <x:f>-ROUND(Q39*'Drivers'!I39,3)</x:f>
        <x:v>-32.338</x:v>
      </x:c>
      <x:c r="X39" s="64" t="n">
        <x:f>-ROUND(Q39*'Drivers'!J39,3)</x:f>
        <x:v>-66.042</x:v>
      </x:c>
      <x:c r="Y39" s="64" t="n">
        <x:f>-ROUND(Q39*'Drivers'!K39,3)</x:f>
        <x:v>-70.003</x:v>
      </x:c>
      <x:c r="Z39" s="64" t="n">
        <x:f>-ROUND(Q39*'Drivers'!L39,3)</x:f>
        <x:v>-63.467</x:v>
      </x:c>
      <x:c r="AA39" s="64" t="n">
        <x:f>-ROUND(Q39*'Drivers'!M39,3)</x:f>
        <x:v>-41.405</x:v>
      </x:c>
      <x:c r="AB39" s="64" t="n">
        <x:f>-ROUND(Q39*'Drivers'!N39,3)</x:f>
        <x:v>-28.593</x:v>
      </x:c>
      <x:c r="AC39" s="64" t="n">
        <x:f>SUM(V39:AB39)</x:f>
        <x:v>-353.406</x:v>
      </x:c>
      <x:c r="AD39" s="65" t="n">
        <x:f>AC39/Q39</x:f>
        <x:v>-0.0682079128713712</x:v>
      </x:c>
      <x:c r="AE39" s="64" t="n">
        <x:f>-ROUND(Q39*'Drivers'!O39,3)</x:f>
        <x:v>-49.64</x:v>
      </x:c>
      <x:c r="AF39" s="65" t="n">
        <x:f>AE39/Q39</x:f>
        <x:v>-0.009580597938164227</x:v>
      </x:c>
      <x:c r="AG39" s="64" t="n">
        <x:f>-ROUND(Q39*'Drivers'!P39,3)</x:f>
        <x:v>-1.681</x:v>
      </x:c>
      <x:c r="AH39" s="64" t="n">
        <x:f>-ROUND(Q39*'Drivers'!Q39,3)</x:f>
        <x:v>-6.129</x:v>
      </x:c>
      <x:c r="AI39" s="64" t="n">
        <x:f>SUM(R39,T39,AC39,AE39,AG39,AH39)</x:f>
        <x:v>-1265.8120000000001</x:v>
      </x:c>
      <x:c r="AJ39" s="65" t="n">
        <x:f>AI39/Q39</x:f>
        <x:v>-0.24430370341062727</x:v>
      </x:c>
      <x:c r="AK39" s="64" t="n">
        <x:f>Q39+AI39</x:f>
        <x:v>3915.4930000000004</x:v>
      </x:c>
      <x:c r="AL39" s="65" t="n">
        <x:f>AK39/Q39</x:f>
        <x:v>0.7556962965893728</x:v>
      </x:c>
      <x:c r="AM39" s="64" t="n">
        <x:f>AK39/L39</x:f>
        <x:v>489.43662500000005</x:v>
      </x:c>
      <x:c r="AN39" s="66" t="str">
        <x:f>IF(AM39&lt;=200,"≤200K",IF(AM39&lt;=350,"200–350K",IF(AM39&lt;=500,"350–500K",IF(AM39&lt;=700,"500–700K","&gt;700K"))))</x:f>
        <x:v>350–500K</x:v>
      </x:c>
      <x:c r="AO39" s="64" t="n">
        <x:f>-ROUND(Q39*'Drivers'!R39,3)</x:f>
        <x:v>-2079.775</x:v>
      </x:c>
      <x:c r="AP39" s="64" t="n">
        <x:f>-ROUND(AK39*'Drivers'!S39,3)</x:f>
        <x:v>-43.785</x:v>
      </x:c>
      <x:c r="AQ39" s="64" t="n">
        <x:f>-ROUND(AK39*'Drivers'!T39,3)</x:f>
        <x:v>-22.119</x:v>
      </x:c>
      <x:c r="AR39" s="64" t="n">
        <x:f>-ROUND(AK39*'Drivers'!U39,3)</x:f>
        <x:v>-27.261</x:v>
      </x:c>
      <x:c r="AS39" s="64" t="n">
        <x:f>-ROUND(AK39*'Drivers'!V39,3)</x:f>
        <x:v>-113.541</x:v>
      </x:c>
      <x:c r="AT39" s="64" t="n">
        <x:f>SUM(AO39:AS39)</x:f>
        <x:v>-2286.481</x:v>
      </x:c>
      <x:c r="AU39" s="65" t="n">
        <x:f>AT39/AK39</x:f>
        <x:v>-0.5839573713961435</x:v>
      </x:c>
      <x:c r="AV39" s="64" t="n">
        <x:f>AK39+AT39</x:f>
        <x:v>1629.0120000000002</x:v>
      </x:c>
      <x:c r="AW39" s="65" t="n">
        <x:f>AV39/AK39</x:f>
        <x:v>0.41604262860385655</x:v>
      </x:c>
      <x:c r="AX39" s="64" t="n">
        <x:f>-ROUND(AK39*'Drivers'!W39,3)</x:f>
        <x:v>-47.67</x:v>
      </x:c>
      <x:c r="AY39" s="64" t="n">
        <x:f>-ROUND(AK39*'Drivers'!X39,3)</x:f>
        <x:v>-99.028</x:v>
      </x:c>
      <x:c r="AZ39" s="64" t="n">
        <x:f>-ROUND(AK39*'Drivers'!Y39,3)</x:f>
        <x:v>-70.652</x:v>
      </x:c>
      <x:c r="BA39" s="64" t="n">
        <x:f>-ROUND(AK39*'Drivers'!Z39,3)</x:f>
        <x:v>-17.914</x:v>
      </x:c>
      <x:c r="BB39" s="64" t="n">
        <x:f>-ROUND(AK39*'Drivers'!AA39,3)</x:f>
        <x:v>-30.2</x:v>
      </x:c>
      <x:c r="BC39" s="64" t="n">
        <x:f>SUM(BA39,BB39)</x:f>
        <x:v>-48.114000000000004</x:v>
      </x:c>
      <x:c r="BD39" s="64" t="n">
        <x:f>-ROUND(AK39*'Drivers'!AB39,3)</x:f>
        <x:v>-28.443</x:v>
      </x:c>
      <x:c r="BE39" s="64" t="n">
        <x:f>SUM(AX39:BB39,BD39)</x:f>
        <x:v>-293.907</x:v>
      </x:c>
      <x:c r="BF39" s="67" t="n">
        <x:f>'Drivers'!AF39</x:f>
        <x:v>16</x:v>
      </x:c>
      <x:c r="BG39" s="64" t="n">
        <x:f>BJ39</x:f>
        <x:v>-87.641</x:v>
      </x:c>
      <x:c r="BH39" s="64" t="n">
        <x:f>BE39/BF39</x:f>
        <x:v>-18.3691875</x:v>
      </x:c>
      <x:c r="BI39" s="68" t="n">
        <x:f>BF39/L39</x:f>
        <x:v>2</x:v>
      </x:c>
      <x:c r="BJ39" s="64" t="n">
        <x:f>-ROUND(AK39*'Drivers'!AC39,3)</x:f>
        <x:v>-87.641</x:v>
      </x:c>
      <x:c r="BK39" s="64" t="n">
        <x:f>-ROUND(AK39*'Drivers'!AD39,3)</x:f>
        <x:v>-448.557</x:v>
      </x:c>
      <x:c r="BL39" s="64" t="n">
        <x:f>SUM(AV39,BE39,BJ39,BK39)</x:f>
        <x:v>798.9070000000002</x:v>
      </x:c>
      <x:c r="BM39" s="65" t="n">
        <x:f>BL39/AK39</x:f>
        <x:v>0.20403739707873314</x:v>
      </x:c>
      <x:c r="BN39" s="64" t="n">
        <x:f>-ROUND(AK39*'Drivers'!AE39,3)</x:f>
        <x:v>-254.952</x:v>
      </x:c>
      <x:c r="BO39" s="64" t="n">
        <x:f>BL39+BN39</x:f>
        <x:v>543.9550000000002</x:v>
      </x:c>
      <x:c r="BP39" s="65" t="n">
        <x:f>BO39/AK39</x:f>
        <x:v>0.13892375749362854</x:v>
      </x:c>
    </x:row>
    <x:row r="40">
      <x:c r="A40" s="61" t="n">
        <x:v>2026</x:v>
      </x:c>
      <x:c r="B40" s="18" t="str">
        <x:v>S1</x:v>
      </x:c>
      <x:c r="C40" s="18" t="str">
        <x:v>2026 S1</x:v>
      </x:c>
      <x:c r="D40" s="18" t="str">
        <x:v>CNCT0010</x:v>
      </x:c>
      <x:c r="E40" s="18" t="str">
        <x:v>上海久光百货</x:v>
      </x:c>
      <x:c r="F40" s="18" t="str">
        <x:v>上海</x:v>
      </x:c>
      <x:c r="G40" s="18" t="str">
        <x:v>上海市</x:v>
      </x:c>
      <x:c r="H40" s="18" t="str">
        <x:v>东区</x:v>
      </x:c>
      <x:c r="I40" s="18" t="str">
        <x:v>Department Store</x:v>
      </x:c>
      <x:c r="J40" s="18" t="str">
        <x:v>Luxury Department Store</x:v>
      </x:c>
      <x:c r="K40" s="18" t="str">
        <x:v>正常</x:v>
      </x:c>
      <x:c r="L40" s="62" t="n">
        <x:v>8</x:v>
      </x:c>
      <x:c r="M40" s="62" t="n">
        <x:v>61</x:v>
      </x:c>
      <x:c r="N40" s="63" t="n">
        <x:f>'Drivers'!C40</x:f>
        <x:v>3733</x:v>
      </x:c>
      <x:c r="O40" s="63" t="n">
        <x:f>'Drivers'!D40</x:f>
        <x:v>1468.31</x:v>
      </x:c>
      <x:c r="P40" s="64" t="n">
        <x:f>ROUND(N40*O40/1000,3)</x:f>
        <x:v>5481.201</x:v>
      </x:c>
      <x:c r="Q40" s="64" t="n">
        <x:f>ROUND(P40*'Drivers'!E40,3)</x:f>
        <x:v>5320.273</x:v>
      </x:c>
      <x:c r="R40" s="64" t="n">
        <x:f>-ROUND(Q40*'Drivers'!F40,3)</x:f>
        <x:v>-813.912</x:v>
      </x:c>
      <x:c r="S40" s="65" t="n">
        <x:f>R40/Q40</x:f>
        <x:v>-0.1529831269936712</x:v>
      </x:c>
      <x:c r="T40" s="64" t="n">
        <x:f>-ROUND(Q40*'Drivers'!G40,3)</x:f>
        <x:v>-52.938</x:v>
      </x:c>
      <x:c r="U40" s="65" t="n">
        <x:f>T40/Q40</x:f>
        <x:v>-0.009950241275212757</x:v>
      </x:c>
      <x:c r="V40" s="64" t="n">
        <x:f>-ROUND(Q40*'Drivers'!H40,3)</x:f>
        <x:v>-52.941</x:v>
      </x:c>
      <x:c r="W40" s="64" t="n">
        <x:f>-ROUND(Q40*'Drivers'!I40,3)</x:f>
        <x:v>-33.205</x:v>
      </x:c>
      <x:c r="X40" s="64" t="n">
        <x:f>-ROUND(Q40*'Drivers'!J40,3)</x:f>
        <x:v>-67.814</x:v>
      </x:c>
      <x:c r="Y40" s="64" t="n">
        <x:f>-ROUND(Q40*'Drivers'!K40,3)</x:f>
        <x:v>-71.88</x:v>
      </x:c>
      <x:c r="Z40" s="64" t="n">
        <x:f>-ROUND(Q40*'Drivers'!L40,3)</x:f>
        <x:v>-65.17</x:v>
      </x:c>
      <x:c r="AA40" s="64" t="n">
        <x:f>-ROUND(Q40*'Drivers'!M40,3)</x:f>
        <x:v>-42.516</x:v>
      </x:c>
      <x:c r="AB40" s="64" t="n">
        <x:f>-ROUND(Q40*'Drivers'!N40,3)</x:f>
        <x:v>-29.36</x:v>
      </x:c>
      <x:c r="AC40" s="64" t="n">
        <x:f>SUM(V40:AB40)</x:f>
        <x:v>-362.886</x:v>
      </x:c>
      <x:c r="AD40" s="65" t="n">
        <x:f>AC40/Q40</x:f>
        <x:v>-0.06820815398006833</x:v>
      </x:c>
      <x:c r="AE40" s="64" t="n">
        <x:f>-ROUND(Q40*'Drivers'!O40,3)</x:f>
        <x:v>-59.725</x:v>
      </x:c>
      <x:c r="AF40" s="65" t="n">
        <x:f>AE40/Q40</x:f>
        <x:v>-0.011225927692056404</x:v>
      </x:c>
      <x:c r="AG40" s="64" t="n">
        <x:f>-ROUND(Q40*'Drivers'!P40,3)</x:f>
        <x:v>-1.727</x:v>
      </x:c>
      <x:c r="AH40" s="64" t="n">
        <x:f>-ROUND(Q40*'Drivers'!Q40,3)</x:f>
        <x:v>-6.293</x:v>
      </x:c>
      <x:c r="AI40" s="64" t="n">
        <x:f>SUM(R40,T40,AC40,AE40,AG40,AH40)</x:f>
        <x:v>-1297.481</x:v>
      </x:c>
      <x:c r="AJ40" s="65" t="n">
        <x:f>AI40/Q40</x:f>
        <x:v>-0.2438748913824535</x:v>
      </x:c>
      <x:c r="AK40" s="64" t="n">
        <x:f>Q40+AI40</x:f>
        <x:v>4022.7920000000004</x:v>
      </x:c>
      <x:c r="AL40" s="65" t="n">
        <x:f>AK40/Q40</x:f>
        <x:v>0.7561251086175466</x:v>
      </x:c>
      <x:c r="AM40" s="64" t="n">
        <x:f>AK40/L40</x:f>
        <x:v>502.84900000000005</x:v>
      </x:c>
      <x:c r="AN40" s="66" t="str">
        <x:f>IF(AM40&lt;=200,"≤200K",IF(AM40&lt;=350,"200–350K",IF(AM40&lt;=500,"350–500K",IF(AM40&lt;=700,"500–700K","&gt;700K"))))</x:f>
        <x:v>500–700K</x:v>
      </x:c>
      <x:c r="AO40" s="64" t="n">
        <x:f>-ROUND(Q40*'Drivers'!R40,3)</x:f>
        <x:v>-2028.603</x:v>
      </x:c>
      <x:c r="AP40" s="64" t="n">
        <x:f>-ROUND(AK40*'Drivers'!S40,3)</x:f>
        <x:v>-44.985</x:v>
      </x:c>
      <x:c r="AQ40" s="64" t="n">
        <x:f>-ROUND(AK40*'Drivers'!T40,3)</x:f>
        <x:v>-22.725</x:v>
      </x:c>
      <x:c r="AR40" s="64" t="n">
        <x:f>-ROUND(AK40*'Drivers'!U40,3)</x:f>
        <x:v>-28.009</x:v>
      </x:c>
      <x:c r="AS40" s="64" t="n">
        <x:f>-ROUND(AK40*'Drivers'!V40,3)</x:f>
        <x:v>-116.652</x:v>
      </x:c>
      <x:c r="AT40" s="64" t="n">
        <x:f>SUM(AO40:AS40)</x:f>
        <x:v>-2240.974</x:v>
      </x:c>
      <x:c r="AU40" s="65" t="n">
        <x:f>AT40/AK40</x:f>
        <x:v>-0.5570693190202227</x:v>
      </x:c>
      <x:c r="AV40" s="64" t="n">
        <x:f>AK40+AT40</x:f>
        <x:v>1781.8180000000002</x:v>
      </x:c>
      <x:c r="AW40" s="65" t="n">
        <x:f>AV40/AK40</x:f>
        <x:v>0.4429306809797772</x:v>
      </x:c>
      <x:c r="AX40" s="64" t="n">
        <x:f>-ROUND(AK40*'Drivers'!W40,3)</x:f>
        <x:v>-60.264</x:v>
      </x:c>
      <x:c r="AY40" s="64" t="n">
        <x:f>-ROUND(AK40*'Drivers'!X40,3)</x:f>
        <x:v>-125.188</x:v>
      </x:c>
      <x:c r="AZ40" s="64" t="n">
        <x:f>-ROUND(AK40*'Drivers'!Y40,3)</x:f>
        <x:v>-89.316</x:v>
      </x:c>
      <x:c r="BA40" s="64" t="n">
        <x:f>-ROUND(AK40*'Drivers'!Z40,3)</x:f>
        <x:v>-22.647</x:v>
      </x:c>
      <x:c r="BB40" s="64" t="n">
        <x:f>-ROUND(AK40*'Drivers'!AA40,3)</x:f>
        <x:v>-38.178</x:v>
      </x:c>
      <x:c r="BC40" s="64" t="n">
        <x:f>SUM(BA40,BB40)</x:f>
        <x:v>-60.824999999999996</x:v>
      </x:c>
      <x:c r="BD40" s="64" t="n">
        <x:f>-ROUND(AK40*'Drivers'!AB40,3)</x:f>
        <x:v>-35.956</x:v>
      </x:c>
      <x:c r="BE40" s="64" t="n">
        <x:f>SUM(AX40:BB40,BD40)</x:f>
        <x:v>-371.54900000000004</x:v>
      </x:c>
      <x:c r="BF40" s="67" t="n">
        <x:f>'Drivers'!AF40</x:f>
        <x:v>16</x:v>
      </x:c>
      <x:c r="BG40" s="64" t="n">
        <x:f>BJ40</x:f>
        <x:v>-110.793</x:v>
      </x:c>
      <x:c r="BH40" s="64" t="n">
        <x:f>BE40/BF40</x:f>
        <x:v>-23.221812500000002</x:v>
      </x:c>
      <x:c r="BI40" s="68" t="n">
        <x:f>BF40/L40</x:f>
        <x:v>2</x:v>
      </x:c>
      <x:c r="BJ40" s="64" t="n">
        <x:f>-ROUND(AK40*'Drivers'!AC40,3)</x:f>
        <x:v>-110.793</x:v>
      </x:c>
      <x:c r="BK40" s="64" t="n">
        <x:f>-ROUND(AK40*'Drivers'!AD40,3)</x:f>
        <x:v>-460.849</x:v>
      </x:c>
      <x:c r="BL40" s="64" t="n">
        <x:f>SUM(AV40,BE40,BJ40,BK40)</x:f>
        <x:v>838.6270000000002</x:v>
      </x:c>
      <x:c r="BM40" s="65" t="n">
        <x:f>BL40/AK40</x:f>
        <x:v>0.208468894240617</x:v>
      </x:c>
      <x:c r="BN40" s="64" t="n">
        <x:f>-ROUND(AK40*'Drivers'!AE40,3)</x:f>
        <x:v>-261.939</x:v>
      </x:c>
      <x:c r="BO40" s="64" t="n">
        <x:f>BL40+BN40</x:f>
        <x:v>576.6880000000001</x:v>
      </x:c>
      <x:c r="BP40" s="65" t="n">
        <x:f>BO40/AK40</x:f>
        <x:v>0.14335516228529838</x:v>
      </x:c>
    </x:row>
    <x:row r="41">
      <x:c r="A41" s="61" t="n">
        <x:v>2026</x:v>
      </x:c>
      <x:c r="B41" s="18" t="str">
        <x:v>S2</x:v>
      </x:c>
      <x:c r="C41" s="18" t="str">
        <x:v>2026 S2</x:v>
      </x:c>
      <x:c r="D41" s="18" t="str">
        <x:v>CNCT0010</x:v>
      </x:c>
      <x:c r="E41" s="18" t="str">
        <x:v>上海久光百货</x:v>
      </x:c>
      <x:c r="F41" s="18" t="str">
        <x:v>上海</x:v>
      </x:c>
      <x:c r="G41" s="18" t="str">
        <x:v>上海市</x:v>
      </x:c>
      <x:c r="H41" s="18" t="str">
        <x:v>东区</x:v>
      </x:c>
      <x:c r="I41" s="18" t="str">
        <x:v>Department Store</x:v>
      </x:c>
      <x:c r="J41" s="18" t="str">
        <x:v>Luxury Department Store</x:v>
      </x:c>
      <x:c r="K41" s="18" t="str">
        <x:v>正常</x:v>
      </x:c>
      <x:c r="L41" s="62" t="n">
        <x:v>8</x:v>
      </x:c>
      <x:c r="M41" s="62" t="n">
        <x:v>60</x:v>
      </x:c>
      <x:c r="N41" s="63" t="n">
        <x:f>'Drivers'!C41</x:f>
        <x:v>4000</x:v>
      </x:c>
      <x:c r="O41" s="63" t="n">
        <x:f>'Drivers'!D41</x:f>
        <x:v>1459.689</x:v>
      </x:c>
      <x:c r="P41" s="64" t="n">
        <x:f>ROUND(N41*O41/1000,3)</x:f>
        <x:v>5838.756</x:v>
      </x:c>
      <x:c r="Q41" s="64" t="n">
        <x:f>ROUND(P41*'Drivers'!E41,3)</x:f>
        <x:v>5681.303</x:v>
      </x:c>
      <x:c r="R41" s="64" t="n">
        <x:f>-ROUND(Q41*'Drivers'!F41,3)</x:f>
        <x:v>-912.008</x:v>
      </x:c>
      <x:c r="S41" s="65" t="n">
        <x:f>R41/Q41</x:f>
        <x:v>-0.16052796339149664</x:v>
      </x:c>
      <x:c r="T41" s="64" t="n">
        <x:f>-ROUND(Q41*'Drivers'!G41,3)</x:f>
        <x:v>-67.869</x:v>
      </x:c>
      <x:c r="U41" s="65" t="n">
        <x:f>T41/Q41</x:f>
        <x:v>-0.011946027170175575</x:v>
      </x:c>
      <x:c r="V41" s="64" t="n">
        <x:f>-ROUND(Q41*'Drivers'!H41,3)</x:f>
        <x:v>-56.533</x:v>
      </x:c>
      <x:c r="W41" s="64" t="n">
        <x:f>-ROUND(Q41*'Drivers'!I41,3)</x:f>
        <x:v>-35.458</x:v>
      </x:c>
      <x:c r="X41" s="64" t="n">
        <x:f>-ROUND(Q41*'Drivers'!J41,3)</x:f>
        <x:v>-72.415</x:v>
      </x:c>
      <x:c r="Y41" s="64" t="n">
        <x:f>-ROUND(Q41*'Drivers'!K41,3)</x:f>
        <x:v>-76.758</x:v>
      </x:c>
      <x:c r="Z41" s="64" t="n">
        <x:f>-ROUND(Q41*'Drivers'!L41,3)</x:f>
        <x:v>-69.592</x:v>
      </x:c>
      <x:c r="AA41" s="64" t="n">
        <x:f>-ROUND(Q41*'Drivers'!M41,3)</x:f>
        <x:v>-45.401</x:v>
      </x:c>
      <x:c r="AB41" s="64" t="n">
        <x:f>-ROUND(Q41*'Drivers'!N41,3)</x:f>
        <x:v>-31.352</x:v>
      </x:c>
      <x:c r="AC41" s="64" t="n">
        <x:f>SUM(V41:AB41)</x:f>
        <x:v>-387.50899999999996</x:v>
      </x:c>
      <x:c r="AD41" s="65" t="n">
        <x:f>AC41/Q41</x:f>
        <x:v>-0.06820776853478858</x:v>
      </x:c>
      <x:c r="AE41" s="64" t="n">
        <x:f>-ROUND(Q41*'Drivers'!O41,3)</x:f>
        <x:v>-54.43</x:v>
      </x:c>
      <x:c r="AF41" s="65" t="n">
        <x:f>AE41/Q41</x:f>
        <x:v>-0.009580548687510595</x:v>
      </x:c>
      <x:c r="AG41" s="64" t="n">
        <x:f>-ROUND(Q41*'Drivers'!P41,3)</x:f>
        <x:v>-1.844</x:v>
      </x:c>
      <x:c r="AH41" s="64" t="n">
        <x:f>-ROUND(Q41*'Drivers'!Q41,3)</x:f>
        <x:v>-6.72</x:v>
      </x:c>
      <x:c r="AI41" s="64" t="n">
        <x:f>SUM(R41,T41,AC41,AE41,AG41,AH41)</x:f>
        <x:v>-1430.38</x:v>
      </x:c>
      <x:c r="AJ41" s="65" t="n">
        <x:f>AI41/Q41</x:f>
        <x:v>-0.2517697084630058</x:v>
      </x:c>
      <x:c r="AK41" s="64" t="n">
        <x:f>Q41+AI41</x:f>
        <x:v>4250.923</x:v>
      </x:c>
      <x:c r="AL41" s="65" t="n">
        <x:f>AK41/Q41</x:f>
        <x:v>0.7482302915369942</x:v>
      </x:c>
      <x:c r="AM41" s="64" t="n">
        <x:f>AK41/L41</x:f>
        <x:v>531.365375</x:v>
      </x:c>
      <x:c r="AN41" s="66" t="str">
        <x:f>IF(AM41&lt;=200,"≤200K",IF(AM41&lt;=350,"200–350K",IF(AM41&lt;=500,"350–500K",IF(AM41&lt;=700,"500–700K","&gt;700K"))))</x:f>
        <x:v>500–700K</x:v>
      </x:c>
      <x:c r="AO41" s="64" t="n">
        <x:f>-ROUND(Q41*'Drivers'!R41,3)</x:f>
        <x:v>-2258.162</x:v>
      </x:c>
      <x:c r="AP41" s="64" t="n">
        <x:f>-ROUND(AK41*'Drivers'!S41,3)</x:f>
        <x:v>-47.536</x:v>
      </x:c>
      <x:c r="AQ41" s="64" t="n">
        <x:f>-ROUND(AK41*'Drivers'!T41,3)</x:f>
        <x:v>-24.014</x:v>
      </x:c>
      <x:c r="AR41" s="64" t="n">
        <x:f>-ROUND(AK41*'Drivers'!U41,3)</x:f>
        <x:v>-29.597</x:v>
      </x:c>
      <x:c r="AS41" s="64" t="n">
        <x:f>-ROUND(AK41*'Drivers'!V41,3)</x:f>
        <x:v>-123.267</x:v>
      </x:c>
      <x:c r="AT41" s="64" t="n">
        <x:f>SUM(AO41:AS41)</x:f>
        <x:v>-2482.576</x:v>
      </x:c>
      <x:c r="AU41" s="65" t="n">
        <x:f>AT41/AK41</x:f>
        <x:v>-0.5840086964642738</x:v>
      </x:c>
      <x:c r="AV41" s="64" t="n">
        <x:f>AK41+AT41</x:f>
        <x:v>1768.3469999999998</x:v>
      </x:c>
      <x:c r="AW41" s="65" t="n">
        <x:f>AV41/AK41</x:f>
        <x:v>0.4159913035357262</x:v>
      </x:c>
      <x:c r="AX41" s="64" t="n">
        <x:f>-ROUND(AK41*'Drivers'!W41,3)</x:f>
        <x:v>-54.86</x:v>
      </x:c>
      <x:c r="AY41" s="64" t="n">
        <x:f>-ROUND(AK41*'Drivers'!X41,3)</x:f>
        <x:v>-113.962</x:v>
      </x:c>
      <x:c r="AZ41" s="64" t="n">
        <x:f>-ROUND(AK41*'Drivers'!Y41,3)</x:f>
        <x:v>-81.307</x:v>
      </x:c>
      <x:c r="BA41" s="64" t="n">
        <x:f>-ROUND(AK41*'Drivers'!Z41,3)</x:f>
        <x:v>-20.616</x:v>
      </x:c>
      <x:c r="BB41" s="64" t="n">
        <x:f>-ROUND(AK41*'Drivers'!AA41,3)</x:f>
        <x:v>-34.754</x:v>
      </x:c>
      <x:c r="BC41" s="64" t="n">
        <x:f>SUM(BA41,BB41)</x:f>
        <x:v>-55.37</x:v>
      </x:c>
      <x:c r="BD41" s="64" t="n">
        <x:f>-ROUND(AK41*'Drivers'!AB41,3)</x:f>
        <x:v>-32.732</x:v>
      </x:c>
      <x:c r="BE41" s="64" t="n">
        <x:f>SUM(AX41:BB41,BD41)</x:f>
        <x:v>-338.231</x:v>
      </x:c>
      <x:c r="BF41" s="67" t="n">
        <x:f>'Drivers'!AF41</x:f>
        <x:v>16</x:v>
      </x:c>
      <x:c r="BG41" s="64" t="n">
        <x:f>BJ41</x:f>
        <x:v>-100.858</x:v>
      </x:c>
      <x:c r="BH41" s="64" t="n">
        <x:f>BE41/BF41</x:f>
        <x:v>-21.1394375</x:v>
      </x:c>
      <x:c r="BI41" s="68" t="n">
        <x:f>BF41/L41</x:f>
        <x:v>2</x:v>
      </x:c>
      <x:c r="BJ41" s="64" t="n">
        <x:f>-ROUND(AK41*'Drivers'!AC41,3)</x:f>
        <x:v>-100.858</x:v>
      </x:c>
      <x:c r="BK41" s="64" t="n">
        <x:f>-ROUND(AK41*'Drivers'!AD41,3)</x:f>
        <x:v>-486.984</x:v>
      </x:c>
      <x:c r="BL41" s="64" t="n">
        <x:f>SUM(AV41,BE41,BJ41,BK41)</x:f>
        <x:v>842.2739999999999</x:v>
      </x:c>
      <x:c r="BM41" s="65" t="n">
        <x:f>BL41/AK41</x:f>
        <x:v>0.19813908649956724</x:v>
      </x:c>
      <x:c r="BN41" s="64" t="n">
        <x:f>-ROUND(AK41*'Drivers'!AE41,3)</x:f>
        <x:v>-276.793</x:v>
      </x:c>
      <x:c r="BO41" s="64" t="n">
        <x:f>BL41+BN41</x:f>
        <x:v>565.4809999999999</x:v>
      </x:c>
      <x:c r="BP41" s="65" t="n">
        <x:f>BO41/AK41</x:f>
        <x:v>0.13302546294063664</x:v>
      </x:c>
    </x:row>
    <x:row r="42">
      <x:c r="A42" s="61" t="n">
        <x:v>2025</x:v>
      </x:c>
      <x:c r="B42" s="18" t="str">
        <x:v>S1</x:v>
      </x:c>
      <x:c r="C42" s="18" t="str">
        <x:v>2025 S1</x:v>
      </x:c>
      <x:c r="D42" s="18" t="str">
        <x:v>CNCT0011</x:v>
      </x:c>
      <x:c r="E42" s="18" t="str">
        <x:v>上海新世界大丸百货</x:v>
      </x:c>
      <x:c r="F42" s="18" t="str">
        <x:v>上海</x:v>
      </x:c>
      <x:c r="G42" s="18" t="str">
        <x:v>上海市</x:v>
      </x:c>
      <x:c r="H42" s="18" t="str">
        <x:v>东区</x:v>
      </x:c>
      <x:c r="I42" s="18" t="str">
        <x:v>Department Store</x:v>
      </x:c>
      <x:c r="J42" s="18" t="str">
        <x:v>Luxury Department Store</x:v>
      </x:c>
      <x:c r="K42" s="18" t="str">
        <x:v>正常</x:v>
      </x:c>
      <x:c r="L42" s="62" t="n">
        <x:v>8</x:v>
      </x:c>
      <x:c r="M42" s="62" t="n">
        <x:v>61</x:v>
      </x:c>
      <x:c r="N42" s="63" t="n">
        <x:f>'Drivers'!C42</x:f>
        <x:v>4356</x:v>
      </x:c>
      <x:c r="O42" s="63" t="n">
        <x:f>'Drivers'!D42</x:f>
        <x:v>1325.122</x:v>
      </x:c>
      <x:c r="P42" s="64" t="n">
        <x:f>ROUND(N42*O42/1000,3)</x:f>
        <x:v>5772.231</x:v>
      </x:c>
      <x:c r="Q42" s="64" t="n">
        <x:f>ROUND(P42*'Drivers'!E42,3)</x:f>
        <x:v>5663.828</x:v>
      </x:c>
      <x:c r="R42" s="64" t="n">
        <x:f>-ROUND(Q42*'Drivers'!F42,3)</x:f>
        <x:v>-1104.852</x:v>
      </x:c>
      <x:c r="S42" s="65" t="n">
        <x:f>R42/Q42</x:f>
        <x:v>-0.19507160175061813</x:v>
      </x:c>
      <x:c r="T42" s="64" t="n">
        <x:f>-ROUND(Q42*'Drivers'!G42,3)</x:f>
        <x:v>-55.392</x:v>
      </x:c>
      <x:c r="U42" s="65" t="n">
        <x:f>T42/Q42</x:f>
        <x:v>-0.009779958007199371</x:v>
      </x:c>
      <x:c r="V42" s="64" t="n">
        <x:f>-ROUND(Q42*'Drivers'!H42,3)</x:f>
        <x:v>-71.404</x:v>
      </x:c>
      <x:c r="W42" s="64" t="n">
        <x:f>-ROUND(Q42*'Drivers'!I42,3)</x:f>
        <x:v>-48.204</x:v>
      </x:c>
      <x:c r="X42" s="64" t="n">
        <x:f>-ROUND(Q42*'Drivers'!J42,3)</x:f>
        <x:v>-67.302</x:v>
      </x:c>
      <x:c r="Y42" s="64" t="n">
        <x:f>-ROUND(Q42*'Drivers'!K42,3)</x:f>
        <x:v>-61.478</x:v>
      </x:c>
      <x:c r="Z42" s="64" t="n">
        <x:f>-ROUND(Q42*'Drivers'!L42,3)</x:f>
        <x:v>-59.079</x:v>
      </x:c>
      <x:c r="AA42" s="64" t="n">
        <x:f>-ROUND(Q42*'Drivers'!M42,3)</x:f>
        <x:v>-35.527</x:v>
      </x:c>
      <x:c r="AB42" s="64" t="n">
        <x:f>-ROUND(Q42*'Drivers'!N42,3)</x:f>
        <x:v>-34.8</x:v>
      </x:c>
      <x:c r="AC42" s="64" t="n">
        <x:f>SUM(V42:AB42)</x:f>
        <x:v>-377.79400000000004</x:v>
      </x:c>
      <x:c r="AD42" s="65" t="n">
        <x:f>AC42/Q42</x:f>
        <x:v>-0.06670294366283722</x:v>
      </x:c>
      <x:c r="AE42" s="64" t="n">
        <x:f>-ROUND(Q42*'Drivers'!O42,3)</x:f>
        <x:v>-66.668</x:v>
      </x:c>
      <x:c r="AF42" s="65" t="n">
        <x:f>AE42/Q42</x:f>
        <x:v>-0.011770837673742918</x:v>
      </x:c>
      <x:c r="AG42" s="64" t="n">
        <x:f>-ROUND(Q42*'Drivers'!P42,3)</x:f>
        <x:v>-14.306</x:v>
      </x:c>
      <x:c r="AH42" s="64" t="n">
        <x:f>-ROUND(Q42*'Drivers'!Q42,3)</x:f>
        <x:v>-34.34</x:v>
      </x:c>
      <x:c r="AI42" s="64" t="n">
        <x:f>SUM(R42,T42,AC42,AE42,AG42,AH42)</x:f>
        <x:v>-1653.352</x:v>
      </x:c>
      <x:c r="AJ42" s="65" t="n">
        <x:f>AI42/Q42</x:f>
        <x:v>-0.29191423185873583</x:v>
      </x:c>
      <x:c r="AK42" s="64" t="n">
        <x:f>Q42+AI42</x:f>
        <x:v>4010.4760000000006</x:v>
      </x:c>
      <x:c r="AL42" s="65" t="n">
        <x:f>AK42/Q42</x:f>
        <x:v>0.7080857681412642</x:v>
      </x:c>
      <x:c r="AM42" s="64" t="n">
        <x:f>AK42/L42</x:f>
        <x:v>501.30950000000007</x:v>
      </x:c>
      <x:c r="AN42" s="66" t="str">
        <x:f>IF(AM42&lt;=200,"≤200K",IF(AM42&lt;=350,"200–350K",IF(AM42&lt;=500,"350–500K",IF(AM42&lt;=700,"500–700K","&gt;700K"))))</x:f>
        <x:v>500–700K</x:v>
      </x:c>
      <x:c r="AO42" s="64" t="n">
        <x:f>-ROUND(Q42*'Drivers'!R42,3)</x:f>
        <x:v>-2052.373</x:v>
      </x:c>
      <x:c r="AP42" s="64" t="n">
        <x:f>-ROUND(AK42*'Drivers'!S42,3)</x:f>
        <x:v>-67.654</x:v>
      </x:c>
      <x:c r="AQ42" s="64" t="n">
        <x:f>-ROUND(AK42*'Drivers'!T42,3)</x:f>
        <x:v>-15.096</x:v>
      </x:c>
      <x:c r="AR42" s="64" t="n">
        <x:f>-ROUND(AK42*'Drivers'!U42,3)</x:f>
        <x:v>-21.115</x:v>
      </x:c>
      <x:c r="AS42" s="64" t="n">
        <x:f>-ROUND(AK42*'Drivers'!V42,3)</x:f>
        <x:v>-114.037</x:v>
      </x:c>
      <x:c r="AT42" s="64" t="n">
        <x:f>SUM(AO42:AS42)</x:f>
        <x:v>-2270.2749999999996</x:v>
      </x:c>
      <x:c r="AU42" s="65" t="n">
        <x:f>AT42/AK42</x:f>
        <x:v>-0.5660861703199319</x:v>
      </x:c>
      <x:c r="AV42" s="64" t="n">
        <x:f>AK42+AT42</x:f>
        <x:v>1740.201000000001</x:v>
      </x:c>
      <x:c r="AW42" s="65" t="n">
        <x:f>AV42/AK42</x:f>
        <x:v>0.4339138296800681</x:v>
      </x:c>
      <x:c r="AX42" s="64" t="n">
        <x:f>-ROUND(AK42*'Drivers'!W42,3)</x:f>
        <x:v>-38.297</x:v>
      </x:c>
      <x:c r="AY42" s="64" t="n">
        <x:f>-ROUND(AK42*'Drivers'!X42,3)</x:f>
        <x:v>-99.261</x:v>
      </x:c>
      <x:c r="AZ42" s="64" t="n">
        <x:f>-ROUND(AK42*'Drivers'!Y42,3)</x:f>
        <x:v>-73.118</x:v>
      </x:c>
      <x:c r="BA42" s="64" t="n">
        <x:f>-ROUND(AK42*'Drivers'!Z42,3)</x:f>
        <x:v>-22.576</x:v>
      </x:c>
      <x:c r="BB42" s="64" t="n">
        <x:f>-ROUND(AK42*'Drivers'!AA42,3)</x:f>
        <x:v>-28.464</x:v>
      </x:c>
      <x:c r="BC42" s="64" t="n">
        <x:f>SUM(BA42,BB42)</x:f>
        <x:v>-51.04</x:v>
      </x:c>
      <x:c r="BD42" s="64" t="n">
        <x:f>-ROUND(AK42*'Drivers'!AB42,3)</x:f>
        <x:v>-22.241</x:v>
      </x:c>
      <x:c r="BE42" s="64" t="n">
        <x:f>SUM(AX42:BB42,BD42)</x:f>
        <x:v>-283.957</x:v>
      </x:c>
      <x:c r="BF42" s="67" t="n">
        <x:f>'Drivers'!AF42</x:f>
        <x:v>12</x:v>
      </x:c>
      <x:c r="BG42" s="64" t="n">
        <x:f>BJ42</x:f>
        <x:v>-91.803</x:v>
      </x:c>
      <x:c r="BH42" s="64" t="n">
        <x:f>BE42/BF42</x:f>
        <x:v>-23.663083333333333</x:v>
      </x:c>
      <x:c r="BI42" s="68" t="n">
        <x:f>BF42/L42</x:f>
        <x:v>1.5</x:v>
      </x:c>
      <x:c r="BJ42" s="64" t="n">
        <x:f>-ROUND(AK42*'Drivers'!AC42,3)</x:f>
        <x:v>-91.803</x:v>
      </x:c>
      <x:c r="BK42" s="64" t="n">
        <x:f>-ROUND(AK42*'Drivers'!AD42,3)</x:f>
        <x:v>-382.909</x:v>
      </x:c>
      <x:c r="BL42" s="64" t="n">
        <x:f>SUM(AV42,BE42,BJ42,BK42)</x:f>
        <x:v>981.5320000000012</x:v>
      </x:c>
      <x:c r="BM42" s="65" t="n">
        <x:f>BL42/AK42</x:f>
        <x:v>0.24474202064792336</x:v>
      </x:c>
      <x:c r="BN42" s="64" t="n">
        <x:f>-ROUND(AK42*'Drivers'!AE42,3)</x:f>
        <x:v>-358.193</x:v>
      </x:c>
      <x:c r="BO42" s="64" t="n">
        <x:f>BL42+BN42</x:f>
        <x:v>623.3390000000012</x:v>
      </x:c>
      <x:c r="BP42" s="65" t="n">
        <x:f>BO42/AK42</x:f>
        <x:v>0.1554276848932648</x:v>
      </x:c>
    </x:row>
    <x:row r="43">
      <x:c r="A43" s="61" t="n">
        <x:v>2025</x:v>
      </x:c>
      <x:c r="B43" s="18" t="str">
        <x:v>S2</x:v>
      </x:c>
      <x:c r="C43" s="18" t="str">
        <x:v>2025 S2</x:v>
      </x:c>
      <x:c r="D43" s="18" t="str">
        <x:v>CNCT0011</x:v>
      </x:c>
      <x:c r="E43" s="18" t="str">
        <x:v>上海新世界大丸百货</x:v>
      </x:c>
      <x:c r="F43" s="18" t="str">
        <x:v>上海</x:v>
      </x:c>
      <x:c r="G43" s="18" t="str">
        <x:v>上海市</x:v>
      </x:c>
      <x:c r="H43" s="18" t="str">
        <x:v>东区</x:v>
      </x:c>
      <x:c r="I43" s="18" t="str">
        <x:v>Department Store</x:v>
      </x:c>
      <x:c r="J43" s="18" t="str">
        <x:v>Luxury Department Store</x:v>
      </x:c>
      <x:c r="K43" s="18" t="str">
        <x:v>正常</x:v>
      </x:c>
      <x:c r="L43" s="62" t="n">
        <x:v>8</x:v>
      </x:c>
      <x:c r="M43" s="62" t="n">
        <x:v>61</x:v>
      </x:c>
      <x:c r="N43" s="63" t="n">
        <x:f>'Drivers'!C43</x:f>
        <x:v>4773</x:v>
      </x:c>
      <x:c r="O43" s="63" t="n">
        <x:f>'Drivers'!D43</x:f>
        <x:v>1341.023</x:v>
      </x:c>
      <x:c r="P43" s="64" t="n">
        <x:f>ROUND(N43*O43/1000,3)</x:f>
        <x:v>6400.703</x:v>
      </x:c>
      <x:c r="Q43" s="64" t="n">
        <x:f>ROUND(P43*'Drivers'!E43,3)</x:f>
        <x:v>6205.874</x:v>
      </x:c>
      <x:c r="R43" s="64" t="n">
        <x:f>-ROUND(Q43*'Drivers'!F43,3)</x:f>
        <x:v>-1210.59</x:v>
      </x:c>
      <x:c r="S43" s="65" t="n">
        <x:f>R43/Q43</x:f>
        <x:v>-0.19507163696845922</x:v>
      </x:c>
      <x:c r="T43" s="64" t="n">
        <x:f>-ROUND(Q43*'Drivers'!G43,3)</x:f>
        <x:v>-60.694</x:v>
      </x:c>
      <x:c r="U43" s="65" t="n">
        <x:f>T43/Q43</x:f>
        <x:v>-0.009780088993105564</x:v>
      </x:c>
      <x:c r="V43" s="64" t="n">
        <x:f>-ROUND(Q43*'Drivers'!H43,3)</x:f>
        <x:v>-78.238</x:v>
      </x:c>
      <x:c r="W43" s="64" t="n">
        <x:f>-ROUND(Q43*'Drivers'!I43,3)</x:f>
        <x:v>-52.817</x:v>
      </x:c>
      <x:c r="X43" s="64" t="n">
        <x:f>-ROUND(Q43*'Drivers'!J43,3)</x:f>
        <x:v>-73.743</x:v>
      </x:c>
      <x:c r="Y43" s="64" t="n">
        <x:f>-ROUND(Q43*'Drivers'!K43,3)</x:f>
        <x:v>-67.361</x:v>
      </x:c>
      <x:c r="Z43" s="64" t="n">
        <x:f>-ROUND(Q43*'Drivers'!L43,3)</x:f>
        <x:v>-64.733</x:v>
      </x:c>
      <x:c r="AA43" s="64" t="n">
        <x:f>-ROUND(Q43*'Drivers'!M43,3)</x:f>
        <x:v>-38.927</x:v>
      </x:c>
      <x:c r="AB43" s="64" t="n">
        <x:f>-ROUND(Q43*'Drivers'!N43,3)</x:f>
        <x:v>-38.13</x:v>
      </x:c>
      <x:c r="AC43" s="64" t="n">
        <x:f>SUM(V43:AB43)</x:f>
        <x:v>-413.949</x:v>
      </x:c>
      <x:c r="AD43" s="65" t="n">
        <x:f>AC43/Q43</x:f>
        <x:v>-0.06670277224448966</x:v>
      </x:c>
      <x:c r="AE43" s="64" t="n">
        <x:f>-ROUND(Q43*'Drivers'!O43,3)</x:f>
        <x:v>-73.048</x:v>
      </x:c>
      <x:c r="AF43" s="65" t="n">
        <x:f>AE43/Q43</x:f>
        <x:v>-0.011770783615651882</x:v>
      </x:c>
      <x:c r="AG43" s="64" t="n">
        <x:f>-ROUND(Q43*'Drivers'!P43,3)</x:f>
        <x:v>-15.676</x:v>
      </x:c>
      <x:c r="AH43" s="64" t="n">
        <x:f>-ROUND(Q43*'Drivers'!Q43,3)</x:f>
        <x:v>-37.626</x:v>
      </x:c>
      <x:c r="AI43" s="64" t="n">
        <x:f>SUM(R43,T43,AC43,AE43,AG43,AH43)</x:f>
        <x:v>-1811.5829999999999</x:v>
      </x:c>
      <x:c r="AJ43" s="65" t="n">
        <x:f>AI43/Q43</x:f>
        <x:v>-0.29191424124950005</x:v>
      </x:c>
      <x:c r="AK43" s="64" t="n">
        <x:f>Q43+AI43</x:f>
        <x:v>4394.291</x:v>
      </x:c>
      <x:c r="AL43" s="65" t="n">
        <x:f>AK43/Q43</x:f>
        <x:v>0.7080857587505</x:v>
      </x:c>
      <x:c r="AM43" s="64" t="n">
        <x:f>AK43/L43</x:f>
        <x:v>549.286375</x:v>
      </x:c>
      <x:c r="AN43" s="66" t="str">
        <x:f>IF(AM43&lt;=200,"≤200K",IF(AM43&lt;=350,"200–350K",IF(AM43&lt;=500,"350–500K",IF(AM43&lt;=700,"500–700K","&gt;700K"))))</x:f>
        <x:v>500–700K</x:v>
      </x:c>
      <x:c r="AO43" s="64" t="n">
        <x:f>-ROUND(Q43*'Drivers'!R43,3)</x:f>
        <x:v>-2186.012</x:v>
      </x:c>
      <x:c r="AP43" s="64" t="n">
        <x:f>-ROUND(AK43*'Drivers'!S43,3)</x:f>
        <x:v>-74.129</x:v>
      </x:c>
      <x:c r="AQ43" s="64" t="n">
        <x:f>-ROUND(AK43*'Drivers'!T43,3)</x:f>
        <x:v>-16.541</x:v>
      </x:c>
      <x:c r="AR43" s="64" t="n">
        <x:f>-ROUND(AK43*'Drivers'!U43,3)</x:f>
        <x:v>-23.136</x:v>
      </x:c>
      <x:c r="AS43" s="64" t="n">
        <x:f>-ROUND(AK43*'Drivers'!V43,3)</x:f>
        <x:v>-124.951</x:v>
      </x:c>
      <x:c r="AT43" s="64" t="n">
        <x:f>SUM(AO43:AS43)</x:f>
        <x:v>-2424.7690000000002</x:v>
      </x:c>
      <x:c r="AU43" s="65" t="n">
        <x:f>AT43/AK43</x:f>
        <x:v>-0.5517998239078842</x:v>
      </x:c>
      <x:c r="AV43" s="64" t="n">
        <x:f>AK43+AT43</x:f>
        <x:v>1969.522</x:v>
      </x:c>
      <x:c r="AW43" s="65" t="n">
        <x:f>AV43/AK43</x:f>
        <x:v>0.4482001760921159</x:v>
      </x:c>
      <x:c r="AX43" s="64" t="n">
        <x:f>-ROUND(AK43*'Drivers'!W43,3)</x:f>
        <x:v>-41.962</x:v>
      </x:c>
      <x:c r="AY43" s="64" t="n">
        <x:f>-ROUND(AK43*'Drivers'!X43,3)</x:f>
        <x:v>-108.761</x:v>
      </x:c>
      <x:c r="AZ43" s="64" t="n">
        <x:f>-ROUND(AK43*'Drivers'!Y43,3)</x:f>
        <x:v>-80.116</x:v>
      </x:c>
      <x:c r="BA43" s="64" t="n">
        <x:f>-ROUND(AK43*'Drivers'!Z43,3)</x:f>
        <x:v>-24.737</x:v>
      </x:c>
      <x:c r="BB43" s="64" t="n">
        <x:f>-ROUND(AK43*'Drivers'!AA43,3)</x:f>
        <x:v>-31.188</x:v>
      </x:c>
      <x:c r="BC43" s="64" t="n">
        <x:f>SUM(BA43,BB43)</x:f>
        <x:v>-55.925</x:v>
      </x:c>
      <x:c r="BD43" s="64" t="n">
        <x:f>-ROUND(AK43*'Drivers'!AB43,3)</x:f>
        <x:v>-24.37</x:v>
      </x:c>
      <x:c r="BE43" s="64" t="n">
        <x:f>SUM(AX43:BB43,BD43)</x:f>
        <x:v>-311.134</x:v>
      </x:c>
      <x:c r="BF43" s="67" t="n">
        <x:f>'Drivers'!AF43</x:f>
        <x:v>12</x:v>
      </x:c>
      <x:c r="BG43" s="64" t="n">
        <x:f>BJ43</x:f>
        <x:v>-100.589</x:v>
      </x:c>
      <x:c r="BH43" s="64" t="n">
        <x:f>BE43/BF43</x:f>
        <x:v>-25.927833333333336</x:v>
      </x:c>
      <x:c r="BI43" s="68" t="n">
        <x:f>BF43/L43</x:f>
        <x:v>1.5</x:v>
      </x:c>
      <x:c r="BJ43" s="64" t="n">
        <x:f>-ROUND(AK43*'Drivers'!AC43,3)</x:f>
        <x:v>-100.589</x:v>
      </x:c>
      <x:c r="BK43" s="64" t="n">
        <x:f>-ROUND(AK43*'Drivers'!AD43,3)</x:f>
        <x:v>-419.555</x:v>
      </x:c>
      <x:c r="BL43" s="64" t="n">
        <x:f>SUM(AV43,BE43,BJ43,BK43)</x:f>
        <x:v>1138.244</x:v>
      </x:c>
      <x:c r="BM43" s="65" t="n">
        <x:f>BL43/AK43</x:f>
        <x:v>0.25902790689100924</x:v>
      </x:c>
      <x:c r="BN43" s="64" t="n">
        <x:f>-ROUND(AK43*'Drivers'!AE43,3)</x:f>
        <x:v>-392.474</x:v>
      </x:c>
      <x:c r="BO43" s="64" t="n">
        <x:f>BL43+BN43</x:f>
        <x:v>745.77</x:v>
      </x:c>
      <x:c r="BP43" s="65" t="n">
        <x:f>BO43/AK43</x:f>
        <x:v>0.16971338493513516</x:v>
      </x:c>
    </x:row>
    <x:row r="44">
      <x:c r="A44" s="61" t="n">
        <x:v>2026</x:v>
      </x:c>
      <x:c r="B44" s="18" t="str">
        <x:v>S1</x:v>
      </x:c>
      <x:c r="C44" s="18" t="str">
        <x:v>2026 S1</x:v>
      </x:c>
      <x:c r="D44" s="18" t="str">
        <x:v>CNCT0011</x:v>
      </x:c>
      <x:c r="E44" s="18" t="str">
        <x:v>上海新世界大丸百货</x:v>
      </x:c>
      <x:c r="F44" s="18" t="str">
        <x:v>上海</x:v>
      </x:c>
      <x:c r="G44" s="18" t="str">
        <x:v>上海市</x:v>
      </x:c>
      <x:c r="H44" s="18" t="str">
        <x:v>东区</x:v>
      </x:c>
      <x:c r="I44" s="18" t="str">
        <x:v>Department Store</x:v>
      </x:c>
      <x:c r="J44" s="18" t="str">
        <x:v>Luxury Department Store</x:v>
      </x:c>
      <x:c r="K44" s="18" t="str">
        <x:v>正常</x:v>
      </x:c>
      <x:c r="L44" s="62" t="n">
        <x:v>8</x:v>
      </x:c>
      <x:c r="M44" s="62" t="n">
        <x:v>61</x:v>
      </x:c>
      <x:c r="N44" s="63" t="n">
        <x:f>'Drivers'!C44</x:f>
        <x:v>4141</x:v>
      </x:c>
      <x:c r="O44" s="63" t="n">
        <x:f>'Drivers'!D44</x:f>
        <x:v>1371.784</x:v>
      </x:c>
      <x:c r="P44" s="64" t="n">
        <x:f>ROUND(N44*O44/1000,3)</x:f>
        <x:v>5680.558</x:v>
      </x:c>
      <x:c r="Q44" s="64" t="n">
        <x:f>ROUND(P44*'Drivers'!E44,3)</x:f>
        <x:v>5565.373</x:v>
      </x:c>
      <x:c r="R44" s="64" t="n">
        <x:f>-ROUND(Q44*'Drivers'!F44,3)</x:f>
        <x:v>-1088.63</x:v>
      </x:c>
      <x:c r="S44" s="65" t="n">
        <x:f>R44/Q44</x:f>
        <x:v>-0.19560773374938215</x:v>
      </x:c>
      <x:c r="T44" s="64" t="n">
        <x:f>-ROUND(Q44*'Drivers'!G44,3)</x:f>
        <x:v>-57.037</x:v>
      </x:c>
      <x:c r="U44" s="65" t="n">
        <x:f>T44/Q44</x:f>
        <x:v>-0.010248549378451365</x:v>
      </x:c>
      <x:c r="V44" s="64" t="n">
        <x:f>-ROUND(Q44*'Drivers'!H44,3)</x:f>
        <x:v>-70.163</x:v>
      </x:c>
      <x:c r="W44" s="64" t="n">
        <x:f>-ROUND(Q44*'Drivers'!I44,3)</x:f>
        <x:v>-47.366</x:v>
      </x:c>
      <x:c r="X44" s="64" t="n">
        <x:f>-ROUND(Q44*'Drivers'!J44,3)</x:f>
        <x:v>-66.132</x:v>
      </x:c>
      <x:c r="Y44" s="64" t="n">
        <x:f>-ROUND(Q44*'Drivers'!K44,3)</x:f>
        <x:v>-60.409</x:v>
      </x:c>
      <x:c r="Z44" s="64" t="n">
        <x:f>-ROUND(Q44*'Drivers'!L44,3)</x:f>
        <x:v>-58.052</x:v>
      </x:c>
      <x:c r="AA44" s="64" t="n">
        <x:f>-ROUND(Q44*'Drivers'!M44,3)</x:f>
        <x:v>-34.909</x:v>
      </x:c>
      <x:c r="AB44" s="64" t="n">
        <x:f>-ROUND(Q44*'Drivers'!N44,3)</x:f>
        <x:v>-34.195</x:v>
      </x:c>
      <x:c r="AC44" s="64" t="n">
        <x:f>SUM(V44:AB44)</x:f>
        <x:v>-371.226</x:v>
      </x:c>
      <x:c r="AD44" s="65" t="n">
        <x:f>AC44/Q44</x:f>
        <x:v>-0.06670280680198794</x:v>
      </x:c>
      <x:c r="AE44" s="64" t="n">
        <x:f>-ROUND(Q44*'Drivers'!O44,3)</x:f>
        <x:v>-70.959</x:v>
      </x:c>
      <x:c r="AF44" s="65" t="n">
        <x:f>AE44/Q44</x:f>
        <x:v>-0.01275008880806372</x:v>
      </x:c>
      <x:c r="AG44" s="64" t="n">
        <x:f>-ROUND(Q44*'Drivers'!P44,3)</x:f>
        <x:v>-14.058</x:v>
      </x:c>
      <x:c r="AH44" s="64" t="n">
        <x:f>-ROUND(Q44*'Drivers'!Q44,3)</x:f>
        <x:v>-33.743</x:v>
      </x:c>
      <x:c r="AI44" s="64" t="n">
        <x:f>SUM(R44,T44,AC44,AE44,AG44,AH44)</x:f>
        <x:v>-1635.653</x:v>
      </x:c>
      <x:c r="AJ44" s="65" t="n">
        <x:f>AI44/Q44</x:f>
        <x:v>-0.29389818076883617</x:v>
      </x:c>
      <x:c r="AK44" s="64" t="n">
        <x:f>Q44+AI44</x:f>
        <x:v>3929.7199999999993</x:v>
      </x:c>
      <x:c r="AL44" s="65" t="n">
        <x:f>AK44/Q44</x:f>
        <x:v>0.7061018192311638</x:v>
      </x:c>
      <x:c r="AM44" s="64" t="n">
        <x:f>AK44/L44</x:f>
        <x:v>491.2149999999999</x:v>
      </x:c>
      <x:c r="AN44" s="66" t="str">
        <x:f>IF(AM44&lt;=200,"≤200K",IF(AM44&lt;=350,"200–350K",IF(AM44&lt;=500,"350–500K",IF(AM44&lt;=700,"500–700K","&gt;700K"))))</x:f>
        <x:v>350–500K</x:v>
      </x:c>
      <x:c r="AO44" s="64" t="n">
        <x:f>-ROUND(Q44*'Drivers'!R44,3)</x:f>
        <x:v>-1996.813</x:v>
      </x:c>
      <x:c r="AP44" s="64" t="n">
        <x:f>-ROUND(AK44*'Drivers'!S44,3)</x:f>
        <x:v>-66.292</x:v>
      </x:c>
      <x:c r="AQ44" s="64" t="n">
        <x:f>-ROUND(AK44*'Drivers'!T44,3)</x:f>
        <x:v>-14.792</x:v>
      </x:c>
      <x:c r="AR44" s="64" t="n">
        <x:f>-ROUND(AK44*'Drivers'!U44,3)</x:f>
        <x:v>-20.69</x:v>
      </x:c>
      <x:c r="AS44" s="64" t="n">
        <x:f>-ROUND(AK44*'Drivers'!V44,3)</x:f>
        <x:v>-111.741</x:v>
      </x:c>
      <x:c r="AT44" s="64" t="n">
        <x:f>SUM(AO44:AS44)</x:f>
        <x:v>-2210.328</x:v>
      </x:c>
      <x:c r="AU44" s="65" t="n">
        <x:f>AT44/AK44</x:f>
        <x:v>-0.5624645012876236</x:v>
      </x:c>
      <x:c r="AV44" s="64" t="n">
        <x:f>AK44+AT44</x:f>
        <x:v>1719.3919999999994</x:v>
      </x:c>
      <x:c r="AW44" s="65" t="n">
        <x:f>AV44/AK44</x:f>
        <x:v>0.43753549871237635</x:v>
      </x:c>
      <x:c r="AX44" s="64" t="n">
        <x:f>-ROUND(AK44*'Drivers'!W44,3)</x:f>
        <x:v>-46.174</x:v>
      </x:c>
      <x:c r="AY44" s="64" t="n">
        <x:f>-ROUND(AK44*'Drivers'!X44,3)</x:f>
        <x:v>-119.677</x:v>
      </x:c>
      <x:c r="AZ44" s="64" t="n">
        <x:f>-ROUND(AK44*'Drivers'!Y44,3)</x:f>
        <x:v>-88.157</x:v>
      </x:c>
      <x:c r="BA44" s="64" t="n">
        <x:f>-ROUND(AK44*'Drivers'!Z44,3)</x:f>
        <x:v>-27.219</x:v>
      </x:c>
      <x:c r="BB44" s="64" t="n">
        <x:f>-ROUND(AK44*'Drivers'!AA44,3)</x:f>
        <x:v>-34.318</x:v>
      </x:c>
      <x:c r="BC44" s="64" t="n">
        <x:f>SUM(BA44,BB44)</x:f>
        <x:v>-61.537</x:v>
      </x:c>
      <x:c r="BD44" s="64" t="n">
        <x:f>-ROUND(AK44*'Drivers'!AB44,3)</x:f>
        <x:v>-26.815</x:v>
      </x:c>
      <x:c r="BE44" s="64" t="n">
        <x:f>SUM(AX44:BB44,BD44)</x:f>
        <x:v>-342.35999999999996</x:v>
      </x:c>
      <x:c r="BF44" s="67" t="n">
        <x:f>'Drivers'!AF44</x:f>
        <x:v>12</x:v>
      </x:c>
      <x:c r="BG44" s="64" t="n">
        <x:f>BJ44</x:f>
        <x:v>-110.685</x:v>
      </x:c>
      <x:c r="BH44" s="64" t="n">
        <x:f>BE44/BF44</x:f>
        <x:v>-28.529999999999998</x:v>
      </x:c>
      <x:c r="BI44" s="68" t="n">
        <x:f>BF44/L44</x:f>
        <x:v>1.5</x:v>
      </x:c>
      <x:c r="BJ44" s="64" t="n">
        <x:f>-ROUND(AK44*'Drivers'!AC44,3)</x:f>
        <x:v>-110.685</x:v>
      </x:c>
      <x:c r="BK44" s="64" t="n">
        <x:f>-ROUND(AK44*'Drivers'!AD44,3)</x:f>
        <x:v>-375.199</x:v>
      </x:c>
      <x:c r="BL44" s="64" t="n">
        <x:f>SUM(AV44,BE44,BJ44,BK44)</x:f>
        <x:v>891.1479999999995</x:v>
      </x:c>
      <x:c r="BM44" s="65" t="n">
        <x:f>BL44/AK44</x:f>
        <x:v>0.22677137302403214</x:v>
      </x:c>
      <x:c r="BN44" s="64" t="n">
        <x:f>-ROUND(AK44*'Drivers'!AE44,3)</x:f>
        <x:v>-350.981</x:v>
      </x:c>
      <x:c r="BO44" s="64" t="n">
        <x:f>BL44+BN44</x:f>
        <x:v>540.1669999999995</x:v>
      </x:c>
      <x:c r="BP44" s="65" t="n">
        <x:f>BO44/AK44</x:f>
        <x:v>0.13745686715592956</x:v>
      </x:c>
    </x:row>
    <x:row r="45">
      <x:c r="A45" s="61" t="n">
        <x:v>2026</x:v>
      </x:c>
      <x:c r="B45" s="18" t="str">
        <x:v>S2</x:v>
      </x:c>
      <x:c r="C45" s="18" t="str">
        <x:v>2026 S2</x:v>
      </x:c>
      <x:c r="D45" s="18" t="str">
        <x:v>CNCT0011</x:v>
      </x:c>
      <x:c r="E45" s="18" t="str">
        <x:v>上海新世界大丸百货</x:v>
      </x:c>
      <x:c r="F45" s="18" t="str">
        <x:v>上海</x:v>
      </x:c>
      <x:c r="G45" s="18" t="str">
        <x:v>上海市</x:v>
      </x:c>
      <x:c r="H45" s="18" t="str">
        <x:v>东区</x:v>
      </x:c>
      <x:c r="I45" s="18" t="str">
        <x:v>Department Store</x:v>
      </x:c>
      <x:c r="J45" s="18" t="str">
        <x:v>Luxury Department Store</x:v>
      </x:c>
      <x:c r="K45" s="18" t="str">
        <x:v>正常</x:v>
      </x:c>
      <x:c r="L45" s="62" t="n">
        <x:v>8</x:v>
      </x:c>
      <x:c r="M45" s="62" t="n">
        <x:v>60</x:v>
      </x:c>
      <x:c r="N45" s="63" t="n">
        <x:f>'Drivers'!C45</x:f>
        <x:v>4723</x:v>
      </x:c>
      <x:c r="O45" s="63" t="n">
        <x:f>'Drivers'!D45</x:f>
        <x:v>1375.223</x:v>
      </x:c>
      <x:c r="P45" s="64" t="n">
        <x:f>ROUND(N45*O45/1000,3)</x:f>
        <x:v>6495.178</x:v>
      </x:c>
      <x:c r="Q45" s="64" t="n">
        <x:f>ROUND(P45*'Drivers'!E45,3)</x:f>
        <x:v>6297.473</x:v>
      </x:c>
      <x:c r="R45" s="64" t="n">
        <x:f>-ROUND(Q45*'Drivers'!F45,3)</x:f>
        <x:v>-1232.958</x:v>
      </x:c>
      <x:c r="S45" s="65" t="n">
        <x:f>R45/Q45</x:f>
        <x:v>-0.19578615104820618</x:v>
      </x:c>
      <x:c r="T45" s="64" t="n">
        <x:f>-ROUND(Q45*'Drivers'!G45,3)</x:f>
        <x:v>-67.477</x:v>
      </x:c>
      <x:c r="U45" s="65" t="n">
        <x:f>T45/Q45</x:f>
        <x:v>-0.010714932799235504</x:v>
      </x:c>
      <x:c r="V45" s="64" t="n">
        <x:f>-ROUND(Q45*'Drivers'!H45,3)</x:f>
        <x:v>-79.393</x:v>
      </x:c>
      <x:c r="W45" s="64" t="n">
        <x:f>-ROUND(Q45*'Drivers'!I45,3)</x:f>
        <x:v>-53.596</x:v>
      </x:c>
      <x:c r="X45" s="64" t="n">
        <x:f>-ROUND(Q45*'Drivers'!J45,3)</x:f>
        <x:v>-74.831</x:v>
      </x:c>
      <x:c r="Y45" s="64" t="n">
        <x:f>-ROUND(Q45*'Drivers'!K45,3)</x:f>
        <x:v>-68.356</x:v>
      </x:c>
      <x:c r="Z45" s="64" t="n">
        <x:f>-ROUND(Q45*'Drivers'!L45,3)</x:f>
        <x:v>-65.689</x:v>
      </x:c>
      <x:c r="AA45" s="64" t="n">
        <x:f>-ROUND(Q45*'Drivers'!M45,3)</x:f>
        <x:v>-39.502</x:v>
      </x:c>
      <x:c r="AB45" s="64" t="n">
        <x:f>-ROUND(Q45*'Drivers'!N45,3)</x:f>
        <x:v>-38.693</x:v>
      </x:c>
      <x:c r="AC45" s="64" t="n">
        <x:f>SUM(V45:AB45)</x:f>
        <x:v>-420.06</x:v>
      </x:c>
      <x:c r="AD45" s="65" t="n">
        <x:f>AC45/Q45</x:f>
        <x:v>-0.06670294576888222</x:v>
      </x:c>
      <x:c r="AE45" s="64" t="n">
        <x:f>-ROUND(Q45*'Drivers'!O45,3)</x:f>
        <x:v>-74.126</x:v>
      </x:c>
      <x:c r="AF45" s="65" t="n">
        <x:f>AE45/Q45</x:f>
        <x:v>-0.011770753125896689</x:v>
      </x:c>
      <x:c r="AG45" s="64" t="n">
        <x:f>-ROUND(Q45*'Drivers'!P45,3)</x:f>
        <x:v>-15.907</x:v>
      </x:c>
      <x:c r="AH45" s="64" t="n">
        <x:f>-ROUND(Q45*'Drivers'!Q45,3)</x:f>
        <x:v>-38.182</x:v>
      </x:c>
      <x:c r="AI45" s="64" t="n">
        <x:f>SUM(R45,T45,AC45,AE45,AG45,AH45)</x:f>
        <x:v>-1848.71</x:v>
      </x:c>
      <x:c r="AJ45" s="65" t="n">
        <x:f>AI45/Q45</x:f>
        <x:v>-0.2935637834413899</x:v>
      </x:c>
      <x:c r="AK45" s="64" t="n">
        <x:f>Q45+AI45</x:f>
        <x:v>4448.763</x:v>
      </x:c>
      <x:c r="AL45" s="65" t="n">
        <x:f>AK45/Q45</x:f>
        <x:v>0.7064362165586101</x:v>
      </x:c>
      <x:c r="AM45" s="64" t="n">
        <x:f>AK45/L45</x:f>
        <x:v>556.095375</x:v>
      </x:c>
      <x:c r="AN45" s="66" t="str">
        <x:f>IF(AM45&lt;=200,"≤200K",IF(AM45&lt;=350,"200–350K",IF(AM45&lt;=500,"350–500K",IF(AM45&lt;=700,"500–700K","&gt;700K"))))</x:f>
        <x:v>500–700K</x:v>
      </x:c>
      <x:c r="AO45" s="64" t="n">
        <x:f>-ROUND(Q45*'Drivers'!R45,3)</x:f>
        <x:v>-2220.158</x:v>
      </x:c>
      <x:c r="AP45" s="64" t="n">
        <x:f>-ROUND(AK45*'Drivers'!S45,3)</x:f>
        <x:v>-75.048</x:v>
      </x:c>
      <x:c r="AQ45" s="64" t="n">
        <x:f>-ROUND(AK45*'Drivers'!T45,3)</x:f>
        <x:v>-16.746</x:v>
      </x:c>
      <x:c r="AR45" s="64" t="n">
        <x:f>-ROUND(AK45*'Drivers'!U45,3)</x:f>
        <x:v>-23.423</x:v>
      </x:c>
      <x:c r="AS45" s="64" t="n">
        <x:f>-ROUND(AK45*'Drivers'!V45,3)</x:f>
        <x:v>-126.5</x:v>
      </x:c>
      <x:c r="AT45" s="64" t="n">
        <x:f>SUM(AO45:AS45)</x:f>
        <x:v>-2461.875</x:v>
      </x:c>
      <x:c r="AU45" s="65" t="n">
        <x:f>AT45/AK45</x:f>
        <x:v>-0.5533841654410451</x:v>
      </x:c>
      <x:c r="AV45" s="64" t="n">
        <x:f>AK45+AT45</x:f>
        <x:v>1986.888</x:v>
      </x:c>
      <x:c r="AW45" s="65" t="n">
        <x:f>AV45/AK45</x:f>
        <x:v>0.4466158345589549</x:v>
      </x:c>
      <x:c r="AX45" s="64" t="n">
        <x:f>-ROUND(AK45*'Drivers'!W45,3)</x:f>
        <x:v>-45.032</x:v>
      </x:c>
      <x:c r="AY45" s="64" t="n">
        <x:f>-ROUND(AK45*'Drivers'!X45,3)</x:f>
        <x:v>-116.716</x:v>
      </x:c>
      <x:c r="AZ45" s="64" t="n">
        <x:f>-ROUND(AK45*'Drivers'!Y45,3)</x:f>
        <x:v>-85.976</x:v>
      </x:c>
      <x:c r="BA45" s="64" t="n">
        <x:f>-ROUND(AK45*'Drivers'!Z45,3)</x:f>
        <x:v>-26.546</x:v>
      </x:c>
      <x:c r="BB45" s="64" t="n">
        <x:f>-ROUND(AK45*'Drivers'!AA45,3)</x:f>
        <x:v>-33.469</x:v>
      </x:c>
      <x:c r="BC45" s="64" t="n">
        <x:f>SUM(BA45,BB45)</x:f>
        <x:v>-60.015</x:v>
      </x:c>
      <x:c r="BD45" s="64" t="n">
        <x:f>-ROUND(AK45*'Drivers'!AB45,3)</x:f>
        <x:v>-26.152</x:v>
      </x:c>
      <x:c r="BE45" s="64" t="n">
        <x:f>SUM(AX45:BB45,BD45)</x:f>
        <x:v>-333.89099999999996</x:v>
      </x:c>
      <x:c r="BF45" s="67" t="n">
        <x:f>'Drivers'!AF45</x:f>
        <x:v>12</x:v>
      </x:c>
      <x:c r="BG45" s="64" t="n">
        <x:f>BJ45</x:f>
        <x:v>-107.946</x:v>
      </x:c>
      <x:c r="BH45" s="64" t="n">
        <x:f>BE45/BF45</x:f>
        <x:v>-27.824249999999996</x:v>
      </x:c>
      <x:c r="BI45" s="68" t="n">
        <x:f>BF45/L45</x:f>
        <x:v>1.5</x:v>
      </x:c>
      <x:c r="BJ45" s="64" t="n">
        <x:f>-ROUND(AK45*'Drivers'!AC45,3)</x:f>
        <x:v>-107.946</x:v>
      </x:c>
      <x:c r="BK45" s="64" t="n">
        <x:f>-ROUND(AK45*'Drivers'!AD45,3)</x:f>
        <x:v>-424.755</x:v>
      </x:c>
      <x:c r="BL45" s="64" t="n">
        <x:f>SUM(AV45,BE45,BJ45,BK45)</x:f>
        <x:v>1120.2959999999998</x:v>
      </x:c>
      <x:c r="BM45" s="65" t="n">
        <x:f>BL45/AK45</x:f>
        <x:v>0.2518219109446828</x:v>
      </x:c>
      <x:c r="BN45" s="64" t="n">
        <x:f>-ROUND(AK45*'Drivers'!AE45,3)</x:f>
        <x:v>-397.339</x:v>
      </x:c>
      <x:c r="BO45" s="64" t="n">
        <x:f>BL45+BN45</x:f>
        <x:v>722.9569999999999</x:v>
      </x:c>
      <x:c r="BP45" s="65" t="n">
        <x:f>BO45/AK45</x:f>
        <x:v>0.16250742060208645</x:v>
      </x:c>
    </x:row>
    <x:row r="46">
      <x:c r="A46" s="61" t="n">
        <x:v>2025</x:v>
      </x:c>
      <x:c r="B46" s="18" t="str">
        <x:v>S1</x:v>
      </x:c>
      <x:c r="C46" s="18" t="str">
        <x:v>2025 S1</x:v>
      </x:c>
      <x:c r="D46" s="18" t="str">
        <x:v>CNCT0012</x:v>
      </x:c>
      <x:c r="E46" s="18" t="str">
        <x:v>上海第一八佰伴</x:v>
      </x:c>
      <x:c r="F46" s="18" t="str">
        <x:v>上海</x:v>
      </x:c>
      <x:c r="G46" s="18" t="str">
        <x:v>上海市</x:v>
      </x:c>
      <x:c r="H46" s="18" t="str">
        <x:v>东区</x:v>
      </x:c>
      <x:c r="I46" s="18" t="str">
        <x:v>Department Store</x:v>
      </x:c>
      <x:c r="J46" s="18" t="str">
        <x:v>Core Shopping Center</x:v>
      </x:c>
      <x:c r="K46" s="18" t="str">
        <x:v>正常</x:v>
      </x:c>
      <x:c r="L46" s="62" t="n">
        <x:v>5</x:v>
      </x:c>
      <x:c r="M46" s="62" t="n">
        <x:v>61</x:v>
      </x:c>
      <x:c r="N46" s="63" t="n">
        <x:f>'Drivers'!C46</x:f>
        <x:v>2407</x:v>
      </x:c>
      <x:c r="O46" s="63" t="n">
        <x:f>'Drivers'!D46</x:f>
        <x:v>1143.71</x:v>
      </x:c>
      <x:c r="P46" s="64" t="n">
        <x:f>ROUND(N46*O46/1000,3)</x:f>
        <x:v>2752.91</x:v>
      </x:c>
      <x:c r="Q46" s="64" t="n">
        <x:f>ROUND(P46*'Drivers'!E46,3)</x:f>
        <x:v>2688.43</x:v>
      </x:c>
      <x:c r="R46" s="64" t="n">
        <x:f>-ROUND(Q46*'Drivers'!F46,3)</x:f>
        <x:v>-398.78</x:v>
      </x:c>
      <x:c r="S46" s="65" t="n">
        <x:f>R46/Q46</x:f>
        <x:v>-0.14833192606837448</x:v>
      </x:c>
      <x:c r="T46" s="64" t="n">
        <x:f>-ROUND(Q46*'Drivers'!G46,3)</x:f>
        <x:v>-31.075</x:v>
      </x:c>
      <x:c r="U46" s="65" t="n">
        <x:f>T46/Q46</x:f>
        <x:v>-0.011558790818433064</x:v>
      </x:c>
      <x:c r="V46" s="64" t="n">
        <x:f>-ROUND(Q46*'Drivers'!H46,3)</x:f>
        <x:v>-19.473</x:v>
      </x:c>
      <x:c r="W46" s="64" t="n">
        <x:f>-ROUND(Q46*'Drivers'!I46,3)</x:f>
        <x:v>-23.251</x:v>
      </x:c>
      <x:c r="X46" s="64" t="n">
        <x:f>-ROUND(Q46*'Drivers'!J46,3)</x:f>
        <x:v>-34.318</x:v>
      </x:c>
      <x:c r="Y46" s="64" t="n">
        <x:f>-ROUND(Q46*'Drivers'!K46,3)</x:f>
        <x:v>-30.513</x:v>
      </x:c>
      <x:c r="Z46" s="64" t="n">
        <x:f>-ROUND(Q46*'Drivers'!L46,3)</x:f>
        <x:v>-29.611</x:v>
      </x:c>
      <x:c r="AA46" s="64" t="n">
        <x:f>-ROUND(Q46*'Drivers'!M46,3)</x:f>
        <x:v>-26.909</x:v>
      </x:c>
      <x:c r="AB46" s="64" t="n">
        <x:f>-ROUND(Q46*'Drivers'!N46,3)</x:f>
        <x:v>-20.68</x:v>
      </x:c>
      <x:c r="AC46" s="64" t="n">
        <x:f>SUM(V46:AB46)</x:f>
        <x:v>-184.755</x:v>
      </x:c>
      <x:c r="AD46" s="65" t="n">
        <x:f>AC46/Q46</x:f>
        <x:v>-0.06872226541141112</x:v>
      </x:c>
      <x:c r="AE46" s="64" t="n">
        <x:f>-ROUND(Q46*'Drivers'!O46,3)</x:f>
        <x:v>-18.087</x:v>
      </x:c>
      <x:c r="AF46" s="65" t="n">
        <x:f>AE46/Q46</x:f>
        <x:v>-0.006727718408141555</x:v>
      </x:c>
      <x:c r="AG46" s="64" t="n">
        <x:f>-ROUND(Q46*'Drivers'!P46,3)</x:f>
        <x:v>-3.711</x:v>
      </x:c>
      <x:c r="AH46" s="64" t="n">
        <x:f>-ROUND(Q46*'Drivers'!Q46,3)</x:f>
        <x:v>-11.859</x:v>
      </x:c>
      <x:c r="AI46" s="64" t="n">
        <x:f>SUM(R46,T46,AC46,AE46,AG46,AH46)</x:f>
        <x:v>-648.2669999999999</x:v>
      </x:c>
      <x:c r="AJ46" s="65" t="n">
        <x:f>AI46/Q46</x:f>
        <x:v>-0.24113218495553165</x:v>
      </x:c>
      <x:c r="AK46" s="64" t="n">
        <x:f>Q46+AI46</x:f>
        <x:v>2040.163</x:v>
      </x:c>
      <x:c r="AL46" s="65" t="n">
        <x:f>AK46/Q46</x:f>
        <x:v>0.7588678150444684</x:v>
      </x:c>
      <x:c r="AM46" s="64" t="n">
        <x:f>AK46/L46</x:f>
        <x:v>408.0326</x:v>
      </x:c>
      <x:c r="AN46" s="66" t="str">
        <x:f>IF(AM46&lt;=200,"≤200K",IF(AM46&lt;=350,"200–350K",IF(AM46&lt;=500,"350–500K",IF(AM46&lt;=700,"500–700K","&gt;700K"))))</x:f>
        <x:v>350–500K</x:v>
      </x:c>
      <x:c r="AO46" s="64" t="n">
        <x:f>-ROUND(Q46*'Drivers'!R46,3)</x:f>
        <x:v>-1052.068</x:v>
      </x:c>
      <x:c r="AP46" s="64" t="n">
        <x:f>-ROUND(AK46*'Drivers'!S46,3)</x:f>
        <x:v>-23.687</x:v>
      </x:c>
      <x:c r="AQ46" s="64" t="n">
        <x:f>-ROUND(AK46*'Drivers'!T46,3)</x:f>
        <x:v>-7.301</x:v>
      </x:c>
      <x:c r="AR46" s="64" t="n">
        <x:f>-ROUND(AK46*'Drivers'!U46,3)</x:f>
        <x:v>-26.45</x:v>
      </x:c>
      <x:c r="AS46" s="64" t="n">
        <x:f>-ROUND(AK46*'Drivers'!V46,3)</x:f>
        <x:v>-68.392</x:v>
      </x:c>
      <x:c r="AT46" s="64" t="n">
        <x:f>SUM(AO46:AS46)</x:f>
        <x:v>-1177.898</x:v>
      </x:c>
      <x:c r="AU46" s="65" t="n">
        <x:f>AT46/AK46</x:f>
        <x:v>-0.5773548486076847</x:v>
      </x:c>
      <x:c r="AV46" s="64" t="n">
        <x:f>AK46+AT46</x:f>
        <x:v>862.2650000000001</x:v>
      </x:c>
      <x:c r="AW46" s="65" t="n">
        <x:f>AV46/AK46</x:f>
        <x:v>0.4226451513923153</x:v>
      </x:c>
      <x:c r="AX46" s="64" t="n">
        <x:f>-ROUND(AK46*'Drivers'!W46,3)</x:f>
        <x:v>-22.96</x:v>
      </x:c>
      <x:c r="AY46" s="64" t="n">
        <x:f>-ROUND(AK46*'Drivers'!X46,3)</x:f>
        <x:v>-44.623</x:v>
      </x:c>
      <x:c r="AZ46" s="64" t="n">
        <x:f>-ROUND(AK46*'Drivers'!Y46,3)</x:f>
        <x:v>-30.505</x:v>
      </x:c>
      <x:c r="BA46" s="64" t="n">
        <x:f>-ROUND(AK46*'Drivers'!Z46,3)</x:f>
        <x:v>-15.446</x:v>
      </x:c>
      <x:c r="BB46" s="64" t="n">
        <x:f>-ROUND(AK46*'Drivers'!AA46,3)</x:f>
        <x:v>-13.72</x:v>
      </x:c>
      <x:c r="BC46" s="64" t="n">
        <x:f>SUM(BA46,BB46)</x:f>
        <x:v>-29.166</x:v>
      </x:c>
      <x:c r="BD46" s="64" t="n">
        <x:f>-ROUND(AK46*'Drivers'!AB46,3)</x:f>
        <x:v>-7.342</x:v>
      </x:c>
      <x:c r="BE46" s="64" t="n">
        <x:f>SUM(AX46:BB46,BD46)</x:f>
        <x:v>-134.596</x:v>
      </x:c>
      <x:c r="BF46" s="67" t="n">
        <x:f>'Drivers'!AF46</x:f>
        <x:v>10</x:v>
      </x:c>
      <x:c r="BG46" s="64" t="n">
        <x:f>BJ46</x:f>
        <x:v>-58.557</x:v>
      </x:c>
      <x:c r="BH46" s="64" t="n">
        <x:f>BE46/BF46</x:f>
        <x:v>-13.4596</x:v>
      </x:c>
      <x:c r="BI46" s="68" t="n">
        <x:f>BF46/L46</x:f>
        <x:v>2</x:v>
      </x:c>
      <x:c r="BJ46" s="64" t="n">
        <x:f>-ROUND(AK46*'Drivers'!AC46,3)</x:f>
        <x:v>-58.557</x:v>
      </x:c>
      <x:c r="BK46" s="64" t="n">
        <x:f>-ROUND(AK46*'Drivers'!AD46,3)</x:f>
        <x:v>-167.176</x:v>
      </x:c>
      <x:c r="BL46" s="64" t="n">
        <x:f>SUM(AV46,BE46,BJ46,BK46)</x:f>
        <x:v>501.9360000000001</x:v>
      </x:c>
      <x:c r="BM46" s="65" t="n">
        <x:f>BL46/AK46</x:f>
        <x:v>0.2460274007518027</x:v>
      </x:c>
      <x:c r="BN46" s="64" t="n">
        <x:f>-ROUND(AK46*'Drivers'!AE46,3)</x:f>
        <x:v>-177.468</x:v>
      </x:c>
      <x:c r="BO46" s="64" t="n">
        <x:f>BL46+BN46</x:f>
        <x:v>324.4680000000001</x:v>
      </x:c>
      <x:c r="BP46" s="65" t="n">
        <x:f>BO46/AK46</x:f>
        <x:v>0.15904023354996638</x:v>
      </x:c>
    </x:row>
    <x:row r="47">
      <x:c r="A47" s="61" t="n">
        <x:v>2025</x:v>
      </x:c>
      <x:c r="B47" s="18" t="str">
        <x:v>S2</x:v>
      </x:c>
      <x:c r="C47" s="18" t="str">
        <x:v>2025 S2</x:v>
      </x:c>
      <x:c r="D47" s="18" t="str">
        <x:v>CNCT0012</x:v>
      </x:c>
      <x:c r="E47" s="18" t="str">
        <x:v>上海第一八佰伴</x:v>
      </x:c>
      <x:c r="F47" s="18" t="str">
        <x:v>上海</x:v>
      </x:c>
      <x:c r="G47" s="18" t="str">
        <x:v>上海市</x:v>
      </x:c>
      <x:c r="H47" s="18" t="str">
        <x:v>东区</x:v>
      </x:c>
      <x:c r="I47" s="18" t="str">
        <x:v>Department Store</x:v>
      </x:c>
      <x:c r="J47" s="18" t="str">
        <x:v>Core Shopping Center</x:v>
      </x:c>
      <x:c r="K47" s="18" t="str">
        <x:v>正常</x:v>
      </x:c>
      <x:c r="L47" s="62" t="n">
        <x:v>5</x:v>
      </x:c>
      <x:c r="M47" s="62" t="n">
        <x:v>61</x:v>
      </x:c>
      <x:c r="N47" s="63" t="n">
        <x:f>'Drivers'!C47</x:f>
        <x:v>2618</x:v>
      </x:c>
      <x:c r="O47" s="63" t="n">
        <x:f>'Drivers'!D47</x:f>
        <x:v>1157.434</x:v>
      </x:c>
      <x:c r="P47" s="64" t="n">
        <x:f>ROUND(N47*O47/1000,3)</x:f>
        <x:v>3030.162</x:v>
      </x:c>
      <x:c r="Q47" s="64" t="n">
        <x:f>ROUND(P47*'Drivers'!E47,3)</x:f>
        <x:v>2971.623</x:v>
      </x:c>
      <x:c r="R47" s="64" t="n">
        <x:f>-ROUND(Q47*'Drivers'!F47,3)</x:f>
        <x:v>-440.786</x:v>
      </x:c>
      <x:c r="S47" s="65" t="n">
        <x:f>R47/Q47</x:f>
        <x:v>-0.14833173656281431</x:v>
      </x:c>
      <x:c r="T47" s="64" t="n">
        <x:f>-ROUND(Q47*'Drivers'!G47,3)</x:f>
        <x:v>-34.348</x:v>
      </x:c>
      <x:c r="U47" s="65" t="n">
        <x:f>T47/Q47</x:f>
        <x:v>-0.011558666762237336</x:v>
      </x:c>
      <x:c r="V47" s="64" t="n">
        <x:f>-ROUND(Q47*'Drivers'!H47,3)</x:f>
        <x:v>-21.524</x:v>
      </x:c>
      <x:c r="W47" s="64" t="n">
        <x:f>-ROUND(Q47*'Drivers'!I47,3)</x:f>
        <x:v>-25.7</x:v>
      </x:c>
      <x:c r="X47" s="64" t="n">
        <x:f>-ROUND(Q47*'Drivers'!J47,3)</x:f>
        <x:v>-37.933</x:v>
      </x:c>
      <x:c r="Y47" s="64" t="n">
        <x:f>-ROUND(Q47*'Drivers'!K47,3)</x:f>
        <x:v>-33.727</x:v>
      </x:c>
      <x:c r="Z47" s="64" t="n">
        <x:f>-ROUND(Q47*'Drivers'!L47,3)</x:f>
        <x:v>-32.73</x:v>
      </x:c>
      <x:c r="AA47" s="64" t="n">
        <x:f>-ROUND(Q47*'Drivers'!M47,3)</x:f>
        <x:v>-29.744</x:v>
      </x:c>
      <x:c r="AB47" s="64" t="n">
        <x:f>-ROUND(Q47*'Drivers'!N47,3)</x:f>
        <x:v>-22.858</x:v>
      </x:c>
      <x:c r="AC47" s="64" t="n">
        <x:f>SUM(V47:AB47)</x:f>
        <x:v>-204.216</x:v>
      </x:c>
      <x:c r="AD47" s="65" t="n">
        <x:f>AC47/Q47</x:f>
        <x:v>-0.06872204179332304</x:v>
      </x:c>
      <x:c r="AE47" s="64" t="n">
        <x:f>-ROUND(Q47*'Drivers'!O47,3)</x:f>
        <x:v>-19.992</x:v>
      </x:c>
      <x:c r="AF47" s="65" t="n">
        <x:f>AE47/Q47</x:f>
        <x:v>-0.006727636715693748</x:v>
      </x:c>
      <x:c r="AG47" s="64" t="n">
        <x:f>-ROUND(Q47*'Drivers'!P47,3)</x:f>
        <x:v>-4.102</x:v>
      </x:c>
      <x:c r="AH47" s="64" t="n">
        <x:f>-ROUND(Q47*'Drivers'!Q47,3)</x:f>
        <x:v>-13.108</x:v>
      </x:c>
      <x:c r="AI47" s="64" t="n">
        <x:f>SUM(R47,T47,AC47,AE47,AG47,AH47)</x:f>
        <x:v>-716.5519999999999</x:v>
      </x:c>
      <x:c r="AJ47" s="65" t="n">
        <x:f>AI47/Q47</x:f>
        <x:v>-0.2411315298071121</x:v>
      </x:c>
      <x:c r="AK47" s="64" t="n">
        <x:f>Q47+AI47</x:f>
        <x:v>2255.071</x:v>
      </x:c>
      <x:c r="AL47" s="65" t="n">
        <x:f>AK47/Q47</x:f>
        <x:v>0.7588684701928878</x:v>
      </x:c>
      <x:c r="AM47" s="64" t="n">
        <x:f>AK47/L47</x:f>
        <x:v>451.01419999999996</x:v>
      </x:c>
      <x:c r="AN47" s="66" t="str">
        <x:f>IF(AM47&lt;=200,"≤200K",IF(AM47&lt;=350,"200–350K",IF(AM47&lt;=500,"350–500K",IF(AM47&lt;=700,"500–700K","&gt;700K"))))</x:f>
        <x:v>350–500K</x:v>
      </x:c>
      <x:c r="AO47" s="64" t="n">
        <x:f>-ROUND(Q47*'Drivers'!R47,3)</x:f>
        <x:v>-1169.209</x:v>
      </x:c>
      <x:c r="AP47" s="64" t="n">
        <x:f>-ROUND(AK47*'Drivers'!S47,3)</x:f>
        <x:v>-26.182</x:v>
      </x:c>
      <x:c r="AQ47" s="64" t="n">
        <x:f>-ROUND(AK47*'Drivers'!T47,3)</x:f>
        <x:v>-8.07</x:v>
      </x:c>
      <x:c r="AR47" s="64" t="n">
        <x:f>-ROUND(AK47*'Drivers'!U47,3)</x:f>
        <x:v>-29.236</x:v>
      </x:c>
      <x:c r="AS47" s="64" t="n">
        <x:f>-ROUND(AK47*'Drivers'!V47,3)</x:f>
        <x:v>-75.596</x:v>
      </x:c>
      <x:c r="AT47" s="64" t="n">
        <x:f>SUM(AO47:AS47)</x:f>
        <x:v>-1308.2930000000001</x:v>
      </x:c>
      <x:c r="AU47" s="65" t="n">
        <x:f>AT47/AK47</x:f>
        <x:v>-0.5801560128262038</x:v>
      </x:c>
      <x:c r="AV47" s="64" t="n">
        <x:f>AK47+AT47</x:f>
        <x:v>946.7779999999998</x:v>
      </x:c>
      <x:c r="AW47" s="65" t="n">
        <x:f>AV47/AK47</x:f>
        <x:v>0.41984398717379623</x:v>
      </x:c>
      <x:c r="AX47" s="64" t="n">
        <x:f>-ROUND(AK47*'Drivers'!W47,3)</x:f>
        <x:v>-25.379</x:v>
      </x:c>
      <x:c r="AY47" s="64" t="n">
        <x:f>-ROUND(AK47*'Drivers'!X47,3)</x:f>
        <x:v>-49.323</x:v>
      </x:c>
      <x:c r="AZ47" s="64" t="n">
        <x:f>-ROUND(AK47*'Drivers'!Y47,3)</x:f>
        <x:v>-33.718</x:v>
      </x:c>
      <x:c r="BA47" s="64" t="n">
        <x:f>-ROUND(AK47*'Drivers'!Z47,3)</x:f>
        <x:v>-17.073</x:v>
      </x:c>
      <x:c r="BB47" s="64" t="n">
        <x:f>-ROUND(AK47*'Drivers'!AA47,3)</x:f>
        <x:v>-15.165</x:v>
      </x:c>
      <x:c r="BC47" s="64" t="n">
        <x:f>SUM(BA47,BB47)</x:f>
        <x:v>-32.238</x:v>
      </x:c>
      <x:c r="BD47" s="64" t="n">
        <x:f>-ROUND(AK47*'Drivers'!AB47,3)</x:f>
        <x:v>-8.115</x:v>
      </x:c>
      <x:c r="BE47" s="64" t="n">
        <x:f>SUM(AX47:BB47,BD47)</x:f>
        <x:v>-148.773</x:v>
      </x:c>
      <x:c r="BF47" s="67" t="n">
        <x:f>'Drivers'!AF47</x:f>
        <x:v>10</x:v>
      </x:c>
      <x:c r="BG47" s="64" t="n">
        <x:f>BJ47</x:f>
        <x:v>-64.725</x:v>
      </x:c>
      <x:c r="BH47" s="64" t="n">
        <x:f>BE47/BF47</x:f>
        <x:v>-14.8773</x:v>
      </x:c>
      <x:c r="BI47" s="68" t="n">
        <x:f>BF47/L47</x:f>
        <x:v>2</x:v>
      </x:c>
      <x:c r="BJ47" s="64" t="n">
        <x:f>-ROUND(AK47*'Drivers'!AC47,3)</x:f>
        <x:v>-64.725</x:v>
      </x:c>
      <x:c r="BK47" s="64" t="n">
        <x:f>-ROUND(AK47*'Drivers'!AD47,3)</x:f>
        <x:v>-184.786</x:v>
      </x:c>
      <x:c r="BL47" s="64" t="n">
        <x:f>SUM(AV47,BE47,BJ47,BK47)</x:f>
        <x:v>548.4939999999997</x:v>
      </x:c>
      <x:c r="BM47" s="65" t="n">
        <x:f>BL47/AK47</x:f>
        <x:v>0.24322693165758405</x:v>
      </x:c>
      <x:c r="BN47" s="64" t="n">
        <x:f>-ROUND(AK47*'Drivers'!AE47,3)</x:f>
        <x:v>-196.162</x:v>
      </x:c>
      <x:c r="BO47" s="64" t="n">
        <x:f>BL47+BN47</x:f>
        <x:v>352.33199999999965</x:v>
      </x:c>
      <x:c r="BP47" s="65" t="n">
        <x:f>BO47/AK47</x:f>
        <x:v>0.1562398700528718</x:v>
      </x:c>
    </x:row>
    <x:row r="48">
      <x:c r="A48" s="61" t="n">
        <x:v>2026</x:v>
      </x:c>
      <x:c r="B48" s="18" t="str">
        <x:v>S1</x:v>
      </x:c>
      <x:c r="C48" s="18" t="str">
        <x:v>2026 S1</x:v>
      </x:c>
      <x:c r="D48" s="18" t="str">
        <x:v>CNCT0012</x:v>
      </x:c>
      <x:c r="E48" s="18" t="str">
        <x:v>上海第一八佰伴</x:v>
      </x:c>
      <x:c r="F48" s="18" t="str">
        <x:v>上海</x:v>
      </x:c>
      <x:c r="G48" s="18" t="str">
        <x:v>上海市</x:v>
      </x:c>
      <x:c r="H48" s="18" t="str">
        <x:v>东区</x:v>
      </x:c>
      <x:c r="I48" s="18" t="str">
        <x:v>Department Store</x:v>
      </x:c>
      <x:c r="J48" s="18" t="str">
        <x:v>Core Shopping Center</x:v>
      </x:c>
      <x:c r="K48" s="18" t="str">
        <x:v>正常</x:v>
      </x:c>
      <x:c r="L48" s="62" t="n">
        <x:v>5</x:v>
      </x:c>
      <x:c r="M48" s="62" t="n">
        <x:v>61</x:v>
      </x:c>
      <x:c r="N48" s="63" t="n">
        <x:f>'Drivers'!C48</x:f>
        <x:v>2377</x:v>
      </x:c>
      <x:c r="O48" s="63" t="n">
        <x:f>'Drivers'!D48</x:f>
        <x:v>1184.242</x:v>
      </x:c>
      <x:c r="P48" s="64" t="n">
        <x:f>ROUND(N48*O48/1000,3)</x:f>
        <x:v>2814.943</x:v>
      </x:c>
      <x:c r="Q48" s="64" t="n">
        <x:f>ROUND(P48*'Drivers'!E48,3)</x:f>
        <x:v>2759.132</x:v>
      </x:c>
      <x:c r="R48" s="64" t="n">
        <x:f>-ROUND(Q48*'Drivers'!F48,3)</x:f>
        <x:v>-396.405</x:v>
      </x:c>
      <x:c r="S48" s="65" t="n">
        <x:f>R48/Q48</x:f>
        <x:v>-0.14367018323153802</x:v>
      </x:c>
      <x:c r="T48" s="64" t="n">
        <x:f>-ROUND(Q48*'Drivers'!G48,3)</x:f>
        <x:v>-33.155</x:v>
      </x:c>
      <x:c r="U48" s="65" t="n">
        <x:f>T48/Q48</x:f>
        <x:v>-0.012016460249092831</x:v>
      </x:c>
      <x:c r="V48" s="64" t="n">
        <x:f>-ROUND(Q48*'Drivers'!H48,3)</x:f>
        <x:v>-19.985</x:v>
      </x:c>
      <x:c r="W48" s="64" t="n">
        <x:f>-ROUND(Q48*'Drivers'!I48,3)</x:f>
        <x:v>-23.863</x:v>
      </x:c>
      <x:c r="X48" s="64" t="n">
        <x:f>-ROUND(Q48*'Drivers'!J48,3)</x:f>
        <x:v>-35.221</x:v>
      </x:c>
      <x:c r="Y48" s="64" t="n">
        <x:f>-ROUND(Q48*'Drivers'!K48,3)</x:f>
        <x:v>-31.316</x:v>
      </x:c>
      <x:c r="Z48" s="64" t="n">
        <x:f>-ROUND(Q48*'Drivers'!L48,3)</x:f>
        <x:v>-30.389</x:v>
      </x:c>
      <x:c r="AA48" s="64" t="n">
        <x:f>-ROUND(Q48*'Drivers'!M48,3)</x:f>
        <x:v>-27.617</x:v>
      </x:c>
      <x:c r="AB48" s="64" t="n">
        <x:f>-ROUND(Q48*'Drivers'!N48,3)</x:f>
        <x:v>-21.223</x:v>
      </x:c>
      <x:c r="AC48" s="64" t="n">
        <x:f>SUM(V48:AB48)</x:f>
        <x:v>-189.61399999999998</x:v>
      </x:c>
      <x:c r="AD48" s="65" t="n">
        <x:f>AC48/Q48</x:f>
        <x:v>-0.0687223373147787</x:v>
      </x:c>
      <x:c r="AE48" s="64" t="n">
        <x:f>-ROUND(Q48*'Drivers'!O48,3)</x:f>
        <x:v>-20.631</x:v>
      </x:c>
      <x:c r="AF48" s="65" t="n">
        <x:f>AE48/Q48</x:f>
        <x:v>-0.007477351572885965</x:v>
      </x:c>
      <x:c r="AG48" s="64" t="n">
        <x:f>-ROUND(Q48*'Drivers'!P48,3)</x:f>
        <x:v>-3.809</x:v>
      </x:c>
      <x:c r="AH48" s="64" t="n">
        <x:f>-ROUND(Q48*'Drivers'!Q48,3)</x:f>
        <x:v>-12.171</x:v>
      </x:c>
      <x:c r="AI48" s="64" t="n">
        <x:f>SUM(R48,T48,AC48,AE48,AG48,AH48)</x:f>
        <x:v>-655.785</x:v>
      </x:c>
      <x:c r="AJ48" s="65" t="n">
        <x:f>AI48/Q48</x:f>
        <x:v>-0.2376780088810539</x:v>
      </x:c>
      <x:c r="AK48" s="64" t="n">
        <x:f>Q48+AI48</x:f>
        <x:v>2103.347</x:v>
      </x:c>
      <x:c r="AL48" s="65" t="n">
        <x:f>AK48/Q48</x:f>
        <x:v>0.7623219911189462</x:v>
      </x:c>
      <x:c r="AM48" s="64" t="n">
        <x:f>AK48/L48</x:f>
        <x:v>420.66940000000005</x:v>
      </x:c>
      <x:c r="AN48" s="66" t="str">
        <x:f>IF(AM48&lt;=200,"≤200K",IF(AM48&lt;=350,"200–350K",IF(AM48&lt;=500,"350–500K",IF(AM48&lt;=700,"500–700K","&gt;700K"))))</x:f>
        <x:v>350–500K</x:v>
      </x:c>
      <x:c r="AO48" s="64" t="n">
        <x:f>-ROUND(Q48*'Drivers'!R48,3)</x:f>
        <x:v>-1075.138</x:v>
      </x:c>
      <x:c r="AP48" s="64" t="n">
        <x:f>-ROUND(AK48*'Drivers'!S48,3)</x:f>
        <x:v>-24.421</x:v>
      </x:c>
      <x:c r="AQ48" s="64" t="n">
        <x:f>-ROUND(AK48*'Drivers'!T48,3)</x:f>
        <x:v>-7.527</x:v>
      </x:c>
      <x:c r="AR48" s="64" t="n">
        <x:f>-ROUND(AK48*'Drivers'!U48,3)</x:f>
        <x:v>-27.269</x:v>
      </x:c>
      <x:c r="AS48" s="64" t="n">
        <x:f>-ROUND(AK48*'Drivers'!V48,3)</x:f>
        <x:v>-70.51</x:v>
      </x:c>
      <x:c r="AT48" s="64" t="n">
        <x:f>SUM(AO48:AS48)</x:f>
        <x:v>-1204.865</x:v>
      </x:c>
      <x:c r="AU48" s="65" t="n">
        <x:f>AT48/AK48</x:f>
        <x:v>-0.5728322525955061</x:v>
      </x:c>
      <x:c r="AV48" s="64" t="n">
        <x:f>AK48+AT48</x:f>
        <x:v>898.4820000000002</x:v>
      </x:c>
      <x:c r="AW48" s="65" t="n">
        <x:f>AV48/AK48</x:f>
        <x:v>0.4271677474044939</x:v>
      </x:c>
      <x:c r="AX48" s="64" t="n">
        <x:f>-ROUND(AK48*'Drivers'!W48,3)</x:f>
        <x:v>-29.126</x:v>
      </x:c>
      <x:c r="AY48" s="64" t="n">
        <x:f>-ROUND(AK48*'Drivers'!X48,3)</x:f>
        <x:v>-56.606</x:v>
      </x:c>
      <x:c r="AZ48" s="64" t="n">
        <x:f>-ROUND(AK48*'Drivers'!Y48,3)</x:f>
        <x:v>-38.697</x:v>
      </x:c>
      <x:c r="BA48" s="64" t="n">
        <x:f>-ROUND(AK48*'Drivers'!Z48,3)</x:f>
        <x:v>-19.594</x:v>
      </x:c>
      <x:c r="BB48" s="64" t="n">
        <x:f>-ROUND(AK48*'Drivers'!AA48,3)</x:f>
        <x:v>-17.404</x:v>
      </x:c>
      <x:c r="BC48" s="64" t="n">
        <x:f>SUM(BA48,BB48)</x:f>
        <x:v>-36.998000000000005</x:v>
      </x:c>
      <x:c r="BD48" s="64" t="n">
        <x:f>-ROUND(AK48*'Drivers'!AB48,3)</x:f>
        <x:v>-9.313</x:v>
      </x:c>
      <x:c r="BE48" s="64" t="n">
        <x:f>SUM(AX48:BB48,BD48)</x:f>
        <x:v>-170.73999999999998</x:v>
      </x:c>
      <x:c r="BF48" s="67" t="n">
        <x:f>'Drivers'!AF48</x:f>
        <x:v>10</x:v>
      </x:c>
      <x:c r="BG48" s="64" t="n">
        <x:f>BJ48</x:f>
        <x:v>-74.283</x:v>
      </x:c>
      <x:c r="BH48" s="64" t="n">
        <x:f>BE48/BF48</x:f>
        <x:v>-17.073999999999998</x:v>
      </x:c>
      <x:c r="BI48" s="68" t="n">
        <x:f>BF48/L48</x:f>
        <x:v>2</x:v>
      </x:c>
      <x:c r="BJ48" s="64" t="n">
        <x:f>-ROUND(AK48*'Drivers'!AC48,3)</x:f>
        <x:v>-74.283</x:v>
      </x:c>
      <x:c r="BK48" s="64" t="n">
        <x:f>-ROUND(AK48*'Drivers'!AD48,3)</x:f>
        <x:v>-172.353</x:v>
      </x:c>
      <x:c r="BL48" s="64" t="n">
        <x:f>SUM(AV48,BE48,BJ48,BK48)</x:f>
        <x:v>481.10600000000017</x:v>
      </x:c>
      <x:c r="BM48" s="65" t="n">
        <x:f>BL48/AK48</x:f>
        <x:v>0.2287335375475374</x:v>
      </x:c>
      <x:c r="BN48" s="64" t="n">
        <x:f>-ROUND(AK48*'Drivers'!AE48,3)</x:f>
        <x:v>-182.964</x:v>
      </x:c>
      <x:c r="BO48" s="64" t="n">
        <x:f>BL48+BN48</x:f>
        <x:v>298.14200000000017</x:v>
      </x:c>
      <x:c r="BP48" s="65" t="n">
        <x:f>BO48/AK48</x:f>
        <x:v>0.14174646408795133</x:v>
      </x:c>
    </x:row>
    <x:row r="49">
      <x:c r="A49" s="61" t="n">
        <x:v>2026</x:v>
      </x:c>
      <x:c r="B49" s="18" t="str">
        <x:v>S2</x:v>
      </x:c>
      <x:c r="C49" s="18" t="str">
        <x:v>2026 S2</x:v>
      </x:c>
      <x:c r="D49" s="18" t="str">
        <x:v>CNCT0012</x:v>
      </x:c>
      <x:c r="E49" s="18" t="str">
        <x:v>上海第一八佰伴</x:v>
      </x:c>
      <x:c r="F49" s="18" t="str">
        <x:v>上海</x:v>
      </x:c>
      <x:c r="G49" s="18" t="str">
        <x:v>上海市</x:v>
      </x:c>
      <x:c r="H49" s="18" t="str">
        <x:v>东区</x:v>
      </x:c>
      <x:c r="I49" s="18" t="str">
        <x:v>Department Store</x:v>
      </x:c>
      <x:c r="J49" s="18" t="str">
        <x:v>Core Shopping Center</x:v>
      </x:c>
      <x:c r="K49" s="18" t="str">
        <x:v>正常</x:v>
      </x:c>
      <x:c r="L49" s="62" t="n">
        <x:v>5</x:v>
      </x:c>
      <x:c r="M49" s="62" t="n">
        <x:v>60</x:v>
      </x:c>
      <x:c r="N49" s="63" t="n">
        <x:f>'Drivers'!C49</x:f>
        <x:v>2604</x:v>
      </x:c>
      <x:c r="O49" s="63" t="n">
        <x:f>'Drivers'!D49</x:f>
        <x:v>1182.752</x:v>
      </x:c>
      <x:c r="P49" s="64" t="n">
        <x:f>ROUND(N49*O49/1000,3)</x:f>
        <x:v>3079.886</x:v>
      </x:c>
      <x:c r="Q49" s="64" t="n">
        <x:f>ROUND(P49*'Drivers'!E49,3)</x:f>
        <x:v>3020.386</x:v>
      </x:c>
      <x:c r="R49" s="64" t="n">
        <x:f>-ROUND(Q49*'Drivers'!F49,3)</x:f>
        <x:v>-457.804</x:v>
      </x:c>
      <x:c r="S49" s="65" t="n">
        <x:f>R49/Q49</x:f>
        <x:v>-0.1515713554492704</x:v>
      </x:c>
      <x:c r="T49" s="64" t="n">
        <x:f>-ROUND(Q49*'Drivers'!G49,3)</x:f>
        <x:v>-34.567</x:v>
      </x:c>
      <x:c r="U49" s="65" t="n">
        <x:f>T49/Q49</x:f>
        <x:v>-0.011444563708082344</x:v>
      </x:c>
      <x:c r="V49" s="64" t="n">
        <x:f>-ROUND(Q49*'Drivers'!H49,3)</x:f>
        <x:v>-21.877</x:v>
      </x:c>
      <x:c r="W49" s="64" t="n">
        <x:f>-ROUND(Q49*'Drivers'!I49,3)</x:f>
        <x:v>-26.122</x:v>
      </x:c>
      <x:c r="X49" s="64" t="n">
        <x:f>-ROUND(Q49*'Drivers'!J49,3)</x:f>
        <x:v>-38.556</x:v>
      </x:c>
      <x:c r="Y49" s="64" t="n">
        <x:f>-ROUND(Q49*'Drivers'!K49,3)</x:f>
        <x:v>-34.281</x:v>
      </x:c>
      <x:c r="Z49" s="64" t="n">
        <x:f>-ROUND(Q49*'Drivers'!L49,3)</x:f>
        <x:v>-33.267</x:v>
      </x:c>
      <x:c r="AA49" s="64" t="n">
        <x:f>-ROUND(Q49*'Drivers'!M49,3)</x:f>
        <x:v>-30.232</x:v>
      </x:c>
      <x:c r="AB49" s="64" t="n">
        <x:f>-ROUND(Q49*'Drivers'!N49,3)</x:f>
        <x:v>-23.233</x:v>
      </x:c>
      <x:c r="AC49" s="64" t="n">
        <x:f>SUM(V49:AB49)</x:f>
        <x:v>-207.56799999999998</x:v>
      </x:c>
      <x:c r="AD49" s="65" t="n">
        <x:f>AC49/Q49</x:f>
        <x:v>-0.06872234211124008</x:v>
      </x:c>
      <x:c r="AE49" s="64" t="n">
        <x:f>-ROUND(Q49*'Drivers'!O49,3)</x:f>
        <x:v>-20.32</x:v>
      </x:c>
      <x:c r="AF49" s="65" t="n">
        <x:f>AE49/Q49</x:f>
        <x:v>-0.006727616933729663</x:v>
      </x:c>
      <x:c r="AG49" s="64" t="n">
        <x:f>-ROUND(Q49*'Drivers'!P49,3)</x:f>
        <x:v>-4.17</x:v>
      </x:c>
      <x:c r="AH49" s="64" t="n">
        <x:f>-ROUND(Q49*'Drivers'!Q49,3)</x:f>
        <x:v>-13.323</x:v>
      </x:c>
      <x:c r="AI49" s="64" t="n">
        <x:f>SUM(R49,T49,AC49,AE49,AG49,AH49)</x:f>
        <x:v>-737.752</x:v>
      </x:c>
      <x:c r="AJ49" s="65" t="n">
        <x:f>AI49/Q49</x:f>
        <x:v>-0.2442575220518172</x:v>
      </x:c>
      <x:c r="AK49" s="64" t="n">
        <x:f>Q49+AI49</x:f>
        <x:v>2282.634</x:v>
      </x:c>
      <x:c r="AL49" s="65" t="n">
        <x:f>AK49/Q49</x:f>
        <x:v>0.7557424779481828</x:v>
      </x:c>
      <x:c r="AM49" s="64" t="n">
        <x:f>AK49/L49</x:f>
        <x:v>456.5268</x:v>
      </x:c>
      <x:c r="AN49" s="66" t="str">
        <x:f>IF(AM49&lt;=200,"≤200K",IF(AM49&lt;=350,"200–350K",IF(AM49&lt;=500,"350–500K",IF(AM49&lt;=700,"500–700K","&gt;700K"))))</x:f>
        <x:v>350–500K</x:v>
      </x:c>
      <x:c r="AO49" s="64" t="n">
        <x:f>-ROUND(Q49*'Drivers'!R49,3)</x:f>
        <x:v>-1171.181</x:v>
      </x:c>
      <x:c r="AP49" s="64" t="n">
        <x:f>-ROUND(AK49*'Drivers'!S49,3)</x:f>
        <x:v>-26.502</x:v>
      </x:c>
      <x:c r="AQ49" s="64" t="n">
        <x:f>-ROUND(AK49*'Drivers'!T49,3)</x:f>
        <x:v>-8.169</x:v>
      </x:c>
      <x:c r="AR49" s="64" t="n">
        <x:f>-ROUND(AK49*'Drivers'!U49,3)</x:f>
        <x:v>-29.593</x:v>
      </x:c>
      <x:c r="AS49" s="64" t="n">
        <x:f>-ROUND(AK49*'Drivers'!V49,3)</x:f>
        <x:v>-76.52</x:v>
      </x:c>
      <x:c r="AT49" s="64" t="n">
        <x:f>SUM(AO49:AS49)</x:f>
        <x:v>-1311.9650000000001</x:v>
      </x:c>
      <x:c r="AU49" s="65" t="n">
        <x:f>AT49/AK49</x:f>
        <x:v>-0.574759247430819</x:v>
      </x:c>
      <x:c r="AV49" s="64" t="n">
        <x:f>AK49+AT49</x:f>
        <x:v>970.6689999999999</x:v>
      </x:c>
      <x:c r="AW49" s="65" t="n">
        <x:f>AV49/AK49</x:f>
        <x:v>0.425240752569181</x:v>
      </x:c>
      <x:c r="AX49" s="64" t="n">
        <x:f>-ROUND(AK49*'Drivers'!W49,3)</x:f>
        <x:v>-27.23</x:v>
      </x:c>
      <x:c r="AY49" s="64" t="n">
        <x:f>-ROUND(AK49*'Drivers'!X49,3)</x:f>
        <x:v>-52.922</x:v>
      </x:c>
      <x:c r="AZ49" s="64" t="n">
        <x:f>-ROUND(AK49*'Drivers'!Y49,3)</x:f>
        <x:v>-36.178</x:v>
      </x:c>
      <x:c r="BA49" s="64" t="n">
        <x:f>-ROUND(AK49*'Drivers'!Z49,3)</x:f>
        <x:v>-18.319</x:v>
      </x:c>
      <x:c r="BB49" s="64" t="n">
        <x:f>-ROUND(AK49*'Drivers'!AA49,3)</x:f>
        <x:v>-16.271</x:v>
      </x:c>
      <x:c r="BC49" s="64" t="n">
        <x:f>SUM(BA49,BB49)</x:f>
        <x:v>-34.59</x:v>
      </x:c>
      <x:c r="BD49" s="64" t="n">
        <x:f>-ROUND(AK49*'Drivers'!AB49,3)</x:f>
        <x:v>-8.707</x:v>
      </x:c>
      <x:c r="BE49" s="64" t="n">
        <x:f>SUM(AX49:BB49,BD49)</x:f>
        <x:v>-159.627</x:v>
      </x:c>
      <x:c r="BF49" s="67" t="n">
        <x:f>'Drivers'!AF49</x:f>
        <x:v>10</x:v>
      </x:c>
      <x:c r="BG49" s="64" t="n">
        <x:f>BJ49</x:f>
        <x:v>-69.447</x:v>
      </x:c>
      <x:c r="BH49" s="64" t="n">
        <x:f>BE49/BF49</x:f>
        <x:v>-15.962700000000002</x:v>
      </x:c>
      <x:c r="BI49" s="68" t="n">
        <x:f>BF49/L49</x:f>
        <x:v>2</x:v>
      </x:c>
      <x:c r="BJ49" s="64" t="n">
        <x:f>-ROUND(AK49*'Drivers'!AC49,3)</x:f>
        <x:v>-69.447</x:v>
      </x:c>
      <x:c r="BK49" s="64" t="n">
        <x:f>-ROUND(AK49*'Drivers'!AD49,3)</x:f>
        <x:v>-187.044</x:v>
      </x:c>
      <x:c r="BL49" s="64" t="n">
        <x:f>SUM(AV49,BE49,BJ49,BK49)</x:f>
        <x:v>554.5509999999999</x:v>
      </x:c>
      <x:c r="BM49" s="65" t="n">
        <x:f>BL49/AK49</x:f>
        <x:v>0.2429434591791763</x:v>
      </x:c>
      <x:c r="BN49" s="64" t="n">
        <x:f>-ROUND(AK49*'Drivers'!AE49,3)</x:f>
        <x:v>-198.56</x:v>
      </x:c>
      <x:c r="BO49" s="64" t="n">
        <x:f>BL49+BN49</x:f>
        <x:v>355.99099999999993</x:v>
      </x:c>
      <x:c r="BP49" s="65" t="n">
        <x:f>BO49/AK49</x:f>
        <x:v>0.15595623301852155</x:v>
      </x:c>
    </x:row>
    <x:row r="50">
      <x:c r="A50" s="61" t="n">
        <x:v>2025</x:v>
      </x:c>
      <x:c r="B50" s="18" t="str">
        <x:v>S1</x:v>
      </x:c>
      <x:c r="C50" s="18" t="str">
        <x:v>2025 S1</x:v>
      </x:c>
      <x:c r="D50" s="18" t="str">
        <x:v>CNCT0013</x:v>
      </x:c>
      <x:c r="E50" s="18" t="str">
        <x:v>上海恒隆广场</x:v>
      </x:c>
      <x:c r="F50" s="18" t="str">
        <x:v>上海</x:v>
      </x:c>
      <x:c r="G50" s="18" t="str">
        <x:v>上海市</x:v>
      </x:c>
      <x:c r="H50" s="18" t="str">
        <x:v>东区</x:v>
      </x:c>
      <x:c r="I50" s="18" t="str">
        <x:v>Shopping Mall</x:v>
      </x:c>
      <x:c r="J50" s="18" t="str">
        <x:v>Prestige Shopping Center</x:v>
      </x:c>
      <x:c r="K50" s="18" t="str">
        <x:v>正常</x:v>
      </x:c>
      <x:c r="L50" s="62" t="n">
        <x:v>7</x:v>
      </x:c>
      <x:c r="M50" s="62" t="n">
        <x:v>61</x:v>
      </x:c>
      <x:c r="N50" s="63" t="n">
        <x:f>'Drivers'!C50</x:f>
        <x:v>3705</x:v>
      </x:c>
      <x:c r="O50" s="63" t="n">
        <x:f>'Drivers'!D50</x:f>
        <x:v>1214.332</x:v>
      </x:c>
      <x:c r="P50" s="64" t="n">
        <x:f>ROUND(N50*O50/1000,3)</x:f>
        <x:v>4499.1</x:v>
      </x:c>
      <x:c r="Q50" s="64" t="n">
        <x:f>ROUND(P50*'Drivers'!E50,3)</x:f>
        <x:v>4411.898</x:v>
      </x:c>
      <x:c r="R50" s="64" t="n">
        <x:f>-ROUND(Q50*'Drivers'!F50,3)</x:f>
        <x:v>-801.972</x:v>
      </x:c>
      <x:c r="S50" s="65" t="n">
        <x:f>R50/Q50</x:f>
        <x:v>-0.18177482797653072</x:v>
      </x:c>
      <x:c r="T50" s="64" t="n">
        <x:f>-ROUND(Q50*'Drivers'!G50,3)</x:f>
        <x:v>-50.649</x:v>
      </x:c>
      <x:c r="U50" s="65" t="n">
        <x:f>T50/Q50</x:f>
        <x:v>-0.011480093148119017</x:v>
      </x:c>
      <x:c r="V50" s="64" t="n">
        <x:f>-ROUND(Q50*'Drivers'!H50,3)</x:f>
        <x:v>-33.54</x:v>
      </x:c>
      <x:c r="W50" s="64" t="n">
        <x:f>-ROUND(Q50*'Drivers'!I50,3)</x:f>
        <x:v>-30.48</x:v>
      </x:c>
      <x:c r="X50" s="64" t="n">
        <x:f>-ROUND(Q50*'Drivers'!J50,3)</x:f>
        <x:v>-76.216</x:v>
      </x:c>
      <x:c r="Y50" s="64" t="n">
        <x:f>-ROUND(Q50*'Drivers'!K50,3)</x:f>
        <x:v>-48.271</x:v>
      </x:c>
      <x:c r="Z50" s="64" t="n">
        <x:f>-ROUND(Q50*'Drivers'!L50,3)</x:f>
        <x:v>-48.11</x:v>
      </x:c>
      <x:c r="AA50" s="64" t="n">
        <x:f>-ROUND(Q50*'Drivers'!M50,3)</x:f>
        <x:v>-35.749</x:v>
      </x:c>
      <x:c r="AB50" s="64" t="n">
        <x:f>-ROUND(Q50*'Drivers'!N50,3)</x:f>
        <x:v>-26.11</x:v>
      </x:c>
      <x:c r="AC50" s="64" t="n">
        <x:f>SUM(V50:AB50)</x:f>
        <x:v>-298.47600000000006</x:v>
      </x:c>
      <x:c r="AD50" s="65" t="n">
        <x:f>AC50/Q50</x:f>
        <x:v>-0.0676525159919835</x:v>
      </x:c>
      <x:c r="AE50" s="64" t="n">
        <x:f>-ROUND(Q50*'Drivers'!O50,3)</x:f>
        <x:v>-43.951</x:v>
      </x:c>
      <x:c r="AF50" s="65" t="n">
        <x:f>AE50/Q50</x:f>
        <x:v>-0.009961925683685343</x:v>
      </x:c>
      <x:c r="AG50" s="64" t="n">
        <x:f>-ROUND(Q50*'Drivers'!P50,3)</x:f>
        <x:v>-0.516</x:v>
      </x:c>
      <x:c r="AH50" s="64" t="n">
        <x:f>-ROUND(Q50*'Drivers'!Q50,3)</x:f>
        <x:v>-30.198</x:v>
      </x:c>
      <x:c r="AI50" s="64" t="n">
        <x:f>SUM(R50,T50,AC50,AE50,AG50,AH50)</x:f>
        <x:v>-1225.7620000000002</x:v>
      </x:c>
      <x:c r="AJ50" s="65" t="n">
        <x:f>AI50/Q50</x:f>
        <x:v>-0.27783099246628096</x:v>
      </x:c>
      <x:c r="AK50" s="64" t="n">
        <x:f>Q50+AI50</x:f>
        <x:v>3186.136</x:v>
      </x:c>
      <x:c r="AL50" s="65" t="n">
        <x:f>AK50/Q50</x:f>
        <x:v>0.722169007533719</x:v>
      </x:c>
      <x:c r="AM50" s="64" t="n">
        <x:f>AK50/L50</x:f>
        <x:v>455.1622857142857</x:v>
      </x:c>
      <x:c r="AN50" s="66" t="str">
        <x:f>IF(AM50&lt;=200,"≤200K",IF(AM50&lt;=350,"200–350K",IF(AM50&lt;=500,"350–500K",IF(AM50&lt;=700,"500–700K","&gt;700K"))))</x:f>
        <x:v>350–500K</x:v>
      </x:c>
      <x:c r="AO50" s="64" t="n">
        <x:f>-ROUND(Q50*'Drivers'!R50,3)</x:f>
        <x:v>-1626.619</x:v>
      </x:c>
      <x:c r="AP50" s="64" t="n">
        <x:f>-ROUND(AK50*'Drivers'!S50,3)</x:f>
        <x:v>-41.902</x:v>
      </x:c>
      <x:c r="AQ50" s="64" t="n">
        <x:f>-ROUND(AK50*'Drivers'!T50,3)</x:f>
        <x:v>-20.187</x:v>
      </x:c>
      <x:c r="AR50" s="64" t="n">
        <x:f>-ROUND(AK50*'Drivers'!U50,3)</x:f>
        <x:v>-30.997</x:v>
      </x:c>
      <x:c r="AS50" s="64" t="n">
        <x:f>-ROUND(AK50*'Drivers'!V50,3)</x:f>
        <x:v>-102.473</x:v>
      </x:c>
      <x:c r="AT50" s="64" t="n">
        <x:f>SUM(AO50:AS50)</x:f>
        <x:v>-1822.1779999999999</x:v>
      </x:c>
      <x:c r="AU50" s="65" t="n">
        <x:f>AT50/AK50</x:f>
        <x:v>-0.5719084182219466</x:v>
      </x:c>
      <x:c r="AV50" s="64" t="n">
        <x:f>AK50+AT50</x:f>
        <x:v>1363.958</x:v>
      </x:c>
      <x:c r="AW50" s="65" t="n">
        <x:f>AV50/AK50</x:f>
        <x:v>0.42809158177805345</x:v>
      </x:c>
      <x:c r="AX50" s="64" t="n">
        <x:f>-ROUND(AK50*'Drivers'!W50,3)</x:f>
        <x:v>-46.663</x:v>
      </x:c>
      <x:c r="AY50" s="64" t="n">
        <x:f>-ROUND(AK50*'Drivers'!X50,3)</x:f>
        <x:v>-76.597</x:v>
      </x:c>
      <x:c r="AZ50" s="64" t="n">
        <x:f>-ROUND(AK50*'Drivers'!Y50,3)</x:f>
        <x:v>-45.463</x:v>
      </x:c>
      <x:c r="BA50" s="64" t="n">
        <x:f>-ROUND(AK50*'Drivers'!Z50,3)</x:f>
        <x:v>-18.182</x:v>
      </x:c>
      <x:c r="BB50" s="64" t="n">
        <x:f>-ROUND(AK50*'Drivers'!AA50,3)</x:f>
        <x:v>-25.402</x:v>
      </x:c>
      <x:c r="BC50" s="64" t="n">
        <x:f>SUM(BA50,BB50)</x:f>
        <x:v>-43.584</x:v>
      </x:c>
      <x:c r="BD50" s="64" t="n">
        <x:f>-ROUND(AK50*'Drivers'!AB50,3)</x:f>
        <x:v>-15.166</x:v>
      </x:c>
      <x:c r="BE50" s="64" t="n">
        <x:f>SUM(AX50:BB50,BD50)</x:f>
        <x:v>-227.47299999999996</x:v>
      </x:c>
      <x:c r="BF50" s="67" t="n">
        <x:f>'Drivers'!AF50</x:f>
        <x:v>12</x:v>
      </x:c>
      <x:c r="BG50" s="64" t="n">
        <x:f>BJ50</x:f>
        <x:v>-64.061</x:v>
      </x:c>
      <x:c r="BH50" s="64" t="n">
        <x:f>BE50/BF50</x:f>
        <x:v>-18.95608333333333</x:v>
      </x:c>
      <x:c r="BI50" s="68" t="n">
        <x:f>BF50/L50</x:f>
        <x:v>1.7142857142857142</x:v>
      </x:c>
      <x:c r="BJ50" s="64" t="n">
        <x:f>-ROUND(AK50*'Drivers'!AC50,3)</x:f>
        <x:v>-64.061</x:v>
      </x:c>
      <x:c r="BK50" s="64" t="n">
        <x:f>-ROUND(AK50*'Drivers'!AD50,3)</x:f>
        <x:v>-365.76</x:v>
      </x:c>
      <x:c r="BL50" s="64" t="n">
        <x:f>SUM(AV50,BE50,BJ50,BK50)</x:f>
        <x:v>706.6640000000002</x:v>
      </x:c>
      <x:c r="BM50" s="65" t="n">
        <x:f>BL50/AK50</x:f>
        <x:v>0.2217934199921159</x:v>
      </x:c>
      <x:c r="BN50" s="64" t="n">
        <x:f>-ROUND(AK50*'Drivers'!AE50,3)</x:f>
        <x:v>-283.304</x:v>
      </x:c>
      <x:c r="BO50" s="64" t="n">
        <x:f>BL50+BN50</x:f>
        <x:v>423.36000000000024</x:v>
      </x:c>
      <x:c r="BP50" s="65" t="n">
        <x:f>BO50/AK50</x:f>
        <x:v>0.13287568390049898</x:v>
      </x:c>
    </x:row>
    <x:row r="51">
      <x:c r="A51" s="61" t="n">
        <x:v>2025</x:v>
      </x:c>
      <x:c r="B51" s="18" t="str">
        <x:v>S2</x:v>
      </x:c>
      <x:c r="C51" s="18" t="str">
        <x:v>2025 S2</x:v>
      </x:c>
      <x:c r="D51" s="18" t="str">
        <x:v>CNCT0013</x:v>
      </x:c>
      <x:c r="E51" s="18" t="str">
        <x:v>上海恒隆广场</x:v>
      </x:c>
      <x:c r="F51" s="18" t="str">
        <x:v>上海</x:v>
      </x:c>
      <x:c r="G51" s="18" t="str">
        <x:v>上海市</x:v>
      </x:c>
      <x:c r="H51" s="18" t="str">
        <x:v>东区</x:v>
      </x:c>
      <x:c r="I51" s="18" t="str">
        <x:v>Shopping Mall</x:v>
      </x:c>
      <x:c r="J51" s="18" t="str">
        <x:v>Prestige Shopping Center</x:v>
      </x:c>
      <x:c r="K51" s="18" t="str">
        <x:v>正常</x:v>
      </x:c>
      <x:c r="L51" s="62" t="n">
        <x:v>7</x:v>
      </x:c>
      <x:c r="M51" s="62" t="n">
        <x:v>61</x:v>
      </x:c>
      <x:c r="N51" s="63" t="n">
        <x:f>'Drivers'!C51</x:f>
        <x:v>4045</x:v>
      </x:c>
      <x:c r="O51" s="63" t="n">
        <x:f>'Drivers'!D51</x:f>
        <x:v>1228.904</x:v>
      </x:c>
      <x:c r="P51" s="64" t="n">
        <x:f>ROUND(N51*O51/1000,3)</x:f>
        <x:v>4970.917</x:v>
      </x:c>
      <x:c r="Q51" s="64" t="n">
        <x:f>ROUND(P51*'Drivers'!E51,3)</x:f>
        <x:v>4851.119</x:v>
      </x:c>
      <x:c r="R51" s="64" t="n">
        <x:f>-ROUND(Q51*'Drivers'!F51,3)</x:f>
        <x:v>-881.811</x:v>
      </x:c>
      <x:c r="S51" s="65" t="n">
        <x:f>R51/Q51</x:f>
        <x:v>-0.18177476165808346</x:v>
      </x:c>
      <x:c r="T51" s="64" t="n">
        <x:f>-ROUND(Q51*'Drivers'!G51,3)</x:f>
        <x:v>-55.691</x:v>
      </x:c>
      <x:c r="U51" s="65" t="n">
        <x:f>T51/Q51</x:f>
        <x:v>-0.011480031720516443</x:v>
      </x:c>
      <x:c r="V51" s="64" t="n">
        <x:f>-ROUND(Q51*'Drivers'!H51,3)</x:f>
        <x:v>-36.879</x:v>
      </x:c>
      <x:c r="W51" s="64" t="n">
        <x:f>-ROUND(Q51*'Drivers'!I51,3)</x:f>
        <x:v>-33.514</x:v>
      </x:c>
      <x:c r="X51" s="64" t="n">
        <x:f>-ROUND(Q51*'Drivers'!J51,3)</x:f>
        <x:v>-83.803</x:v>
      </x:c>
      <x:c r="Y51" s="64" t="n">
        <x:f>-ROUND(Q51*'Drivers'!K51,3)</x:f>
        <x:v>-53.076</x:v>
      </x:c>
      <x:c r="Z51" s="64" t="n">
        <x:f>-ROUND(Q51*'Drivers'!L51,3)</x:f>
        <x:v>-52.899</x:v>
      </x:c>
      <x:c r="AA51" s="64" t="n">
        <x:f>-ROUND(Q51*'Drivers'!M51,3)</x:f>
        <x:v>-39.308</x:v>
      </x:c>
      <x:c r="AB51" s="64" t="n">
        <x:f>-ROUND(Q51*'Drivers'!N51,3)</x:f>
        <x:v>-28.709</x:v>
      </x:c>
      <x:c r="AC51" s="64" t="n">
        <x:f>SUM(V51:AB51)</x:f>
        <x:v>-328.188</x:v>
      </x:c>
      <x:c r="AD51" s="65" t="n">
        <x:f>AC51/Q51</x:f>
        <x:v>-0.0676520200803155</x:v>
      </x:c>
      <x:c r="AE51" s="64" t="n">
        <x:f>-ROUND(Q51*'Drivers'!O51,3)</x:f>
        <x:v>-48.326</x:v>
      </x:c>
      <x:c r="AF51" s="65" t="n">
        <x:f>AE51/Q51</x:f>
        <x:v>-0.00996182530257452</x:v>
      </x:c>
      <x:c r="AG51" s="64" t="n">
        <x:f>-ROUND(Q51*'Drivers'!P51,3)</x:f>
        <x:v>-0.567</x:v>
      </x:c>
      <x:c r="AH51" s="64" t="n">
        <x:f>-ROUND(Q51*'Drivers'!Q51,3)</x:f>
        <x:v>-33.204</x:v>
      </x:c>
      <x:c r="AI51" s="64" t="n">
        <x:f>SUM(R51,T51,AC51,AE51,AG51,AH51)</x:f>
        <x:v>-1347.787</x:v>
      </x:c>
      <x:c r="AJ51" s="65" t="n">
        <x:f>AI51/Q51</x:f>
        <x:v>-0.2778301253793197</x:v>
      </x:c>
      <x:c r="AK51" s="64" t="n">
        <x:f>Q51+AI51</x:f>
        <x:v>3503.3319999999994</x:v>
      </x:c>
      <x:c r="AL51" s="65" t="n">
        <x:f>AK51/Q51</x:f>
        <x:v>0.7221698746206803</x:v>
      </x:c>
      <x:c r="AM51" s="64" t="n">
        <x:f>AK51/L51</x:f>
        <x:v>500.47599999999994</x:v>
      </x:c>
      <x:c r="AN51" s="66" t="str">
        <x:f>IF(AM51&lt;=200,"≤200K",IF(AM51&lt;=350,"200–350K",IF(AM51&lt;=500,"350–500K",IF(AM51&lt;=700,"500–700K","&gt;700K"))))</x:f>
        <x:v>500–700K</x:v>
      </x:c>
      <x:c r="AO51" s="64" t="n">
        <x:f>-ROUND(Q51*'Drivers'!R51,3)</x:f>
        <x:v>-1725.058</x:v>
      </x:c>
      <x:c r="AP51" s="64" t="n">
        <x:f>-ROUND(AK51*'Drivers'!S51,3)</x:f>
        <x:v>-46.074</x:v>
      </x:c>
      <x:c r="AQ51" s="64" t="n">
        <x:f>-ROUND(AK51*'Drivers'!T51,3)</x:f>
        <x:v>-22.197</x:v>
      </x:c>
      <x:c r="AR51" s="64" t="n">
        <x:f>-ROUND(AK51*'Drivers'!U51,3)</x:f>
        <x:v>-34.083</x:v>
      </x:c>
      <x:c r="AS51" s="64" t="n">
        <x:f>-ROUND(AK51*'Drivers'!V51,3)</x:f>
        <x:v>-112.675</x:v>
      </x:c>
      <x:c r="AT51" s="64" t="n">
        <x:f>SUM(AO51:AS51)</x:f>
        <x:v>-1940.087</x:v>
      </x:c>
      <x:c r="AU51" s="65" t="n">
        <x:f>AT51/AK51</x:f>
        <x:v>-0.5537833696606546</x:v>
      </x:c>
      <x:c r="AV51" s="64" t="n">
        <x:f>AK51+AT51</x:f>
        <x:v>1563.2449999999994</x:v>
      </x:c>
      <x:c r="AW51" s="65" t="n">
        <x:f>AV51/AK51</x:f>
        <x:v>0.44621663033934544</x:v>
      </x:c>
      <x:c r="AX51" s="64" t="n">
        <x:f>-ROUND(AK51*'Drivers'!W51,3)</x:f>
        <x:v>-51.308</x:v>
      </x:c>
      <x:c r="AY51" s="64" t="n">
        <x:f>-ROUND(AK51*'Drivers'!X51,3)</x:f>
        <x:v>-84.223</x:v>
      </x:c>
      <x:c r="AZ51" s="64" t="n">
        <x:f>-ROUND(AK51*'Drivers'!Y51,3)</x:f>
        <x:v>-49.989</x:v>
      </x:c>
      <x:c r="BA51" s="64" t="n">
        <x:f>-ROUND(AK51*'Drivers'!Z51,3)</x:f>
        <x:v>-19.992</x:v>
      </x:c>
      <x:c r="BB51" s="64" t="n">
        <x:f>-ROUND(AK51*'Drivers'!AA51,3)</x:f>
        <x:v>-27.931</x:v>
      </x:c>
      <x:c r="BC51" s="64" t="n">
        <x:f>SUM(BA51,BB51)</x:f>
        <x:v>-47.923</x:v>
      </x:c>
      <x:c r="BD51" s="64" t="n">
        <x:f>-ROUND(AK51*'Drivers'!AB51,3)</x:f>
        <x:v>-16.676</x:v>
      </x:c>
      <x:c r="BE51" s="64" t="n">
        <x:f>SUM(AX51:BB51,BD51)</x:f>
        <x:v>-250.119</x:v>
      </x:c>
      <x:c r="BF51" s="67" t="n">
        <x:f>'Drivers'!AF51</x:f>
        <x:v>12</x:v>
      </x:c>
      <x:c r="BG51" s="64" t="n">
        <x:f>BJ51</x:f>
        <x:v>-70.438</x:v>
      </x:c>
      <x:c r="BH51" s="64" t="n">
        <x:f>BE51/BF51</x:f>
        <x:v>-20.84325</x:v>
      </x:c>
      <x:c r="BI51" s="68" t="n">
        <x:f>BF51/L51</x:f>
        <x:v>1.7142857142857142</x:v>
      </x:c>
      <x:c r="BJ51" s="64" t="n">
        <x:f>-ROUND(AK51*'Drivers'!AC51,3)</x:f>
        <x:v>-70.438</x:v>
      </x:c>
      <x:c r="BK51" s="64" t="n">
        <x:f>-ROUND(AK51*'Drivers'!AD51,3)</x:f>
        <x:v>-402.174</x:v>
      </x:c>
      <x:c r="BL51" s="64" t="n">
        <x:f>SUM(AV51,BE51,BJ51,BK51)</x:f>
        <x:v>840.5139999999994</x:v>
      </x:c>
      <x:c r="BM51" s="65" t="n">
        <x:f>BL51/AK51</x:f>
        <x:v>0.23991845477391227</x:v>
      </x:c>
      <x:c r="BN51" s="64" t="n">
        <x:f>-ROUND(AK51*'Drivers'!AE51,3)</x:f>
        <x:v>-311.508</x:v>
      </x:c>
      <x:c r="BO51" s="64" t="n">
        <x:f>BL51+BN51</x:f>
        <x:v>529.0059999999994</x:v>
      </x:c>
      <x:c r="BP51" s="65" t="n">
        <x:f>BO51/AK51</x:f>
        <x:v>0.15100081864921722</x:v>
      </x:c>
    </x:row>
    <x:row r="52">
      <x:c r="A52" s="61" t="n">
        <x:v>2026</x:v>
      </x:c>
      <x:c r="B52" s="18" t="str">
        <x:v>S1</x:v>
      </x:c>
      <x:c r="C52" s="18" t="str">
        <x:v>2026 S1</x:v>
      </x:c>
      <x:c r="D52" s="18" t="str">
        <x:v>CNCT0013</x:v>
      </x:c>
      <x:c r="E52" s="18" t="str">
        <x:v>上海恒隆广场</x:v>
      </x:c>
      <x:c r="F52" s="18" t="str">
        <x:v>上海</x:v>
      </x:c>
      <x:c r="G52" s="18" t="str">
        <x:v>上海市</x:v>
      </x:c>
      <x:c r="H52" s="18" t="str">
        <x:v>东区</x:v>
      </x:c>
      <x:c r="I52" s="18" t="str">
        <x:v>Shopping Mall</x:v>
      </x:c>
      <x:c r="J52" s="18" t="str">
        <x:v>Prestige Shopping Center</x:v>
      </x:c>
      <x:c r="K52" s="18" t="str">
        <x:v>正常</x:v>
      </x:c>
      <x:c r="L52" s="62" t="n">
        <x:v>7</x:v>
      </x:c>
      <x:c r="M52" s="62" t="n">
        <x:v>61</x:v>
      </x:c>
      <x:c r="N52" s="63" t="n">
        <x:f>'Drivers'!C52</x:f>
        <x:v>3985</x:v>
      </x:c>
      <x:c r="O52" s="63" t="n">
        <x:f>'Drivers'!D52</x:f>
        <x:v>1278.67</x:v>
      </x:c>
      <x:c r="P52" s="64" t="n">
        <x:f>ROUND(N52*O52/1000,3)</x:f>
        <x:v>5095.5</x:v>
      </x:c>
      <x:c r="Q52" s="64" t="n">
        <x:f>ROUND(P52*'Drivers'!E52,3)</x:f>
        <x:v>5016.006</x:v>
      </x:c>
      <x:c r="R52" s="64" t="n">
        <x:f>-ROUND(Q52*'Drivers'!F52,3)</x:f>
        <x:v>-1141.864</x:v>
      </x:c>
      <x:c r="S52" s="65" t="n">
        <x:f>R52/Q52</x:f>
        <x:v>-0.22764406581650817</x:v>
      </x:c>
      <x:c r="T52" s="64" t="n">
        <x:f>-ROUND(Q52*'Drivers'!G52,3)</x:f>
        <x:v>-57.19</x:v>
      </x:c>
      <x:c r="U52" s="65" t="n">
        <x:f>T52/Q52</x:f>
        <x:v>-0.011401501513355445</x:v>
      </x:c>
      <x:c r="V52" s="64" t="n">
        <x:f>-ROUND(Q52*'Drivers'!H52,3)</x:f>
        <x:v>-38.132</x:v>
      </x:c>
      <x:c r="W52" s="64" t="n">
        <x:f>-ROUND(Q52*'Drivers'!I52,3)</x:f>
        <x:v>-34.653</x:v>
      </x:c>
      <x:c r="X52" s="64" t="n">
        <x:f>-ROUND(Q52*'Drivers'!J52,3)</x:f>
        <x:v>-86.652</x:v>
      </x:c>
      <x:c r="Y52" s="64" t="n">
        <x:f>-ROUND(Q52*'Drivers'!K52,3)</x:f>
        <x:v>-54.88</x:v>
      </x:c>
      <x:c r="Z52" s="64" t="n">
        <x:f>-ROUND(Q52*'Drivers'!L52,3)</x:f>
        <x:v>-54.697</x:v>
      </x:c>
      <x:c r="AA52" s="64" t="n">
        <x:f>-ROUND(Q52*'Drivers'!M52,3)</x:f>
        <x:v>-40.644</x:v>
      </x:c>
      <x:c r="AB52" s="64" t="n">
        <x:f>-ROUND(Q52*'Drivers'!N52,3)</x:f>
        <x:v>-29.685</x:v>
      </x:c>
      <x:c r="AC52" s="64" t="n">
        <x:f>SUM(V52:AB52)</x:f>
        <x:v>-339.343</x:v>
      </x:c>
      <x:c r="AD52" s="65" t="n">
        <x:f>AC52/Q52</x:f>
        <x:v>-0.06765203231415592</x:v>
      </x:c>
      <x:c r="AE52" s="64" t="n">
        <x:f>-ROUND(Q52*'Drivers'!O52,3)</x:f>
        <x:v>-42.289</x:v>
      </x:c>
      <x:c r="AF52" s="65" t="n">
        <x:f>AE52/Q52</x:f>
        <x:v>-0.00843081128690835</x:v>
      </x:c>
      <x:c r="AG52" s="64" t="n">
        <x:f>-ROUND(Q52*'Drivers'!P52,3)</x:f>
        <x:v>-0.587</x:v>
      </x:c>
      <x:c r="AH52" s="64" t="n">
        <x:f>-ROUND(Q52*'Drivers'!Q52,3)</x:f>
        <x:v>-34.333</x:v>
      </x:c>
      <x:c r="AI52" s="64" t="n">
        <x:f>SUM(R52,T52,AC52,AE52,AG52,AH52)</x:f>
        <x:v>-1615.6060000000002</x:v>
      </x:c>
      <x:c r="AJ52" s="65" t="n">
        <x:f>AI52/Q52</x:f>
        <x:v>-0.32209012509155693</x:v>
      </x:c>
      <x:c r="AK52" s="64" t="n">
        <x:f>Q52+AI52</x:f>
        <x:v>3400.4</x:v>
      </x:c>
      <x:c r="AL52" s="65" t="n">
        <x:f>AK52/Q52</x:f>
        <x:v>0.6779098749084431</x:v>
      </x:c>
      <x:c r="AM52" s="64" t="n">
        <x:f>AK52/L52</x:f>
        <x:v>485.7714285714286</x:v>
      </x:c>
      <x:c r="AN52" s="66" t="str">
        <x:f>IF(AM52&lt;=200,"≤200K",IF(AM52&lt;=350,"200–350K",IF(AM52&lt;=500,"350–500K",IF(AM52&lt;=700,"500–700K","&gt;700K"))))</x:f>
        <x:v>350–500K</x:v>
      </x:c>
      <x:c r="AO52" s="64" t="n">
        <x:f>-ROUND(Q52*'Drivers'!R52,3)</x:f>
        <x:v>-1835.227</x:v>
      </x:c>
      <x:c r="AP52" s="64" t="n">
        <x:f>-ROUND(AK52*'Drivers'!S52,3)</x:f>
        <x:v>-44.72</x:v>
      </x:c>
      <x:c r="AQ52" s="64" t="n">
        <x:f>-ROUND(AK52*'Drivers'!T52,3)</x:f>
        <x:v>-21.545</x:v>
      </x:c>
      <x:c r="AR52" s="64" t="n">
        <x:f>-ROUND(AK52*'Drivers'!U52,3)</x:f>
        <x:v>-33.081</x:v>
      </x:c>
      <x:c r="AS52" s="64" t="n">
        <x:f>-ROUND(AK52*'Drivers'!V52,3)</x:f>
        <x:v>-109.364</x:v>
      </x:c>
      <x:c r="AT52" s="64" t="n">
        <x:f>SUM(AO52:AS52)</x:f>
        <x:v>-2043.9370000000001</x:v>
      </x:c>
      <x:c r="AU52" s="65" t="n">
        <x:f>AT52/AK52</x:f>
        <x:v>-0.6010872250323491</x:v>
      </x:c>
      <x:c r="AV52" s="64" t="n">
        <x:f>AK52+AT52</x:f>
        <x:v>1356.463</x:v>
      </x:c>
      <x:c r="AW52" s="65" t="n">
        <x:f>AV52/AK52</x:f>
        <x:v>0.3989127749676508</x:v>
      </x:c>
      <x:c r="AX52" s="64" t="n">
        <x:f>-ROUND(AK52*'Drivers'!W52,3)</x:f>
        <x:v>-61.277</x:v>
      </x:c>
      <x:c r="AY52" s="64" t="n">
        <x:f>-ROUND(AK52*'Drivers'!X52,3)</x:f>
        <x:v>-100.587</x:v>
      </x:c>
      <x:c r="AZ52" s="64" t="n">
        <x:f>-ROUND(AK52*'Drivers'!Y52,3)</x:f>
        <x:v>-59.702</x:v>
      </x:c>
      <x:c r="BA52" s="64" t="n">
        <x:f>-ROUND(AK52*'Drivers'!Z52,3)</x:f>
        <x:v>-23.877</x:v>
      </x:c>
      <x:c r="BB52" s="64" t="n">
        <x:f>-ROUND(AK52*'Drivers'!AA52,3)</x:f>
        <x:v>-33.358</x:v>
      </x:c>
      <x:c r="BC52" s="64" t="n">
        <x:f>SUM(BA52,BB52)</x:f>
        <x:v>-57.235</x:v>
      </x:c>
      <x:c r="BD52" s="64" t="n">
        <x:f>-ROUND(AK52*'Drivers'!AB52,3)</x:f>
        <x:v>-19.916</x:v>
      </x:c>
      <x:c r="BE52" s="64" t="n">
        <x:f>SUM(AX52:BB52,BD52)</x:f>
        <x:v>-298.717</x:v>
      </x:c>
      <x:c r="BF52" s="67" t="n">
        <x:f>'Drivers'!AF52</x:f>
        <x:v>12</x:v>
      </x:c>
      <x:c r="BG52" s="64" t="n">
        <x:f>BJ52</x:f>
        <x:v>-84.124</x:v>
      </x:c>
      <x:c r="BH52" s="64" t="n">
        <x:f>BE52/BF52</x:f>
        <x:v>-24.893083333333333</x:v>
      </x:c>
      <x:c r="BI52" s="68" t="n">
        <x:f>BF52/L52</x:f>
        <x:v>1.7142857142857142</x:v>
      </x:c>
      <x:c r="BJ52" s="64" t="n">
        <x:f>-ROUND(AK52*'Drivers'!AC52,3)</x:f>
        <x:v>-84.124</x:v>
      </x:c>
      <x:c r="BK52" s="64" t="n">
        <x:f>-ROUND(AK52*'Drivers'!AD52,3)</x:f>
        <x:v>-390.357</x:v>
      </x:c>
      <x:c r="BL52" s="64" t="n">
        <x:f>SUM(AV52,BE52,BJ52,BK52)</x:f>
        <x:v>583.2650000000001</x:v>
      </x:c>
      <x:c r="BM52" s="65" t="n">
        <x:f>BL52/AK52</x:f>
        <x:v>0.17152834960592875</x:v>
      </x:c>
      <x:c r="BN52" s="64" t="n">
        <x:f>-ROUND(AK52*'Drivers'!AE52,3)</x:f>
        <x:v>-302.356</x:v>
      </x:c>
      <x:c r="BO52" s="64" t="n">
        <x:f>BL52+BN52</x:f>
        <x:v>280.9090000000001</x:v>
      </x:c>
      <x:c r="BP52" s="65" t="n">
        <x:f>BO52/AK52</x:f>
        <x:v>0.08261057522644398</x:v>
      </x:c>
    </x:row>
    <x:row r="53">
      <x:c r="A53" s="61" t="n">
        <x:v>2026</x:v>
      </x:c>
      <x:c r="B53" s="18" t="str">
        <x:v>S2</x:v>
      </x:c>
      <x:c r="C53" s="18" t="str">
        <x:v>2026 S2</x:v>
      </x:c>
      <x:c r="D53" s="18" t="str">
        <x:v>CNCT0013</x:v>
      </x:c>
      <x:c r="E53" s="18" t="str">
        <x:v>上海恒隆广场</x:v>
      </x:c>
      <x:c r="F53" s="18" t="str">
        <x:v>上海</x:v>
      </x:c>
      <x:c r="G53" s="18" t="str">
        <x:v>上海市</x:v>
      </x:c>
      <x:c r="H53" s="18" t="str">
        <x:v>东区</x:v>
      </x:c>
      <x:c r="I53" s="18" t="str">
        <x:v>Shopping Mall</x:v>
      </x:c>
      <x:c r="J53" s="18" t="str">
        <x:v>Prestige Shopping Center</x:v>
      </x:c>
      <x:c r="K53" s="18" t="str">
        <x:v>正常</x:v>
      </x:c>
      <x:c r="L53" s="62" t="n">
        <x:v>7</x:v>
      </x:c>
      <x:c r="M53" s="62" t="n">
        <x:v>60</x:v>
      </x:c>
      <x:c r="N53" s="63" t="n">
        <x:f>'Drivers'!C53</x:f>
        <x:v>4403</x:v>
      </x:c>
      <x:c r="O53" s="63" t="n">
        <x:f>'Drivers'!D53</x:f>
        <x:v>1260.551</x:v>
      </x:c>
      <x:c r="P53" s="64" t="n">
        <x:f>ROUND(N53*O53/1000,3)</x:f>
        <x:v>5550.206</x:v>
      </x:c>
      <x:c r="Q53" s="64" t="n">
        <x:f>ROUND(P53*'Drivers'!E53,3)</x:f>
        <x:v>5416.447</x:v>
      </x:c>
      <x:c r="R53" s="64" t="n">
        <x:f>-ROUND(Q53*'Drivers'!F53,3)</x:f>
        <x:v>-1178.019</x:v>
      </x:c>
      <x:c r="S53" s="65" t="n">
        <x:f>R53/Q53</x:f>
        <x:v>-0.21748925079484763</x:v>
      </x:c>
      <x:c r="T53" s="64" t="n">
        <x:f>-ROUND(Q53*'Drivers'!G53,3)</x:f>
        <x:v>-67.034</x:v>
      </x:c>
      <x:c r="U53" s="65" t="n">
        <x:f>T53/Q53</x:f>
        <x:v>-0.012376009587096486</x:v>
      </x:c>
      <x:c r="V53" s="64" t="n">
        <x:f>-ROUND(Q53*'Drivers'!H53,3)</x:f>
        <x:v>-41.176</x:v>
      </x:c>
      <x:c r="W53" s="64" t="n">
        <x:f>-ROUND(Q53*'Drivers'!I53,3)</x:f>
        <x:v>-37.42</x:v>
      </x:c>
      <x:c r="X53" s="64" t="n">
        <x:f>-ROUND(Q53*'Drivers'!J53,3)</x:f>
        <x:v>-93.569</x:v>
      </x:c>
      <x:c r="Y53" s="64" t="n">
        <x:f>-ROUND(Q53*'Drivers'!K53,3)</x:f>
        <x:v>-59.261</x:v>
      </x:c>
      <x:c r="Z53" s="64" t="n">
        <x:f>-ROUND(Q53*'Drivers'!L53,3)</x:f>
        <x:v>-59.064</x:v>
      </x:c>
      <x:c r="AA53" s="64" t="n">
        <x:f>-ROUND(Q53*'Drivers'!M53,3)</x:f>
        <x:v>-43.889</x:v>
      </x:c>
      <x:c r="AB53" s="64" t="n">
        <x:f>-ROUND(Q53*'Drivers'!N53,3)</x:f>
        <x:v>-32.055</x:v>
      </x:c>
      <x:c r="AC53" s="64" t="n">
        <x:f>SUM(V53:AB53)</x:f>
        <x:v>-366.434</x:v>
      </x:c>
      <x:c r="AD53" s="65" t="n">
        <x:f>AC53/Q53</x:f>
        <x:v>-0.06765209739890375</x:v>
      </x:c>
      <x:c r="AE53" s="64" t="n">
        <x:f>-ROUND(Q53*'Drivers'!O53,3)</x:f>
        <x:v>-53.958</x:v>
      </x:c>
      <x:c r="AF53" s="65" t="n">
        <x:f>AE53/Q53</x:f>
        <x:v>-0.009961880915662979</x:v>
      </x:c>
      <x:c r="AG53" s="64" t="n">
        <x:f>-ROUND(Q53*'Drivers'!P53,3)</x:f>
        <x:v>-0.634</x:v>
      </x:c>
      <x:c r="AH53" s="64" t="n">
        <x:f>-ROUND(Q53*'Drivers'!Q53,3)</x:f>
        <x:v>-37.074</x:v>
      </x:c>
      <x:c r="AI53" s="64" t="n">
        <x:f>SUM(R53,T53,AC53,AE53,AG53,AH53)</x:f>
        <x:v>-1703.1530000000002</x:v>
      </x:c>
      <x:c r="AJ53" s="65" t="n">
        <x:f>AI53/Q53</x:f>
        <x:v>-0.31444099794570135</x:v>
      </x:c>
      <x:c r="AK53" s="64" t="n">
        <x:f>Q53+AI53</x:f>
        <x:v>3713.294</x:v>
      </x:c>
      <x:c r="AL53" s="65" t="n">
        <x:f>AK53/Q53</x:f>
        <x:v>0.6855590020542986</x:v>
      </x:c>
      <x:c r="AM53" s="64" t="n">
        <x:f>AK53/L53</x:f>
        <x:v>530.4705714285714</x:v>
      </x:c>
      <x:c r="AN53" s="66" t="str">
        <x:f>IF(AM53&lt;=200,"≤200K",IF(AM53&lt;=350,"200–350K",IF(AM53&lt;=500,"350–500K",IF(AM53&lt;=700,"500–700K","&gt;700K"))))</x:f>
        <x:v>500–700K</x:v>
      </x:c>
      <x:c r="AO53" s="64" t="n">
        <x:f>-ROUND(Q53*'Drivers'!R53,3)</x:f>
        <x:v>-1926.089</x:v>
      </x:c>
      <x:c r="AP53" s="64" t="n">
        <x:f>-ROUND(AK53*'Drivers'!S53,3)</x:f>
        <x:v>-48.835</x:v>
      </x:c>
      <x:c r="AQ53" s="64" t="n">
        <x:f>-ROUND(AK53*'Drivers'!T53,3)</x:f>
        <x:v>-23.528</x:v>
      </x:c>
      <x:c r="AR53" s="64" t="n">
        <x:f>-ROUND(AK53*'Drivers'!U53,3)</x:f>
        <x:v>-36.125</x:v>
      </x:c>
      <x:c r="AS53" s="64" t="n">
        <x:f>-ROUND(AK53*'Drivers'!V53,3)</x:f>
        <x:v>-119.428</x:v>
      </x:c>
      <x:c r="AT53" s="64" t="n">
        <x:f>SUM(AO53:AS53)</x:f>
        <x:v>-2154.005</x:v>
      </x:c>
      <x:c r="AU53" s="65" t="n">
        <x:f>AT53/AK53</x:f>
        <x:v>-0.5800793042511582</x:v>
      </x:c>
      <x:c r="AV53" s="64" t="n">
        <x:f>AK53+AT53</x:f>
        <x:v>1559.2889999999998</x:v>
      </x:c>
      <x:c r="AW53" s="65" t="n">
        <x:f>AV53/AK53</x:f>
        <x:v>0.41992069574884183</x:v>
      </x:c>
      <x:c r="AX53" s="64" t="n">
        <x:f>-ROUND(AK53*'Drivers'!W53,3)</x:f>
        <x:v>-57.646</x:v>
      </x:c>
      <x:c r="AY53" s="64" t="n">
        <x:f>-ROUND(AK53*'Drivers'!X53,3)</x:f>
        <x:v>-94.626</x:v>
      </x:c>
      <x:c r="AZ53" s="64" t="n">
        <x:f>-ROUND(AK53*'Drivers'!Y53,3)</x:f>
        <x:v>-56.164</x:v>
      </x:c>
      <x:c r="BA53" s="64" t="n">
        <x:f>-ROUND(AK53*'Drivers'!Z53,3)</x:f>
        <x:v>-22.462</x:v>
      </x:c>
      <x:c r="BB53" s="64" t="n">
        <x:f>-ROUND(AK53*'Drivers'!AA53,3)</x:f>
        <x:v>-31.382</x:v>
      </x:c>
      <x:c r="BC53" s="64" t="n">
        <x:f>SUM(BA53,BB53)</x:f>
        <x:v>-53.844</x:v>
      </x:c>
      <x:c r="BD53" s="64" t="n">
        <x:f>-ROUND(AK53*'Drivers'!AB53,3)</x:f>
        <x:v>-18.736</x:v>
      </x:c>
      <x:c r="BE53" s="64" t="n">
        <x:f>SUM(AX53:BB53,BD53)</x:f>
        <x:v>-281.01599999999996</x:v>
      </x:c>
      <x:c r="BF53" s="67" t="n">
        <x:f>'Drivers'!AF53</x:f>
        <x:v>12</x:v>
      </x:c>
      <x:c r="BG53" s="64" t="n">
        <x:f>BJ53</x:f>
        <x:v>-79.139</x:v>
      </x:c>
      <x:c r="BH53" s="64" t="n">
        <x:f>BE53/BF53</x:f>
        <x:v>-23.417999999999996</x:v>
      </x:c>
      <x:c r="BI53" s="68" t="n">
        <x:f>BF53/L53</x:f>
        <x:v>1.7142857142857142</x:v>
      </x:c>
      <x:c r="BJ53" s="64" t="n">
        <x:f>-ROUND(AK53*'Drivers'!AC53,3)</x:f>
        <x:v>-79.139</x:v>
      </x:c>
      <x:c r="BK53" s="64" t="n">
        <x:f>-ROUND(AK53*'Drivers'!AD53,3)</x:f>
        <x:v>-426.277</x:v>
      </x:c>
      <x:c r="BL53" s="64" t="n">
        <x:f>SUM(AV53,BE53,BJ53,BK53)</x:f>
        <x:v>772.8569999999997</x:v>
      </x:c>
      <x:c r="BM53" s="65" t="n">
        <x:f>BL53/AK53</x:f>
        <x:v>0.2081324559811315</x:v>
      </x:c>
      <x:c r="BN53" s="64" t="n">
        <x:f>-ROUND(AK53*'Drivers'!AE53,3)</x:f>
        <x:v>-330.178</x:v>
      </x:c>
      <x:c r="BO53" s="64" t="n">
        <x:f>BL53+BN53</x:f>
        <x:v>442.67899999999975</x:v>
      </x:c>
      <x:c r="BP53" s="65" t="n">
        <x:f>BO53/AK53</x:f>
        <x:v>0.11921463800065381</x:v>
      </x:c>
    </x:row>
    <x:row r="54">
      <x:c r="A54" s="61" t="n">
        <x:v>2025</x:v>
      </x:c>
      <x:c r="B54" s="18" t="str">
        <x:v>S1</x:v>
      </x:c>
      <x:c r="C54" s="18" t="str">
        <x:v>2025 S1</x:v>
      </x:c>
      <x:c r="D54" s="18" t="str">
        <x:v>CNCT0014</x:v>
      </x:c>
      <x:c r="E54" s="18" t="str">
        <x:v>上海港汇恒隆广场</x:v>
      </x:c>
      <x:c r="F54" s="18" t="str">
        <x:v>上海</x:v>
      </x:c>
      <x:c r="G54" s="18" t="str">
        <x:v>上海市</x:v>
      </x:c>
      <x:c r="H54" s="18" t="str">
        <x:v>东区</x:v>
      </x:c>
      <x:c r="I54" s="18" t="str">
        <x:v>Shopping Mall</x:v>
      </x:c>
      <x:c r="J54" s="18" t="str">
        <x:v>Prestige Shopping Center</x:v>
      </x:c>
      <x:c r="K54" s="18" t="str">
        <x:v>正常</x:v>
      </x:c>
      <x:c r="L54" s="62" t="n">
        <x:v>7</x:v>
      </x:c>
      <x:c r="M54" s="62" t="n">
        <x:v>61</x:v>
      </x:c>
      <x:c r="N54" s="63" t="n">
        <x:f>'Drivers'!C54</x:f>
        <x:v>4067</x:v>
      </x:c>
      <x:c r="O54" s="63" t="n">
        <x:f>'Drivers'!D54</x:f>
        <x:v>1179.458</x:v>
      </x:c>
      <x:c r="P54" s="64" t="n">
        <x:f>ROUND(N54*O54/1000,3)</x:f>
        <x:v>4796.856</x:v>
      </x:c>
      <x:c r="Q54" s="64" t="n">
        <x:f>ROUND(P54*'Drivers'!E54,3)</x:f>
        <x:v>4641.208</x:v>
      </x:c>
      <x:c r="R54" s="64" t="n">
        <x:f>-ROUND(Q54*'Drivers'!F54,3)</x:f>
        <x:v>-714.629</x:v>
      </x:c>
      <x:c r="S54" s="65" t="n">
        <x:f>R54/Q54</x:f>
        <x:v>-0.15397478415102278</x:v>
      </x:c>
      <x:c r="T54" s="64" t="n">
        <x:f>-ROUND(Q54*'Drivers'!G54,3)</x:f>
        <x:v>-77.426</x:v>
      </x:c>
      <x:c r="U54" s="65" t="n">
        <x:f>T54/Q54</x:f>
        <x:v>-0.016682294781875755</x:v>
      </x:c>
      <x:c r="V54" s="64" t="n">
        <x:f>-ROUND(Q54*'Drivers'!H54,3)</x:f>
        <x:v>-33.788</x:v>
      </x:c>
      <x:c r="W54" s="64" t="n">
        <x:f>-ROUND(Q54*'Drivers'!I54,3)</x:f>
        <x:v>-37.608</x:v>
      </x:c>
      <x:c r="X54" s="64" t="n">
        <x:f>-ROUND(Q54*'Drivers'!J54,3)</x:f>
        <x:v>-81.287</x:v>
      </x:c>
      <x:c r="Y54" s="64" t="n">
        <x:f>-ROUND(Q54*'Drivers'!K54,3)</x:f>
        <x:v>-63.96</x:v>
      </x:c>
      <x:c r="Z54" s="64" t="n">
        <x:f>-ROUND(Q54*'Drivers'!L54,3)</x:f>
        <x:v>-49.594</x:v>
      </x:c>
      <x:c r="AA54" s="64" t="n">
        <x:f>-ROUND(Q54*'Drivers'!M54,3)</x:f>
        <x:v>-41.971</x:v>
      </x:c>
      <x:c r="AB54" s="64" t="n">
        <x:f>-ROUND(Q54*'Drivers'!N54,3)</x:f>
        <x:v>-27.054</x:v>
      </x:c>
      <x:c r="AC54" s="64" t="n">
        <x:f>SUM(V54:AB54)</x:f>
        <x:v>-335.262</x:v>
      </x:c>
      <x:c r="AD54" s="65" t="n">
        <x:f>AC54/Q54</x:f>
        <x:v>-0.07223593512723413</x:v>
      </x:c>
      <x:c r="AE54" s="64" t="n">
        <x:f>-ROUND(Q54*'Drivers'!O54,3)</x:f>
        <x:v>-56.863</x:v>
      </x:c>
      <x:c r="AF54" s="65" t="n">
        <x:f>AE54/Q54</x:f>
        <x:v>-0.012251767212329205</x:v>
      </x:c>
      <x:c r="AG54" s="64" t="n">
        <x:f>-ROUND(Q54*'Drivers'!P54,3)</x:f>
        <x:v>-0.375</x:v>
      </x:c>
      <x:c r="AH54" s="64" t="n">
        <x:f>-ROUND(Q54*'Drivers'!Q54,3)</x:f>
        <x:v>-23.109</x:v>
      </x:c>
      <x:c r="AI54" s="64" t="n">
        <x:f>SUM(R54,T54,AC54,AE54,AG54,AH54)</x:f>
        <x:v>-1207.664</x:v>
      </x:c>
      <x:c r="AJ54" s="65" t="n">
        <x:f>AI54/Q54</x:f>
        <x:v>-0.26020467085293314</x:v>
      </x:c>
      <x:c r="AK54" s="64" t="n">
        <x:f>Q54+AI54</x:f>
        <x:v>3433.544</x:v>
      </x:c>
      <x:c r="AL54" s="65" t="n">
        <x:f>AK54/Q54</x:f>
        <x:v>0.7397953291470669</x:v>
      </x:c>
      <x:c r="AM54" s="64" t="n">
        <x:f>AK54/L54</x:f>
        <x:v>490.5062857142857</x:v>
      </x:c>
      <x:c r="AN54" s="66" t="str">
        <x:f>IF(AM54&lt;=200,"≤200K",IF(AM54&lt;=350,"200–350K",IF(AM54&lt;=500,"350–500K",IF(AM54&lt;=700,"500–700K","&gt;700K"))))</x:f>
        <x:v>350–500K</x:v>
      </x:c>
      <x:c r="AO54" s="64" t="n">
        <x:f>-ROUND(Q54*'Drivers'!R54,3)</x:f>
        <x:v>-1781.752</x:v>
      </x:c>
      <x:c r="AP54" s="64" t="n">
        <x:f>-ROUND(AK54*'Drivers'!S54,3)</x:f>
        <x:v>-55.688</x:v>
      </x:c>
      <x:c r="AQ54" s="64" t="n">
        <x:f>-ROUND(AK54*'Drivers'!T54,3)</x:f>
        <x:v>-21.97</x:v>
      </x:c>
      <x:c r="AR54" s="64" t="n">
        <x:f>-ROUND(AK54*'Drivers'!U54,3)</x:f>
        <x:v>-29.692</x:v>
      </x:c>
      <x:c r="AS54" s="64" t="n">
        <x:f>-ROUND(AK54*'Drivers'!V54,3)</x:f>
        <x:v>-98.625</x:v>
      </x:c>
      <x:c r="AT54" s="64" t="n">
        <x:f>SUM(AO54:AS54)</x:f>
        <x:v>-1987.727</x:v>
      </x:c>
      <x:c r="AU54" s="65" t="n">
        <x:f>AT54/AK54</x:f>
        <x:v>-0.5789140899315693</x:v>
      </x:c>
      <x:c r="AV54" s="64" t="n">
        <x:f>AK54+AT54</x:f>
        <x:v>1445.8169999999998</x:v>
      </x:c>
      <x:c r="AW54" s="65" t="n">
        <x:f>AV54/AK54</x:f>
        <x:v>0.4210859100684307</x:v>
      </x:c>
      <x:c r="AX54" s="64" t="n">
        <x:f>-ROUND(AK54*'Drivers'!W54,3)</x:f>
        <x:v>-33.249</x:v>
      </x:c>
      <x:c r="AY54" s="64" t="n">
        <x:f>-ROUND(AK54*'Drivers'!X54,3)</x:f>
        <x:v>-67.5</x:v>
      </x:c>
      <x:c r="AZ54" s="64" t="n">
        <x:f>-ROUND(AK54*'Drivers'!Y54,3)</x:f>
        <x:v>-61.53</x:v>
      </x:c>
      <x:c r="BA54" s="64" t="n">
        <x:f>-ROUND(AK54*'Drivers'!Z54,3)</x:f>
        <x:v>-16.825</x:v>
      </x:c>
      <x:c r="BB54" s="64" t="n">
        <x:f>-ROUND(AK54*'Drivers'!AA54,3)</x:f>
        <x:v>-29.3</x:v>
      </x:c>
      <x:c r="BC54" s="64" t="n">
        <x:f>SUM(BA54,BB54)</x:f>
        <x:v>-46.125</x:v>
      </x:c>
      <x:c r="BD54" s="64" t="n">
        <x:f>-ROUND(AK54*'Drivers'!AB54,3)</x:f>
        <x:v>-20.985</x:v>
      </x:c>
      <x:c r="BE54" s="64" t="n">
        <x:f>SUM(AX54:BB54,BD54)</x:f>
        <x:v>-229.389</x:v>
      </x:c>
      <x:c r="BF54" s="67" t="n">
        <x:f>'Drivers'!AF54</x:f>
        <x:v>11</x:v>
      </x:c>
      <x:c r="BG54" s="64" t="n">
        <x:f>BJ54</x:f>
        <x:v>-66.665</x:v>
      </x:c>
      <x:c r="BH54" s="64" t="n">
        <x:f>BE54/BF54</x:f>
        <x:v>-20.853545454545454</x:v>
      </x:c>
      <x:c r="BI54" s="68" t="n">
        <x:f>BF54/L54</x:f>
        <x:v>1.5714285714285714</x:v>
      </x:c>
      <x:c r="BJ54" s="64" t="n">
        <x:f>-ROUND(AK54*'Drivers'!AC54,3)</x:f>
        <x:v>-66.665</x:v>
      </x:c>
      <x:c r="BK54" s="64" t="n">
        <x:f>-ROUND(AK54*'Drivers'!AD54,3)</x:f>
        <x:v>-377.179</x:v>
      </x:c>
      <x:c r="BL54" s="64" t="n">
        <x:f>SUM(AV54,BE54,BJ54,BK54)</x:f>
        <x:v>772.584</x:v>
      </x:c>
      <x:c r="BM54" s="65" t="n">
        <x:f>BL54/AK54</x:f>
        <x:v>0.22501065954011365</x:v>
      </x:c>
      <x:c r="BN54" s="64" t="n">
        <x:f>-ROUND(AK54*'Drivers'!AE54,3)</x:f>
        <x:v>-259.006</x:v>
      </x:c>
      <x:c r="BO54" s="64" t="n">
        <x:f>BL54+BN54</x:f>
        <x:v>513.578</x:v>
      </x:c>
      <x:c r="BP54" s="65" t="n">
        <x:f>BO54/AK54</x:f>
        <x:v>0.14957664733581397</x:v>
      </x:c>
    </x:row>
    <x:row r="55">
      <x:c r="A55" s="61" t="n">
        <x:v>2025</x:v>
      </x:c>
      <x:c r="B55" s="18" t="str">
        <x:v>S2</x:v>
      </x:c>
      <x:c r="C55" s="18" t="str">
        <x:v>2025 S2</x:v>
      </x:c>
      <x:c r="D55" s="18" t="str">
        <x:v>CNCT0014</x:v>
      </x:c>
      <x:c r="E55" s="18" t="str">
        <x:v>上海港汇恒隆广场</x:v>
      </x:c>
      <x:c r="F55" s="18" t="str">
        <x:v>上海</x:v>
      </x:c>
      <x:c r="G55" s="18" t="str">
        <x:v>上海市</x:v>
      </x:c>
      <x:c r="H55" s="18" t="str">
        <x:v>东区</x:v>
      </x:c>
      <x:c r="I55" s="18" t="str">
        <x:v>Shopping Mall</x:v>
      </x:c>
      <x:c r="J55" s="18" t="str">
        <x:v>Prestige Shopping Center</x:v>
      </x:c>
      <x:c r="K55" s="18" t="str">
        <x:v>正常</x:v>
      </x:c>
      <x:c r="L55" s="62" t="n">
        <x:v>7</x:v>
      </x:c>
      <x:c r="M55" s="62" t="n">
        <x:v>61</x:v>
      </x:c>
      <x:c r="N55" s="63" t="n">
        <x:f>'Drivers'!C55</x:f>
        <x:v>4298</x:v>
      </x:c>
      <x:c r="O55" s="63" t="n">
        <x:f>'Drivers'!D55</x:f>
        <x:v>1193.611</x:v>
      </x:c>
      <x:c r="P55" s="64" t="n">
        <x:f>ROUND(N55*O55/1000,3)</x:f>
        <x:v>5130.14</x:v>
      </x:c>
      <x:c r="Q55" s="64" t="n">
        <x:f>ROUND(P55*'Drivers'!E55,3)</x:f>
        <x:v>5028.513</x:v>
      </x:c>
      <x:c r="R55" s="64" t="n">
        <x:f>-ROUND(Q55*'Drivers'!F55,3)</x:f>
        <x:v>-774.265</x:v>
      </x:c>
      <x:c r="S55" s="65" t="n">
        <x:f>R55/Q55</x:f>
        <x:v>-0.15397494249293975</x:v>
      </x:c>
      <x:c r="T55" s="64" t="n">
        <x:f>-ROUND(Q55*'Drivers'!G55,3)</x:f>
        <x:v>-83.888</x:v>
      </x:c>
      <x:c r="U55" s="65" t="n">
        <x:f>T55/Q55</x:f>
        <x:v>-0.016682466566159817</x:v>
      </x:c>
      <x:c r="V55" s="64" t="n">
        <x:f>-ROUND(Q55*'Drivers'!H55,3)</x:f>
        <x:v>-36.608</x:v>
      </x:c>
      <x:c r="W55" s="64" t="n">
        <x:f>-ROUND(Q55*'Drivers'!I55,3)</x:f>
        <x:v>-40.746</x:v>
      </x:c>
      <x:c r="X55" s="64" t="n">
        <x:f>-ROUND(Q55*'Drivers'!J55,3)</x:f>
        <x:v>-88.07</x:v>
      </x:c>
      <x:c r="Y55" s="64" t="n">
        <x:f>-ROUND(Q55*'Drivers'!K55,3)</x:f>
        <x:v>-69.298</x:v>
      </x:c>
      <x:c r="Z55" s="64" t="n">
        <x:f>-ROUND(Q55*'Drivers'!L55,3)</x:f>
        <x:v>-53.733</x:v>
      </x:c>
      <x:c r="AA55" s="64" t="n">
        <x:f>-ROUND(Q55*'Drivers'!M55,3)</x:f>
        <x:v>-45.473</x:v>
      </x:c>
      <x:c r="AB55" s="64" t="n">
        <x:f>-ROUND(Q55*'Drivers'!N55,3)</x:f>
        <x:v>-29.312</x:v>
      </x:c>
      <x:c r="AC55" s="64" t="n">
        <x:f>SUM(V55:AB55)</x:f>
        <x:v>-363.24</x:v>
      </x:c>
      <x:c r="AD55" s="65" t="n">
        <x:f>AC55/Q55</x:f>
        <x:v>-0.07223606660656938</x:v>
      </x:c>
      <x:c r="AE55" s="64" t="n">
        <x:f>-ROUND(Q55*'Drivers'!O55,3)</x:f>
        <x:v>-61.608</x:v>
      </x:c>
      <x:c r="AF55" s="65" t="n">
        <x:f>AE55/Q55</x:f>
        <x:v>-0.012251733265878004</x:v>
      </x:c>
      <x:c r="AG55" s="64" t="n">
        <x:f>-ROUND(Q55*'Drivers'!P55,3)</x:f>
        <x:v>-0.406</x:v>
      </x:c>
      <x:c r="AH55" s="64" t="n">
        <x:f>-ROUND(Q55*'Drivers'!Q55,3)</x:f>
        <x:v>-25.037</x:v>
      </x:c>
      <x:c r="AI55" s="64" t="n">
        <x:f>SUM(R55,T55,AC55,AE55,AG55,AH55)</x:f>
        <x:v>-1308.444</x:v>
      </x:c>
      <x:c r="AJ55" s="65" t="n">
        <x:f>AI55/Q55</x:f>
        <x:v>-0.26020495522234904</x:v>
      </x:c>
      <x:c r="AK55" s="64" t="n">
        <x:f>Q55+AI55</x:f>
        <x:v>3720.069</x:v>
      </x:c>
      <x:c r="AL55" s="65" t="n">
        <x:f>AK55/Q55</x:f>
        <x:v>0.739795044777651</x:v>
      </x:c>
      <x:c r="AM55" s="64" t="n">
        <x:f>AK55/L55</x:f>
        <x:v>531.4384285714285</x:v>
      </x:c>
      <x:c r="AN55" s="66" t="str">
        <x:f>IF(AM55&lt;=200,"≤200K",IF(AM55&lt;=350,"200–350K",IF(AM55&lt;=500,"350–500K",IF(AM55&lt;=700,"500–700K","&gt;700K"))))</x:f>
        <x:v>500–700K</x:v>
      </x:c>
      <x:c r="AO55" s="64" t="n">
        <x:f>-ROUND(Q55*'Drivers'!R55,3)</x:f>
        <x:v>-1864.417</x:v>
      </x:c>
      <x:c r="AP55" s="64" t="n">
        <x:f>-ROUND(AK55*'Drivers'!S55,3)</x:f>
        <x:v>-60.336</x:v>
      </x:c>
      <x:c r="AQ55" s="64" t="n">
        <x:f>-ROUND(AK55*'Drivers'!T55,3)</x:f>
        <x:v>-23.803</x:v>
      </x:c>
      <x:c r="AR55" s="64" t="n">
        <x:f>-ROUND(AK55*'Drivers'!U55,3)</x:f>
        <x:v>-32.17</x:v>
      </x:c>
      <x:c r="AS55" s="64" t="n">
        <x:f>-ROUND(AK55*'Drivers'!V55,3)</x:f>
        <x:v>-106.855</x:v>
      </x:c>
      <x:c r="AT55" s="64" t="n">
        <x:f>SUM(AO55:AS55)</x:f>
        <x:v>-2087.581</x:v>
      </x:c>
      <x:c r="AU55" s="65" t="n">
        <x:f>AT55/AK55</x:f>
        <x:v>-0.5611672794241183</x:v>
      </x:c>
      <x:c r="AV55" s="64" t="n">
        <x:f>AK55+AT55</x:f>
        <x:v>1632.4879999999998</x:v>
      </x:c>
      <x:c r="AW55" s="65" t="n">
        <x:f>AV55/AK55</x:f>
        <x:v>0.43883272057588174</x:v>
      </x:c>
      <x:c r="AX55" s="64" t="n">
        <x:f>-ROUND(AK55*'Drivers'!W55,3)</x:f>
        <x:v>-36.024</x:v>
      </x:c>
      <x:c r="AY55" s="64" t="n">
        <x:f>-ROUND(AK55*'Drivers'!X55,3)</x:f>
        <x:v>-73.133</x:v>
      </x:c>
      <x:c r="AZ55" s="64" t="n">
        <x:f>-ROUND(AK55*'Drivers'!Y55,3)</x:f>
        <x:v>-66.665</x:v>
      </x:c>
      <x:c r="BA55" s="64" t="n">
        <x:f>-ROUND(AK55*'Drivers'!Z55,3)</x:f>
        <x:v>-18.23</x:v>
      </x:c>
      <x:c r="BB55" s="64" t="n">
        <x:f>-ROUND(AK55*'Drivers'!AA55,3)</x:f>
        <x:v>-31.745</x:v>
      </x:c>
      <x:c r="BC55" s="64" t="n">
        <x:f>SUM(BA55,BB55)</x:f>
        <x:v>-49.975</x:v>
      </x:c>
      <x:c r="BD55" s="64" t="n">
        <x:f>-ROUND(AK55*'Drivers'!AB55,3)</x:f>
        <x:v>-22.736</x:v>
      </x:c>
      <x:c r="BE55" s="64" t="n">
        <x:f>SUM(AX55:BB55,BD55)</x:f>
        <x:v>-248.533</x:v>
      </x:c>
      <x:c r="BF55" s="67" t="n">
        <x:f>'Drivers'!AF55</x:f>
        <x:v>11</x:v>
      </x:c>
      <x:c r="BG55" s="64" t="n">
        <x:f>BJ55</x:f>
        <x:v>-72.228</x:v>
      </x:c>
      <x:c r="BH55" s="64" t="n">
        <x:f>BE55/BF55</x:f>
        <x:v>-22.59390909090909</x:v>
      </x:c>
      <x:c r="BI55" s="68" t="n">
        <x:f>BF55/L55</x:f>
        <x:v>1.5714285714285714</x:v>
      </x:c>
      <x:c r="BJ55" s="64" t="n">
        <x:f>-ROUND(AK55*'Drivers'!AC55,3)</x:f>
        <x:v>-72.228</x:v>
      </x:c>
      <x:c r="BK55" s="64" t="n">
        <x:f>-ROUND(AK55*'Drivers'!AD55,3)</x:f>
        <x:v>-408.654</x:v>
      </x:c>
      <x:c r="BL55" s="64" t="n">
        <x:f>SUM(AV55,BE55,BJ55,BK55)</x:f>
        <x:v>903.0729999999999</x:v>
      </x:c>
      <x:c r="BM55" s="65" t="n">
        <x:f>BL55/AK55</x:f>
        <x:v>0.24275705638793255</x:v>
      </x:c>
      <x:c r="BN55" s="64" t="n">
        <x:f>-ROUND(AK55*'Drivers'!AE55,3)</x:f>
        <x:v>-280.62</x:v>
      </x:c>
      <x:c r="BO55" s="64" t="n">
        <x:f>BL55+BN55</x:f>
        <x:v>622.4529999999999</x:v>
      </x:c>
      <x:c r="BP55" s="65" t="n">
        <x:f>BO55/AK55</x:f>
        <x:v>0.16732297169756793</x:v>
      </x:c>
    </x:row>
    <x:row r="56">
      <x:c r="A56" s="61" t="n">
        <x:v>2026</x:v>
      </x:c>
      <x:c r="B56" s="18" t="str">
        <x:v>S1</x:v>
      </x:c>
      <x:c r="C56" s="18" t="str">
        <x:v>2026 S1</x:v>
      </x:c>
      <x:c r="D56" s="18" t="str">
        <x:v>CNCT0014</x:v>
      </x:c>
      <x:c r="E56" s="18" t="str">
        <x:v>上海港汇恒隆广场</x:v>
      </x:c>
      <x:c r="F56" s="18" t="str">
        <x:v>上海</x:v>
      </x:c>
      <x:c r="G56" s="18" t="str">
        <x:v>上海市</x:v>
      </x:c>
      <x:c r="H56" s="18" t="str">
        <x:v>东区</x:v>
      </x:c>
      <x:c r="I56" s="18" t="str">
        <x:v>Shopping Mall</x:v>
      </x:c>
      <x:c r="J56" s="18" t="str">
        <x:v>Prestige Shopping Center</x:v>
      </x:c>
      <x:c r="K56" s="18" t="str">
        <x:v>正常</x:v>
      </x:c>
      <x:c r="L56" s="62" t="n">
        <x:v>7</x:v>
      </x:c>
      <x:c r="M56" s="62" t="n">
        <x:v>61</x:v>
      </x:c>
      <x:c r="N56" s="63" t="n">
        <x:f>'Drivers'!C56</x:f>
        <x:v>4095</x:v>
      </x:c>
      <x:c r="O56" s="63" t="n">
        <x:f>'Drivers'!D56</x:f>
        <x:v>1243.219</x:v>
      </x:c>
      <x:c r="P56" s="64" t="n">
        <x:f>ROUND(N56*O56/1000,3)</x:f>
        <x:v>5090.982</x:v>
      </x:c>
      <x:c r="Q56" s="64" t="n">
        <x:f>ROUND(P56*'Drivers'!E56,3)</x:f>
        <x:v>4933.755</x:v>
      </x:c>
      <x:c r="R56" s="64" t="n">
        <x:f>-ROUND(Q56*'Drivers'!F56,3)</x:f>
        <x:v>-776.364</x:v>
      </x:c>
      <x:c r="S56" s="65" t="n">
        <x:f>R56/Q56</x:f>
        <x:v>-0.1573576312565176</x:v>
      </x:c>
      <x:c r="T56" s="64" t="n">
        <x:f>-ROUND(Q56*'Drivers'!G56,3)</x:f>
        <x:v>-82.505</x:v>
      </x:c>
      <x:c r="U56" s="65" t="n">
        <x:f>T56/Q56</x:f>
        <x:v>-0.016722557159810327</x:v>
      </x:c>
      <x:c r="V56" s="64" t="n">
        <x:f>-ROUND(Q56*'Drivers'!H56,3)</x:f>
        <x:v>-35.918</x:v>
      </x:c>
      <x:c r="W56" s="64" t="n">
        <x:f>-ROUND(Q56*'Drivers'!I56,3)</x:f>
        <x:v>-39.978</x:v>
      </x:c>
      <x:c r="X56" s="64" t="n">
        <x:f>-ROUND(Q56*'Drivers'!J56,3)</x:f>
        <x:v>-86.41</x:v>
      </x:c>
      <x:c r="Y56" s="64" t="n">
        <x:f>-ROUND(Q56*'Drivers'!K56,3)</x:f>
        <x:v>-67.992</x:v>
      </x:c>
      <x:c r="Z56" s="64" t="n">
        <x:f>-ROUND(Q56*'Drivers'!L56,3)</x:f>
        <x:v>-52.72</x:v>
      </x:c>
      <x:c r="AA56" s="64" t="n">
        <x:f>-ROUND(Q56*'Drivers'!M56,3)</x:f>
        <x:v>-44.616</x:v>
      </x:c>
      <x:c r="AB56" s="64" t="n">
        <x:f>-ROUND(Q56*'Drivers'!N56,3)</x:f>
        <x:v>-28.76</x:v>
      </x:c>
      <x:c r="AC56" s="64" t="n">
        <x:f>SUM(V56:AB56)</x:f>
        <x:v>-356.394</x:v>
      </x:c>
      <x:c r="AD56" s="65" t="n">
        <x:f>AC56/Q56</x:f>
        <x:v>-0.07223585281393179</x:v>
      </x:c>
      <x:c r="AE56" s="64" t="n">
        <x:f>-ROUND(Q56*'Drivers'!O56,3)</x:f>
        <x:v>-66.661</x:v>
      </x:c>
      <x:c r="AF56" s="65" t="n">
        <x:f>AE56/Q56</x:f>
        <x:v>-0.013511210021575858</x:v>
      </x:c>
      <x:c r="AG56" s="64" t="n">
        <x:f>-ROUND(Q56*'Drivers'!P56,3)</x:f>
        <x:v>-0.399</x:v>
      </x:c>
      <x:c r="AH56" s="64" t="n">
        <x:f>-ROUND(Q56*'Drivers'!Q56,3)</x:f>
        <x:v>-24.565</x:v>
      </x:c>
      <x:c r="AI56" s="64" t="n">
        <x:f>SUM(R56,T56,AC56,AE56,AG56,AH56)</x:f>
        <x:v>-1306.888</x:v>
      </x:c>
      <x:c r="AJ56" s="65" t="n">
        <x:f>AI56/Q56</x:f>
        <x:v>-0.26488708904272706</x:v>
      </x:c>
      <x:c r="AK56" s="64" t="n">
        <x:f>Q56+AI56</x:f>
        <x:v>3626.867</x:v>
      </x:c>
      <x:c r="AL56" s="65" t="n">
        <x:f>AK56/Q56</x:f>
        <x:v>0.7351129109572729</x:v>
      </x:c>
      <x:c r="AM56" s="64" t="n">
        <x:f>AK56/L56</x:f>
        <x:v>518.1238571428572</x:v>
      </x:c>
      <x:c r="AN56" s="66" t="str">
        <x:f>IF(AM56&lt;=200,"≤200K",IF(AM56&lt;=350,"200–350K",IF(AM56&lt;=500,"350–500K",IF(AM56&lt;=700,"500–700K","&gt;700K"))))</x:f>
        <x:v>500–700K</x:v>
      </x:c>
      <x:c r="AO56" s="64" t="n">
        <x:f>-ROUND(Q56*'Drivers'!R56,3)</x:f>
        <x:v>-1868.877</x:v>
      </x:c>
      <x:c r="AP56" s="64" t="n">
        <x:f>-ROUND(AK56*'Drivers'!S56,3)</x:f>
        <x:v>-58.824</x:v>
      </x:c>
      <x:c r="AQ56" s="64" t="n">
        <x:f>-ROUND(AK56*'Drivers'!T56,3)</x:f>
        <x:v>-23.207</x:v>
      </x:c>
      <x:c r="AR56" s="64" t="n">
        <x:f>-ROUND(AK56*'Drivers'!U56,3)</x:f>
        <x:v>-31.364</x:v>
      </x:c>
      <x:c r="AS56" s="64" t="n">
        <x:f>-ROUND(AK56*'Drivers'!V56,3)</x:f>
        <x:v>-104.178</x:v>
      </x:c>
      <x:c r="AT56" s="64" t="n">
        <x:f>SUM(AO56:AS56)</x:f>
        <x:v>-2086.4500000000003</x:v>
      </x:c>
      <x:c r="AU56" s="65" t="n">
        <x:f>AT56/AK56</x:f>
        <x:v>-0.575276126750719</x:v>
      </x:c>
      <x:c r="AV56" s="64" t="n">
        <x:f>AK56+AT56</x:f>
        <x:v>1540.417</x:v>
      </x:c>
      <x:c r="AW56" s="65" t="n">
        <x:f>AV56/AK56</x:f>
        <x:v>0.42472387324928096</x:v>
      </x:c>
      <x:c r="AX56" s="64" t="n">
        <x:f>-ROUND(AK56*'Drivers'!W56,3)</x:f>
        <x:v>-43.215</x:v>
      </x:c>
      <x:c r="AY56" s="64" t="n">
        <x:f>-ROUND(AK56*'Drivers'!X56,3)</x:f>
        <x:v>-87.732</x:v>
      </x:c>
      <x:c r="AZ56" s="64" t="n">
        <x:f>-ROUND(AK56*'Drivers'!Y56,3)</x:f>
        <x:v>-79.972</x:v>
      </x:c>
      <x:c r="BA56" s="64" t="n">
        <x:f>-ROUND(AK56*'Drivers'!Z56,3)</x:f>
        <x:v>-21.869</x:v>
      </x:c>
      <x:c r="BB56" s="64" t="n">
        <x:f>-ROUND(AK56*'Drivers'!AA56,3)</x:f>
        <x:v>-38.082</x:v>
      </x:c>
      <x:c r="BC56" s="64" t="n">
        <x:f>SUM(BA56,BB56)</x:f>
        <x:v>-59.951</x:v>
      </x:c>
      <x:c r="BD56" s="64" t="n">
        <x:f>-ROUND(AK56*'Drivers'!AB56,3)</x:f>
        <x:v>-27.275</x:v>
      </x:c>
      <x:c r="BE56" s="64" t="n">
        <x:f>SUM(AX56:BB56,BD56)</x:f>
        <x:v>-298.145</x:v>
      </x:c>
      <x:c r="BF56" s="67" t="n">
        <x:f>'Drivers'!AF56</x:f>
        <x:v>11</x:v>
      </x:c>
      <x:c r="BG56" s="64" t="n">
        <x:f>BJ56</x:f>
        <x:v>-86.647</x:v>
      </x:c>
      <x:c r="BH56" s="64" t="n">
        <x:f>BE56/BF56</x:f>
        <x:v>-27.104090909090907</x:v>
      </x:c>
      <x:c r="BI56" s="68" t="n">
        <x:f>BF56/L56</x:f>
        <x:v>1.5714285714285714</x:v>
      </x:c>
      <x:c r="BJ56" s="64" t="n">
        <x:f>-ROUND(AK56*'Drivers'!AC56,3)</x:f>
        <x:v>-86.647</x:v>
      </x:c>
      <x:c r="BK56" s="64" t="n">
        <x:f>-ROUND(AK56*'Drivers'!AD56,3)</x:f>
        <x:v>-398.416</x:v>
      </x:c>
      <x:c r="BL56" s="64" t="n">
        <x:f>SUM(AV56,BE56,BJ56,BK56)</x:f>
        <x:v>757.2090000000001</x:v>
      </x:c>
      <x:c r="BM56" s="65" t="n">
        <x:f>BL56/AK56</x:f>
        <x:v>0.20877771365754522</x:v>
      </x:c>
      <x:c r="BN56" s="64" t="n">
        <x:f>-ROUND(AK56*'Drivers'!AE56,3)</x:f>
        <x:v>-273.589</x:v>
      </x:c>
      <x:c r="BO56" s="64" t="n">
        <x:f>BL56+BN56</x:f>
        <x:v>483.62000000000006</x:v>
      </x:c>
      <x:c r="BP56" s="65" t="n">
        <x:f>BO56/AK56</x:f>
        <x:v>0.1333437371704008</x:v>
      </x:c>
    </x:row>
    <x:row r="57">
      <x:c r="A57" s="61" t="n">
        <x:v>2026</x:v>
      </x:c>
      <x:c r="B57" s="18" t="str">
        <x:v>S2</x:v>
      </x:c>
      <x:c r="C57" s="18" t="str">
        <x:v>2026 S2</x:v>
      </x:c>
      <x:c r="D57" s="18" t="str">
        <x:v>CNCT0014</x:v>
      </x:c>
      <x:c r="E57" s="18" t="str">
        <x:v>上海港汇恒隆广场</x:v>
      </x:c>
      <x:c r="F57" s="18" t="str">
        <x:v>上海</x:v>
      </x:c>
      <x:c r="G57" s="18" t="str">
        <x:v>上海市</x:v>
      </x:c>
      <x:c r="H57" s="18" t="str">
        <x:v>东区</x:v>
      </x:c>
      <x:c r="I57" s="18" t="str">
        <x:v>Shopping Mall</x:v>
      </x:c>
      <x:c r="J57" s="18" t="str">
        <x:v>Prestige Shopping Center</x:v>
      </x:c>
      <x:c r="K57" s="18" t="str">
        <x:v>正常</x:v>
      </x:c>
      <x:c r="L57" s="62" t="n">
        <x:v>7</x:v>
      </x:c>
      <x:c r="M57" s="62" t="n">
        <x:v>60</x:v>
      </x:c>
      <x:c r="N57" s="63" t="n">
        <x:f>'Drivers'!C57</x:f>
        <x:v>4544</x:v>
      </x:c>
      <x:c r="O57" s="63" t="n">
        <x:f>'Drivers'!D57</x:f>
        <x:v>1233.333</x:v>
      </x:c>
      <x:c r="P57" s="64" t="n">
        <x:f>ROUND(N57*O57/1000,3)</x:f>
        <x:v>5604.265</x:v>
      </x:c>
      <x:c r="Q57" s="64" t="n">
        <x:f>ROUND(P57*'Drivers'!E57,3)</x:f>
        <x:v>5493.245</x:v>
      </x:c>
      <x:c r="R57" s="64" t="n">
        <x:f>-ROUND(Q57*'Drivers'!F57,3)</x:f>
        <x:v>-810.887</x:v>
      </x:c>
      <x:c r="S57" s="65" t="n">
        <x:f>R57/Q57</x:f>
        <x:v>-0.1476152984256118</x:v>
      </x:c>
      <x:c r="T57" s="64" t="n">
        <x:f>-ROUND(Q57*'Drivers'!G57,3)</x:f>
        <x:v>-98.85</x:v>
      </x:c>
      <x:c r="U57" s="65" t="n">
        <x:f>T57/Q57</x:f>
        <x:v>-0.01799482819353588</x:v>
      </x:c>
      <x:c r="V57" s="64" t="n">
        <x:f>-ROUND(Q57*'Drivers'!H57,3)</x:f>
        <x:v>-39.991</x:v>
      </x:c>
      <x:c r="W57" s="64" t="n">
        <x:f>-ROUND(Q57*'Drivers'!I57,3)</x:f>
        <x:v>-44.512</x:v>
      </x:c>
      <x:c r="X57" s="64" t="n">
        <x:f>-ROUND(Q57*'Drivers'!J57,3)</x:f>
        <x:v>-96.209</x:v>
      </x:c>
      <x:c r="Y57" s="64" t="n">
        <x:f>-ROUND(Q57*'Drivers'!K57,3)</x:f>
        <x:v>-75.702</x:v>
      </x:c>
      <x:c r="Z57" s="64" t="n">
        <x:f>-ROUND(Q57*'Drivers'!L57,3)</x:f>
        <x:v>-58.699</x:v>
      </x:c>
      <x:c r="AA57" s="64" t="n">
        <x:f>-ROUND(Q57*'Drivers'!M57,3)</x:f>
        <x:v>-49.676</x:v>
      </x:c>
      <x:c r="AB57" s="64" t="n">
        <x:f>-ROUND(Q57*'Drivers'!N57,3)</x:f>
        <x:v>-32.021</x:v>
      </x:c>
      <x:c r="AC57" s="64" t="n">
        <x:f>SUM(V57:AB57)</x:f>
        <x:v>-396.81</x:v>
      </x:c>
      <x:c r="AD57" s="65" t="n">
        <x:f>AC57/Q57</x:f>
        <x:v>-0.07223599165884646</x:v>
      </x:c>
      <x:c r="AE57" s="64" t="n">
        <x:f>-ROUND(Q57*'Drivers'!O57,3)</x:f>
        <x:v>-67.302</x:v>
      </x:c>
      <x:c r="AF57" s="65" t="n">
        <x:f>AE57/Q57</x:f>
        <x:v>-0.012251774679629256</x:v>
      </x:c>
      <x:c r="AG57" s="64" t="n">
        <x:f>-ROUND(Q57*'Drivers'!P57,3)</x:f>
        <x:v>-0.444</x:v>
      </x:c>
      <x:c r="AH57" s="64" t="n">
        <x:f>-ROUND(Q57*'Drivers'!Q57,3)</x:f>
        <x:v>-27.351</x:v>
      </x:c>
      <x:c r="AI57" s="64" t="n">
        <x:f>SUM(R57,T57,AC57,AE57,AG57,AH57)</x:f>
        <x:v>-1401.6439999999998</x:v>
      </x:c>
      <x:c r="AJ57" s="65" t="n">
        <x:f>AI57/Q57</x:f>
        <x:v>-0.2551577437379909</x:v>
      </x:c>
      <x:c r="AK57" s="64" t="n">
        <x:f>Q57+AI57</x:f>
        <x:v>4091.601</x:v>
      </x:c>
      <x:c r="AL57" s="65" t="n">
        <x:f>AK57/Q57</x:f>
        <x:v>0.7448422562620091</x:v>
      </x:c>
      <x:c r="AM57" s="64" t="n">
        <x:f>AK57/L57</x:f>
        <x:v>584.5144285714285</x:v>
      </x:c>
      <x:c r="AN57" s="66" t="str">
        <x:f>IF(AM57&lt;=200,"≤200K",IF(AM57&lt;=350,"200–350K",IF(AM57&lt;=500,"350–500K",IF(AM57&lt;=700,"500–700K","&gt;700K"))))</x:f>
        <x:v>500–700K</x:v>
      </x:c>
      <x:c r="AO57" s="64" t="n">
        <x:f>-ROUND(Q57*'Drivers'!R57,3)</x:f>
        <x:v>-2016.406</x:v>
      </x:c>
      <x:c r="AP57" s="64" t="n">
        <x:f>-ROUND(AK57*'Drivers'!S57,3)</x:f>
        <x:v>-66.361</x:v>
      </x:c>
      <x:c r="AQ57" s="64" t="n">
        <x:f>-ROUND(AK57*'Drivers'!T57,3)</x:f>
        <x:v>-26.181</x:v>
      </x:c>
      <x:c r="AR57" s="64" t="n">
        <x:f>-ROUND(AK57*'Drivers'!U57,3)</x:f>
        <x:v>-35.383</x:v>
      </x:c>
      <x:c r="AS57" s="64" t="n">
        <x:f>-ROUND(AK57*'Drivers'!V57,3)</x:f>
        <x:v>-117.527</x:v>
      </x:c>
      <x:c r="AT57" s="64" t="n">
        <x:f>SUM(AO57:AS57)</x:f>
        <x:v>-2261.8579999999997</x:v>
      </x:c>
      <x:c r="AU57" s="65" t="n">
        <x:f>AT57/AK57</x:f>
        <x:v>-0.5528051244488403</x:v>
      </x:c>
      <x:c r="AV57" s="64" t="n">
        <x:f>AK57+AT57</x:f>
        <x:v>1829.7430000000004</x:v>
      </x:c>
      <x:c r="AW57" s="65" t="n">
        <x:f>AV57/AK57</x:f>
        <x:v>0.44719487555115967</x:v>
      </x:c>
      <x:c r="AX57" s="64" t="n">
        <x:f>-ROUND(AK57*'Drivers'!W57,3)</x:f>
        <x:v>-41.999</x:v>
      </x:c>
      <x:c r="AY57" s="64" t="n">
        <x:f>-ROUND(AK57*'Drivers'!X57,3)</x:f>
        <x:v>-85.263</x:v>
      </x:c>
      <x:c r="AZ57" s="64" t="n">
        <x:f>-ROUND(AK57*'Drivers'!Y57,3)</x:f>
        <x:v>-77.722</x:v>
      </x:c>
      <x:c r="BA57" s="64" t="n">
        <x:f>-ROUND(AK57*'Drivers'!Z57,3)</x:f>
        <x:v>-21.253</x:v>
      </x:c>
      <x:c r="BB57" s="64" t="n">
        <x:f>-ROUND(AK57*'Drivers'!AA57,3)</x:f>
        <x:v>-37.01</x:v>
      </x:c>
      <x:c r="BC57" s="64" t="n">
        <x:f>SUM(BA57,BB57)</x:f>
        <x:v>-58.263</x:v>
      </x:c>
      <x:c r="BD57" s="64" t="n">
        <x:f>-ROUND(AK57*'Drivers'!AB57,3)</x:f>
        <x:v>-26.508</x:v>
      </x:c>
      <x:c r="BE57" s="64" t="n">
        <x:f>SUM(AX57:BB57,BD57)</x:f>
        <x:v>-289.75499999999994</x:v>
      </x:c>
      <x:c r="BF57" s="67" t="n">
        <x:f>'Drivers'!AF57</x:f>
        <x:v>11</x:v>
      </x:c>
      <x:c r="BG57" s="64" t="n">
        <x:f>BJ57</x:f>
        <x:v>-84.208</x:v>
      </x:c>
      <x:c r="BH57" s="64" t="n">
        <x:f>BE57/BF57</x:f>
        <x:v>-26.34136363636363</x:v>
      </x:c>
      <x:c r="BI57" s="68" t="n">
        <x:f>BF57/L57</x:f>
        <x:v>1.5714285714285714</x:v>
      </x:c>
      <x:c r="BJ57" s="64" t="n">
        <x:f>-ROUND(AK57*'Drivers'!AC57,3)</x:f>
        <x:v>-84.208</x:v>
      </x:c>
      <x:c r="BK57" s="64" t="n">
        <x:f>-ROUND(AK57*'Drivers'!AD57,3)</x:f>
        <x:v>-449.468</x:v>
      </x:c>
      <x:c r="BL57" s="64" t="n">
        <x:f>SUM(AV57,BE57,BJ57,BK57)</x:f>
        <x:v>1006.3120000000004</x:v>
      </x:c>
      <x:c r="BM57" s="65" t="n">
        <x:f>BL57/AK57</x:f>
        <x:v>0.24594578014816212</x:v>
      </x:c>
      <x:c r="BN57" s="64" t="n">
        <x:f>-ROUND(AK57*'Drivers'!AE57,3)</x:f>
        <x:v>-308.646</x:v>
      </x:c>
      <x:c r="BO57" s="64" t="n">
        <x:f>BL57+BN57</x:f>
        <x:v>697.6660000000004</x:v>
      </x:c>
      <x:c r="BP57" s="65" t="n">
        <x:f>BO57/AK57</x:f>
        <x:v>0.1705117385590629</x:v>
      </x:c>
    </x:row>
    <x:row r="58">
      <x:c r="A58" s="61" t="n">
        <x:v>2025</x:v>
      </x:c>
      <x:c r="B58" s="18" t="str">
        <x:v>S1</x:v>
      </x:c>
      <x:c r="C58" s="18" t="str">
        <x:v>2025 S1</x:v>
      </x:c>
      <x:c r="D58" s="18" t="str">
        <x:v>CNCT0015</x:v>
      </x:c>
      <x:c r="E58" s="18" t="str">
        <x:v>上海国金中心</x:v>
      </x:c>
      <x:c r="F58" s="18" t="str">
        <x:v>上海</x:v>
      </x:c>
      <x:c r="G58" s="18" t="str">
        <x:v>上海市</x:v>
      </x:c>
      <x:c r="H58" s="18" t="str">
        <x:v>东区</x:v>
      </x:c>
      <x:c r="I58" s="18" t="str">
        <x:v>Shopping Mall</x:v>
      </x:c>
      <x:c r="J58" s="18" t="str">
        <x:v>Prestige Shopping Center</x:v>
      </x:c>
      <x:c r="K58" s="18" t="str">
        <x:v>正常</x:v>
      </x:c>
      <x:c r="L58" s="62" t="n">
        <x:v>8</x:v>
      </x:c>
      <x:c r="M58" s="62" t="n">
        <x:v>61</x:v>
      </x:c>
      <x:c r="N58" s="63" t="n">
        <x:f>'Drivers'!C58</x:f>
        <x:v>3999</x:v>
      </x:c>
      <x:c r="O58" s="63" t="n">
        <x:f>'Drivers'!D58</x:f>
        <x:v>1241.329</x:v>
      </x:c>
      <x:c r="P58" s="64" t="n">
        <x:f>ROUND(N58*O58/1000,3)</x:f>
        <x:v>4964.075</x:v>
      </x:c>
      <x:c r="Q58" s="64" t="n">
        <x:f>ROUND(P58*'Drivers'!E58,3)</x:f>
        <x:v>4866.358</x:v>
      </x:c>
      <x:c r="R58" s="64" t="n">
        <x:f>-ROUND(Q58*'Drivers'!F58,3)</x:f>
        <x:v>-893.744</x:v>
      </x:c>
      <x:c r="S58" s="65" t="n">
        <x:f>R58/Q58</x:f>
        <x:v>-0.18365767582245285</x:v>
      </x:c>
      <x:c r="T58" s="64" t="n">
        <x:f>-ROUND(Q58*'Drivers'!G58,3)</x:f>
        <x:v>-101.051</x:v>
      </x:c>
      <x:c r="U58" s="65" t="n">
        <x:f>T58/Q58</x:f>
        <x:v>-0.020765221136628254</x:v>
      </x:c>
      <x:c r="V58" s="64" t="n">
        <x:f>-ROUND(Q58*'Drivers'!H58,3)</x:f>
        <x:v>-54.138</x:v>
      </x:c>
      <x:c r="W58" s="64" t="n">
        <x:f>-ROUND(Q58*'Drivers'!I58,3)</x:f>
        <x:v>-49.803</x:v>
      </x:c>
      <x:c r="X58" s="64" t="n">
        <x:f>-ROUND(Q58*'Drivers'!J58,3)</x:f>
        <x:v>-57.677</x:v>
      </x:c>
      <x:c r="Y58" s="64" t="n">
        <x:f>-ROUND(Q58*'Drivers'!K58,3)</x:f>
        <x:v>-67.828</x:v>
      </x:c>
      <x:c r="Z58" s="64" t="n">
        <x:f>-ROUND(Q58*'Drivers'!L58,3)</x:f>
        <x:v>-61.271</x:v>
      </x:c>
      <x:c r="AA58" s="64" t="n">
        <x:f>-ROUND(Q58*'Drivers'!M58,3)</x:f>
        <x:v>-50.737</x:v>
      </x:c>
      <x:c r="AB58" s="64" t="n">
        <x:f>-ROUND(Q58*'Drivers'!N58,3)</x:f>
        <x:v>-36.911</x:v>
      </x:c>
      <x:c r="AC58" s="64" t="n">
        <x:f>SUM(V58:AB58)</x:f>
        <x:v>-378.365</x:v>
      </x:c>
      <x:c r="AD58" s="65" t="n">
        <x:f>AC58/Q58</x:f>
        <x:v>-0.07775116421767572</x:v>
      </x:c>
      <x:c r="AE58" s="64" t="n">
        <x:f>-ROUND(Q58*'Drivers'!O58,3)</x:f>
        <x:v>-35.997</x:v>
      </x:c>
      <x:c r="AF58" s="65" t="n">
        <x:f>AE58/Q58</x:f>
        <x:v>-0.007397112994974886</x:v>
      </x:c>
      <x:c r="AG58" s="64" t="n">
        <x:f>-ROUND(Q58*'Drivers'!P58,3)</x:f>
        <x:v>-4.988</x:v>
      </x:c>
      <x:c r="AH58" s="64" t="n">
        <x:f>-ROUND(Q58*'Drivers'!Q58,3)</x:f>
        <x:v>-10.17</x:v>
      </x:c>
      <x:c r="AI58" s="64" t="n">
        <x:f>SUM(R58,T58,AC58,AE58,AG58,AH58)</x:f>
        <x:v>-1424.3150000000003</x:v>
      </x:c>
      <x:c r="AJ58" s="65" t="n">
        <x:f>AI58/Q58</x:f>
        <x:v>-0.29268602926459586</x:v>
      </x:c>
      <x:c r="AK58" s="64" t="n">
        <x:f>Q58+AI58</x:f>
        <x:v>3442.0429999999997</x:v>
      </x:c>
      <x:c r="AL58" s="65" t="n">
        <x:f>AK58/Q58</x:f>
        <x:v>0.707313970735404</x:v>
      </x:c>
      <x:c r="AM58" s="64" t="n">
        <x:f>AK58/L58</x:f>
        <x:v>430.25537499999996</x:v>
      </x:c>
      <x:c r="AN58" s="66" t="str">
        <x:f>IF(AM58&lt;=200,"≤200K",IF(AM58&lt;=350,"200–350K",IF(AM58&lt;=500,"350–500K",IF(AM58&lt;=700,"500–700K","&gt;700K"))))</x:f>
        <x:v>350–500K</x:v>
      </x:c>
      <x:c r="AO58" s="64" t="n">
        <x:f>-ROUND(Q58*'Drivers'!R58,3)</x:f>
        <x:v>-1729.307</x:v>
      </x:c>
      <x:c r="AP58" s="64" t="n">
        <x:f>-ROUND(AK58*'Drivers'!S58,3)</x:f>
        <x:v>-56.168</x:v>
      </x:c>
      <x:c r="AQ58" s="64" t="n">
        <x:f>-ROUND(AK58*'Drivers'!T58,3)</x:f>
        <x:v>-14.877</x:v>
      </x:c>
      <x:c r="AR58" s="64" t="n">
        <x:f>-ROUND(AK58*'Drivers'!U58,3)</x:f>
        <x:v>-33.547</x:v>
      </x:c>
      <x:c r="AS58" s="64" t="n">
        <x:f>-ROUND(AK58*'Drivers'!V58,3)</x:f>
        <x:v>-121.461</x:v>
      </x:c>
      <x:c r="AT58" s="64" t="n">
        <x:f>SUM(AO58:AS58)</x:f>
        <x:v>-1955.36</x:v>
      </x:c>
      <x:c r="AU58" s="65" t="n">
        <x:f>AT58/AK58</x:f>
        <x:v>-0.5680812238545538</x:v>
      </x:c>
      <x:c r="AV58" s="64" t="n">
        <x:f>AK58+AT58</x:f>
        <x:v>1486.6829999999998</x:v>
      </x:c>
      <x:c r="AW58" s="65" t="n">
        <x:f>AV58/AK58</x:f>
        <x:v>0.43191877614544616</x:v>
      </x:c>
      <x:c r="AX58" s="64" t="n">
        <x:f>-ROUND(AK58*'Drivers'!W58,3)</x:f>
        <x:v>-36.07</x:v>
      </x:c>
      <x:c r="AY58" s="64" t="n">
        <x:f>-ROUND(AK58*'Drivers'!X58,3)</x:f>
        <x:v>-79.537</x:v>
      </x:c>
      <x:c r="AZ58" s="64" t="n">
        <x:f>-ROUND(AK58*'Drivers'!Y58,3)</x:f>
        <x:v>-62.406</x:v>
      </x:c>
      <x:c r="BA58" s="64" t="n">
        <x:f>-ROUND(AK58*'Drivers'!Z58,3)</x:f>
        <x:v>-25.64</x:v>
      </x:c>
      <x:c r="BB58" s="64" t="n">
        <x:f>-ROUND(AK58*'Drivers'!AA58,3)</x:f>
        <x:v>-19.889</x:v>
      </x:c>
      <x:c r="BC58" s="64" t="n">
        <x:f>SUM(BA58,BB58)</x:f>
        <x:v>-45.528999999999996</x:v>
      </x:c>
      <x:c r="BD58" s="64" t="n">
        <x:f>-ROUND(AK58*'Drivers'!AB58,3)</x:f>
        <x:v>-16.336</x:v>
      </x:c>
      <x:c r="BE58" s="64" t="n">
        <x:f>SUM(AX58:BB58,BD58)</x:f>
        <x:v>-239.87800000000004</x:v>
      </x:c>
      <x:c r="BF58" s="67" t="n">
        <x:f>'Drivers'!AF58</x:f>
        <x:v>15</x:v>
      </x:c>
      <x:c r="BG58" s="64" t="n">
        <x:f>BJ58</x:f>
        <x:v>-97.295</x:v>
      </x:c>
      <x:c r="BH58" s="64" t="n">
        <x:f>BE58/BF58</x:f>
        <x:v>-15.99186666666667</x:v>
      </x:c>
      <x:c r="BI58" s="68" t="n">
        <x:f>BF58/L58</x:f>
        <x:v>1.875</x:v>
      </x:c>
      <x:c r="BJ58" s="64" t="n">
        <x:f>-ROUND(AK58*'Drivers'!AC58,3)</x:f>
        <x:v>-97.295</x:v>
      </x:c>
      <x:c r="BK58" s="64" t="n">
        <x:f>-ROUND(AK58*'Drivers'!AD58,3)</x:f>
        <x:v>-289.969</x:v>
      </x:c>
      <x:c r="BL58" s="64" t="n">
        <x:f>SUM(AV58,BE58,BJ58,BK58)</x:f>
        <x:v>859.5409999999997</x:v>
      </x:c>
      <x:c r="BM58" s="65" t="n">
        <x:f>BL58/AK58</x:f>
        <x:v>0.2497182632523765</x:v>
      </x:c>
      <x:c r="BN58" s="64" t="n">
        <x:f>-ROUND(AK58*'Drivers'!AE58,3)</x:f>
        <x:v>-300.546</x:v>
      </x:c>
      <x:c r="BO58" s="64" t="n">
        <x:f>BL58+BN58</x:f>
        <x:v>558.9949999999997</x:v>
      </x:c>
      <x:c r="BP58" s="65" t="n">
        <x:f>BO58/AK58</x:f>
        <x:v>0.162402096661779</x:v>
      </x:c>
    </x:row>
    <x:row r="59">
      <x:c r="A59" s="61" t="n">
        <x:v>2025</x:v>
      </x:c>
      <x:c r="B59" s="18" t="str">
        <x:v>S2</x:v>
      </x:c>
      <x:c r="C59" s="18" t="str">
        <x:v>2025 S2</x:v>
      </x:c>
      <x:c r="D59" s="18" t="str">
        <x:v>CNCT0015</x:v>
      </x:c>
      <x:c r="E59" s="18" t="str">
        <x:v>上海国金中心</x:v>
      </x:c>
      <x:c r="F59" s="18" t="str">
        <x:v>上海</x:v>
      </x:c>
      <x:c r="G59" s="18" t="str">
        <x:v>上海市</x:v>
      </x:c>
      <x:c r="H59" s="18" t="str">
        <x:v>东区</x:v>
      </x:c>
      <x:c r="I59" s="18" t="str">
        <x:v>Shopping Mall</x:v>
      </x:c>
      <x:c r="J59" s="18" t="str">
        <x:v>Prestige Shopping Center</x:v>
      </x:c>
      <x:c r="K59" s="18" t="str">
        <x:v>正常</x:v>
      </x:c>
      <x:c r="L59" s="62" t="n">
        <x:v>8</x:v>
      </x:c>
      <x:c r="M59" s="62" t="n">
        <x:v>61</x:v>
      </x:c>
      <x:c r="N59" s="63" t="n">
        <x:f>'Drivers'!C59</x:f>
        <x:v>4287</x:v>
      </x:c>
      <x:c r="O59" s="63" t="n">
        <x:f>'Drivers'!D59</x:f>
        <x:v>1256.225</x:v>
      </x:c>
      <x:c r="P59" s="64" t="n">
        <x:f>ROUND(N59*O59/1000,3)</x:f>
        <x:v>5385.437</x:v>
      </x:c>
      <x:c r="Q59" s="64" t="n">
        <x:f>ROUND(P59*'Drivers'!E59,3)</x:f>
        <x:v>5288.669</x:v>
      </x:c>
      <x:c r="R59" s="64" t="n">
        <x:f>-ROUND(Q59*'Drivers'!F59,3)</x:f>
        <x:v>-971.305</x:v>
      </x:c>
      <x:c r="S59" s="65" t="n">
        <x:f>R59/Q59</x:f>
        <x:v>-0.18365774072833826</x:v>
      </x:c>
      <x:c r="T59" s="64" t="n">
        <x:f>-ROUND(Q59*'Drivers'!G59,3)</x:f>
        <x:v>-109.82</x:v>
      </x:c>
      <x:c r="U59" s="65" t="n">
        <x:f>T59/Q59</x:f>
        <x:v>-0.020765149038444265</x:v>
      </x:c>
      <x:c r="V59" s="64" t="n">
        <x:f>-ROUND(Q59*'Drivers'!H59,3)</x:f>
        <x:v>-58.836</x:v>
      </x:c>
      <x:c r="W59" s="64" t="n">
        <x:f>-ROUND(Q59*'Drivers'!I59,3)</x:f>
        <x:v>-54.125</x:v>
      </x:c>
      <x:c r="X59" s="64" t="n">
        <x:f>-ROUND(Q59*'Drivers'!J59,3)</x:f>
        <x:v>-62.682</x:v>
      </x:c>
      <x:c r="Y59" s="64" t="n">
        <x:f>-ROUND(Q59*'Drivers'!K59,3)</x:f>
        <x:v>-73.715</x:v>
      </x:c>
      <x:c r="Z59" s="64" t="n">
        <x:f>-ROUND(Q59*'Drivers'!L59,3)</x:f>
        <x:v>-66.589</x:v>
      </x:c>
      <x:c r="AA59" s="64" t="n">
        <x:f>-ROUND(Q59*'Drivers'!M59,3)</x:f>
        <x:v>-55.14</x:v>
      </x:c>
      <x:c r="AB59" s="64" t="n">
        <x:f>-ROUND(Q59*'Drivers'!N59,3)</x:f>
        <x:v>-40.114</x:v>
      </x:c>
      <x:c r="AC59" s="64" t="n">
        <x:f>SUM(V59:AB59)</x:f>
        <x:v>-411.20099999999996</x:v>
      </x:c>
      <x:c r="AD59" s="65" t="n">
        <x:f>AC59/Q59</x:f>
        <x:v>-0.07775132079545911</x:v>
      </x:c>
      <x:c r="AE59" s="64" t="n">
        <x:f>-ROUND(Q59*'Drivers'!O59,3)</x:f>
        <x:v>-39.12</x:v>
      </x:c>
      <x:c r="AF59" s="65" t="n">
        <x:f>AE59/Q59</x:f>
        <x:v>-0.007396946188161898</x:v>
      </x:c>
      <x:c r="AG59" s="64" t="n">
        <x:f>-ROUND(Q59*'Drivers'!P59,3)</x:f>
        <x:v>-5.421</x:v>
      </x:c>
      <x:c r="AH59" s="64" t="n">
        <x:f>-ROUND(Q59*'Drivers'!Q59,3)</x:f>
        <x:v>-11.052</x:v>
      </x:c>
      <x:c r="AI59" s="64" t="n">
        <x:f>SUM(R59,T59,AC59,AE59,AG59,AH59)</x:f>
        <x:v>-1547.9189999999999</x:v>
      </x:c>
      <x:c r="AJ59" s="65" t="n">
        <x:f>AI59/Q59</x:f>
        <x:v>-0.2926859291061702</x:v>
      </x:c>
      <x:c r="AK59" s="64" t="n">
        <x:f>Q59+AI59</x:f>
        <x:v>3740.75</x:v>
      </x:c>
      <x:c r="AL59" s="65" t="n">
        <x:f>AK59/Q59</x:f>
        <x:v>0.7073140708938298</x:v>
      </x:c>
      <x:c r="AM59" s="64" t="n">
        <x:f>AK59/L59</x:f>
        <x:v>467.59375</x:v>
      </x:c>
      <x:c r="AN59" s="66" t="str">
        <x:f>IF(AM59&lt;=200,"≤200K",IF(AM59&lt;=350,"200–350K",IF(AM59&lt;=500,"350–500K",IF(AM59&lt;=700,"500–700K","&gt;700K"))))</x:f>
        <x:v>350–500K</x:v>
      </x:c>
      <x:c r="AO59" s="64" t="n">
        <x:f>-ROUND(Q59*'Drivers'!R59,3)</x:f>
        <x:v>-1906.257</x:v>
      </x:c>
      <x:c r="AP59" s="64" t="n">
        <x:f>-ROUND(AK59*'Drivers'!S59,3)</x:f>
        <x:v>-61.042</x:v>
      </x:c>
      <x:c r="AQ59" s="64" t="n">
        <x:f>-ROUND(AK59*'Drivers'!T59,3)</x:f>
        <x:v>-16.168</x:v>
      </x:c>
      <x:c r="AR59" s="64" t="n">
        <x:f>-ROUND(AK59*'Drivers'!U59,3)</x:f>
        <x:v>-36.458</x:v>
      </x:c>
      <x:c r="AS59" s="64" t="n">
        <x:f>-ROUND(AK59*'Drivers'!V59,3)</x:f>
        <x:v>-132.002</x:v>
      </x:c>
      <x:c r="AT59" s="64" t="n">
        <x:f>SUM(AO59:AS59)</x:f>
        <x:v>-2151.927</x:v>
      </x:c>
      <x:c r="AU59" s="65" t="n">
        <x:f>AT59/AK59</x:f>
        <x:v>-0.5752661899351734</x:v>
      </x:c>
      <x:c r="AV59" s="64" t="n">
        <x:f>AK59+AT59</x:f>
        <x:v>1588.8229999999999</x:v>
      </x:c>
      <x:c r="AW59" s="65" t="n">
        <x:f>AV59/AK59</x:f>
        <x:v>0.4247338100648265</x:v>
      </x:c>
      <x:c r="AX59" s="64" t="n">
        <x:f>-ROUND(AK59*'Drivers'!W59,3)</x:f>
        <x:v>-39.2</x:v>
      </x:c>
      <x:c r="AY59" s="64" t="n">
        <x:f>-ROUND(AK59*'Drivers'!X59,3)</x:f>
        <x:v>-86.439</x:v>
      </x:c>
      <x:c r="AZ59" s="64" t="n">
        <x:f>-ROUND(AK59*'Drivers'!Y59,3)</x:f>
        <x:v>-67.822</x:v>
      </x:c>
      <x:c r="BA59" s="64" t="n">
        <x:f>-ROUND(AK59*'Drivers'!Z59,3)</x:f>
        <x:v>-27.865</x:v>
      </x:c>
      <x:c r="BB59" s="64" t="n">
        <x:f>-ROUND(AK59*'Drivers'!AA59,3)</x:f>
        <x:v>-21.615</x:v>
      </x:c>
      <x:c r="BC59" s="64" t="n">
        <x:f>SUM(BA59,BB59)</x:f>
        <x:v>-49.48</x:v>
      </x:c>
      <x:c r="BD59" s="64" t="n">
        <x:f>-ROUND(AK59*'Drivers'!AB59,3)</x:f>
        <x:v>-17.754</x:v>
      </x:c>
      <x:c r="BE59" s="64" t="n">
        <x:f>SUM(AX59:BB59,BD59)</x:f>
        <x:v>-260.69500000000005</x:v>
      </x:c>
      <x:c r="BF59" s="67" t="n">
        <x:f>'Drivers'!AF59</x:f>
        <x:v>15</x:v>
      </x:c>
      <x:c r="BG59" s="64" t="n">
        <x:f>BJ59</x:f>
        <x:v>-105.738</x:v>
      </x:c>
      <x:c r="BH59" s="64" t="n">
        <x:f>BE59/BF59</x:f>
        <x:v>-17.37966666666667</x:v>
      </x:c>
      <x:c r="BI59" s="68" t="n">
        <x:f>BF59/L59</x:f>
        <x:v>1.875</x:v>
      </x:c>
      <x:c r="BJ59" s="64" t="n">
        <x:f>-ROUND(AK59*'Drivers'!AC59,3)</x:f>
        <x:v>-105.738</x:v>
      </x:c>
      <x:c r="BK59" s="64" t="n">
        <x:f>-ROUND(AK59*'Drivers'!AD59,3)</x:f>
        <x:v>-315.133</x:v>
      </x:c>
      <x:c r="BL59" s="64" t="n">
        <x:f>SUM(AV59,BE59,BJ59,BK59)</x:f>
        <x:v>907.2569999999996</x:v>
      </x:c>
      <x:c r="BM59" s="65" t="n">
        <x:f>BL59/AK59</x:f>
        <x:v>0.24253344917463066</x:v>
      </x:c>
      <x:c r="BN59" s="64" t="n">
        <x:f>-ROUND(AK59*'Drivers'!AE59,3)</x:f>
        <x:v>-326.628</x:v>
      </x:c>
      <x:c r="BO59" s="64" t="n">
        <x:f>BL59+BN59</x:f>
        <x:v>580.6289999999997</x:v>
      </x:c>
      <x:c r="BP59" s="65" t="n">
        <x:f>BO59/AK59</x:f>
        <x:v>0.15521726926418491</x:v>
      </x:c>
    </x:row>
    <x:row r="60">
      <x:c r="A60" s="61" t="n">
        <x:v>2026</x:v>
      </x:c>
      <x:c r="B60" s="18" t="str">
        <x:v>S1</x:v>
      </x:c>
      <x:c r="C60" s="18" t="str">
        <x:v>2026 S1</x:v>
      </x:c>
      <x:c r="D60" s="18" t="str">
        <x:v>CNCT0015</x:v>
      </x:c>
      <x:c r="E60" s="18" t="str">
        <x:v>上海国金中心</x:v>
      </x:c>
      <x:c r="F60" s="18" t="str">
        <x:v>上海</x:v>
      </x:c>
      <x:c r="G60" s="18" t="str">
        <x:v>上海市</x:v>
      </x:c>
      <x:c r="H60" s="18" t="str">
        <x:v>东区</x:v>
      </x:c>
      <x:c r="I60" s="18" t="str">
        <x:v>Shopping Mall</x:v>
      </x:c>
      <x:c r="J60" s="18" t="str">
        <x:v>Prestige Shopping Center</x:v>
      </x:c>
      <x:c r="K60" s="18" t="str">
        <x:v>正常</x:v>
      </x:c>
      <x:c r="L60" s="62" t="n">
        <x:v>8</x:v>
      </x:c>
      <x:c r="M60" s="62" t="n">
        <x:v>61</x:v>
      </x:c>
      <x:c r="N60" s="63" t="n">
        <x:f>'Drivers'!C60</x:f>
        <x:v>4232</x:v>
      </x:c>
      <x:c r="O60" s="63" t="n">
        <x:f>'Drivers'!D60</x:f>
        <x:v>1312.766</x:v>
      </x:c>
      <x:c r="P60" s="64" t="n">
        <x:f>ROUND(N60*O60/1000,3)</x:f>
        <x:v>5555.626</x:v>
      </x:c>
      <x:c r="Q60" s="64" t="n">
        <x:f>ROUND(P60*'Drivers'!E60,3)</x:f>
        <x:v>5465.655</x:v>
      </x:c>
      <x:c r="R60" s="64" t="n">
        <x:f>-ROUND(Q60*'Drivers'!F60,3)</x:f>
        <x:v>-1222.778</x:v>
      </x:c>
      <x:c r="S60" s="65" t="n">
        <x:f>R60/Q60</x:f>
        <x:v>-0.22372030433680867</x:v>
      </x:c>
      <x:c r="T60" s="64" t="n">
        <x:f>-ROUND(Q60*'Drivers'!G60,3)</x:f>
        <x:v>-108.423</x:v>
      </x:c>
      <x:c r="U60" s="65" t="n">
        <x:f>T60/Q60</x:f>
        <x:v>-0.019837146691476137</x:v>
      </x:c>
      <x:c r="V60" s="64" t="n">
        <x:f>-ROUND(Q60*'Drivers'!H60,3)</x:f>
        <x:v>-60.805</x:v>
      </x:c>
      <x:c r="W60" s="64" t="n">
        <x:f>-ROUND(Q60*'Drivers'!I60,3)</x:f>
        <x:v>-55.937</x:v>
      </x:c>
      <x:c r="X60" s="64" t="n">
        <x:f>-ROUND(Q60*'Drivers'!J60,3)</x:f>
        <x:v>-64.78</x:v>
      </x:c>
      <x:c r="Y60" s="64" t="n">
        <x:f>-ROUND(Q60*'Drivers'!K60,3)</x:f>
        <x:v>-76.182</x:v>
      </x:c>
      <x:c r="Z60" s="64" t="n">
        <x:f>-ROUND(Q60*'Drivers'!L60,3)</x:f>
        <x:v>-68.817</x:v>
      </x:c>
      <x:c r="AA60" s="64" t="n">
        <x:f>-ROUND(Q60*'Drivers'!M60,3)</x:f>
        <x:v>-56.986</x:v>
      </x:c>
      <x:c r="AB60" s="64" t="n">
        <x:f>-ROUND(Q60*'Drivers'!N60,3)</x:f>
        <x:v>-41.456</x:v>
      </x:c>
      <x:c r="AC60" s="64" t="n">
        <x:f>SUM(V60:AB60)</x:f>
        <x:v>-424.963</x:v>
      </x:c>
      <x:c r="AD60" s="65" t="n">
        <x:f>AC60/Q60</x:f>
        <x:v>-0.07775152291902801</x:v>
      </x:c>
      <x:c r="AE60" s="64" t="n">
        <x:f>-ROUND(Q60*'Drivers'!O60,3)</x:f>
        <x:v>-32.447</x:v>
      </x:c>
      <x:c r="AF60" s="65" t="n">
        <x:f>AE60/Q60</x:f>
        <x:v>-0.005936525448459518</x:v>
      </x:c>
      <x:c r="AG60" s="64" t="n">
        <x:f>-ROUND(Q60*'Drivers'!P60,3)</x:f>
        <x:v>-5.602</x:v>
      </x:c>
      <x:c r="AH60" s="64" t="n">
        <x:f>-ROUND(Q60*'Drivers'!Q60,3)</x:f>
        <x:v>-11.422</x:v>
      </x:c>
      <x:c r="AI60" s="64" t="n">
        <x:f>SUM(R60,T60,AC60,AE60,AG60,AH60)</x:f>
        <x:v>-1805.635</x:v>
      </x:c>
      <x:c r="AJ60" s="65" t="n">
        <x:f>AI60/Q60</x:f>
        <x:v>-0.3303602221508676</x:v>
      </x:c>
      <x:c r="AK60" s="64" t="n">
        <x:f>Q60+AI60</x:f>
        <x:v>3660.0199999999995</x:v>
      </x:c>
      <x:c r="AL60" s="65" t="n">
        <x:f>AK60/Q60</x:f>
        <x:v>0.6696397778491324</x:v>
      </x:c>
      <x:c r="AM60" s="64" t="n">
        <x:f>AK60/L60</x:f>
        <x:v>457.50249999999994</x:v>
      </x:c>
      <x:c r="AN60" s="66" t="str">
        <x:f>IF(AM60&lt;=200,"≤200K",IF(AM60&lt;=350,"200–350K",IF(AM60&lt;=500,"350–500K",IF(AM60&lt;=700,"500–700K","&gt;700K"))))</x:f>
        <x:v>350–500K</x:v>
      </x:c>
      <x:c r="AO60" s="64" t="n">
        <x:f>-ROUND(Q60*'Drivers'!R60,3)</x:f>
        <x:v>-1951.701</x:v>
      </x:c>
      <x:c r="AP60" s="64" t="n">
        <x:f>-ROUND(AK60*'Drivers'!S60,3)</x:f>
        <x:v>-59.725</x:v>
      </x:c>
      <x:c r="AQ60" s="64" t="n">
        <x:f>-ROUND(AK60*'Drivers'!T60,3)</x:f>
        <x:v>-15.819</x:v>
      </x:c>
      <x:c r="AR60" s="64" t="n">
        <x:f>-ROUND(AK60*'Drivers'!U60,3)</x:f>
        <x:v>-35.672</x:v>
      </x:c>
      <x:c r="AS60" s="64" t="n">
        <x:f>-ROUND(AK60*'Drivers'!V60,3)</x:f>
        <x:v>-129.153</x:v>
      </x:c>
      <x:c r="AT60" s="64" t="n">
        <x:f>SUM(AO60:AS60)</x:f>
        <x:v>-2192.0699999999997</x:v>
      </x:c>
      <x:c r="AU60" s="65" t="n">
        <x:f>AT60/AK60</x:f>
        <x:v>-0.5989229567051546</x:v>
      </x:c>
      <x:c r="AV60" s="64" t="n">
        <x:f>AK60+AT60</x:f>
        <x:v>1467.9499999999998</x:v>
      </x:c>
      <x:c r="AW60" s="65" t="n">
        <x:f>AV60/AK60</x:f>
        <x:v>0.4010770432948454</x:v>
      </x:c>
      <x:c r="AX60" s="64" t="n">
        <x:f>-ROUND(AK60*'Drivers'!W60,3)</x:f>
        <x:v>-47.193</x:v>
      </x:c>
      <x:c r="AY60" s="64" t="n">
        <x:f>-ROUND(AK60*'Drivers'!X60,3)</x:f>
        <x:v>-104.063</x:v>
      </x:c>
      <x:c r="AZ60" s="64" t="n">
        <x:f>-ROUND(AK60*'Drivers'!Y60,3)</x:f>
        <x:v>-81.651</x:v>
      </x:c>
      <x:c r="BA60" s="64" t="n">
        <x:f>-ROUND(AK60*'Drivers'!Z60,3)</x:f>
        <x:v>-33.547</x:v>
      </x:c>
      <x:c r="BB60" s="64" t="n">
        <x:f>-ROUND(AK60*'Drivers'!AA60,3)</x:f>
        <x:v>-26.023</x:v>
      </x:c>
      <x:c r="BC60" s="64" t="n">
        <x:f>SUM(BA60,BB60)</x:f>
        <x:v>-59.56999999999999</x:v>
      </x:c>
      <x:c r="BD60" s="64" t="n">
        <x:f>-ROUND(AK60*'Drivers'!AB60,3)</x:f>
        <x:v>-21.374</x:v>
      </x:c>
      <x:c r="BE60" s="64" t="n">
        <x:f>SUM(AX60:BB60,BD60)</x:f>
        <x:v>-313.851</x:v>
      </x:c>
      <x:c r="BF60" s="67" t="n">
        <x:f>'Drivers'!AF60</x:f>
        <x:v>15</x:v>
      </x:c>
      <x:c r="BG60" s="64" t="n">
        <x:f>BJ60</x:f>
        <x:v>-127.298</x:v>
      </x:c>
      <x:c r="BH60" s="64" t="n">
        <x:f>BE60/BF60</x:f>
        <x:v>-20.9234</x:v>
      </x:c>
      <x:c r="BI60" s="68" t="n">
        <x:f>BF60/L60</x:f>
        <x:v>1.875</x:v>
      </x:c>
      <x:c r="BJ60" s="64" t="n">
        <x:f>-ROUND(AK60*'Drivers'!AC60,3)</x:f>
        <x:v>-127.298</x:v>
      </x:c>
      <x:c r="BK60" s="64" t="n">
        <x:f>-ROUND(AK60*'Drivers'!AD60,3)</x:f>
        <x:v>-308.332</x:v>
      </x:c>
      <x:c r="BL60" s="64" t="n">
        <x:f>SUM(AV60,BE60,BJ60,BK60)</x:f>
        <x:v>718.4689999999997</x:v>
      </x:c>
      <x:c r="BM60" s="65" t="n">
        <x:f>BL60/AK60</x:f>
        <x:v>0.19630193277632357</x:v>
      </x:c>
      <x:c r="BN60" s="64" t="n">
        <x:f>-ROUND(AK60*'Drivers'!AE60,3)</x:f>
        <x:v>-319.579</x:v>
      </x:c>
      <x:c r="BO60" s="64" t="n">
        <x:f>BL60+BN60</x:f>
        <x:v>398.8899999999997</x:v>
      </x:c>
      <x:c r="BP60" s="65" t="n">
        <x:f>BO60/AK60</x:f>
        <x:v>0.10898574324730459</x:v>
      </x:c>
    </x:row>
    <x:row r="61">
      <x:c r="A61" s="61" t="n">
        <x:v>2026</x:v>
      </x:c>
      <x:c r="B61" s="18" t="str">
        <x:v>S2</x:v>
      </x:c>
      <x:c r="C61" s="18" t="str">
        <x:v>2026 S2</x:v>
      </x:c>
      <x:c r="D61" s="18" t="str">
        <x:v>CNCT0015</x:v>
      </x:c>
      <x:c r="E61" s="18" t="str">
        <x:v>上海国金中心</x:v>
      </x:c>
      <x:c r="F61" s="18" t="str">
        <x:v>上海</x:v>
      </x:c>
      <x:c r="G61" s="18" t="str">
        <x:v>上海市</x:v>
      </x:c>
      <x:c r="H61" s="18" t="str">
        <x:v>东区</x:v>
      </x:c>
      <x:c r="I61" s="18" t="str">
        <x:v>Shopping Mall</x:v>
      </x:c>
      <x:c r="J61" s="18" t="str">
        <x:v>Prestige Shopping Center</x:v>
      </x:c>
      <x:c r="K61" s="18" t="str">
        <x:v>正常</x:v>
      </x:c>
      <x:c r="L61" s="62" t="n">
        <x:v>8</x:v>
      </x:c>
      <x:c r="M61" s="62" t="n">
        <x:v>60</x:v>
      </x:c>
      <x:c r="N61" s="63" t="n">
        <x:f>'Drivers'!C61</x:f>
        <x:v>4662</x:v>
      </x:c>
      <x:c r="O61" s="63" t="n">
        <x:f>'Drivers'!D61</x:f>
        <x:v>1282.244</x:v>
      </x:c>
      <x:c r="P61" s="64" t="n">
        <x:f>ROUND(N61*O61/1000,3)</x:f>
        <x:v>5977.822</x:v>
      </x:c>
      <x:c r="Q61" s="64" t="n">
        <x:f>ROUND(P61*'Drivers'!E61,3)</x:f>
        <x:v>5870.41</x:v>
      </x:c>
      <x:c r="R61" s="64" t="n">
        <x:f>-ROUND(Q61*'Drivers'!F61,3)</x:f>
        <x:v>-1303.827</x:v>
      </x:c>
      <x:c r="S61" s="65" t="n">
        <x:f>R61/Q61</x:f>
        <x:v>-0.22210152272158162</x:v>
      </x:c>
      <x:c r="T61" s="64" t="n">
        <x:f>-ROUND(Q61*'Drivers'!G61,3)</x:f>
        <x:v>-124.085</x:v>
      </x:c>
      <x:c r="U61" s="65" t="n">
        <x:f>T61/Q61</x:f>
        <x:v>-0.021137365192550436</x:v>
      </x:c>
      <x:c r="V61" s="64" t="n">
        <x:f>-ROUND(Q61*'Drivers'!H61,3)</x:f>
        <x:v>-65.308</x:v>
      </x:c>
      <x:c r="W61" s="64" t="n">
        <x:f>-ROUND(Q61*'Drivers'!I61,3)</x:f>
        <x:v>-60.079</x:v>
      </x:c>
      <x:c r="X61" s="64" t="n">
        <x:f>-ROUND(Q61*'Drivers'!J61,3)</x:f>
        <x:v>-69.577</x:v>
      </x:c>
      <x:c r="Y61" s="64" t="n">
        <x:f>-ROUND(Q61*'Drivers'!K61,3)</x:f>
        <x:v>-81.823</x:v>
      </x:c>
      <x:c r="Z61" s="64" t="n">
        <x:f>-ROUND(Q61*'Drivers'!L61,3)</x:f>
        <x:v>-73.913</x:v>
      </x:c>
      <x:c r="AA61" s="64" t="n">
        <x:f>-ROUND(Q61*'Drivers'!M61,3)</x:f>
        <x:v>-61.206</x:v>
      </x:c>
      <x:c r="AB61" s="64" t="n">
        <x:f>-ROUND(Q61*'Drivers'!N61,3)</x:f>
        <x:v>-44.527</x:v>
      </x:c>
      <x:c r="AC61" s="64" t="n">
        <x:f>SUM(V61:AB61)</x:f>
        <x:v>-456.433</x:v>
      </x:c>
      <x:c r="AD61" s="65" t="n">
        <x:f>AC61/Q61</x:f>
        <x:v>-0.0777514688071191</x:v>
      </x:c>
      <x:c r="AE61" s="64" t="n">
        <x:f>-ROUND(Q61*'Drivers'!O61,3)</x:f>
        <x:v>-43.424</x:v>
      </x:c>
      <x:c r="AF61" s="65" t="n">
        <x:f>AE61/Q61</x:f>
        <x:v>-0.007397098328736834</x:v>
      </x:c>
      <x:c r="AG61" s="64" t="n">
        <x:f>-ROUND(Q61*'Drivers'!P61,3)</x:f>
        <x:v>-6.017</x:v>
      </x:c>
      <x:c r="AH61" s="64" t="n">
        <x:f>-ROUND(Q61*'Drivers'!Q61,3)</x:f>
        <x:v>-12.268</x:v>
      </x:c>
      <x:c r="AI61" s="64" t="n">
        <x:f>SUM(R61,T61,AC61,AE61,AG61,AH61)</x:f>
        <x:v>-1946.054</x:v>
      </x:c>
      <x:c r="AJ61" s="65" t="n">
        <x:f>AI61/Q61</x:f>
        <x:v>-0.331502228975489</x:v>
      </x:c>
      <x:c r="AK61" s="64" t="n">
        <x:f>Q61+AI61</x:f>
        <x:v>3924.3559999999998</x:v>
      </x:c>
      <x:c r="AL61" s="65" t="n">
        <x:f>AK61/Q61</x:f>
        <x:v>0.668497771024511</x:v>
      </x:c>
      <x:c r="AM61" s="64" t="n">
        <x:f>AK61/L61</x:f>
        <x:v>490.54449999999997</x:v>
      </x:c>
      <x:c r="AN61" s="66" t="str">
        <x:f>IF(AM61&lt;=200,"≤200K",IF(AM61&lt;=350,"200–350K",IF(AM61&lt;=500,"350–500K",IF(AM61&lt;=700,"500–700K","&gt;700K"))))</x:f>
        <x:v>350–500K</x:v>
      </x:c>
      <x:c r="AO61" s="64" t="n">
        <x:f>-ROUND(Q61*'Drivers'!R61,3)</x:f>
        <x:v>-2115.941</x:v>
      </x:c>
      <x:c r="AP61" s="64" t="n">
        <x:f>-ROUND(AK61*'Drivers'!S61,3)</x:f>
        <x:v>-64.039</x:v>
      </x:c>
      <x:c r="AQ61" s="64" t="n">
        <x:f>-ROUND(AK61*'Drivers'!T61,3)</x:f>
        <x:v>-16.962</x:v>
      </x:c>
      <x:c r="AR61" s="64" t="n">
        <x:f>-ROUND(AK61*'Drivers'!U61,3)</x:f>
        <x:v>-38.248</x:v>
      </x:c>
      <x:c r="AS61" s="64" t="n">
        <x:f>-ROUND(AK61*'Drivers'!V61,3)</x:f>
        <x:v>-138.481</x:v>
      </x:c>
      <x:c r="AT61" s="64" t="n">
        <x:f>SUM(AO61:AS61)</x:f>
        <x:v>-2373.6710000000003</x:v>
      </x:c>
      <x:c r="AU61" s="65" t="n">
        <x:f>AT61/AK61</x:f>
        <x:v>-0.6048561853205979</x:v>
      </x:c>
      <x:c r="AV61" s="64" t="n">
        <x:f>AK61+AT61</x:f>
        <x:v>1550.6849999999995</x:v>
      </x:c>
      <x:c r="AW61" s="65" t="n">
        <x:f>AV61/AK61</x:f>
        <x:v>0.3951438146794021</x:v>
      </x:c>
      <x:c r="AX61" s="64" t="n">
        <x:f>-ROUND(AK61*'Drivers'!W61,3)</x:f>
        <x:v>-43.592</x:v>
      </x:c>
      <x:c r="AY61" s="64" t="n">
        <x:f>-ROUND(AK61*'Drivers'!X61,3)</x:f>
        <x:v>-96.122</x:v>
      </x:c>
      <x:c r="AZ61" s="64" t="n">
        <x:f>-ROUND(AK61*'Drivers'!Y61,3)</x:f>
        <x:v>-75.42</x:v>
      </x:c>
      <x:c r="BA61" s="64" t="n">
        <x:f>-ROUND(AK61*'Drivers'!Z61,3)</x:f>
        <x:v>-30.987</x:v>
      </x:c>
      <x:c r="BB61" s="64" t="n">
        <x:f>-ROUND(AK61*'Drivers'!AA61,3)</x:f>
        <x:v>-24.037</x:v>
      </x:c>
      <x:c r="BC61" s="64" t="n">
        <x:f>SUM(BA61,BB61)</x:f>
        <x:v>-55.024</x:v>
      </x:c>
      <x:c r="BD61" s="64" t="n">
        <x:f>-ROUND(AK61*'Drivers'!AB61,3)</x:f>
        <x:v>-19.743</x:v>
      </x:c>
      <x:c r="BE61" s="64" t="n">
        <x:f>SUM(AX61:BB61,BD61)</x:f>
        <x:v>-289.901</x:v>
      </x:c>
      <x:c r="BF61" s="67" t="n">
        <x:f>'Drivers'!AF61</x:f>
        <x:v>15</x:v>
      </x:c>
      <x:c r="BG61" s="64" t="n">
        <x:f>BJ61</x:f>
        <x:v>-117.584</x:v>
      </x:c>
      <x:c r="BH61" s="64" t="n">
        <x:f>BE61/BF61</x:f>
        <x:v>-19.326733333333333</x:v>
      </x:c>
      <x:c r="BI61" s="68" t="n">
        <x:f>BF61/L61</x:f>
        <x:v>1.875</x:v>
      </x:c>
      <x:c r="BJ61" s="64" t="n">
        <x:f>-ROUND(AK61*'Drivers'!AC61,3)</x:f>
        <x:v>-117.584</x:v>
      </x:c>
      <x:c r="BK61" s="64" t="n">
        <x:f>-ROUND(AK61*'Drivers'!AD61,3)</x:f>
        <x:v>-330.6</x:v>
      </x:c>
      <x:c r="BL61" s="64" t="n">
        <x:f>SUM(AV61,BE61,BJ61,BK61)</x:f>
        <x:v>812.5999999999993</x:v>
      </x:c>
      <x:c r="BM61" s="65" t="n">
        <x:f>BL61/AK61</x:f>
        <x:v>0.20706582175521268</x:v>
      </x:c>
      <x:c r="BN61" s="64" t="n">
        <x:f>-ROUND(AK61*'Drivers'!AE61,3)</x:f>
        <x:v>-342.66</x:v>
      </x:c>
      <x:c r="BO61" s="64" t="n">
        <x:f>BL61+BN61</x:f>
        <x:v>469.9399999999993</x:v>
      </x:c>
      <x:c r="BP61" s="65" t="n">
        <x:f>BO61/AK61</x:f>
        <x:v>0.11974958439040682</x:v>
      </x:c>
    </x:row>
    <x:row r="62">
      <x:c r="A62" s="61" t="n">
        <x:v>2025</x:v>
      </x:c>
      <x:c r="B62" s="18" t="str">
        <x:v>S1</x:v>
      </x:c>
      <x:c r="C62" s="18" t="str">
        <x:v>2025 S1</x:v>
      </x:c>
      <x:c r="D62" s="18" t="str">
        <x:v>CNCT0016</x:v>
      </x:c>
      <x:c r="E62" s="18" t="str">
        <x:v>上海前滩太古里</x:v>
      </x:c>
      <x:c r="F62" s="18" t="str">
        <x:v>上海</x:v>
      </x:c>
      <x:c r="G62" s="18" t="str">
        <x:v>上海市</x:v>
      </x:c>
      <x:c r="H62" s="18" t="str">
        <x:v>东区</x:v>
      </x:c>
      <x:c r="I62" s="18" t="str">
        <x:v>Shopping Mall</x:v>
      </x:c>
      <x:c r="J62" s="18" t="str">
        <x:v>Prestige Shopping Center</x:v>
      </x:c>
      <x:c r="K62" s="18" t="str">
        <x:v>正常</x:v>
      </x:c>
      <x:c r="L62" s="62" t="n">
        <x:v>7</x:v>
      </x:c>
      <x:c r="M62" s="62" t="n">
        <x:v>61</x:v>
      </x:c>
      <x:c r="N62" s="63" t="n">
        <x:f>'Drivers'!C62</x:f>
        <x:v>3865</x:v>
      </x:c>
      <x:c r="O62" s="63" t="n">
        <x:f>'Drivers'!D62</x:f>
        <x:v>1216.676</x:v>
      </x:c>
      <x:c r="P62" s="64" t="n">
        <x:f>ROUND(N62*O62/1000,3)</x:f>
        <x:v>4702.453</x:v>
      </x:c>
      <x:c r="Q62" s="64" t="n">
        <x:f>ROUND(P62*'Drivers'!E62,3)</x:f>
        <x:v>4605.428</x:v>
      </x:c>
      <x:c r="R62" s="64" t="n">
        <x:f>-ROUND(Q62*'Drivers'!F62,3)</x:f>
        <x:v>-746.996</x:v>
      </x:c>
      <x:c r="S62" s="65" t="n">
        <x:f>R62/Q62</x:f>
        <x:v>-0.1621990399155084</x:v>
      </x:c>
      <x:c r="T62" s="64" t="n">
        <x:f>-ROUND(Q62*'Drivers'!G62,3)</x:f>
        <x:v>-53.118</x:v>
      </x:c>
      <x:c r="U62" s="65" t="n">
        <x:f>T62/Q62</x:f>
        <x:v>-0.011533781442245976</x:v>
      </x:c>
      <x:c r="V62" s="64" t="n">
        <x:f>-ROUND(Q62*'Drivers'!H62,3)</x:f>
        <x:v>-43.441</x:v>
      </x:c>
      <x:c r="W62" s="64" t="n">
        <x:f>-ROUND(Q62*'Drivers'!I62,3)</x:f>
        <x:v>-42.808</x:v>
      </x:c>
      <x:c r="X62" s="64" t="n">
        <x:f>-ROUND(Q62*'Drivers'!J62,3)</x:f>
        <x:v>-50.182</x:v>
      </x:c>
      <x:c r="Y62" s="64" t="n">
        <x:f>-ROUND(Q62*'Drivers'!K62,3)</x:f>
        <x:v>-50.747</x:v>
      </x:c>
      <x:c r="Z62" s="64" t="n">
        <x:f>-ROUND(Q62*'Drivers'!L62,3)</x:f>
        <x:v>-39.978</x:v>
      </x:c>
      <x:c r="AA62" s="64" t="n">
        <x:f>-ROUND(Q62*'Drivers'!M62,3)</x:f>
        <x:v>-39.504</x:v>
      </x:c>
      <x:c r="AB62" s="64" t="n">
        <x:f>-ROUND(Q62*'Drivers'!N62,3)</x:f>
        <x:v>-27.645</x:v>
      </x:c>
      <x:c r="AC62" s="64" t="n">
        <x:f>SUM(V62:AB62)</x:f>
        <x:v>-294.305</x:v>
      </x:c>
      <x:c r="AD62" s="65" t="n">
        <x:f>AC62/Q62</x:f>
        <x:v>-0.06390394117549987</x:v>
      </x:c>
      <x:c r="AE62" s="64" t="n">
        <x:f>-ROUND(Q62*'Drivers'!O62,3)</x:f>
        <x:v>-67.921</x:v>
      </x:c>
      <x:c r="AF62" s="65" t="n">
        <x:f>AE62/Q62</x:f>
        <x:v>-0.014748032104725122</x:v>
      </x:c>
      <x:c r="AG62" s="64" t="n">
        <x:f>-ROUND(Q62*'Drivers'!P62,3)</x:f>
        <x:v>-13.03</x:v>
      </x:c>
      <x:c r="AH62" s="64" t="n">
        <x:f>-ROUND(Q62*'Drivers'!Q62,3)</x:f>
        <x:v>-5.707</x:v>
      </x:c>
      <x:c r="AI62" s="64" t="n">
        <x:f>SUM(R62,T62,AC62,AE62,AG62,AH62)</x:f>
        <x:v>-1181.0770000000002</x:v>
      </x:c>
      <x:c r="AJ62" s="65" t="n">
        <x:f>AI62/Q62</x:f>
        <x:v>-0.25645325472464237</x:v>
      </x:c>
      <x:c r="AK62" s="64" t="n">
        <x:f>Q62+AI62</x:f>
        <x:v>3424.3509999999997</x:v>
      </x:c>
      <x:c r="AL62" s="65" t="n">
        <x:f>AK62/Q62</x:f>
        <x:v>0.7435467452753576</x:v>
      </x:c>
      <x:c r="AM62" s="64" t="n">
        <x:f>AK62/L62</x:f>
        <x:v>489.1929999999999</x:v>
      </x:c>
      <x:c r="AN62" s="66" t="str">
        <x:f>IF(AM62&lt;=200,"≤200K",IF(AM62&lt;=350,"200–350K",IF(AM62&lt;=500,"350–500K",IF(AM62&lt;=700,"500–700K","&gt;700K"))))</x:f>
        <x:v>350–500K</x:v>
      </x:c>
      <x:c r="AO62" s="64" t="n">
        <x:f>-ROUND(Q62*'Drivers'!R62,3)</x:f>
        <x:v>-1753.878</x:v>
      </x:c>
      <x:c r="AP62" s="64" t="n">
        <x:f>-ROUND(AK62*'Drivers'!S62,3)</x:f>
        <x:v>-56.991</x:v>
      </x:c>
      <x:c r="AQ62" s="64" t="n">
        <x:f>-ROUND(AK62*'Drivers'!T62,3)</x:f>
        <x:v>-17.729</x:v>
      </x:c>
      <x:c r="AR62" s="64" t="n">
        <x:f>-ROUND(AK62*'Drivers'!U62,3)</x:f>
        <x:v>-19.927</x:v>
      </x:c>
      <x:c r="AS62" s="64" t="n">
        <x:f>-ROUND(AK62*'Drivers'!V62,3)</x:f>
        <x:v>-115.651</x:v>
      </x:c>
      <x:c r="AT62" s="64" t="n">
        <x:f>SUM(AO62:AS62)</x:f>
        <x:v>-1964.176</x:v>
      </x:c>
      <x:c r="AU62" s="65" t="n">
        <x:f>AT62/AK62</x:f>
        <x:v>-0.5735907329593257</x:v>
      </x:c>
      <x:c r="AV62" s="64" t="n">
        <x:f>AK62+AT62</x:f>
        <x:v>1460.1749999999997</x:v>
      </x:c>
      <x:c r="AW62" s="65" t="n">
        <x:f>AV62/AK62</x:f>
        <x:v>0.4264092670406742</x:v>
      </x:c>
      <x:c r="AX62" s="64" t="n">
        <x:f>-ROUND(AK62*'Drivers'!W62,3)</x:f>
        <x:v>-46.625</x:v>
      </x:c>
      <x:c r="AY62" s="64" t="n">
        <x:f>-ROUND(AK62*'Drivers'!X62,3)</x:f>
        <x:v>-71.259</x:v>
      </x:c>
      <x:c r="AZ62" s="64" t="n">
        <x:f>-ROUND(AK62*'Drivers'!Y62,3)</x:f>
        <x:v>-67.472</x:v>
      </x:c>
      <x:c r="BA62" s="64" t="n">
        <x:f>-ROUND(AK62*'Drivers'!Z62,3)</x:f>
        <x:v>-17.893</x:v>
      </x:c>
      <x:c r="BB62" s="64" t="n">
        <x:f>-ROUND(AK62*'Drivers'!AA62,3)</x:f>
        <x:v>-27.617</x:v>
      </x:c>
      <x:c r="BC62" s="64" t="n">
        <x:f>SUM(BA62,BB62)</x:f>
        <x:v>-45.510000000000005</x:v>
      </x:c>
      <x:c r="BD62" s="64" t="n">
        <x:f>-ROUND(AK62*'Drivers'!AB62,3)</x:f>
        <x:v>-23.912</x:v>
      </x:c>
      <x:c r="BE62" s="64" t="n">
        <x:f>SUM(AX62:BB62,BD62)</x:f>
        <x:v>-254.778</x:v>
      </x:c>
      <x:c r="BF62" s="67" t="n">
        <x:f>'Drivers'!AF62</x:f>
        <x:v>10</x:v>
      </x:c>
      <x:c r="BG62" s="64" t="n">
        <x:f>BJ62</x:f>
        <x:v>-86.991</x:v>
      </x:c>
      <x:c r="BH62" s="64" t="n">
        <x:f>BE62/BF62</x:f>
        <x:v>-25.4778</x:v>
      </x:c>
      <x:c r="BI62" s="68" t="n">
        <x:f>BF62/L62</x:f>
        <x:v>1.4285714285714286</x:v>
      </x:c>
      <x:c r="BJ62" s="64" t="n">
        <x:f>-ROUND(AK62*'Drivers'!AC62,3)</x:f>
        <x:v>-86.991</x:v>
      </x:c>
      <x:c r="BK62" s="64" t="n">
        <x:f>-ROUND(AK62*'Drivers'!AD62,3)</x:f>
        <x:v>-360.204</x:v>
      </x:c>
      <x:c r="BL62" s="64" t="n">
        <x:f>SUM(AV62,BE62,BJ62,BK62)</x:f>
        <x:v>758.2019999999998</x:v>
      </x:c>
      <x:c r="BM62" s="65" t="n">
        <x:f>BL62/AK62</x:f>
        <x:v>0.22141480239613281</x:v>
      </x:c>
      <x:c r="BN62" s="64" t="n">
        <x:f>-ROUND(AK62*'Drivers'!AE62,3)</x:f>
        <x:v>-215.243</x:v>
      </x:c>
      <x:c r="BO62" s="64" t="n">
        <x:f>BL62+BN62</x:f>
        <x:v>542.9589999999998</x:v>
      </x:c>
      <x:c r="BP62" s="65" t="n">
        <x:f>BO62/AK62</x:f>
        <x:v>0.15855822022917623</x:v>
      </x:c>
    </x:row>
    <x:row r="63">
      <x:c r="A63" s="61" t="n">
        <x:v>2025</x:v>
      </x:c>
      <x:c r="B63" s="18" t="str">
        <x:v>S2</x:v>
      </x:c>
      <x:c r="C63" s="18" t="str">
        <x:v>2025 S2</x:v>
      </x:c>
      <x:c r="D63" s="18" t="str">
        <x:v>CNCT0016</x:v>
      </x:c>
      <x:c r="E63" s="18" t="str">
        <x:v>上海前滩太古里</x:v>
      </x:c>
      <x:c r="F63" s="18" t="str">
        <x:v>上海</x:v>
      </x:c>
      <x:c r="G63" s="18" t="str">
        <x:v>上海市</x:v>
      </x:c>
      <x:c r="H63" s="18" t="str">
        <x:v>东区</x:v>
      </x:c>
      <x:c r="I63" s="18" t="str">
        <x:v>Shopping Mall</x:v>
      </x:c>
      <x:c r="J63" s="18" t="str">
        <x:v>Prestige Shopping Center</x:v>
      </x:c>
      <x:c r="K63" s="18" t="str">
        <x:v>正常</x:v>
      </x:c>
      <x:c r="L63" s="62" t="n">
        <x:v>7</x:v>
      </x:c>
      <x:c r="M63" s="62" t="n">
        <x:v>61</x:v>
      </x:c>
      <x:c r="N63" s="63" t="n">
        <x:f>'Drivers'!C63</x:f>
        <x:v>4246</x:v>
      </x:c>
      <x:c r="O63" s="63" t="n">
        <x:f>'Drivers'!D63</x:f>
        <x:v>1231.276</x:v>
      </x:c>
      <x:c r="P63" s="64" t="n">
        <x:f>ROUND(N63*O63/1000,3)</x:f>
        <x:v>5227.998</x:v>
      </x:c>
      <x:c r="Q63" s="64" t="n">
        <x:f>ROUND(P63*'Drivers'!E63,3)</x:f>
        <x:v>5083.268</x:v>
      </x:c>
      <x:c r="R63" s="64" t="n">
        <x:f>-ROUND(Q63*'Drivers'!F63,3)</x:f>
        <x:v>-824.501</x:v>
      </x:c>
      <x:c r="S63" s="65" t="n">
        <x:f>R63/Q63</x:f>
        <x:v>-0.16219900268882143</x:v>
      </x:c>
      <x:c r="T63" s="64" t="n">
        <x:f>-ROUND(Q63*'Drivers'!G63,3)</x:f>
        <x:v>-58.629</x:v>
      </x:c>
      <x:c r="U63" s="65" t="n">
        <x:f>T63/Q63</x:f>
        <x:v>-0.011533722007181207</x:v>
      </x:c>
      <x:c r="V63" s="64" t="n">
        <x:f>-ROUND(Q63*'Drivers'!H63,3)</x:f>
        <x:v>-47.948</x:v>
      </x:c>
      <x:c r="W63" s="64" t="n">
        <x:f>-ROUND(Q63*'Drivers'!I63,3)</x:f>
        <x:v>-47.25</x:v>
      </x:c>
      <x:c r="X63" s="64" t="n">
        <x:f>-ROUND(Q63*'Drivers'!J63,3)</x:f>
        <x:v>-55.389</x:v>
      </x:c>
      <x:c r="Y63" s="64" t="n">
        <x:f>-ROUND(Q63*'Drivers'!K63,3)</x:f>
        <x:v>-56.012</x:v>
      </x:c>
      <x:c r="Z63" s="64" t="n">
        <x:f>-ROUND(Q63*'Drivers'!L63,3)</x:f>
        <x:v>-44.125</x:v>
      </x:c>
      <x:c r="AA63" s="64" t="n">
        <x:f>-ROUND(Q63*'Drivers'!M63,3)</x:f>
        <x:v>-43.603</x:v>
      </x:c>
      <x:c r="AB63" s="64" t="n">
        <x:f>-ROUND(Q63*'Drivers'!N63,3)</x:f>
        <x:v>-30.513</x:v>
      </x:c>
      <x:c r="AC63" s="64" t="n">
        <x:f>SUM(V63:AB63)</x:f>
        <x:v>-324.84</x:v>
      </x:c>
      <x:c r="AD63" s="65" t="n">
        <x:f>AC63/Q63</x:f>
        <x:v>-0.06390377214028455</x:v>
      </x:c>
      <x:c r="AE63" s="64" t="n">
        <x:f>-ROUND(Q63*'Drivers'!O63,3)</x:f>
        <x:v>-74.968</x:v>
      </x:c>
      <x:c r="AF63" s="65" t="n">
        <x:f>AE63/Q63</x:f>
        <x:v>-0.014747992826661904</x:v>
      </x:c>
      <x:c r="AG63" s="64" t="n">
        <x:f>-ROUND(Q63*'Drivers'!P63,3)</x:f>
        <x:v>-14.382</x:v>
      </x:c>
      <x:c r="AH63" s="64" t="n">
        <x:f>-ROUND(Q63*'Drivers'!Q63,3)</x:f>
        <x:v>-6.299</x:v>
      </x:c>
      <x:c r="AI63" s="64" t="n">
        <x:f>SUM(R63,T63,AC63,AE63,AG63,AH63)</x:f>
        <x:v>-1303.6190000000001</x:v>
      </x:c>
      <x:c r="AJ63" s="65" t="n">
        <x:f>AI63/Q63</x:f>
        <x:v>-0.2564529353951041</x:v>
      </x:c>
      <x:c r="AK63" s="64" t="n">
        <x:f>Q63+AI63</x:f>
        <x:v>3779.649</x:v>
      </x:c>
      <x:c r="AL63" s="65" t="n">
        <x:f>AK63/Q63</x:f>
        <x:v>0.7435470646048958</x:v>
      </x:c>
      <x:c r="AM63" s="64" t="n">
        <x:f>AK63/L63</x:f>
        <x:v>539.9498571428571</x:v>
      </x:c>
      <x:c r="AN63" s="66" t="str">
        <x:f>IF(AM63&lt;=200,"≤200K",IF(AM63&lt;=350,"200–350K",IF(AM63&lt;=500,"350–500K",IF(AM63&lt;=700,"500–700K","&gt;700K"))))</x:f>
        <x:v>500–700K</x:v>
      </x:c>
      <x:c r="AO63" s="64" t="n">
        <x:f>-ROUND(Q63*'Drivers'!R63,3)</x:f>
        <x:v>-1926.537</x:v>
      </x:c>
      <x:c r="AP63" s="64" t="n">
        <x:f>-ROUND(AK63*'Drivers'!S63,3)</x:f>
        <x:v>-62.904</x:v>
      </x:c>
      <x:c r="AQ63" s="64" t="n">
        <x:f>-ROUND(AK63*'Drivers'!T63,3)</x:f>
        <x:v>-19.569</x:v>
      </x:c>
      <x:c r="AR63" s="64" t="n">
        <x:f>-ROUND(AK63*'Drivers'!U63,3)</x:f>
        <x:v>-21.995</x:v>
      </x:c>
      <x:c r="AS63" s="64" t="n">
        <x:f>-ROUND(AK63*'Drivers'!V63,3)</x:f>
        <x:v>-127.651</x:v>
      </x:c>
      <x:c r="AT63" s="64" t="n">
        <x:f>SUM(AO63:AS63)</x:f>
        <x:v>-2158.656</x:v>
      </x:c>
      <x:c r="AU63" s="65" t="n">
        <x:f>AT63/AK63</x:f>
        <x:v>-0.5711260490061378</x:v>
      </x:c>
      <x:c r="AV63" s="64" t="n">
        <x:f>AK63+AT63</x:f>
        <x:v>1620.993</x:v>
      </x:c>
      <x:c r="AW63" s="65" t="n">
        <x:f>AV63/AK63</x:f>
        <x:v>0.4288739509938621</x:v>
      </x:c>
      <x:c r="AX63" s="64" t="n">
        <x:f>-ROUND(AK63*'Drivers'!W63,3)</x:f>
        <x:v>-51.463</x:v>
      </x:c>
      <x:c r="AY63" s="64" t="n">
        <x:f>-ROUND(AK63*'Drivers'!X63,3)</x:f>
        <x:v>-78.652</x:v>
      </x:c>
      <x:c r="AZ63" s="64" t="n">
        <x:f>-ROUND(AK63*'Drivers'!Y63,3)</x:f>
        <x:v>-74.473</x:v>
      </x:c>
      <x:c r="BA63" s="64" t="n">
        <x:f>-ROUND(AK63*'Drivers'!Z63,3)</x:f>
        <x:v>-19.749</x:v>
      </x:c>
      <x:c r="BB63" s="64" t="n">
        <x:f>-ROUND(AK63*'Drivers'!AA63,3)</x:f>
        <x:v>-30.483</x:v>
      </x:c>
      <x:c r="BC63" s="64" t="n">
        <x:f>SUM(BA63,BB63)</x:f>
        <x:v>-50.232</x:v>
      </x:c>
      <x:c r="BD63" s="64" t="n">
        <x:f>-ROUND(AK63*'Drivers'!AB63,3)</x:f>
        <x:v>-26.393</x:v>
      </x:c>
      <x:c r="BE63" s="64" t="n">
        <x:f>SUM(AX63:BB63,BD63)</x:f>
        <x:v>-281.213</x:v>
      </x:c>
      <x:c r="BF63" s="67" t="n">
        <x:f>'Drivers'!AF63</x:f>
        <x:v>10</x:v>
      </x:c>
      <x:c r="BG63" s="64" t="n">
        <x:f>BJ63</x:f>
        <x:v>-96.017</x:v>
      </x:c>
      <x:c r="BH63" s="64" t="n">
        <x:f>BE63/BF63</x:f>
        <x:v>-28.1213</x:v>
      </x:c>
      <x:c r="BI63" s="68" t="n">
        <x:f>BF63/L63</x:f>
        <x:v>1.4285714285714286</x:v>
      </x:c>
      <x:c r="BJ63" s="64" t="n">
        <x:f>-ROUND(AK63*'Drivers'!AC63,3)</x:f>
        <x:v>-96.017</x:v>
      </x:c>
      <x:c r="BK63" s="64" t="n">
        <x:f>-ROUND(AK63*'Drivers'!AD63,3)</x:f>
        <x:v>-397.578</x:v>
      </x:c>
      <x:c r="BL63" s="64" t="n">
        <x:f>SUM(AV63,BE63,BJ63,BK63)</x:f>
        <x:v>846.185</x:v>
      </x:c>
      <x:c r="BM63" s="65" t="n">
        <x:f>BL63/AK63</x:f>
        <x:v>0.22387925439637382</x:v>
      </x:c>
      <x:c r="BN63" s="64" t="n">
        <x:f>-ROUND(AK63*'Drivers'!AE63,3)</x:f>
        <x:v>-237.576</x:v>
      </x:c>
      <x:c r="BO63" s="64" t="n">
        <x:f>BL63+BN63</x:f>
        <x:v>608.6089999999999</x:v>
      </x:c>
      <x:c r="BP63" s="65" t="n">
        <x:f>BO63/AK63</x:f>
        <x:v>0.16102262405847736</x:v>
      </x:c>
    </x:row>
    <x:row r="64">
      <x:c r="A64" s="61" t="n">
        <x:v>2026</x:v>
      </x:c>
      <x:c r="B64" s="18" t="str">
        <x:v>S1</x:v>
      </x:c>
      <x:c r="C64" s="18" t="str">
        <x:v>2026 S1</x:v>
      </x:c>
      <x:c r="D64" s="18" t="str">
        <x:v>CNCT0016</x:v>
      </x:c>
      <x:c r="E64" s="18" t="str">
        <x:v>上海前滩太古里</x:v>
      </x:c>
      <x:c r="F64" s="18" t="str">
        <x:v>上海</x:v>
      </x:c>
      <x:c r="G64" s="18" t="str">
        <x:v>上海市</x:v>
      </x:c>
      <x:c r="H64" s="18" t="str">
        <x:v>东区</x:v>
      </x:c>
      <x:c r="I64" s="18" t="str">
        <x:v>Shopping Mall</x:v>
      </x:c>
      <x:c r="J64" s="18" t="str">
        <x:v>Prestige Shopping Center</x:v>
      </x:c>
      <x:c r="K64" s="18" t="str">
        <x:v>正常</x:v>
      </x:c>
      <x:c r="L64" s="62" t="n">
        <x:v>7</x:v>
      </x:c>
      <x:c r="M64" s="62" t="n">
        <x:v>61</x:v>
      </x:c>
      <x:c r="N64" s="63" t="n">
        <x:f>'Drivers'!C64</x:f>
        <x:v>4189</x:v>
      </x:c>
      <x:c r="O64" s="63" t="n">
        <x:f>'Drivers'!D64</x:f>
        <x:v>1284.447</x:v>
      </x:c>
      <x:c r="P64" s="64" t="n">
        <x:f>ROUND(N64*O64/1000,3)</x:f>
        <x:v>5380.548</x:v>
      </x:c>
      <x:c r="Q64" s="64" t="n">
        <x:f>ROUND(P64*'Drivers'!E64,3)</x:f>
        <x:v>5290.068</x:v>
      </x:c>
      <x:c r="R64" s="64" t="n">
        <x:f>-ROUND(Q64*'Drivers'!F64,3)</x:f>
        <x:v>-1104.236</x:v>
      </x:c>
      <x:c r="S64" s="65" t="n">
        <x:f>R64/Q64</x:f>
        <x:v>-0.20873758144507784</x:v>
      </x:c>
      <x:c r="T64" s="64" t="n">
        <x:f>-ROUND(Q64*'Drivers'!G64,3)</x:f>
        <x:v>-66.636</x:v>
      </x:c>
      <x:c r="U64" s="65" t="n">
        <x:f>T64/Q64</x:f>
        <x:v>-0.012596435433344145</x:v>
      </x:c>
      <x:c r="V64" s="64" t="n">
        <x:f>-ROUND(Q64*'Drivers'!H64,3)</x:f>
        <x:v>-49.899</x:v>
      </x:c>
      <x:c r="W64" s="64" t="n">
        <x:f>-ROUND(Q64*'Drivers'!I64,3)</x:f>
        <x:v>-49.172</x:v>
      </x:c>
      <x:c r="X64" s="64" t="n">
        <x:f>-ROUND(Q64*'Drivers'!J64,3)</x:f>
        <x:v>-57.642</x:v>
      </x:c>
      <x:c r="Y64" s="64" t="n">
        <x:f>-ROUND(Q64*'Drivers'!K64,3)</x:f>
        <x:v>-58.291</x:v>
      </x:c>
      <x:c r="Z64" s="64" t="n">
        <x:f>-ROUND(Q64*'Drivers'!L64,3)</x:f>
        <x:v>-45.921</x:v>
      </x:c>
      <x:c r="AA64" s="64" t="n">
        <x:f>-ROUND(Q64*'Drivers'!M64,3)</x:f>
        <x:v>-45.377</x:v>
      </x:c>
      <x:c r="AB64" s="64" t="n">
        <x:f>-ROUND(Q64*'Drivers'!N64,3)</x:f>
        <x:v>-31.754</x:v>
      </x:c>
      <x:c r="AC64" s="64" t="n">
        <x:f>SUM(V64:AB64)</x:f>
        <x:v>-338.05600000000004</x:v>
      </x:c>
      <x:c r="AD64" s="65" t="n">
        <x:f>AC64/Q64</x:f>
        <x:v>-0.06390390444886532</x:v>
      </x:c>
      <x:c r="AE64" s="64" t="n">
        <x:f>-ROUND(Q64*'Drivers'!O64,3)</x:f>
        <x:v>-72.491</x:v>
      </x:c>
      <x:c r="AF64" s="65" t="n">
        <x:f>AE64/Q64</x:f>
        <x:v>-0.013703226499167874</x:v>
      </x:c>
      <x:c r="AG64" s="64" t="n">
        <x:f>-ROUND(Q64*'Drivers'!P64,3)</x:f>
        <x:v>-14.967</x:v>
      </x:c>
      <x:c r="AH64" s="64" t="n">
        <x:f>-ROUND(Q64*'Drivers'!Q64,3)</x:f>
        <x:v>-6.555</x:v>
      </x:c>
      <x:c r="AI64" s="64" t="n">
        <x:f>SUM(R64,T64,AC64,AE64,AG64,AH64)</x:f>
        <x:v>-1602.9410000000003</x:v>
      </x:c>
      <x:c r="AJ64" s="65" t="n">
        <x:f>AI64/Q64</x:f>
        <x:v>-0.30300952653160607</x:v>
      </x:c>
      <x:c r="AK64" s="64" t="n">
        <x:f>Q64+AI64</x:f>
        <x:v>3687.127</x:v>
      </x:c>
      <x:c r="AL64" s="65" t="n">
        <x:f>AK64/Q64</x:f>
        <x:v>0.6969904734683939</x:v>
      </x:c>
      <x:c r="AM64" s="64" t="n">
        <x:f>AK64/L64</x:f>
        <x:v>526.7324285714286</x:v>
      </x:c>
      <x:c r="AN64" s="66" t="str">
        <x:f>IF(AM64&lt;=200,"≤200K",IF(AM64&lt;=350,"200–350K",IF(AM64&lt;=500,"350–500K",IF(AM64&lt;=700,"500–700K","&gt;700K"))))</x:f>
        <x:v>500–700K</x:v>
      </x:c>
      <x:c r="AO64" s="64" t="n">
        <x:f>-ROUND(Q64*'Drivers'!R64,3)</x:f>
        <x:v>-2021.431</x:v>
      </x:c>
      <x:c r="AP64" s="64" t="n">
        <x:f>-ROUND(AK64*'Drivers'!S64,3)</x:f>
        <x:v>-61.365</x:v>
      </x:c>
      <x:c r="AQ64" s="64" t="n">
        <x:f>-ROUND(AK64*'Drivers'!T64,3)</x:f>
        <x:v>-19.09</x:v>
      </x:c>
      <x:c r="AR64" s="64" t="n">
        <x:f>-ROUND(AK64*'Drivers'!U64,3)</x:f>
        <x:v>-21.456</x:v>
      </x:c>
      <x:c r="AS64" s="64" t="n">
        <x:f>-ROUND(AK64*'Drivers'!V64,3)</x:f>
        <x:v>-124.526</x:v>
      </x:c>
      <x:c r="AT64" s="64" t="n">
        <x:f>SUM(AO64:AS64)</x:f>
        <x:v>-2247.868</x:v>
      </x:c>
      <x:c r="AU64" s="65" t="n">
        <x:f>AT64/AK64</x:f>
        <x:v>-0.6096529899838004</x:v>
      </x:c>
      <x:c r="AV64" s="64" t="n">
        <x:f>AK64+AT64</x:f>
        <x:v>1439.259</x:v>
      </x:c>
      <x:c r="AW64" s="65" t="n">
        <x:f>AV64/AK64</x:f>
        <x:v>0.3903470100161996</x:v>
      </x:c>
      <x:c r="AX64" s="64" t="n">
        <x:f>-ROUND(AK64*'Drivers'!W64,3)</x:f>
        <x:v>-61.772</x:v>
      </x:c>
      <x:c r="AY64" s="64" t="n">
        <x:f>-ROUND(AK64*'Drivers'!X64,3)</x:f>
        <x:v>-94.409</x:v>
      </x:c>
      <x:c r="AZ64" s="64" t="n">
        <x:f>-ROUND(AK64*'Drivers'!Y64,3)</x:f>
        <x:v>-89.392</x:v>
      </x:c>
      <x:c r="BA64" s="64" t="n">
        <x:f>-ROUND(AK64*'Drivers'!Z64,3)</x:f>
        <x:v>-23.706</x:v>
      </x:c>
      <x:c r="BB64" s="64" t="n">
        <x:f>-ROUND(AK64*'Drivers'!AA64,3)</x:f>
        <x:v>-36.589</x:v>
      </x:c>
      <x:c r="BC64" s="64" t="n">
        <x:f>SUM(BA64,BB64)</x:f>
        <x:v>-60.295</x:v>
      </x:c>
      <x:c r="BD64" s="64" t="n">
        <x:f>-ROUND(AK64*'Drivers'!AB64,3)</x:f>
        <x:v>-31.68</x:v>
      </x:c>
      <x:c r="BE64" s="64" t="n">
        <x:f>SUM(AX64:BB64,BD64)</x:f>
        <x:v>-337.548</x:v>
      </x:c>
      <x:c r="BF64" s="67" t="n">
        <x:f>'Drivers'!AF64</x:f>
        <x:v>10</x:v>
      </x:c>
      <x:c r="BG64" s="64" t="n">
        <x:f>BJ64</x:f>
        <x:v>-115.252</x:v>
      </x:c>
      <x:c r="BH64" s="64" t="n">
        <x:f>BE64/BF64</x:f>
        <x:v>-33.7548</x:v>
      </x:c>
      <x:c r="BI64" s="68" t="n">
        <x:f>BF64/L64</x:f>
        <x:v>1.4285714285714286</x:v>
      </x:c>
      <x:c r="BJ64" s="64" t="n">
        <x:f>-ROUND(AK64*'Drivers'!AC64,3)</x:f>
        <x:v>-115.252</x:v>
      </x:c>
      <x:c r="BK64" s="64" t="n">
        <x:f>-ROUND(AK64*'Drivers'!AD64,3)</x:f>
        <x:v>-387.846</x:v>
      </x:c>
      <x:c r="BL64" s="64" t="n">
        <x:f>SUM(AV64,BE64,BJ64,BK64)</x:f>
        <x:v>598.613</x:v>
      </x:c>
      <x:c r="BM64" s="65" t="n">
        <x:f>BL64/AK64</x:f>
        <x:v>0.1623521511464075</x:v>
      </x:c>
      <x:c r="BN64" s="64" t="n">
        <x:f>-ROUND(AK64*'Drivers'!AE64,3)</x:f>
        <x:v>-231.76</x:v>
      </x:c>
      <x:c r="BO64" s="64" t="n">
        <x:f>BL64+BN64</x:f>
        <x:v>366.85300000000007</x:v>
      </x:c>
      <x:c r="BP64" s="65" t="n">
        <x:f>BO64/AK64</x:f>
        <x:v>0.09949562355731172</x:v>
      </x:c>
    </x:row>
    <x:row r="65">
      <x:c r="A65" s="61" t="n">
        <x:v>2026</x:v>
      </x:c>
      <x:c r="B65" s="18" t="str">
        <x:v>S2</x:v>
      </x:c>
      <x:c r="C65" s="18" t="str">
        <x:v>2026 S2</x:v>
      </x:c>
      <x:c r="D65" s="18" t="str">
        <x:v>CNCT0016</x:v>
      </x:c>
      <x:c r="E65" s="18" t="str">
        <x:v>上海前滩太古里</x:v>
      </x:c>
      <x:c r="F65" s="18" t="str">
        <x:v>上海</x:v>
      </x:c>
      <x:c r="G65" s="18" t="str">
        <x:v>上海市</x:v>
      </x:c>
      <x:c r="H65" s="18" t="str">
        <x:v>东区</x:v>
      </x:c>
      <x:c r="I65" s="18" t="str">
        <x:v>Shopping Mall</x:v>
      </x:c>
      <x:c r="J65" s="18" t="str">
        <x:v>Prestige Shopping Center</x:v>
      </x:c>
      <x:c r="K65" s="18" t="str">
        <x:v>正常</x:v>
      </x:c>
      <x:c r="L65" s="62" t="n">
        <x:v>7</x:v>
      </x:c>
      <x:c r="M65" s="62" t="n">
        <x:v>60</x:v>
      </x:c>
      <x:c r="N65" s="63" t="n">
        <x:f>'Drivers'!C65</x:f>
        <x:v>4477</x:v>
      </x:c>
      <x:c r="O65" s="63" t="n">
        <x:f>'Drivers'!D65</x:f>
        <x:v>1276.102</x:v>
      </x:c>
      <x:c r="P65" s="64" t="n">
        <x:f>ROUND(N65*O65/1000,3)</x:f>
        <x:v>5713.109</x:v>
      </x:c>
      <x:c r="Q65" s="64" t="n">
        <x:f>ROUND(P65*'Drivers'!E65,3)</x:f>
        <x:v>5554.95</x:v>
      </x:c>
      <x:c r="R65" s="64" t="n">
        <x:f>-ROUND(Q65*'Drivers'!F65,3)</x:f>
        <x:v>-1067.853</x:v>
      </x:c>
      <x:c r="S65" s="65" t="n">
        <x:f>R65/Q65</x:f>
        <x:v>-0.19223449355979805</x:v>
      </x:c>
      <x:c r="T65" s="64" t="n">
        <x:f>-ROUND(Q65*'Drivers'!G65,3)</x:f>
        <x:v>-53.442</x:v>
      </x:c>
      <x:c r="U65" s="65" t="n">
        <x:f>T65/Q65</x:f>
        <x:v>-0.009620608646342451</x:v>
      </x:c>
      <x:c r="V65" s="64" t="n">
        <x:f>-ROUND(Q65*'Drivers'!H65,3)</x:f>
        <x:v>-52.397</x:v>
      </x:c>
      <x:c r="W65" s="64" t="n">
        <x:f>-ROUND(Q65*'Drivers'!I65,3)</x:f>
        <x:v>-51.634</x:v>
      </x:c>
      <x:c r="X65" s="64" t="n">
        <x:f>-ROUND(Q65*'Drivers'!J65,3)</x:f>
        <x:v>-60.528</x:v>
      </x:c>
      <x:c r="Y65" s="64" t="n">
        <x:f>-ROUND(Q65*'Drivers'!K65,3)</x:f>
        <x:v>-61.21</x:v>
      </x:c>
      <x:c r="Z65" s="64" t="n">
        <x:f>-ROUND(Q65*'Drivers'!L65,3)</x:f>
        <x:v>-48.22</x:v>
      </x:c>
      <x:c r="AA65" s="64" t="n">
        <x:f>-ROUND(Q65*'Drivers'!M65,3)</x:f>
        <x:v>-47.649</x:v>
      </x:c>
      <x:c r="AB65" s="64" t="n">
        <x:f>-ROUND(Q65*'Drivers'!N65,3)</x:f>
        <x:v>-33.344</x:v>
      </x:c>
      <x:c r="AC65" s="64" t="n">
        <x:f>SUM(V65:AB65)</x:f>
        <x:v>-354.982</x:v>
      </x:c>
      <x:c r="AD65" s="65" t="n">
        <x:f>AC65/Q65</x:f>
        <x:v>-0.06390372550608017</x:v>
      </x:c>
      <x:c r="AE65" s="64" t="n">
        <x:f>-ROUND(Q65*'Drivers'!O65,3)</x:f>
        <x:v>-81.924</x:v>
      </x:c>
      <x:c r="AF65" s="65" t="n">
        <x:f>AE65/Q65</x:f>
        <x:v>-0.014747927524100129</x:v>
      </x:c>
      <x:c r="AG65" s="64" t="n">
        <x:f>-ROUND(Q65*'Drivers'!P65,3)</x:f>
        <x:v>-15.716</x:v>
      </x:c>
      <x:c r="AH65" s="64" t="n">
        <x:f>-ROUND(Q65*'Drivers'!Q65,3)</x:f>
        <x:v>-6.883</x:v>
      </x:c>
      <x:c r="AI65" s="64" t="n">
        <x:f>SUM(R65,T65,AC65,AE65,AG65,AH65)</x:f>
        <x:v>-1580.8</x:v>
      </x:c>
      <x:c r="AJ65" s="65" t="n">
        <x:f>AI65/Q65</x:f>
        <x:v>-0.2845750186770358</x:v>
      </x:c>
      <x:c r="AK65" s="64" t="n">
        <x:f>Q65+AI65</x:f>
        <x:v>3974.1499999999996</x:v>
      </x:c>
      <x:c r="AL65" s="65" t="n">
        <x:f>AK65/Q65</x:f>
        <x:v>0.7154249813229642</x:v>
      </x:c>
      <x:c r="AM65" s="64" t="n">
        <x:f>AK65/L65</x:f>
        <x:v>567.7357142857143</x:v>
      </x:c>
      <x:c r="AN65" s="66" t="str">
        <x:f>IF(AM65&lt;=200,"≤200K",IF(AM65&lt;=350,"200–350K",IF(AM65&lt;=500,"350–500K",IF(AM65&lt;=700,"500–700K","&gt;700K"))))</x:f>
        <x:v>500–700K</x:v>
      </x:c>
      <x:c r="AO65" s="64" t="n">
        <x:f>-ROUND(Q65*'Drivers'!R65,3)</x:f>
        <x:v>-2105.303</x:v>
      </x:c>
      <x:c r="AP65" s="64" t="n">
        <x:f>-ROUND(AK65*'Drivers'!S65,3)</x:f>
        <x:v>-66.141</x:v>
      </x:c>
      <x:c r="AQ65" s="64" t="n">
        <x:f>-ROUND(AK65*'Drivers'!T65,3)</x:f>
        <x:v>-20.576</x:v>
      </x:c>
      <x:c r="AR65" s="64" t="n">
        <x:f>-ROUND(AK65*'Drivers'!U65,3)</x:f>
        <x:v>-23.127</x:v>
      </x:c>
      <x:c r="AS65" s="64" t="n">
        <x:f>-ROUND(AK65*'Drivers'!V65,3)</x:f>
        <x:v>-134.22</x:v>
      </x:c>
      <x:c r="AT65" s="64" t="n">
        <x:f>SUM(AO65:AS65)</x:f>
        <x:v>-2349.3669999999997</x:v>
      </x:c>
      <x:c r="AU65" s="65" t="n">
        <x:f>AT65/AK65</x:f>
        <x:v>-0.5911621352993722</x:v>
      </x:c>
      <x:c r="AV65" s="64" t="n">
        <x:f>AK65+AT65</x:f>
        <x:v>1624.783</x:v>
      </x:c>
      <x:c r="AW65" s="65" t="n">
        <x:f>AV65/AK65</x:f>
        <x:v>0.40883786470062783</x:v>
      </x:c>
      <x:c r="AX65" s="64" t="n">
        <x:f>-ROUND(AK65*'Drivers'!W65,3)</x:f>
        <x:v>-57.357</x:v>
      </x:c>
      <x:c r="AY65" s="64" t="n">
        <x:f>-ROUND(AK65*'Drivers'!X65,3)</x:f>
        <x:v>-87.662</x:v>
      </x:c>
      <x:c r="AZ65" s="64" t="n">
        <x:f>-ROUND(AK65*'Drivers'!Y65,3)</x:f>
        <x:v>-83.003</x:v>
      </x:c>
      <x:c r="BA65" s="64" t="n">
        <x:f>-ROUND(AK65*'Drivers'!Z65,3)</x:f>
        <x:v>-22.012</x:v>
      </x:c>
      <x:c r="BB65" s="64" t="n">
        <x:f>-ROUND(AK65*'Drivers'!AA65,3)</x:f>
        <x:v>-33.975</x:v>
      </x:c>
      <x:c r="BC65" s="64" t="n">
        <x:f>SUM(BA65,BB65)</x:f>
        <x:v>-55.987</x:v>
      </x:c>
      <x:c r="BD65" s="64" t="n">
        <x:f>-ROUND(AK65*'Drivers'!AB65,3)</x:f>
        <x:v>-29.416</x:v>
      </x:c>
      <x:c r="BE65" s="64" t="n">
        <x:f>SUM(AX65:BB65,BD65)</x:f>
        <x:v>-313.425</x:v>
      </x:c>
      <x:c r="BF65" s="67" t="n">
        <x:f>'Drivers'!AF65</x:f>
        <x:v>10</x:v>
      </x:c>
      <x:c r="BG65" s="64" t="n">
        <x:f>BJ65</x:f>
        <x:v>-107.015</x:v>
      </x:c>
      <x:c r="BH65" s="64" t="n">
        <x:f>BE65/BF65</x:f>
        <x:v>-31.3425</x:v>
      </x:c>
      <x:c r="BI65" s="68" t="n">
        <x:f>BF65/L65</x:f>
        <x:v>1.4285714285714286</x:v>
      </x:c>
      <x:c r="BJ65" s="64" t="n">
        <x:f>-ROUND(AK65*'Drivers'!AC65,3)</x:f>
        <x:v>-107.015</x:v>
      </x:c>
      <x:c r="BK65" s="64" t="n">
        <x:f>-ROUND(AK65*'Drivers'!AD65,3)</x:f>
        <x:v>-418.037</x:v>
      </x:c>
      <x:c r="BL65" s="64" t="n">
        <x:f>SUM(AV65,BE65,BJ65,BK65)</x:f>
        <x:v>786.3059999999998</x:v>
      </x:c>
      <x:c r="BM65" s="65" t="n">
        <x:f>BL65/AK65</x:f>
        <x:v>0.19785513883471934</x:v>
      </x:c>
      <x:c r="BN65" s="64" t="n">
        <x:f>-ROUND(AK65*'Drivers'!AE65,3)</x:f>
        <x:v>-249.802</x:v>
      </x:c>
      <x:c r="BO65" s="64" t="n">
        <x:f>BL65+BN65</x:f>
        <x:v>536.5039999999998</x:v>
      </x:c>
      <x:c r="BP65" s="65" t="n">
        <x:f>BO65/AK65</x:f>
        <x:v>0.13499842733666315</x:v>
      </x:c>
    </x:row>
    <x:row r="66">
      <x:c r="A66" s="61" t="n">
        <x:v>2025</x:v>
      </x:c>
      <x:c r="B66" s="18" t="str">
        <x:v>S1</x:v>
      </x:c>
      <x:c r="C66" s="18" t="str">
        <x:v>2025 S1</x:v>
      </x:c>
      <x:c r="D66" s="18" t="str">
        <x:v>CNCT0017</x:v>
      </x:c>
      <x:c r="E66" s="18" t="str">
        <x:v>上海南京路新世界城</x:v>
      </x:c>
      <x:c r="F66" s="18" t="str">
        <x:v>上海</x:v>
      </x:c>
      <x:c r="G66" s="18" t="str">
        <x:v>上海市</x:v>
      </x:c>
      <x:c r="H66" s="18" t="str">
        <x:v>东区</x:v>
      </x:c>
      <x:c r="I66" s="18" t="str">
        <x:v>Shopping Mall</x:v>
      </x:c>
      <x:c r="J66" s="18" t="str">
        <x:v>Regional Mall</x:v>
      </x:c>
      <x:c r="K66" s="18" t="str">
        <x:v>正常</x:v>
      </x:c>
      <x:c r="L66" s="62" t="n">
        <x:v>6</x:v>
      </x:c>
      <x:c r="M66" s="62" t="n">
        <x:v>61</x:v>
      </x:c>
      <x:c r="N66" s="63" t="n">
        <x:f>'Drivers'!C66</x:f>
        <x:v>2631</x:v>
      </x:c>
      <x:c r="O66" s="63" t="n">
        <x:f>'Drivers'!D66</x:f>
        <x:v>945.54</x:v>
      </x:c>
      <x:c r="P66" s="64" t="n">
        <x:f>ROUND(N66*O66/1000,3)</x:f>
        <x:v>2487.716</x:v>
      </x:c>
      <x:c r="Q66" s="64" t="n">
        <x:f>ROUND(P66*'Drivers'!E66,3)</x:f>
        <x:v>2434.184</x:v>
      </x:c>
      <x:c r="R66" s="64" t="n">
        <x:f>-ROUND(Q66*'Drivers'!F66,3)</x:f>
        <x:v>-365.107</x:v>
      </x:c>
      <x:c r="S66" s="65" t="n">
        <x:f>R66/Q66</x:f>
        <x:v>-0.14999153720507571</x:v>
      </x:c>
      <x:c r="T66" s="64" t="n">
        <x:f>-ROUND(Q66*'Drivers'!G66,3)</x:f>
        <x:v>-33.984</x:v>
      </x:c>
      <x:c r="U66" s="65" t="n">
        <x:f>T66/Q66</x:f>
        <x:v>-0.013961146733361159</x:v>
      </x:c>
      <x:c r="V66" s="64" t="n">
        <x:f>-ROUND(Q66*'Drivers'!H66,3)</x:f>
        <x:v>-19.755</x:v>
      </x:c>
      <x:c r="W66" s="64" t="n">
        <x:f>-ROUND(Q66*'Drivers'!I66,3)</x:f>
        <x:v>-21.214</x:v>
      </x:c>
      <x:c r="X66" s="64" t="n">
        <x:f>-ROUND(Q66*'Drivers'!J66,3)</x:f>
        <x:v>-40.8</x:v>
      </x:c>
      <x:c r="Y66" s="64" t="n">
        <x:f>-ROUND(Q66*'Drivers'!K66,3)</x:f>
        <x:v>-27.244</x:v>
      </x:c>
      <x:c r="Z66" s="64" t="n">
        <x:f>-ROUND(Q66*'Drivers'!L66,3)</x:f>
        <x:v>-25.644</x:v>
      </x:c>
      <x:c r="AA66" s="64" t="n">
        <x:f>-ROUND(Q66*'Drivers'!M66,3)</x:f>
        <x:v>-16.412</x:v>
      </x:c>
      <x:c r="AB66" s="64" t="n">
        <x:f>-ROUND(Q66*'Drivers'!N66,3)</x:f>
        <x:v>-13.481</x:v>
      </x:c>
      <x:c r="AC66" s="64" t="n">
        <x:f>SUM(V66:AB66)</x:f>
        <x:v>-164.54999999999998</x:v>
      </x:c>
      <x:c r="AD66" s="65" t="n">
        <x:f>AC66/Q66</x:f>
        <x:v>-0.06759965557246288</x:v>
      </x:c>
      <x:c r="AE66" s="64" t="n">
        <x:f>-ROUND(Q66*'Drivers'!O66,3)</x:f>
        <x:v>-33.598</x:v>
      </x:c>
      <x:c r="AF66" s="65" t="n">
        <x:f>AE66/Q66</x:f>
        <x:v>-0.013802572032352524</x:v>
      </x:c>
      <x:c r="AG66" s="64" t="n">
        <x:f>-ROUND(Q66*'Drivers'!P66,3)</x:f>
        <x:v>-0.207</x:v>
      </x:c>
      <x:c r="AH66" s="64" t="n">
        <x:f>-ROUND(Q66*'Drivers'!Q66,3)</x:f>
        <x:v>-13.812</x:v>
      </x:c>
      <x:c r="AI66" s="64" t="n">
        <x:f>SUM(R66,T66,AC66,AE66,AG66,AH66)</x:f>
        <x:v>-611.2579999999999</x:v>
      </x:c>
      <x:c r="AJ66" s="65" t="n">
        <x:f>AI66/Q66</x:f>
        <x:v>-0.25111413105993624</x:v>
      </x:c>
      <x:c r="AK66" s="64" t="n">
        <x:f>Q66+AI66</x:f>
        <x:v>1822.9260000000004</x:v>
      </x:c>
      <x:c r="AL66" s="65" t="n">
        <x:f>AK66/Q66</x:f>
        <x:v>0.7488858689400638</x:v>
      </x:c>
      <x:c r="AM66" s="64" t="n">
        <x:f>AK66/L66</x:f>
        <x:v>303.8210000000001</x:v>
      </x:c>
      <x:c r="AN66" s="66" t="str">
        <x:f>IF(AM66&lt;=200,"≤200K",IF(AM66&lt;=350,"200–350K",IF(AM66&lt;=500,"350–500K",IF(AM66&lt;=700,"500–700K","&gt;700K"))))</x:f>
        <x:v>200–350K</x:v>
      </x:c>
      <x:c r="AO66" s="64" t="n">
        <x:f>-ROUND(Q66*'Drivers'!R66,3)</x:f>
        <x:v>-947.523</x:v>
      </x:c>
      <x:c r="AP66" s="64" t="n">
        <x:f>-ROUND(AK66*'Drivers'!S66,3)</x:f>
        <x:v>-30.196</x:v>
      </x:c>
      <x:c r="AQ66" s="64" t="n">
        <x:f>-ROUND(AK66*'Drivers'!T66,3)</x:f>
        <x:v>-11.874</x:v>
      </x:c>
      <x:c r="AR66" s="64" t="n">
        <x:f>-ROUND(AK66*'Drivers'!U66,3)</x:f>
        <x:v>-23.209</x:v>
      </x:c>
      <x:c r="AS66" s="64" t="n">
        <x:f>-ROUND(AK66*'Drivers'!V66,3)</x:f>
        <x:v>-72.319</x:v>
      </x:c>
      <x:c r="AT66" s="64" t="n">
        <x:f>SUM(AO66:AS66)</x:f>
        <x:v>-1085.121</x:v>
      </x:c>
      <x:c r="AU66" s="65" t="n">
        <x:f>AT66/AK66</x:f>
        <x:v>-0.5952633293946106</x:v>
      </x:c>
      <x:c r="AV66" s="64" t="n">
        <x:f>AK66+AT66</x:f>
        <x:v>737.8050000000003</x:v>
      </x:c>
      <x:c r="AW66" s="65" t="n">
        <x:f>AV66/AK66</x:f>
        <x:v>0.4047366706053894</x:v>
      </x:c>
      <x:c r="AX66" s="64" t="n">
        <x:f>-ROUND(AK66*'Drivers'!W66,3)</x:f>
        <x:v>-17.963</x:v>
      </x:c>
      <x:c r="AY66" s="64" t="n">
        <x:f>-ROUND(AK66*'Drivers'!X66,3)</x:f>
        <x:v>-46.115</x:v>
      </x:c>
      <x:c r="AZ66" s="64" t="n">
        <x:f>-ROUND(AK66*'Drivers'!Y66,3)</x:f>
        <x:v>-27.159</x:v>
      </x:c>
      <x:c r="BA66" s="64" t="n">
        <x:f>-ROUND(AK66*'Drivers'!Z66,3)</x:f>
        <x:v>-14.03</x:v>
      </x:c>
      <x:c r="BB66" s="64" t="n">
        <x:f>-ROUND(AK66*'Drivers'!AA66,3)</x:f>
        <x:v>-13.746</x:v>
      </x:c>
      <x:c r="BC66" s="64" t="n">
        <x:f>SUM(BA66,BB66)</x:f>
        <x:v>-27.776</x:v>
      </x:c>
      <x:c r="BD66" s="64" t="n">
        <x:f>-ROUND(AK66*'Drivers'!AB66,3)</x:f>
        <x:v>-7.13</x:v>
      </x:c>
      <x:c r="BE66" s="64" t="n">
        <x:f>SUM(AX66:BB66,BD66)</x:f>
        <x:v>-126.14299999999999</x:v>
      </x:c>
      <x:c r="BF66" s="67" t="n">
        <x:f>'Drivers'!AF66</x:f>
        <x:v>8</x:v>
      </x:c>
      <x:c r="BG66" s="64" t="n">
        <x:f>BJ66</x:f>
        <x:v>-34.042</x:v>
      </x:c>
      <x:c r="BH66" s="64" t="n">
        <x:f>BE66/BF66</x:f>
        <x:v>-15.767874999999998</x:v>
      </x:c>
      <x:c r="BI66" s="68" t="n">
        <x:f>BF66/L66</x:f>
        <x:v>1.3333333333333333</x:v>
      </x:c>
      <x:c r="BJ66" s="64" t="n">
        <x:f>-ROUND(AK66*'Drivers'!AC66,3)</x:f>
        <x:v>-34.042</x:v>
      </x:c>
      <x:c r="BK66" s="64" t="n">
        <x:f>-ROUND(AK66*'Drivers'!AD66,3)</x:f>
        <x:v>-222.975</x:v>
      </x:c>
      <x:c r="BL66" s="64" t="n">
        <x:f>SUM(AV66,BE66,BJ66,BK66)</x:f>
        <x:v>354.6450000000002</x:v>
      </x:c>
      <x:c r="BM66" s="65" t="n">
        <x:f>BL66/AK66</x:f>
        <x:v>0.19454711820446915</x:v>
      </x:c>
      <x:c r="BN66" s="64" t="n">
        <x:f>-ROUND(AK66*'Drivers'!AE66,3)</x:f>
        <x:v>-116.804</x:v>
      </x:c>
      <x:c r="BO66" s="64" t="n">
        <x:f>BL66+BN66</x:f>
        <x:v>237.8410000000002</x:v>
      </x:c>
      <x:c r="BP66" s="65" t="n">
        <x:f>BO66/AK66</x:f>
        <x:v>0.13047210912565851</x:v>
      </x:c>
    </x:row>
    <x:row r="67">
      <x:c r="A67" s="61" t="n">
        <x:v>2025</x:v>
      </x:c>
      <x:c r="B67" s="18" t="str">
        <x:v>S2</x:v>
      </x:c>
      <x:c r="C67" s="18" t="str">
        <x:v>2025 S2</x:v>
      </x:c>
      <x:c r="D67" s="18" t="str">
        <x:v>CNCT0017</x:v>
      </x:c>
      <x:c r="E67" s="18" t="str">
        <x:v>上海南京路新世界城</x:v>
      </x:c>
      <x:c r="F67" s="18" t="str">
        <x:v>上海</x:v>
      </x:c>
      <x:c r="G67" s="18" t="str">
        <x:v>上海市</x:v>
      </x:c>
      <x:c r="H67" s="18" t="str">
        <x:v>东区</x:v>
      </x:c>
      <x:c r="I67" s="18" t="str">
        <x:v>Shopping Mall</x:v>
      </x:c>
      <x:c r="J67" s="18" t="str">
        <x:v>Regional Mall</x:v>
      </x:c>
      <x:c r="K67" s="18" t="str">
        <x:v>正常</x:v>
      </x:c>
      <x:c r="L67" s="62" t="n">
        <x:v>6</x:v>
      </x:c>
      <x:c r="M67" s="62" t="n">
        <x:v>61</x:v>
      </x:c>
      <x:c r="N67" s="63" t="n">
        <x:f>'Drivers'!C67</x:f>
        <x:v>2763</x:v>
      </x:c>
      <x:c r="O67" s="63" t="n">
        <x:f>'Drivers'!D67</x:f>
        <x:v>956.887</x:v>
      </x:c>
      <x:c r="P67" s="64" t="n">
        <x:f>ROUND(N67*O67/1000,3)</x:f>
        <x:v>2643.879</x:v>
      </x:c>
      <x:c r="Q67" s="64" t="n">
        <x:f>ROUND(P67*'Drivers'!E67,3)</x:f>
        <x:v>2591.183</x:v>
      </x:c>
      <x:c r="R67" s="64" t="n">
        <x:f>-ROUND(Q67*'Drivers'!F67,3)</x:f>
        <x:v>-388.655</x:v>
      </x:c>
      <x:c r="S67" s="65" t="n">
        <x:f>R67/Q67</x:f>
        <x:v>-0.1499913360036709</x:v>
      </x:c>
      <x:c r="T67" s="64" t="n">
        <x:f>-ROUND(Q67*'Drivers'!G67,3)</x:f>
        <x:v>-36.175</x:v>
      </x:c>
      <x:c r="U67" s="65" t="n">
        <x:f>T67/Q67</x:f>
        <x:v>-0.0139608047752706</x:v>
      </x:c>
      <x:c r="V67" s="64" t="n">
        <x:f>-ROUND(Q67*'Drivers'!H67,3)</x:f>
        <x:v>-21.029</x:v>
      </x:c>
      <x:c r="W67" s="64" t="n">
        <x:f>-ROUND(Q67*'Drivers'!I67,3)</x:f>
        <x:v>-22.583</x:v>
      </x:c>
      <x:c r="X67" s="64" t="n">
        <x:f>-ROUND(Q67*'Drivers'!J67,3)</x:f>
        <x:v>-43.431</x:v>
      </x:c>
      <x:c r="Y67" s="64" t="n">
        <x:f>-ROUND(Q67*'Drivers'!K67,3)</x:f>
        <x:v>-29.001</x:v>
      </x:c>
      <x:c r="Z67" s="64" t="n">
        <x:f>-ROUND(Q67*'Drivers'!L67,3)</x:f>
        <x:v>-27.298</x:v>
      </x:c>
      <x:c r="AA67" s="64" t="n">
        <x:f>-ROUND(Q67*'Drivers'!M67,3)</x:f>
        <x:v>-17.47</x:v>
      </x:c>
      <x:c r="AB67" s="64" t="n">
        <x:f>-ROUND(Q67*'Drivers'!N67,3)</x:f>
        <x:v>-14.35</x:v>
      </x:c>
      <x:c r="AC67" s="64" t="n">
        <x:f>SUM(V67:AB67)</x:f>
        <x:v>-175.16199999999998</x:v>
      </x:c>
      <x:c r="AD67" s="65" t="n">
        <x:f>AC67/Q67</x:f>
        <x:v>-0.06759923942075877</x:v>
      </x:c>
      <x:c r="AE67" s="64" t="n">
        <x:f>-ROUND(Q67*'Drivers'!O67,3)</x:f>
        <x:v>-35.765</x:v>
      </x:c>
      <x:c r="AF67" s="65" t="n">
        <x:f>AE67/Q67</x:f>
        <x:v>-0.013802575889082323</x:v>
      </x:c>
      <x:c r="AG67" s="64" t="n">
        <x:f>-ROUND(Q67*'Drivers'!P67,3)</x:f>
        <x:v>-0.22</x:v>
      </x:c>
      <x:c r="AH67" s="64" t="n">
        <x:f>-ROUND(Q67*'Drivers'!Q67,3)</x:f>
        <x:v>-14.703</x:v>
      </x:c>
      <x:c r="AI67" s="64" t="n">
        <x:f>SUM(R67,T67,AC67,AE67,AG67,AH67)</x:f>
        <x:v>-650.68</x:v>
      </x:c>
      <x:c r="AJ67" s="65" t="n">
        <x:f>AI67/Q67</x:f>
        <x:v>-0.25111310162192324</x:v>
      </x:c>
      <x:c r="AK67" s="64" t="n">
        <x:f>Q67+AI67</x:f>
        <x:v>1940.5030000000002</x:v>
      </x:c>
      <x:c r="AL67" s="65" t="n">
        <x:f>AK67/Q67</x:f>
        <x:v>0.7488868983780768</x:v>
      </x:c>
      <x:c r="AM67" s="64" t="n">
        <x:f>AK67/L67</x:f>
        <x:v>323.4171666666667</x:v>
      </x:c>
      <x:c r="AN67" s="66" t="str">
        <x:f>IF(AM67&lt;=200,"≤200K",IF(AM67&lt;=350,"200–350K",IF(AM67&lt;=500,"350–500K",IF(AM67&lt;=700,"500–700K","&gt;700K"))))</x:f>
        <x:v>200–350K</x:v>
      </x:c>
      <x:c r="AO67" s="64" t="n">
        <x:f>-ROUND(Q67*'Drivers'!R67,3)</x:f>
        <x:v>-944.325</x:v>
      </x:c>
      <x:c r="AP67" s="64" t="n">
        <x:f>-ROUND(AK67*'Drivers'!S67,3)</x:f>
        <x:v>-32.144</x:v>
      </x:c>
      <x:c r="AQ67" s="64" t="n">
        <x:f>-ROUND(AK67*'Drivers'!T67,3)</x:f>
        <x:v>-12.64</x:v>
      </x:c>
      <x:c r="AR67" s="64" t="n">
        <x:f>-ROUND(AK67*'Drivers'!U67,3)</x:f>
        <x:v>-24.706</x:v>
      </x:c>
      <x:c r="AS67" s="64" t="n">
        <x:f>-ROUND(AK67*'Drivers'!V67,3)</x:f>
        <x:v>-76.984</x:v>
      </x:c>
      <x:c r="AT67" s="64" t="n">
        <x:f>SUM(AO67:AS67)</x:f>
        <x:v>-1090.799</x:v>
      </x:c>
      <x:c r="AU67" s="65" t="n">
        <x:f>AT67/AK67</x:f>
        <x:v>-0.5621217797653495</x:v>
      </x:c>
      <x:c r="AV67" s="64" t="n">
        <x:f>AK67+AT67</x:f>
        <x:v>849.7040000000002</x:v>
      </x:c>
      <x:c r="AW67" s="65" t="n">
        <x:f>AV67/AK67</x:f>
        <x:v>0.43787822023465056</x:v>
      </x:c>
      <x:c r="AX67" s="64" t="n">
        <x:f>-ROUND(AK67*'Drivers'!W67,3)</x:f>
        <x:v>-19.122</x:v>
      </x:c>
      <x:c r="AY67" s="64" t="n">
        <x:f>-ROUND(AK67*'Drivers'!X67,3)</x:f>
        <x:v>-49.089</x:v>
      </x:c>
      <x:c r="AZ67" s="64" t="n">
        <x:f>-ROUND(AK67*'Drivers'!Y67,3)</x:f>
        <x:v>-28.911</x:v>
      </x:c>
      <x:c r="BA67" s="64" t="n">
        <x:f>-ROUND(AK67*'Drivers'!Z67,3)</x:f>
        <x:v>-14.935</x:v>
      </x:c>
      <x:c r="BB67" s="64" t="n">
        <x:f>-ROUND(AK67*'Drivers'!AA67,3)</x:f>
        <x:v>-14.632</x:v>
      </x:c>
      <x:c r="BC67" s="64" t="n">
        <x:f>SUM(BA67,BB67)</x:f>
        <x:v>-29.567</x:v>
      </x:c>
      <x:c r="BD67" s="64" t="n">
        <x:f>-ROUND(AK67*'Drivers'!AB67,3)</x:f>
        <x:v>-7.59</x:v>
      </x:c>
      <x:c r="BE67" s="64" t="n">
        <x:f>SUM(AX67:BB67,BD67)</x:f>
        <x:v>-134.279</x:v>
      </x:c>
      <x:c r="BF67" s="67" t="n">
        <x:f>'Drivers'!AF67</x:f>
        <x:v>8</x:v>
      </x:c>
      <x:c r="BG67" s="64" t="n">
        <x:f>BJ67</x:f>
        <x:v>-36.238</x:v>
      </x:c>
      <x:c r="BH67" s="64" t="n">
        <x:f>BE67/BF67</x:f>
        <x:v>-16.784875</x:v>
      </x:c>
      <x:c r="BI67" s="68" t="n">
        <x:f>BF67/L67</x:f>
        <x:v>1.3333333333333333</x:v>
      </x:c>
      <x:c r="BJ67" s="64" t="n">
        <x:f>-ROUND(AK67*'Drivers'!AC67,3)</x:f>
        <x:v>-36.238</x:v>
      </x:c>
      <x:c r="BK67" s="64" t="n">
        <x:f>-ROUND(AK67*'Drivers'!AD67,3)</x:f>
        <x:v>-237.357</x:v>
      </x:c>
      <x:c r="BL67" s="64" t="n">
        <x:f>SUM(AV67,BE67,BJ67,BK67)</x:f>
        <x:v>441.83000000000015</x:v>
      </x:c>
      <x:c r="BM67" s="65" t="n">
        <x:f>BL67/AK67</x:f>
        <x:v>0.22768838801073749</x:v>
      </x:c>
      <x:c r="BN67" s="64" t="n">
        <x:f>-ROUND(AK67*'Drivers'!AE67,3)</x:f>
        <x:v>-124.337</x:v>
      </x:c>
      <x:c r="BO67" s="64" t="n">
        <x:f>BL67+BN67</x:f>
        <x:v>317.49300000000017</x:v>
      </x:c>
      <x:c r="BP67" s="65" t="n">
        <x:f>BO67/AK67</x:f>
        <x:v>0.16361376406014325</x:v>
      </x:c>
    </x:row>
    <x:row r="68">
      <x:c r="A68" s="61" t="n">
        <x:v>2026</x:v>
      </x:c>
      <x:c r="B68" s="18" t="str">
        <x:v>S1</x:v>
      </x:c>
      <x:c r="C68" s="18" t="str">
        <x:v>2026 S1</x:v>
      </x:c>
      <x:c r="D68" s="18" t="str">
        <x:v>CNCT0017</x:v>
      </x:c>
      <x:c r="E68" s="18" t="str">
        <x:v>上海南京路新世界城</x:v>
      </x:c>
      <x:c r="F68" s="18" t="str">
        <x:v>上海</x:v>
      </x:c>
      <x:c r="G68" s="18" t="str">
        <x:v>上海市</x:v>
      </x:c>
      <x:c r="H68" s="18" t="str">
        <x:v>东区</x:v>
      </x:c>
      <x:c r="I68" s="18" t="str">
        <x:v>Shopping Mall</x:v>
      </x:c>
      <x:c r="J68" s="18" t="str">
        <x:v>Regional Mall</x:v>
      </x:c>
      <x:c r="K68" s="18" t="str">
        <x:v>正常</x:v>
      </x:c>
      <x:c r="L68" s="62" t="n">
        <x:v>6</x:v>
      </x:c>
      <x:c r="M68" s="62" t="n">
        <x:v>61</x:v>
      </x:c>
      <x:c r="N68" s="63" t="n">
        <x:f>'Drivers'!C68</x:f>
        <x:v>2524</x:v>
      </x:c>
      <x:c r="O68" s="63" t="n">
        <x:f>'Drivers'!D68</x:f>
        <x:v>995.252</x:v>
      </x:c>
      <x:c r="P68" s="64" t="n">
        <x:f>ROUND(N68*O68/1000,3)</x:f>
        <x:v>2512.016</x:v>
      </x:c>
      <x:c r="Q68" s="64" t="n">
        <x:f>ROUND(P68*'Drivers'!E68,3)</x:f>
        <x:v>2455.16</x:v>
      </x:c>
      <x:c r="R68" s="64" t="n">
        <x:f>-ROUND(Q68*'Drivers'!F68,3)</x:f>
        <x:v>-363.7</x:v>
      </x:c>
      <x:c r="S68" s="65" t="n">
        <x:f>R68/Q68</x:f>
        <x:v>-0.14813698496228353</x:v>
      </x:c>
      <x:c r="T68" s="64" t="n">
        <x:f>-ROUND(Q68*'Drivers'!G68,3)</x:f>
        <x:v>-30.063</x:v>
      </x:c>
      <x:c r="U68" s="65" t="n">
        <x:f>T68/Q68</x:f>
        <x:v>-0.01224482314798221</x:v>
      </x:c>
      <x:c r="V68" s="64" t="n">
        <x:f>-ROUND(Q68*'Drivers'!H68,3)</x:f>
        <x:v>-19.925</x:v>
      </x:c>
      <x:c r="W68" s="64" t="n">
        <x:f>-ROUND(Q68*'Drivers'!I68,3)</x:f>
        <x:v>-21.397</x:v>
      </x:c>
      <x:c r="X68" s="64" t="n">
        <x:f>-ROUND(Q68*'Drivers'!J68,3)</x:f>
        <x:v>-41.151</x:v>
      </x:c>
      <x:c r="Y68" s="64" t="n">
        <x:f>-ROUND(Q68*'Drivers'!K68,3)</x:f>
        <x:v>-27.478</x:v>
      </x:c>
      <x:c r="Z68" s="64" t="n">
        <x:f>-ROUND(Q68*'Drivers'!L68,3)</x:f>
        <x:v>-25.865</x:v>
      </x:c>
      <x:c r="AA68" s="64" t="n">
        <x:f>-ROUND(Q68*'Drivers'!M68,3)</x:f>
        <x:v>-16.553</x:v>
      </x:c>
      <x:c r="AB68" s="64" t="n">
        <x:f>-ROUND(Q68*'Drivers'!N68,3)</x:f>
        <x:v>-13.597</x:v>
      </x:c>
      <x:c r="AC68" s="64" t="n">
        <x:f>SUM(V68:AB68)</x:f>
        <x:v>-165.96600000000004</x:v>
      </x:c>
      <x:c r="AD68" s="65" t="n">
        <x:f>AC68/Q68</x:f>
        <x:v>-0.06759885302790859</x:v>
      </x:c>
      <x:c r="AE68" s="64" t="n">
        <x:f>-ROUND(Q68*'Drivers'!O68,3)</x:f>
        <x:v>-32.651</x:v>
      </x:c>
      <x:c r="AF68" s="65" t="n">
        <x:f>AE68/Q68</x:f>
        <x:v>-0.013298929601329447</x:v>
      </x:c>
      <x:c r="AG68" s="64" t="n">
        <x:f>-ROUND(Q68*'Drivers'!P68,3)</x:f>
        <x:v>-0.208</x:v>
      </x:c>
      <x:c r="AH68" s="64" t="n">
        <x:f>-ROUND(Q68*'Drivers'!Q68,3)</x:f>
        <x:v>-13.931</x:v>
      </x:c>
      <x:c r="AI68" s="64" t="n">
        <x:f>SUM(R68,T68,AC68,AE68,AG68,AH68)</x:f>
        <x:v>-606.519</x:v>
      </x:c>
      <x:c r="AJ68" s="65" t="n">
        <x:f>AI68/Q68</x:f>
        <x:v>-0.24703848221704494</x:v>
      </x:c>
      <x:c r="AK68" s="64" t="n">
        <x:f>Q68+AI68</x:f>
        <x:v>1848.6409999999998</x:v>
      </x:c>
      <x:c r="AL68" s="65" t="n">
        <x:f>AK68/Q68</x:f>
        <x:v>0.7529615177829551</x:v>
      </x:c>
      <x:c r="AM68" s="64" t="n">
        <x:f>AK68/L68</x:f>
        <x:v>308.1068333333333</x:v>
      </x:c>
      <x:c r="AN68" s="66" t="str">
        <x:f>IF(AM68&lt;=200,"≤200K",IF(AM68&lt;=350,"200–350K",IF(AM68&lt;=500,"350–500K",IF(AM68&lt;=700,"500–700K","&gt;700K"))))</x:f>
        <x:v>200–350K</x:v>
      </x:c>
      <x:c r="AO68" s="64" t="n">
        <x:f>-ROUND(Q68*'Drivers'!R68,3)</x:f>
        <x:v>-965.652</x:v>
      </x:c>
      <x:c r="AP68" s="64" t="n">
        <x:f>-ROUND(AK68*'Drivers'!S68,3)</x:f>
        <x:v>-30.622</x:v>
      </x:c>
      <x:c r="AQ68" s="64" t="n">
        <x:f>-ROUND(AK68*'Drivers'!T68,3)</x:f>
        <x:v>-12.042</x:v>
      </x:c>
      <x:c r="AR68" s="64" t="n">
        <x:f>-ROUND(AK68*'Drivers'!U68,3)</x:f>
        <x:v>-23.537</x:v>
      </x:c>
      <x:c r="AS68" s="64" t="n">
        <x:f>-ROUND(AK68*'Drivers'!V68,3)</x:f>
        <x:v>-73.339</x:v>
      </x:c>
      <x:c r="AT68" s="64" t="n">
        <x:f>SUM(AO68:AS68)</x:f>
        <x:v>-1105.192</x:v>
      </x:c>
      <x:c r="AU68" s="65" t="n">
        <x:f>AT68/AK68</x:f>
        <x:v>-0.5978402512981158</x:v>
      </x:c>
      <x:c r="AV68" s="64" t="n">
        <x:f>AK68+AT68</x:f>
        <x:v>743.4489999999998</x:v>
      </x:c>
      <x:c r="AW68" s="65" t="n">
        <x:f>AV68/AK68</x:f>
        <x:v>0.4021597487018842</x:v>
      </x:c>
      <x:c r="AX68" s="64" t="n">
        <x:f>-ROUND(AK68*'Drivers'!W68,3)</x:f>
        <x:v>-22.414</x:v>
      </x:c>
      <x:c r="AY68" s="64" t="n">
        <x:f>-ROUND(AK68*'Drivers'!X68,3)</x:f>
        <x:v>-57.542</x:v>
      </x:c>
      <x:c r="AZ68" s="64" t="n">
        <x:f>-ROUND(AK68*'Drivers'!Y68,3)</x:f>
        <x:v>-33.889</x:v>
      </x:c>
      <x:c r="BA68" s="64" t="n">
        <x:f>-ROUND(AK68*'Drivers'!Z68,3)</x:f>
        <x:v>-17.507</x:v>
      </x:c>
      <x:c r="BB68" s="64" t="n">
        <x:f>-ROUND(AK68*'Drivers'!AA68,3)</x:f>
        <x:v>-17.152</x:v>
      </x:c>
      <x:c r="BC68" s="64" t="n">
        <x:f>SUM(BA68,BB68)</x:f>
        <x:v>-34.659000000000006</x:v>
      </x:c>
      <x:c r="BD68" s="64" t="n">
        <x:f>-ROUND(AK68*'Drivers'!AB68,3)</x:f>
        <x:v>-8.897</x:v>
      </x:c>
      <x:c r="BE68" s="64" t="n">
        <x:f>SUM(AX68:BB68,BD68)</x:f>
        <x:v>-157.401</x:v>
      </x:c>
      <x:c r="BF68" s="67" t="n">
        <x:f>'Drivers'!AF68</x:f>
        <x:v>8</x:v>
      </x:c>
      <x:c r="BG68" s="64" t="n">
        <x:f>BJ68</x:f>
        <x:v>-42.478</x:v>
      </x:c>
      <x:c r="BH68" s="64" t="n">
        <x:f>BE68/BF68</x:f>
        <x:v>-19.675125</x:v>
      </x:c>
      <x:c r="BI68" s="68" t="n">
        <x:f>BF68/L68</x:f>
        <x:v>1.3333333333333333</x:v>
      </x:c>
      <x:c r="BJ68" s="64" t="n">
        <x:f>-ROUND(AK68*'Drivers'!AC68,3)</x:f>
        <x:v>-42.478</x:v>
      </x:c>
      <x:c r="BK68" s="64" t="n">
        <x:f>-ROUND(AK68*'Drivers'!AD68,3)</x:f>
        <x:v>-226.121</x:v>
      </x:c>
      <x:c r="BL68" s="64" t="n">
        <x:f>SUM(AV68,BE68,BJ68,BK68)</x:f>
        <x:v>317.44899999999984</x:v>
      </x:c>
      <x:c r="BM68" s="65" t="n">
        <x:f>BL68/AK68</x:f>
        <x:v>0.17172019878386333</x:v>
      </x:c>
      <x:c r="BN68" s="64" t="n">
        <x:f>-ROUND(AK68*'Drivers'!AE68,3)</x:f>
        <x:v>-118.451</x:v>
      </x:c>
      <x:c r="BO68" s="64" t="n">
        <x:f>BL68+BN68</x:f>
        <x:v>198.99799999999985</x:v>
      </x:c>
      <x:c r="BP68" s="65" t="n">
        <x:f>BO68/AK68</x:f>
        <x:v>0.10764556233470958</x:v>
      </x:c>
    </x:row>
    <x:row r="69">
      <x:c r="A69" s="61" t="n">
        <x:v>2026</x:v>
      </x:c>
      <x:c r="B69" s="18" t="str">
        <x:v>S2</x:v>
      </x:c>
      <x:c r="C69" s="18" t="str">
        <x:v>2026 S2</x:v>
      </x:c>
      <x:c r="D69" s="18" t="str">
        <x:v>CNCT0017</x:v>
      </x:c>
      <x:c r="E69" s="18" t="str">
        <x:v>上海南京路新世界城</x:v>
      </x:c>
      <x:c r="F69" s="18" t="str">
        <x:v>上海</x:v>
      </x:c>
      <x:c r="G69" s="18" t="str">
        <x:v>上海市</x:v>
      </x:c>
      <x:c r="H69" s="18" t="str">
        <x:v>东区</x:v>
      </x:c>
      <x:c r="I69" s="18" t="str">
        <x:v>Shopping Mall</x:v>
      </x:c>
      <x:c r="J69" s="18" t="str">
        <x:v>Regional Mall</x:v>
      </x:c>
      <x:c r="K69" s="18" t="str">
        <x:v>装修</x:v>
      </x:c>
      <x:c r="L69" s="62" t="n">
        <x:v>5</x:v>
      </x:c>
      <x:c r="M69" s="62" t="n">
        <x:v>60</x:v>
      </x:c>
      <x:c r="N69" s="63" t="n">
        <x:f>'Drivers'!C69</x:f>
        <x:v>1810</x:v>
      </x:c>
      <x:c r="O69" s="63" t="n">
        <x:f>'Drivers'!D69</x:f>
        <x:v>991.094</x:v>
      </x:c>
      <x:c r="P69" s="64" t="n">
        <x:f>ROUND(N69*O69/1000,3)</x:f>
        <x:v>1793.88</x:v>
      </x:c>
      <x:c r="Q69" s="64" t="n">
        <x:f>ROUND(P69*'Drivers'!E69,3)</x:f>
        <x:v>1758.126</x:v>
      </x:c>
      <x:c r="R69" s="64" t="n">
        <x:f>-ROUND(Q69*'Drivers'!F69,3)</x:f>
        <x:v>-261.184</x:v>
      </x:c>
      <x:c r="S69" s="65" t="n">
        <x:f>R69/Q69</x:f>
        <x:v>-0.1485581806992218</x:v>
      </x:c>
      <x:c r="T69" s="64" t="n">
        <x:f>-ROUND(Q69*'Drivers'!G69,3)</x:f>
        <x:v>-26.761</x:v>
      </x:c>
      <x:c r="U69" s="65" t="n">
        <x:f>T69/Q69</x:f>
        <x:v>-0.015221320883713682</x:v>
      </x:c>
      <x:c r="V69" s="64" t="n">
        <x:f>-ROUND(Q69*'Drivers'!H69,3)</x:f>
        <x:v>-14.268</x:v>
      </x:c>
      <x:c r="W69" s="64" t="n">
        <x:f>-ROUND(Q69*'Drivers'!I69,3)</x:f>
        <x:v>-15.322</x:v>
      </x:c>
      <x:c r="X69" s="64" t="n">
        <x:f>-ROUND(Q69*'Drivers'!J69,3)</x:f>
        <x:v>-29.468</x:v>
      </x:c>
      <x:c r="Y69" s="64" t="n">
        <x:f>-ROUND(Q69*'Drivers'!K69,3)</x:f>
        <x:v>-19.677</x:v>
      </x:c>
      <x:c r="Z69" s="64" t="n">
        <x:f>-ROUND(Q69*'Drivers'!L69,3)</x:f>
        <x:v>-18.522</x:v>
      </x:c>
      <x:c r="AA69" s="64" t="n">
        <x:f>-ROUND(Q69*'Drivers'!M69,3)</x:f>
        <x:v>-11.853</x:v>
      </x:c>
      <x:c r="AB69" s="64" t="n">
        <x:f>-ROUND(Q69*'Drivers'!N69,3)</x:f>
        <x:v>-9.737</x:v>
      </x:c>
      <x:c r="AC69" s="64" t="n">
        <x:f>SUM(V69:AB69)</x:f>
        <x:v>-118.847</x:v>
      </x:c>
      <x:c r="AD69" s="65" t="n">
        <x:f>AC69/Q69</x:f>
        <x:v>-0.06759868177821157</x:v>
      </x:c>
      <x:c r="AE69" s="64" t="n">
        <x:f>-ROUND(Q69*'Drivers'!O69,3)</x:f>
        <x:v>-24.267</x:v>
      </x:c>
      <x:c r="AF69" s="65" t="n">
        <x:f>AE69/Q69</x:f>
        <x:v>-0.013802764989539999</x:v>
      </x:c>
      <x:c r="AG69" s="64" t="n">
        <x:f>-ROUND(Q69*'Drivers'!P69,3)</x:f>
        <x:v>-0.149</x:v>
      </x:c>
      <x:c r="AH69" s="64" t="n">
        <x:f>-ROUND(Q69*'Drivers'!Q69,3)</x:f>
        <x:v>-9.976</x:v>
      </x:c>
      <x:c r="AI69" s="64" t="n">
        <x:f>SUM(R69,T69,AC69,AE69,AG69,AH69)</x:f>
        <x:v>-441.184</x:v>
      </x:c>
      <x:c r="AJ69" s="65" t="n">
        <x:f>AI69/Q69</x:f>
        <x:v>-0.25093992125706577</x:v>
      </x:c>
      <x:c r="AK69" s="64" t="n">
        <x:f>Q69+AI69</x:f>
        <x:v>1316.942</x:v>
      </x:c>
      <x:c r="AL69" s="65" t="n">
        <x:f>AK69/Q69</x:f>
        <x:v>0.7490600787429342</x:v>
      </x:c>
      <x:c r="AM69" s="64" t="n">
        <x:f>AK69/L69</x:f>
        <x:v>263.3884</x:v>
      </x:c>
      <x:c r="AN69" s="66" t="str">
        <x:f>IF(AM69&lt;=200,"≤200K",IF(AM69&lt;=350,"200–350K",IF(AM69&lt;=500,"350–500K",IF(AM69&lt;=700,"500–700K","&gt;700K"))))</x:f>
        <x:v>200–350K</x:v>
      </x:c>
      <x:c r="AO69" s="64" t="n">
        <x:f>-ROUND(Q69*'Drivers'!R69,3)</x:f>
        <x:v>-635.945</x:v>
      </x:c>
      <x:c r="AP69" s="64" t="n">
        <x:f>-ROUND(AK69*'Drivers'!S69,3)</x:f>
        <x:v>-21.815</x:v>
      </x:c>
      <x:c r="AQ69" s="64" t="n">
        <x:f>-ROUND(AK69*'Drivers'!T69,3)</x:f>
        <x:v>-8.578</x:v>
      </x:c>
      <x:c r="AR69" s="64" t="n">
        <x:f>-ROUND(AK69*'Drivers'!U69,3)</x:f>
        <x:v>-16.767</x:v>
      </x:c>
      <x:c r="AS69" s="64" t="n">
        <x:f>-ROUND(AK69*'Drivers'!V69,3)</x:f>
        <x:v>-52.246</x:v>
      </x:c>
      <x:c r="AT69" s="64" t="n">
        <x:f>SUM(AO69:AS69)</x:f>
        <x:v>-735.3510000000001</x:v>
      </x:c>
      <x:c r="AU69" s="65" t="n">
        <x:f>AT69/AK69</x:f>
        <x:v>-0.558377665834942</x:v>
      </x:c>
      <x:c r="AV69" s="64" t="n">
        <x:f>AK69+AT69</x:f>
        <x:v>581.5909999999999</x:v>
      </x:c>
      <x:c r="AW69" s="65" t="n">
        <x:f>AV69/AK69</x:f>
        <x:v>0.4416223341650581</x:v>
      </x:c>
      <x:c r="AX69" s="64" t="n">
        <x:f>-ROUND(AK69*'Drivers'!W69,3)</x:f>
        <x:v>-13.756</x:v>
      </x:c>
      <x:c r="AY69" s="64" t="n">
        <x:f>-ROUND(AK69*'Drivers'!X69,3)</x:f>
        <x:v>-35.314</x:v>
      </x:c>
      <x:c r="AZ69" s="64" t="n">
        <x:f>-ROUND(AK69*'Drivers'!Y69,3)</x:f>
        <x:v>-20.798</x:v>
      </x:c>
      <x:c r="BA69" s="64" t="n">
        <x:f>-ROUND(AK69*'Drivers'!Z69,3)</x:f>
        <x:v>-10.744</x:v>
      </x:c>
      <x:c r="BB69" s="64" t="n">
        <x:f>-ROUND(AK69*'Drivers'!AA69,3)</x:f>
        <x:v>-15.263</x:v>
      </x:c>
      <x:c r="BC69" s="64" t="n">
        <x:f>SUM(BA69,BB69)</x:f>
        <x:v>-26.006999999999998</x:v>
      </x:c>
      <x:c r="BD69" s="64" t="n">
        <x:f>-ROUND(AK69*'Drivers'!AB69,3)</x:f>
        <x:v>-9.828</x:v>
      </x:c>
      <x:c r="BE69" s="64" t="n">
        <x:f>SUM(AX69:BB69,BD69)</x:f>
        <x:v>-105.703</x:v>
      </x:c>
      <x:c r="BF69" s="67" t="n">
        <x:f>'Drivers'!AF69</x:f>
        <x:v>8</x:v>
      </x:c>
      <x:c r="BG69" s="64" t="n">
        <x:f>BJ69</x:f>
        <x:v>-26.069</x:v>
      </x:c>
      <x:c r="BH69" s="64" t="n">
        <x:f>BE69/BF69</x:f>
        <x:v>-13.212875</x:v>
      </x:c>
      <x:c r="BI69" s="68" t="n">
        <x:f>BF69/L69</x:f>
        <x:v>1.6</x:v>
      </x:c>
      <x:c r="BJ69" s="64" t="n">
        <x:f>-ROUND(AK69*'Drivers'!AC69,3)</x:f>
        <x:v>-26.069</x:v>
      </x:c>
      <x:c r="BK69" s="64" t="n">
        <x:f>-ROUND(AK69*'Drivers'!AD69,3)</x:f>
        <x:v>-161.085</x:v>
      </x:c>
      <x:c r="BL69" s="64" t="n">
        <x:f>SUM(AV69,BE69,BJ69,BK69)</x:f>
        <x:v>288.7339999999999</x:v>
      </x:c>
      <x:c r="BM69" s="65" t="n">
        <x:f>BL69/AK69</x:f>
        <x:v>0.2192457982204227</x:v>
      </x:c>
      <x:c r="BN69" s="64" t="n">
        <x:f>-ROUND(AK69*'Drivers'!AE69,3)</x:f>
        <x:v>-84.383</x:v>
      </x:c>
      <x:c r="BO69" s="64" t="n">
        <x:f>BL69+BN69</x:f>
        <x:v>204.35099999999994</x:v>
      </x:c>
      <x:c r="BP69" s="65" t="n">
        <x:f>BO69/AK69</x:f>
        <x:v>0.15517084275541362</x:v>
      </x:c>
    </x:row>
    <x:row r="70">
      <x:c r="A70" s="61" t="n">
        <x:v>2025</x:v>
      </x:c>
      <x:c r="B70" s="18" t="str">
        <x:v>S1</x:v>
      </x:c>
      <x:c r="C70" s="18" t="str">
        <x:v>2025 S1</x:v>
      </x:c>
      <x:c r="D70" s="18" t="str">
        <x:v>CNCT0018</x:v>
      </x:c>
      <x:c r="E70" s="18" t="str">
        <x:v>上海百联又一城</x:v>
      </x:c>
      <x:c r="F70" s="18" t="str">
        <x:v>上海</x:v>
      </x:c>
      <x:c r="G70" s="18" t="str">
        <x:v>上海市</x:v>
      </x:c>
      <x:c r="H70" s="18" t="str">
        <x:v>东区</x:v>
      </x:c>
      <x:c r="I70" s="18" t="str">
        <x:v>Shopping Mall</x:v>
      </x:c>
      <x:c r="J70" s="18" t="str">
        <x:v>Regional Mall</x:v>
      </x:c>
      <x:c r="K70" s="18" t="str">
        <x:v>新开店</x:v>
      </x:c>
      <x:c r="L70" s="62" t="n">
        <x:v>5</x:v>
      </x:c>
      <x:c r="M70" s="62" t="n">
        <x:v>61</x:v>
      </x:c>
      <x:c r="N70" s="63" t="n">
        <x:f>'Drivers'!C70</x:f>
        <x:v>1686</x:v>
      </x:c>
      <x:c r="O70" s="63" t="n">
        <x:f>'Drivers'!D70</x:f>
        <x:v>888.707</x:v>
      </x:c>
      <x:c r="P70" s="64" t="n">
        <x:f>ROUND(N70*O70/1000,3)</x:f>
        <x:v>1498.36</x:v>
      </x:c>
      <x:c r="Q70" s="64" t="n">
        <x:f>ROUND(P70*'Drivers'!E70,3)</x:f>
        <x:v>1447.032</x:v>
      </x:c>
      <x:c r="R70" s="64" t="n">
        <x:f>-ROUND(Q70*'Drivers'!F70,3)</x:f>
        <x:v>-227.044</x:v>
      </x:c>
      <x:c r="S70" s="65" t="n">
        <x:f>R70/Q70</x:f>
        <x:v>-0.15690323365343684</x:v>
      </x:c>
      <x:c r="T70" s="64" t="n">
        <x:f>-ROUND(Q70*'Drivers'!G70,3)</x:f>
        <x:v>-25.463</x:v>
      </x:c>
      <x:c r="U70" s="65" t="n">
        <x:f>T70/Q70</x:f>
        <x:v>-0.01759670829670664</x:v>
      </x:c>
      <x:c r="V70" s="64" t="n">
        <x:f>-ROUND(Q70*'Drivers'!H70,3)</x:f>
        <x:v>-13.144</x:v>
      </x:c>
      <x:c r="W70" s="64" t="n">
        <x:f>-ROUND(Q70*'Drivers'!I70,3)</x:f>
        <x:v>-14.94</x:v>
      </x:c>
      <x:c r="X70" s="64" t="n">
        <x:f>-ROUND(Q70*'Drivers'!J70,3)</x:f>
        <x:v>-24.855</x:v>
      </x:c>
      <x:c r="Y70" s="64" t="n">
        <x:f>-ROUND(Q70*'Drivers'!K70,3)</x:f>
        <x:v>-11.749</x:v>
      </x:c>
      <x:c r="Z70" s="64" t="n">
        <x:f>-ROUND(Q70*'Drivers'!L70,3)</x:f>
        <x:v>-12.362</x:v>
      </x:c>
      <x:c r="AA70" s="64" t="n">
        <x:f>-ROUND(Q70*'Drivers'!M70,3)</x:f>
        <x:v>-13.539</x:v>
      </x:c>
      <x:c r="AB70" s="64" t="n">
        <x:f>-ROUND(Q70*'Drivers'!N70,3)</x:f>
        <x:v>-7.785</x:v>
      </x:c>
      <x:c r="AC70" s="64" t="n">
        <x:f>SUM(V70:AB70)</x:f>
        <x:v>-98.374</x:v>
      </x:c>
      <x:c r="AD70" s="65" t="n">
        <x:f>AC70/Q70</x:f>
        <x:v>-0.06798329269843376</x:v>
      </x:c>
      <x:c r="AE70" s="64" t="n">
        <x:f>-ROUND(Q70*'Drivers'!O70,3)</x:f>
        <x:v>-11.564</x:v>
      </x:c>
      <x:c r="AF70" s="65" t="n">
        <x:f>AE70/Q70</x:f>
        <x:v>-0.007991530249503812</x:v>
      </x:c>
      <x:c r="AG70" s="64" t="n">
        <x:f>-ROUND(Q70*'Drivers'!P70,3)</x:f>
        <x:v>-3.466</x:v>
      </x:c>
      <x:c r="AH70" s="64" t="n">
        <x:f>-ROUND(Q70*'Drivers'!Q70,3)</x:f>
        <x:v>-7.656</x:v>
      </x:c>
      <x:c r="AI70" s="64" t="n">
        <x:f>SUM(R70,T70,AC70,AE70,AG70,AH70)</x:f>
        <x:v>-373.567</x:v>
      </x:c>
      <x:c r="AJ70" s="65" t="n">
        <x:f>AI70/Q70</x:f>
        <x:v>-0.2581608423310611</x:v>
      </x:c>
      <x:c r="AK70" s="64" t="n">
        <x:f>Q70+AI70</x:f>
        <x:v>1073.465</x:v>
      </x:c>
      <x:c r="AL70" s="65" t="n">
        <x:f>AK70/Q70</x:f>
        <x:v>0.7418391576689389</x:v>
      </x:c>
      <x:c r="AM70" s="64" t="n">
        <x:f>AK70/L70</x:f>
        <x:v>214.69299999999998</x:v>
      </x:c>
      <x:c r="AN70" s="66" t="str">
        <x:f>IF(AM70&lt;=200,"≤200K",IF(AM70&lt;=350,"200–350K",IF(AM70&lt;=500,"350–500K",IF(AM70&lt;=700,"500–700K","&gt;700K"))))</x:f>
        <x:v>200–350K</x:v>
      </x:c>
      <x:c r="AO70" s="64" t="n">
        <x:f>-ROUND(Q70*'Drivers'!R70,3)</x:f>
        <x:v>-550.901</x:v>
      </x:c>
      <x:c r="AP70" s="64" t="n">
        <x:f>-ROUND(AK70*'Drivers'!S70,3)</x:f>
        <x:v>-16.061</x:v>
      </x:c>
      <x:c r="AQ70" s="64" t="n">
        <x:f>-ROUND(AK70*'Drivers'!T70,3)</x:f>
        <x:v>-4.531</x:v>
      </x:c>
      <x:c r="AR70" s="64" t="n">
        <x:f>-ROUND(AK70*'Drivers'!U70,3)</x:f>
        <x:v>-10.577</x:v>
      </x:c>
      <x:c r="AS70" s="64" t="n">
        <x:f>-ROUND(AK70*'Drivers'!V70,3)</x:f>
        <x:v>-42.437</x:v>
      </x:c>
      <x:c r="AT70" s="64" t="n">
        <x:f>SUM(AO70:AS70)</x:f>
        <x:v>-624.507</x:v>
      </x:c>
      <x:c r="AU70" s="65" t="n">
        <x:f>AT70/AK70</x:f>
        <x:v>-0.581767453992445</x:v>
      </x:c>
      <x:c r="AV70" s="64" t="n">
        <x:f>AK70+AT70</x:f>
        <x:v>448.95799999999997</x:v>
      </x:c>
      <x:c r="AW70" s="65" t="n">
        <x:f>AV70/AK70</x:f>
        <x:v>0.418232546007555</x:v>
      </x:c>
      <x:c r="AX70" s="64" t="n">
        <x:f>-ROUND(AK70*'Drivers'!W70,3)</x:f>
        <x:v>-19.915</x:v>
      </x:c>
      <x:c r="AY70" s="64" t="n">
        <x:f>-ROUND(AK70*'Drivers'!X70,3)</x:f>
        <x:v>-34.195</x:v>
      </x:c>
      <x:c r="AZ70" s="64" t="n">
        <x:f>-ROUND(AK70*'Drivers'!Y70,3)</x:f>
        <x:v>-26.006</x:v>
      </x:c>
      <x:c r="BA70" s="64" t="n">
        <x:f>-ROUND(AK70*'Drivers'!Z70,3)</x:f>
        <x:v>-8.482</x:v>
      </x:c>
      <x:c r="BB70" s="64" t="n">
        <x:f>-ROUND(AK70*'Drivers'!AA70,3)</x:f>
        <x:v>-9.216</x:v>
      </x:c>
      <x:c r="BC70" s="64" t="n">
        <x:f>SUM(BA70,BB70)</x:f>
        <x:v>-17.698</x:v>
      </x:c>
      <x:c r="BD70" s="64" t="n">
        <x:f>-ROUND(AK70*'Drivers'!AB70,3)</x:f>
        <x:v>-5.258</x:v>
      </x:c>
      <x:c r="BE70" s="64" t="n">
        <x:f>SUM(AX70:BB70,BD70)</x:f>
        <x:v>-103.07199999999999</x:v>
      </x:c>
      <x:c r="BF70" s="67" t="n">
        <x:f>'Drivers'!AF70</x:f>
        <x:v>11</x:v>
      </x:c>
      <x:c r="BG70" s="64" t="n">
        <x:f>BJ70</x:f>
        <x:v>-42.057</x:v>
      </x:c>
      <x:c r="BH70" s="64" t="n">
        <x:f>BE70/BF70</x:f>
        <x:v>-9.370181818181818</x:v>
      </x:c>
      <x:c r="BI70" s="68" t="n">
        <x:f>BF70/L70</x:f>
        <x:v>2.2</x:v>
      </x:c>
      <x:c r="BJ70" s="64" t="n">
        <x:f>-ROUND(AK70*'Drivers'!AC70,3)</x:f>
        <x:v>-42.057</x:v>
      </x:c>
      <x:c r="BK70" s="64" t="n">
        <x:f>-ROUND(AK70*'Drivers'!AD70,3)</x:f>
        <x:v>-129.082</x:v>
      </x:c>
      <x:c r="BL70" s="64" t="n">
        <x:f>SUM(AV70,BE70,BJ70,BK70)</x:f>
        <x:v>174.74699999999996</x:v>
      </x:c>
      <x:c r="BM70" s="65" t="n">
        <x:f>BL70/AK70</x:f>
        <x:v>0.16278779466494014</x:v>
      </x:c>
      <x:c r="BN70" s="64" t="n">
        <x:f>-ROUND(AK70*'Drivers'!AE70,3)</x:f>
        <x:v>-99.745</x:v>
      </x:c>
      <x:c r="BO70" s="64" t="n">
        <x:f>BL70+BN70</x:f>
        <x:v>75.00199999999995</x:v>
      </x:c>
      <x:c r="BP70" s="65" t="n">
        <x:f>BO70/AK70</x:f>
        <x:v>0.06986906885646012</x:v>
      </x:c>
    </x:row>
    <x:row r="71">
      <x:c r="A71" s="61" t="n">
        <x:v>2025</x:v>
      </x:c>
      <x:c r="B71" s="18" t="str">
        <x:v>S2</x:v>
      </x:c>
      <x:c r="C71" s="18" t="str">
        <x:v>2025 S2</x:v>
      </x:c>
      <x:c r="D71" s="18" t="str">
        <x:v>CNCT0018</x:v>
      </x:c>
      <x:c r="E71" s="18" t="str">
        <x:v>上海百联又一城</x:v>
      </x:c>
      <x:c r="F71" s="18" t="str">
        <x:v>上海</x:v>
      </x:c>
      <x:c r="G71" s="18" t="str">
        <x:v>上海市</x:v>
      </x:c>
      <x:c r="H71" s="18" t="str">
        <x:v>东区</x:v>
      </x:c>
      <x:c r="I71" s="18" t="str">
        <x:v>Shopping Mall</x:v>
      </x:c>
      <x:c r="J71" s="18" t="str">
        <x:v>Regional Mall</x:v>
      </x:c>
      <x:c r="K71" s="18" t="str">
        <x:v>正常</x:v>
      </x:c>
      <x:c r="L71" s="62" t="n">
        <x:v>5</x:v>
      </x:c>
      <x:c r="M71" s="62" t="n">
        <x:v>61</x:v>
      </x:c>
      <x:c r="N71" s="63" t="n">
        <x:f>'Drivers'!C71</x:f>
        <x:v>2564</x:v>
      </x:c>
      <x:c r="O71" s="63" t="n">
        <x:f>'Drivers'!D71</x:f>
        <x:v>899.372</x:v>
      </x:c>
      <x:c r="P71" s="64" t="n">
        <x:f>ROUND(N71*O71/1000,3)</x:f>
        <x:v>2305.99</x:v>
      </x:c>
      <x:c r="Q71" s="64" t="n">
        <x:f>ROUND(P71*'Drivers'!E71,3)</x:f>
        <x:v>2258.647</x:v>
      </x:c>
      <x:c r="R71" s="64" t="n">
        <x:f>-ROUND(Q71*'Drivers'!F71,3)</x:f>
        <x:v>-354.389</x:v>
      </x:c>
      <x:c r="S71" s="65" t="n">
        <x:f>R71/Q71</x:f>
        <x:v>-0.1569032256921954</x:v>
      </x:c>
      <x:c r="T71" s="64" t="n">
        <x:f>-ROUND(Q71*'Drivers'!G71,3)</x:f>
        <x:v>-39.744</x:v>
      </x:c>
      <x:c r="U71" s="65" t="n">
        <x:f>T71/Q71</x:f>
        <x:v>-0.01759637517504949</x:v>
      </x:c>
      <x:c r="V71" s="64" t="n">
        <x:f>-ROUND(Q71*'Drivers'!H71,3)</x:f>
        <x:v>-20.516</x:v>
      </x:c>
      <x:c r="W71" s="64" t="n">
        <x:f>-ROUND(Q71*'Drivers'!I71,3)</x:f>
        <x:v>-23.319</x:v>
      </x:c>
      <x:c r="X71" s="64" t="n">
        <x:f>-ROUND(Q71*'Drivers'!J71,3)</x:f>
        <x:v>-38.796</x:v>
      </x:c>
      <x:c r="Y71" s="64" t="n">
        <x:f>-ROUND(Q71*'Drivers'!K71,3)</x:f>
        <x:v>-18.339</x:v>
      </x:c>
      <x:c r="Z71" s="64" t="n">
        <x:f>-ROUND(Q71*'Drivers'!L71,3)</x:f>
        <x:v>-19.296</x:v>
      </x:c>
      <x:c r="AA71" s="64" t="n">
        <x:f>-ROUND(Q71*'Drivers'!M71,3)</x:f>
        <x:v>-21.132</x:v>
      </x:c>
      <x:c r="AB71" s="64" t="n">
        <x:f>-ROUND(Q71*'Drivers'!N71,3)</x:f>
        <x:v>-12.151</x:v>
      </x:c>
      <x:c r="AC71" s="64" t="n">
        <x:f>SUM(V71:AB71)</x:f>
        <x:v>-153.549</x:v>
      </x:c>
      <x:c r="AD71" s="65" t="n">
        <x:f>AC71/Q71</x:f>
        <x:v>-0.0679827347965397</x:v>
      </x:c>
      <x:c r="AE71" s="64" t="n">
        <x:f>-ROUND(Q71*'Drivers'!O71,3)</x:f>
        <x:v>-18.05</x:v>
      </x:c>
      <x:c r="AF71" s="65" t="n">
        <x:f>AE71/Q71</x:f>
        <x:v>-0.007991509961494647</x:v>
      </x:c>
      <x:c r="AG71" s="64" t="n">
        <x:f>-ROUND(Q71*'Drivers'!P71,3)</x:f>
        <x:v>-5.411</x:v>
      </x:c>
      <x:c r="AH71" s="64" t="n">
        <x:f>-ROUND(Q71*'Drivers'!Q71,3)</x:f>
        <x:v>-11.95</x:v>
      </x:c>
      <x:c r="AI71" s="64" t="n">
        <x:f>SUM(R71,T71,AC71,AE71,AG71,AH71)</x:f>
        <x:v>-583.093</x:v>
      </x:c>
      <x:c r="AJ71" s="65" t="n">
        <x:f>AI71/Q71</x:f>
        <x:v>-0.25816030570514115</x:v>
      </x:c>
      <x:c r="AK71" s="64" t="n">
        <x:f>Q71+AI71</x:f>
        <x:v>1675.554</x:v>
      </x:c>
      <x:c r="AL71" s="65" t="n">
        <x:f>AK71/Q71</x:f>
        <x:v>0.7418396942948589</x:v>
      </x:c>
      <x:c r="AM71" s="64" t="n">
        <x:f>AK71/L71</x:f>
        <x:v>335.11080000000004</x:v>
      </x:c>
      <x:c r="AN71" s="66" t="str">
        <x:f>IF(AM71&lt;=200,"≤200K",IF(AM71&lt;=350,"200–350K",IF(AM71&lt;=500,"350–500K",IF(AM71&lt;=700,"500–700K","&gt;700K"))))</x:f>
        <x:v>200–350K</x:v>
      </x:c>
      <x:c r="AO71" s="64" t="n">
        <x:f>-ROUND(Q71*'Drivers'!R71,3)</x:f>
        <x:v>-854.025</x:v>
      </x:c>
      <x:c r="AP71" s="64" t="n">
        <x:f>-ROUND(AK71*'Drivers'!S71,3)</x:f>
        <x:v>-25.069</x:v>
      </x:c>
      <x:c r="AQ71" s="64" t="n">
        <x:f>-ROUND(AK71*'Drivers'!T71,3)</x:f>
        <x:v>-7.072</x:v>
      </x:c>
      <x:c r="AR71" s="64" t="n">
        <x:f>-ROUND(AK71*'Drivers'!U71,3)</x:f>
        <x:v>-16.51</x:v>
      </x:c>
      <x:c r="AS71" s="64" t="n">
        <x:f>-ROUND(AK71*'Drivers'!V71,3)</x:f>
        <x:v>-66.24</x:v>
      </x:c>
      <x:c r="AT71" s="64" t="n">
        <x:f>SUM(AO71:AS71)</x:f>
        <x:v>-968.9159999999999</x:v>
      </x:c>
      <x:c r="AU71" s="65" t="n">
        <x:f>AT71/AK71</x:f>
        <x:v>-0.5782660540931536</x:v>
      </x:c>
      <x:c r="AV71" s="64" t="n">
        <x:f>AK71+AT71</x:f>
        <x:v>706.6380000000001</x:v>
      </x:c>
      <x:c r="AW71" s="65" t="n">
        <x:f>AV71/AK71</x:f>
        <x:v>0.4217339459068464</x:v>
      </x:c>
      <x:c r="AX71" s="64" t="n">
        <x:f>-ROUND(AK71*'Drivers'!W71,3)</x:f>
        <x:v>-23.026</x:v>
      </x:c>
      <x:c r="AY71" s="64" t="n">
        <x:f>-ROUND(AK71*'Drivers'!X71,3)</x:f>
        <x:v>-39.537</x:v>
      </x:c>
      <x:c r="AZ71" s="64" t="n">
        <x:f>-ROUND(AK71*'Drivers'!Y71,3)</x:f>
        <x:v>-30.069</x:v>
      </x:c>
      <x:c r="BA71" s="64" t="n">
        <x:f>-ROUND(AK71*'Drivers'!Z71,3)</x:f>
        <x:v>-13.24</x:v>
      </x:c>
      <x:c r="BB71" s="64" t="n">
        <x:f>-ROUND(AK71*'Drivers'!AA71,3)</x:f>
        <x:v>-14.385</x:v>
      </x:c>
      <x:c r="BC71" s="64" t="n">
        <x:f>SUM(BA71,BB71)</x:f>
        <x:v>-27.625</x:v>
      </x:c>
      <x:c r="BD71" s="64" t="n">
        <x:f>-ROUND(AK71*'Drivers'!AB71,3)</x:f>
        <x:v>-6.079</x:v>
      </x:c>
      <x:c r="BE71" s="64" t="n">
        <x:f>SUM(AX71:BB71,BD71)</x:f>
        <x:v>-126.336</x:v>
      </x:c>
      <x:c r="BF71" s="67" t="n">
        <x:f>'Drivers'!AF71</x:f>
        <x:v>11</x:v>
      </x:c>
      <x:c r="BG71" s="64" t="n">
        <x:f>BJ71</x:f>
        <x:v>-48.626</x:v>
      </x:c>
      <x:c r="BH71" s="64" t="n">
        <x:f>BE71/BF71</x:f>
        <x:v>-11.485090909090909</x:v>
      </x:c>
      <x:c r="BI71" s="68" t="n">
        <x:f>BF71/L71</x:f>
        <x:v>2.2</x:v>
      </x:c>
      <x:c r="BJ71" s="64" t="n">
        <x:f>-ROUND(AK71*'Drivers'!AC71,3)</x:f>
        <x:v>-48.626</x:v>
      </x:c>
      <x:c r="BK71" s="64" t="n">
        <x:f>-ROUND(AK71*'Drivers'!AD71,3)</x:f>
        <x:v>-179.895</x:v>
      </x:c>
      <x:c r="BL71" s="64" t="n">
        <x:f>SUM(AV71,BE71,BJ71,BK71)</x:f>
        <x:v>351.7810000000002</x:v>
      </x:c>
      <x:c r="BM71" s="65" t="n">
        <x:f>BL71/AK71</x:f>
        <x:v>0.20994906759197265</x:v>
      </x:c>
      <x:c r="BN71" s="64" t="n">
        <x:f>-ROUND(AK71*'Drivers'!AE71,3)</x:f>
        <x:v>-155.69</x:v>
      </x:c>
      <x:c r="BO71" s="64" t="n">
        <x:f>BL71+BN71</x:f>
        <x:v>196.09100000000018</x:v>
      </x:c>
      <x:c r="BP71" s="65" t="n">
        <x:f>BO71/AK71</x:f>
        <x:v>0.1170305463148309</x:v>
      </x:c>
    </x:row>
    <x:row r="72">
      <x:c r="A72" s="61" t="n">
        <x:v>2026</x:v>
      </x:c>
      <x:c r="B72" s="18" t="str">
        <x:v>S1</x:v>
      </x:c>
      <x:c r="C72" s="18" t="str">
        <x:v>2026 S1</x:v>
      </x:c>
      <x:c r="D72" s="18" t="str">
        <x:v>CNCT0018</x:v>
      </x:c>
      <x:c r="E72" s="18" t="str">
        <x:v>上海百联又一城</x:v>
      </x:c>
      <x:c r="F72" s="18" t="str">
        <x:v>上海</x:v>
      </x:c>
      <x:c r="G72" s="18" t="str">
        <x:v>上海市</x:v>
      </x:c>
      <x:c r="H72" s="18" t="str">
        <x:v>东区</x:v>
      </x:c>
      <x:c r="I72" s="18" t="str">
        <x:v>Shopping Mall</x:v>
      </x:c>
      <x:c r="J72" s="18" t="str">
        <x:v>Regional Mall</x:v>
      </x:c>
      <x:c r="K72" s="18" t="str">
        <x:v>正常</x:v>
      </x:c>
      <x:c r="L72" s="62" t="n">
        <x:v>5</x:v>
      </x:c>
      <x:c r="M72" s="62" t="n">
        <x:v>61</x:v>
      </x:c>
      <x:c r="N72" s="63" t="n">
        <x:f>'Drivers'!C72</x:f>
        <x:v>2134</x:v>
      </x:c>
      <x:c r="O72" s="63" t="n">
        <x:f>'Drivers'!D72</x:f>
        <x:v>928.636</x:v>
      </x:c>
      <x:c r="P72" s="64" t="n">
        <x:f>ROUND(N72*O72/1000,3)</x:f>
        <x:v>1981.709</x:v>
      </x:c>
      <x:c r="Q72" s="64" t="n">
        <x:f>ROUND(P72*'Drivers'!E72,3)</x:f>
        <x:v>1912.012</x:v>
      </x:c>
      <x:c r="R72" s="64" t="n">
        <x:f>-ROUND(Q72*'Drivers'!F72,3)</x:f>
        <x:v>-294.417</x:v>
      </x:c>
      <x:c r="S72" s="65" t="n">
        <x:f>R72/Q72</x:f>
        <x:v>-0.15398282019150505</x:v>
      </x:c>
      <x:c r="T72" s="64" t="n">
        <x:f>-ROUND(Q72*'Drivers'!G72,3)</x:f>
        <x:v>-33.253</x:v>
      </x:c>
      <x:c r="U72" s="65" t="n">
        <x:f>T72/Q72</x:f>
        <x:v>-0.017391627249201364</x:v>
      </x:c>
      <x:c r="V72" s="64" t="n">
        <x:f>-ROUND(Q72*'Drivers'!H72,3)</x:f>
        <x:v>-17.368</x:v>
      </x:c>
      <x:c r="W72" s="64" t="n">
        <x:f>-ROUND(Q72*'Drivers'!I72,3)</x:f>
        <x:v>-19.741</x:v>
      </x:c>
      <x:c r="X72" s="64" t="n">
        <x:f>-ROUND(Q72*'Drivers'!J72,3)</x:f>
        <x:v>-32.842</x:v>
      </x:c>
      <x:c r="Y72" s="64" t="n">
        <x:f>-ROUND(Q72*'Drivers'!K72,3)</x:f>
        <x:v>-15.524</x:v>
      </x:c>
      <x:c r="Z72" s="64" t="n">
        <x:f>-ROUND(Q72*'Drivers'!L72,3)</x:f>
        <x:v>-16.335</x:v>
      </x:c>
      <x:c r="AA72" s="64" t="n">
        <x:f>-ROUND(Q72*'Drivers'!M72,3)</x:f>
        <x:v>-17.889</x:v>
      </x:c>
      <x:c r="AB72" s="64" t="n">
        <x:f>-ROUND(Q72*'Drivers'!N72,3)</x:f>
        <x:v>-10.286</x:v>
      </x:c>
      <x:c r="AC72" s="64" t="n">
        <x:f>SUM(V72:AB72)</x:f>
        <x:v>-129.98499999999999</x:v>
      </x:c>
      <x:c r="AD72" s="65" t="n">
        <x:f>AC72/Q72</x:f>
        <x:v>-0.06798335993707152</x:v>
      </x:c>
      <x:c r="AE72" s="64" t="n">
        <x:f>-ROUND(Q72*'Drivers'!O72,3)</x:f>
        <x:v>-15.535</x:v>
      </x:c>
      <x:c r="AF72" s="65" t="n">
        <x:f>AE72/Q72</x:f>
        <x:v>-0.008124949006596193</x:v>
      </x:c>
      <x:c r="AG72" s="64" t="n">
        <x:f>-ROUND(Q72*'Drivers'!P72,3)</x:f>
        <x:v>-4.58</x:v>
      </x:c>
      <x:c r="AH72" s="64" t="n">
        <x:f>-ROUND(Q72*'Drivers'!Q72,3)</x:f>
        <x:v>-10.116</x:v>
      </x:c>
      <x:c r="AI72" s="64" t="n">
        <x:f>SUM(R72,T72,AC72,AE72,AG72,AH72)</x:f>
        <x:v>-487.88599999999997</x:v>
      </x:c>
      <x:c r="AJ72" s="65" t="n">
        <x:f>AI72/Q72</x:f>
        <x:v>-0.2551689006135945</x:v>
      </x:c>
      <x:c r="AK72" s="64" t="n">
        <x:f>Q72+AI72</x:f>
        <x:v>1424.126</x:v>
      </x:c>
      <x:c r="AL72" s="65" t="n">
        <x:f>AK72/Q72</x:f>
        <x:v>0.7448310993864056</x:v>
      </x:c>
      <x:c r="AM72" s="64" t="n">
        <x:f>AK72/L72</x:f>
        <x:v>284.8252</x:v>
      </x:c>
      <x:c r="AN72" s="66" t="str">
        <x:f>IF(AM72&lt;=200,"≤200K",IF(AM72&lt;=350,"200–350K",IF(AM72&lt;=500,"350–500K",IF(AM72&lt;=700,"500–700K","&gt;700K"))))</x:f>
        <x:v>200–350K</x:v>
      </x:c>
      <x:c r="AO72" s="64" t="n">
        <x:f>-ROUND(Q72*'Drivers'!R72,3)</x:f>
        <x:v>-733.914</x:v>
      </x:c>
      <x:c r="AP72" s="64" t="n">
        <x:f>-ROUND(AK72*'Drivers'!S72,3)</x:f>
        <x:v>-21.308</x:v>
      </x:c>
      <x:c r="AQ72" s="64" t="n">
        <x:f>-ROUND(AK72*'Drivers'!T72,3)</x:f>
        <x:v>-6.011</x:v>
      </x:c>
      <x:c r="AR72" s="64" t="n">
        <x:f>-ROUND(AK72*'Drivers'!U72,3)</x:f>
        <x:v>-14.032</x:v>
      </x:c>
      <x:c r="AS72" s="64" t="n">
        <x:f>-ROUND(AK72*'Drivers'!V72,3)</x:f>
        <x:v>-56.3</x:v>
      </x:c>
      <x:c r="AT72" s="64" t="n">
        <x:f>SUM(AO72:AS72)</x:f>
        <x:v>-831.5649999999999</x:v>
      </x:c>
      <x:c r="AU72" s="65" t="n">
        <x:f>AT72/AK72</x:f>
        <x:v>-0.5839125189765512</x:v>
      </x:c>
      <x:c r="AV72" s="64" t="n">
        <x:f>AK72+AT72</x:f>
        <x:v>592.561</x:v>
      </x:c>
      <x:c r="AW72" s="65" t="n">
        <x:f>AV72/AK72</x:f>
        <x:v>0.4160874810234488</x:v>
      </x:c>
      <x:c r="AX72" s="64" t="n">
        <x:f>-ROUND(AK72*'Drivers'!W72,3)</x:f>
        <x:v>-32.509</x:v>
      </x:c>
      <x:c r="AY72" s="64" t="n">
        <x:f>-ROUND(AK72*'Drivers'!X72,3)</x:f>
        <x:v>-55.82</x:v>
      </x:c>
      <x:c r="AZ72" s="64" t="n">
        <x:f>-ROUND(AK72*'Drivers'!Y72,3)</x:f>
        <x:v>-42.452</x:v>
      </x:c>
      <x:c r="BA72" s="64" t="n">
        <x:f>-ROUND(AK72*'Drivers'!Z72,3)</x:f>
        <x:v>-13.847</x:v>
      </x:c>
      <x:c r="BB72" s="64" t="n">
        <x:f>-ROUND(AK72*'Drivers'!AA72,3)</x:f>
        <x:v>-15.045</x:v>
      </x:c>
      <x:c r="BC72" s="64" t="n">
        <x:f>SUM(BA72,BB72)</x:f>
        <x:v>-28.892</x:v>
      </x:c>
      <x:c r="BD72" s="64" t="n">
        <x:f>-ROUND(AK72*'Drivers'!AB72,3)</x:f>
        <x:v>-8.583</x:v>
      </x:c>
      <x:c r="BE72" s="64" t="n">
        <x:f>SUM(AX72:BB72,BD72)</x:f>
        <x:v>-168.256</x:v>
      </x:c>
      <x:c r="BF72" s="67" t="n">
        <x:f>'Drivers'!AF72</x:f>
        <x:v>11</x:v>
      </x:c>
      <x:c r="BG72" s="64" t="n">
        <x:f>BJ72</x:f>
        <x:v>-68.653</x:v>
      </x:c>
      <x:c r="BH72" s="64" t="n">
        <x:f>BE72/BF72</x:f>
        <x:v>-15.296</x:v>
      </x:c>
      <x:c r="BI72" s="68" t="n">
        <x:f>BF72/L72</x:f>
        <x:v>2.2</x:v>
      </x:c>
      <x:c r="BJ72" s="64" t="n">
        <x:f>-ROUND(AK72*'Drivers'!AC72,3)</x:f>
        <x:v>-68.653</x:v>
      </x:c>
      <x:c r="BK72" s="64" t="n">
        <x:f>-ROUND(AK72*'Drivers'!AD72,3)</x:f>
        <x:v>-171.249</x:v>
      </x:c>
      <x:c r="BL72" s="64" t="n">
        <x:f>SUM(AV72,BE72,BJ72,BK72)</x:f>
        <x:v>184.40300000000005</x:v>
      </x:c>
      <x:c r="BM72" s="65" t="n">
        <x:f>BL72/AK72</x:f>
        <x:v>0.12948503152108737</x:v>
      </x:c>
      <x:c r="BN72" s="64" t="n">
        <x:f>-ROUND(AK72*'Drivers'!AE72,3)</x:f>
        <x:v>-132.327</x:v>
      </x:c>
      <x:c r="BO72" s="64" t="n">
        <x:f>BL72+BN72</x:f>
        <x:v>52.07600000000005</x:v>
      </x:c>
      <x:c r="BP72" s="65" t="n">
        <x:f>BO72/AK72</x:f>
        <x:v>0.03656698915685835</x:v>
      </x:c>
    </x:row>
    <x:row r="73">
      <x:c r="A73" s="61" t="n">
        <x:v>2026</x:v>
      </x:c>
      <x:c r="B73" s="18" t="str">
        <x:v>S2</x:v>
      </x:c>
      <x:c r="C73" s="18" t="str">
        <x:v>2026 S2</x:v>
      </x:c>
      <x:c r="D73" s="18" t="str">
        <x:v>CNCT0018</x:v>
      </x:c>
      <x:c r="E73" s="18" t="str">
        <x:v>上海百联又一城</x:v>
      </x:c>
      <x:c r="F73" s="18" t="str">
        <x:v>上海</x:v>
      </x:c>
      <x:c r="G73" s="18" t="str">
        <x:v>上海市</x:v>
      </x:c>
      <x:c r="H73" s="18" t="str">
        <x:v>东区</x:v>
      </x:c>
      <x:c r="I73" s="18" t="str">
        <x:v>Shopping Mall</x:v>
      </x:c>
      <x:c r="J73" s="18" t="str">
        <x:v>Regional Mall</x:v>
      </x:c>
      <x:c r="K73" s="18" t="str">
        <x:v>正常</x:v>
      </x:c>
      <x:c r="L73" s="62" t="n">
        <x:v>5</x:v>
      </x:c>
      <x:c r="M73" s="62" t="n">
        <x:v>60</x:v>
      </x:c>
      <x:c r="N73" s="63" t="n">
        <x:f>'Drivers'!C73</x:f>
        <x:v>2622</x:v>
      </x:c>
      <x:c r="O73" s="63" t="n">
        <x:f>'Drivers'!D73</x:f>
        <x:v>934.704</x:v>
      </x:c>
      <x:c r="P73" s="64" t="n">
        <x:f>ROUND(N73*O73/1000,3)</x:f>
        <x:v>2450.794</x:v>
      </x:c>
      <x:c r="Q73" s="64" t="n">
        <x:f>ROUND(P73*'Drivers'!E73,3)</x:f>
        <x:v>2400.478</x:v>
      </x:c>
      <x:c r="R73" s="64" t="n">
        <x:f>-ROUND(Q73*'Drivers'!F73,3)</x:f>
        <x:v>-375.838</x:v>
      </x:c>
      <x:c r="S73" s="65" t="n">
        <x:f>R73/Q73</x:f>
        <x:v>-0.15656798354327764</x:v>
      </x:c>
      <x:c r="T73" s="64" t="n">
        <x:f>-ROUND(Q73*'Drivers'!G73,3)</x:f>
        <x:v>-44.684</x:v>
      </x:c>
      <x:c r="U73" s="65" t="n">
        <x:f>T73/Q73</x:f>
        <x:v>-0.01861462592033753</x:v>
      </x:c>
      <x:c r="V73" s="64" t="n">
        <x:f>-ROUND(Q73*'Drivers'!H73,3)</x:f>
        <x:v>-21.805</x:v>
      </x:c>
      <x:c r="W73" s="64" t="n">
        <x:f>-ROUND(Q73*'Drivers'!I73,3)</x:f>
        <x:v>-24.784</x:v>
      </x:c>
      <x:c r="X73" s="64" t="n">
        <x:f>-ROUND(Q73*'Drivers'!J73,3)</x:f>
        <x:v>-41.233</x:v>
      </x:c>
      <x:c r="Y73" s="64" t="n">
        <x:f>-ROUND(Q73*'Drivers'!K73,3)</x:f>
        <x:v>-19.49</x:v>
      </x:c>
      <x:c r="Z73" s="64" t="n">
        <x:f>-ROUND(Q73*'Drivers'!L73,3)</x:f>
        <x:v>-20.508</x:v>
      </x:c>
      <x:c r="AA73" s="64" t="n">
        <x:f>-ROUND(Q73*'Drivers'!M73,3)</x:f>
        <x:v>-22.459</x:v>
      </x:c>
      <x:c r="AB73" s="64" t="n">
        <x:f>-ROUND(Q73*'Drivers'!N73,3)</x:f>
        <x:v>-12.914</x:v>
      </x:c>
      <x:c r="AC73" s="64" t="n">
        <x:f>SUM(V73:AB73)</x:f>
        <x:v>-163.19299999999998</x:v>
      </x:c>
      <x:c r="AD73" s="65" t="n">
        <x:f>AC73/Q73</x:f>
        <x:v>-0.06798354327763052</x:v>
      </x:c>
      <x:c r="AE73" s="64" t="n">
        <x:f>-ROUND(Q73*'Drivers'!O73,3)</x:f>
        <x:v>-19.184</x:v>
      </x:c>
      <x:c r="AF73" s="65" t="n">
        <x:f>AE73/Q73</x:f>
        <x:v>-0.00799174164478908</x:v>
      </x:c>
      <x:c r="AG73" s="64" t="n">
        <x:f>-ROUND(Q73*'Drivers'!P73,3)</x:f>
        <x:v>-5.75</x:v>
      </x:c>
      <x:c r="AH73" s="64" t="n">
        <x:f>-ROUND(Q73*'Drivers'!Q73,3)</x:f>
        <x:v>-12.7</x:v>
      </x:c>
      <x:c r="AI73" s="64" t="n">
        <x:f>SUM(R73,T73,AC73,AE73,AG73,AH73)</x:f>
        <x:v>-621.349</x:v>
      </x:c>
      <x:c r="AJ73" s="65" t="n">
        <x:f>AI73/Q73</x:f>
        <x:v>-0.25884386359716693</x:v>
      </x:c>
      <x:c r="AK73" s="64" t="n">
        <x:f>Q73+AI73</x:f>
        <x:v>1779.129</x:v>
      </x:c>
      <x:c r="AL73" s="65" t="n">
        <x:f>AK73/Q73</x:f>
        <x:v>0.7411561364028331</x:v>
      </x:c>
      <x:c r="AM73" s="64" t="n">
        <x:f>AK73/L73</x:f>
        <x:v>355.82579999999996</x:v>
      </x:c>
      <x:c r="AN73" s="66" t="str">
        <x:f>IF(AM73&lt;=200,"≤200K",IF(AM73&lt;=350,"200–350K",IF(AM73&lt;=500,"350–500K",IF(AM73&lt;=700,"500–700K","&gt;700K"))))</x:f>
        <x:v>350–500K</x:v>
      </x:c>
      <x:c r="AO73" s="64" t="n">
        <x:f>-ROUND(Q73*'Drivers'!R73,3)</x:f>
        <x:v>-905.284</x:v>
      </x:c>
      <x:c r="AP73" s="64" t="n">
        <x:f>-ROUND(AK73*'Drivers'!S73,3)</x:f>
        <x:v>-26.619</x:v>
      </x:c>
      <x:c r="AQ73" s="64" t="n">
        <x:f>-ROUND(AK73*'Drivers'!T73,3)</x:f>
        <x:v>-7.509</x:v>
      </x:c>
      <x:c r="AR73" s="64" t="n">
        <x:f>-ROUND(AK73*'Drivers'!U73,3)</x:f>
        <x:v>-17.53</x:v>
      </x:c>
      <x:c r="AS73" s="64" t="n">
        <x:f>-ROUND(AK73*'Drivers'!V73,3)</x:f>
        <x:v>-70.334</x:v>
      </x:c>
      <x:c r="AT73" s="64" t="n">
        <x:f>SUM(AO73:AS73)</x:f>
        <x:v>-1027.276</x:v>
      </x:c>
      <x:c r="AU73" s="65" t="n">
        <x:f>AT73/AK73</x:f>
        <x:v>-0.5774038869581689</x:v>
      </x:c>
      <x:c r="AV73" s="64" t="n">
        <x:f>AK73+AT73</x:f>
        <x:v>751.8529999999998</x:v>
      </x:c>
      <x:c r="AW73" s="65" t="n">
        <x:f>AV73/AK73</x:f>
        <x:v>0.4225961130418311</x:v>
      </x:c>
      <x:c r="AX73" s="64" t="n">
        <x:f>-ROUND(AK73*'Drivers'!W73,3)</x:f>
        <x:v>-25.916</x:v>
      </x:c>
      <x:c r="AY73" s="64" t="n">
        <x:f>-ROUND(AK73*'Drivers'!X73,3)</x:f>
        <x:v>-44.5</x:v>
      </x:c>
      <x:c r="AZ73" s="64" t="n">
        <x:f>-ROUND(AK73*'Drivers'!Y73,3)</x:f>
        <x:v>-33.843</x:v>
      </x:c>
      <x:c r="BA73" s="64" t="n">
        <x:f>-ROUND(AK73*'Drivers'!Z73,3)</x:f>
        <x:v>-14.902</x:v>
      </x:c>
      <x:c r="BB73" s="64" t="n">
        <x:f>-ROUND(AK73*'Drivers'!AA73,3)</x:f>
        <x:v>-16.191</x:v>
      </x:c>
      <x:c r="BC73" s="64" t="n">
        <x:f>SUM(BA73,BB73)</x:f>
        <x:v>-31.092999999999996</x:v>
      </x:c>
      <x:c r="BD73" s="64" t="n">
        <x:f>-ROUND(AK73*'Drivers'!AB73,3)</x:f>
        <x:v>-6.842</x:v>
      </x:c>
      <x:c r="BE73" s="64" t="n">
        <x:f>SUM(AX73:BB73,BD73)</x:f>
        <x:v>-142.19400000000002</x:v>
      </x:c>
      <x:c r="BF73" s="67" t="n">
        <x:f>'Drivers'!AF73</x:f>
        <x:v>11</x:v>
      </x:c>
      <x:c r="BG73" s="64" t="n">
        <x:f>BJ73</x:f>
        <x:v>-54.73</x:v>
      </x:c>
      <x:c r="BH73" s="64" t="n">
        <x:f>BE73/BF73</x:f>
        <x:v>-12.926727272727275</x:v>
      </x:c>
      <x:c r="BI73" s="68" t="n">
        <x:f>BF73/L73</x:f>
        <x:v>2.2</x:v>
      </x:c>
      <x:c r="BJ73" s="64" t="n">
        <x:f>-ROUND(AK73*'Drivers'!AC73,3)</x:f>
        <x:v>-54.73</x:v>
      </x:c>
      <x:c r="BK73" s="64" t="n">
        <x:f>-ROUND(AK73*'Drivers'!AD73,3)</x:f>
        <x:v>-191.015</x:v>
      </x:c>
      <x:c r="BL73" s="64" t="n">
        <x:f>SUM(AV73,BE73,BJ73,BK73)</x:f>
        <x:v>363.9139999999999</x:v>
      </x:c>
      <x:c r="BM73" s="65" t="n">
        <x:f>BL73/AK73</x:f>
        <x:v>0.20454615713644142</x:v>
      </x:c>
      <x:c r="BN73" s="64" t="n">
        <x:f>-ROUND(AK73*'Drivers'!AE73,3)</x:f>
        <x:v>-165.314</x:v>
      </x:c>
      <x:c r="BO73" s="64" t="n">
        <x:f>BL73+BN73</x:f>
        <x:v>198.59999999999988</x:v>
      </x:c>
      <x:c r="BP73" s="65" t="n">
        <x:f>BO73/AK73</x:f>
        <x:v>0.11162765600470786</x:v>
      </x:c>
    </x:row>
    <x:row r="74">
      <x:c r="A74" s="61" t="n">
        <x:v>2025</x:v>
      </x:c>
      <x:c r="B74" s="18" t="str">
        <x:v>S1</x:v>
      </x:c>
      <x:c r="C74" s="18" t="str">
        <x:v>2025 S1</x:v>
      </x:c>
      <x:c r="D74" s="18" t="str">
        <x:v>CNCT0019</x:v>
      </x:c>
      <x:c r="E74" s="18" t="str">
        <x:v>广州天环广场</x:v>
      </x:c>
      <x:c r="F74" s="18" t="str">
        <x:v>广州</x:v>
      </x:c>
      <x:c r="G74" s="18" t="str">
        <x:v>广东省</x:v>
      </x:c>
      <x:c r="H74" s="18" t="str">
        <x:v>南区</x:v>
      </x:c>
      <x:c r="I74" s="18" t="str">
        <x:v>Shopping Mall</x:v>
      </x:c>
      <x:c r="J74" s="18" t="str">
        <x:v>Core Shopping Center</x:v>
      </x:c>
      <x:c r="K74" s="18" t="str">
        <x:v>正常</x:v>
      </x:c>
      <x:c r="L74" s="62" t="n">
        <x:v>5</x:v>
      </x:c>
      <x:c r="M74" s="62" t="n">
        <x:v>44</x:v>
      </x:c>
      <x:c r="N74" s="63" t="n">
        <x:f>'Drivers'!C74</x:f>
        <x:v>2461</x:v>
      </x:c>
      <x:c r="O74" s="63" t="n">
        <x:f>'Drivers'!D74</x:f>
        <x:v>1140.505</x:v>
      </x:c>
      <x:c r="P74" s="64" t="n">
        <x:f>ROUND(N74*O74/1000,3)</x:f>
        <x:v>2806.783</x:v>
      </x:c>
      <x:c r="Q74" s="64" t="n">
        <x:f>ROUND(P74*'Drivers'!E74,3)</x:f>
        <x:v>2727.176</x:v>
      </x:c>
      <x:c r="R74" s="64" t="n">
        <x:f>-ROUND(Q74*'Drivers'!F74,3)</x:f>
        <x:v>-562.55</x:v>
      </x:c>
      <x:c r="S74" s="65" t="n">
        <x:f>R74/Q74</x:f>
        <x:v>-0.20627564924302647</x:v>
      </x:c>
      <x:c r="T74" s="64" t="n">
        <x:f>-ROUND(Q74*'Drivers'!G74,3)</x:f>
        <x:v>-29.079</x:v>
      </x:c>
      <x:c r="U74" s="65" t="n">
        <x:f>T74/Q74</x:f>
        <x:v>-0.010662678169652417</x:v>
      </x:c>
      <x:c r="V74" s="64" t="n">
        <x:f>-ROUND(Q74*'Drivers'!H74,3)</x:f>
        <x:v>-19.405</x:v>
      </x:c>
      <x:c r="W74" s="64" t="n">
        <x:f>-ROUND(Q74*'Drivers'!I74,3)</x:f>
        <x:v>-24.935</x:v>
      </x:c>
      <x:c r="X74" s="64" t="n">
        <x:f>-ROUND(Q74*'Drivers'!J74,3)</x:f>
        <x:v>-37.861</x:v>
      </x:c>
      <x:c r="Y74" s="64" t="n">
        <x:f>-ROUND(Q74*'Drivers'!K74,3)</x:f>
        <x:v>-34.286</x:v>
      </x:c>
      <x:c r="Z74" s="64" t="n">
        <x:f>-ROUND(Q74*'Drivers'!L74,3)</x:f>
        <x:v>-25.155</x:v>
      </x:c>
      <x:c r="AA74" s="64" t="n">
        <x:f>-ROUND(Q74*'Drivers'!M74,3)</x:f>
        <x:v>-23.884</x:v>
      </x:c>
      <x:c r="AB74" s="64" t="n">
        <x:f>-ROUND(Q74*'Drivers'!N74,3)</x:f>
        <x:v>-15.438</x:v>
      </x:c>
      <x:c r="AC74" s="64" t="n">
        <x:f>SUM(V74:AB74)</x:f>
        <x:v>-180.964</x:v>
      </x:c>
      <x:c r="AD74" s="65" t="n">
        <x:f>AC74/Q74</x:f>
        <x:v>-0.06635582008641906</x:v>
      </x:c>
      <x:c r="AE74" s="64" t="n">
        <x:f>-ROUND(Q74*'Drivers'!O74,3)</x:f>
        <x:v>-37.55</x:v>
      </x:c>
      <x:c r="AF74" s="65" t="n">
        <x:f>AE74/Q74</x:f>
        <x:v>-0.013768821667541809</x:v>
      </x:c>
      <x:c r="AG74" s="64" t="n">
        <x:f>-ROUND(Q74*'Drivers'!P74,3)</x:f>
        <x:v>-1.797</x:v>
      </x:c>
      <x:c r="AH74" s="64" t="n">
        <x:f>-ROUND(Q74*'Drivers'!Q74,3)</x:f>
        <x:v>-12.591</x:v>
      </x:c>
      <x:c r="AI74" s="64" t="n">
        <x:f>SUM(R74,T74,AC74,AE74,AG74,AH74)</x:f>
        <x:v>-824.5309999999998</x:v>
      </x:c>
      <x:c r="AJ74" s="65" t="n">
        <x:f>AI74/Q74</x:f>
        <x:v>-0.3023387562812227</x:v>
      </x:c>
      <x:c r="AK74" s="64" t="n">
        <x:f>Q74+AI74</x:f>
        <x:v>1902.645</x:v>
      </x:c>
      <x:c r="AL74" s="65" t="n">
        <x:f>AK74/Q74</x:f>
        <x:v>0.6976612437187772</x:v>
      </x:c>
      <x:c r="AM74" s="64" t="n">
        <x:f>AK74/L74</x:f>
        <x:v>380.529</x:v>
      </x:c>
      <x:c r="AN74" s="66" t="str">
        <x:f>IF(AM74&lt;=200,"≤200K",IF(AM74&lt;=350,"200–350K",IF(AM74&lt;=500,"350–500K",IF(AM74&lt;=700,"500–700K","&gt;700K"))))</x:f>
        <x:v>350–500K</x:v>
      </x:c>
      <x:c r="AO74" s="64" t="n">
        <x:f>-ROUND(Q74*'Drivers'!R74,3)</x:f>
        <x:v>-1016.729</x:v>
      </x:c>
      <x:c r="AP74" s="64" t="n">
        <x:f>-ROUND(AK74*'Drivers'!S74,3)</x:f>
        <x:v>-24.628</x:v>
      </x:c>
      <x:c r="AQ74" s="64" t="n">
        <x:f>-ROUND(AK74*'Drivers'!T74,3)</x:f>
        <x:v>-10.53</x:v>
      </x:c>
      <x:c r="AR74" s="64" t="n">
        <x:f>-ROUND(AK74*'Drivers'!U74,3)</x:f>
        <x:v>-15.372</x:v>
      </x:c>
      <x:c r="AS74" s="64" t="n">
        <x:f>-ROUND(AK74*'Drivers'!V74,3)</x:f>
        <x:v>-53.977</x:v>
      </x:c>
      <x:c r="AT74" s="64" t="n">
        <x:f>SUM(AO74:AS74)</x:f>
        <x:v>-1121.236</x:v>
      </x:c>
      <x:c r="AU74" s="65" t="n">
        <x:f>AT74/AK74</x:f>
        <x:v>-0.58930383755246</x:v>
      </x:c>
      <x:c r="AV74" s="64" t="n">
        <x:f>AK74+AT74</x:f>
        <x:v>781.4089999999999</x:v>
      </x:c>
      <x:c r="AW74" s="65" t="n">
        <x:f>AV74/AK74</x:f>
        <x:v>0.4106961624475401</x:v>
      </x:c>
      <x:c r="AX74" s="64" t="n">
        <x:f>-ROUND(AK74*'Drivers'!W74,3)</x:f>
        <x:v>-25.066</x:v>
      </x:c>
      <x:c r="AY74" s="64" t="n">
        <x:f>-ROUND(AK74*'Drivers'!X74,3)</x:f>
        <x:v>-46.542</x:v>
      </x:c>
      <x:c r="AZ74" s="64" t="n">
        <x:f>-ROUND(AK74*'Drivers'!Y74,3)</x:f>
        <x:v>-39.429</x:v>
      </x:c>
      <x:c r="BA74" s="64" t="n">
        <x:f>-ROUND(AK74*'Drivers'!Z74,3)</x:f>
        <x:v>-13.163</x:v>
      </x:c>
      <x:c r="BB74" s="64" t="n">
        <x:f>-ROUND(AK74*'Drivers'!AA74,3)</x:f>
        <x:v>-15.704</x:v>
      </x:c>
      <x:c r="BC74" s="64" t="n">
        <x:f>SUM(BA74,BB74)</x:f>
        <x:v>-28.867</x:v>
      </x:c>
      <x:c r="BD74" s="64" t="n">
        <x:f>-ROUND(AK74*'Drivers'!AB74,3)</x:f>
        <x:v>-13.538</x:v>
      </x:c>
      <x:c r="BE74" s="64" t="n">
        <x:f>SUM(AX74:BB74,BD74)</x:f>
        <x:v>-153.442</x:v>
      </x:c>
      <x:c r="BF74" s="67" t="n">
        <x:f>'Drivers'!AF74</x:f>
        <x:v>9</x:v>
      </x:c>
      <x:c r="BG74" s="64" t="n">
        <x:f>BJ74</x:f>
        <x:v>-36.013</x:v>
      </x:c>
      <x:c r="BH74" s="64" t="n">
        <x:f>BE74/BF74</x:f>
        <x:v>-17.049111111111113</x:v>
      </x:c>
      <x:c r="BI74" s="68" t="n">
        <x:f>BF74/L74</x:f>
        <x:v>1.8</x:v>
      </x:c>
      <x:c r="BJ74" s="64" t="n">
        <x:f>-ROUND(AK74*'Drivers'!AC74,3)</x:f>
        <x:v>-36.013</x:v>
      </x:c>
      <x:c r="BK74" s="64" t="n">
        <x:f>-ROUND(AK74*'Drivers'!AD74,3)</x:f>
        <x:v>-217.512</x:v>
      </x:c>
      <x:c r="BL74" s="64" t="n">
        <x:f>SUM(AV74,BE74,BJ74,BK74)</x:f>
        <x:v>374.44199999999984</x:v>
      </x:c>
      <x:c r="BM74" s="65" t="n">
        <x:f>BL74/AK74</x:f>
        <x:v>0.19680076945515312</x:v>
      </x:c>
      <x:c r="BN74" s="64" t="n">
        <x:f>-ROUND(AK74*'Drivers'!AE74,3)</x:f>
        <x:v>-131.751</x:v>
      </x:c>
      <x:c r="BO74" s="64" t="n">
        <x:f>BL74+BN74</x:f>
        <x:v>242.69099999999983</x:v>
      </x:c>
      <x:c r="BP74" s="65" t="n">
        <x:f>BO74/AK74</x:f>
        <x:v>0.12755453592236063</x:v>
      </x:c>
    </x:row>
    <x:row r="75">
      <x:c r="A75" s="61" t="n">
        <x:v>2025</x:v>
      </x:c>
      <x:c r="B75" s="18" t="str">
        <x:v>S2</x:v>
      </x:c>
      <x:c r="C75" s="18" t="str">
        <x:v>2025 S2</x:v>
      </x:c>
      <x:c r="D75" s="18" t="str">
        <x:v>CNCT0019</x:v>
      </x:c>
      <x:c r="E75" s="18" t="str">
        <x:v>广州天环广场</x:v>
      </x:c>
      <x:c r="F75" s="18" t="str">
        <x:v>广州</x:v>
      </x:c>
      <x:c r="G75" s="18" t="str">
        <x:v>广东省</x:v>
      </x:c>
      <x:c r="H75" s="18" t="str">
        <x:v>南区</x:v>
      </x:c>
      <x:c r="I75" s="18" t="str">
        <x:v>Shopping Mall</x:v>
      </x:c>
      <x:c r="J75" s="18" t="str">
        <x:v>Core Shopping Center</x:v>
      </x:c>
      <x:c r="K75" s="18" t="str">
        <x:v>正常</x:v>
      </x:c>
      <x:c r="L75" s="62" t="n">
        <x:v>5</x:v>
      </x:c>
      <x:c r="M75" s="62" t="n">
        <x:v>44</x:v>
      </x:c>
      <x:c r="N75" s="63" t="n">
        <x:f>'Drivers'!C75</x:f>
        <x:v>2604</x:v>
      </x:c>
      <x:c r="O75" s="63" t="n">
        <x:f>'Drivers'!D75</x:f>
        <x:v>1154.191</x:v>
      </x:c>
      <x:c r="P75" s="64" t="n">
        <x:f>ROUND(N75*O75/1000,3)</x:f>
        <x:v>3005.513</x:v>
      </x:c>
      <x:c r="Q75" s="64" t="n">
        <x:f>ROUND(P75*'Drivers'!E75,3)</x:f>
        <x:v>2929.299</x:v>
      </x:c>
      <x:c r="R75" s="64" t="n">
        <x:f>-ROUND(Q75*'Drivers'!F75,3)</x:f>
        <x:v>-604.243</x:v>
      </x:c>
      <x:c r="S75" s="65" t="n">
        <x:f>R75/Q75</x:f>
        <x:v>-0.20627563113222652</x:v>
      </x:c>
      <x:c r="T75" s="64" t="n">
        <x:f>-ROUND(Q75*'Drivers'!G75,3)</x:f>
        <x:v>-31.234</x:v>
      </x:c>
      <x:c r="U75" s="65" t="n">
        <x:f>T75/Q75</x:f>
        <x:v>-0.010662619281951075</x:v>
      </x:c>
      <x:c r="V75" s="64" t="n">
        <x:f>-ROUND(Q75*'Drivers'!H75,3)</x:f>
        <x:v>-20.843</x:v>
      </x:c>
      <x:c r="W75" s="64" t="n">
        <x:f>-ROUND(Q75*'Drivers'!I75,3)</x:f>
        <x:v>-26.783</x:v>
      </x:c>
      <x:c r="X75" s="64" t="n">
        <x:f>-ROUND(Q75*'Drivers'!J75,3)</x:f>
        <x:v>-40.667</x:v>
      </x:c>
      <x:c r="Y75" s="64" t="n">
        <x:f>-ROUND(Q75*'Drivers'!K75,3)</x:f>
        <x:v>-36.827</x:v>
      </x:c>
      <x:c r="Z75" s="64" t="n">
        <x:f>-ROUND(Q75*'Drivers'!L75,3)</x:f>
        <x:v>-27.019</x:v>
      </x:c>
      <x:c r="AA75" s="64" t="n">
        <x:f>-ROUND(Q75*'Drivers'!M75,3)</x:f>
        <x:v>-25.654</x:v>
      </x:c>
      <x:c r="AB75" s="64" t="n">
        <x:f>-ROUND(Q75*'Drivers'!N75,3)</x:f>
        <x:v>-16.582</x:v>
      </x:c>
      <x:c r="AC75" s="64" t="n">
        <x:f>SUM(V75:AB75)</x:f>
        <x:v>-194.375</x:v>
      </x:c>
      <x:c r="AD75" s="65" t="n">
        <x:f>AC75/Q75</x:f>
        <x:v>-0.06635546593229302</x:v>
      </x:c>
      <x:c r="AE75" s="64" t="n">
        <x:f>-ROUND(Q75*'Drivers'!O75,3)</x:f>
        <x:v>-40.333</x:v>
      </x:c>
      <x:c r="AF75" s="65" t="n">
        <x:f>AE75/Q75</x:f>
        <x:v>-0.013768823189438837</x:v>
      </x:c>
      <x:c r="AG75" s="64" t="n">
        <x:f>-ROUND(Q75*'Drivers'!P75,3)</x:f>
        <x:v>-1.93</x:v>
      </x:c>
      <x:c r="AH75" s="64" t="n">
        <x:f>-ROUND(Q75*'Drivers'!Q75,3)</x:f>
        <x:v>-13.525</x:v>
      </x:c>
      <x:c r="AI75" s="64" t="n">
        <x:f>SUM(R75,T75,AC75,AE75,AG75,AH75)</x:f>
        <x:v>-885.64</x:v>
      </x:c>
      <x:c r="AJ75" s="65" t="n">
        <x:f>AI75/Q75</x:f>
        <x:v>-0.3023385458432205</x:v>
      </x:c>
      <x:c r="AK75" s="64" t="n">
        <x:f>Q75+AI75</x:f>
        <x:v>2043.659</x:v>
      </x:c>
      <x:c r="AL75" s="65" t="n">
        <x:f>AK75/Q75</x:f>
        <x:v>0.6976614541567795</x:v>
      </x:c>
      <x:c r="AM75" s="64" t="n">
        <x:f>AK75/L75</x:f>
        <x:v>408.7318</x:v>
      </x:c>
      <x:c r="AN75" s="66" t="str">
        <x:f>IF(AM75&lt;=200,"≤200K",IF(AM75&lt;=350,"200–350K",IF(AM75&lt;=500,"350–500K",IF(AM75&lt;=700,"500–700K","&gt;700K"))))</x:f>
        <x:v>350–500K</x:v>
      </x:c>
      <x:c r="AO75" s="64" t="n">
        <x:f>-ROUND(Q75*'Drivers'!R75,3)</x:f>
        <x:v>-1046.466</x:v>
      </x:c>
      <x:c r="AP75" s="64" t="n">
        <x:f>-ROUND(AK75*'Drivers'!S75,3)</x:f>
        <x:v>-26.453</x:v>
      </x:c>
      <x:c r="AQ75" s="64" t="n">
        <x:f>-ROUND(AK75*'Drivers'!T75,3)</x:f>
        <x:v>-11.311</x:v>
      </x:c>
      <x:c r="AR75" s="64" t="n">
        <x:f>-ROUND(AK75*'Drivers'!U75,3)</x:f>
        <x:v>-16.512</x:v>
      </x:c>
      <x:c r="AS75" s="64" t="n">
        <x:f>-ROUND(AK75*'Drivers'!V75,3)</x:f>
        <x:v>-57.977</x:v>
      </x:c>
      <x:c r="AT75" s="64" t="n">
        <x:f>SUM(AO75:AS75)</x:f>
        <x:v>-1158.7189999999998</x:v>
      </x:c>
      <x:c r="AU75" s="65" t="n">
        <x:f>AT75/AK75</x:f>
        <x:v>-0.5669825543302477</x:v>
      </x:c>
      <x:c r="AV75" s="64" t="n">
        <x:f>AK75+AT75</x:f>
        <x:v>884.9400000000003</x:v>
      </x:c>
      <x:c r="AW75" s="65" t="n">
        <x:f>AV75/AK75</x:f>
        <x:v>0.43301744566975225</x:v>
      </x:c>
      <x:c r="AX75" s="64" t="n">
        <x:f>-ROUND(AK75*'Drivers'!W75,3)</x:f>
        <x:v>-26.924</x:v>
      </x:c>
      <x:c r="AY75" s="64" t="n">
        <x:f>-ROUND(AK75*'Drivers'!X75,3)</x:f>
        <x:v>-49.992</x:v>
      </x:c>
      <x:c r="AZ75" s="64" t="n">
        <x:f>-ROUND(AK75*'Drivers'!Y75,3)</x:f>
        <x:v>-42.351</x:v>
      </x:c>
      <x:c r="BA75" s="64" t="n">
        <x:f>-ROUND(AK75*'Drivers'!Z75,3)</x:f>
        <x:v>-14.138</x:v>
      </x:c>
      <x:c r="BB75" s="64" t="n">
        <x:f>-ROUND(AK75*'Drivers'!AA75,3)</x:f>
        <x:v>-16.868</x:v>
      </x:c>
      <x:c r="BC75" s="64" t="n">
        <x:f>SUM(BA75,BB75)</x:f>
        <x:v>-31.006</x:v>
      </x:c>
      <x:c r="BD75" s="64" t="n">
        <x:f>-ROUND(AK75*'Drivers'!AB75,3)</x:f>
        <x:v>-14.541</x:v>
      </x:c>
      <x:c r="BE75" s="64" t="n">
        <x:f>SUM(AX75:BB75,BD75)</x:f>
        <x:v>-164.814</x:v>
      </x:c>
      <x:c r="BF75" s="67" t="n">
        <x:f>'Drivers'!AF75</x:f>
        <x:v>9</x:v>
      </x:c>
      <x:c r="BG75" s="64" t="n">
        <x:f>BJ75</x:f>
        <x:v>-38.682</x:v>
      </x:c>
      <x:c r="BH75" s="64" t="n">
        <x:f>BE75/BF75</x:f>
        <x:v>-18.312666666666665</x:v>
      </x:c>
      <x:c r="BI75" s="68" t="n">
        <x:f>BF75/L75</x:f>
        <x:v>1.8</x:v>
      </x:c>
      <x:c r="BJ75" s="64" t="n">
        <x:f>-ROUND(AK75*'Drivers'!AC75,3)</x:f>
        <x:v>-38.682</x:v>
      </x:c>
      <x:c r="BK75" s="64" t="n">
        <x:f>-ROUND(AK75*'Drivers'!AD75,3)</x:f>
        <x:v>-233.632</x:v>
      </x:c>
      <x:c r="BL75" s="64" t="n">
        <x:f>SUM(AV75,BE75,BJ75,BK75)</x:f>
        <x:v>447.8120000000003</x:v>
      </x:c>
      <x:c r="BM75" s="65" t="n">
        <x:f>BL75/AK75</x:f>
        <x:v>0.21912266185307835</x:v>
      </x:c>
      <x:c r="BN75" s="64" t="n">
        <x:f>-ROUND(AK75*'Drivers'!AE75,3)</x:f>
        <x:v>-141.516</x:v>
      </x:c>
      <x:c r="BO75" s="64" t="n">
        <x:f>BL75+BN75</x:f>
        <x:v>306.2960000000003</x:v>
      </x:c>
      <x:c r="BP75" s="65" t="n">
        <x:f>BO75/AK75</x:f>
        <x:v>0.14987627583662452</x:v>
      </x:c>
    </x:row>
    <x:row r="76">
      <x:c r="A76" s="61" t="n">
        <x:v>2026</x:v>
      </x:c>
      <x:c r="B76" s="18" t="str">
        <x:v>S1</x:v>
      </x:c>
      <x:c r="C76" s="18" t="str">
        <x:v>2026 S1</x:v>
      </x:c>
      <x:c r="D76" s="18" t="str">
        <x:v>CNCT0019</x:v>
      </x:c>
      <x:c r="E76" s="18" t="str">
        <x:v>广州天环广场</x:v>
      </x:c>
      <x:c r="F76" s="18" t="str">
        <x:v>广州</x:v>
      </x:c>
      <x:c r="G76" s="18" t="str">
        <x:v>广东省</x:v>
      </x:c>
      <x:c r="H76" s="18" t="str">
        <x:v>南区</x:v>
      </x:c>
      <x:c r="I76" s="18" t="str">
        <x:v>Shopping Mall</x:v>
      </x:c>
      <x:c r="J76" s="18" t="str">
        <x:v>Core Shopping Center</x:v>
      </x:c>
      <x:c r="K76" s="18" t="str">
        <x:v>正常</x:v>
      </x:c>
      <x:c r="L76" s="62" t="n">
        <x:v>5</x:v>
      </x:c>
      <x:c r="M76" s="62" t="n">
        <x:v>44</x:v>
      </x:c>
      <x:c r="N76" s="63" t="n">
        <x:f>'Drivers'!C76</x:f>
        <x:v>2528</x:v>
      </x:c>
      <x:c r="O76" s="63" t="n">
        <x:f>'Drivers'!D76</x:f>
        <x:v>1190.488</x:v>
      </x:c>
      <x:c r="P76" s="64" t="n">
        <x:f>ROUND(N76*O76/1000,3)</x:f>
        <x:v>3009.554</x:v>
      </x:c>
      <x:c r="Q76" s="64" t="n">
        <x:f>ROUND(P76*'Drivers'!E76,3)</x:f>
        <x:v>2925.336</x:v>
      </x:c>
      <x:c r="R76" s="64" t="n">
        <x:f>-ROUND(Q76*'Drivers'!F76,3)</x:f>
        <x:v>-592.093</x:v>
      </x:c>
      <x:c r="S76" s="65" t="n">
        <x:f>R76/Q76</x:f>
        <x:v>-0.20240170701758703</x:v>
      </x:c>
      <x:c r="T76" s="64" t="n">
        <x:f>-ROUND(Q76*'Drivers'!G76,3)</x:f>
        <x:v>-35.654</x:v>
      </x:c>
      <x:c r="U76" s="65" t="n">
        <x:f>T76/Q76</x:f>
        <x:v>-0.012188001651776071</x:v>
      </x:c>
      <x:c r="V76" s="64" t="n">
        <x:f>-ROUND(Q76*'Drivers'!H76,3)</x:f>
        <x:v>-20.815</x:v>
      </x:c>
      <x:c r="W76" s="64" t="n">
        <x:f>-ROUND(Q76*'Drivers'!I76,3)</x:f>
        <x:v>-26.747</x:v>
      </x:c>
      <x:c r="X76" s="64" t="n">
        <x:f>-ROUND(Q76*'Drivers'!J76,3)</x:f>
        <x:v>-40.612</x:v>
      </x:c>
      <x:c r="Y76" s="64" t="n">
        <x:f>-ROUND(Q76*'Drivers'!K76,3)</x:f>
        <x:v>-36.777</x:v>
      </x:c>
      <x:c r="Z76" s="64" t="n">
        <x:f>-ROUND(Q76*'Drivers'!L76,3)</x:f>
        <x:v>-26.982</x:v>
      </x:c>
      <x:c r="AA76" s="64" t="n">
        <x:f>-ROUND(Q76*'Drivers'!M76,3)</x:f>
        <x:v>-25.619</x:v>
      </x:c>
      <x:c r="AB76" s="64" t="n">
        <x:f>-ROUND(Q76*'Drivers'!N76,3)</x:f>
        <x:v>-16.559</x:v>
      </x:c>
      <x:c r="AC76" s="64" t="n">
        <x:f>SUM(V76:AB76)</x:f>
        <x:v>-194.111</x:v>
      </x:c>
      <x:c r="AD76" s="65" t="n">
        <x:f>AC76/Q76</x:f>
        <x:v>-0.06635511271183892</x:v>
      </x:c>
      <x:c r="AE76" s="64" t="n">
        <x:f>-ROUND(Q76*'Drivers'!O76,3)</x:f>
        <x:v>-37.787</x:v>
      </x:c>
      <x:c r="AF76" s="65" t="n">
        <x:f>AE76/Q76</x:f>
        <x:v>-0.012917148662580983</x:v>
      </x:c>
      <x:c r="AG76" s="64" t="n">
        <x:f>-ROUND(Q76*'Drivers'!P76,3)</x:f>
        <x:v>-1.927</x:v>
      </x:c>
      <x:c r="AH76" s="64" t="n">
        <x:f>-ROUND(Q76*'Drivers'!Q76,3)</x:f>
        <x:v>-13.506</x:v>
      </x:c>
      <x:c r="AI76" s="64" t="n">
        <x:f>SUM(R76,T76,AC76,AE76,AG76,AH76)</x:f>
        <x:v>-875.078</x:v>
      </x:c>
      <x:c r="AJ76" s="65" t="n">
        <x:f>AI76/Q76</x:f>
        <x:v>-0.29913760333855666</x:v>
      </x:c>
      <x:c r="AK76" s="64" t="n">
        <x:f>Q76+AI76</x:f>
        <x:v>2050.258</x:v>
      </x:c>
      <x:c r="AL76" s="65" t="n">
        <x:f>AK76/Q76</x:f>
        <x:v>0.7008623966614433</x:v>
      </x:c>
      <x:c r="AM76" s="64" t="n">
        <x:f>AK76/L76</x:f>
        <x:v>410.05159999999995</x:v>
      </x:c>
      <x:c r="AN76" s="66" t="str">
        <x:f>IF(AM76&lt;=200,"≤200K",IF(AM76&lt;=350,"200–350K",IF(AM76&lt;=500,"350–500K",IF(AM76&lt;=700,"500–700K","&gt;700K"))))</x:f>
        <x:v>350–500K</x:v>
      </x:c>
      <x:c r="AO76" s="64" t="n">
        <x:f>-ROUND(Q76*'Drivers'!R76,3)</x:f>
        <x:v>-1092.937</x:v>
      </x:c>
      <x:c r="AP76" s="64" t="n">
        <x:f>-ROUND(AK76*'Drivers'!S76,3)</x:f>
        <x:v>-26.539</x:v>
      </x:c>
      <x:c r="AQ76" s="64" t="n">
        <x:f>-ROUND(AK76*'Drivers'!T76,3)</x:f>
        <x:v>-11.347</x:v>
      </x:c>
      <x:c r="AR76" s="64" t="n">
        <x:f>-ROUND(AK76*'Drivers'!U76,3)</x:f>
        <x:v>-16.565</x:v>
      </x:c>
      <x:c r="AS76" s="64" t="n">
        <x:f>-ROUND(AK76*'Drivers'!V76,3)</x:f>
        <x:v>-58.164</x:v>
      </x:c>
      <x:c r="AT76" s="64" t="n">
        <x:f>SUM(AO76:AS76)</x:f>
        <x:v>-1205.552</x:v>
      </x:c>
      <x:c r="AU76" s="65" t="n">
        <x:f>AT76/AK76</x:f>
        <x:v>-0.5880001443720742</x:v>
      </x:c>
      <x:c r="AV76" s="64" t="n">
        <x:f>AK76+AT76</x:f>
        <x:v>844.7059999999999</x:v>
      </x:c>
      <x:c r="AW76" s="65" t="n">
        <x:f>AV76/AK76</x:f>
        <x:v>0.41199985562792585</x:v>
      </x:c>
      <x:c r="AX76" s="64" t="n">
        <x:f>-ROUND(AK76*'Drivers'!W76,3)</x:f>
        <x:v>-33.236</x:v>
      </x:c>
      <x:c r="AY76" s="64" t="n">
        <x:f>-ROUND(AK76*'Drivers'!X76,3)</x:f>
        <x:v>-61.711</x:v>
      </x:c>
      <x:c r="AZ76" s="64" t="n">
        <x:f>-ROUND(AK76*'Drivers'!Y76,3)</x:f>
        <x:v>-52.279</x:v>
      </x:c>
      <x:c r="BA76" s="64" t="n">
        <x:f>-ROUND(AK76*'Drivers'!Z76,3)</x:f>
        <x:v>-17.453</x:v>
      </x:c>
      <x:c r="BB76" s="64" t="n">
        <x:f>-ROUND(AK76*'Drivers'!AA76,3)</x:f>
        <x:v>-20.822</x:v>
      </x:c>
      <x:c r="BC76" s="64" t="n">
        <x:f>SUM(BA76,BB76)</x:f>
        <x:v>-38.275</x:v>
      </x:c>
      <x:c r="BD76" s="64" t="n">
        <x:f>-ROUND(AK76*'Drivers'!AB76,3)</x:f>
        <x:v>-17.95</x:v>
      </x:c>
      <x:c r="BE76" s="64" t="n">
        <x:f>SUM(AX76:BB76,BD76)</x:f>
        <x:v>-203.451</x:v>
      </x:c>
      <x:c r="BF76" s="67" t="n">
        <x:f>'Drivers'!AF76</x:f>
        <x:v>9</x:v>
      </x:c>
      <x:c r="BG76" s="64" t="n">
        <x:f>BJ76</x:f>
        <x:v>-47.75</x:v>
      </x:c>
      <x:c r="BH76" s="64" t="n">
        <x:f>BE76/BF76</x:f>
        <x:v>-22.605666666666664</x:v>
      </x:c>
      <x:c r="BI76" s="68" t="n">
        <x:f>BF76/L76</x:f>
        <x:v>1.8</x:v>
      </x:c>
      <x:c r="BJ76" s="64" t="n">
        <x:f>-ROUND(AK76*'Drivers'!AC76,3)</x:f>
        <x:v>-47.75</x:v>
      </x:c>
      <x:c r="BK76" s="64" t="n">
        <x:f>-ROUND(AK76*'Drivers'!AD76,3)</x:f>
        <x:v>-234.387</x:v>
      </x:c>
      <x:c r="BL76" s="64" t="n">
        <x:f>SUM(AV76,BE76,BJ76,BK76)</x:f>
        <x:v>359.1179999999999</x:v>
      </x:c>
      <x:c r="BM76" s="65" t="n">
        <x:f>BL76/AK76</x:f>
        <x:v>0.17515746798695575</x:v>
      </x:c>
      <x:c r="BN76" s="64" t="n">
        <x:f>-ROUND(AK76*'Drivers'!AE76,3)</x:f>
        <x:v>-141.973</x:v>
      </x:c>
      <x:c r="BO76" s="64" t="n">
        <x:f>BL76+BN76</x:f>
        <x:v>217.14499999999987</x:v>
      </x:c>
      <x:c r="BP76" s="65" t="n">
        <x:f>BO76/AK76</x:f>
        <x:v>0.1059110609494024</x:v>
      </x:c>
    </x:row>
    <x:row r="77">
      <x:c r="A77" s="61" t="n">
        <x:v>2026</x:v>
      </x:c>
      <x:c r="B77" s="18" t="str">
        <x:v>S2</x:v>
      </x:c>
      <x:c r="C77" s="18" t="str">
        <x:v>2026 S2</x:v>
      </x:c>
      <x:c r="D77" s="18" t="str">
        <x:v>CNCT0019</x:v>
      </x:c>
      <x:c r="E77" s="18" t="str">
        <x:v>广州天环广场</x:v>
      </x:c>
      <x:c r="F77" s="18" t="str">
        <x:v>广州</x:v>
      </x:c>
      <x:c r="G77" s="18" t="str">
        <x:v>广东省</x:v>
      </x:c>
      <x:c r="H77" s="18" t="str">
        <x:v>南区</x:v>
      </x:c>
      <x:c r="I77" s="18" t="str">
        <x:v>Shopping Mall</x:v>
      </x:c>
      <x:c r="J77" s="18" t="str">
        <x:v>Core Shopping Center</x:v>
      </x:c>
      <x:c r="K77" s="18" t="str">
        <x:v>正常</x:v>
      </x:c>
      <x:c r="L77" s="62" t="n">
        <x:v>5</x:v>
      </x:c>
      <x:c r="M77" s="62" t="n">
        <x:v>43</x:v>
      </x:c>
      <x:c r="N77" s="63" t="n">
        <x:f>'Drivers'!C77</x:f>
        <x:v>2688</x:v>
      </x:c>
      <x:c r="O77" s="63" t="n">
        <x:f>'Drivers'!D77</x:f>
        <x:v>1183.819</x:v>
      </x:c>
      <x:c r="P77" s="64" t="n">
        <x:f>ROUND(N77*O77/1000,3)</x:f>
        <x:v>3182.105</x:v>
      </x:c>
      <x:c r="Q77" s="64" t="n">
        <x:f>ROUND(P77*'Drivers'!E77,3)</x:f>
        <x:v>3101.413</x:v>
      </x:c>
      <x:c r="R77" s="64" t="n">
        <x:f>-ROUND(Q77*'Drivers'!F77,3)</x:f>
        <x:v>-651.287</x:v>
      </x:c>
      <x:c r="S77" s="65" t="n">
        <x:f>R77/Q77</x:f>
        <x:v>-0.20999686272031493</x:v>
      </x:c>
      <x:c r="T77" s="64" t="n">
        <x:f>-ROUND(Q77*'Drivers'!G77,3)</x:f>
        <x:v>-28.2</x:v>
      </x:c>
      <x:c r="U77" s="65" t="n">
        <x:f>T77/Q77</x:f>
        <x:v>-0.0090926297142625</x:v>
      </x:c>
      <x:c r="V77" s="64" t="n">
        <x:f>-ROUND(Q77*'Drivers'!H77,3)</x:f>
        <x:v>-22.068</x:v>
      </x:c>
      <x:c r="W77" s="64" t="n">
        <x:f>-ROUND(Q77*'Drivers'!I77,3)</x:f>
        <x:v>-28.357</x:v>
      </x:c>
      <x:c r="X77" s="64" t="n">
        <x:f>-ROUND(Q77*'Drivers'!J77,3)</x:f>
        <x:v>-43.056</x:v>
      </x:c>
      <x:c r="Y77" s="64" t="n">
        <x:f>-ROUND(Q77*'Drivers'!K77,3)</x:f>
        <x:v>-38.991</x:v>
      </x:c>
      <x:c r="Z77" s="64" t="n">
        <x:f>-ROUND(Q77*'Drivers'!L77,3)</x:f>
        <x:v>-28.606</x:v>
      </x:c>
      <x:c r="AA77" s="64" t="n">
        <x:f>-ROUND(Q77*'Drivers'!M77,3)</x:f>
        <x:v>-27.161</x:v>
      </x:c>
      <x:c r="AB77" s="64" t="n">
        <x:f>-ROUND(Q77*'Drivers'!N77,3)</x:f>
        <x:v>-17.556</x:v>
      </x:c>
      <x:c r="AC77" s="64" t="n">
        <x:f>SUM(V77:AB77)</x:f>
        <x:v>-205.795</x:v>
      </x:c>
      <x:c r="AD77" s="65" t="n">
        <x:f>AC77/Q77</x:f>
        <x:v>-0.06635523872505854</x:v>
      </x:c>
      <x:c r="AE77" s="64" t="n">
        <x:f>-ROUND(Q77*'Drivers'!O77,3)</x:f>
        <x:v>-42.703</x:v>
      </x:c>
      <x:c r="AF77" s="65" t="n">
        <x:f>AE77/Q77</x:f>
        <x:v>-0.013768885343551472</x:v>
      </x:c>
      <x:c r="AG77" s="64" t="n">
        <x:f>-ROUND(Q77*'Drivers'!P77,3)</x:f>
        <x:v>-2.043</x:v>
      </x:c>
      <x:c r="AH77" s="64" t="n">
        <x:f>-ROUND(Q77*'Drivers'!Q77,3)</x:f>
        <x:v>-14.319</x:v>
      </x:c>
      <x:c r="AI77" s="64" t="n">
        <x:f>SUM(R77,T77,AC77,AE77,AG77,AH77)</x:f>
        <x:v>-944.347</x:v>
      </x:c>
      <x:c r="AJ77" s="65" t="n">
        <x:f>AI77/Q77</x:f>
        <x:v>-0.30448927633952655</x:v>
      </x:c>
      <x:c r="AK77" s="64" t="n">
        <x:f>Q77+AI77</x:f>
        <x:v>2157.066</x:v>
      </x:c>
      <x:c r="AL77" s="65" t="n">
        <x:f>AK77/Q77</x:f>
        <x:v>0.6955107236604734</x:v>
      </x:c>
      <x:c r="AM77" s="64" t="n">
        <x:f>AK77/L77</x:f>
        <x:v>431.41319999999996</x:v>
      </x:c>
      <x:c r="AN77" s="66" t="str">
        <x:f>IF(AM77&lt;=200,"≤200K",IF(AM77&lt;=350,"200–350K",IF(AM77&lt;=500,"350–500K",IF(AM77&lt;=700,"500–700K","&gt;700K"))))</x:f>
        <x:v>350–500K</x:v>
      </x:c>
      <x:c r="AO77" s="64" t="n">
        <x:f>-ROUND(Q77*'Drivers'!R77,3)</x:f>
        <x:v>-1082.566</x:v>
      </x:c>
      <x:c r="AP77" s="64" t="n">
        <x:f>-ROUND(AK77*'Drivers'!S77,3)</x:f>
        <x:v>-27.921</x:v>
      </x:c>
      <x:c r="AQ77" s="64" t="n">
        <x:f>-ROUND(AK77*'Drivers'!T77,3)</x:f>
        <x:v>-11.938</x:v>
      </x:c>
      <x:c r="AR77" s="64" t="n">
        <x:f>-ROUND(AK77*'Drivers'!U77,3)</x:f>
        <x:v>-17.428</x:v>
      </x:c>
      <x:c r="AS77" s="64" t="n">
        <x:f>-ROUND(AK77*'Drivers'!V77,3)</x:f>
        <x:v>-61.194</x:v>
      </x:c>
      <x:c r="AT77" s="64" t="n">
        <x:f>SUM(AO77:AS77)</x:f>
        <x:v>-1201.0470000000003</x:v>
      </x:c>
      <x:c r="AU77" s="65" t="n">
        <x:f>AT77/AK77</x:f>
        <x:v>-0.5567965931501402</x:v>
      </x:c>
      <x:c r="AV77" s="64" t="n">
        <x:f>AK77+AT77</x:f>
        <x:v>956.0189999999996</x:v>
      </x:c>
      <x:c r="AW77" s="65" t="n">
        <x:f>AV77/AK77</x:f>
        <x:v>0.44320340684985976</x:v>
      </x:c>
      <x:c r="AX77" s="64" t="n">
        <x:f>-ROUND(AK77*'Drivers'!W77,3)</x:f>
        <x:v>-30.123</x:v>
      </x:c>
      <x:c r="AY77" s="64" t="n">
        <x:f>-ROUND(AK77*'Drivers'!X77,3)</x:f>
        <x:v>-55.932</x:v>
      </x:c>
      <x:c r="AZ77" s="64" t="n">
        <x:f>-ROUND(AK77*'Drivers'!Y77,3)</x:f>
        <x:v>-47.383</x:v>
      </x:c>
      <x:c r="BA77" s="64" t="n">
        <x:f>-ROUND(AK77*'Drivers'!Z77,3)</x:f>
        <x:v>-15.818</x:v>
      </x:c>
      <x:c r="BB77" s="64" t="n">
        <x:f>-ROUND(AK77*'Drivers'!AA77,3)</x:f>
        <x:v>-18.872</x:v>
      </x:c>
      <x:c r="BC77" s="64" t="n">
        <x:f>SUM(BA77,BB77)</x:f>
        <x:v>-34.69</x:v>
      </x:c>
      <x:c r="BD77" s="64" t="n">
        <x:f>-ROUND(AK77*'Drivers'!AB77,3)</x:f>
        <x:v>-16.269</x:v>
      </x:c>
      <x:c r="BE77" s="64" t="n">
        <x:f>SUM(AX77:BB77,BD77)</x:f>
        <x:v>-184.39700000000005</x:v>
      </x:c>
      <x:c r="BF77" s="67" t="n">
        <x:f>'Drivers'!AF77</x:f>
        <x:v>9</x:v>
      </x:c>
      <x:c r="BG77" s="64" t="n">
        <x:f>BJ77</x:f>
        <x:v>-43.278</x:v>
      </x:c>
      <x:c r="BH77" s="64" t="n">
        <x:f>BE77/BF77</x:f>
        <x:v>-20.48855555555556</x:v>
      </x:c>
      <x:c r="BI77" s="68" t="n">
        <x:f>BF77/L77</x:f>
        <x:v>1.8</x:v>
      </x:c>
      <x:c r="BJ77" s="64" t="n">
        <x:f>-ROUND(AK77*'Drivers'!AC77,3)</x:f>
        <x:v>-43.278</x:v>
      </x:c>
      <x:c r="BK77" s="64" t="n">
        <x:f>-ROUND(AK77*'Drivers'!AD77,3)</x:f>
        <x:v>-246.597</x:v>
      </x:c>
      <x:c r="BL77" s="64" t="n">
        <x:f>SUM(AV77,BE77,BJ77,BK77)</x:f>
        <x:v>481.7469999999995</x:v>
      </x:c>
      <x:c r="BM77" s="65" t="n">
        <x:f>BL77/AK77</x:f>
        <x:v>0.22333438105278167</x:v>
      </x:c>
      <x:c r="BN77" s="64" t="n">
        <x:f>-ROUND(AK77*'Drivers'!AE77,3)</x:f>
        <x:v>-149.369</x:v>
      </x:c>
      <x:c r="BO77" s="64" t="n">
        <x:f>BL77+BN77</x:f>
        <x:v>332.3779999999995</x:v>
      </x:c>
      <x:c r="BP77" s="65" t="n">
        <x:f>BO77/AK77</x:f>
        <x:v>0.15408800657930705</x:v>
      </x:c>
    </x:row>
    <x:row r="78">
      <x:c r="A78" s="61" t="n">
        <x:v>2025</x:v>
      </x:c>
      <x:c r="B78" s="18" t="str">
        <x:v>S1</x:v>
      </x:c>
      <x:c r="C78" s="18" t="str">
        <x:v>2025 S1</x:v>
      </x:c>
      <x:c r="D78" s="18" t="str">
        <x:v>CNCT0020</x:v>
      </x:c>
      <x:c r="E78" s="18" t="str">
        <x:v>广州太古汇</x:v>
      </x:c>
      <x:c r="F78" s="18" t="str">
        <x:v>广州</x:v>
      </x:c>
      <x:c r="G78" s="18" t="str">
        <x:v>广东省</x:v>
      </x:c>
      <x:c r="H78" s="18" t="str">
        <x:v>南区</x:v>
      </x:c>
      <x:c r="I78" s="18" t="str">
        <x:v>Shopping Mall</x:v>
      </x:c>
      <x:c r="J78" s="18" t="str">
        <x:v>Prestige Shopping Center</x:v>
      </x:c>
      <x:c r="K78" s="18" t="str">
        <x:v>正常</x:v>
      </x:c>
      <x:c r="L78" s="62" t="n">
        <x:v>6</x:v>
      </x:c>
      <x:c r="M78" s="62" t="n">
        <x:v>44</x:v>
      </x:c>
      <x:c r="N78" s="63" t="n">
        <x:f>'Drivers'!C78</x:f>
        <x:v>2567</x:v>
      </x:c>
      <x:c r="O78" s="63" t="n">
        <x:f>'Drivers'!D78</x:f>
        <x:v>1284.352</x:v>
      </x:c>
      <x:c r="P78" s="64" t="n">
        <x:f>ROUND(N78*O78/1000,3)</x:f>
        <x:v>3296.932</x:v>
      </x:c>
      <x:c r="Q78" s="64" t="n">
        <x:f>ROUND(P78*'Drivers'!E78,3)</x:f>
        <x:v>3226.733</x:v>
      </x:c>
      <x:c r="R78" s="64" t="n">
        <x:f>-ROUND(Q78*'Drivers'!F78,3)</x:f>
        <x:v>-600.484</x:v>
      </x:c>
      <x:c r="S78" s="65" t="n">
        <x:f>R78/Q78</x:f>
        <x:v>-0.18609658747717894</x:v>
      </x:c>
      <x:c r="T78" s="64" t="n">
        <x:f>-ROUND(Q78*'Drivers'!G78,3)</x:f>
        <x:v>-29.898</x:v>
      </x:c>
      <x:c r="U78" s="65" t="n">
        <x:f>T78/Q78</x:f>
        <x:v>-0.009265718607644326</x:v>
      </x:c>
      <x:c r="V78" s="64" t="n">
        <x:f>-ROUND(Q78*'Drivers'!H78,3)</x:f>
        <x:v>-34.284</x:v>
      </x:c>
      <x:c r="W78" s="64" t="n">
        <x:f>-ROUND(Q78*'Drivers'!I78,3)</x:f>
        <x:v>-28.264</x:v>
      </x:c>
      <x:c r="X78" s="64" t="n">
        <x:f>-ROUND(Q78*'Drivers'!J78,3)</x:f>
        <x:v>-47.672</x:v>
      </x:c>
      <x:c r="Y78" s="64" t="n">
        <x:f>-ROUND(Q78*'Drivers'!K78,3)</x:f>
        <x:v>-32.221</x:v>
      </x:c>
      <x:c r="Z78" s="64" t="n">
        <x:f>-ROUND(Q78*'Drivers'!L78,3)</x:f>
        <x:v>-44.198</x:v>
      </x:c>
      <x:c r="AA78" s="64" t="n">
        <x:f>-ROUND(Q78*'Drivers'!M78,3)</x:f>
        <x:v>-25.923</x:v>
      </x:c>
      <x:c r="AB78" s="64" t="n">
        <x:f>-ROUND(Q78*'Drivers'!N78,3)</x:f>
        <x:v>-23.666</x:v>
      </x:c>
      <x:c r="AC78" s="64" t="n">
        <x:f>SUM(V78:AB78)</x:f>
        <x:v>-236.228</x:v>
      </x:c>
      <x:c r="AD78" s="65" t="n">
        <x:f>AC78/Q78</x:f>
        <x:v>-0.07320965199165844</x:v>
      </x:c>
      <x:c r="AE78" s="64" t="n">
        <x:f>-ROUND(Q78*'Drivers'!O78,3)</x:f>
        <x:v>-40.087</x:v>
      </x:c>
      <x:c r="AF78" s="65" t="n">
        <x:f>AE78/Q78</x:f>
        <x:v>-0.012423401626350864</x:v>
      </x:c>
      <x:c r="AG78" s="64" t="n">
        <x:f>-ROUND(Q78*'Drivers'!P78,3)</x:f>
        <x:v>-2.515</x:v>
      </x:c>
      <x:c r="AH78" s="64" t="n">
        <x:f>-ROUND(Q78*'Drivers'!Q78,3)</x:f>
        <x:v>-9.275</x:v>
      </x:c>
      <x:c r="AI78" s="64" t="n">
        <x:f>SUM(R78,T78,AC78,AE78,AG78,AH78)</x:f>
        <x:v>-918.4870000000001</x:v>
      </x:c>
      <x:c r="AJ78" s="65" t="n">
        <x:f>AI78/Q78</x:f>
        <x:v>-0.2846492102073522</x:v>
      </x:c>
      <x:c r="AK78" s="64" t="n">
        <x:f>Q78+AI78</x:f>
        <x:v>2308.246</x:v>
      </x:c>
      <x:c r="AL78" s="65" t="n">
        <x:f>AK78/Q78</x:f>
        <x:v>0.7153507897926479</x:v>
      </x:c>
      <x:c r="AM78" s="64" t="n">
        <x:f>AK78/L78</x:f>
        <x:v>384.7076666666667</x:v>
      </x:c>
      <x:c r="AN78" s="66" t="str">
        <x:f>IF(AM78&lt;=200,"≤200K",IF(AM78&lt;=350,"200–350K",IF(AM78&lt;=500,"350–500K",IF(AM78&lt;=700,"500–700K","&gt;700K"))))</x:f>
        <x:v>350–500K</x:v>
      </x:c>
      <x:c r="AO78" s="64" t="n">
        <x:f>-ROUND(Q78*'Drivers'!R78,3)</x:f>
        <x:v>-1220.046</x:v>
      </x:c>
      <x:c r="AP78" s="64" t="n">
        <x:f>-ROUND(AK78*'Drivers'!S78,3)</x:f>
        <x:v>-33.783</x:v>
      </x:c>
      <x:c r="AQ78" s="64" t="n">
        <x:f>-ROUND(AK78*'Drivers'!T78,3)</x:f>
        <x:v>-7.875</x:v>
      </x:c>
      <x:c r="AR78" s="64" t="n">
        <x:f>-ROUND(AK78*'Drivers'!U78,3)</x:f>
        <x:v>-20.873</x:v>
      </x:c>
      <x:c r="AS78" s="64" t="n">
        <x:f>-ROUND(AK78*'Drivers'!V78,3)</x:f>
        <x:v>-72.173</x:v>
      </x:c>
      <x:c r="AT78" s="64" t="n">
        <x:f>SUM(AO78:AS78)</x:f>
        <x:v>-1354.75</x:v>
      </x:c>
      <x:c r="AU78" s="65" t="n">
        <x:f>AT78/AK78</x:f>
        <x:v>-0.5869175122582255</x:v>
      </x:c>
      <x:c r="AV78" s="64" t="n">
        <x:f>AK78+AT78</x:f>
        <x:v>953.4960000000001</x:v>
      </x:c>
      <x:c r="AW78" s="65" t="n">
        <x:f>AV78/AK78</x:f>
        <x:v>0.41308248774177453</x:v>
      </x:c>
      <x:c r="AX78" s="64" t="n">
        <x:f>-ROUND(AK78*'Drivers'!W78,3)</x:f>
        <x:v>-24.347</x:v>
      </x:c>
      <x:c r="AY78" s="64" t="n">
        <x:f>-ROUND(AK78*'Drivers'!X78,3)</x:f>
        <x:v>-51.648</x:v>
      </x:c>
      <x:c r="AZ78" s="64" t="n">
        <x:f>-ROUND(AK78*'Drivers'!Y78,3)</x:f>
        <x:v>-47.502</x:v>
      </x:c>
      <x:c r="BA78" s="64" t="n">
        <x:f>-ROUND(AK78*'Drivers'!Z78,3)</x:f>
        <x:v>-12.141</x:v>
      </x:c>
      <x:c r="BB78" s="64" t="n">
        <x:f>-ROUND(AK78*'Drivers'!AA78,3)</x:f>
        <x:v>-18.24</x:v>
      </x:c>
      <x:c r="BC78" s="64" t="n">
        <x:f>SUM(BA78,BB78)</x:f>
        <x:v>-30.381</x:v>
      </x:c>
      <x:c r="BD78" s="64" t="n">
        <x:f>-ROUND(AK78*'Drivers'!AB78,3)</x:f>
        <x:v>-15.223</x:v>
      </x:c>
      <x:c r="BE78" s="64" t="n">
        <x:f>SUM(AX78:BB78,BD78)</x:f>
        <x:v>-169.10100000000003</x:v>
      </x:c>
      <x:c r="BF78" s="67" t="n">
        <x:f>'Drivers'!AF78</x:f>
        <x:v>12</x:v>
      </x:c>
      <x:c r="BG78" s="64" t="n">
        <x:f>BJ78</x:f>
        <x:v>-48.932</x:v>
      </x:c>
      <x:c r="BH78" s="64" t="n">
        <x:f>BE78/BF78</x:f>
        <x:v>-14.091750000000003</x:v>
      </x:c>
      <x:c r="BI78" s="68" t="n">
        <x:f>BF78/L78</x:f>
        <x:v>2</x:v>
      </x:c>
      <x:c r="BJ78" s="64" t="n">
        <x:f>-ROUND(AK78*'Drivers'!AC78,3)</x:f>
        <x:v>-48.932</x:v>
      </x:c>
      <x:c r="BK78" s="64" t="n">
        <x:f>-ROUND(AK78*'Drivers'!AD78,3)</x:f>
        <x:v>-184.874</x:v>
      </x:c>
      <x:c r="BL78" s="64" t="n">
        <x:f>SUM(AV78,BE78,BJ78,BK78)</x:f>
        <x:v>550.589</x:v>
      </x:c>
      <x:c r="BM78" s="65" t="n">
        <x:f>BL78/AK78</x:f>
        <x:v>0.2385313350483441</x:v>
      </x:c>
      <x:c r="BN78" s="64" t="n">
        <x:f>-ROUND(AK78*'Drivers'!AE78,3)</x:f>
        <x:v>-181.376</x:v>
      </x:c>
      <x:c r="BO78" s="64" t="n">
        <x:f>BL78+BN78</x:f>
        <x:v>369.2130000000001</x:v>
      </x:c>
      <x:c r="BP78" s="65" t="n">
        <x:f>BO78/AK78</x:f>
        <x:v>0.15995392172238143</x:v>
      </x:c>
    </x:row>
    <x:row r="79">
      <x:c r="A79" s="61" t="n">
        <x:v>2025</x:v>
      </x:c>
      <x:c r="B79" s="18" t="str">
        <x:v>S2</x:v>
      </x:c>
      <x:c r="C79" s="18" t="str">
        <x:v>2025 S2</x:v>
      </x:c>
      <x:c r="D79" s="18" t="str">
        <x:v>CNCT0020</x:v>
      </x:c>
      <x:c r="E79" s="18" t="str">
        <x:v>广州太古汇</x:v>
      </x:c>
      <x:c r="F79" s="18" t="str">
        <x:v>广州</x:v>
      </x:c>
      <x:c r="G79" s="18" t="str">
        <x:v>广东省</x:v>
      </x:c>
      <x:c r="H79" s="18" t="str">
        <x:v>南区</x:v>
      </x:c>
      <x:c r="I79" s="18" t="str">
        <x:v>Shopping Mall</x:v>
      </x:c>
      <x:c r="J79" s="18" t="str">
        <x:v>Prestige Shopping Center</x:v>
      </x:c>
      <x:c r="K79" s="18" t="str">
        <x:v>正常</x:v>
      </x:c>
      <x:c r="L79" s="62" t="n">
        <x:v>6</x:v>
      </x:c>
      <x:c r="M79" s="62" t="n">
        <x:v>44</x:v>
      </x:c>
      <x:c r="N79" s="63" t="n">
        <x:f>'Drivers'!C79</x:f>
        <x:v>2778</x:v>
      </x:c>
      <x:c r="O79" s="63" t="n">
        <x:f>'Drivers'!D79</x:f>
        <x:v>1299.764</x:v>
      </x:c>
      <x:c r="P79" s="64" t="n">
        <x:f>ROUND(N79*O79/1000,3)</x:f>
        <x:v>3610.744</x:v>
      </x:c>
      <x:c r="Q79" s="64" t="n">
        <x:f>ROUND(P79*'Drivers'!E79,3)</x:f>
        <x:v>3487.074</x:v>
      </x:c>
      <x:c r="R79" s="64" t="n">
        <x:f>-ROUND(Q79*'Drivers'!F79,3)</x:f>
        <x:v>-648.932</x:v>
      </x:c>
      <x:c r="S79" s="65" t="n">
        <x:f>R79/Q79</x:f>
        <x:v>-0.186096423534459</x:v>
      </x:c>
      <x:c r="T79" s="64" t="n">
        <x:f>-ROUND(Q79*'Drivers'!G79,3)</x:f>
        <x:v>-32.31</x:v>
      </x:c>
      <x:c r="U79" s="65" t="n">
        <x:f>T79/Q79</x:f>
        <x:v>-0.009265647932908794</x:v>
      </x:c>
      <x:c r="V79" s="64" t="n">
        <x:f>-ROUND(Q79*'Drivers'!H79,3)</x:f>
        <x:v>-37.05</x:v>
      </x:c>
      <x:c r="W79" s="64" t="n">
        <x:f>-ROUND(Q79*'Drivers'!I79,3)</x:f>
        <x:v>-30.545</x:v>
      </x:c>
      <x:c r="X79" s="64" t="n">
        <x:f>-ROUND(Q79*'Drivers'!J79,3)</x:f>
        <x:v>-51.519</x:v>
      </x:c>
      <x:c r="Y79" s="64" t="n">
        <x:f>-ROUND(Q79*'Drivers'!K79,3)</x:f>
        <x:v>-34.821</x:v>
      </x:c>
      <x:c r="Z79" s="64" t="n">
        <x:f>-ROUND(Q79*'Drivers'!L79,3)</x:f>
        <x:v>-47.764</x:v>
      </x:c>
      <x:c r="AA79" s="64" t="n">
        <x:f>-ROUND(Q79*'Drivers'!M79,3)</x:f>
        <x:v>-28.014</x:v>
      </x:c>
      <x:c r="AB79" s="64" t="n">
        <x:f>-ROUND(Q79*'Drivers'!N79,3)</x:f>
        <x:v>-25.575</x:v>
      </x:c>
      <x:c r="AC79" s="64" t="n">
        <x:f>SUM(V79:AB79)</x:f>
        <x:v>-255.288</x:v>
      </x:c>
      <x:c r="AD79" s="65" t="n">
        <x:f>AC79/Q79</x:f>
        <x:v>-0.07320980283182978</x:v>
      </x:c>
      <x:c r="AE79" s="64" t="n">
        <x:f>-ROUND(Q79*'Drivers'!O79,3)</x:f>
        <x:v>-43.321</x:v>
      </x:c>
      <x:c r="AF79" s="65" t="n">
        <x:f>AE79/Q79</x:f>
        <x:v>-0.012423309628645678</x:v>
      </x:c>
      <x:c r="AG79" s="64" t="n">
        <x:f>-ROUND(Q79*'Drivers'!P79,3)</x:f>
        <x:v>-2.718</x:v>
      </x:c>
      <x:c r="AH79" s="64" t="n">
        <x:f>-ROUND(Q79*'Drivers'!Q79,3)</x:f>
        <x:v>-10.023</x:v>
      </x:c>
      <x:c r="AI79" s="64" t="n">
        <x:f>SUM(R79,T79,AC79,AE79,AG79,AH79)</x:f>
        <x:v>-992.592</x:v>
      </x:c>
      <x:c r="AJ79" s="65" t="n">
        <x:f>AI79/Q79</x:f>
        <x:v>-0.2846489635723245</x:v>
      </x:c>
      <x:c r="AK79" s="64" t="n">
        <x:f>Q79+AI79</x:f>
        <x:v>2494.482</x:v>
      </x:c>
      <x:c r="AL79" s="65" t="n">
        <x:f>AK79/Q79</x:f>
        <x:v>0.7153510364276754</x:v>
      </x:c>
      <x:c r="AM79" s="64" t="n">
        <x:f>AK79/L79</x:f>
        <x:v>415.747</x:v>
      </x:c>
      <x:c r="AN79" s="66" t="str">
        <x:f>IF(AM79&lt;=200,"≤200K",IF(AM79&lt;=350,"200–350K",IF(AM79&lt;=500,"350–500K",IF(AM79&lt;=700,"500–700K","&gt;700K"))))</x:f>
        <x:v>350–500K</x:v>
      </x:c>
      <x:c r="AO79" s="64" t="n">
        <x:f>-ROUND(Q79*'Drivers'!R79,3)</x:f>
        <x:v>-1267.411</x:v>
      </x:c>
      <x:c r="AP79" s="64" t="n">
        <x:f>-ROUND(AK79*'Drivers'!S79,3)</x:f>
        <x:v>-36.509</x:v>
      </x:c>
      <x:c r="AQ79" s="64" t="n">
        <x:f>-ROUND(AK79*'Drivers'!T79,3)</x:f>
        <x:v>-8.51</x:v>
      </x:c>
      <x:c r="AR79" s="64" t="n">
        <x:f>-ROUND(AK79*'Drivers'!U79,3)</x:f>
        <x:v>-22.557</x:v>
      </x:c>
      <x:c r="AS79" s="64" t="n">
        <x:f>-ROUND(AK79*'Drivers'!V79,3)</x:f>
        <x:v>-77.996</x:v>
      </x:c>
      <x:c r="AT79" s="64" t="n">
        <x:f>SUM(AO79:AS79)</x:f>
        <x:v>-1412.9830000000002</x:v>
      </x:c>
      <x:c r="AU79" s="65" t="n">
        <x:f>AT79/AK79</x:f>
        <x:v>-0.5664434539916504</x:v>
      </x:c>
      <x:c r="AV79" s="64" t="n">
        <x:f>AK79+AT79</x:f>
        <x:v>1081.4989999999998</x:v>
      </x:c>
      <x:c r="AW79" s="65" t="n">
        <x:f>AV79/AK79</x:f>
        <x:v>0.43355654600834953</x:v>
      </x:c>
      <x:c r="AX79" s="64" t="n">
        <x:f>-ROUND(AK79*'Drivers'!W79,3)</x:f>
        <x:v>-26.311</x:v>
      </x:c>
      <x:c r="AY79" s="64" t="n">
        <x:f>-ROUND(AK79*'Drivers'!X79,3)</x:f>
        <x:v>-55.815</x:v>
      </x:c>
      <x:c r="AZ79" s="64" t="n">
        <x:f>-ROUND(AK79*'Drivers'!Y79,3)</x:f>
        <x:v>-51.335</x:v>
      </x:c>
      <x:c r="BA79" s="64" t="n">
        <x:f>-ROUND(AK79*'Drivers'!Z79,3)</x:f>
        <x:v>-13.12</x:v>
      </x:c>
      <x:c r="BB79" s="64" t="n">
        <x:f>-ROUND(AK79*'Drivers'!AA79,3)</x:f>
        <x:v>-19.712</x:v>
      </x:c>
      <x:c r="BC79" s="64" t="n">
        <x:f>SUM(BA79,BB79)</x:f>
        <x:v>-32.832</x:v>
      </x:c>
      <x:c r="BD79" s="64" t="n">
        <x:f>-ROUND(AK79*'Drivers'!AB79,3)</x:f>
        <x:v>-16.452</x:v>
      </x:c>
      <x:c r="BE79" s="64" t="n">
        <x:f>SUM(AX79:BB79,BD79)</x:f>
        <x:v>-182.745</x:v>
      </x:c>
      <x:c r="BF79" s="67" t="n">
        <x:f>'Drivers'!AF79</x:f>
        <x:v>12</x:v>
      </x:c>
      <x:c r="BG79" s="64" t="n">
        <x:f>BJ79</x:f>
        <x:v>-52.88</x:v>
      </x:c>
      <x:c r="BH79" s="64" t="n">
        <x:f>BE79/BF79</x:f>
        <x:v>-15.22875</x:v>
      </x:c>
      <x:c r="BI79" s="68" t="n">
        <x:f>BF79/L79</x:f>
        <x:v>2</x:v>
      </x:c>
      <x:c r="BJ79" s="64" t="n">
        <x:f>-ROUND(AK79*'Drivers'!AC79,3)</x:f>
        <x:v>-52.88</x:v>
      </x:c>
      <x:c r="BK79" s="64" t="n">
        <x:f>-ROUND(AK79*'Drivers'!AD79,3)</x:f>
        <x:v>-199.79</x:v>
      </x:c>
      <x:c r="BL79" s="64" t="n">
        <x:f>SUM(AV79,BE79,BJ79,BK79)</x:f>
        <x:v>646.0839999999998</x:v>
      </x:c>
      <x:c r="BM79" s="65" t="n">
        <x:f>BL79/AK79</x:f>
        <x:v>0.25900527644617194</x:v>
      </x:c>
      <x:c r="BN79" s="64" t="n">
        <x:f>-ROUND(AK79*'Drivers'!AE79,3)</x:f>
        <x:v>-197.077</x:v>
      </x:c>
      <x:c r="BO79" s="64" t="n">
        <x:f>BL79+BN79</x:f>
        <x:v>449.00699999999983</x:v>
      </x:c>
      <x:c r="BP79" s="65" t="n">
        <x:f>BO79/AK79</x:f>
        <x:v>0.18000009621235985</x:v>
      </x:c>
    </x:row>
    <x:row r="80">
      <x:c r="A80" s="61" t="n">
        <x:v>2026</x:v>
      </x:c>
      <x:c r="B80" s="18" t="str">
        <x:v>S1</x:v>
      </x:c>
      <x:c r="C80" s="18" t="str">
        <x:v>2026 S1</x:v>
      </x:c>
      <x:c r="D80" s="18" t="str">
        <x:v>CNCT0020</x:v>
      </x:c>
      <x:c r="E80" s="18" t="str">
        <x:v>广州太古汇</x:v>
      </x:c>
      <x:c r="F80" s="18" t="str">
        <x:v>广州</x:v>
      </x:c>
      <x:c r="G80" s="18" t="str">
        <x:v>广东省</x:v>
      </x:c>
      <x:c r="H80" s="18" t="str">
        <x:v>南区</x:v>
      </x:c>
      <x:c r="I80" s="18" t="str">
        <x:v>Shopping Mall</x:v>
      </x:c>
      <x:c r="J80" s="18" t="str">
        <x:v>Prestige Shopping Center</x:v>
      </x:c>
      <x:c r="K80" s="18" t="str">
        <x:v>正常</x:v>
      </x:c>
      <x:c r="L80" s="62" t="n">
        <x:v>6</x:v>
      </x:c>
      <x:c r="M80" s="62" t="n">
        <x:v>44</x:v>
      </x:c>
      <x:c r="N80" s="63" t="n">
        <x:f>'Drivers'!C80</x:f>
        <x:v>2810</x:v>
      </x:c>
      <x:c r="O80" s="63" t="n">
        <x:f>'Drivers'!D80</x:f>
        <x:v>1329.949</x:v>
      </x:c>
      <x:c r="P80" s="64" t="n">
        <x:f>ROUND(N80*O80/1000,3)</x:f>
        <x:v>3737.157</x:v>
      </x:c>
      <x:c r="Q80" s="64" t="n">
        <x:f>ROUND(P80*'Drivers'!E80,3)</x:f>
        <x:v>3664.789</x:v>
      </x:c>
      <x:c r="R80" s="64" t="n">
        <x:f>-ROUND(Q80*'Drivers'!F80,3)</x:f>
        <x:v>-841.027</x:v>
      </x:c>
      <x:c r="S80" s="65" t="n">
        <x:f>R80/Q80</x:f>
        <x:v>-0.2294885189843126</x:v>
      </x:c>
      <x:c r="T80" s="64" t="n">
        <x:f>-ROUND(Q80*'Drivers'!G80,3)</x:f>
        <x:v>-26.837</x:v>
      </x:c>
      <x:c r="U80" s="65" t="n">
        <x:f>T80/Q80</x:f>
        <x:v>-0.007322931824997291</x:v>
      </x:c>
      <x:c r="V80" s="64" t="n">
        <x:f>-ROUND(Q80*'Drivers'!H80,3)</x:f>
        <x:v>-38.938</x:v>
      </x:c>
      <x:c r="W80" s="64" t="n">
        <x:f>-ROUND(Q80*'Drivers'!I80,3)</x:f>
        <x:v>-32.101</x:v>
      </x:c>
      <x:c r="X80" s="64" t="n">
        <x:f>-ROUND(Q80*'Drivers'!J80,3)</x:f>
        <x:v>-54.144</x:v>
      </x:c>
      <x:c r="Y80" s="64" t="n">
        <x:f>-ROUND(Q80*'Drivers'!K80,3)</x:f>
        <x:v>-36.596</x:v>
      </x:c>
      <x:c r="Z80" s="64" t="n">
        <x:f>-ROUND(Q80*'Drivers'!L80,3)</x:f>
        <x:v>-50.198</x:v>
      </x:c>
      <x:c r="AA80" s="64" t="n">
        <x:f>-ROUND(Q80*'Drivers'!M80,3)</x:f>
        <x:v>-29.442</x:v>
      </x:c>
      <x:c r="AB80" s="64" t="n">
        <x:f>-ROUND(Q80*'Drivers'!N80,3)</x:f>
        <x:v>-26.878</x:v>
      </x:c>
      <x:c r="AC80" s="64" t="n">
        <x:f>SUM(V80:AB80)</x:f>
        <x:v>-268.297</x:v>
      </x:c>
      <x:c r="AD80" s="65" t="n">
        <x:f>AC80/Q80</x:f>
        <x:v>-0.07320939895857578</x:v>
      </x:c>
      <x:c r="AE80" s="64" t="n">
        <x:f>-ROUND(Q80*'Drivers'!O80,3)</x:f>
        <x:v>-47.618</x:v>
      </x:c>
      <x:c r="AF80" s="65" t="n">
        <x:f>AE80/Q80</x:f>
        <x:v>-0.012993381065049037</x:v>
      </x:c>
      <x:c r="AG80" s="64" t="n">
        <x:f>-ROUND(Q80*'Drivers'!P80,3)</x:f>
        <x:v>-2.857</x:v>
      </x:c>
      <x:c r="AH80" s="64" t="n">
        <x:f>-ROUND(Q80*'Drivers'!Q80,3)</x:f>
        <x:v>-10.534</x:v>
      </x:c>
      <x:c r="AI80" s="64" t="n">
        <x:f>SUM(R80,T80,AC80,AE80,AG80,AH80)</x:f>
        <x:v>-1197.17</x:v>
      </x:c>
      <x:c r="AJ80" s="65" t="n">
        <x:f>AI80/Q80</x:f>
        <x:v>-0.32666819290278376</x:v>
      </x:c>
      <x:c r="AK80" s="64" t="n">
        <x:f>Q80+AI80</x:f>
        <x:v>2467.619</x:v>
      </x:c>
      <x:c r="AL80" s="65" t="n">
        <x:f>AK80/Q80</x:f>
        <x:v>0.6733318070972162</x:v>
      </x:c>
      <x:c r="AM80" s="64" t="n">
        <x:f>AK80/L80</x:f>
        <x:v>411.26983333333334</x:v>
      </x:c>
      <x:c r="AN80" s="66" t="str">
        <x:f>IF(AM80&lt;=200,"≤200K",IF(AM80&lt;=350,"200–350K",IF(AM80&lt;=500,"350–500K",IF(AM80&lt;=700,"500–700K","&gt;700K"))))</x:f>
        <x:v>350–500K</x:v>
      </x:c>
      <x:c r="AO80" s="64" t="n">
        <x:f>-ROUND(Q80*'Drivers'!R80,3)</x:f>
        <x:v>-1377.092</x:v>
      </x:c>
      <x:c r="AP80" s="64" t="n">
        <x:f>-ROUND(AK80*'Drivers'!S80,3)</x:f>
        <x:v>-36.116</x:v>
      </x:c>
      <x:c r="AQ80" s="64" t="n">
        <x:f>-ROUND(AK80*'Drivers'!T80,3)</x:f>
        <x:v>-8.419</x:v>
      </x:c>
      <x:c r="AR80" s="64" t="n">
        <x:f>-ROUND(AK80*'Drivers'!U80,3)</x:f>
        <x:v>-22.314</x:v>
      </x:c>
      <x:c r="AS80" s="64" t="n">
        <x:f>-ROUND(AK80*'Drivers'!V80,3)</x:f>
        <x:v>-77.156</x:v>
      </x:c>
      <x:c r="AT80" s="64" t="n">
        <x:f>SUM(AO80:AS80)</x:f>
        <x:v>-1521.0970000000002</x:v>
      </x:c>
      <x:c r="AU80" s="65" t="n">
        <x:f>AT80/AK80</x:f>
        <x:v>-0.6164229567044184</x:v>
      </x:c>
      <x:c r="AV80" s="64" t="n">
        <x:f>AK80+AT80</x:f>
        <x:v>946.5219999999999</x:v>
      </x:c>
      <x:c r="AW80" s="65" t="n">
        <x:f>AV80/AK80</x:f>
        <x:v>0.3835770432955816</x:v>
      </x:c>
      <x:c r="AX80" s="64" t="n">
        <x:f>-ROUND(AK80*'Drivers'!W80,3)</x:f>
        <x:v>-32.026</x:v>
      </x:c>
      <x:c r="AY80" s="64" t="n">
        <x:f>-ROUND(AK80*'Drivers'!X80,3)</x:f>
        <x:v>-67.938</x:v>
      </x:c>
      <x:c r="AZ80" s="64" t="n">
        <x:f>-ROUND(AK80*'Drivers'!Y80,3)</x:f>
        <x:v>-62.485</x:v>
      </x:c>
      <x:c r="BA80" s="64" t="n">
        <x:f>-ROUND(AK80*'Drivers'!Z80,3)</x:f>
        <x:v>-15.97</x:v>
      </x:c>
      <x:c r="BB80" s="64" t="n">
        <x:f>-ROUND(AK80*'Drivers'!AA80,3)</x:f>
        <x:v>-23.993</x:v>
      </x:c>
      <x:c r="BC80" s="64" t="n">
        <x:f>SUM(BA80,BB80)</x:f>
        <x:v>-39.963</x:v>
      </x:c>
      <x:c r="BD80" s="64" t="n">
        <x:f>-ROUND(AK80*'Drivers'!AB80,3)</x:f>
        <x:v>-20.025</x:v>
      </x:c>
      <x:c r="BE80" s="64" t="n">
        <x:f>SUM(AX80:BB80,BD80)</x:f>
        <x:v>-222.437</x:v>
      </x:c>
      <x:c r="BF80" s="67" t="n">
        <x:f>'Drivers'!AF80</x:f>
        <x:v>12</x:v>
      </x:c>
      <x:c r="BG80" s="64" t="n">
        <x:f>BJ80</x:f>
        <x:v>-64.366</x:v>
      </x:c>
      <x:c r="BH80" s="64" t="n">
        <x:f>BE80/BF80</x:f>
        <x:v>-18.536416666666668</x:v>
      </x:c>
      <x:c r="BI80" s="68" t="n">
        <x:f>BF80/L80</x:f>
        <x:v>2</x:v>
      </x:c>
      <x:c r="BJ80" s="64" t="n">
        <x:f>-ROUND(AK80*'Drivers'!AC80,3)</x:f>
        <x:v>-64.366</x:v>
      </x:c>
      <x:c r="BK80" s="64" t="n">
        <x:f>-ROUND(AK80*'Drivers'!AD80,3)</x:f>
        <x:v>-197.638</x:v>
      </x:c>
      <x:c r="BL80" s="64" t="n">
        <x:f>SUM(AV80,BE80,BJ80,BK80)</x:f>
        <x:v>462.0809999999999</x:v>
      </x:c>
      <x:c r="BM80" s="65" t="n">
        <x:f>BL80/AK80</x:f>
        <x:v>0.1872578384264345</x:v>
      </x:c>
      <x:c r="BN80" s="64" t="n">
        <x:f>-ROUND(AK80*'Drivers'!AE80,3)</x:f>
        <x:v>-193.899</x:v>
      </x:c>
      <x:c r="BO80" s="64" t="n">
        <x:f>BL80+BN80</x:f>
        <x:v>268.1819999999999</x:v>
      </x:c>
      <x:c r="BP80" s="65" t="n">
        <x:f>BO80/AK80</x:f>
        <x:v>0.10868047295794038</x:v>
      </x:c>
    </x:row>
    <x:row r="81">
      <x:c r="A81" s="61" t="n">
        <x:v>2026</x:v>
      </x:c>
      <x:c r="B81" s="18" t="str">
        <x:v>S2</x:v>
      </x:c>
      <x:c r="C81" s="18" t="str">
        <x:v>2026 S2</x:v>
      </x:c>
      <x:c r="D81" s="18" t="str">
        <x:v>CNCT0020</x:v>
      </x:c>
      <x:c r="E81" s="18" t="str">
        <x:v>广州太古汇</x:v>
      </x:c>
      <x:c r="F81" s="18" t="str">
        <x:v>广州</x:v>
      </x:c>
      <x:c r="G81" s="18" t="str">
        <x:v>广东省</x:v>
      </x:c>
      <x:c r="H81" s="18" t="str">
        <x:v>南区</x:v>
      </x:c>
      <x:c r="I81" s="18" t="str">
        <x:v>Shopping Mall</x:v>
      </x:c>
      <x:c r="J81" s="18" t="str">
        <x:v>Prestige Shopping Center</x:v>
      </x:c>
      <x:c r="K81" s="18" t="str">
        <x:v>正常</x:v>
      </x:c>
      <x:c r="L81" s="62" t="n">
        <x:v>6</x:v>
      </x:c>
      <x:c r="M81" s="62" t="n">
        <x:v>43</x:v>
      </x:c>
      <x:c r="N81" s="63" t="n">
        <x:f>'Drivers'!C81</x:f>
        <x:v>3024</x:v>
      </x:c>
      <x:c r="O81" s="63" t="n">
        <x:f>'Drivers'!D81</x:f>
        <x:v>1329.486</x:v>
      </x:c>
      <x:c r="P81" s="64" t="n">
        <x:f>ROUND(N81*O81/1000,3)</x:f>
        <x:v>4020.366</x:v>
      </x:c>
      <x:c r="Q81" s="64" t="n">
        <x:f>ROUND(P81*'Drivers'!E81,3)</x:f>
        <x:v>3882.667</x:v>
      </x:c>
      <x:c r="R81" s="64" t="n">
        <x:f>-ROUND(Q81*'Drivers'!F81,3)</x:f>
        <x:v>-839.393</x:v>
      </x:c>
      <x:c r="S81" s="65" t="n">
        <x:f>R81/Q81</x:f>
        <x:v>-0.21618979943425487</x:v>
      </x:c>
      <x:c r="T81" s="64" t="n">
        <x:f>-ROUND(Q81*'Drivers'!G81,3)</x:f>
        <x:v>-33.407</x:v>
      </x:c>
      <x:c r="U81" s="65" t="n">
        <x:f>T81/Q81</x:f>
        <x:v>-0.008604137310771177</x:v>
      </x:c>
      <x:c r="V81" s="64" t="n">
        <x:f>-ROUND(Q81*'Drivers'!H81,3)</x:f>
        <x:v>-41.253</x:v>
      </x:c>
      <x:c r="W81" s="64" t="n">
        <x:f>-ROUND(Q81*'Drivers'!I81,3)</x:f>
        <x:v>-34.01</x:v>
      </x:c>
      <x:c r="X81" s="64" t="n">
        <x:f>-ROUND(Q81*'Drivers'!J81,3)</x:f>
        <x:v>-57.363</x:v>
      </x:c>
      <x:c r="Y81" s="64" t="n">
        <x:f>-ROUND(Q81*'Drivers'!K81,3)</x:f>
        <x:v>-38.771</x:v>
      </x:c>
      <x:c r="Z81" s="64" t="n">
        <x:f>-ROUND(Q81*'Drivers'!L81,3)</x:f>
        <x:v>-53.182</x:v>
      </x:c>
      <x:c r="AA81" s="64" t="n">
        <x:f>-ROUND(Q81*'Drivers'!M81,3)</x:f>
        <x:v>-31.192</x:v>
      </x:c>
      <x:c r="AB81" s="64" t="n">
        <x:f>-ROUND(Q81*'Drivers'!N81,3)</x:f>
        <x:v>-28.476</x:v>
      </x:c>
      <x:c r="AC81" s="64" t="n">
        <x:f>SUM(V81:AB81)</x:f>
        <x:v>-284.247</x:v>
      </x:c>
      <x:c r="AD81" s="65" t="n">
        <x:f>AC81/Q81</x:f>
        <x:v>-0.07320921418190127</x:v>
      </x:c>
      <x:c r="AE81" s="64" t="n">
        <x:f>-ROUND(Q81*'Drivers'!O81,3)</x:f>
        <x:v>-48.236</x:v>
      </x:c>
      <x:c r="AF81" s="65" t="n">
        <x:f>AE81/Q81</x:f>
        <x:v>-0.012423419263099308</x:v>
      </x:c>
      <x:c r="AG81" s="64" t="n">
        <x:f>-ROUND(Q81*'Drivers'!P81,3)</x:f>
        <x:v>-3.027</x:v>
      </x:c>
      <x:c r="AH81" s="64" t="n">
        <x:f>-ROUND(Q81*'Drivers'!Q81,3)</x:f>
        <x:v>-11.16</x:v>
      </x:c>
      <x:c r="AI81" s="64" t="n">
        <x:f>SUM(R81,T81,AC81,AE81,AG81,AH81)</x:f>
        <x:v>-1219.4700000000003</x:v>
      </x:c>
      <x:c r="AJ81" s="65" t="n">
        <x:f>AI81/Q81</x:f>
        <x:v>-0.3140805018818251</x:v>
      </x:c>
      <x:c r="AK81" s="64" t="n">
        <x:f>Q81+AI81</x:f>
        <x:v>2663.1969999999997</x:v>
      </x:c>
      <x:c r="AL81" s="65" t="n">
        <x:f>AK81/Q81</x:f>
        <x:v>0.6859194981181749</x:v>
      </x:c>
      <x:c r="AM81" s="64" t="n">
        <x:f>AK81/L81</x:f>
        <x:v>443.86616666666663</x:v>
      </x:c>
      <x:c r="AN81" s="66" t="str">
        <x:f>IF(AM81&lt;=200,"≤200K",IF(AM81&lt;=350,"200–350K",IF(AM81&lt;=500,"350–500K",IF(AM81&lt;=700,"500–700K","&gt;700K"))))</x:f>
        <x:v>350–500K</x:v>
      </x:c>
      <x:c r="AO81" s="64" t="n">
        <x:f>-ROUND(Q81*'Drivers'!R81,3)</x:f>
        <x:v>-1411.193</x:v>
      </x:c>
      <x:c r="AP81" s="64" t="n">
        <x:f>-ROUND(AK81*'Drivers'!S81,3)</x:f>
        <x:v>-38.979</x:v>
      </x:c>
      <x:c r="AQ81" s="64" t="n">
        <x:f>-ROUND(AK81*'Drivers'!T81,3)</x:f>
        <x:v>-9.086</x:v>
      </x:c>
      <x:c r="AR81" s="64" t="n">
        <x:f>-ROUND(AK81*'Drivers'!U81,3)</x:f>
        <x:v>-24.083</x:v>
      </x:c>
      <x:c r="AS81" s="64" t="n">
        <x:f>-ROUND(AK81*'Drivers'!V81,3)</x:f>
        <x:v>-83.271</x:v>
      </x:c>
      <x:c r="AT81" s="64" t="n">
        <x:f>SUM(AO81:AS81)</x:f>
        <x:v>-1566.612</x:v>
      </x:c>
      <x:c r="AU81" s="65" t="n">
        <x:f>AT81/AK81</x:f>
        <x:v>-0.5882448801196458</x:v>
      </x:c>
      <x:c r="AV81" s="64" t="n">
        <x:f>AK81+AT81</x:f>
        <x:v>1096.5849999999996</x:v>
      </x:c>
      <x:c r="AW81" s="65" t="n">
        <x:f>AV81/AK81</x:f>
        <x:v>0.41175511988035424</x:v>
      </x:c>
      <x:c r="AX81" s="64" t="n">
        <x:f>-ROUND(AK81*'Drivers'!W81,3)</x:f>
        <x:v>-29.776</x:v>
      </x:c>
      <x:c r="AY81" s="64" t="n">
        <x:f>-ROUND(AK81*'Drivers'!X81,3)</x:f>
        <x:v>-63.165</x:v>
      </x:c>
      <x:c r="AZ81" s="64" t="n">
        <x:f>-ROUND(AK81*'Drivers'!Y81,3)</x:f>
        <x:v>-58.095</x:v>
      </x:c>
      <x:c r="BA81" s="64" t="n">
        <x:f>-ROUND(AK81*'Drivers'!Z81,3)</x:f>
        <x:v>-14.848</x:v>
      </x:c>
      <x:c r="BB81" s="64" t="n">
        <x:f>-ROUND(AK81*'Drivers'!AA81,3)</x:f>
        <x:v>-22.307</x:v>
      </x:c>
      <x:c r="BC81" s="64" t="n">
        <x:f>SUM(BA81,BB81)</x:f>
        <x:v>-37.155</x:v>
      </x:c>
      <x:c r="BD81" s="64" t="n">
        <x:f>-ROUND(AK81*'Drivers'!AB81,3)</x:f>
        <x:v>-18.618</x:v>
      </x:c>
      <x:c r="BE81" s="64" t="n">
        <x:f>SUM(AX81:BB81,BD81)</x:f>
        <x:v>-206.809</x:v>
      </x:c>
      <x:c r="BF81" s="67" t="n">
        <x:f>'Drivers'!AF81</x:f>
        <x:v>12</x:v>
      </x:c>
      <x:c r="BG81" s="64" t="n">
        <x:f>BJ81</x:f>
        <x:v>-59.844</x:v>
      </x:c>
      <x:c r="BH81" s="64" t="n">
        <x:f>BE81/BF81</x:f>
        <x:v>-17.234083333333334</x:v>
      </x:c>
      <x:c r="BI81" s="68" t="n">
        <x:f>BF81/L81</x:f>
        <x:v>2</x:v>
      </x:c>
      <x:c r="BJ81" s="64" t="n">
        <x:f>-ROUND(AK81*'Drivers'!AC81,3)</x:f>
        <x:v>-59.844</x:v>
      </x:c>
      <x:c r="BK81" s="64" t="n">
        <x:f>-ROUND(AK81*'Drivers'!AD81,3)</x:f>
        <x:v>-213.303</x:v>
      </x:c>
      <x:c r="BL81" s="64" t="n">
        <x:f>SUM(AV81,BE81,BJ81,BK81)</x:f>
        <x:v>616.6289999999996</x:v>
      </x:c>
      <x:c r="BM81" s="65" t="n">
        <x:f>BL81/AK81</x:f>
        <x:v>0.23153713375315443</x:v>
      </x:c>
      <x:c r="BN81" s="64" t="n">
        <x:f>-ROUND(AK81*'Drivers'!AE81,3)</x:f>
        <x:v>-210.406</x:v>
      </x:c>
      <x:c r="BO81" s="64" t="n">
        <x:f>BL81+BN81</x:f>
        <x:v>406.22299999999956</x:v>
      </x:c>
      <x:c r="BP81" s="65" t="n">
        <x:f>BO81/AK81</x:f>
        <x:v>0.15253208831340664</x:v>
      </x:c>
    </x:row>
    <x:row r="82">
      <x:c r="A82" s="61" t="n">
        <x:v>2025</x:v>
      </x:c>
      <x:c r="B82" s="18" t="str">
        <x:v>S1</x:v>
      </x:c>
      <x:c r="C82" s="18" t="str">
        <x:v>2025 S1</x:v>
      </x:c>
      <x:c r="D82" s="18" t="str">
        <x:v>CNCT0021</x:v>
      </x:c>
      <x:c r="E82" s="18" t="str">
        <x:v>广州友谊商店</x:v>
      </x:c>
      <x:c r="F82" s="18" t="str">
        <x:v>广州</x:v>
      </x:c>
      <x:c r="G82" s="18" t="str">
        <x:v>广东省</x:v>
      </x:c>
      <x:c r="H82" s="18" t="str">
        <x:v>南区</x:v>
      </x:c>
      <x:c r="I82" s="18" t="str">
        <x:v>Department Store</x:v>
      </x:c>
      <x:c r="J82" s="18" t="str">
        <x:v>Core Shopping Center</x:v>
      </x:c>
      <x:c r="K82" s="18" t="str">
        <x:v>正常</x:v>
      </x:c>
      <x:c r="L82" s="62" t="n">
        <x:v>4</x:v>
      </x:c>
      <x:c r="M82" s="62" t="n">
        <x:v>44</x:v>
      </x:c>
      <x:c r="N82" s="63" t="n">
        <x:f>'Drivers'!C82</x:f>
        <x:v>2045</x:v>
      </x:c>
      <x:c r="O82" s="63" t="n">
        <x:f>'Drivers'!D82</x:f>
        <x:v>1097.867</x:v>
      </x:c>
      <x:c r="P82" s="64" t="n">
        <x:f>ROUND(N82*O82/1000,3)</x:f>
        <x:v>2245.138</x:v>
      </x:c>
      <x:c r="Q82" s="64" t="n">
        <x:f>ROUND(P82*'Drivers'!E82,3)</x:f>
        <x:v>2194.686</x:v>
      </x:c>
      <x:c r="R82" s="64" t="n">
        <x:f>-ROUND(Q82*'Drivers'!F82,3)</x:f>
        <x:v>-458.333</x:v>
      </x:c>
      <x:c r="S82" s="65" t="n">
        <x:f>R82/Q82</x:f>
        <x:v>-0.20883761959569616</x:v>
      </x:c>
      <x:c r="T82" s="64" t="n">
        <x:f>-ROUND(Q82*'Drivers'!G82,3)</x:f>
        <x:v>-37.152</x:v>
      </x:c>
      <x:c r="U82" s="65" t="n">
        <x:f>T82/Q82</x:f>
        <x:v>-0.016928161932959884</x:v>
      </x:c>
      <x:c r="V82" s="64" t="n">
        <x:f>-ROUND(Q82*'Drivers'!H82,3)</x:f>
        <x:v>-22.255</x:v>
      </x:c>
      <x:c r="W82" s="64" t="n">
        <x:f>-ROUND(Q82*'Drivers'!I82,3)</x:f>
        <x:v>-18.789</x:v>
      </x:c>
      <x:c r="X82" s="64" t="n">
        <x:f>-ROUND(Q82*'Drivers'!J82,3)</x:f>
        <x:v>-34.604</x:v>
      </x:c>
      <x:c r="Y82" s="64" t="n">
        <x:f>-ROUND(Q82*'Drivers'!K82,3)</x:f>
        <x:v>-28.549</x:v>
      </x:c>
      <x:c r="Z82" s="64" t="n">
        <x:f>-ROUND(Q82*'Drivers'!L82,3)</x:f>
        <x:v>-27.604</x:v>
      </x:c>
      <x:c r="AA82" s="64" t="n">
        <x:f>-ROUND(Q82*'Drivers'!M82,3)</x:f>
        <x:v>-22.14</x:v>
      </x:c>
      <x:c r="AB82" s="64" t="n">
        <x:f>-ROUND(Q82*'Drivers'!N82,3)</x:f>
        <x:v>-15.45</x:v>
      </x:c>
      <x:c r="AC82" s="64" t="n">
        <x:f>SUM(V82:AB82)</x:f>
        <x:v>-169.39099999999996</x:v>
      </x:c>
      <x:c r="AD82" s="65" t="n">
        <x:f>AC82/Q82</x:f>
        <x:v>-0.0771823395237405</x:v>
      </x:c>
      <x:c r="AE82" s="64" t="n">
        <x:f>-ROUND(Q82*'Drivers'!O82,3)</x:f>
        <x:v>-22.165</x:v>
      </x:c>
      <x:c r="AF82" s="65" t="n">
        <x:f>AE82/Q82</x:f>
        <x:v>-0.01009939462866214</x:v>
      </x:c>
      <x:c r="AG82" s="64" t="n">
        <x:f>-ROUND(Q82*'Drivers'!P82,3)</x:f>
        <x:v>-3.615</x:v>
      </x:c>
      <x:c r="AH82" s="64" t="n">
        <x:f>-ROUND(Q82*'Drivers'!Q82,3)</x:f>
        <x:v>-10.114</x:v>
      </x:c>
      <x:c r="AI82" s="64" t="n">
        <x:f>SUM(R82,T82,AC82,AE82,AG82,AH82)</x:f>
        <x:v>-700.77</x:v>
      </x:c>
      <x:c r="AJ82" s="65" t="n">
        <x:f>AI82/Q82</x:f>
        <x:v>-0.319303080258406</x:v>
      </x:c>
      <x:c r="AK82" s="64" t="n">
        <x:f>Q82+AI82</x:f>
        <x:v>1493.9160000000002</x:v>
      </x:c>
      <x:c r="AL82" s="65" t="n">
        <x:f>AK82/Q82</x:f>
        <x:v>0.6806969197415941</x:v>
      </x:c>
      <x:c r="AM82" s="64" t="n">
        <x:f>AK82/L82</x:f>
        <x:v>373.47900000000004</x:v>
      </x:c>
      <x:c r="AN82" s="66" t="str">
        <x:f>IF(AM82&lt;=200,"≤200K",IF(AM82&lt;=350,"200–350K",IF(AM82&lt;=500,"350–500K",IF(AM82&lt;=700,"500–700K","&gt;700K"))))</x:f>
        <x:v>350–500K</x:v>
      </x:c>
      <x:c r="AO82" s="64" t="n">
        <x:f>-ROUND(Q82*'Drivers'!R82,3)</x:f>
        <x:v>-802.073</x:v>
      </x:c>
      <x:c r="AP82" s="64" t="n">
        <x:f>-ROUND(AK82*'Drivers'!S82,3)</x:f>
        <x:v>-18.858</x:v>
      </x:c>
      <x:c r="AQ82" s="64" t="n">
        <x:f>-ROUND(AK82*'Drivers'!T82,3)</x:f>
        <x:v>-5.929</x:v>
      </x:c>
      <x:c r="AR82" s="64" t="n">
        <x:f>-ROUND(AK82*'Drivers'!U82,3)</x:f>
        <x:v>-17.533</x:v>
      </x:c>
      <x:c r="AS82" s="64" t="n">
        <x:f>-ROUND(AK82*'Drivers'!V82,3)</x:f>
        <x:v>-56.194</x:v>
      </x:c>
      <x:c r="AT82" s="64" t="n">
        <x:f>SUM(AO82:AS82)</x:f>
        <x:v>-900.5869999999999</x:v>
      </x:c>
      <x:c r="AU82" s="65" t="n">
        <x:f>AT82/AK82</x:f>
        <x:v>-0.6028364379255593</x:v>
      </x:c>
      <x:c r="AV82" s="64" t="n">
        <x:f>AK82+AT82</x:f>
        <x:v>593.3290000000003</x:v>
      </x:c>
      <x:c r="AW82" s="65" t="n">
        <x:f>AV82/AK82</x:f>
        <x:v>0.39716356207444076</x:v>
      </x:c>
      <x:c r="AX82" s="64" t="n">
        <x:f>-ROUND(AK82*'Drivers'!W82,3)</x:f>
        <x:v>-17.487</x:v>
      </x:c>
      <x:c r="AY82" s="64" t="n">
        <x:f>-ROUND(AK82*'Drivers'!X82,3)</x:f>
        <x:v>-33.537</x:v>
      </x:c>
      <x:c r="AZ82" s="64" t="n">
        <x:f>-ROUND(AK82*'Drivers'!Y82,3)</x:f>
        <x:v>-26.742</x:v>
      </x:c>
      <x:c r="BA82" s="64" t="n">
        <x:f>-ROUND(AK82*'Drivers'!Z82,3)</x:f>
        <x:v>-8.079</x:v>
      </x:c>
      <x:c r="BB82" s="64" t="n">
        <x:f>-ROUND(AK82*'Drivers'!AA82,3)</x:f>
        <x:v>-10.686</x:v>
      </x:c>
      <x:c r="BC82" s="64" t="n">
        <x:f>SUM(BA82,BB82)</x:f>
        <x:v>-18.765</x:v>
      </x:c>
      <x:c r="BD82" s="64" t="n">
        <x:f>-ROUND(AK82*'Drivers'!AB82,3)</x:f>
        <x:v>-9.876</x:v>
      </x:c>
      <x:c r="BE82" s="64" t="n">
        <x:f>SUM(AX82:BB82,BD82)</x:f>
        <x:v>-106.40700000000001</x:v>
      </x:c>
      <x:c r="BF82" s="67" t="n">
        <x:f>'Drivers'!AF82</x:f>
        <x:v>7</x:v>
      </x:c>
      <x:c r="BG82" s="64" t="n">
        <x:f>BJ82</x:f>
        <x:v>-28.947</x:v>
      </x:c>
      <x:c r="BH82" s="64" t="n">
        <x:f>BE82/BF82</x:f>
        <x:v>-15.201000000000002</x:v>
      </x:c>
      <x:c r="BI82" s="68" t="n">
        <x:f>BF82/L82</x:f>
        <x:v>1.75</x:v>
      </x:c>
      <x:c r="BJ82" s="64" t="n">
        <x:f>-ROUND(AK82*'Drivers'!AC82,3)</x:f>
        <x:v>-28.947</x:v>
      </x:c>
      <x:c r="BK82" s="64" t="n">
        <x:f>-ROUND(AK82*'Drivers'!AD82,3)</x:f>
        <x:v>-138.68</x:v>
      </x:c>
      <x:c r="BL82" s="64" t="n">
        <x:f>SUM(AV82,BE82,BJ82,BK82)</x:f>
        <x:v>319.29500000000024</x:v>
      </x:c>
      <x:c r="BM82" s="65" t="n">
        <x:f>BL82/AK82</x:f>
        <x:v>0.2137302231183013</x:v>
      </x:c>
      <x:c r="BN82" s="64" t="n">
        <x:f>-ROUND(AK82*'Drivers'!AE82,3)</x:f>
        <x:v>-136.712</x:v>
      </x:c>
      <x:c r="BO82" s="64" t="n">
        <x:f>BL82+BN82</x:f>
        <x:v>182.58300000000025</x:v>
      </x:c>
      <x:c r="BP82" s="65" t="n">
        <x:f>BO82/AK82</x:f>
        <x:v>0.1222177150522521</x:v>
      </x:c>
    </x:row>
    <x:row r="83">
      <x:c r="A83" s="61" t="n">
        <x:v>2025</x:v>
      </x:c>
      <x:c r="B83" s="18" t="str">
        <x:v>S2</x:v>
      </x:c>
      <x:c r="C83" s="18" t="str">
        <x:v>2025 S2</x:v>
      </x:c>
      <x:c r="D83" s="18" t="str">
        <x:v>CNCT0021</x:v>
      </x:c>
      <x:c r="E83" s="18" t="str">
        <x:v>广州友谊商店</x:v>
      </x:c>
      <x:c r="F83" s="18" t="str">
        <x:v>广州</x:v>
      </x:c>
      <x:c r="G83" s="18" t="str">
        <x:v>广东省</x:v>
      </x:c>
      <x:c r="H83" s="18" t="str">
        <x:v>南区</x:v>
      </x:c>
      <x:c r="I83" s="18" t="str">
        <x:v>Department Store</x:v>
      </x:c>
      <x:c r="J83" s="18" t="str">
        <x:v>Core Shopping Center</x:v>
      </x:c>
      <x:c r="K83" s="18" t="str">
        <x:v>正常</x:v>
      </x:c>
      <x:c r="L83" s="62" t="n">
        <x:v>4</x:v>
      </x:c>
      <x:c r="M83" s="62" t="n">
        <x:v>44</x:v>
      </x:c>
      <x:c r="N83" s="63" t="n">
        <x:f>'Drivers'!C83</x:f>
        <x:v>2243</x:v>
      </x:c>
      <x:c r="O83" s="63" t="n">
        <x:f>'Drivers'!D83</x:f>
        <x:v>1111.042</x:v>
      </x:c>
      <x:c r="P83" s="64" t="n">
        <x:f>ROUND(N83*O83/1000,3)</x:f>
        <x:v>2492.067</x:v>
      </x:c>
      <x:c r="Q83" s="64" t="n">
        <x:f>ROUND(P83*'Drivers'!E83,3)</x:f>
        <x:v>2432.464</x:v>
      </x:c>
      <x:c r="R83" s="64" t="n">
        <x:f>-ROUND(Q83*'Drivers'!F83,3)</x:f>
        <x:v>-507.99</x:v>
      </x:c>
      <x:c r="S83" s="65" t="n">
        <x:f>R83/Q83</x:f>
        <x:v>-0.2088376230850693</x:v>
      </x:c>
      <x:c r="T83" s="64" t="n">
        <x:f>-ROUND(Q83*'Drivers'!G83,3)</x:f>
        <x:v>-41.178</x:v>
      </x:c>
      <x:c r="U83" s="65" t="n">
        <x:f>T83/Q83</x:f>
        <x:v>-0.01692851363884522</x:v>
      </x:c>
      <x:c r="V83" s="64" t="n">
        <x:f>-ROUND(Q83*'Drivers'!H83,3)</x:f>
        <x:v>-24.666</x:v>
      </x:c>
      <x:c r="W83" s="64" t="n">
        <x:f>-ROUND(Q83*'Drivers'!I83,3)</x:f>
        <x:v>-20.825</x:v>
      </x:c>
      <x:c r="X83" s="64" t="n">
        <x:f>-ROUND(Q83*'Drivers'!J83,3)</x:f>
        <x:v>-38.353</x:v>
      </x:c>
      <x:c r="Y83" s="64" t="n">
        <x:f>-ROUND(Q83*'Drivers'!K83,3)</x:f>
        <x:v>-31.642</x:v>
      </x:c>
      <x:c r="Z83" s="64" t="n">
        <x:f>-ROUND(Q83*'Drivers'!L83,3)</x:f>
        <x:v>-30.594</x:v>
      </x:c>
      <x:c r="AA83" s="64" t="n">
        <x:f>-ROUND(Q83*'Drivers'!M83,3)</x:f>
        <x:v>-24.539</x:v>
      </x:c>
      <x:c r="AB83" s="64" t="n">
        <x:f>-ROUND(Q83*'Drivers'!N83,3)</x:f>
        <x:v>-17.124</x:v>
      </x:c>
      <x:c r="AC83" s="64" t="n">
        <x:f>SUM(V83:AB83)</x:f>
        <x:v>-187.74299999999997</x:v>
      </x:c>
      <x:c r="AD83" s="65" t="n">
        <x:f>AC83/Q83</x:f>
        <x:v>-0.0771822316794822</x:v>
      </x:c>
      <x:c r="AE83" s="64" t="n">
        <x:f>-ROUND(Q83*'Drivers'!O83,3)</x:f>
        <x:v>-24.567</x:v>
      </x:c>
      <x:c r="AF83" s="65" t="n">
        <x:f>AE83/Q83</x:f>
        <x:v>-0.010099635595840267</x:v>
      </x:c>
      <x:c r="AG83" s="64" t="n">
        <x:f>-ROUND(Q83*'Drivers'!P83,3)</x:f>
        <x:v>-4.006</x:v>
      </x:c>
      <x:c r="AH83" s="64" t="n">
        <x:f>-ROUND(Q83*'Drivers'!Q83,3)</x:f>
        <x:v>-11.209</x:v>
      </x:c>
      <x:c r="AI83" s="64" t="n">
        <x:f>SUM(R83,T83,AC83,AE83,AG83,AH83)</x:f>
        <x:v>-776.6929999999999</x:v>
      </x:c>
      <x:c r="AJ83" s="65" t="n">
        <x:f>AI83/Q83</x:f>
        <x:v>-0.31930297837912497</x:v>
      </x:c>
      <x:c r="AK83" s="64" t="n">
        <x:f>Q83+AI83</x:f>
        <x:v>1655.7710000000002</x:v>
      </x:c>
      <x:c r="AL83" s="65" t="n">
        <x:f>AK83/Q83</x:f>
        <x:v>0.6806970216208751</x:v>
      </x:c>
      <x:c r="AM83" s="64" t="n">
        <x:f>AK83/L83</x:f>
        <x:v>413.94275000000005</x:v>
      </x:c>
      <x:c r="AN83" s="66" t="str">
        <x:f>IF(AM83&lt;=200,"≤200K",IF(AM83&lt;=350,"200–350K",IF(AM83&lt;=500,"350–500K",IF(AM83&lt;=700,"500–700K","&gt;700K"))))</x:f>
        <x:v>350–500K</x:v>
      </x:c>
      <x:c r="AO83" s="64" t="n">
        <x:f>-ROUND(Q83*'Drivers'!R83,3)</x:f>
        <x:v>-832.181</x:v>
      </x:c>
      <x:c r="AP83" s="64" t="n">
        <x:f>-ROUND(AK83*'Drivers'!S83,3)</x:f>
        <x:v>-20.902</x:v>
      </x:c>
      <x:c r="AQ83" s="64" t="n">
        <x:f>-ROUND(AK83*'Drivers'!T83,3)</x:f>
        <x:v>-6.571</x:v>
      </x:c>
      <x:c r="AR83" s="64" t="n">
        <x:f>-ROUND(AK83*'Drivers'!U83,3)</x:f>
        <x:v>-19.432</x:v>
      </x:c>
      <x:c r="AS83" s="64" t="n">
        <x:f>-ROUND(AK83*'Drivers'!V83,3)</x:f>
        <x:v>-62.282</x:v>
      </x:c>
      <x:c r="AT83" s="64" t="n">
        <x:f>SUM(AO83:AS83)</x:f>
        <x:v>-941.3680000000002</x:v>
      </x:c>
      <x:c r="AU83" s="65" t="n">
        <x:f>AT83/AK83</x:f>
        <x:v>-0.5685375574279293</x:v>
      </x:c>
      <x:c r="AV83" s="64" t="n">
        <x:f>AK83+AT83</x:f>
        <x:v>714.403</x:v>
      </x:c>
      <x:c r="AW83" s="65" t="n">
        <x:f>AV83/AK83</x:f>
        <x:v>0.4314624425720706</x:v>
      </x:c>
      <x:c r="AX83" s="64" t="n">
        <x:f>-ROUND(AK83*'Drivers'!W83,3)</x:f>
        <x:v>-19.381</x:v>
      </x:c>
      <x:c r="AY83" s="64" t="n">
        <x:f>-ROUND(AK83*'Drivers'!X83,3)</x:f>
        <x:v>-37.171</x:v>
      </x:c>
      <x:c r="AZ83" s="64" t="n">
        <x:f>-ROUND(AK83*'Drivers'!Y83,3)</x:f>
        <x:v>-29.639</x:v>
      </x:c>
      <x:c r="BA83" s="64" t="n">
        <x:f>-ROUND(AK83*'Drivers'!Z83,3)</x:f>
        <x:v>-8.955</x:v>
      </x:c>
      <x:c r="BB83" s="64" t="n">
        <x:f>-ROUND(AK83*'Drivers'!AA83,3)</x:f>
        <x:v>-11.844</x:v>
      </x:c>
      <x:c r="BC83" s="64" t="n">
        <x:f>SUM(BA83,BB83)</x:f>
        <x:v>-20.799</x:v>
      </x:c>
      <x:c r="BD83" s="64" t="n">
        <x:f>-ROUND(AK83*'Drivers'!AB83,3)</x:f>
        <x:v>-10.946</x:v>
      </x:c>
      <x:c r="BE83" s="64" t="n">
        <x:f>SUM(AX83:BB83,BD83)</x:f>
        <x:v>-117.93599999999999</x:v>
      </x:c>
      <x:c r="BF83" s="67" t="n">
        <x:f>'Drivers'!AF83</x:f>
        <x:v>7</x:v>
      </x:c>
      <x:c r="BG83" s="64" t="n">
        <x:f>BJ83</x:f>
        <x:v>-32.083</x:v>
      </x:c>
      <x:c r="BH83" s="64" t="n">
        <x:f>BE83/BF83</x:f>
        <x:v>-16.848</x:v>
      </x:c>
      <x:c r="BI83" s="68" t="n">
        <x:f>BF83/L83</x:f>
        <x:v>1.75</x:v>
      </x:c>
      <x:c r="BJ83" s="64" t="n">
        <x:f>-ROUND(AK83*'Drivers'!AC83,3)</x:f>
        <x:v>-32.083</x:v>
      </x:c>
      <x:c r="BK83" s="64" t="n">
        <x:f>-ROUND(AK83*'Drivers'!AD83,3)</x:f>
        <x:v>-153.705</x:v>
      </x:c>
      <x:c r="BL83" s="64" t="n">
        <x:f>SUM(AV83,BE83,BJ83,BK83)</x:f>
        <x:v>410.679</x:v>
      </x:c>
      <x:c r="BM83" s="65" t="n">
        <x:f>BL83/AK83</x:f>
        <x:v>0.24802886389482598</x:v>
      </x:c>
      <x:c r="BN83" s="64" t="n">
        <x:f>-ROUND(AK83*'Drivers'!AE83,3)</x:f>
        <x:v>-151.524</x:v>
      </x:c>
      <x:c r="BO83" s="64" t="n">
        <x:f>BL83+BN83</x:f>
        <x:v>259.155</x:v>
      </x:c>
      <x:c r="BP83" s="65" t="n">
        <x:f>BO83/AK83</x:f>
        <x:v>0.15651620906514244</x:v>
      </x:c>
    </x:row>
    <x:row r="84">
      <x:c r="A84" s="61" t="n">
        <x:v>2026</x:v>
      </x:c>
      <x:c r="B84" s="18" t="str">
        <x:v>S1</x:v>
      </x:c>
      <x:c r="C84" s="18" t="str">
        <x:v>2026 S1</x:v>
      </x:c>
      <x:c r="D84" s="18" t="str">
        <x:v>CNCT0021</x:v>
      </x:c>
      <x:c r="E84" s="18" t="str">
        <x:v>广州友谊商店</x:v>
      </x:c>
      <x:c r="F84" s="18" t="str">
        <x:v>广州</x:v>
      </x:c>
      <x:c r="G84" s="18" t="str">
        <x:v>广东省</x:v>
      </x:c>
      <x:c r="H84" s="18" t="str">
        <x:v>南区</x:v>
      </x:c>
      <x:c r="I84" s="18" t="str">
        <x:v>Department Store</x:v>
      </x:c>
      <x:c r="J84" s="18" t="str">
        <x:v>Core Shopping Center</x:v>
      </x:c>
      <x:c r="K84" s="18" t="str">
        <x:v>正常</x:v>
      </x:c>
      <x:c r="L84" s="62" t="n">
        <x:v>4</x:v>
      </x:c>
      <x:c r="M84" s="62" t="n">
        <x:v>44</x:v>
      </x:c>
      <x:c r="N84" s="63" t="n">
        <x:f>'Drivers'!C84</x:f>
        <x:v>1889</x:v>
      </x:c>
      <x:c r="O84" s="63" t="n">
        <x:f>'Drivers'!D84</x:f>
        <x:v>1149.458</x:v>
      </x:c>
      <x:c r="P84" s="64" t="n">
        <x:f>ROUND(N84*O84/1000,3)</x:f>
        <x:v>2171.326</x:v>
      </x:c>
      <x:c r="Q84" s="64" t="n">
        <x:f>ROUND(P84*'Drivers'!E84,3)</x:f>
        <x:v>2119.201</x:v>
      </x:c>
      <x:c r="R84" s="64" t="n">
        <x:f>-ROUND(Q84*'Drivers'!F84,3)</x:f>
        <x:v>-455.231</x:v>
      </x:c>
      <x:c r="S84" s="65" t="n">
        <x:f>R84/Q84</x:f>
        <x:v>-0.21481256379173094</x:v>
      </x:c>
      <x:c r="T84" s="64" t="n">
        <x:f>-ROUND(Q84*'Drivers'!G84,3)</x:f>
        <x:v>-33.202</x:v>
      </x:c>
      <x:c r="U84" s="65" t="n">
        <x:f>T84/Q84</x:f>
        <x:v>-0.01566722552509177</x:v>
      </x:c>
      <x:c r="V84" s="64" t="n">
        <x:f>-ROUND(Q84*'Drivers'!H84,3)</x:f>
        <x:v>-21.489</x:v>
      </x:c>
      <x:c r="W84" s="64" t="n">
        <x:f>-ROUND(Q84*'Drivers'!I84,3)</x:f>
        <x:v>-18.143</x:v>
      </x:c>
      <x:c r="X84" s="64" t="n">
        <x:f>-ROUND(Q84*'Drivers'!J84,3)</x:f>
        <x:v>-33.414</x:v>
      </x:c>
      <x:c r="Y84" s="64" t="n">
        <x:f>-ROUND(Q84*'Drivers'!K84,3)</x:f>
        <x:v>-27.567</x:v>
      </x:c>
      <x:c r="Z84" s="64" t="n">
        <x:f>-ROUND(Q84*'Drivers'!L84,3)</x:f>
        <x:v>-26.654</x:v>
      </x:c>
      <x:c r="AA84" s="64" t="n">
        <x:f>-ROUND(Q84*'Drivers'!M84,3)</x:f>
        <x:v>-21.379</x:v>
      </x:c>
      <x:c r="AB84" s="64" t="n">
        <x:f>-ROUND(Q84*'Drivers'!N84,3)</x:f>
        <x:v>-14.919</x:v>
      </x:c>
      <x:c r="AC84" s="64" t="n">
        <x:f>SUM(V84:AB84)</x:f>
        <x:v>-163.565</x:v>
      </x:c>
      <x:c r="AD84" s="65" t="n">
        <x:f>AC84/Q84</x:f>
        <x:v>-0.07718239091053657</x:v>
      </x:c>
      <x:c r="AE84" s="64" t="n">
        <x:f>-ROUND(Q84*'Drivers'!O84,3)</x:f>
        <x:v>-24.501</x:v>
      </x:c>
      <x:c r="AF84" s="65" t="n">
        <x:f>AE84/Q84</x:f>
        <x:v>-0.011561432823030945</x:v>
      </x:c>
      <x:c r="AG84" s="64" t="n">
        <x:f>-ROUND(Q84*'Drivers'!P84,3)</x:f>
        <x:v>-3.49</x:v>
      </x:c>
      <x:c r="AH84" s="64" t="n">
        <x:f>-ROUND(Q84*'Drivers'!Q84,3)</x:f>
        <x:v>-9.766</x:v>
      </x:c>
      <x:c r="AI84" s="64" t="n">
        <x:f>SUM(R84,T84,AC84,AE84,AG84,AH84)</x:f>
        <x:v>-689.755</x:v>
      </x:c>
      <x:c r="AJ84" s="65" t="n">
        <x:f>AI84/Q84</x:f>
        <x:v>-0.3254788007366927</x:v>
      </x:c>
      <x:c r="AK84" s="64" t="n">
        <x:f>Q84+AI84</x:f>
        <x:v>1429.446</x:v>
      </x:c>
      <x:c r="AL84" s="65" t="n">
        <x:f>AK84/Q84</x:f>
        <x:v>0.6745211992633072</x:v>
      </x:c>
      <x:c r="AM84" s="64" t="n">
        <x:f>AK84/L84</x:f>
        <x:v>357.3615</x:v>
      </x:c>
      <x:c r="AN84" s="66" t="str">
        <x:f>IF(AM84&lt;=200,"≤200K",IF(AM84&lt;=350,"200–350K",IF(AM84&lt;=500,"350–500K",IF(AM84&lt;=700,"500–700K","&gt;700K"))))</x:f>
        <x:v>350–500K</x:v>
      </x:c>
      <x:c r="AO84" s="64" t="n">
        <x:f>-ROUND(Q84*'Drivers'!R84,3)</x:f>
        <x:v>-776.11</x:v>
      </x:c>
      <x:c r="AP84" s="64" t="n">
        <x:f>-ROUND(AK84*'Drivers'!S84,3)</x:f>
        <x:v>-18.045</x:v>
      </x:c>
      <x:c r="AQ84" s="64" t="n">
        <x:f>-ROUND(AK84*'Drivers'!T84,3)</x:f>
        <x:v>-5.673</x:v>
      </x:c>
      <x:c r="AR84" s="64" t="n">
        <x:f>-ROUND(AK84*'Drivers'!U84,3)</x:f>
        <x:v>-16.776</x:v>
      </x:c>
      <x:c r="AS84" s="64" t="n">
        <x:f>-ROUND(AK84*'Drivers'!V84,3)</x:f>
        <x:v>-53.769</x:v>
      </x:c>
      <x:c r="AT84" s="64" t="n">
        <x:f>SUM(AO84:AS84)</x:f>
        <x:v>-870.3729999999999</x:v>
      </x:c>
      <x:c r="AU84" s="65" t="n">
        <x:f>AT84/AK84</x:f>
        <x:v>-0.608888338559134</x:v>
      </x:c>
      <x:c r="AV84" s="64" t="n">
        <x:f>AK84+AT84</x:f>
        <x:v>559.073</x:v>
      </x:c>
      <x:c r="AW84" s="65" t="n">
        <x:f>AV84/AK84</x:f>
        <x:v>0.3911116614408659</x:v>
      </x:c>
      <x:c r="AX84" s="64" t="n">
        <x:f>-ROUND(AK84*'Drivers'!W84,3)</x:f>
        <x:v>-20.588</x:v>
      </x:c>
      <x:c r="AY84" s="64" t="n">
        <x:f>-ROUND(AK84*'Drivers'!X84,3)</x:f>
        <x:v>-39.485</x:v>
      </x:c>
      <x:c r="AZ84" s="64" t="n">
        <x:f>-ROUND(AK84*'Drivers'!Y84,3)</x:f>
        <x:v>-31.485</x:v>
      </x:c>
      <x:c r="BA84" s="64" t="n">
        <x:f>-ROUND(AK84*'Drivers'!Z84,3)</x:f>
        <x:v>-9.512</x:v>
      </x:c>
      <x:c r="BB84" s="64" t="n">
        <x:f>-ROUND(AK84*'Drivers'!AA84,3)</x:f>
        <x:v>-12.581</x:v>
      </x:c>
      <x:c r="BC84" s="64" t="n">
        <x:f>SUM(BA84,BB84)</x:f>
        <x:v>-22.093</x:v>
      </x:c>
      <x:c r="BD84" s="64" t="n">
        <x:f>-ROUND(AK84*'Drivers'!AB84,3)</x:f>
        <x:v>-11.628</x:v>
      </x:c>
      <x:c r="BE84" s="64" t="n">
        <x:f>SUM(AX84:BB84,BD84)</x:f>
        <x:v>-125.279</x:v>
      </x:c>
      <x:c r="BF84" s="67" t="n">
        <x:f>'Drivers'!AF84</x:f>
        <x:v>7</x:v>
      </x:c>
      <x:c r="BG84" s="64" t="n">
        <x:f>BJ84</x:f>
        <x:v>-34.08</x:v>
      </x:c>
      <x:c r="BH84" s="64" t="n">
        <x:f>BE84/BF84</x:f>
        <x:v>-17.897</x:v>
      </x:c>
      <x:c r="BI84" s="68" t="n">
        <x:f>BF84/L84</x:f>
        <x:v>1.75</x:v>
      </x:c>
      <x:c r="BJ84" s="64" t="n">
        <x:f>-ROUND(AK84*'Drivers'!AC84,3)</x:f>
        <x:v>-34.08</x:v>
      </x:c>
      <x:c r="BK84" s="64" t="n">
        <x:f>-ROUND(AK84*'Drivers'!AD84,3)</x:f>
        <x:v>-132.695</x:v>
      </x:c>
      <x:c r="BL84" s="64" t="n">
        <x:f>SUM(AV84,BE84,BJ84,BK84)</x:f>
        <x:v>267.019</x:v>
      </x:c>
      <x:c r="BM84" s="65" t="n">
        <x:f>BL84/AK84</x:f>
        <x:v>0.18679894168789868</x:v>
      </x:c>
      <x:c r="BN84" s="64" t="n">
        <x:f>-ROUND(AK84*'Drivers'!AE84,3)</x:f>
        <x:v>-130.813</x:v>
      </x:c>
      <x:c r="BO84" s="64" t="n">
        <x:f>BL84+BN84</x:f>
        <x:v>136.20600000000002</x:v>
      </x:c>
      <x:c r="BP84" s="65" t="n">
        <x:f>BO84/AK84</x:f>
        <x:v>0.0952858659928392</x:v>
      </x:c>
    </x:row>
    <x:row r="85">
      <x:c r="A85" s="61" t="n">
        <x:v>2026</x:v>
      </x:c>
      <x:c r="B85" s="18" t="str">
        <x:v>S2</x:v>
      </x:c>
      <x:c r="C85" s="18" t="str">
        <x:v>2026 S2</x:v>
      </x:c>
      <x:c r="D85" s="18" t="str">
        <x:v>CNCT0021</x:v>
      </x:c>
      <x:c r="E85" s="18" t="str">
        <x:v>广州友谊商店</x:v>
      </x:c>
      <x:c r="F85" s="18" t="str">
        <x:v>广州</x:v>
      </x:c>
      <x:c r="G85" s="18" t="str">
        <x:v>广东省</x:v>
      </x:c>
      <x:c r="H85" s="18" t="str">
        <x:v>南区</x:v>
      </x:c>
      <x:c r="I85" s="18" t="str">
        <x:v>Department Store</x:v>
      </x:c>
      <x:c r="J85" s="18" t="str">
        <x:v>Core Shopping Center</x:v>
      </x:c>
      <x:c r="K85" s="18" t="str">
        <x:v>装修</x:v>
      </x:c>
      <x:c r="L85" s="62" t="n">
        <x:v>3</x:v>
      </x:c>
      <x:c r="M85" s="62" t="n">
        <x:v>43</x:v>
      </x:c>
      <x:c r="N85" s="63" t="n">
        <x:f>'Drivers'!C85</x:f>
        <x:v>1474</x:v>
      </x:c>
      <x:c r="O85" s="63" t="n">
        <x:f>'Drivers'!D85</x:f>
        <x:v>1134.302</x:v>
      </x:c>
      <x:c r="P85" s="64" t="n">
        <x:f>ROUND(N85*O85/1000,3)</x:f>
        <x:v>1671.961</x:v>
      </x:c>
      <x:c r="Q85" s="64" t="n">
        <x:f>ROUND(P85*'Drivers'!E85,3)</x:f>
        <x:v>1631.972</x:v>
      </x:c>
      <x:c r="R85" s="64" t="n">
        <x:f>-ROUND(Q85*'Drivers'!F85,3)</x:f>
        <x:v>-345.442</x:v>
      </x:c>
      <x:c r="S85" s="65" t="n">
        <x:f>R85/Q85</x:f>
        <x:v>-0.21167152377614323</x:v>
      </x:c>
      <x:c r="T85" s="64" t="n">
        <x:f>-ROUND(Q85*'Drivers'!G85,3)</x:f>
        <x:v>-30.839</x:v>
      </x:c>
      <x:c r="U85" s="65" t="n">
        <x:f>T85/Q85</x:f>
        <x:v>-0.018896770287725524</x:v>
      </x:c>
      <x:c r="V85" s="64" t="n">
        <x:f>-ROUND(Q85*'Drivers'!H85,3)</x:f>
        <x:v>-16.549</x:v>
      </x:c>
      <x:c r="W85" s="64" t="n">
        <x:f>-ROUND(Q85*'Drivers'!I85,3)</x:f>
        <x:v>-13.972</x:v>
      </x:c>
      <x:c r="X85" s="64" t="n">
        <x:f>-ROUND(Q85*'Drivers'!J85,3)</x:f>
        <x:v>-25.732</x:v>
      </x:c>
      <x:c r="Y85" s="64" t="n">
        <x:f>-ROUND(Q85*'Drivers'!K85,3)</x:f>
        <x:v>-21.229</x:v>
      </x:c>
      <x:c r="Z85" s="64" t="n">
        <x:f>-ROUND(Q85*'Drivers'!L85,3)</x:f>
        <x:v>-20.526</x:v>
      </x:c>
      <x:c r="AA85" s="64" t="n">
        <x:f>-ROUND(Q85*'Drivers'!M85,3)</x:f>
        <x:v>-16.464</x:v>
      </x:c>
      <x:c r="AB85" s="64" t="n">
        <x:f>-ROUND(Q85*'Drivers'!N85,3)</x:f>
        <x:v>-11.489</x:v>
      </x:c>
      <x:c r="AC85" s="64" t="n">
        <x:f>SUM(V85:AB85)</x:f>
        <x:v>-125.961</x:v>
      </x:c>
      <x:c r="AD85" s="65" t="n">
        <x:f>AC85/Q85</x:f>
        <x:v>-0.07718330951756525</x:v>
      </x:c>
      <x:c r="AE85" s="64" t="n">
        <x:f>-ROUND(Q85*'Drivers'!O85,3)</x:f>
        <x:v>-16.482</x:v>
      </x:c>
      <x:c r="AF85" s="65" t="n">
        <x:f>AE85/Q85</x:f>
        <x:v>-0.010099437980553587</x:v>
      </x:c>
      <x:c r="AG85" s="64" t="n">
        <x:f>-ROUND(Q85*'Drivers'!P85,3)</x:f>
        <x:v>-2.688</x:v>
      </x:c>
      <x:c r="AH85" s="64" t="n">
        <x:f>-ROUND(Q85*'Drivers'!Q85,3)</x:f>
        <x:v>-7.521</x:v>
      </x:c>
      <x:c r="AI85" s="64" t="n">
        <x:f>SUM(R85,T85,AC85,AE85,AG85,AH85)</x:f>
        <x:v>-528.933</x:v>
      </x:c>
      <x:c r="AJ85" s="65" t="n">
        <x:f>AI85/Q85</x:f>
        <x:v>-0.3241066635947185</x:v>
      </x:c>
      <x:c r="AK85" s="64" t="n">
        <x:f>Q85+AI85</x:f>
        <x:v>1103.039</x:v>
      </x:c>
      <x:c r="AL85" s="65" t="n">
        <x:f>AK85/Q85</x:f>
        <x:v>0.6758933364052815</x:v>
      </x:c>
      <x:c r="AM85" s="64" t="n">
        <x:f>AK85/L85</x:f>
        <x:v>367.67966666666666</x:v>
      </x:c>
      <x:c r="AN85" s="66" t="str">
        <x:f>IF(AM85&lt;=200,"≤200K",IF(AM85&lt;=350,"200–350K",IF(AM85&lt;=500,"350–500K",IF(AM85&lt;=700,"500–700K","&gt;700K"))))</x:f>
        <x:v>350–500K</x:v>
      </x:c>
      <x:c r="AO85" s="64" t="n">
        <x:f>-ROUND(Q85*'Drivers'!R85,3)</x:f>
        <x:v>-548.776</x:v>
      </x:c>
      <x:c r="AP85" s="64" t="n">
        <x:f>-ROUND(AK85*'Drivers'!S85,3)</x:f>
        <x:v>-13.924</x:v>
      </x:c>
      <x:c r="AQ85" s="64" t="n">
        <x:f>-ROUND(AK85*'Drivers'!T85,3)</x:f>
        <x:v>-4.378</x:v>
      </x:c>
      <x:c r="AR85" s="64" t="n">
        <x:f>-ROUND(AK85*'Drivers'!U85,3)</x:f>
        <x:v>-12.945</x:v>
      </x:c>
      <x:c r="AS85" s="64" t="n">
        <x:f>-ROUND(AK85*'Drivers'!V85,3)</x:f>
        <x:v>-41.491</x:v>
      </x:c>
      <x:c r="AT85" s="64" t="n">
        <x:f>SUM(AO85:AS85)</x:f>
        <x:v>-621.514</x:v>
      </x:c>
      <x:c r="AU85" s="65" t="n">
        <x:f>AT85/AK85</x:f>
        <x:v>-0.5634560518712394</x:v>
      </x:c>
      <x:c r="AV85" s="64" t="n">
        <x:f>AK85+AT85</x:f>
        <x:v>481.525</x:v>
      </x:c>
      <x:c r="AW85" s="65" t="n">
        <x:f>AV85/AK85</x:f>
        <x:v>0.43654394812876063</x:v>
      </x:c>
      <x:c r="AX85" s="64" t="n">
        <x:f>-ROUND(AK85*'Drivers'!W85,3)</x:f>
        <x:v>-13.686</x:v>
      </x:c>
      <x:c r="AY85" s="64" t="n">
        <x:f>-ROUND(AK85*'Drivers'!X85,3)</x:f>
        <x:v>-26.248</x:v>
      </x:c>
      <x:c r="AZ85" s="64" t="n">
        <x:f>-ROUND(AK85*'Drivers'!Y85,3)</x:f>
        <x:v>-20.93</x:v>
      </x:c>
      <x:c r="BA85" s="64" t="n">
        <x:f>-ROUND(AK85*'Drivers'!Z85,3)</x:f>
        <x:v>-6.323</x:v>
      </x:c>
      <x:c r="BB85" s="64" t="n">
        <x:f>-ROUND(AK85*'Drivers'!AA85,3)</x:f>
        <x:v>-12.127</x:v>
      </x:c>
      <x:c r="BC85" s="64" t="n">
        <x:f>SUM(BA85,BB85)</x:f>
        <x:v>-18.450000000000003</x:v>
      </x:c>
      <x:c r="BD85" s="64" t="n">
        <x:f>-ROUND(AK85*'Drivers'!AB85,3)</x:f>
        <x:v>-13.914</x:v>
      </x:c>
      <x:c r="BE85" s="64" t="n">
        <x:f>SUM(AX85:BB85,BD85)</x:f>
        <x:v>-93.228</x:v>
      </x:c>
      <x:c r="BF85" s="67" t="n">
        <x:f>'Drivers'!AF85</x:f>
        <x:v>7</x:v>
      </x:c>
      <x:c r="BG85" s="64" t="n">
        <x:f>BJ85</x:f>
        <x:v>-22.655</x:v>
      </x:c>
      <x:c r="BH85" s="64" t="n">
        <x:f>BE85/BF85</x:f>
        <x:v>-13.318285714285713</x:v>
      </x:c>
      <x:c r="BI85" s="68" t="n">
        <x:f>BF85/L85</x:f>
        <x:v>2.3333333333333335</x:v>
      </x:c>
      <x:c r="BJ85" s="64" t="n">
        <x:f>-ROUND(AK85*'Drivers'!AC85,3)</x:f>
        <x:v>-22.655</x:v>
      </x:c>
      <x:c r="BK85" s="64" t="n">
        <x:f>-ROUND(AK85*'Drivers'!AD85,3)</x:f>
        <x:v>-102.395</x:v>
      </x:c>
      <x:c r="BL85" s="64" t="n">
        <x:f>SUM(AV85,BE85,BJ85,BK85)</x:f>
        <x:v>263.24699999999996</x:v>
      </x:c>
      <x:c r="BM85" s="65" t="n">
        <x:f>BL85/AK85</x:f>
        <x:v>0.2386561127938359</x:v>
      </x:c>
      <x:c r="BN85" s="64" t="n">
        <x:f>-ROUND(AK85*'Drivers'!AE85,3)</x:f>
        <x:v>-100.942</x:v>
      </x:c>
      <x:c r="BO85" s="64" t="n">
        <x:f>BL85+BN85</x:f>
        <x:v>162.30499999999995</x:v>
      </x:c>
      <x:c r="BP85" s="65" t="n">
        <x:f>BO85/AK85</x:f>
        <x:v>0.14714348268737548</x:v>
      </x:c>
    </x:row>
    <x:row r="86">
      <x:c r="A86" s="61" t="n">
        <x:v>2025</x:v>
      </x:c>
      <x:c r="B86" s="18" t="str">
        <x:v>S1</x:v>
      </x:c>
      <x:c r="C86" s="18" t="str">
        <x:v>2025 S1</x:v>
      </x:c>
      <x:c r="D86" s="18" t="str">
        <x:v>CNCT0022</x:v>
      </x:c>
      <x:c r="E86" s="18" t="str">
        <x:v>广州天河城</x:v>
      </x:c>
      <x:c r="F86" s="18" t="str">
        <x:v>广州</x:v>
      </x:c>
      <x:c r="G86" s="18" t="str">
        <x:v>广东省</x:v>
      </x:c>
      <x:c r="H86" s="18" t="str">
        <x:v>南区</x:v>
      </x:c>
      <x:c r="I86" s="18" t="str">
        <x:v>Shopping Mall</x:v>
      </x:c>
      <x:c r="J86" s="18" t="str">
        <x:v>Core Shopping Center</x:v>
      </x:c>
      <x:c r="K86" s="18" t="str">
        <x:v>正常</x:v>
      </x:c>
      <x:c r="L86" s="62" t="n">
        <x:v>4</x:v>
      </x:c>
      <x:c r="M86" s="62" t="n">
        <x:v>44</x:v>
      </x:c>
      <x:c r="N86" s="63" t="n">
        <x:f>'Drivers'!C86</x:f>
        <x:v>1787</x:v>
      </x:c>
      <x:c r="O86" s="63" t="n">
        <x:f>'Drivers'!D86</x:f>
        <x:v>1122.024</x:v>
      </x:c>
      <x:c r="P86" s="64" t="n">
        <x:f>ROUND(N86*O86/1000,3)</x:f>
        <x:v>2005.057</x:v>
      </x:c>
      <x:c r="Q86" s="64" t="n">
        <x:f>ROUND(P86*'Drivers'!E86,3)</x:f>
        <x:v>1941.707</x:v>
      </x:c>
      <x:c r="R86" s="64" t="n">
        <x:f>-ROUND(Q86*'Drivers'!F86,3)</x:f>
        <x:v>-312.999</x:v>
      </x:c>
      <x:c r="S86" s="65" t="n">
        <x:f>R86/Q86</x:f>
        <x:v>-0.16119785322914323</x:v>
      </x:c>
      <x:c r="T86" s="64" t="n">
        <x:f>-ROUND(Q86*'Drivers'!G86,3)</x:f>
        <x:v>-36.633</x:v>
      </x:c>
      <x:c r="U86" s="65" t="n">
        <x:f>T86/Q86</x:f>
        <x:v>-0.01886638921320261</x:v>
      </x:c>
      <x:c r="V86" s="64" t="n">
        <x:f>-ROUND(Q86*'Drivers'!H86,3)</x:f>
        <x:v>-22.118</x:v>
      </x:c>
      <x:c r="W86" s="64" t="n">
        <x:f>-ROUND(Q86*'Drivers'!I86,3)</x:f>
        <x:v>-15.833</x:v>
      </x:c>
      <x:c r="X86" s="64" t="n">
        <x:f>-ROUND(Q86*'Drivers'!J86,3)</x:f>
        <x:v>-23.425</x:v>
      </x:c>
      <x:c r="Y86" s="64" t="n">
        <x:f>-ROUND(Q86*'Drivers'!K86,3)</x:f>
        <x:v>-24.437</x:v>
      </x:c>
      <x:c r="Z86" s="64" t="n">
        <x:f>-ROUND(Q86*'Drivers'!L86,3)</x:f>
        <x:v>-21.846</x:v>
      </x:c>
      <x:c r="AA86" s="64" t="n">
        <x:f>-ROUND(Q86*'Drivers'!M86,3)</x:f>
        <x:v>-19.918</x:v>
      </x:c>
      <x:c r="AB86" s="64" t="n">
        <x:f>-ROUND(Q86*'Drivers'!N86,3)</x:f>
        <x:v>-11.704</x:v>
      </x:c>
      <x:c r="AC86" s="64" t="n">
        <x:f>SUM(V86:AB86)</x:f>
        <x:v>-139.281</x:v>
      </x:c>
      <x:c r="AD86" s="65" t="n">
        <x:f>AC86/Q86</x:f>
        <x:v>-0.07173121382371285</x:v>
      </x:c>
      <x:c r="AE86" s="64" t="n">
        <x:f>-ROUND(Q86*'Drivers'!O86,3)</x:f>
        <x:v>-15.449</x:v>
      </x:c>
      <x:c r="AF86" s="65" t="n">
        <x:f>AE86/Q86</x:f>
        <x:v>-0.007956401249004097</x:v>
      </x:c>
      <x:c r="AG86" s="64" t="n">
        <x:f>-ROUND(Q86*'Drivers'!P86,3)</x:f>
        <x:v>-0.035</x:v>
      </x:c>
      <x:c r="AH86" s="64" t="n">
        <x:f>-ROUND(Q86*'Drivers'!Q86,3)</x:f>
        <x:v>-5.025</x:v>
      </x:c>
      <x:c r="AI86" s="64" t="n">
        <x:f>SUM(R86,T86,AC86,AE86,AG86,AH86)</x:f>
        <x:v>-509.422</x:v>
      </x:c>
      <x:c r="AJ86" s="65" t="n">
        <x:f>AI86/Q86</x:f>
        <x:v>-0.26235781196648106</x:v>
      </x:c>
      <x:c r="AK86" s="64" t="n">
        <x:f>Q86+AI86</x:f>
        <x:v>1432.285</x:v>
      </x:c>
      <x:c r="AL86" s="65" t="n">
        <x:f>AK86/Q86</x:f>
        <x:v>0.737642188033519</x:v>
      </x:c>
      <x:c r="AM86" s="64" t="n">
        <x:f>AK86/L86</x:f>
        <x:v>358.07125</x:v>
      </x:c>
      <x:c r="AN86" s="66" t="str">
        <x:f>IF(AM86&lt;=200,"≤200K",IF(AM86&lt;=350,"200–350K",IF(AM86&lt;=500,"350–500K",IF(AM86&lt;=700,"500–700K","&gt;700K"))))</x:f>
        <x:v>350–500K</x:v>
      </x:c>
      <x:c r="AO86" s="64" t="n">
        <x:f>-ROUND(Q86*'Drivers'!R86,3)</x:f>
        <x:v>-737.693</x:v>
      </x:c>
      <x:c r="AP86" s="64" t="n">
        <x:f>-ROUND(AK86*'Drivers'!S86,3)</x:f>
        <x:v>-22.788</x:v>
      </x:c>
      <x:c r="AQ86" s="64" t="n">
        <x:f>-ROUND(AK86*'Drivers'!T86,3)</x:f>
        <x:v>-9.992</x:v>
      </x:c>
      <x:c r="AR86" s="64" t="n">
        <x:f>-ROUND(AK86*'Drivers'!U86,3)</x:f>
        <x:v>-11.733</x:v>
      </x:c>
      <x:c r="AS86" s="64" t="n">
        <x:f>-ROUND(AK86*'Drivers'!V86,3)</x:f>
        <x:v>-43.919</x:v>
      </x:c>
      <x:c r="AT86" s="64" t="n">
        <x:f>SUM(AO86:AS86)</x:f>
        <x:v>-826.1249999999999</x:v>
      </x:c>
      <x:c r="AU86" s="65" t="n">
        <x:f>AT86/AK86</x:f>
        <x:v>-0.5767881392320662</x:v>
      </x:c>
      <x:c r="AV86" s="64" t="n">
        <x:f>AK86+AT86</x:f>
        <x:v>606.1600000000002</x:v>
      </x:c>
      <x:c r="AW86" s="65" t="n">
        <x:f>AV86/AK86</x:f>
        <x:v>0.4232118607679339</x:v>
      </x:c>
      <x:c r="AX86" s="64" t="n">
        <x:f>-ROUND(AK86*'Drivers'!W86,3)</x:f>
        <x:v>-16.04</x:v>
      </x:c>
      <x:c r="AY86" s="64" t="n">
        <x:f>-ROUND(AK86*'Drivers'!X86,3)</x:f>
        <x:v>-31.337</x:v>
      </x:c>
      <x:c r="AZ86" s="64" t="n">
        <x:f>-ROUND(AK86*'Drivers'!Y86,3)</x:f>
        <x:v>-25.542</x:v>
      </x:c>
      <x:c r="BA86" s="64" t="n">
        <x:f>-ROUND(AK86*'Drivers'!Z86,3)</x:f>
        <x:v>-7.717</x:v>
      </x:c>
      <x:c r="BB86" s="64" t="n">
        <x:f>-ROUND(AK86*'Drivers'!AA86,3)</x:f>
        <x:v>-9.959</x:v>
      </x:c>
      <x:c r="BC86" s="64" t="n">
        <x:f>SUM(BA86,BB86)</x:f>
        <x:v>-17.676</x:v>
      </x:c>
      <x:c r="BD86" s="64" t="n">
        <x:f>-ROUND(AK86*'Drivers'!AB86,3)</x:f>
        <x:v>-7.112</x:v>
      </x:c>
      <x:c r="BE86" s="64" t="n">
        <x:f>SUM(AX86:BB86,BD86)</x:f>
        <x:v>-97.707</x:v>
      </x:c>
      <x:c r="BF86" s="67" t="n">
        <x:f>'Drivers'!AF86</x:f>
        <x:v>9</x:v>
      </x:c>
      <x:c r="BG86" s="64" t="n">
        <x:f>BJ86</x:f>
        <x:v>-24.847</x:v>
      </x:c>
      <x:c r="BH86" s="64" t="n">
        <x:f>BE86/BF86</x:f>
        <x:v>-10.856333333333332</x:v>
      </x:c>
      <x:c r="BI86" s="68" t="n">
        <x:f>BF86/L86</x:f>
        <x:v>2.25</x:v>
      </x:c>
      <x:c r="BJ86" s="64" t="n">
        <x:f>-ROUND(AK86*'Drivers'!AC86,3)</x:f>
        <x:v>-24.847</x:v>
      </x:c>
      <x:c r="BK86" s="64" t="n">
        <x:f>-ROUND(AK86*'Drivers'!AD86,3)</x:f>
        <x:v>-129.73</x:v>
      </x:c>
      <x:c r="BL86" s="64" t="n">
        <x:f>SUM(AV86,BE86,BJ86,BK86)</x:f>
        <x:v>353.8760000000002</x:v>
      </x:c>
      <x:c r="BM86" s="65" t="n">
        <x:f>BL86/AK86</x:f>
        <x:v>0.24707093909382574</x:v>
      </x:c>
      <x:c r="BN86" s="64" t="n">
        <x:f>-ROUND(AK86*'Drivers'!AE86,3)</x:f>
        <x:v>-96.122</x:v>
      </x:c>
      <x:c r="BO86" s="64" t="n">
        <x:f>BL86+BN86</x:f>
        <x:v>257.7540000000002</x:v>
      </x:c>
      <x:c r="BP86" s="65" t="n">
        <x:f>BO86/AK86</x:f>
        <x:v>0.17995999399560852</x:v>
      </x:c>
    </x:row>
    <x:row r="87">
      <x:c r="A87" s="61" t="n">
        <x:v>2025</x:v>
      </x:c>
      <x:c r="B87" s="18" t="str">
        <x:v>S2</x:v>
      </x:c>
      <x:c r="C87" s="18" t="str">
        <x:v>2025 S2</x:v>
      </x:c>
      <x:c r="D87" s="18" t="str">
        <x:v>CNCT0022</x:v>
      </x:c>
      <x:c r="E87" s="18" t="str">
        <x:v>广州天河城</x:v>
      </x:c>
      <x:c r="F87" s="18" t="str">
        <x:v>广州</x:v>
      </x:c>
      <x:c r="G87" s="18" t="str">
        <x:v>广东省</x:v>
      </x:c>
      <x:c r="H87" s="18" t="str">
        <x:v>南区</x:v>
      </x:c>
      <x:c r="I87" s="18" t="str">
        <x:v>Shopping Mall</x:v>
      </x:c>
      <x:c r="J87" s="18" t="str">
        <x:v>Core Shopping Center</x:v>
      </x:c>
      <x:c r="K87" s="18" t="str">
        <x:v>正常</x:v>
      </x:c>
      <x:c r="L87" s="62" t="n">
        <x:v>4</x:v>
      </x:c>
      <x:c r="M87" s="62" t="n">
        <x:v>44</x:v>
      </x:c>
      <x:c r="N87" s="63" t="n">
        <x:f>'Drivers'!C87</x:f>
        <x:v>1953</x:v>
      </x:c>
      <x:c r="O87" s="63" t="n">
        <x:f>'Drivers'!D87</x:f>
        <x:v>1135.488</x:v>
      </x:c>
      <x:c r="P87" s="64" t="n">
        <x:f>ROUND(N87*O87/1000,3)</x:f>
        <x:v>2217.608</x:v>
      </x:c>
      <x:c r="Q87" s="64" t="n">
        <x:f>ROUND(P87*'Drivers'!E87,3)</x:f>
        <x:v>2131.456</x:v>
      </x:c>
      <x:c r="R87" s="64" t="n">
        <x:f>-ROUND(Q87*'Drivers'!F87,3)</x:f>
        <x:v>-343.586</x:v>
      </x:c>
      <x:c r="S87" s="65" t="n">
        <x:f>R87/Q87</x:f>
        <x:v>-0.16119779155656977</x:v>
      </x:c>
      <x:c r="T87" s="64" t="n">
        <x:f>-ROUND(Q87*'Drivers'!G87,3)</x:f>
        <x:v>-40.213</x:v>
      </x:c>
      <x:c r="U87" s="65" t="n">
        <x:f>T87/Q87</x:f>
        <x:v>-0.018866446222675953</x:v>
      </x:c>
      <x:c r="V87" s="64" t="n">
        <x:f>-ROUND(Q87*'Drivers'!H87,3)</x:f>
        <x:v>-24.28</x:v>
      </x:c>
      <x:c r="W87" s="64" t="n">
        <x:f>-ROUND(Q87*'Drivers'!I87,3)</x:f>
        <x:v>-17.381</x:v>
      </x:c>
      <x:c r="X87" s="64" t="n">
        <x:f>-ROUND(Q87*'Drivers'!J87,3)</x:f>
        <x:v>-25.714</x:v>
      </x:c>
      <x:c r="Y87" s="64" t="n">
        <x:f>-ROUND(Q87*'Drivers'!K87,3)</x:f>
        <x:v>-26.825</x:v>
      </x:c>
      <x:c r="Z87" s="64" t="n">
        <x:f>-ROUND(Q87*'Drivers'!L87,3)</x:f>
        <x:v>-23.981</x:v>
      </x:c>
      <x:c r="AA87" s="64" t="n">
        <x:f>-ROUND(Q87*'Drivers'!M87,3)</x:f>
        <x:v>-21.864</x:v>
      </x:c>
      <x:c r="AB87" s="64" t="n">
        <x:f>-ROUND(Q87*'Drivers'!N87,3)</x:f>
        <x:v>-12.848</x:v>
      </x:c>
      <x:c r="AC87" s="64" t="n">
        <x:f>SUM(V87:AB87)</x:f>
        <x:v>-152.89300000000003</x:v>
      </x:c>
      <x:c r="AD87" s="65" t="n">
        <x:f>AC87/Q87</x:f>
        <x:v>-0.07173171766154217</x:v>
      </x:c>
      <x:c r="AE87" s="64" t="n">
        <x:f>-ROUND(Q87*'Drivers'!O87,3)</x:f>
        <x:v>-16.958</x:v>
      </x:c>
      <x:c r="AF87" s="65" t="n">
        <x:f>AE87/Q87</x:f>
        <x:v>-0.007956063836175833</x:v>
      </x:c>
      <x:c r="AG87" s="64" t="n">
        <x:f>-ROUND(Q87*'Drivers'!P87,3)</x:f>
        <x:v>-0.039</x:v>
      </x:c>
      <x:c r="AH87" s="64" t="n">
        <x:f>-ROUND(Q87*'Drivers'!Q87,3)</x:f>
        <x:v>-5.516</x:v>
      </x:c>
      <x:c r="AI87" s="64" t="n">
        <x:f>SUM(R87,T87,AC87,AE87,AG87,AH87)</x:f>
        <x:v>-559.2049999999999</x:v>
      </x:c>
      <x:c r="AJ87" s="65" t="n">
        <x:f>AI87/Q87</x:f>
        <x:v>-0.2623582189827047</x:v>
      </x:c>
      <x:c r="AK87" s="64" t="n">
        <x:f>Q87+AI87</x:f>
        <x:v>1572.2510000000002</x:v>
      </x:c>
      <x:c r="AL87" s="65" t="n">
        <x:f>AK87/Q87</x:f>
        <x:v>0.7376417810172953</x:v>
      </x:c>
      <x:c r="AM87" s="64" t="n">
        <x:f>AK87/L87</x:f>
        <x:v>393.06275000000005</x:v>
      </x:c>
      <x:c r="AN87" s="66" t="str">
        <x:f>IF(AM87&lt;=200,"≤200K",IF(AM87&lt;=350,"200–350K",IF(AM87&lt;=500,"350–500K",IF(AM87&lt;=700,"500–700K","&gt;700K"))))</x:f>
        <x:v>350–500K</x:v>
      </x:c>
      <x:c r="AO87" s="64" t="n">
        <x:f>-ROUND(Q87*'Drivers'!R87,3)</x:f>
        <x:v>-818.983</x:v>
      </x:c>
      <x:c r="AP87" s="64" t="n">
        <x:f>-ROUND(AK87*'Drivers'!S87,3)</x:f>
        <x:v>-25.015</x:v>
      </x:c>
      <x:c r="AQ87" s="64" t="n">
        <x:f>-ROUND(AK87*'Drivers'!T87,3)</x:f>
        <x:v>-10.968</x:v>
      </x:c>
      <x:c r="AR87" s="64" t="n">
        <x:f>-ROUND(AK87*'Drivers'!U87,3)</x:f>
        <x:v>-12.88</x:v>
      </x:c>
      <x:c r="AS87" s="64" t="n">
        <x:f>-ROUND(AK87*'Drivers'!V87,3)</x:f>
        <x:v>-48.21</x:v>
      </x:c>
      <x:c r="AT87" s="64" t="n">
        <x:f>SUM(AO87:AS87)</x:f>
        <x:v>-916.0559999999999</x:v>
      </x:c>
      <x:c r="AU87" s="65" t="n">
        <x:f>AT87/AK87</x:f>
        <x:v>-0.5826397947910351</x:v>
      </x:c>
      <x:c r="AV87" s="64" t="n">
        <x:f>AK87+AT87</x:f>
        <x:v>656.1950000000003</x:v>
      </x:c>
      <x:c r="AW87" s="65" t="n">
        <x:f>AV87/AK87</x:f>
        <x:v>0.41736020520896483</x:v>
      </x:c>
      <x:c r="AX87" s="64" t="n">
        <x:f>-ROUND(AK87*'Drivers'!W87,3)</x:f>
        <x:v>-17.608</x:v>
      </x:c>
      <x:c r="AY87" s="64" t="n">
        <x:f>-ROUND(AK87*'Drivers'!X87,3)</x:f>
        <x:v>-34.399</x:v>
      </x:c>
      <x:c r="AZ87" s="64" t="n">
        <x:f>-ROUND(AK87*'Drivers'!Y87,3)</x:f>
        <x:v>-28.038</x:v>
      </x:c>
      <x:c r="BA87" s="64" t="n">
        <x:f>-ROUND(AK87*'Drivers'!Z87,3)</x:f>
        <x:v>-8.471</x:v>
      </x:c>
      <x:c r="BB87" s="64" t="n">
        <x:f>-ROUND(AK87*'Drivers'!AA87,3)</x:f>
        <x:v>-10.932</x:v>
      </x:c>
      <x:c r="BC87" s="64" t="n">
        <x:f>SUM(BA87,BB87)</x:f>
        <x:v>-19.403</x:v>
      </x:c>
      <x:c r="BD87" s="64" t="n">
        <x:f>-ROUND(AK87*'Drivers'!AB87,3)</x:f>
        <x:v>-7.807</x:v>
      </x:c>
      <x:c r="BE87" s="64" t="n">
        <x:f>SUM(AX87:BB87,BD87)</x:f>
        <x:v>-107.25500000000001</x:v>
      </x:c>
      <x:c r="BF87" s="67" t="n">
        <x:f>'Drivers'!AF87</x:f>
        <x:v>9</x:v>
      </x:c>
      <x:c r="BG87" s="64" t="n">
        <x:f>BJ87</x:f>
        <x:v>-27.275</x:v>
      </x:c>
      <x:c r="BH87" s="64" t="n">
        <x:f>BE87/BF87</x:f>
        <x:v>-11.917222222222223</x:v>
      </x:c>
      <x:c r="BI87" s="68" t="n">
        <x:f>BF87/L87</x:f>
        <x:v>2.25</x:v>
      </x:c>
      <x:c r="BJ87" s="64" t="n">
        <x:f>-ROUND(AK87*'Drivers'!AC87,3)</x:f>
        <x:v>-27.275</x:v>
      </x:c>
      <x:c r="BK87" s="64" t="n">
        <x:f>-ROUND(AK87*'Drivers'!AD87,3)</x:f>
        <x:v>-142.407</x:v>
      </x:c>
      <x:c r="BL87" s="64" t="n">
        <x:f>SUM(AV87,BE87,BJ87,BK87)</x:f>
        <x:v>379.25800000000027</x:v>
      </x:c>
      <x:c r="BM87" s="65" t="n">
        <x:f>BL87/AK87</x:f>
        <x:v>0.24121975435219964</x:v>
      </x:c>
      <x:c r="BN87" s="64" t="n">
        <x:f>-ROUND(AK87*'Drivers'!AE87,3)</x:f>
        <x:v>-105.515</x:v>
      </x:c>
      <x:c r="BO87" s="64" t="n">
        <x:f>BL87+BN87</x:f>
        <x:v>273.7430000000003</x:v>
      </x:c>
      <x:c r="BP87" s="65" t="n">
        <x:f>BO87/AK87</x:f>
        <x:v>0.17410896860615782</x:v>
      </x:c>
    </x:row>
    <x:row r="88">
      <x:c r="A88" s="61" t="n">
        <x:v>2026</x:v>
      </x:c>
      <x:c r="B88" s="18" t="str">
        <x:v>S1</x:v>
      </x:c>
      <x:c r="C88" s="18" t="str">
        <x:v>2026 S1</x:v>
      </x:c>
      <x:c r="D88" s="18" t="str">
        <x:v>CNCT0022</x:v>
      </x:c>
      <x:c r="E88" s="18" t="str">
        <x:v>广州天河城</x:v>
      </x:c>
      <x:c r="F88" s="18" t="str">
        <x:v>广州</x:v>
      </x:c>
      <x:c r="G88" s="18" t="str">
        <x:v>广东省</x:v>
      </x:c>
      <x:c r="H88" s="18" t="str">
        <x:v>南区</x:v>
      </x:c>
      <x:c r="I88" s="18" t="str">
        <x:v>Shopping Mall</x:v>
      </x:c>
      <x:c r="J88" s="18" t="str">
        <x:v>Core Shopping Center</x:v>
      </x:c>
      <x:c r="K88" s="18" t="str">
        <x:v>正常</x:v>
      </x:c>
      <x:c r="L88" s="62" t="n">
        <x:v>4</x:v>
      </x:c>
      <x:c r="M88" s="62" t="n">
        <x:v>44</x:v>
      </x:c>
      <x:c r="N88" s="63" t="n">
        <x:f>'Drivers'!C88</x:f>
        <x:v>1703</x:v>
      </x:c>
      <x:c r="O88" s="63" t="n">
        <x:f>'Drivers'!D88</x:f>
        <x:v>1175.013</x:v>
      </x:c>
      <x:c r="P88" s="64" t="n">
        <x:f>ROUND(N88*O88/1000,3)</x:f>
        <x:v>2001.047</x:v>
      </x:c>
      <x:c r="Q88" s="64" t="n">
        <x:f>ROUND(P88*'Drivers'!E88,3)</x:f>
        <x:v>1945.712</x:v>
      </x:c>
      <x:c r="R88" s="64" t="n">
        <x:f>-ROUND(Q88*'Drivers'!F88,3)</x:f>
        <x:v>-308.45</x:v>
      </x:c>
      <x:c r="S88" s="65" t="n">
        <x:f>R88/Q88</x:f>
        <x:v>-0.1585280863766066</x:v>
      </x:c>
      <x:c r="T88" s="64" t="n">
        <x:f>-ROUND(Q88*'Drivers'!G88,3)</x:f>
        <x:v>-39.499</x:v>
      </x:c>
      <x:c r="U88" s="65" t="n">
        <x:f>T88/Q88</x:f>
        <x:v>-0.020300537797988603</x:v>
      </x:c>
      <x:c r="V88" s="64" t="n">
        <x:f>-ROUND(Q88*'Drivers'!H88,3)</x:f>
        <x:v>-22.164</x:v>
      </x:c>
      <x:c r="W88" s="64" t="n">
        <x:f>-ROUND(Q88*'Drivers'!I88,3)</x:f>
        <x:v>-15.866</x:v>
      </x:c>
      <x:c r="X88" s="64" t="n">
        <x:f>-ROUND(Q88*'Drivers'!J88,3)</x:f>
        <x:v>-23.473</x:v>
      </x:c>
      <x:c r="Y88" s="64" t="n">
        <x:f>-ROUND(Q88*'Drivers'!K88,3)</x:f>
        <x:v>-24.487</x:v>
      </x:c>
      <x:c r="Z88" s="64" t="n">
        <x:f>-ROUND(Q88*'Drivers'!L88,3)</x:f>
        <x:v>-21.891</x:v>
      </x:c>
      <x:c r="AA88" s="64" t="n">
        <x:f>-ROUND(Q88*'Drivers'!M88,3)</x:f>
        <x:v>-19.959</x:v>
      </x:c>
      <x:c r="AB88" s="64" t="n">
        <x:f>-ROUND(Q88*'Drivers'!N88,3)</x:f>
        <x:v>-11.728</x:v>
      </x:c>
      <x:c r="AC88" s="64" t="n">
        <x:f>SUM(V88:AB88)</x:f>
        <x:v>-139.568</x:v>
      </x:c>
      <x:c r="AD88" s="65" t="n">
        <x:f>AC88/Q88</x:f>
        <x:v>-0.07173106811285536</x:v>
      </x:c>
      <x:c r="AE88" s="64" t="n">
        <x:f>-ROUND(Q88*'Drivers'!O88,3)</x:f>
        <x:v>-17.934</x:v>
      </x:c>
      <x:c r="AF88" s="65" t="n">
        <x:f>AE88/Q88</x:f>
        <x:v>-0.009217191444571449</x:v>
      </x:c>
      <x:c r="AG88" s="64" t="n">
        <x:f>-ROUND(Q88*'Drivers'!P88,3)</x:f>
        <x:v>-0.035</x:v>
      </x:c>
      <x:c r="AH88" s="64" t="n">
        <x:f>-ROUND(Q88*'Drivers'!Q88,3)</x:f>
        <x:v>-5.036</x:v>
      </x:c>
      <x:c r="AI88" s="64" t="n">
        <x:f>SUM(R88,T88,AC88,AE88,AG88,AH88)</x:f>
        <x:v>-510.5220000000001</x:v>
      </x:c>
      <x:c r="AJ88" s="65" t="n">
        <x:f>AI88/Q88</x:f>
        <x:v>-0.262383127616009</x:v>
      </x:c>
      <x:c r="AK88" s="64" t="n">
        <x:f>Q88+AI88</x:f>
        <x:v>1435.1899999999998</x:v>
      </x:c>
      <x:c r="AL88" s="65" t="n">
        <x:f>AK88/Q88</x:f>
        <x:v>0.737616872383991</x:v>
      </x:c>
      <x:c r="AM88" s="64" t="n">
        <x:f>AK88/L88</x:f>
        <x:v>358.79749999999996</x:v>
      </x:c>
      <x:c r="AN88" s="66" t="str">
        <x:f>IF(AM88&lt;=200,"≤200K",IF(AM88&lt;=350,"200–350K",IF(AM88&lt;=500,"350–500K",IF(AM88&lt;=700,"500–700K","&gt;700K"))))</x:f>
        <x:v>350–500K</x:v>
      </x:c>
      <x:c r="AO88" s="64" t="n">
        <x:f>-ROUND(Q88*'Drivers'!R88,3)</x:f>
        <x:v>-732.814</x:v>
      </x:c>
      <x:c r="AP88" s="64" t="n">
        <x:f>-ROUND(AK88*'Drivers'!S88,3)</x:f>
        <x:v>-22.834</x:v>
      </x:c>
      <x:c r="AQ88" s="64" t="n">
        <x:f>-ROUND(AK88*'Drivers'!T88,3)</x:f>
        <x:v>-10.012</x:v>
      </x:c>
      <x:c r="AR88" s="64" t="n">
        <x:f>-ROUND(AK88*'Drivers'!U88,3)</x:f>
        <x:v>-11.757</x:v>
      </x:c>
      <x:c r="AS88" s="64" t="n">
        <x:f>-ROUND(AK88*'Drivers'!V88,3)</x:f>
        <x:v>-44.008</x:v>
      </x:c>
      <x:c r="AT88" s="64" t="n">
        <x:f>SUM(AO88:AS88)</x:f>
        <x:v>-821.4249999999998</x:v>
      </x:c>
      <x:c r="AU88" s="65" t="n">
        <x:f>AT88/AK88</x:f>
        <x:v>-0.5723458218075655</x:v>
      </x:c>
      <x:c r="AV88" s="64" t="n">
        <x:f>AK88+AT88</x:f>
        <x:v>613.765</x:v>
      </x:c>
      <x:c r="AW88" s="65" t="n">
        <x:f>AV88/AK88</x:f>
        <x:v>0.4276541781924345</x:v>
      </x:c>
      <x:c r="AX88" s="64" t="n">
        <x:f>-ROUND(AK88*'Drivers'!W88,3)</x:f>
        <x:v>-19.777</x:v>
      </x:c>
      <x:c r="AY88" s="64" t="n">
        <x:f>-ROUND(AK88*'Drivers'!X88,3)</x:f>
        <x:v>-38.637</x:v>
      </x:c>
      <x:c r="AZ88" s="64" t="n">
        <x:f>-ROUND(AK88*'Drivers'!Y88,3)</x:f>
        <x:v>-31.492</x:v>
      </x:c>
      <x:c r="BA88" s="64" t="n">
        <x:f>-ROUND(AK88*'Drivers'!Z88,3)</x:f>
        <x:v>-9.514</x:v>
      </x:c>
      <x:c r="BB88" s="64" t="n">
        <x:f>-ROUND(AK88*'Drivers'!AA88,3)</x:f>
        <x:v>-12.278</x:v>
      </x:c>
      <x:c r="BC88" s="64" t="n">
        <x:f>SUM(BA88,BB88)</x:f>
        <x:v>-21.792</x:v>
      </x:c>
      <x:c r="BD88" s="64" t="n">
        <x:f>-ROUND(AK88*'Drivers'!AB88,3)</x:f>
        <x:v>-8.769</x:v>
      </x:c>
      <x:c r="BE88" s="64" t="n">
        <x:f>SUM(AX88:BB88,BD88)</x:f>
        <x:v>-120.46700000000001</x:v>
      </x:c>
      <x:c r="BF88" s="67" t="n">
        <x:f>'Drivers'!AF88</x:f>
        <x:v>9</x:v>
      </x:c>
      <x:c r="BG88" s="64" t="n">
        <x:f>BJ88</x:f>
        <x:v>-30.635</x:v>
      </x:c>
      <x:c r="BH88" s="64" t="n">
        <x:f>BE88/BF88</x:f>
        <x:v>-13.385222222222223</x:v>
      </x:c>
      <x:c r="BI88" s="68" t="n">
        <x:f>BF88/L88</x:f>
        <x:v>2.25</x:v>
      </x:c>
      <x:c r="BJ88" s="64" t="n">
        <x:f>-ROUND(AK88*'Drivers'!AC88,3)</x:f>
        <x:v>-30.635</x:v>
      </x:c>
      <x:c r="BK88" s="64" t="n">
        <x:f>-ROUND(AK88*'Drivers'!AD88,3)</x:f>
        <x:v>-129.993</x:v>
      </x:c>
      <x:c r="BL88" s="64" t="n">
        <x:f>SUM(AV88,BE88,BJ88,BK88)</x:f>
        <x:v>332.67</x:v>
      </x:c>
      <x:c r="BM88" s="65" t="n">
        <x:f>BL88/AK88</x:f>
        <x:v>0.23179509333259016</x:v>
      </x:c>
      <x:c r="BN88" s="64" t="n">
        <x:f>-ROUND(AK88*'Drivers'!AE88,3)</x:f>
        <x:v>-96.317</x:v>
      </x:c>
      <x:c r="BO88" s="64" t="n">
        <x:f>BL88+BN88</x:f>
        <x:v>236.353</x:v>
      </x:c>
      <x:c r="BP88" s="65" t="n">
        <x:f>BO88/AK88</x:f>
        <x:v>0.16468411847908643</x:v>
      </x:c>
    </x:row>
    <x:row r="89">
      <x:c r="A89" s="61" t="n">
        <x:v>2026</x:v>
      </x:c>
      <x:c r="B89" s="18" t="str">
        <x:v>S2</x:v>
      </x:c>
      <x:c r="C89" s="18" t="str">
        <x:v>2026 S2</x:v>
      </x:c>
      <x:c r="D89" s="18" t="str">
        <x:v>CNCT0022</x:v>
      </x:c>
      <x:c r="E89" s="18" t="str">
        <x:v>广州天河城</x:v>
      </x:c>
      <x:c r="F89" s="18" t="str">
        <x:v>广州</x:v>
      </x:c>
      <x:c r="G89" s="18" t="str">
        <x:v>广东省</x:v>
      </x:c>
      <x:c r="H89" s="18" t="str">
        <x:v>南区</x:v>
      </x:c>
      <x:c r="I89" s="18" t="str">
        <x:v>Shopping Mall</x:v>
      </x:c>
      <x:c r="J89" s="18" t="str">
        <x:v>Core Shopping Center</x:v>
      </x:c>
      <x:c r="K89" s="18" t="str">
        <x:v>正常</x:v>
      </x:c>
      <x:c r="L89" s="62" t="n">
        <x:v>4</x:v>
      </x:c>
      <x:c r="M89" s="62" t="n">
        <x:v>43</x:v>
      </x:c>
      <x:c r="N89" s="63" t="n">
        <x:f>'Drivers'!C89</x:f>
        <x:v>1965</x:v>
      </x:c>
      <x:c r="O89" s="63" t="n">
        <x:f>'Drivers'!D89</x:f>
        <x:v>1157.298</x:v>
      </x:c>
      <x:c r="P89" s="64" t="n">
        <x:f>ROUND(N89*O89/1000,3)</x:f>
        <x:v>2274.091</x:v>
      </x:c>
      <x:c r="Q89" s="64" t="n">
        <x:f>ROUND(P89*'Drivers'!E89,3)</x:f>
        <x:v>2185.745</x:v>
      </x:c>
      <x:c r="R89" s="64" t="n">
        <x:f>-ROUND(Q89*'Drivers'!F89,3)</x:f>
        <x:v>-350.408</x:v>
      </x:c>
      <x:c r="S89" s="65" t="n">
        <x:f>R89/Q89</x:f>
        <x:v>-0.16031513282656487</x:v>
      </x:c>
      <x:c r="T89" s="64" t="n">
        <x:f>-ROUND(Q89*'Drivers'!G89,3)</x:f>
        <x:v>-38.016</x:v>
      </x:c>
      <x:c r="U89" s="65" t="n">
        <x:f>T89/Q89</x:f>
        <x:v>-0.017392696769293763</x:v>
      </x:c>
      <x:c r="V89" s="64" t="n">
        <x:f>-ROUND(Q89*'Drivers'!H89,3)</x:f>
        <x:v>-24.898</x:v>
      </x:c>
      <x:c r="W89" s="64" t="n">
        <x:f>-ROUND(Q89*'Drivers'!I89,3)</x:f>
        <x:v>-17.823</x:v>
      </x:c>
      <x:c r="X89" s="64" t="n">
        <x:f>-ROUND(Q89*'Drivers'!J89,3)</x:f>
        <x:v>-26.369</x:v>
      </x:c>
      <x:c r="Y89" s="64" t="n">
        <x:f>-ROUND(Q89*'Drivers'!K89,3)</x:f>
        <x:v>-27.508</x:v>
      </x:c>
      <x:c r="Z89" s="64" t="n">
        <x:f>-ROUND(Q89*'Drivers'!L89,3)</x:f>
        <x:v>-24.592</x:v>
      </x:c>
      <x:c r="AA89" s="64" t="n">
        <x:f>-ROUND(Q89*'Drivers'!M89,3)</x:f>
        <x:v>-22.421</x:v>
      </x:c>
      <x:c r="AB89" s="64" t="n">
        <x:f>-ROUND(Q89*'Drivers'!N89,3)</x:f>
        <x:v>-13.175</x:v>
      </x:c>
      <x:c r="AC89" s="64" t="n">
        <x:f>SUM(V89:AB89)</x:f>
        <x:v>-156.786</x:v>
      </x:c>
      <x:c r="AD89" s="65" t="n">
        <x:f>AC89/Q89</x:f>
        <x:v>-0.07173114887601253</x:v>
      </x:c>
      <x:c r="AE89" s="64" t="n">
        <x:f>-ROUND(Q89*'Drivers'!O89,3)</x:f>
        <x:v>-17.39</x:v>
      </x:c>
      <x:c r="AF89" s="65" t="n">
        <x:f>AE89/Q89</x:f>
        <x:v>-0.007956097348958822</x:v>
      </x:c>
      <x:c r="AG89" s="64" t="n">
        <x:f>-ROUND(Q89*'Drivers'!P89,3)</x:f>
        <x:v>-0.04</x:v>
      </x:c>
      <x:c r="AH89" s="64" t="n">
        <x:f>-ROUND(Q89*'Drivers'!Q89,3)</x:f>
        <x:v>-5.657</x:v>
      </x:c>
      <x:c r="AI89" s="64" t="n">
        <x:f>SUM(R89,T89,AC89,AE89,AG89,AH89)</x:f>
        <x:v>-568.297</x:v>
      </x:c>
      <x:c r="AJ89" s="65" t="n">
        <x:f>AI89/Q89</x:f>
        <x:v>-0.2600015097827057</x:v>
      </x:c>
      <x:c r="AK89" s="64" t="n">
        <x:f>Q89+AI89</x:f>
        <x:v>1617.4479999999999</x:v>
      </x:c>
      <x:c r="AL89" s="65" t="n">
        <x:f>AK89/Q89</x:f>
        <x:v>0.7399984902172944</x:v>
      </x:c>
      <x:c r="AM89" s="64" t="n">
        <x:f>AK89/L89</x:f>
        <x:v>404.36199999999997</x:v>
      </x:c>
      <x:c r="AN89" s="66" t="str">
        <x:f>IF(AM89&lt;=200,"≤200K",IF(AM89&lt;=350,"200–350K",IF(AM89&lt;=500,"350–500K",IF(AM89&lt;=700,"500–700K","&gt;700K"))))</x:f>
        <x:v>350–500K</x:v>
      </x:c>
      <x:c r="AO89" s="64" t="n">
        <x:f>-ROUND(Q89*'Drivers'!R89,3)</x:f>
        <x:v>-831.844</x:v>
      </x:c>
      <x:c r="AP89" s="64" t="n">
        <x:f>-ROUND(AK89*'Drivers'!S89,3)</x:f>
        <x:v>-25.734</x:v>
      </x:c>
      <x:c r="AQ89" s="64" t="n">
        <x:f>-ROUND(AK89*'Drivers'!T89,3)</x:f>
        <x:v>-11.284</x:v>
      </x:c>
      <x:c r="AR89" s="64" t="n">
        <x:f>-ROUND(AK89*'Drivers'!U89,3)</x:f>
        <x:v>-13.25</x:v>
      </x:c>
      <x:c r="AS89" s="64" t="n">
        <x:f>-ROUND(AK89*'Drivers'!V89,3)</x:f>
        <x:v>-49.596</x:v>
      </x:c>
      <x:c r="AT89" s="64" t="n">
        <x:f>SUM(AO89:AS89)</x:f>
        <x:v>-931.7080000000001</x:v>
      </x:c>
      <x:c r="AU89" s="65" t="n">
        <x:f>AT89/AK89</x:f>
        <x:v>-0.5760358292816834</x:v>
      </x:c>
      <x:c r="AV89" s="64" t="n">
        <x:f>AK89+AT89</x:f>
        <x:v>685.7399999999998</x:v>
      </x:c>
      <x:c r="AW89" s="65" t="n">
        <x:f>AV89/AK89</x:f>
        <x:v>0.42396417071831666</x:v>
      </x:c>
      <x:c r="AX89" s="64" t="n">
        <x:f>-ROUND(AK89*'Drivers'!W89,3)</x:f>
        <x:v>-19.201</x:v>
      </x:c>
      <x:c r="AY89" s="64" t="n">
        <x:f>-ROUND(AK89*'Drivers'!X89,3)</x:f>
        <x:v>-37.512</x:v>
      </x:c>
      <x:c r="AZ89" s="64" t="n">
        <x:f>-ROUND(AK89*'Drivers'!Y89,3)</x:f>
        <x:v>-30.575</x:v>
      </x:c>
      <x:c r="BA89" s="64" t="n">
        <x:f>-ROUND(AK89*'Drivers'!Z89,3)</x:f>
        <x:v>-9.237</x:v>
      </x:c>
      <x:c r="BB89" s="64" t="n">
        <x:f>-ROUND(AK89*'Drivers'!AA89,3)</x:f>
        <x:v>-11.921</x:v>
      </x:c>
      <x:c r="BC89" s="64" t="n">
        <x:f>SUM(BA89,BB89)</x:f>
        <x:v>-21.158</x:v>
      </x:c>
      <x:c r="BD89" s="64" t="n">
        <x:f>-ROUND(AK89*'Drivers'!AB89,3)</x:f>
        <x:v>-8.514</x:v>
      </x:c>
      <x:c r="BE89" s="64" t="n">
        <x:f>SUM(AX89:BB89,BD89)</x:f>
        <x:v>-116.96</x:v>
      </x:c>
      <x:c r="BF89" s="67" t="n">
        <x:f>'Drivers'!AF89</x:f>
        <x:v>9</x:v>
      </x:c>
      <x:c r="BG89" s="64" t="n">
        <x:f>BJ89</x:f>
        <x:v>-29.743</x:v>
      </x:c>
      <x:c r="BH89" s="64" t="n">
        <x:f>BE89/BF89</x:f>
        <x:v>-12.995555555555555</x:v>
      </x:c>
      <x:c r="BI89" s="68" t="n">
        <x:f>BF89/L89</x:f>
        <x:v>2.25</x:v>
      </x:c>
      <x:c r="BJ89" s="64" t="n">
        <x:f>-ROUND(AK89*'Drivers'!AC89,3)</x:f>
        <x:v>-29.743</x:v>
      </x:c>
      <x:c r="BK89" s="64" t="n">
        <x:f>-ROUND(AK89*'Drivers'!AD89,3)</x:f>
        <x:v>-146.501</x:v>
      </x:c>
      <x:c r="BL89" s="64" t="n">
        <x:f>SUM(AV89,BE89,BJ89,BK89)</x:f>
        <x:v>392.5359999999997</x:v>
      </x:c>
      <x:c r="BM89" s="65" t="n">
        <x:f>BL89/AK89</x:f>
        <x:v>0.24268848210267022</x:v>
      </x:c>
      <x:c r="BN89" s="64" t="n">
        <x:f>-ROUND(AK89*'Drivers'!AE89,3)</x:f>
        <x:v>-108.548</x:v>
      </x:c>
      <x:c r="BO89" s="64" t="n">
        <x:f>BL89+BN89</x:f>
        <x:v>283.9879999999997</x:v>
      </x:c>
      <x:c r="BP89" s="65" t="n">
        <x:f>BO89/AK89</x:f>
        <x:v>0.17557782383112147</x:v>
      </x:c>
    </x:row>
    <x:row r="90">
      <x:c r="A90" s="61" t="n">
        <x:v>2025</x:v>
      </x:c>
      <x:c r="B90" s="18" t="str">
        <x:v>S1</x:v>
      </x:c>
      <x:c r="C90" s="18" t="str">
        <x:v>2025 S1</x:v>
      </x:c>
      <x:c r="D90" s="18" t="str">
        <x:v>CNCT0023</x:v>
      </x:c>
      <x:c r="E90" s="18" t="str">
        <x:v>广州正佳广场</x:v>
      </x:c>
      <x:c r="F90" s="18" t="str">
        <x:v>广州</x:v>
      </x:c>
      <x:c r="G90" s="18" t="str">
        <x:v>广东省</x:v>
      </x:c>
      <x:c r="H90" s="18" t="str">
        <x:v>南区</x:v>
      </x:c>
      <x:c r="I90" s="18" t="str">
        <x:v>Shopping Mall</x:v>
      </x:c>
      <x:c r="J90" s="18" t="str">
        <x:v>Core Shopping Center</x:v>
      </x:c>
      <x:c r="K90" s="18" t="str">
        <x:v>正常</x:v>
      </x:c>
      <x:c r="L90" s="62" t="n">
        <x:v>5</x:v>
      </x:c>
      <x:c r="M90" s="62" t="n">
        <x:v>44</x:v>
      </x:c>
      <x:c r="N90" s="63" t="n">
        <x:f>'Drivers'!C90</x:f>
        <x:v>1944</x:v>
      </x:c>
      <x:c r="O90" s="63" t="n">
        <x:f>'Drivers'!D90</x:f>
        <x:v>1098.453</x:v>
      </x:c>
      <x:c r="P90" s="64" t="n">
        <x:f>ROUND(N90*O90/1000,3)</x:f>
        <x:v>2135.393</x:v>
      </x:c>
      <x:c r="Q90" s="64" t="n">
        <x:f>ROUND(P90*'Drivers'!E90,3)</x:f>
        <x:v>2070.51</x:v>
      </x:c>
      <x:c r="R90" s="64" t="n">
        <x:f>-ROUND(Q90*'Drivers'!F90,3)</x:f>
        <x:v>-322.058</x:v>
      </x:c>
      <x:c r="S90" s="65" t="n">
        <x:f>R90/Q90</x:f>
        <x:v>-0.15554525213594717</x:v>
      </x:c>
      <x:c r="T90" s="64" t="n">
        <x:f>-ROUND(Q90*'Drivers'!G90,3)</x:f>
        <x:v>-34.143</x:v>
      </x:c>
      <x:c r="U90" s="65" t="n">
        <x:f>T90/Q90</x:f>
        <x:v>-0.01649014011040758</x:v>
      </x:c>
      <x:c r="V90" s="64" t="n">
        <x:f>-ROUND(Q90*'Drivers'!H90,3)</x:f>
        <x:v>-16.333</x:v>
      </x:c>
      <x:c r="W90" s="64" t="n">
        <x:f>-ROUND(Q90*'Drivers'!I90,3)</x:f>
        <x:v>-15.51</x:v>
      </x:c>
      <x:c r="X90" s="64" t="n">
        <x:f>-ROUND(Q90*'Drivers'!J90,3)</x:f>
        <x:v>-33.886</x:v>
      </x:c>
      <x:c r="Y90" s="64" t="n">
        <x:f>-ROUND(Q90*'Drivers'!K90,3)</x:f>
        <x:v>-17.84</x:v>
      </x:c>
      <x:c r="Z90" s="64" t="n">
        <x:f>-ROUND(Q90*'Drivers'!L90,3)</x:f>
        <x:v>-28.635</x:v>
      </x:c>
      <x:c r="AA90" s="64" t="n">
        <x:f>-ROUND(Q90*'Drivers'!M90,3)</x:f>
        <x:v>-19.895</x:v>
      </x:c>
      <x:c r="AB90" s="64" t="n">
        <x:f>-ROUND(Q90*'Drivers'!N90,3)</x:f>
        <x:v>-18.505</x:v>
      </x:c>
      <x:c r="AC90" s="64" t="n">
        <x:f>SUM(V90:AB90)</x:f>
        <x:v>-150.604</x:v>
      </x:c>
      <x:c r="AD90" s="65" t="n">
        <x:f>AC90/Q90</x:f>
        <x:v>-0.07273763468903796</x:v>
      </x:c>
      <x:c r="AE90" s="64" t="n">
        <x:f>-ROUND(Q90*'Drivers'!O90,3)</x:f>
        <x:v>-17.98</x:v>
      </x:c>
      <x:c r="AF90" s="65" t="n">
        <x:f>AE90/Q90</x:f>
        <x:v>-0.008683850838682255</x:v>
      </x:c>
      <x:c r="AG90" s="64" t="n">
        <x:f>-ROUND(Q90*'Drivers'!P90,3)</x:f>
        <x:v>-6</x:v>
      </x:c>
      <x:c r="AH90" s="64" t="n">
        <x:f>-ROUND(Q90*'Drivers'!Q90,3)</x:f>
        <x:v>-6.721</x:v>
      </x:c>
      <x:c r="AI90" s="64" t="n">
        <x:f>SUM(R90,T90,AC90,AE90,AG90,AH90)</x:f>
        <x:v>-537.5060000000001</x:v>
      </x:c>
      <x:c r="AJ90" s="65" t="n">
        <x:f>AI90/Q90</x:f>
        <x:v>-0.25960077468836185</x:v>
      </x:c>
      <x:c r="AK90" s="64" t="n">
        <x:f>Q90+AI90</x:f>
        <x:v>1533.0040000000001</x:v>
      </x:c>
      <x:c r="AL90" s="65" t="n">
        <x:f>AK90/Q90</x:f>
        <x:v>0.7403992253116382</x:v>
      </x:c>
      <x:c r="AM90" s="64" t="n">
        <x:f>AK90/L90</x:f>
        <x:v>306.60080000000005</x:v>
      </x:c>
      <x:c r="AN90" s="66" t="str">
        <x:f>IF(AM90&lt;=200,"≤200K",IF(AM90&lt;=350,"200–350K",IF(AM90&lt;=500,"350–500K",IF(AM90&lt;=700,"500–700K","&gt;700K"))))</x:f>
        <x:v>200–350K</x:v>
      </x:c>
      <x:c r="AO90" s="64" t="n">
        <x:f>-ROUND(Q90*'Drivers'!R90,3)</x:f>
        <x:v>-793.202</x:v>
      </x:c>
      <x:c r="AP90" s="64" t="n">
        <x:f>-ROUND(AK90*'Drivers'!S90,3)</x:f>
        <x:v>-23.342</x:v>
      </x:c>
      <x:c r="AQ90" s="64" t="n">
        <x:f>-ROUND(AK90*'Drivers'!T90,3)</x:f>
        <x:v>-7.72</x:v>
      </x:c>
      <x:c r="AR90" s="64" t="n">
        <x:f>-ROUND(AK90*'Drivers'!U90,3)</x:f>
        <x:v>-19.9</x:v>
      </x:c>
      <x:c r="AS90" s="64" t="n">
        <x:f>-ROUND(AK90*'Drivers'!V90,3)</x:f>
        <x:v>-49.14</x:v>
      </x:c>
      <x:c r="AT90" s="64" t="n">
        <x:f>SUM(AO90:AS90)</x:f>
        <x:v>-893.304</x:v>
      </x:c>
      <x:c r="AU90" s="65" t="n">
        <x:f>AT90/AK90</x:f>
        <x:v>-0.5827147222055519</x:v>
      </x:c>
      <x:c r="AV90" s="64" t="n">
        <x:f>AK90+AT90</x:f>
        <x:v>639.7000000000002</x:v>
      </x:c>
      <x:c r="AW90" s="65" t="n">
        <x:f>AV90/AK90</x:f>
        <x:v>0.4172852777944481</x:v>
      </x:c>
      <x:c r="AX90" s="64" t="n">
        <x:f>-ROUND(AK90*'Drivers'!W90,3)</x:f>
        <x:v>-22.335</x:v>
      </x:c>
      <x:c r="AY90" s="64" t="n">
        <x:f>-ROUND(AK90*'Drivers'!X90,3)</x:f>
        <x:v>-27.294</x:v>
      </x:c>
      <x:c r="AZ90" s="64" t="n">
        <x:f>-ROUND(AK90*'Drivers'!Y90,3)</x:f>
        <x:v>-32.736</x:v>
      </x:c>
      <x:c r="BA90" s="64" t="n">
        <x:f>-ROUND(AK90*'Drivers'!Z90,3)</x:f>
        <x:v>-8.631</x:v>
      </x:c>
      <x:c r="BB90" s="64" t="n">
        <x:f>-ROUND(AK90*'Drivers'!AA90,3)</x:f>
        <x:v>-12.697</x:v>
      </x:c>
      <x:c r="BC90" s="64" t="n">
        <x:f>SUM(BA90,BB90)</x:f>
        <x:v>-21.328</x:v>
      </x:c>
      <x:c r="BD90" s="64" t="n">
        <x:f>-ROUND(AK90*'Drivers'!AB90,3)</x:f>
        <x:v>-10.863</x:v>
      </x:c>
      <x:c r="BE90" s="64" t="n">
        <x:f>SUM(AX90:BB90,BD90)</x:f>
        <x:v>-114.55600000000001</x:v>
      </x:c>
      <x:c r="BF90" s="67" t="n">
        <x:f>'Drivers'!AF90</x:f>
        <x:v>8</x:v>
      </x:c>
      <x:c r="BG90" s="64" t="n">
        <x:f>BJ90</x:f>
        <x:v>-38.226</x:v>
      </x:c>
      <x:c r="BH90" s="64" t="n">
        <x:f>BE90/BF90</x:f>
        <x:v>-14.319500000000001</x:v>
      </x:c>
      <x:c r="BI90" s="68" t="n">
        <x:f>BF90/L90</x:f>
        <x:v>1.6</x:v>
      </x:c>
      <x:c r="BJ90" s="64" t="n">
        <x:f>-ROUND(AK90*'Drivers'!AC90,3)</x:f>
        <x:v>-38.226</x:v>
      </x:c>
      <x:c r="BK90" s="64" t="n">
        <x:f>-ROUND(AK90*'Drivers'!AD90,3)</x:f>
        <x:v>-152.694</x:v>
      </x:c>
      <x:c r="BL90" s="64" t="n">
        <x:f>SUM(AV90,BE90,BJ90,BK90)</x:f>
        <x:v>334.22400000000016</x:v>
      </x:c>
      <x:c r="BM90" s="65" t="n">
        <x:f>BL90/AK90</x:f>
        <x:v>0.21801900060273824</x:v>
      </x:c>
      <x:c r="BN90" s="64" t="n">
        <x:f>-ROUND(AK90*'Drivers'!AE90,3)</x:f>
        <x:v>-124.21</x:v>
      </x:c>
      <x:c r="BO90" s="64" t="n">
        <x:f>BL90+BN90</x:f>
        <x:v>210.01400000000018</x:v>
      </x:c>
      <x:c r="BP90" s="65" t="n">
        <x:f>BO90/AK90</x:f>
        <x:v>0.13699507633378658</x:v>
      </x:c>
    </x:row>
    <x:row r="91">
      <x:c r="A91" s="61" t="n">
        <x:v>2025</x:v>
      </x:c>
      <x:c r="B91" s="18" t="str">
        <x:v>S2</x:v>
      </x:c>
      <x:c r="C91" s="18" t="str">
        <x:v>2025 S2</x:v>
      </x:c>
      <x:c r="D91" s="18" t="str">
        <x:v>CNCT0023</x:v>
      </x:c>
      <x:c r="E91" s="18" t="str">
        <x:v>广州正佳广场</x:v>
      </x:c>
      <x:c r="F91" s="18" t="str">
        <x:v>广州</x:v>
      </x:c>
      <x:c r="G91" s="18" t="str">
        <x:v>广东省</x:v>
      </x:c>
      <x:c r="H91" s="18" t="str">
        <x:v>南区</x:v>
      </x:c>
      <x:c r="I91" s="18" t="str">
        <x:v>Shopping Mall</x:v>
      </x:c>
      <x:c r="J91" s="18" t="str">
        <x:v>Core Shopping Center</x:v>
      </x:c>
      <x:c r="K91" s="18" t="str">
        <x:v>正常</x:v>
      </x:c>
      <x:c r="L91" s="62" t="n">
        <x:v>5</x:v>
      </x:c>
      <x:c r="M91" s="62" t="n">
        <x:v>44</x:v>
      </x:c>
      <x:c r="N91" s="63" t="n">
        <x:f>'Drivers'!C91</x:f>
        <x:v>2102</x:v>
      </x:c>
      <x:c r="O91" s="63" t="n">
        <x:f>'Drivers'!D91</x:f>
        <x:v>1111.634</x:v>
      </x:c>
      <x:c r="P91" s="64" t="n">
        <x:f>ROUND(N91*O91/1000,3)</x:f>
        <x:v>2336.655</x:v>
      </x:c>
      <x:c r="Q91" s="64" t="n">
        <x:f>ROUND(P91*'Drivers'!E91,3)</x:f>
        <x:v>2248.045</x:v>
      </x:c>
      <x:c r="R91" s="64" t="n">
        <x:f>-ROUND(Q91*'Drivers'!F91,3)</x:f>
        <x:v>-349.673</x:v>
      </x:c>
      <x:c r="S91" s="65" t="n">
        <x:f>R91/Q91</x:f>
        <x:v>-0.15554537386929532</x:v>
      </x:c>
      <x:c r="T91" s="64" t="n">
        <x:f>-ROUND(Q91*'Drivers'!G91,3)</x:f>
        <x:v>-37.07</x:v>
      </x:c>
      <x:c r="U91" s="65" t="n">
        <x:f>T91/Q91</x:f>
        <x:v>-0.016489883432048734</x:v>
      </x:c>
      <x:c r="V91" s="64" t="n">
        <x:f>-ROUND(Q91*'Drivers'!H91,3)</x:f>
        <x:v>-17.733</x:v>
      </x:c>
      <x:c r="W91" s="64" t="n">
        <x:f>-ROUND(Q91*'Drivers'!I91,3)</x:f>
        <x:v>-16.84</x:v>
      </x:c>
      <x:c r="X91" s="64" t="n">
        <x:f>-ROUND(Q91*'Drivers'!J91,3)</x:f>
        <x:v>-36.791</x:v>
      </x:c>
      <x:c r="Y91" s="64" t="n">
        <x:f>-ROUND(Q91*'Drivers'!K91,3)</x:f>
        <x:v>-19.369</x:v>
      </x:c>
      <x:c r="Z91" s="64" t="n">
        <x:f>-ROUND(Q91*'Drivers'!L91,3)</x:f>
        <x:v>-31.09</x:v>
      </x:c>
      <x:c r="AA91" s="64" t="n">
        <x:f>-ROUND(Q91*'Drivers'!M91,3)</x:f>
        <x:v>-21.601</x:v>
      </x:c>
      <x:c r="AB91" s="64" t="n">
        <x:f>-ROUND(Q91*'Drivers'!N91,3)</x:f>
        <x:v>-20.091</x:v>
      </x:c>
      <x:c r="AC91" s="64" t="n">
        <x:f>SUM(V91:AB91)</x:f>
        <x:v>-163.51500000000001</x:v>
      </x:c>
      <x:c r="AD91" s="65" t="n">
        <x:f>AC91/Q91</x:f>
        <x:v>-0.07273653329893308</x:v>
      </x:c>
      <x:c r="AE91" s="64" t="n">
        <x:f>-ROUND(Q91*'Drivers'!O91,3)</x:f>
        <x:v>-19.522</x:v>
      </x:c>
      <x:c r="AF91" s="65" t="n">
        <x:f>AE91/Q91</x:f>
        <x:v>-0.008683989866750888</x:v>
      </x:c>
      <x:c r="AG91" s="64" t="n">
        <x:f>-ROUND(Q91*'Drivers'!P91,3)</x:f>
        <x:v>-6.514</x:v>
      </x:c>
      <x:c r="AH91" s="64" t="n">
        <x:f>-ROUND(Q91*'Drivers'!Q91,3)</x:f>
        <x:v>-7.298</x:v>
      </x:c>
      <x:c r="AI91" s="64" t="n">
        <x:f>SUM(R91,T91,AC91,AE91,AG91,AH91)</x:f>
        <x:v>-583.5920000000001</x:v>
      </x:c>
      <x:c r="AJ91" s="65" t="n">
        <x:f>AI91/Q91</x:f>
        <x:v>-0.2595997855914806</x:v>
      </x:c>
      <x:c r="AK91" s="64" t="n">
        <x:f>Q91+AI91</x:f>
        <x:v>1664.453</x:v>
      </x:c>
      <x:c r="AL91" s="65" t="n">
        <x:f>AK91/Q91</x:f>
        <x:v>0.7404002144085193</x:v>
      </x:c>
      <x:c r="AM91" s="64" t="n">
        <x:f>AK91/L91</x:f>
        <x:v>332.8906</x:v>
      </x:c>
      <x:c r="AN91" s="66" t="str">
        <x:f>IF(AM91&lt;=200,"≤200K",IF(AM91&lt;=350,"200–350K",IF(AM91&lt;=500,"350–500K",IF(AM91&lt;=700,"500–700K","&gt;700K"))))</x:f>
        <x:v>200–350K</x:v>
      </x:c>
      <x:c r="AO91" s="64" t="n">
        <x:f>-ROUND(Q91*'Drivers'!R91,3)</x:f>
        <x:v>-877.323</x:v>
      </x:c>
      <x:c r="AP91" s="64" t="n">
        <x:f>-ROUND(AK91*'Drivers'!S91,3)</x:f>
        <x:v>-25.344</x:v>
      </x:c>
      <x:c r="AQ91" s="64" t="n">
        <x:f>-ROUND(AK91*'Drivers'!T91,3)</x:f>
        <x:v>-8.382</x:v>
      </x:c>
      <x:c r="AR91" s="64" t="n">
        <x:f>-ROUND(AK91*'Drivers'!U91,3)</x:f>
        <x:v>-21.606</x:v>
      </x:c>
      <x:c r="AS91" s="64" t="n">
        <x:f>-ROUND(AK91*'Drivers'!V91,3)</x:f>
        <x:v>-53.354</x:v>
      </x:c>
      <x:c r="AT91" s="64" t="n">
        <x:f>SUM(AO91:AS91)</x:f>
        <x:v>-986.009</x:v>
      </x:c>
      <x:c r="AU91" s="65" t="n">
        <x:f>AT91/AK91</x:f>
        <x:v>-0.5923922153404152</x:v>
      </x:c>
      <x:c r="AV91" s="64" t="n">
        <x:f>AK91+AT91</x:f>
        <x:v>678.444</x:v>
      </x:c>
      <x:c r="AW91" s="65" t="n">
        <x:f>AV91/AK91</x:f>
        <x:v>0.40760778465958486</x:v>
      </x:c>
      <x:c r="AX91" s="64" t="n">
        <x:f>-ROUND(AK91*'Drivers'!W91,3)</x:f>
        <x:v>-24.25</x:v>
      </x:c>
      <x:c r="AY91" s="64" t="n">
        <x:f>-ROUND(AK91*'Drivers'!X91,3)</x:f>
        <x:v>-29.634</x:v>
      </x:c>
      <x:c r="AZ91" s="64" t="n">
        <x:f>-ROUND(AK91*'Drivers'!Y91,3)</x:f>
        <x:v>-35.543</x:v>
      </x:c>
      <x:c r="BA91" s="64" t="n">
        <x:f>-ROUND(AK91*'Drivers'!Z91,3)</x:f>
        <x:v>-9.371</x:v>
      </x:c>
      <x:c r="BB91" s="64" t="n">
        <x:f>-ROUND(AK91*'Drivers'!AA91,3)</x:f>
        <x:v>-13.786</x:v>
      </x:c>
      <x:c r="BC91" s="64" t="n">
        <x:f>SUM(BA91,BB91)</x:f>
        <x:v>-23.157</x:v>
      </x:c>
      <x:c r="BD91" s="64" t="n">
        <x:f>-ROUND(AK91*'Drivers'!AB91,3)</x:f>
        <x:v>-11.795</x:v>
      </x:c>
      <x:c r="BE91" s="64" t="n">
        <x:f>SUM(AX91:BB91,BD91)</x:f>
        <x:v>-124.37899999999999</x:v>
      </x:c>
      <x:c r="BF91" s="67" t="n">
        <x:f>'Drivers'!AF91</x:f>
        <x:v>8</x:v>
      </x:c>
      <x:c r="BG91" s="64" t="n">
        <x:f>BJ91</x:f>
        <x:v>-41.504</x:v>
      </x:c>
      <x:c r="BH91" s="64" t="n">
        <x:f>BE91/BF91</x:f>
        <x:v>-15.547374999999999</x:v>
      </x:c>
      <x:c r="BI91" s="68" t="n">
        <x:f>BF91/L91</x:f>
        <x:v>1.6</x:v>
      </x:c>
      <x:c r="BJ91" s="64" t="n">
        <x:f>-ROUND(AK91*'Drivers'!AC91,3)</x:f>
        <x:v>-41.504</x:v>
      </x:c>
      <x:c r="BK91" s="64" t="n">
        <x:f>-ROUND(AK91*'Drivers'!AD91,3)</x:f>
        <x:v>-165.787</x:v>
      </x:c>
      <x:c r="BL91" s="64" t="n">
        <x:f>SUM(AV91,BE91,BJ91,BK91)</x:f>
        <x:v>346.7739999999999</x:v>
      </x:c>
      <x:c r="BM91" s="65" t="n">
        <x:f>BL91/AK91</x:f>
        <x:v>0.20834111867382252</x:v>
      </x:c>
      <x:c r="BN91" s="64" t="n">
        <x:f>-ROUND(AK91*'Drivers'!AE91,3)</x:f>
        <x:v>-134.86</x:v>
      </x:c>
      <x:c r="BO91" s="64" t="n">
        <x:f>BL91+BN91</x:f>
        <x:v>211.91399999999987</x:v>
      </x:c>
      <x:c r="BP91" s="65" t="n">
        <x:f>BO91/AK91</x:f>
        <x:v>0.1273175031076275</x:v>
      </x:c>
    </x:row>
    <x:row r="92">
      <x:c r="A92" s="61" t="n">
        <x:v>2026</x:v>
      </x:c>
      <x:c r="B92" s="18" t="str">
        <x:v>S1</x:v>
      </x:c>
      <x:c r="C92" s="18" t="str">
        <x:v>2026 S1</x:v>
      </x:c>
      <x:c r="D92" s="18" t="str">
        <x:v>CNCT0023</x:v>
      </x:c>
      <x:c r="E92" s="18" t="str">
        <x:v>广州正佳广场</x:v>
      </x:c>
      <x:c r="F92" s="18" t="str">
        <x:v>广州</x:v>
      </x:c>
      <x:c r="G92" s="18" t="str">
        <x:v>广东省</x:v>
      </x:c>
      <x:c r="H92" s="18" t="str">
        <x:v>南区</x:v>
      </x:c>
      <x:c r="I92" s="18" t="str">
        <x:v>Shopping Mall</x:v>
      </x:c>
      <x:c r="J92" s="18" t="str">
        <x:v>Core Shopping Center</x:v>
      </x:c>
      <x:c r="K92" s="18" t="str">
        <x:v>正常</x:v>
      </x:c>
      <x:c r="L92" s="62" t="n">
        <x:v>5</x:v>
      </x:c>
      <x:c r="M92" s="62" t="n">
        <x:v>44</x:v>
      </x:c>
      <x:c r="N92" s="63" t="n">
        <x:f>'Drivers'!C92</x:f>
        <x:v>1925</x:v>
      </x:c>
      <x:c r="O92" s="63" t="n">
        <x:f>'Drivers'!D92</x:f>
        <x:v>1154.219</x:v>
      </x:c>
      <x:c r="P92" s="64" t="n">
        <x:f>ROUND(N92*O92/1000,3)</x:f>
        <x:v>2221.872</x:v>
      </x:c>
      <x:c r="Q92" s="64" t="n">
        <x:f>ROUND(P92*'Drivers'!E92,3)</x:f>
        <x:v>2154.25</x:v>
      </x:c>
      <x:c r="R92" s="64" t="n">
        <x:f>-ROUND(Q92*'Drivers'!F92,3)</x:f>
        <x:v>-343.731</x:v>
      </x:c>
      <x:c r="S92" s="65" t="n">
        <x:f>R92/Q92</x:f>
        <x:v>-0.15955947545549495</x:v>
      </x:c>
      <x:c r="T92" s="64" t="n">
        <x:f>-ROUND(Q92*'Drivers'!G92,3)</x:f>
        <x:v>-32.706</x:v>
      </x:c>
      <x:c r="U92" s="65" t="n">
        <x:f>T92/Q92</x:f>
        <x:v>-0.015182081931066498</x:v>
      </x:c>
      <x:c r="V92" s="64" t="n">
        <x:f>-ROUND(Q92*'Drivers'!H92,3)</x:f>
        <x:v>-16.993</x:v>
      </x:c>
      <x:c r="W92" s="64" t="n">
        <x:f>-ROUND(Q92*'Drivers'!I92,3)</x:f>
        <x:v>-16.137</x:v>
      </x:c>
      <x:c r="X92" s="64" t="n">
        <x:f>-ROUND(Q92*'Drivers'!J92,3)</x:f>
        <x:v>-35.256</x:v>
      </x:c>
      <x:c r="Y92" s="64" t="n">
        <x:f>-ROUND(Q92*'Drivers'!K92,3)</x:f>
        <x:v>-18.561</x:v>
      </x:c>
      <x:c r="Z92" s="64" t="n">
        <x:f>-ROUND(Q92*'Drivers'!L92,3)</x:f>
        <x:v>-29.793</x:v>
      </x:c>
      <x:c r="AA92" s="64" t="n">
        <x:f>-ROUND(Q92*'Drivers'!M92,3)</x:f>
        <x:v>-20.7</x:v>
      </x:c>
      <x:c r="AB92" s="64" t="n">
        <x:f>-ROUND(Q92*'Drivers'!N92,3)</x:f>
        <x:v>-19.253</x:v>
      </x:c>
      <x:c r="AC92" s="64" t="n">
        <x:f>SUM(V92:AB92)</x:f>
        <x:v>-156.69299999999998</x:v>
      </x:c>
      <x:c r="AD92" s="65" t="n">
        <x:f>AC92/Q92</x:f>
        <x:v>-0.07273668330045259</x:v>
      </x:c>
      <x:c r="AE92" s="64" t="n">
        <x:f>-ROUND(Q92*'Drivers'!O92,3)</x:f>
        <x:v>-22.848</x:v>
      </x:c>
      <x:c r="AF92" s="65" t="n">
        <x:f>AE92/Q92</x:f>
        <x:v>-0.010606011372867586</x:v>
      </x:c>
      <x:c r="AG92" s="64" t="n">
        <x:f>-ROUND(Q92*'Drivers'!P92,3)</x:f>
        <x:v>-6.242</x:v>
      </x:c>
      <x:c r="AH92" s="64" t="n">
        <x:f>-ROUND(Q92*'Drivers'!Q92,3)</x:f>
        <x:v>-6.993</x:v>
      </x:c>
      <x:c r="AI92" s="64" t="n">
        <x:f>SUM(R92,T92,AC92,AE92,AG92,AH92)</x:f>
        <x:v>-569.213</x:v>
      </x:c>
      <x:c r="AJ92" s="65" t="n">
        <x:f>AI92/Q92</x:f>
        <x:v>-0.2642279215504236</x:v>
      </x:c>
      <x:c r="AK92" s="64" t="n">
        <x:f>Q92+AI92</x:f>
        <x:v>1585.037</x:v>
      </x:c>
      <x:c r="AL92" s="65" t="n">
        <x:f>AK92/Q92</x:f>
        <x:v>0.7357720784495765</x:v>
      </x:c>
      <x:c r="AM92" s="64" t="n">
        <x:f>AK92/L92</x:f>
        <x:v>317.0074</x:v>
      </x:c>
      <x:c r="AN92" s="66" t="str">
        <x:f>IF(AM92&lt;=200,"≤200K",IF(AM92&lt;=350,"200–350K",IF(AM92&lt;=500,"350–500K",IF(AM92&lt;=700,"500–700K","&gt;700K"))))</x:f>
        <x:v>200–350K</x:v>
      </x:c>
      <x:c r="AO92" s="64" t="n">
        <x:f>-ROUND(Q92*'Drivers'!R92,3)</x:f>
        <x:v>-811.952</x:v>
      </x:c>
      <x:c r="AP92" s="64" t="n">
        <x:f>-ROUND(AK92*'Drivers'!S92,3)</x:f>
        <x:v>-24.135</x:v>
      </x:c>
      <x:c r="AQ92" s="64" t="n">
        <x:f>-ROUND(AK92*'Drivers'!T92,3)</x:f>
        <x:v>-7.982</x:v>
      </x:c>
      <x:c r="AR92" s="64" t="n">
        <x:f>-ROUND(AK92*'Drivers'!U92,3)</x:f>
        <x:v>-20.575</x:v>
      </x:c>
      <x:c r="AS92" s="64" t="n">
        <x:f>-ROUND(AK92*'Drivers'!V92,3)</x:f>
        <x:v>-50.808</x:v>
      </x:c>
      <x:c r="AT92" s="64" t="n">
        <x:f>SUM(AO92:AS92)</x:f>
        <x:v>-915.452</x:v>
      </x:c>
      <x:c r="AU92" s="65" t="n">
        <x:f>AT92/AK92</x:f>
        <x:v>-0.5775587573034573</x:v>
      </x:c>
      <x:c r="AV92" s="64" t="n">
        <x:f>AK92+AT92</x:f>
        <x:v>669.585</x:v>
      </x:c>
      <x:c r="AW92" s="65" t="n">
        <x:f>AV92/AK92</x:f>
        <x:v>0.42244124269654276</x:v>
      </x:c>
      <x:c r="AX92" s="64" t="n">
        <x:f>-ROUND(AK92*'Drivers'!W92,3)</x:f>
        <x:v>-28.415</x:v>
      </x:c>
      <x:c r="AY92" s="64" t="n">
        <x:f>-ROUND(AK92*'Drivers'!X92,3)</x:f>
        <x:v>-34.723</x:v>
      </x:c>
      <x:c r="AZ92" s="64" t="n">
        <x:f>-ROUND(AK92*'Drivers'!Y92,3)</x:f>
        <x:v>-41.647</x:v>
      </x:c>
      <x:c r="BA92" s="64" t="n">
        <x:f>-ROUND(AK92*'Drivers'!Z92,3)</x:f>
        <x:v>-10.981</x:v>
      </x:c>
      <x:c r="BB92" s="64" t="n">
        <x:f>-ROUND(AK92*'Drivers'!AA92,3)</x:f>
        <x:v>-16.153</x:v>
      </x:c>
      <x:c r="BC92" s="64" t="n">
        <x:f>SUM(BA92,BB92)</x:f>
        <x:v>-27.134</x:v>
      </x:c>
      <x:c r="BD92" s="64" t="n">
        <x:f>-ROUND(AK92*'Drivers'!AB92,3)</x:f>
        <x:v>-13.821</x:v>
      </x:c>
      <x:c r="BE92" s="64" t="n">
        <x:f>SUM(AX92:BB92,BD92)</x:f>
        <x:v>-145.73999999999998</x:v>
      </x:c>
      <x:c r="BF92" s="67" t="n">
        <x:f>'Drivers'!AF92</x:f>
        <x:v>8</x:v>
      </x:c>
      <x:c r="BG92" s="64" t="n">
        <x:f>BJ92</x:f>
        <x:v>-48.632</x:v>
      </x:c>
      <x:c r="BH92" s="64" t="n">
        <x:f>BE92/BF92</x:f>
        <x:v>-18.217499999999998</x:v>
      </x:c>
      <x:c r="BI92" s="68" t="n">
        <x:f>BF92/L92</x:f>
        <x:v>1.6</x:v>
      </x:c>
      <x:c r="BJ92" s="64" t="n">
        <x:f>-ROUND(AK92*'Drivers'!AC92,3)</x:f>
        <x:v>-48.632</x:v>
      </x:c>
      <x:c r="BK92" s="64" t="n">
        <x:f>-ROUND(AK92*'Drivers'!AD92,3)</x:f>
        <x:v>-157.877</x:v>
      </x:c>
      <x:c r="BL92" s="64" t="n">
        <x:f>SUM(AV92,BE92,BJ92,BK92)</x:f>
        <x:v>317.336</x:v>
      </x:c>
      <x:c r="BM92" s="65" t="n">
        <x:f>BL92/AK92</x:f>
        <x:v>0.20020731377248607</x:v>
      </x:c>
      <x:c r="BN92" s="64" t="n">
        <x:f>-ROUND(AK92*'Drivers'!AE92,3)</x:f>
        <x:v>-128.426</x:v>
      </x:c>
      <x:c r="BO92" s="64" t="n">
        <x:f>BL92+BN92</x:f>
        <x:v>188.91000000000003</x:v>
      </x:c>
      <x:c r="BP92" s="65" t="n">
        <x:f>BO92/AK92</x:f>
        <x:v>0.11918333767602902</x:v>
      </x:c>
    </x:row>
    <x:row r="93">
      <x:c r="A93" s="61" t="n">
        <x:v>2026</x:v>
      </x:c>
      <x:c r="B93" s="18" t="str">
        <x:v>S2</x:v>
      </x:c>
      <x:c r="C93" s="18" t="str">
        <x:v>2026 S2</x:v>
      </x:c>
      <x:c r="D93" s="18" t="str">
        <x:v>CNCT0023</x:v>
      </x:c>
      <x:c r="E93" s="18" t="str">
        <x:v>广州正佳广场</x:v>
      </x:c>
      <x:c r="F93" s="18" t="str">
        <x:v>广州</x:v>
      </x:c>
      <x:c r="G93" s="18" t="str">
        <x:v>广东省</x:v>
      </x:c>
      <x:c r="H93" s="18" t="str">
        <x:v>南区</x:v>
      </x:c>
      <x:c r="I93" s="18" t="str">
        <x:v>Shopping Mall</x:v>
      </x:c>
      <x:c r="J93" s="18" t="str">
        <x:v>Core Shopping Center</x:v>
      </x:c>
      <x:c r="K93" s="18" t="str">
        <x:v>正常</x:v>
      </x:c>
      <x:c r="L93" s="62" t="n">
        <x:v>5</x:v>
      </x:c>
      <x:c r="M93" s="62" t="n">
        <x:v>43</x:v>
      </x:c>
      <x:c r="N93" s="63" t="n">
        <x:f>'Drivers'!C93</x:f>
        <x:v>2160</x:v>
      </x:c>
      <x:c r="O93" s="63" t="n">
        <x:f>'Drivers'!D93</x:f>
        <x:v>1143.454</x:v>
      </x:c>
      <x:c r="P93" s="64" t="n">
        <x:f>ROUND(N93*O93/1000,3)</x:f>
        <x:v>2469.861</x:v>
      </x:c>
      <x:c r="Q93" s="64" t="n">
        <x:f>ROUND(P93*'Drivers'!E93,3)</x:f>
        <x:v>2376.2</x:v>
      </x:c>
      <x:c r="R93" s="64" t="n">
        <x:f>-ROUND(Q93*'Drivers'!F93,3)</x:f>
        <x:v>-357.999</x:v>
      </x:c>
      <x:c r="S93" s="65" t="n">
        <x:f>R93/Q93</x:f>
        <x:v>-0.15066029795471764</x:v>
      </x:c>
      <x:c r="T93" s="64" t="n">
        <x:f>-ROUND(Q93*'Drivers'!G93,3)</x:f>
        <x:v>-40.367</x:v>
      </x:c>
      <x:c r="U93" s="65" t="n">
        <x:f>T93/Q93</x:f>
        <x:v>-0.016988048144095616</x:v>
      </x:c>
      <x:c r="V93" s="64" t="n">
        <x:f>-ROUND(Q93*'Drivers'!H93,3)</x:f>
        <x:v>-18.744</x:v>
      </x:c>
      <x:c r="W93" s="64" t="n">
        <x:f>-ROUND(Q93*'Drivers'!I93,3)</x:f>
        <x:v>-17.8</x:v>
      </x:c>
      <x:c r="X93" s="64" t="n">
        <x:f>-ROUND(Q93*'Drivers'!J93,3)</x:f>
        <x:v>-38.889</x:v>
      </x:c>
      <x:c r="Y93" s="64" t="n">
        <x:f>-ROUND(Q93*'Drivers'!K93,3)</x:f>
        <x:v>-20.473</x:v>
      </x:c>
      <x:c r="Z93" s="64" t="n">
        <x:f>-ROUND(Q93*'Drivers'!L93,3)</x:f>
        <x:v>-32.862</x:v>
      </x:c>
      <x:c r="AA93" s="64" t="n">
        <x:f>-ROUND(Q93*'Drivers'!M93,3)</x:f>
        <x:v>-22.833</x:v>
      </x:c>
      <x:c r="AB93" s="64" t="n">
        <x:f>-ROUND(Q93*'Drivers'!N93,3)</x:f>
        <x:v>-21.237</x:v>
      </x:c>
      <x:c r="AC93" s="64" t="n">
        <x:f>SUM(V93:AB93)</x:f>
        <x:v>-172.838</x:v>
      </x:c>
      <x:c r="AD93" s="65" t="n">
        <x:f>AC93/Q93</x:f>
        <x:v>-0.07273714333810286</x:v>
      </x:c>
      <x:c r="AE93" s="64" t="n">
        <x:f>-ROUND(Q93*'Drivers'!O93,3)</x:f>
        <x:v>-20.635</x:v>
      </x:c>
      <x:c r="AF93" s="65" t="n">
        <x:f>AE93/Q93</x:f>
        <x:v>-0.008684033330527734</x:v>
      </x:c>
      <x:c r="AG93" s="64" t="n">
        <x:f>-ROUND(Q93*'Drivers'!P93,3)</x:f>
        <x:v>-6.885</x:v>
      </x:c>
      <x:c r="AH93" s="64" t="n">
        <x:f>-ROUND(Q93*'Drivers'!Q93,3)</x:f>
        <x:v>-7.714</x:v>
      </x:c>
      <x:c r="AI93" s="64" t="n">
        <x:f>SUM(R93,T93,AC93,AE93,AG93,AH93)</x:f>
        <x:v>-606.4380000000001</x:v>
      </x:c>
      <x:c r="AJ93" s="65" t="n">
        <x:f>AI93/Q93</x:f>
        <x:v>-0.25521336587829313</x:v>
      </x:c>
      <x:c r="AK93" s="64" t="n">
        <x:f>Q93+AI93</x:f>
        <x:v>1769.7619999999997</x:v>
      </x:c>
      <x:c r="AL93" s="65" t="n">
        <x:f>AK93/Q93</x:f>
        <x:v>0.7447866341217069</x:v>
      </x:c>
      <x:c r="AM93" s="64" t="n">
        <x:f>AK93/L93</x:f>
        <x:v>353.95239999999995</x:v>
      </x:c>
      <x:c r="AN93" s="66" t="str">
        <x:f>IF(AM93&lt;=200,"≤200K",IF(AM93&lt;=350,"200–350K",IF(AM93&lt;=500,"350–500K",IF(AM93&lt;=700,"500–700K","&gt;700K"))))</x:f>
        <x:v>350–500K</x:v>
      </x:c>
      <x:c r="AO93" s="64" t="n">
        <x:f>-ROUND(Q93*'Drivers'!R93,3)</x:f>
        <x:v>-932.369</x:v>
      </x:c>
      <x:c r="AP93" s="64" t="n">
        <x:f>-ROUND(AK93*'Drivers'!S93,3)</x:f>
        <x:v>-26.947</x:v>
      </x:c>
      <x:c r="AQ93" s="64" t="n">
        <x:f>-ROUND(AK93*'Drivers'!T93,3)</x:f>
        <x:v>-8.912</x:v>
      </x:c>
      <x:c r="AR93" s="64" t="n">
        <x:f>-ROUND(AK93*'Drivers'!U93,3)</x:f>
        <x:v>-22.973</x:v>
      </x:c>
      <x:c r="AS93" s="64" t="n">
        <x:f>-ROUND(AK93*'Drivers'!V93,3)</x:f>
        <x:v>-56.73</x:v>
      </x:c>
      <x:c r="AT93" s="64" t="n">
        <x:f>SUM(AO93:AS93)</x:f>
        <x:v>-1047.931</x:v>
      </x:c>
      <x:c r="AU93" s="65" t="n">
        <x:f>AT93/AK93</x:f>
        <x:v>-0.5921310323082992</x:v>
      </x:c>
      <x:c r="AV93" s="64" t="n">
        <x:f>AK93+AT93</x:f>
        <x:v>721.8309999999997</x:v>
      </x:c>
      <x:c r="AW93" s="65" t="n">
        <x:f>AV93/AK93</x:f>
        <x:v>0.4078689676917008</x:v>
      </x:c>
      <x:c r="AX93" s="64" t="n">
        <x:f>-ROUND(AK93*'Drivers'!W93,3)</x:f>
        <x:v>-27.332</x:v>
      </x:c>
      <x:c r="AY93" s="64" t="n">
        <x:f>-ROUND(AK93*'Drivers'!X93,3)</x:f>
        <x:v>-33.399</x:v>
      </x:c>
      <x:c r="AZ93" s="64" t="n">
        <x:f>-ROUND(AK93*'Drivers'!Y93,3)</x:f>
        <x:v>-40.059</x:v>
      </x:c>
      <x:c r="BA93" s="64" t="n">
        <x:f>-ROUND(AK93*'Drivers'!Z93,3)</x:f>
        <x:v>-10.562</x:v>
      </x:c>
      <x:c r="BB93" s="64" t="n">
        <x:f>-ROUND(AK93*'Drivers'!AA93,3)</x:f>
        <x:v>-15.537</x:v>
      </x:c>
      <x:c r="BC93" s="64" t="n">
        <x:f>SUM(BA93,BB93)</x:f>
        <x:v>-26.099</x:v>
      </x:c>
      <x:c r="BD93" s="64" t="n">
        <x:f>-ROUND(AK93*'Drivers'!AB93,3)</x:f>
        <x:v>-13.294</x:v>
      </x:c>
      <x:c r="BE93" s="64" t="n">
        <x:f>SUM(AX93:BB93,BD93)</x:f>
        <x:v>-140.183</x:v>
      </x:c>
      <x:c r="BF93" s="67" t="n">
        <x:f>'Drivers'!AF93</x:f>
        <x:v>8</x:v>
      </x:c>
      <x:c r="BG93" s="64" t="n">
        <x:f>BJ93</x:f>
        <x:v>-46.777</x:v>
      </x:c>
      <x:c r="BH93" s="64" t="n">
        <x:f>BE93/BF93</x:f>
        <x:v>-17.522875</x:v>
      </x:c>
      <x:c r="BI93" s="68" t="n">
        <x:f>BF93/L93</x:f>
        <x:v>1.6</x:v>
      </x:c>
      <x:c r="BJ93" s="64" t="n">
        <x:f>-ROUND(AK93*'Drivers'!AC93,3)</x:f>
        <x:v>-46.777</x:v>
      </x:c>
      <x:c r="BK93" s="64" t="n">
        <x:f>-ROUND(AK93*'Drivers'!AD93,3)</x:f>
        <x:v>-176.276</x:v>
      </x:c>
      <x:c r="BL93" s="64" t="n">
        <x:f>SUM(AV93,BE93,BJ93,BK93)</x:f>
        <x:v>358.59499999999963</x:v>
      </x:c>
      <x:c r="BM93" s="65" t="n">
        <x:f>BL93/AK93</x:f>
        <x:v>0.2026232905893559</x:v>
      </x:c>
      <x:c r="BN93" s="64" t="n">
        <x:f>-ROUND(AK93*'Drivers'!AE93,3)</x:f>
        <x:v>-143.393</x:v>
      </x:c>
      <x:c r="BO93" s="64" t="n">
        <x:f>BL93+BN93</x:f>
        <x:v>215.20199999999963</x:v>
      </x:c>
      <x:c r="BP93" s="65" t="n">
        <x:f>BO93/AK93</x:f>
        <x:v>0.12159940150144463</x:v>
      </x:c>
    </x:row>
    <x:row r="94">
      <x:c r="A94" s="61" t="n">
        <x:v>2025</x:v>
      </x:c>
      <x:c r="B94" s="18" t="str">
        <x:v>S1</x:v>
      </x:c>
      <x:c r="C94" s="18" t="str">
        <x:v>2025 S1</x:v>
      </x:c>
      <x:c r="D94" s="18" t="str">
        <x:v>CNCT0024</x:v>
      </x:c>
      <x:c r="E94" s="18" t="str">
        <x:v>广州万菱汇</x:v>
      </x:c>
      <x:c r="F94" s="18" t="str">
        <x:v>广州</x:v>
      </x:c>
      <x:c r="G94" s="18" t="str">
        <x:v>广东省</x:v>
      </x:c>
      <x:c r="H94" s="18" t="str">
        <x:v>南区</x:v>
      </x:c>
      <x:c r="I94" s="18" t="str">
        <x:v>Shopping Mall</x:v>
      </x:c>
      <x:c r="J94" s="18" t="str">
        <x:v>Core Shopping Center</x:v>
      </x:c>
      <x:c r="K94" s="18" t="str">
        <x:v>正常</x:v>
      </x:c>
      <x:c r="L94" s="62" t="n">
        <x:v>6</x:v>
      </x:c>
      <x:c r="M94" s="62" t="n">
        <x:v>44</x:v>
      </x:c>
      <x:c r="N94" s="63" t="n">
        <x:f>'Drivers'!C94</x:f>
        <x:v>2474</x:v>
      </x:c>
      <x:c r="O94" s="63" t="n">
        <x:f>'Drivers'!D94</x:f>
        <x:v>1121.212</x:v>
      </x:c>
      <x:c r="P94" s="64" t="n">
        <x:f>ROUND(N94*O94/1000,3)</x:f>
        <x:v>2773.878</x:v>
      </x:c>
      <x:c r="Q94" s="64" t="n">
        <x:f>ROUND(P94*'Drivers'!E94,3)</x:f>
        <x:v>2705.584</x:v>
      </x:c>
      <x:c r="R94" s="64" t="n">
        <x:f>-ROUND(Q94*'Drivers'!F94,3)</x:f>
        <x:v>-531.821</x:v>
      </x:c>
      <x:c r="S94" s="65" t="n">
        <x:f>R94/Q94</x:f>
        <x:v>-0.19656421681973285</x:v>
      </x:c>
      <x:c r="T94" s="64" t="n">
        <x:f>-ROUND(Q94*'Drivers'!G94,3)</x:f>
        <x:v>-45.893</x:v>
      </x:c>
      <x:c r="U94" s="65" t="n">
        <x:f>T94/Q94</x:f>
        <x:v>-0.01696232680264224</x:v>
      </x:c>
      <x:c r="V94" s="64" t="n">
        <x:f>-ROUND(Q94*'Drivers'!H94,3)</x:f>
        <x:v>-28.682</x:v>
      </x:c>
      <x:c r="W94" s="64" t="n">
        <x:f>-ROUND(Q94*'Drivers'!I94,3)</x:f>
        <x:v>-20.073</x:v>
      </x:c>
      <x:c r="X94" s="64" t="n">
        <x:f>-ROUND(Q94*'Drivers'!J94,3)</x:f>
        <x:v>-30.553</x:v>
      </x:c>
      <x:c r="Y94" s="64" t="n">
        <x:f>-ROUND(Q94*'Drivers'!K94,3)</x:f>
        <x:v>-31.219</x:v>
      </x:c>
      <x:c r="Z94" s="64" t="n">
        <x:f>-ROUND(Q94*'Drivers'!L94,3)</x:f>
        <x:v>-26.346</x:v>
      </x:c>
      <x:c r="AA94" s="64" t="n">
        <x:f>-ROUND(Q94*'Drivers'!M94,3)</x:f>
        <x:v>-22.957</x:v>
      </x:c>
      <x:c r="AB94" s="64" t="n">
        <x:f>-ROUND(Q94*'Drivers'!N94,3)</x:f>
        <x:v>-20.376</x:v>
      </x:c>
      <x:c r="AC94" s="64" t="n">
        <x:f>SUM(V94:AB94)</x:f>
        <x:v>-180.206</x:v>
      </x:c>
      <x:c r="AD94" s="65" t="n">
        <x:f>AC94/Q94</x:f>
        <x:v>-0.06660521351397702</x:v>
      </x:c>
      <x:c r="AE94" s="64" t="n">
        <x:f>-ROUND(Q94*'Drivers'!O94,3)</x:f>
        <x:v>-35.07</x:v>
      </x:c>
      <x:c r="AF94" s="65" t="n">
        <x:f>AE94/Q94</x:f>
        <x:v>-0.01296208138427785</x:v>
      </x:c>
      <x:c r="AG94" s="64" t="n">
        <x:f>-ROUND(Q94*'Drivers'!P94,3)</x:f>
        <x:v>-3.749</x:v>
      </x:c>
      <x:c r="AH94" s="64" t="n">
        <x:f>-ROUND(Q94*'Drivers'!Q94,3)</x:f>
        <x:v>-7.062</x:v>
      </x:c>
      <x:c r="AI94" s="64" t="n">
        <x:f>SUM(R94,T94,AC94,AE94,AG94,AH94)</x:f>
        <x:v>-803.8010000000002</x:v>
      </x:c>
      <x:c r="AJ94" s="65" t="n">
        <x:f>AI94/Q94</x:f>
        <x:v>-0.29708964866734877</x:v>
      </x:c>
      <x:c r="AK94" s="64" t="n">
        <x:f>Q94+AI94</x:f>
        <x:v>1901.7829999999997</x:v>
      </x:c>
      <x:c r="AL94" s="65" t="n">
        <x:f>AK94/Q94</x:f>
        <x:v>0.7029103513326512</x:v>
      </x:c>
      <x:c r="AM94" s="64" t="n">
        <x:f>AK94/L94</x:f>
        <x:v>316.9638333333333</x:v>
      </x:c>
      <x:c r="AN94" s="66" t="str">
        <x:f>IF(AM94&lt;=200,"≤200K",IF(AM94&lt;=350,"200–350K",IF(AM94&lt;=500,"350–500K",IF(AM94&lt;=700,"500–700K","&gt;700K"))))</x:f>
        <x:v>200–350K</x:v>
      </x:c>
      <x:c r="AO94" s="64" t="n">
        <x:f>-ROUND(Q94*'Drivers'!R94,3)</x:f>
        <x:v>-988.822</x:v>
      </x:c>
      <x:c r="AP94" s="64" t="n">
        <x:f>-ROUND(AK94*'Drivers'!S94,3)</x:f>
        <x:v>-28.236</x:v>
      </x:c>
      <x:c r="AQ94" s="64" t="n">
        <x:f>-ROUND(AK94*'Drivers'!T94,3)</x:f>
        <x:v>-9.648</x:v>
      </x:c>
      <x:c r="AR94" s="64" t="n">
        <x:f>-ROUND(AK94*'Drivers'!U94,3)</x:f>
        <x:v>-22.944</x:v>
      </x:c>
      <x:c r="AS94" s="64" t="n">
        <x:f>-ROUND(AK94*'Drivers'!V94,3)</x:f>
        <x:v>-66.926</x:v>
      </x:c>
      <x:c r="AT94" s="64" t="n">
        <x:f>SUM(AO94:AS94)</x:f>
        <x:v>-1116.5759999999998</x:v>
      </x:c>
      <x:c r="AU94" s="65" t="n">
        <x:f>AT94/AK94</x:f>
        <x:v>-0.5871206126040668</x:v>
      </x:c>
      <x:c r="AV94" s="64" t="n">
        <x:f>AK94+AT94</x:f>
        <x:v>785.2069999999999</x:v>
      </x:c>
      <x:c r="AW94" s="65" t="n">
        <x:f>AV94/AK94</x:f>
        <x:v>0.4128793873959332</x:v>
      </x:c>
      <x:c r="AX94" s="64" t="n">
        <x:f>-ROUND(AK94*'Drivers'!W94,3)</x:f>
        <x:v>-21.15</x:v>
      </x:c>
      <x:c r="AY94" s="64" t="n">
        <x:f>-ROUND(AK94*'Drivers'!X94,3)</x:f>
        <x:v>-38.811</x:v>
      </x:c>
      <x:c r="AZ94" s="64" t="n">
        <x:f>-ROUND(AK94*'Drivers'!Y94,3)</x:f>
        <x:v>-31.72</x:v>
      </x:c>
      <x:c r="BA94" s="64" t="n">
        <x:f>-ROUND(AK94*'Drivers'!Z94,3)</x:f>
        <x:v>-14.936</x:v>
      </x:c>
      <x:c r="BB94" s="64" t="n">
        <x:f>-ROUND(AK94*'Drivers'!AA94,3)</x:f>
        <x:v>-15.993</x:v>
      </x:c>
      <x:c r="BC94" s="64" t="n">
        <x:f>SUM(BA94,BB94)</x:f>
        <x:v>-30.929000000000002</x:v>
      </x:c>
      <x:c r="BD94" s="64" t="n">
        <x:f>-ROUND(AK94*'Drivers'!AB94,3)</x:f>
        <x:v>-9.416</x:v>
      </x:c>
      <x:c r="BE94" s="64" t="n">
        <x:f>SUM(AX94:BB94,BD94)</x:f>
        <x:v>-132.02599999999998</x:v>
      </x:c>
      <x:c r="BF94" s="67" t="n">
        <x:f>'Drivers'!AF94</x:f>
        <x:v>9</x:v>
      </x:c>
      <x:c r="BG94" s="64" t="n">
        <x:f>BJ94</x:f>
        <x:v>-43.294</x:v>
      </x:c>
      <x:c r="BH94" s="64" t="n">
        <x:f>BE94/BF94</x:f>
        <x:v>-14.669555555555554</x:v>
      </x:c>
      <x:c r="BI94" s="68" t="n">
        <x:f>BF94/L94</x:f>
        <x:v>1.5</x:v>
      </x:c>
      <x:c r="BJ94" s="64" t="n">
        <x:f>-ROUND(AK94*'Drivers'!AC94,3)</x:f>
        <x:v>-43.294</x:v>
      </x:c>
      <x:c r="BK94" s="64" t="n">
        <x:f>-ROUND(AK94*'Drivers'!AD94,3)</x:f>
        <x:v>-205.184</x:v>
      </x:c>
      <x:c r="BL94" s="64" t="n">
        <x:f>SUM(AV94,BE94,BJ94,BK94)</x:f>
        <x:v>404.703</x:v>
      </x:c>
      <x:c r="BM94" s="65" t="n">
        <x:f>BL94/AK94</x:f>
        <x:v>0.2128018811820276</x:v>
      </x:c>
      <x:c r="BN94" s="64" t="n">
        <x:f>-ROUND(AK94*'Drivers'!AE94,3)</x:f>
        <x:v>-171.666</x:v>
      </x:c>
      <x:c r="BO94" s="64" t="n">
        <x:f>BL94+BN94</x:f>
        <x:v>233.03699999999998</x:v>
      </x:c>
      <x:c r="BP94" s="65" t="n">
        <x:f>BO94/AK94</x:f>
        <x:v>0.12253606221109349</x:v>
      </x:c>
    </x:row>
    <x:row r="95">
      <x:c r="A95" s="61" t="n">
        <x:v>2025</x:v>
      </x:c>
      <x:c r="B95" s="18" t="str">
        <x:v>S2</x:v>
      </x:c>
      <x:c r="C95" s="18" t="str">
        <x:v>2025 S2</x:v>
      </x:c>
      <x:c r="D95" s="18" t="str">
        <x:v>CNCT0024</x:v>
      </x:c>
      <x:c r="E95" s="18" t="str">
        <x:v>广州万菱汇</x:v>
      </x:c>
      <x:c r="F95" s="18" t="str">
        <x:v>广州</x:v>
      </x:c>
      <x:c r="G95" s="18" t="str">
        <x:v>广东省</x:v>
      </x:c>
      <x:c r="H95" s="18" t="str">
        <x:v>南区</x:v>
      </x:c>
      <x:c r="I95" s="18" t="str">
        <x:v>Shopping Mall</x:v>
      </x:c>
      <x:c r="J95" s="18" t="str">
        <x:v>Core Shopping Center</x:v>
      </x:c>
      <x:c r="K95" s="18" t="str">
        <x:v>正常</x:v>
      </x:c>
      <x:c r="L95" s="62" t="n">
        <x:v>6</x:v>
      </x:c>
      <x:c r="M95" s="62" t="n">
        <x:v>44</x:v>
      </x:c>
      <x:c r="N95" s="63" t="n">
        <x:f>'Drivers'!C95</x:f>
        <x:v>2615</x:v>
      </x:c>
      <x:c r="O95" s="63" t="n">
        <x:f>'Drivers'!D95</x:f>
        <x:v>1134.667</x:v>
      </x:c>
      <x:c r="P95" s="64" t="n">
        <x:f>ROUND(N95*O95/1000,3)</x:f>
        <x:v>2967.154</x:v>
      </x:c>
      <x:c r="Q95" s="64" t="n">
        <x:f>ROUND(P95*'Drivers'!E95,3)</x:f>
        <x:v>2867.445</x:v>
      </x:c>
      <x:c r="R95" s="64" t="n">
        <x:f>-ROUND(Q95*'Drivers'!F95,3)</x:f>
        <x:v>-563.637</x:v>
      </x:c>
      <x:c r="S95" s="65" t="n">
        <x:f>R95/Q95</x:f>
        <x:v>-0.19656418867667905</x:v>
      </x:c>
      <x:c r="T95" s="64" t="n">
        <x:f>-ROUND(Q95*'Drivers'!G95,3)</x:f>
        <x:v>-48.638</x:v>
      </x:c>
      <x:c r="U95" s="65" t="n">
        <x:f>T95/Q95</x:f>
        <x:v>-0.01696213876813679</x:v>
      </x:c>
      <x:c r="V95" s="64" t="n">
        <x:f>-ROUND(Q95*'Drivers'!H95,3)</x:f>
        <x:v>-30.398</x:v>
      </x:c>
      <x:c r="W95" s="64" t="n">
        <x:f>-ROUND(Q95*'Drivers'!I95,3)</x:f>
        <x:v>-21.274</x:v>
      </x:c>
      <x:c r="X95" s="64" t="n">
        <x:f>-ROUND(Q95*'Drivers'!J95,3)</x:f>
        <x:v>-32.381</x:v>
      </x:c>
      <x:c r="Y95" s="64" t="n">
        <x:f>-ROUND(Q95*'Drivers'!K95,3)</x:f>
        <x:v>-33.087</x:v>
      </x:c>
      <x:c r="Z95" s="64" t="n">
        <x:f>-ROUND(Q95*'Drivers'!L95,3)</x:f>
        <x:v>-27.922</x:v>
      </x:c>
      <x:c r="AA95" s="64" t="n">
        <x:f>-ROUND(Q95*'Drivers'!M95,3)</x:f>
        <x:v>-24.33</x:v>
      </x:c>
      <x:c r="AB95" s="64" t="n">
        <x:f>-ROUND(Q95*'Drivers'!N95,3)</x:f>
        <x:v>-21.595</x:v>
      </x:c>
      <x:c r="AC95" s="64" t="n">
        <x:f>SUM(V95:AB95)</x:f>
        <x:v>-190.987</x:v>
      </x:c>
      <x:c r="AD95" s="65" t="n">
        <x:f>AC95/Q95</x:f>
        <x:v>-0.06660528798285581</x:v>
      </x:c>
      <x:c r="AE95" s="64" t="n">
        <x:f>-ROUND(Q95*'Drivers'!O95,3)</x:f>
        <x:v>-37.168</x:v>
      </x:c>
      <x:c r="AF95" s="65" t="n">
        <x:f>AE95/Q95</x:f>
        <x:v>-0.012962062044782027</x:v>
      </x:c>
      <x:c r="AG95" s="64" t="n">
        <x:f>-ROUND(Q95*'Drivers'!P95,3)</x:f>
        <x:v>-3.973</x:v>
      </x:c>
      <x:c r="AH95" s="64" t="n">
        <x:f>-ROUND(Q95*'Drivers'!Q95,3)</x:f>
        <x:v>-7.484</x:v>
      </x:c>
      <x:c r="AI95" s="64" t="n">
        <x:f>SUM(R95,T95,AC95,AE95,AG95,AH95)</x:f>
        <x:v>-851.887</x:v>
      </x:c>
      <x:c r="AJ95" s="65" t="n">
        <x:f>AI95/Q95</x:f>
        <x:v>-0.29708922054302694</x:v>
      </x:c>
      <x:c r="AK95" s="64" t="n">
        <x:f>Q95+AI95</x:f>
        <x:v>2015.5580000000002</x:v>
      </x:c>
      <x:c r="AL95" s="65" t="n">
        <x:f>AK95/Q95</x:f>
        <x:v>0.7029107794569731</x:v>
      </x:c>
      <x:c r="AM95" s="64" t="n">
        <x:f>AK95/L95</x:f>
        <x:v>335.9263333333334</x:v>
      </x:c>
      <x:c r="AN95" s="66" t="str">
        <x:f>IF(AM95&lt;=200,"≤200K",IF(AM95&lt;=350,"200–350K",IF(AM95&lt;=500,"350–500K",IF(AM95&lt;=700,"500–700K","&gt;700K"))))</x:f>
        <x:v>200–350K</x:v>
      </x:c>
      <x:c r="AO95" s="64" t="n">
        <x:f>-ROUND(Q95*'Drivers'!R95,3)</x:f>
        <x:v>-1060.969</x:v>
      </x:c>
      <x:c r="AP95" s="64" t="n">
        <x:f>-ROUND(AK95*'Drivers'!S95,3)</x:f>
        <x:v>-29.925</x:v>
      </x:c>
      <x:c r="AQ95" s="64" t="n">
        <x:f>-ROUND(AK95*'Drivers'!T95,3)</x:f>
        <x:v>-10.225</x:v>
      </x:c>
      <x:c r="AR95" s="64" t="n">
        <x:f>-ROUND(AK95*'Drivers'!U95,3)</x:f>
        <x:v>-24.317</x:v>
      </x:c>
      <x:c r="AS95" s="64" t="n">
        <x:f>-ROUND(AK95*'Drivers'!V95,3)</x:f>
        <x:v>-70.93</x:v>
      </x:c>
      <x:c r="AT95" s="64" t="n">
        <x:f>SUM(AO95:AS95)</x:f>
        <x:v>-1196.366</x:v>
      </x:c>
      <x:c r="AU95" s="65" t="n">
        <x:f>AT95/AK95</x:f>
        <x:v>-0.59356565278697</x:v>
      </x:c>
      <x:c r="AV95" s="64" t="n">
        <x:f>AK95+AT95</x:f>
        <x:v>819.1920000000002</x:v>
      </x:c>
      <x:c r="AW95" s="65" t="n">
        <x:f>AV95/AK95</x:f>
        <x:v>0.4064343472130299</x:v>
      </x:c>
      <x:c r="AX95" s="64" t="n">
        <x:f>-ROUND(AK95*'Drivers'!W95,3)</x:f>
        <x:v>-22.415</x:v>
      </x:c>
      <x:c r="AY95" s="64" t="n">
        <x:f>-ROUND(AK95*'Drivers'!X95,3)</x:f>
        <x:v>-41.132</x:v>
      </x:c>
      <x:c r="AZ95" s="64" t="n">
        <x:f>-ROUND(AK95*'Drivers'!Y95,3)</x:f>
        <x:v>-33.618</x:v>
      </x:c>
      <x:c r="BA95" s="64" t="n">
        <x:f>-ROUND(AK95*'Drivers'!Z95,3)</x:f>
        <x:v>-15.829</x:v>
      </x:c>
      <x:c r="BB95" s="64" t="n">
        <x:f>-ROUND(AK95*'Drivers'!AA95,3)</x:f>
        <x:v>-16.95</x:v>
      </x:c>
      <x:c r="BC95" s="64" t="n">
        <x:f>SUM(BA95,BB95)</x:f>
        <x:v>-32.778999999999996</x:v>
      </x:c>
      <x:c r="BD95" s="64" t="n">
        <x:f>-ROUND(AK95*'Drivers'!AB95,3)</x:f>
        <x:v>-9.98</x:v>
      </x:c>
      <x:c r="BE95" s="64" t="n">
        <x:f>SUM(AX95:BB95,BD95)</x:f>
        <x:v>-139.92399999999998</x:v>
      </x:c>
      <x:c r="BF95" s="67" t="n">
        <x:f>'Drivers'!AF95</x:f>
        <x:v>9</x:v>
      </x:c>
      <x:c r="BG95" s="64" t="n">
        <x:f>BJ95</x:f>
        <x:v>-45.884</x:v>
      </x:c>
      <x:c r="BH95" s="64" t="n">
        <x:f>BE95/BF95</x:f>
        <x:v>-15.547111111111109</x:v>
      </x:c>
      <x:c r="BI95" s="68" t="n">
        <x:f>BF95/L95</x:f>
        <x:v>1.5</x:v>
      </x:c>
      <x:c r="BJ95" s="64" t="n">
        <x:f>-ROUND(AK95*'Drivers'!AC95,3)</x:f>
        <x:v>-45.884</x:v>
      </x:c>
      <x:c r="BK95" s="64" t="n">
        <x:f>-ROUND(AK95*'Drivers'!AD95,3)</x:f>
        <x:v>-217.459</x:v>
      </x:c>
      <x:c r="BL95" s="64" t="n">
        <x:f>SUM(AV95,BE95,BJ95,BK95)</x:f>
        <x:v>415.92500000000024</x:v>
      </x:c>
      <x:c r="BM95" s="65" t="n">
        <x:f>BL95/AK95</x:f>
        <x:v>0.20635724697577554</x:v>
      </x:c>
      <x:c r="BN95" s="64" t="n">
        <x:f>-ROUND(AK95*'Drivers'!AE95,3)</x:f>
        <x:v>-181.936</x:v>
      </x:c>
      <x:c r="BO95" s="64" t="n">
        <x:f>BL95+BN95</x:f>
        <x:v>233.98900000000023</x:v>
      </x:c>
      <x:c r="BP95" s="65" t="n">
        <x:f>BO95/AK95</x:f>
        <x:v>0.11609142480643088</x:v>
      </x:c>
    </x:row>
    <x:row r="96">
      <x:c r="A96" s="61" t="n">
        <x:v>2026</x:v>
      </x:c>
      <x:c r="B96" s="18" t="str">
        <x:v>S1</x:v>
      </x:c>
      <x:c r="C96" s="18" t="str">
        <x:v>2026 S1</x:v>
      </x:c>
      <x:c r="D96" s="18" t="str">
        <x:v>CNCT0024</x:v>
      </x:c>
      <x:c r="E96" s="18" t="str">
        <x:v>广州万菱汇</x:v>
      </x:c>
      <x:c r="F96" s="18" t="str">
        <x:v>广州</x:v>
      </x:c>
      <x:c r="G96" s="18" t="str">
        <x:v>广东省</x:v>
      </x:c>
      <x:c r="H96" s="18" t="str">
        <x:v>南区</x:v>
      </x:c>
      <x:c r="I96" s="18" t="str">
        <x:v>Shopping Mall</x:v>
      </x:c>
      <x:c r="J96" s="18" t="str">
        <x:v>Core Shopping Center</x:v>
      </x:c>
      <x:c r="K96" s="18" t="str">
        <x:v>正常</x:v>
      </x:c>
      <x:c r="L96" s="62" t="n">
        <x:v>6</x:v>
      </x:c>
      <x:c r="M96" s="62" t="n">
        <x:v>44</x:v>
      </x:c>
      <x:c r="N96" s="63" t="n">
        <x:f>'Drivers'!C96</x:f>
        <x:v>2506</x:v>
      </x:c>
      <x:c r="O96" s="63" t="n">
        <x:f>'Drivers'!D96</x:f>
        <x:v>1181.237</x:v>
      </x:c>
      <x:c r="P96" s="64" t="n">
        <x:f>ROUND(N96*O96/1000,3)</x:f>
        <x:v>2960.18</x:v>
      </x:c>
      <x:c r="Q96" s="64" t="n">
        <x:f>ROUND(P96*'Drivers'!E96,3)</x:f>
        <x:v>2878.649</x:v>
      </x:c>
      <x:c r="R96" s="64" t="n">
        <x:f>-ROUND(Q96*'Drivers'!F96,3)</x:f>
        <x:v>-558.492</x:v>
      </x:c>
      <x:c r="S96" s="65" t="n">
        <x:f>R96/Q96</x:f>
        <x:v>-0.1940118437503148</x:v>
      </x:c>
      <x:c r="T96" s="64" t="n">
        <x:f>-ROUND(Q96*'Drivers'!G96,3)</x:f>
        <x:v>-46.319</x:v>
      </x:c>
      <x:c r="U96" s="65" t="n">
        <x:f>T96/Q96</x:f>
        <x:v>-0.01609053413597837</x:v>
      </x:c>
      <x:c r="V96" s="64" t="n">
        <x:f>-ROUND(Q96*'Drivers'!H96,3)</x:f>
        <x:v>-30.517</x:v>
      </x:c>
      <x:c r="W96" s="64" t="n">
        <x:f>-ROUND(Q96*'Drivers'!I96,3)</x:f>
        <x:v>-21.357</x:v>
      </x:c>
      <x:c r="X96" s="64" t="n">
        <x:f>-ROUND(Q96*'Drivers'!J96,3)</x:f>
        <x:v>-32.507</x:v>
      </x:c>
      <x:c r="Y96" s="64" t="n">
        <x:f>-ROUND(Q96*'Drivers'!K96,3)</x:f>
        <x:v>-33.216</x:v>
      </x:c>
      <x:c r="Z96" s="64" t="n">
        <x:f>-ROUND(Q96*'Drivers'!L96,3)</x:f>
        <x:v>-28.032</x:v>
      </x:c>
      <x:c r="AA96" s="64" t="n">
        <x:f>-ROUND(Q96*'Drivers'!M96,3)</x:f>
        <x:v>-24.426</x:v>
      </x:c>
      <x:c r="AB96" s="64" t="n">
        <x:f>-ROUND(Q96*'Drivers'!N96,3)</x:f>
        <x:v>-21.679</x:v>
      </x:c>
      <x:c r="AC96" s="64" t="n">
        <x:f>SUM(V96:AB96)</x:f>
        <x:v>-191.734</x:v>
      </x:c>
      <x:c r="AD96" s="65" t="n">
        <x:f>AC96/Q96</x:f>
        <x:v>-0.06660555003406113</x:v>
      </x:c>
      <x:c r="AE96" s="64" t="n">
        <x:f>-ROUND(Q96*'Drivers'!O96,3)</x:f>
        <x:v>-33.804</x:v>
      </x:c>
      <x:c r="AF96" s="65" t="n">
        <x:f>AE96/Q96</x:f>
        <x:v>-0.01174300861272076</x:v>
      </x:c>
      <x:c r="AG96" s="64" t="n">
        <x:f>-ROUND(Q96*'Drivers'!P96,3)</x:f>
        <x:v>-3.989</x:v>
      </x:c>
      <x:c r="AH96" s="64" t="n">
        <x:f>-ROUND(Q96*'Drivers'!Q96,3)</x:f>
        <x:v>-7.513</x:v>
      </x:c>
      <x:c r="AI96" s="64" t="n">
        <x:f>SUM(R96,T96,AC96,AE96,AG96,AH96)</x:f>
        <x:v>-841.851</x:v>
      </x:c>
      <x:c r="AJ96" s="65" t="n">
        <x:f>AI96/Q96</x:f>
        <x:v>-0.2924465608693523</x:v>
      </x:c>
      <x:c r="AK96" s="64" t="n">
        <x:f>Q96+AI96</x:f>
        <x:v>2036.7979999999998</x:v>
      </x:c>
      <x:c r="AL96" s="65" t="n">
        <x:f>AK96/Q96</x:f>
        <x:v>0.7075534391306477</x:v>
      </x:c>
      <x:c r="AM96" s="64" t="n">
        <x:f>AK96/L96</x:f>
        <x:v>339.4663333333333</x:v>
      </x:c>
      <x:c r="AN96" s="66" t="str">
        <x:f>IF(AM96&lt;=200,"≤200K",IF(AM96&lt;=350,"200–350K",IF(AM96&lt;=500,"350–500K",IF(AM96&lt;=700,"500–700K","&gt;700K"))))</x:f>
        <x:v>200–350K</x:v>
      </x:c>
      <x:c r="AO96" s="64" t="n">
        <x:f>-ROUND(Q96*'Drivers'!R96,3)</x:f>
        <x:v>-1054.986</x:v>
      </x:c>
      <x:c r="AP96" s="64" t="n">
        <x:f>-ROUND(AK96*'Drivers'!S96,3)</x:f>
        <x:v>-30.24</x:v>
      </x:c>
      <x:c r="AQ96" s="64" t="n">
        <x:f>-ROUND(AK96*'Drivers'!T96,3)</x:f>
        <x:v>-10.332</x:v>
      </x:c>
      <x:c r="AR96" s="64" t="n">
        <x:f>-ROUND(AK96*'Drivers'!U96,3)</x:f>
        <x:v>-24.573</x:v>
      </x:c>
      <x:c r="AS96" s="64" t="n">
        <x:f>-ROUND(AK96*'Drivers'!V96,3)</x:f>
        <x:v>-71.677</x:v>
      </x:c>
      <x:c r="AT96" s="64" t="n">
        <x:f>SUM(AO96:AS96)</x:f>
        <x:v>-1191.8080000000002</x:v>
      </x:c>
      <x:c r="AU96" s="65" t="n">
        <x:f>AT96/AK96</x:f>
        <x:v>-0.585138045108057</x:v>
      </x:c>
      <x:c r="AV96" s="64" t="n">
        <x:f>AK96+AT96</x:f>
        <x:v>844.9899999999996</x:v>
      </x:c>
      <x:c r="AW96" s="65" t="n">
        <x:f>AV96/AK96</x:f>
        <x:v>0.41486195489194294</x:v>
      </x:c>
      <x:c r="AX96" s="64" t="n">
        <x:f>-ROUND(AK96*'Drivers'!W96,3)</x:f>
        <x:v>-27.871</x:v>
      </x:c>
      <x:c r="AY96" s="64" t="n">
        <x:f>-ROUND(AK96*'Drivers'!X96,3)</x:f>
        <x:v>-51.145</x:v>
      </x:c>
      <x:c r="AZ96" s="64" t="n">
        <x:f>-ROUND(AK96*'Drivers'!Y96,3)</x:f>
        <x:v>-41.801</x:v>
      </x:c>
      <x:c r="BA96" s="64" t="n">
        <x:f>-ROUND(AK96*'Drivers'!Z96,3)</x:f>
        <x:v>-19.683</x:v>
      </x:c>
      <x:c r="BB96" s="64" t="n">
        <x:f>-ROUND(AK96*'Drivers'!AA96,3)</x:f>
        <x:v>-21.076</x:v>
      </x:c>
      <x:c r="BC96" s="64" t="n">
        <x:f>SUM(BA96,BB96)</x:f>
        <x:v>-40.759</x:v>
      </x:c>
      <x:c r="BD96" s="64" t="n">
        <x:f>-ROUND(AK96*'Drivers'!AB96,3)</x:f>
        <x:v>-12.409</x:v>
      </x:c>
      <x:c r="BE96" s="64" t="n">
        <x:f>SUM(AX96:BB96,BD96)</x:f>
        <x:v>-173.98499999999999</x:v>
      </x:c>
      <x:c r="BF96" s="67" t="n">
        <x:f>'Drivers'!AF96</x:f>
        <x:v>9</x:v>
      </x:c>
      <x:c r="BG96" s="64" t="n">
        <x:f>BJ96</x:f>
        <x:v>-57.053</x:v>
      </x:c>
      <x:c r="BH96" s="64" t="n">
        <x:f>BE96/BF96</x:f>
        <x:v>-19.331666666666663</x:v>
      </x:c>
      <x:c r="BI96" s="68" t="n">
        <x:f>BF96/L96</x:f>
        <x:v>1.5</x:v>
      </x:c>
      <x:c r="BJ96" s="64" t="n">
        <x:f>-ROUND(AK96*'Drivers'!AC96,3)</x:f>
        <x:v>-57.053</x:v>
      </x:c>
      <x:c r="BK96" s="64" t="n">
        <x:f>-ROUND(AK96*'Drivers'!AD96,3)</x:f>
        <x:v>-219.751</x:v>
      </x:c>
      <x:c r="BL96" s="64" t="n">
        <x:f>SUM(AV96,BE96,BJ96,BK96)</x:f>
        <x:v>394.20099999999957</x:v>
      </x:c>
      <x:c r="BM96" s="65" t="n">
        <x:f>BL96/AK96</x:f>
        <x:v>0.19353956553374443</x:v>
      </x:c>
      <x:c r="BN96" s="64" t="n">
        <x:f>-ROUND(AK96*'Drivers'!AE96,3)</x:f>
        <x:v>-183.853</x:v>
      </x:c>
      <x:c r="BO96" s="64" t="n">
        <x:f>BL96+BN96</x:f>
        <x:v>210.34799999999956</x:v>
      </x:c>
      <x:c r="BP96" s="65" t="n">
        <x:f>BO96/AK96</x:f>
        <x:v>0.10327386417307931</x:v>
      </x:c>
    </x:row>
    <x:row r="97">
      <x:c r="A97" s="61" t="n">
        <x:v>2026</x:v>
      </x:c>
      <x:c r="B97" s="18" t="str">
        <x:v>S2</x:v>
      </x:c>
      <x:c r="C97" s="18" t="str">
        <x:v>2026 S2</x:v>
      </x:c>
      <x:c r="D97" s="18" t="str">
        <x:v>CNCT0024</x:v>
      </x:c>
      <x:c r="E97" s="18" t="str">
        <x:v>广州万菱汇</x:v>
      </x:c>
      <x:c r="F97" s="18" t="str">
        <x:v>广州</x:v>
      </x:c>
      <x:c r="G97" s="18" t="str">
        <x:v>广东省</x:v>
      </x:c>
      <x:c r="H97" s="18" t="str">
        <x:v>南区</x:v>
      </x:c>
      <x:c r="I97" s="18" t="str">
        <x:v>Shopping Mall</x:v>
      </x:c>
      <x:c r="J97" s="18" t="str">
        <x:v>Core Shopping Center</x:v>
      </x:c>
      <x:c r="K97" s="18" t="str">
        <x:v>正常</x:v>
      </x:c>
      <x:c r="L97" s="62" t="n">
        <x:v>6</x:v>
      </x:c>
      <x:c r="M97" s="62" t="n">
        <x:v>43</x:v>
      </x:c>
      <x:c r="N97" s="63" t="n">
        <x:f>'Drivers'!C97</x:f>
        <x:v>2721</x:v>
      </x:c>
      <x:c r="O97" s="63" t="n">
        <x:f>'Drivers'!D97</x:f>
        <x:v>1160.644</x:v>
      </x:c>
      <x:c r="P97" s="64" t="n">
        <x:f>ROUND(N97*O97/1000,3)</x:f>
        <x:v>3158.112</x:v>
      </x:c>
      <x:c r="Q97" s="64" t="n">
        <x:f>ROUND(P97*'Drivers'!E97,3)</x:f>
        <x:v>3051.986</x:v>
      </x:c>
      <x:c r="R97" s="64" t="n">
        <x:f>-ROUND(Q97*'Drivers'!F97,3)</x:f>
        <x:v>-619.645</x:v>
      </x:c>
      <x:c r="S97" s="65" t="n">
        <x:f>R97/Q97</x:f>
        <x:v>-0.20303009253646642</x:v>
      </x:c>
      <x:c r="T97" s="64" t="n">
        <x:f>-ROUND(Q97*'Drivers'!G97,3)</x:f>
        <x:v>-48.198</x:v>
      </x:c>
      <x:c r="U97" s="65" t="n">
        <x:f>T97/Q97</x:f>
        <x:v>-0.015792339807587586</x:v>
      </x:c>
      <x:c r="V97" s="64" t="n">
        <x:f>-ROUND(Q97*'Drivers'!H97,3)</x:f>
        <x:v>-32.354</x:v>
      </x:c>
      <x:c r="W97" s="64" t="n">
        <x:f>-ROUND(Q97*'Drivers'!I97,3)</x:f>
        <x:v>-22.644</x:v>
      </x:c>
      <x:c r="X97" s="64" t="n">
        <x:f>-ROUND(Q97*'Drivers'!J97,3)</x:f>
        <x:v>-34.464</x:v>
      </x:c>
      <x:c r="Y97" s="64" t="n">
        <x:f>-ROUND(Q97*'Drivers'!K97,3)</x:f>
        <x:v>-35.216</x:v>
      </x:c>
      <x:c r="Z97" s="64" t="n">
        <x:f>-ROUND(Q97*'Drivers'!L97,3)</x:f>
        <x:v>-29.719</x:v>
      </x:c>
      <x:c r="AA97" s="64" t="n">
        <x:f>-ROUND(Q97*'Drivers'!M97,3)</x:f>
        <x:v>-25.896</x:v>
      </x:c>
      <x:c r="AB97" s="64" t="n">
        <x:f>-ROUND(Q97*'Drivers'!N97,3)</x:f>
        <x:v>-22.985</x:v>
      </x:c>
      <x:c r="AC97" s="64" t="n">
        <x:f>SUM(V97:AB97)</x:f>
        <x:v>-203.27800000000002</x:v>
      </x:c>
      <x:c r="AD97" s="65" t="n">
        <x:f>AC97/Q97</x:f>
        <x:v>-0.06660515480739428</x:v>
      </x:c>
      <x:c r="AE97" s="64" t="n">
        <x:f>-ROUND(Q97*'Drivers'!O97,3)</x:f>
        <x:v>-39.56</x:v>
      </x:c>
      <x:c r="AF97" s="65" t="n">
        <x:f>AE97/Q97</x:f>
        <x:v>-0.012962051595256336</x:v>
      </x:c>
      <x:c r="AG97" s="64" t="n">
        <x:f>-ROUND(Q97*'Drivers'!P97,3)</x:f>
        <x:v>-4.229</x:v>
      </x:c>
      <x:c r="AH97" s="64" t="n">
        <x:f>-ROUND(Q97*'Drivers'!Q97,3)</x:f>
        <x:v>-7.966</x:v>
      </x:c>
      <x:c r="AI97" s="64" t="n">
        <x:f>SUM(R97,T97,AC97,AE97,AG97,AH97)</x:f>
        <x:v>-922.8760000000001</x:v>
      </x:c>
      <x:c r="AJ97" s="65" t="n">
        <x:f>AI97/Q97</x:f>
        <x:v>-0.30238539757390764</x:v>
      </x:c>
      <x:c r="AK97" s="64" t="n">
        <x:f>Q97+AI97</x:f>
        <x:v>2129.1099999999997</x:v>
      </x:c>
      <x:c r="AL97" s="65" t="n">
        <x:f>AK97/Q97</x:f>
        <x:v>0.6976146024260923</x:v>
      </x:c>
      <x:c r="AM97" s="64" t="n">
        <x:f>AK97/L97</x:f>
        <x:v>354.85166666666663</x:v>
      </x:c>
      <x:c r="AN97" s="66" t="str">
        <x:f>IF(AM97&lt;=200,"≤200K",IF(AM97&lt;=350,"200–350K",IF(AM97&lt;=500,"350–500K",IF(AM97&lt;=700,"500–700K","&gt;700K"))))</x:f>
        <x:v>350–500K</x:v>
      </x:c>
      <x:c r="AO97" s="64" t="n">
        <x:f>-ROUND(Q97*'Drivers'!R97,3)</x:f>
        <x:v>-1126.803</x:v>
      </x:c>
      <x:c r="AP97" s="64" t="n">
        <x:f>-ROUND(AK97*'Drivers'!S97,3)</x:f>
        <x:v>-31.611</x:v>
      </x:c>
      <x:c r="AQ97" s="64" t="n">
        <x:f>-ROUND(AK97*'Drivers'!T97,3)</x:f>
        <x:v>-10.801</x:v>
      </x:c>
      <x:c r="AR97" s="64" t="n">
        <x:f>-ROUND(AK97*'Drivers'!U97,3)</x:f>
        <x:v>-25.687</x:v>
      </x:c>
      <x:c r="AS97" s="64" t="n">
        <x:f>-ROUND(AK97*'Drivers'!V97,3)</x:f>
        <x:v>-74.926</x:v>
      </x:c>
      <x:c r="AT97" s="64" t="n">
        <x:f>SUM(AO97:AS97)</x:f>
        <x:v>-1269.828</x:v>
      </x:c>
      <x:c r="AU97" s="65" t="n">
        <x:f>AT97/AK97</x:f>
        <x:v>-0.5964125855404372</x:v>
      </x:c>
      <x:c r="AV97" s="64" t="n">
        <x:f>AK97+AT97</x:f>
        <x:v>859.2819999999997</x:v>
      </x:c>
      <x:c r="AW97" s="65" t="n">
        <x:f>AV97/AK97</x:f>
        <x:v>0.4035874144595628</x:v>
      </x:c>
      <x:c r="AX97" s="64" t="n">
        <x:f>-ROUND(AK97*'Drivers'!W97,3)</x:f>
        <x:v>-25.098</x:v>
      </x:c>
      <x:c r="AY97" s="64" t="n">
        <x:f>-ROUND(AK97*'Drivers'!X97,3)</x:f>
        <x:v>-46.057</x:v>
      </x:c>
      <x:c r="AZ97" s="64" t="n">
        <x:f>-ROUND(AK97*'Drivers'!Y97,3)</x:f>
        <x:v>-37.642</x:v>
      </x:c>
      <x:c r="BA97" s="64" t="n">
        <x:f>-ROUND(AK97*'Drivers'!Z97,3)</x:f>
        <x:v>-17.725</x:v>
      </x:c>
      <x:c r="BB97" s="64" t="n">
        <x:f>-ROUND(AK97*'Drivers'!AA97,3)</x:f>
        <x:v>-18.979</x:v>
      </x:c>
      <x:c r="BC97" s="64" t="n">
        <x:f>SUM(BA97,BB97)</x:f>
        <x:v>-36.704</x:v>
      </x:c>
      <x:c r="BD97" s="64" t="n">
        <x:f>-ROUND(AK97*'Drivers'!AB97,3)</x:f>
        <x:v>-11.174</x:v>
      </x:c>
      <x:c r="BE97" s="64" t="n">
        <x:f>SUM(AX97:BB97,BD97)</x:f>
        <x:v>-156.67499999999998</x:v>
      </x:c>
      <x:c r="BF97" s="67" t="n">
        <x:f>'Drivers'!AF97</x:f>
        <x:v>9</x:v>
      </x:c>
      <x:c r="BG97" s="64" t="n">
        <x:f>BJ97</x:f>
        <x:v>-51.377</x:v>
      </x:c>
      <x:c r="BH97" s="64" t="n">
        <x:f>BE97/BF97</x:f>
        <x:v>-17.40833333333333</x:v>
      </x:c>
      <x:c r="BI97" s="68" t="n">
        <x:f>BF97/L97</x:f>
        <x:v>1.5</x:v>
      </x:c>
      <x:c r="BJ97" s="64" t="n">
        <x:f>-ROUND(AK97*'Drivers'!AC97,3)</x:f>
        <x:v>-51.377</x:v>
      </x:c>
      <x:c r="BK97" s="64" t="n">
        <x:f>-ROUND(AK97*'Drivers'!AD97,3)</x:f>
        <x:v>-229.71</x:v>
      </x:c>
      <x:c r="BL97" s="64" t="n">
        <x:f>SUM(AV97,BE97,BJ97,BK97)</x:f>
        <x:v>421.51999999999975</x:v>
      </x:c>
      <x:c r="BM97" s="65" t="n">
        <x:f>BL97/AK97</x:f>
        <x:v>0.1979794374175124</x:v>
      </x:c>
      <x:c r="BN97" s="64" t="n">
        <x:f>-ROUND(AK97*'Drivers'!AE97,3)</x:f>
        <x:v>-192.186</x:v>
      </x:c>
      <x:c r="BO97" s="64" t="n">
        <x:f>BL97+BN97</x:f>
        <x:v>229.33399999999975</x:v>
      </x:c>
      <x:c r="BP97" s="65" t="n">
        <x:f>BO97/AK97</x:f>
        <x:v>0.10771355167182521</x:v>
      </x:c>
    </x:row>
    <x:row r="98">
      <x:c r="A98" s="61" t="n">
        <x:v>2025</x:v>
      </x:c>
      <x:c r="B98" s="18" t="str">
        <x:v>S1</x:v>
      </x:c>
      <x:c r="C98" s="18" t="str">
        <x:v>2025 S1</x:v>
      </x:c>
      <x:c r="D98" s="18" t="str">
        <x:v>CNCT0025</x:v>
      </x:c>
      <x:c r="E98" s="18" t="str">
        <x:v>广州K11</x:v>
      </x:c>
      <x:c r="F98" s="18" t="str">
        <x:v>广州</x:v>
      </x:c>
      <x:c r="G98" s="18" t="str">
        <x:v>广东省</x:v>
      </x:c>
      <x:c r="H98" s="18" t="str">
        <x:v>南区</x:v>
      </x:c>
      <x:c r="I98" s="18" t="str">
        <x:v>Shopping Mall</x:v>
      </x:c>
      <x:c r="J98" s="18" t="str">
        <x:v>Regional Mall</x:v>
      </x:c>
      <x:c r="K98" s="18" t="str">
        <x:v>正常</x:v>
      </x:c>
      <x:c r="L98" s="62" t="n">
        <x:v>5</x:v>
      </x:c>
      <x:c r="M98" s="62" t="n">
        <x:v>44</x:v>
      </x:c>
      <x:c r="N98" s="63" t="n">
        <x:f>'Drivers'!C98</x:f>
        <x:v>1922</x:v>
      </x:c>
      <x:c r="O98" s="63" t="n">
        <x:f>'Drivers'!D98</x:f>
        <x:v>992.551</x:v>
      </x:c>
      <x:c r="P98" s="64" t="n">
        <x:f>ROUND(N98*O98/1000,3)</x:f>
        <x:v>1907.683</x:v>
      </x:c>
      <x:c r="Q98" s="64" t="n">
        <x:f>ROUND(P98*'Drivers'!E98,3)</x:f>
        <x:v>1864.861</x:v>
      </x:c>
      <x:c r="R98" s="64" t="n">
        <x:f>-ROUND(Q98*'Drivers'!F98,3)</x:f>
        <x:v>-294.009</x:v>
      </x:c>
      <x:c r="S98" s="65" t="n">
        <x:f>R98/Q98</x:f>
        <x:v>-0.15765732673909744</x:v>
      </x:c>
      <x:c r="T98" s="64" t="n">
        <x:f>-ROUND(Q98*'Drivers'!G98,3)</x:f>
        <x:v>-19.461</x:v>
      </x:c>
      <x:c r="U98" s="65" t="n">
        <x:f>T98/Q98</x:f>
        <x:v>-0.010435630323117914</x:v>
      </x:c>
      <x:c r="V98" s="64" t="n">
        <x:f>-ROUND(Q98*'Drivers'!H98,3)</x:f>
        <x:v>-19.583</x:v>
      </x:c>
      <x:c r="W98" s="64" t="n">
        <x:f>-ROUND(Q98*'Drivers'!I98,3)</x:f>
        <x:v>-17.859</x:v>
      </x:c>
      <x:c r="X98" s="64" t="n">
        <x:f>-ROUND(Q98*'Drivers'!J98,3)</x:f>
        <x:v>-24.684</x:v>
      </x:c>
      <x:c r="Y98" s="64" t="n">
        <x:f>-ROUND(Q98*'Drivers'!K98,3)</x:f>
        <x:v>-23.135</x:v>
      </x:c>
      <x:c r="Z98" s="64" t="n">
        <x:f>-ROUND(Q98*'Drivers'!L98,3)</x:f>
        <x:v>-17.174</x:v>
      </x:c>
      <x:c r="AA98" s="64" t="n">
        <x:f>-ROUND(Q98*'Drivers'!M98,3)</x:f>
        <x:v>-15.016</x:v>
      </x:c>
      <x:c r="AB98" s="64" t="n">
        <x:f>-ROUND(Q98*'Drivers'!N98,3)</x:f>
        <x:v>-16.071</x:v>
      </x:c>
      <x:c r="AC98" s="64" t="n">
        <x:f>SUM(V98:AB98)</x:f>
        <x:v>-133.52200000000002</x:v>
      </x:c>
      <x:c r="AD98" s="65" t="n">
        <x:f>AC98/Q98</x:f>
        <x:v>-0.07159890200931866</x:v>
      </x:c>
      <x:c r="AE98" s="64" t="n">
        <x:f>-ROUND(Q98*'Drivers'!O98,3)</x:f>
        <x:v>-13.866</x:v>
      </x:c>
      <x:c r="AF98" s="65" t="n">
        <x:f>AE98/Q98</x:f>
        <x:v>-0.007435406713958841</x:v>
      </x:c>
      <x:c r="AG98" s="64" t="n">
        <x:f>-ROUND(Q98*'Drivers'!P98,3)</x:f>
        <x:v>-0.833</x:v>
      </x:c>
      <x:c r="AH98" s="64" t="n">
        <x:f>-ROUND(Q98*'Drivers'!Q98,3)</x:f>
        <x:v>-11.223</x:v>
      </x:c>
      <x:c r="AI98" s="64" t="n">
        <x:f>SUM(R98,T98,AC98,AE98,AG98,AH98)</x:f>
        <x:v>-472.9140000000001</x:v>
      </x:c>
      <x:c r="AJ98" s="65" t="n">
        <x:f>AI98/Q98</x:f>
        <x:v>-0.25359209077781136</x:v>
      </x:c>
      <x:c r="AK98" s="64" t="n">
        <x:f>Q98+AI98</x:f>
        <x:v>1391.9470000000001</x:v>
      </x:c>
      <x:c r="AL98" s="65" t="n">
        <x:f>AK98/Q98</x:f>
        <x:v>0.7464079092221887</x:v>
      </x:c>
      <x:c r="AM98" s="64" t="n">
        <x:f>AK98/L98</x:f>
        <x:v>278.3894</x:v>
      </x:c>
      <x:c r="AN98" s="66" t="str">
        <x:f>IF(AM98&lt;=200,"≤200K",IF(AM98&lt;=350,"200–350K",IF(AM98&lt;=500,"350–500K",IF(AM98&lt;=700,"500–700K","&gt;700K"))))</x:f>
        <x:v>200–350K</x:v>
      </x:c>
      <x:c r="AO98" s="64" t="n">
        <x:f>-ROUND(Q98*'Drivers'!R98,3)</x:f>
        <x:v>-757.326</x:v>
      </x:c>
      <x:c r="AP98" s="64" t="n">
        <x:f>-ROUND(AK98*'Drivers'!S98,3)</x:f>
        <x:v>-15.869</x:v>
      </x:c>
      <x:c r="AQ98" s="64" t="n">
        <x:f>-ROUND(AK98*'Drivers'!T98,3)</x:f>
        <x:v>-5.147</x:v>
      </x:c>
      <x:c r="AR98" s="64" t="n">
        <x:f>-ROUND(AK98*'Drivers'!U98,3)</x:f>
        <x:v>-14.662</x:v>
      </x:c>
      <x:c r="AS98" s="64" t="n">
        <x:f>-ROUND(AK98*'Drivers'!V98,3)</x:f>
        <x:v>-46.407</x:v>
      </x:c>
      <x:c r="AT98" s="64" t="n">
        <x:f>SUM(AO98:AS98)</x:f>
        <x:v>-839.4110000000002</x:v>
      </x:c>
      <x:c r="AU98" s="65" t="n">
        <x:f>AT98/AK98</x:f>
        <x:v>-0.6030481045614525</x:v>
      </x:c>
      <x:c r="AV98" s="64" t="n">
        <x:f>AK98+AT98</x:f>
        <x:v>552.536</x:v>
      </x:c>
      <x:c r="AW98" s="65" t="n">
        <x:f>AV98/AK98</x:f>
        <x:v>0.39695189543854753</x:v>
      </x:c>
      <x:c r="AX98" s="64" t="n">
        <x:f>-ROUND(AK98*'Drivers'!W98,3)</x:f>
        <x:v>-19.094</x:v>
      </x:c>
      <x:c r="AY98" s="64" t="n">
        <x:f>-ROUND(AK98*'Drivers'!X98,3)</x:f>
        <x:v>-28.369</x:v>
      </x:c>
      <x:c r="AZ98" s="64" t="n">
        <x:f>-ROUND(AK98*'Drivers'!Y98,3)</x:f>
        <x:v>-22.127</x:v>
      </x:c>
      <x:c r="BA98" s="64" t="n">
        <x:f>-ROUND(AK98*'Drivers'!Z98,3)</x:f>
        <x:v>-11.017</x:v>
      </x:c>
      <x:c r="BB98" s="64" t="n">
        <x:f>-ROUND(AK98*'Drivers'!AA98,3)</x:f>
        <x:v>-7.631</x:v>
      </x:c>
      <x:c r="BC98" s="64" t="n">
        <x:f>SUM(BA98,BB98)</x:f>
        <x:v>-18.648</x:v>
      </x:c>
      <x:c r="BD98" s="64" t="n">
        <x:f>-ROUND(AK98*'Drivers'!AB98,3)</x:f>
        <x:v>-8.795</x:v>
      </x:c>
      <x:c r="BE98" s="64" t="n">
        <x:f>SUM(AX98:BB98,BD98)</x:f>
        <x:v>-97.033</x:v>
      </x:c>
      <x:c r="BF98" s="67" t="n">
        <x:f>'Drivers'!AF98</x:f>
        <x:v>10</x:v>
      </x:c>
      <x:c r="BG98" s="64" t="n">
        <x:f>BJ98</x:f>
        <x:v>-26.248</x:v>
      </x:c>
      <x:c r="BH98" s="64" t="n">
        <x:f>BE98/BF98</x:f>
        <x:v>-9.7033</x:v>
      </x:c>
      <x:c r="BI98" s="68" t="n">
        <x:f>BF98/L98</x:f>
        <x:v>2</x:v>
      </x:c>
      <x:c r="BJ98" s="64" t="n">
        <x:f>-ROUND(AK98*'Drivers'!AC98,3)</x:f>
        <x:v>-26.248</x:v>
      </x:c>
      <x:c r="BK98" s="64" t="n">
        <x:f>-ROUND(AK98*'Drivers'!AD98,3)</x:f>
        <x:v>-137.809</x:v>
      </x:c>
      <x:c r="BL98" s="64" t="n">
        <x:f>SUM(AV98,BE98,BJ98,BK98)</x:f>
        <x:v>291.4459999999999</x:v>
      </x:c>
      <x:c r="BM98" s="65" t="n">
        <x:f>BL98/AK98</x:f>
        <x:v>0.20938009852386613</x:v>
      </x:c>
      <x:c r="BN98" s="64" t="n">
        <x:f>-ROUND(AK98*'Drivers'!AE98,3)</x:f>
        <x:v>-91.212</x:v>
      </x:c>
      <x:c r="BO98" s="64" t="n">
        <x:f>BL98+BN98</x:f>
        <x:v>200.23399999999992</x:v>
      </x:c>
      <x:c r="BP98" s="65" t="n">
        <x:f>BO98/AK98</x:f>
        <x:v>0.14385174148153623</x:v>
      </x:c>
    </x:row>
    <x:row r="99">
      <x:c r="A99" s="61" t="n">
        <x:v>2025</x:v>
      </x:c>
      <x:c r="B99" s="18" t="str">
        <x:v>S2</x:v>
      </x:c>
      <x:c r="C99" s="18" t="str">
        <x:v>2025 S2</x:v>
      </x:c>
      <x:c r="D99" s="18" t="str">
        <x:v>CNCT0025</x:v>
      </x:c>
      <x:c r="E99" s="18" t="str">
        <x:v>广州K11</x:v>
      </x:c>
      <x:c r="F99" s="18" t="str">
        <x:v>广州</x:v>
      </x:c>
      <x:c r="G99" s="18" t="str">
        <x:v>广东省</x:v>
      </x:c>
      <x:c r="H99" s="18" t="str">
        <x:v>南区</x:v>
      </x:c>
      <x:c r="I99" s="18" t="str">
        <x:v>Shopping Mall</x:v>
      </x:c>
      <x:c r="J99" s="18" t="str">
        <x:v>Regional Mall</x:v>
      </x:c>
      <x:c r="K99" s="18" t="str">
        <x:v>正常</x:v>
      </x:c>
      <x:c r="L99" s="62" t="n">
        <x:v>5</x:v>
      </x:c>
      <x:c r="M99" s="62" t="n">
        <x:v>44</x:v>
      </x:c>
      <x:c r="N99" s="63" t="n">
        <x:f>'Drivers'!C99</x:f>
        <x:v>2049</x:v>
      </x:c>
      <x:c r="O99" s="63" t="n">
        <x:f>'Drivers'!D99</x:f>
        <x:v>1004.462</x:v>
      </x:c>
      <x:c r="P99" s="64" t="n">
        <x:f>ROUND(N99*O99/1000,3)</x:f>
        <x:v>2058.143</x:v>
      </x:c>
      <x:c r="Q99" s="64" t="n">
        <x:f>ROUND(P99*'Drivers'!E99,3)</x:f>
        <x:v>2025.356</x:v>
      </x:c>
      <x:c r="R99" s="64" t="n">
        <x:f>-ROUND(Q99*'Drivers'!F99,3)</x:f>
        <x:v>-319.312</x:v>
      </x:c>
      <x:c r="S99" s="65" t="n">
        <x:f>R99/Q99</x:f>
        <x:v>-0.1576572217427455</x:v>
      </x:c>
      <x:c r="T99" s="64" t="n">
        <x:f>-ROUND(Q99*'Drivers'!G99,3)</x:f>
        <x:v>-21.135</x:v>
      </x:c>
      <x:c r="U99" s="65" t="n">
        <x:f>T99/Q99</x:f>
        <x:v>-0.010435202502671137</x:v>
      </x:c>
      <x:c r="V99" s="64" t="n">
        <x:f>-ROUND(Q99*'Drivers'!H99,3)</x:f>
        <x:v>-21.268</x:v>
      </x:c>
      <x:c r="W99" s="64" t="n">
        <x:f>-ROUND(Q99*'Drivers'!I99,3)</x:f>
        <x:v>-19.396</x:v>
      </x:c>
      <x:c r="X99" s="64" t="n">
        <x:f>-ROUND(Q99*'Drivers'!J99,3)</x:f>
        <x:v>-26.809</x:v>
      </x:c>
      <x:c r="Y99" s="64" t="n">
        <x:f>-ROUND(Q99*'Drivers'!K99,3)</x:f>
        <x:v>-25.126</x:v>
      </x:c>
      <x:c r="Z99" s="64" t="n">
        <x:f>-ROUND(Q99*'Drivers'!L99,3)</x:f>
        <x:v>-18.652</x:v>
      </x:c>
      <x:c r="AA99" s="64" t="n">
        <x:f>-ROUND(Q99*'Drivers'!M99,3)</x:f>
        <x:v>-16.309</x:v>
      </x:c>
      <x:c r="AB99" s="64" t="n">
        <x:f>-ROUND(Q99*'Drivers'!N99,3)</x:f>
        <x:v>-17.454</x:v>
      </x:c>
      <x:c r="AC99" s="64" t="n">
        <x:f>SUM(V99:AB99)</x:f>
        <x:v>-145.014</x:v>
      </x:c>
      <x:c r="AD99" s="65" t="n">
        <x:f>AC99/Q99</x:f>
        <x:v>-0.07159926452436016</x:v>
      </x:c>
      <x:c r="AE99" s="64" t="n">
        <x:f>-ROUND(Q99*'Drivers'!O99,3)</x:f>
        <x:v>-15.06</x:v>
      </x:c>
      <x:c r="AF99" s="65" t="n">
        <x:f>AE99/Q99</x:f>
        <x:v>-0.007435729817375316</x:v>
      </x:c>
      <x:c r="AG99" s="64" t="n">
        <x:f>-ROUND(Q99*'Drivers'!P99,3)</x:f>
        <x:v>-0.905</x:v>
      </x:c>
      <x:c r="AH99" s="64" t="n">
        <x:f>-ROUND(Q99*'Drivers'!Q99,3)</x:f>
        <x:v>-12.189</x:v>
      </x:c>
      <x:c r="AI99" s="64" t="n">
        <x:f>SUM(R99,T99,AC99,AE99,AG99,AH99)</x:f>
        <x:v>-513.615</x:v>
      </x:c>
      <x:c r="AJ99" s="65" t="n">
        <x:f>AI99/Q99</x:f>
        <x:v>-0.2535924548573189</x:v>
      </x:c>
      <x:c r="AK99" s="64" t="n">
        <x:f>Q99+AI99</x:f>
        <x:v>1511.741</x:v>
      </x:c>
      <x:c r="AL99" s="65" t="n">
        <x:f>AK99/Q99</x:f>
        <x:v>0.746407545142681</x:v>
      </x:c>
      <x:c r="AM99" s="64" t="n">
        <x:f>AK99/L99</x:f>
        <x:v>302.3482</x:v>
      </x:c>
      <x:c r="AN99" s="66" t="str">
        <x:f>IF(AM99&lt;=200,"≤200K",IF(AM99&lt;=350,"200–350K",IF(AM99&lt;=500,"350–500K",IF(AM99&lt;=700,"500–700K","&gt;700K"))))</x:f>
        <x:v>200–350K</x:v>
      </x:c>
      <x:c r="AO99" s="64" t="n">
        <x:f>-ROUND(Q99*'Drivers'!R99,3)</x:f>
        <x:v>-782.795</x:v>
      </x:c>
      <x:c r="AP99" s="64" t="n">
        <x:f>-ROUND(AK99*'Drivers'!S99,3)</x:f>
        <x:v>-17.235</x:v>
      </x:c>
      <x:c r="AQ99" s="64" t="n">
        <x:f>-ROUND(AK99*'Drivers'!T99,3)</x:f>
        <x:v>-5.59</x:v>
      </x:c>
      <x:c r="AR99" s="64" t="n">
        <x:f>-ROUND(AK99*'Drivers'!U99,3)</x:f>
        <x:v>-15.924</x:v>
      </x:c>
      <x:c r="AS99" s="64" t="n">
        <x:f>-ROUND(AK99*'Drivers'!V99,3)</x:f>
        <x:v>-50.401</x:v>
      </x:c>
      <x:c r="AT99" s="64" t="n">
        <x:f>SUM(AO99:AS99)</x:f>
        <x:v>-871.9449999999999</x:v>
      </x:c>
      <x:c r="AU99" s="65" t="n">
        <x:f>AT99/AK99</x:f>
        <x:v>-0.576782001678859</x:v>
      </x:c>
      <x:c r="AV99" s="64" t="n">
        <x:f>AK99+AT99</x:f>
        <x:v>639.796</x:v>
      </x:c>
      <x:c r="AW99" s="65" t="n">
        <x:f>AV99/AK99</x:f>
        <x:v>0.42321799832114104</x:v>
      </x:c>
      <x:c r="AX99" s="64" t="n">
        <x:f>-ROUND(AK99*'Drivers'!W99,3)</x:f>
        <x:v>-20.738</x:v>
      </x:c>
      <x:c r="AY99" s="64" t="n">
        <x:f>-ROUND(AK99*'Drivers'!X99,3)</x:f>
        <x:v>-30.81</x:v>
      </x:c>
      <x:c r="AZ99" s="64" t="n">
        <x:f>-ROUND(AK99*'Drivers'!Y99,3)</x:f>
        <x:v>-24.032</x:v>
      </x:c>
      <x:c r="BA99" s="64" t="n">
        <x:f>-ROUND(AK99*'Drivers'!Z99,3)</x:f>
        <x:v>-11.965</x:v>
      </x:c>
      <x:c r="BB99" s="64" t="n">
        <x:f>-ROUND(AK99*'Drivers'!AA99,3)</x:f>
        <x:v>-8.288</x:v>
      </x:c>
      <x:c r="BC99" s="64" t="n">
        <x:f>SUM(BA99,BB99)</x:f>
        <x:v>-20.253</x:v>
      </x:c>
      <x:c r="BD99" s="64" t="n">
        <x:f>-ROUND(AK99*'Drivers'!AB99,3)</x:f>
        <x:v>-9.552</x:v>
      </x:c>
      <x:c r="BE99" s="64" t="n">
        <x:f>SUM(AX99:BB99,BD99)</x:f>
        <x:v>-105.38499999999999</x:v>
      </x:c>
      <x:c r="BF99" s="67" t="n">
        <x:f>'Drivers'!AF99</x:f>
        <x:v>10</x:v>
      </x:c>
      <x:c r="BG99" s="64" t="n">
        <x:f>BJ99</x:f>
        <x:v>-28.506</x:v>
      </x:c>
      <x:c r="BH99" s="64" t="n">
        <x:f>BE99/BF99</x:f>
        <x:v>-10.538499999999999</x:v>
      </x:c>
      <x:c r="BI99" s="68" t="n">
        <x:f>BF99/L99</x:f>
        <x:v>2</x:v>
      </x:c>
      <x:c r="BJ99" s="64" t="n">
        <x:f>-ROUND(AK99*'Drivers'!AC99,3)</x:f>
        <x:v>-28.506</x:v>
      </x:c>
      <x:c r="BK99" s="64" t="n">
        <x:f>-ROUND(AK99*'Drivers'!AD99,3)</x:f>
        <x:v>-149.669</x:v>
      </x:c>
      <x:c r="BL99" s="64" t="n">
        <x:f>SUM(AV99,BE99,BJ99,BK99)</x:f>
        <x:v>356.2360000000001</x:v>
      </x:c>
      <x:c r="BM99" s="65" t="n">
        <x:f>BL99/AK99</x:f>
        <x:v>0.23564618542461976</x:v>
      </x:c>
      <x:c r="BN99" s="64" t="n">
        <x:f>-ROUND(AK99*'Drivers'!AE99,3)</x:f>
        <x:v>-99.062</x:v>
      </x:c>
      <x:c r="BO99" s="64" t="n">
        <x:f>BL99+BN99</x:f>
        <x:v>257.1740000000001</x:v>
      </x:c>
      <x:c r="BP99" s="65" t="n">
        <x:f>BO99/AK99</x:f>
        <x:v>0.17011776488168284</x:v>
      </x:c>
    </x:row>
    <x:row r="100">
      <x:c r="A100" s="61" t="n">
        <x:v>2026</x:v>
      </x:c>
      <x:c r="B100" s="18" t="str">
        <x:v>S1</x:v>
      </x:c>
      <x:c r="C100" s="18" t="str">
        <x:v>2026 S1</x:v>
      </x:c>
      <x:c r="D100" s="18" t="str">
        <x:v>CNCT0025</x:v>
      </x:c>
      <x:c r="E100" s="18" t="str">
        <x:v>广州K11</x:v>
      </x:c>
      <x:c r="F100" s="18" t="str">
        <x:v>广州</x:v>
      </x:c>
      <x:c r="G100" s="18" t="str">
        <x:v>广东省</x:v>
      </x:c>
      <x:c r="H100" s="18" t="str">
        <x:v>南区</x:v>
      </x:c>
      <x:c r="I100" s="18" t="str">
        <x:v>Shopping Mall</x:v>
      </x:c>
      <x:c r="J100" s="18" t="str">
        <x:v>Regional Mall</x:v>
      </x:c>
      <x:c r="K100" s="18" t="str">
        <x:v>正常</x:v>
      </x:c>
      <x:c r="L100" s="62" t="n">
        <x:v>5</x:v>
      </x:c>
      <x:c r="M100" s="62" t="n">
        <x:v>44</x:v>
      </x:c>
      <x:c r="N100" s="63" t="n">
        <x:f>'Drivers'!C100</x:f>
        <x:v>2074</x:v>
      </x:c>
      <x:c r="O100" s="63" t="n">
        <x:f>'Drivers'!D100</x:f>
        <x:v>1037.53</x:v>
      </x:c>
      <x:c r="P100" s="64" t="n">
        <x:f>ROUND(N100*O100/1000,3)</x:f>
        <x:v>2151.837</x:v>
      </x:c>
      <x:c r="Q100" s="64" t="n">
        <x:f>ROUND(P100*'Drivers'!E100,3)</x:f>
        <x:v>2111.319</x:v>
      </x:c>
      <x:c r="R100" s="64" t="n">
        <x:f>-ROUND(Q100*'Drivers'!F100,3)</x:f>
        <x:v>-412.635</x:v>
      </x:c>
      <x:c r="S100" s="65" t="n">
        <x:f>R100/Q100</x:f>
        <x:v>-0.1954394385689704</x:v>
      </x:c>
      <x:c r="T100" s="64" t="n">
        <x:f>-ROUND(Q100*'Drivers'!G100,3)</x:f>
        <x:v>-18.843</x:v>
      </x:c>
      <x:c r="U100" s="65" t="n">
        <x:f>T100/Q100</x:f>
        <x:v>-0.008924752725665805</x:v>
      </x:c>
      <x:c r="V100" s="64" t="n">
        <x:f>-ROUND(Q100*'Drivers'!H100,3)</x:f>
        <x:v>-22.171</x:v>
      </x:c>
      <x:c r="W100" s="64" t="n">
        <x:f>-ROUND(Q100*'Drivers'!I100,3)</x:f>
        <x:v>-20.22</x:v>
      </x:c>
      <x:c r="X100" s="64" t="n">
        <x:f>-ROUND(Q100*'Drivers'!J100,3)</x:f>
        <x:v>-27.947</x:v>
      </x:c>
      <x:c r="Y100" s="64" t="n">
        <x:f>-ROUND(Q100*'Drivers'!K100,3)</x:f>
        <x:v>-26.193</x:v>
      </x:c>
      <x:c r="Z100" s="64" t="n">
        <x:f>-ROUND(Q100*'Drivers'!L100,3)</x:f>
        <x:v>-19.444</x:v>
      </x:c>
      <x:c r="AA100" s="64" t="n">
        <x:f>-ROUND(Q100*'Drivers'!M100,3)</x:f>
        <x:v>-17.001</x:v>
      </x:c>
      <x:c r="AB100" s="64" t="n">
        <x:f>-ROUND(Q100*'Drivers'!N100,3)</x:f>
        <x:v>-18.195</x:v>
      </x:c>
      <x:c r="AC100" s="64" t="n">
        <x:f>SUM(V100:AB100)</x:f>
        <x:v>-151.171</x:v>
      </x:c>
      <x:c r="AD100" s="65" t="n">
        <x:f>AC100/Q100</x:f>
        <x:v>-0.071600265047584</x:v>
      </x:c>
      <x:c r="AE100" s="64" t="n">
        <x:f>-ROUND(Q100*'Drivers'!O100,3)</x:f>
        <x:v>-15.391</x:v>
      </x:c>
      <x:c r="AF100" s="65" t="n">
        <x:f>AE100/Q100</x:f>
        <x:v>-0.00728975583509645</x:v>
      </x:c>
      <x:c r="AG100" s="64" t="n">
        <x:f>-ROUND(Q100*'Drivers'!P100,3)</x:f>
        <x:v>-0.943</x:v>
      </x:c>
      <x:c r="AH100" s="64" t="n">
        <x:f>-ROUND(Q100*'Drivers'!Q100,3)</x:f>
        <x:v>-12.707</x:v>
      </x:c>
      <x:c r="AI100" s="64" t="n">
        <x:f>SUM(R100,T100,AC100,AE100,AG100,AH100)</x:f>
        <x:v>-611.6899999999999</x:v>
      </x:c>
      <x:c r="AJ100" s="65" t="n">
        <x:f>AI100/Q100</x:f>
        <x:v>-0.28971936500358303</x:v>
      </x:c>
      <x:c r="AK100" s="64" t="n">
        <x:f>Q100+AI100</x:f>
        <x:v>1499.629</x:v>
      </x:c>
      <x:c r="AL100" s="65" t="n">
        <x:f>AK100/Q100</x:f>
        <x:v>0.7102806349964169</x:v>
      </x:c>
      <x:c r="AM100" s="64" t="n">
        <x:f>AK100/L100</x:f>
        <x:v>299.9258</x:v>
      </x:c>
      <x:c r="AN100" s="66" t="str">
        <x:f>IF(AM100&lt;=200,"≤200K",IF(AM100&lt;=350,"200–350K",IF(AM100&lt;=500,"350–500K",IF(AM100&lt;=700,"500–700K","&gt;700K"))))</x:f>
        <x:v>200–350K</x:v>
      </x:c>
      <x:c r="AO100" s="64" t="n">
        <x:f>-ROUND(Q100*'Drivers'!R100,3)</x:f>
        <x:v>-853.967</x:v>
      </x:c>
      <x:c r="AP100" s="64" t="n">
        <x:f>-ROUND(AK100*'Drivers'!S100,3)</x:f>
        <x:v>-17.097</x:v>
      </x:c>
      <x:c r="AQ100" s="64" t="n">
        <x:f>-ROUND(AK100*'Drivers'!T100,3)</x:f>
        <x:v>-5.545</x:v>
      </x:c>
      <x:c r="AR100" s="64" t="n">
        <x:f>-ROUND(AK100*'Drivers'!U100,3)</x:f>
        <x:v>-15.797</x:v>
      </x:c>
      <x:c r="AS100" s="64" t="n">
        <x:f>-ROUND(AK100*'Drivers'!V100,3)</x:f>
        <x:v>-49.997</x:v>
      </x:c>
      <x:c r="AT100" s="64" t="n">
        <x:f>SUM(AO100:AS100)</x:f>
        <x:v>-942.4029999999999</x:v>
      </x:c>
      <x:c r="AU100" s="65" t="n">
        <x:f>AT100/AK100</x:f>
        <x:v>-0.6284240968932983</x:v>
      </x:c>
      <x:c r="AV100" s="64" t="n">
        <x:f>AK100+AT100</x:f>
        <x:v>557.226</x:v>
      </x:c>
      <x:c r="AW100" s="65" t="n">
        <x:f>AV100/AK100</x:f>
        <x:v>0.37157590310670174</x:v>
      </x:c>
      <x:c r="AX100" s="64" t="n">
        <x:f>-ROUND(AK100*'Drivers'!W100,3)</x:f>
        <x:v>-25.312</x:v>
      </x:c>
      <x:c r="AY100" s="64" t="n">
        <x:f>-ROUND(AK100*'Drivers'!X100,3)</x:f>
        <x:v>-37.606</x:v>
      </x:c>
      <x:c r="AZ100" s="64" t="n">
        <x:f>-ROUND(AK100*'Drivers'!Y100,3)</x:f>
        <x:v>-29.333</x:v>
      </x:c>
      <x:c r="BA100" s="64" t="n">
        <x:f>-ROUND(AK100*'Drivers'!Z100,3)</x:f>
        <x:v>-14.604</x:v>
      </x:c>
      <x:c r="BB100" s="64" t="n">
        <x:f>-ROUND(AK100*'Drivers'!AA100,3)</x:f>
        <x:v>-10.116</x:v>
      </x:c>
      <x:c r="BC100" s="64" t="n">
        <x:f>SUM(BA100,BB100)</x:f>
        <x:v>-24.72</x:v>
      </x:c>
      <x:c r="BD100" s="64" t="n">
        <x:f>-ROUND(AK100*'Drivers'!AB100,3)</x:f>
        <x:v>-11.659</x:v>
      </x:c>
      <x:c r="BE100" s="64" t="n">
        <x:f>SUM(AX100:BB100,BD100)</x:f>
        <x:v>-128.63</x:v>
      </x:c>
      <x:c r="BF100" s="67" t="n">
        <x:f>'Drivers'!AF100</x:f>
        <x:v>10</x:v>
      </x:c>
      <x:c r="BG100" s="64" t="n">
        <x:f>BJ100</x:f>
        <x:v>-34.795</x:v>
      </x:c>
      <x:c r="BH100" s="64" t="n">
        <x:f>BE100/BF100</x:f>
        <x:v>-12.863</x:v>
      </x:c>
      <x:c r="BI100" s="68" t="n">
        <x:f>BF100/L100</x:f>
        <x:v>2</x:v>
      </x:c>
      <x:c r="BJ100" s="64" t="n">
        <x:f>-ROUND(AK100*'Drivers'!AC100,3)</x:f>
        <x:v>-34.795</x:v>
      </x:c>
      <x:c r="BK100" s="64" t="n">
        <x:f>-ROUND(AK100*'Drivers'!AD100,3)</x:f>
        <x:v>-148.47</x:v>
      </x:c>
      <x:c r="BL100" s="64" t="n">
        <x:f>SUM(AV100,BE100,BJ100,BK100)</x:f>
        <x:v>245.331</x:v>
      </x:c>
      <x:c r="BM100" s="65" t="n">
        <x:f>BL100/AK100</x:f>
        <x:v>0.1635944623636913</x:v>
      </x:c>
      <x:c r="BN100" s="64" t="n">
        <x:f>-ROUND(AK100*'Drivers'!AE100,3)</x:f>
        <x:v>-98.269</x:v>
      </x:c>
      <x:c r="BO100" s="64" t="n">
        <x:f>BL100+BN100</x:f>
        <x:v>147.06199999999998</x:v>
      </x:c>
      <x:c r="BP100" s="65" t="n">
        <x:f>BO100/AK100</x:f>
        <x:v>0.09806558822215361</x:v>
      </x:c>
    </x:row>
    <x:row r="101">
      <x:c r="A101" s="61" t="n">
        <x:v>2026</x:v>
      </x:c>
      <x:c r="B101" s="18" t="str">
        <x:v>S2</x:v>
      </x:c>
      <x:c r="C101" s="18" t="str">
        <x:v>2026 S2</x:v>
      </x:c>
      <x:c r="D101" s="18" t="str">
        <x:v>CNCT0025</x:v>
      </x:c>
      <x:c r="E101" s="18" t="str">
        <x:v>广州K11</x:v>
      </x:c>
      <x:c r="F101" s="18" t="str">
        <x:v>广州</x:v>
      </x:c>
      <x:c r="G101" s="18" t="str">
        <x:v>广东省</x:v>
      </x:c>
      <x:c r="H101" s="18" t="str">
        <x:v>南区</x:v>
      </x:c>
      <x:c r="I101" s="18" t="str">
        <x:v>Shopping Mall</x:v>
      </x:c>
      <x:c r="J101" s="18" t="str">
        <x:v>Regional Mall</x:v>
      </x:c>
      <x:c r="K101" s="18" t="str">
        <x:v>正常</x:v>
      </x:c>
      <x:c r="L101" s="62" t="n">
        <x:v>5</x:v>
      </x:c>
      <x:c r="M101" s="62" t="n">
        <x:v>43</x:v>
      </x:c>
      <x:c r="N101" s="63" t="n">
        <x:f>'Drivers'!C101</x:f>
        <x:v>2120</x:v>
      </x:c>
      <x:c r="O101" s="63" t="n">
        <x:f>'Drivers'!D101</x:f>
        <x:v>1052.096</x:v>
      </x:c>
      <x:c r="P101" s="64" t="n">
        <x:f>ROUND(N101*O101/1000,3)</x:f>
        <x:v>2230.444</x:v>
      </x:c>
      <x:c r="Q101" s="64" t="n">
        <x:f>ROUND(P101*'Drivers'!E101,3)</x:f>
        <x:v>2194.912</x:v>
      </x:c>
      <x:c r="R101" s="64" t="n">
        <x:f>-ROUND(Q101*'Drivers'!F101,3)</x:f>
        <x:v>-427.479</x:v>
      </x:c>
      <x:c r="S101" s="65" t="n">
        <x:f>R101/Q101</x:f>
        <x:v>-0.19475906095551895</x:v>
      </x:c>
      <x:c r="T101" s="64" t="n">
        <x:f>-ROUND(Q101*'Drivers'!G101,3)</x:f>
        <x:v>-19.422</x:v>
      </x:c>
      <x:c r="U101" s="65" t="n">
        <x:f>T101/Q101</x:f>
        <x:v>-0.008848646323861733</x:v>
      </x:c>
      <x:c r="V101" s="64" t="n">
        <x:f>-ROUND(Q101*'Drivers'!H101,3)</x:f>
        <x:v>-23.048</x:v>
      </x:c>
      <x:c r="W101" s="64" t="n">
        <x:f>-ROUND(Q101*'Drivers'!I101,3)</x:f>
        <x:v>-21.02</x:v>
      </x:c>
      <x:c r="X101" s="64" t="n">
        <x:f>-ROUND(Q101*'Drivers'!J101,3)</x:f>
        <x:v>-29.053</x:v>
      </x:c>
      <x:c r="Y101" s="64" t="n">
        <x:f>-ROUND(Q101*'Drivers'!K101,3)</x:f>
        <x:v>-27.23</x:v>
      </x:c>
      <x:c r="Z101" s="64" t="n">
        <x:f>-ROUND(Q101*'Drivers'!L101,3)</x:f>
        <x:v>-20.214</x:v>
      </x:c>
      <x:c r="AA101" s="64" t="n">
        <x:f>-ROUND(Q101*'Drivers'!M101,3)</x:f>
        <x:v>-17.674</x:v>
      </x:c>
      <x:c r="AB101" s="64" t="n">
        <x:f>-ROUND(Q101*'Drivers'!N101,3)</x:f>
        <x:v>-18.915</x:v>
      </x:c>
      <x:c r="AC101" s="64" t="n">
        <x:f>SUM(V101:AB101)</x:f>
        <x:v>-157.154</x:v>
      </x:c>
      <x:c r="AD101" s="65" t="n">
        <x:f>AC101/Q101</x:f>
        <x:v>-0.07159922584595647</x:v>
      </x:c>
      <x:c r="AE101" s="64" t="n">
        <x:f>-ROUND(Q101*'Drivers'!O101,3)</x:f>
        <x:v>-16.32</x:v>
      </x:c>
      <x:c r="AF101" s="65" t="n">
        <x:f>AE101/Q101</x:f>
        <x:v>-0.007435377819247424</x:v>
      </x:c>
      <x:c r="AG101" s="64" t="n">
        <x:f>-ROUND(Q101*'Drivers'!P101,3)</x:f>
        <x:v>-0.981</x:v>
      </x:c>
      <x:c r="AH101" s="64" t="n">
        <x:f>-ROUND(Q101*'Drivers'!Q101,3)</x:f>
        <x:v>-13.21</x:v>
      </x:c>
      <x:c r="AI101" s="64" t="n">
        <x:f>SUM(R101,T101,AC101,AE101,AG101,AH101)</x:f>
        <x:v>-634.5660000000001</x:v>
      </x:c>
      <x:c r="AJ101" s="65" t="n">
        <x:f>AI101/Q101</x:f>
        <x:v>-0.2891077182137599</x:v>
      </x:c>
      <x:c r="AK101" s="64" t="n">
        <x:f>Q101+AI101</x:f>
        <x:v>1560.3459999999995</x:v>
      </x:c>
      <x:c r="AL101" s="65" t="n">
        <x:f>AK101/Q101</x:f>
        <x:v>0.7108922817862401</x:v>
      </x:c>
      <x:c r="AM101" s="64" t="n">
        <x:f>AK101/L101</x:f>
        <x:v>312.0691999999999</x:v>
      </x:c>
      <x:c r="AN101" s="66" t="str">
        <x:f>IF(AM101&lt;=200,"≤200K",IF(AM101&lt;=350,"200–350K",IF(AM101&lt;=500,"350–500K",IF(AM101&lt;=700,"500–700K","&gt;700K"))))</x:f>
        <x:v>200–350K</x:v>
      </x:c>
      <x:c r="AO101" s="64" t="n">
        <x:f>-ROUND(Q101*'Drivers'!R101,3)</x:f>
        <x:v>-848.327</x:v>
      </x:c>
      <x:c r="AP101" s="64" t="n">
        <x:f>-ROUND(AK101*'Drivers'!S101,3)</x:f>
        <x:v>-17.789</x:v>
      </x:c>
      <x:c r="AQ101" s="64" t="n">
        <x:f>-ROUND(AK101*'Drivers'!T101,3)</x:f>
        <x:v>-5.77</x:v>
      </x:c>
      <x:c r="AR101" s="64" t="n">
        <x:f>-ROUND(AK101*'Drivers'!U101,3)</x:f>
        <x:v>-16.436</x:v>
      </x:c>
      <x:c r="AS101" s="64" t="n">
        <x:f>-ROUND(AK101*'Drivers'!V101,3)</x:f>
        <x:v>-52.021</x:v>
      </x:c>
      <x:c r="AT101" s="64" t="n">
        <x:f>SUM(AO101:AS101)</x:f>
        <x:v>-940.343</x:v>
      </x:c>
      <x:c r="AU101" s="65" t="n">
        <x:f>AT101/AK101</x:f>
        <x:v>-0.6026503096108172</x:v>
      </x:c>
      <x:c r="AV101" s="64" t="n">
        <x:f>AK101+AT101</x:f>
        <x:v>620.0029999999996</x:v>
      </x:c>
      <x:c r="AW101" s="65" t="n">
        <x:f>AV101/AK101</x:f>
        <x:v>0.3973496903891828</x:v>
      </x:c>
      <x:c r="AX101" s="64" t="n">
        <x:f>-ROUND(AK101*'Drivers'!W101,3)</x:f>
        <x:v>-22.689</x:v>
      </x:c>
      <x:c r="AY101" s="64" t="n">
        <x:f>-ROUND(AK101*'Drivers'!X101,3)</x:f>
        <x:v>-33.709</x:v>
      </x:c>
      <x:c r="AZ101" s="64" t="n">
        <x:f>-ROUND(AK101*'Drivers'!Y101,3)</x:f>
        <x:v>-26.292</x:v>
      </x:c>
      <x:c r="BA101" s="64" t="n">
        <x:f>-ROUND(AK101*'Drivers'!Z101,3)</x:f>
        <x:v>-13.09</x:v>
      </x:c>
      <x:c r="BB101" s="64" t="n">
        <x:f>-ROUND(AK101*'Drivers'!AA101,3)</x:f>
        <x:v>-9.067</x:v>
      </x:c>
      <x:c r="BC101" s="64" t="n">
        <x:f>SUM(BA101,BB101)</x:f>
        <x:v>-22.157</x:v>
      </x:c>
      <x:c r="BD101" s="64" t="n">
        <x:f>-ROUND(AK101*'Drivers'!AB101,3)</x:f>
        <x:v>-10.45</x:v>
      </x:c>
      <x:c r="BE101" s="64" t="n">
        <x:f>SUM(AX101:BB101,BD101)</x:f>
        <x:v>-115.29700000000001</x:v>
      </x:c>
      <x:c r="BF101" s="67" t="n">
        <x:f>'Drivers'!AF101</x:f>
        <x:v>10</x:v>
      </x:c>
      <x:c r="BG101" s="64" t="n">
        <x:f>BJ101</x:f>
        <x:v>-31.188</x:v>
      </x:c>
      <x:c r="BH101" s="64" t="n">
        <x:f>BE101/BF101</x:f>
        <x:v>-11.529700000000002</x:v>
      </x:c>
      <x:c r="BI101" s="68" t="n">
        <x:f>BF101/L101</x:f>
        <x:v>2</x:v>
      </x:c>
      <x:c r="BJ101" s="64" t="n">
        <x:f>-ROUND(AK101*'Drivers'!AC101,3)</x:f>
        <x:v>-31.188</x:v>
      </x:c>
      <x:c r="BK101" s="64" t="n">
        <x:f>-ROUND(AK101*'Drivers'!AD101,3)</x:f>
        <x:v>-154.481</x:v>
      </x:c>
      <x:c r="BL101" s="64" t="n">
        <x:f>SUM(AV101,BE101,BJ101,BK101)</x:f>
        <x:v>319.0369999999996</x:v>
      </x:c>
      <x:c r="BM101" s="65" t="n">
        <x:f>BL101/AK101</x:f>
        <x:v>0.20446554802588635</x:v>
      </x:c>
      <x:c r="BN101" s="64" t="n">
        <x:f>-ROUND(AK101*'Drivers'!AE101,3)</x:f>
        <x:v>-102.247</x:v>
      </x:c>
      <x:c r="BO101" s="64" t="n">
        <x:f>BL101+BN101</x:f>
        <x:v>216.78999999999957</x:v>
      </x:c>
      <x:c r="BP101" s="65" t="n">
        <x:f>BO101/AK101</x:f>
        <x:v>0.13893713317430853</x:v>
      </x:c>
    </x:row>
    <x:row r="102">
      <x:c r="A102" s="61" t="n">
        <x:v>2025</x:v>
      </x:c>
      <x:c r="B102" s="18" t="str">
        <x:v>S1</x:v>
      </x:c>
      <x:c r="C102" s="18" t="str">
        <x:v>2025 S1</x:v>
      </x:c>
      <x:c r="D102" s="18" t="str">
        <x:v>CNCT0026</x:v>
      </x:c>
      <x:c r="E102" s="18" t="str">
        <x:v>广州广百百货北京路店</x:v>
      </x:c>
      <x:c r="F102" s="18" t="str">
        <x:v>广州</x:v>
      </x:c>
      <x:c r="G102" s="18" t="str">
        <x:v>广东省</x:v>
      </x:c>
      <x:c r="H102" s="18" t="str">
        <x:v>南区</x:v>
      </x:c>
      <x:c r="I102" s="18" t="str">
        <x:v>Department Store</x:v>
      </x:c>
      <x:c r="J102" s="18" t="str">
        <x:v>Regional Mall</x:v>
      </x:c>
      <x:c r="K102" s="18" t="str">
        <x:v>正常</x:v>
      </x:c>
      <x:c r="L102" s="62" t="n">
        <x:v>4</x:v>
      </x:c>
      <x:c r="M102" s="62" t="n">
        <x:v>44</x:v>
      </x:c>
      <x:c r="N102" s="63" t="n">
        <x:f>'Drivers'!C102</x:f>
        <x:v>1735</x:v>
      </x:c>
      <x:c r="O102" s="63" t="n">
        <x:f>'Drivers'!D102</x:f>
        <x:v>925.749</x:v>
      </x:c>
      <x:c r="P102" s="64" t="n">
        <x:f>ROUND(N102*O102/1000,3)</x:f>
        <x:v>1606.175</x:v>
      </x:c>
      <x:c r="Q102" s="64" t="n">
        <x:f>ROUND(P102*'Drivers'!E102,3)</x:f>
        <x:v>1581.052</x:v>
      </x:c>
      <x:c r="R102" s="64" t="n">
        <x:f>-ROUND(Q102*'Drivers'!F102,3)</x:f>
        <x:v>-330.513</x:v>
      </x:c>
      <x:c r="S102" s="65" t="n">
        <x:f>R102/Q102</x:f>
        <x:v>-0.20904625527813125</x:v>
      </x:c>
      <x:c r="T102" s="64" t="n">
        <x:f>-ROUND(Q102*'Drivers'!G102,3)</x:f>
        <x:v>-20.874</x:v>
      </x:c>
      <x:c r="U102" s="65" t="n">
        <x:f>T102/Q102</x:f>
        <x:v>-0.013202601811958113</x:v>
      </x:c>
      <x:c r="V102" s="64" t="n">
        <x:f>-ROUND(Q102*'Drivers'!H102,3)</x:f>
        <x:v>-16.113</x:v>
      </x:c>
      <x:c r="W102" s="64" t="n">
        <x:f>-ROUND(Q102*'Drivers'!I102,3)</x:f>
        <x:v>-11.872</x:v>
      </x:c>
      <x:c r="X102" s="64" t="n">
        <x:f>-ROUND(Q102*'Drivers'!J102,3)</x:f>
        <x:v>-18.947</x:v>
      </x:c>
      <x:c r="Y102" s="64" t="n">
        <x:f>-ROUND(Q102*'Drivers'!K102,3)</x:f>
        <x:v>-12.712</x:v>
      </x:c>
      <x:c r="Z102" s="64" t="n">
        <x:f>-ROUND(Q102*'Drivers'!L102,3)</x:f>
        <x:v>-20.688</x:v>
      </x:c>
      <x:c r="AA102" s="64" t="n">
        <x:f>-ROUND(Q102*'Drivers'!M102,3)</x:f>
        <x:v>-14.978</x:v>
      </x:c>
      <x:c r="AB102" s="64" t="n">
        <x:f>-ROUND(Q102*'Drivers'!N102,3)</x:f>
        <x:v>-11.064</x:v>
      </x:c>
      <x:c r="AC102" s="64" t="n">
        <x:f>SUM(V102:AB102)</x:f>
        <x:v>-106.374</x:v>
      </x:c>
      <x:c r="AD102" s="65" t="n">
        <x:f>AC102/Q102</x:f>
        <x:v>-0.06728051955280408</x:v>
      </x:c>
      <x:c r="AE102" s="64" t="n">
        <x:f>-ROUND(Q102*'Drivers'!O102,3)</x:f>
        <x:v>-19.737</x:v>
      </x:c>
      <x:c r="AF102" s="65" t="n">
        <x:f>AE102/Q102</x:f>
        <x:v>-0.012483460379544759</x:v>
      </x:c>
      <x:c r="AG102" s="64" t="n">
        <x:f>-ROUND(Q102*'Drivers'!P102,3)</x:f>
        <x:v>-2.633</x:v>
      </x:c>
      <x:c r="AH102" s="64" t="n">
        <x:f>-ROUND(Q102*'Drivers'!Q102,3)</x:f>
        <x:v>-8.66</x:v>
      </x:c>
      <x:c r="AI102" s="64" t="n">
        <x:f>SUM(R102,T102,AC102,AE102,AG102,AH102)</x:f>
        <x:v>-488.791</x:v>
      </x:c>
      <x:c r="AJ102" s="65" t="n">
        <x:f>AI102/Q102</x:f>
        <x:v>-0.3091555495960917</x:v>
      </x:c>
      <x:c r="AK102" s="64" t="n">
        <x:f>Q102+AI102</x:f>
        <x:v>1092.261</x:v>
      </x:c>
      <x:c r="AL102" s="65" t="n">
        <x:f>AK102/Q102</x:f>
        <x:v>0.6908444504039083</x:v>
      </x:c>
      <x:c r="AM102" s="64" t="n">
        <x:f>AK102/L102</x:f>
        <x:v>273.06525</x:v>
      </x:c>
      <x:c r="AN102" s="66" t="str">
        <x:f>IF(AM102&lt;=200,"≤200K",IF(AM102&lt;=350,"200–350K",IF(AM102&lt;=500,"350–500K",IF(AM102&lt;=700,"500–700K","&gt;700K"))))</x:f>
        <x:v>200–350K</x:v>
      </x:c>
      <x:c r="AO102" s="64" t="n">
        <x:f>-ROUND(Q102*'Drivers'!R102,3)</x:f>
        <x:v>-574.669</x:v>
      </x:c>
      <x:c r="AP102" s="64" t="n">
        <x:f>-ROUND(AK102*'Drivers'!S102,3)</x:f>
        <x:v>-14.593</x:v>
      </x:c>
      <x:c r="AQ102" s="64" t="n">
        <x:f>-ROUND(AK102*'Drivers'!T102,3)</x:f>
        <x:v>-6.652</x:v>
      </x:c>
      <x:c r="AR102" s="64" t="n">
        <x:f>-ROUND(AK102*'Drivers'!U102,3)</x:f>
        <x:v>-11.281</x:v>
      </x:c>
      <x:c r="AS102" s="64" t="n">
        <x:f>-ROUND(AK102*'Drivers'!V102,3)</x:f>
        <x:v>-32.646</x:v>
      </x:c>
      <x:c r="AT102" s="64" t="n">
        <x:f>SUM(AO102:AS102)</x:f>
        <x:v>-639.8409999999999</x:v>
      </x:c>
      <x:c r="AU102" s="65" t="n">
        <x:f>AT102/AK102</x:f>
        <x:v>-0.5857949702497846</x:v>
      </x:c>
      <x:c r="AV102" s="64" t="n">
        <x:f>AK102+AT102</x:f>
        <x:v>452.4200000000001</x:v>
      </x:c>
      <x:c r="AW102" s="65" t="n">
        <x:f>AV102/AK102</x:f>
        <x:v>0.41420502975021545</x:v>
      </x:c>
      <x:c r="AX102" s="64" t="n">
        <x:f>-ROUND(AK102*'Drivers'!W102,3)</x:f>
        <x:v>-16.511</x:v>
      </x:c>
      <x:c r="AY102" s="64" t="n">
        <x:f>-ROUND(AK102*'Drivers'!X102,3)</x:f>
        <x:v>-20.119</x:v>
      </x:c>
      <x:c r="AZ102" s="64" t="n">
        <x:f>-ROUND(AK102*'Drivers'!Y102,3)</x:f>
        <x:v>-21.617</x:v>
      </x:c>
      <x:c r="BA102" s="64" t="n">
        <x:f>-ROUND(AK102*'Drivers'!Z102,3)</x:f>
        <x:v>-5.68</x:v>
      </x:c>
      <x:c r="BB102" s="64" t="n">
        <x:f>-ROUND(AK102*'Drivers'!AA102,3)</x:f>
        <x:v>-6.72</x:v>
      </x:c>
      <x:c r="BC102" s="64" t="n">
        <x:f>SUM(BA102,BB102)</x:f>
        <x:v>-12.399999999999999</x:v>
      </x:c>
      <x:c r="BD102" s="64" t="n">
        <x:f>-ROUND(AK102*'Drivers'!AB102,3)</x:f>
        <x:v>-4.7</x:v>
      </x:c>
      <x:c r="BE102" s="64" t="n">
        <x:f>SUM(AX102:BB102,BD102)</x:f>
        <x:v>-75.34700000000001</x:v>
      </x:c>
      <x:c r="BF102" s="67" t="n">
        <x:f>'Drivers'!AF102</x:f>
        <x:v>7</x:v>
      </x:c>
      <x:c r="BG102" s="64" t="n">
        <x:f>BJ102</x:f>
        <x:v>-30.593</x:v>
      </x:c>
      <x:c r="BH102" s="64" t="n">
        <x:f>BE102/BF102</x:f>
        <x:v>-10.763857142857145</x:v>
      </x:c>
      <x:c r="BI102" s="68" t="n">
        <x:f>BF102/L102</x:f>
        <x:v>1.75</x:v>
      </x:c>
      <x:c r="BJ102" s="64" t="n">
        <x:f>-ROUND(AK102*'Drivers'!AC102,3)</x:f>
        <x:v>-30.593</x:v>
      </x:c>
      <x:c r="BK102" s="64" t="n">
        <x:f>-ROUND(AK102*'Drivers'!AD102,3)</x:f>
        <x:v>-132.108</x:v>
      </x:c>
      <x:c r="BL102" s="64" t="n">
        <x:f>SUM(AV102,BE102,BJ102,BK102)</x:f>
        <x:v>214.37200000000007</x:v>
      </x:c>
      <x:c r="BM102" s="65" t="n">
        <x:f>BL102/AK102</x:f>
        <x:v>0.1962644459520207</x:v>
      </x:c>
      <x:c r="BN102" s="64" t="n">
        <x:f>-ROUND(AK102*'Drivers'!AE102,3)</x:f>
        <x:v>-83.927</x:v>
      </x:c>
      <x:c r="BO102" s="64" t="n">
        <x:f>BL102+BN102</x:f>
        <x:v>130.44500000000005</x:v>
      </x:c>
      <x:c r="BP102" s="65" t="n">
        <x:f>BO102/AK102</x:f>
        <x:v>0.11942658393918675</x:v>
      </x:c>
    </x:row>
    <x:row r="103">
      <x:c r="A103" s="61" t="n">
        <x:v>2025</x:v>
      </x:c>
      <x:c r="B103" s="18" t="str">
        <x:v>S2</x:v>
      </x:c>
      <x:c r="C103" s="18" t="str">
        <x:v>2025 S2</x:v>
      </x:c>
      <x:c r="D103" s="18" t="str">
        <x:v>CNCT0026</x:v>
      </x:c>
      <x:c r="E103" s="18" t="str">
        <x:v>广州广百百货北京路店</x:v>
      </x:c>
      <x:c r="F103" s="18" t="str">
        <x:v>广州</x:v>
      </x:c>
      <x:c r="G103" s="18" t="str">
        <x:v>广东省</x:v>
      </x:c>
      <x:c r="H103" s="18" t="str">
        <x:v>南区</x:v>
      </x:c>
      <x:c r="I103" s="18" t="str">
        <x:v>Department Store</x:v>
      </x:c>
      <x:c r="J103" s="18" t="str">
        <x:v>Regional Mall</x:v>
      </x:c>
      <x:c r="K103" s="18" t="str">
        <x:v>正常</x:v>
      </x:c>
      <x:c r="L103" s="62" t="n">
        <x:v>4</x:v>
      </x:c>
      <x:c r="M103" s="62" t="n">
        <x:v>44</x:v>
      </x:c>
      <x:c r="N103" s="63" t="n">
        <x:f>'Drivers'!C103</x:f>
        <x:v>1892</x:v>
      </x:c>
      <x:c r="O103" s="63" t="n">
        <x:f>'Drivers'!D103</x:f>
        <x:v>936.858</x:v>
      </x:c>
      <x:c r="P103" s="64" t="n">
        <x:f>ROUND(N103*O103/1000,3)</x:f>
        <x:v>1772.535</x:v>
      </x:c>
      <x:c r="Q103" s="64" t="n">
        <x:f>ROUND(P103*'Drivers'!E103,3)</x:f>
        <x:v>1712.463</x:v>
      </x:c>
      <x:c r="R103" s="64" t="n">
        <x:f>-ROUND(Q103*'Drivers'!F103,3)</x:f>
        <x:v>-357.984</x:v>
      </x:c>
      <x:c r="S103" s="65" t="n">
        <x:f>R103/Q103</x:f>
        <x:v>-0.20904626844492405</x:v>
      </x:c>
      <x:c r="T103" s="64" t="n">
        <x:f>-ROUND(Q103*'Drivers'!G103,3)</x:f>
        <x:v>-22.609</x:v>
      </x:c>
      <x:c r="U103" s="65" t="n">
        <x:f>T103/Q103</x:f>
        <x:v>-0.01320262102013299</x:v>
      </x:c>
      <x:c r="V103" s="64" t="n">
        <x:f>-ROUND(Q103*'Drivers'!H103,3)</x:f>
        <x:v>-17.453</x:v>
      </x:c>
      <x:c r="W103" s="64" t="n">
        <x:f>-ROUND(Q103*'Drivers'!I103,3)</x:f>
        <x:v>-12.859</x:v>
      </x:c>
      <x:c r="X103" s="64" t="n">
        <x:f>-ROUND(Q103*'Drivers'!J103,3)</x:f>
        <x:v>-20.522</x:v>
      </x:c>
      <x:c r="Y103" s="64" t="n">
        <x:f>-ROUND(Q103*'Drivers'!K103,3)</x:f>
        <x:v>-13.769</x:v>
      </x:c>
      <x:c r="Z103" s="64" t="n">
        <x:f>-ROUND(Q103*'Drivers'!L103,3)</x:f>
        <x:v>-22.407</x:v>
      </x:c>
      <x:c r="AA103" s="64" t="n">
        <x:f>-ROUND(Q103*'Drivers'!M103,3)</x:f>
        <x:v>-16.223</x:v>
      </x:c>
      <x:c r="AB103" s="64" t="n">
        <x:f>-ROUND(Q103*'Drivers'!N103,3)</x:f>
        <x:v>-11.984</x:v>
      </x:c>
      <x:c r="AC103" s="64" t="n">
        <x:f>SUM(V103:AB103)</x:f>
        <x:v>-115.21699999999998</x:v>
      </x:c>
      <x:c r="AD103" s="65" t="n">
        <x:f>AC103/Q103</x:f>
        <x:v>-0.06728145367228372</x:v>
      </x:c>
      <x:c r="AE103" s="64" t="n">
        <x:f>-ROUND(Q103*'Drivers'!O103,3)</x:f>
        <x:v>-21.378</x:v>
      </x:c>
      <x:c r="AF103" s="65" t="n">
        <x:f>AE103/Q103</x:f>
        <x:v>-0.012483773372037819</x:v>
      </x:c>
      <x:c r="AG103" s="64" t="n">
        <x:f>-ROUND(Q103*'Drivers'!P103,3)</x:f>
        <x:v>-2.851</x:v>
      </x:c>
      <x:c r="AH103" s="64" t="n">
        <x:f>-ROUND(Q103*'Drivers'!Q103,3)</x:f>
        <x:v>-9.38</x:v>
      </x:c>
      <x:c r="AI103" s="64" t="n">
        <x:f>SUM(R103,T103,AC103,AE103,AG103,AH103)</x:f>
        <x:v>-529.419</x:v>
      </x:c>
      <x:c r="AJ103" s="65" t="n">
        <x:f>AI103/Q103</x:f>
        <x:v>-0.3091564606067401</x:v>
      </x:c>
      <x:c r="AK103" s="64" t="n">
        <x:f>Q103+AI103</x:f>
        <x:v>1183.0439999999999</x:v>
      </x:c>
      <x:c r="AL103" s="65" t="n">
        <x:f>AK103/Q103</x:f>
        <x:v>0.6908435393932598</x:v>
      </x:c>
      <x:c r="AM103" s="64" t="n">
        <x:f>AK103/L103</x:f>
        <x:v>295.76099999999997</x:v>
      </x:c>
      <x:c r="AN103" s="66" t="str">
        <x:f>IF(AM103&lt;=200,"≤200K",IF(AM103&lt;=350,"200–350K",IF(AM103&lt;=500,"350–500K",IF(AM103&lt;=700,"500–700K","&gt;700K"))))</x:f>
        <x:v>200–350K</x:v>
      </x:c>
      <x:c r="AO103" s="64" t="n">
        <x:f>-ROUND(Q103*'Drivers'!R103,3)</x:f>
        <x:v>-614.43</x:v>
      </x:c>
      <x:c r="AP103" s="64" t="n">
        <x:f>-ROUND(AK103*'Drivers'!S103,3)</x:f>
        <x:v>-15.806</x:v>
      </x:c>
      <x:c r="AQ103" s="64" t="n">
        <x:f>-ROUND(AK103*'Drivers'!T103,3)</x:f>
        <x:v>-7.205</x:v>
      </x:c>
      <x:c r="AR103" s="64" t="n">
        <x:f>-ROUND(AK103*'Drivers'!U103,3)</x:f>
        <x:v>-12.219</x:v>
      </x:c>
      <x:c r="AS103" s="64" t="n">
        <x:f>-ROUND(AK103*'Drivers'!V103,3)</x:f>
        <x:v>-35.359</x:v>
      </x:c>
      <x:c r="AT103" s="64" t="n">
        <x:f>SUM(AO103:AS103)</x:f>
        <x:v>-685.0190000000001</x:v>
      </x:c>
      <x:c r="AU103" s="65" t="n">
        <x:f>AT103/AK103</x:f>
        <x:v>-0.5790308729007545</x:v>
      </x:c>
      <x:c r="AV103" s="64" t="n">
        <x:f>AK103+AT103</x:f>
        <x:v>498.02499999999975</x:v>
      </x:c>
      <x:c r="AW103" s="65" t="n">
        <x:f>AV103/AK103</x:f>
        <x:v>0.4209691270992455</x:v>
      </x:c>
      <x:c r="AX103" s="64" t="n">
        <x:f>-ROUND(AK103*'Drivers'!W103,3)</x:f>
        <x:v>-17.884</x:v>
      </x:c>
      <x:c r="AY103" s="64" t="n">
        <x:f>-ROUND(AK103*'Drivers'!X103,3)</x:f>
        <x:v>-21.791</x:v>
      </x:c>
      <x:c r="AZ103" s="64" t="n">
        <x:f>-ROUND(AK103*'Drivers'!Y103,3)</x:f>
        <x:v>-23.413</x:v>
      </x:c>
      <x:c r="BA103" s="64" t="n">
        <x:f>-ROUND(AK103*'Drivers'!Z103,3)</x:f>
        <x:v>-6.152</x:v>
      </x:c>
      <x:c r="BB103" s="64" t="n">
        <x:f>-ROUND(AK103*'Drivers'!AA103,3)</x:f>
        <x:v>-7.279</x:v>
      </x:c>
      <x:c r="BC103" s="64" t="n">
        <x:f>SUM(BA103,BB103)</x:f>
        <x:v>-13.431000000000001</x:v>
      </x:c>
      <x:c r="BD103" s="64" t="n">
        <x:f>-ROUND(AK103*'Drivers'!AB103,3)</x:f>
        <x:v>-5.09</x:v>
      </x:c>
      <x:c r="BE103" s="64" t="n">
        <x:f>SUM(AX103:BB103,BD103)</x:f>
        <x:v>-81.609</x:v>
      </x:c>
      <x:c r="BF103" s="67" t="n">
        <x:f>'Drivers'!AF103</x:f>
        <x:v>7</x:v>
      </x:c>
      <x:c r="BG103" s="64" t="n">
        <x:f>BJ103</x:f>
        <x:v>-33.135</x:v>
      </x:c>
      <x:c r="BH103" s="64" t="n">
        <x:f>BE103/BF103</x:f>
        <x:v>-11.658428571428571</x:v>
      </x:c>
      <x:c r="BI103" s="68" t="n">
        <x:f>BF103/L103</x:f>
        <x:v>1.75</x:v>
      </x:c>
      <x:c r="BJ103" s="64" t="n">
        <x:f>-ROUND(AK103*'Drivers'!AC103,3)</x:f>
        <x:v>-33.135</x:v>
      </x:c>
      <x:c r="BK103" s="64" t="n">
        <x:f>-ROUND(AK103*'Drivers'!AD103,3)</x:f>
        <x:v>-143.088</x:v>
      </x:c>
      <x:c r="BL103" s="64" t="n">
        <x:f>SUM(AV103,BE103,BJ103,BK103)</x:f>
        <x:v>240.19299999999978</x:v>
      </x:c>
      <x:c r="BM103" s="65" t="n">
        <x:f>BL103/AK103</x:f>
        <x:v>0.2030296421772984</x:v>
      </x:c>
      <x:c r="BN103" s="64" t="n">
        <x:f>-ROUND(AK103*'Drivers'!AE103,3)</x:f>
        <x:v>-90.903</x:v>
      </x:c>
      <x:c r="BO103" s="64" t="n">
        <x:f>BL103+BN103</x:f>
        <x:v>149.2899999999998</x:v>
      </x:c>
      <x:c r="BP103" s="65" t="n">
        <x:f>BO103/AK103</x:f>
        <x:v>0.12619141807067177</x:v>
      </x:c>
    </x:row>
    <x:row r="104">
      <x:c r="A104" s="61" t="n">
        <x:v>2026</x:v>
      </x:c>
      <x:c r="B104" s="18" t="str">
        <x:v>S1</x:v>
      </x:c>
      <x:c r="C104" s="18" t="str">
        <x:v>2026 S1</x:v>
      </x:c>
      <x:c r="D104" s="18" t="str">
        <x:v>CNCT0026</x:v>
      </x:c>
      <x:c r="E104" s="18" t="str">
        <x:v>广州广百百货北京路店</x:v>
      </x:c>
      <x:c r="F104" s="18" t="str">
        <x:v>广州</x:v>
      </x:c>
      <x:c r="G104" s="18" t="str">
        <x:v>广东省</x:v>
      </x:c>
      <x:c r="H104" s="18" t="str">
        <x:v>南区</x:v>
      </x:c>
      <x:c r="I104" s="18" t="str">
        <x:v>Department Store</x:v>
      </x:c>
      <x:c r="J104" s="18" t="str">
        <x:v>Regional Mall</x:v>
      </x:c>
      <x:c r="K104" s="18" t="str">
        <x:v>正常</x:v>
      </x:c>
      <x:c r="L104" s="62" t="n">
        <x:v>4</x:v>
      </x:c>
      <x:c r="M104" s="62" t="n">
        <x:v>44</x:v>
      </x:c>
      <x:c r="N104" s="63" t="n">
        <x:f>'Drivers'!C104</x:f>
        <x:v>1597</x:v>
      </x:c>
      <x:c r="O104" s="63" t="n">
        <x:f>'Drivers'!D104</x:f>
        <x:v>973.94</x:v>
      </x:c>
      <x:c r="P104" s="64" t="n">
        <x:f>ROUND(N104*O104/1000,3)</x:f>
        <x:v>1555.382</x:v>
      </x:c>
      <x:c r="Q104" s="64" t="n">
        <x:f>ROUND(P104*'Drivers'!E104,3)</x:f>
        <x:v>1537.122</x:v>
      </x:c>
      <x:c r="R104" s="64" t="n">
        <x:f>-ROUND(Q104*'Drivers'!F104,3)</x:f>
        <x:v>-315.098</x:v>
      </x:c>
      <x:c r="S104" s="65" t="n">
        <x:f>R104/Q104</x:f>
        <x:v>-0.20499218669695704</x:v>
      </x:c>
      <x:c r="T104" s="64" t="n">
        <x:f>-ROUND(Q104*'Drivers'!G104,3)</x:f>
        <x:v>-19.469</x:v>
      </x:c>
      <x:c r="U104" s="65" t="n">
        <x:f>T104/Q104</x:f>
        <x:v>-0.012665878180131441</x:v>
      </x:c>
      <x:c r="V104" s="64" t="n">
        <x:f>-ROUND(Q104*'Drivers'!H104,3)</x:f>
        <x:v>-15.666</x:v>
      </x:c>
      <x:c r="W104" s="64" t="n">
        <x:f>-ROUND(Q104*'Drivers'!I104,3)</x:f>
        <x:v>-11.542</x:v>
      </x:c>
      <x:c r="X104" s="64" t="n">
        <x:f>-ROUND(Q104*'Drivers'!J104,3)</x:f>
        <x:v>-18.42</x:v>
      </x:c>
      <x:c r="Y104" s="64" t="n">
        <x:f>-ROUND(Q104*'Drivers'!K104,3)</x:f>
        <x:v>-12.359</x:v>
      </x:c>
      <x:c r="Z104" s="64" t="n">
        <x:f>-ROUND(Q104*'Drivers'!L104,3)</x:f>
        <x:v>-20.113</x:v>
      </x:c>
      <x:c r="AA104" s="64" t="n">
        <x:f>-ROUND(Q104*'Drivers'!M104,3)</x:f>
        <x:v>-14.562</x:v>
      </x:c>
      <x:c r="AB104" s="64" t="n">
        <x:f>-ROUND(Q104*'Drivers'!N104,3)</x:f>
        <x:v>-10.757</x:v>
      </x:c>
      <x:c r="AC104" s="64" t="n">
        <x:f>SUM(V104:AB104)</x:f>
        <x:v>-103.419</x:v>
      </x:c>
      <x:c r="AD104" s="65" t="n">
        <x:f>AC104/Q104</x:f>
        <x:v>-0.0672809315070632</x:v>
      </x:c>
      <x:c r="AE104" s="64" t="n">
        <x:f>-ROUND(Q104*'Drivers'!O104,3)</x:f>
        <x:v>-18.376</x:v>
      </x:c>
      <x:c r="AF104" s="65" t="n">
        <x:f>AE104/Q104</x:f>
        <x:v>-0.011954809052241788</x:v>
      </x:c>
      <x:c r="AG104" s="64" t="n">
        <x:f>-ROUND(Q104*'Drivers'!P104,3)</x:f>
        <x:v>-2.56</x:v>
      </x:c>
      <x:c r="AH104" s="64" t="n">
        <x:f>-ROUND(Q104*'Drivers'!Q104,3)</x:f>
        <x:v>-8.42</x:v>
      </x:c>
      <x:c r="AI104" s="64" t="n">
        <x:f>SUM(R104,T104,AC104,AE104,AG104,AH104)</x:f>
        <x:v>-467.342</x:v>
      </x:c>
      <x:c r="AJ104" s="65" t="n">
        <x:f>AI104/Q104</x:f>
        <x:v>-0.3040370250377003</x:v>
      </x:c>
      <x:c r="AK104" s="64" t="n">
        <x:f>Q104+AI104</x:f>
        <x:v>1069.7800000000002</x:v>
      </x:c>
      <x:c r="AL104" s="65" t="n">
        <x:f>AK104/Q104</x:f>
        <x:v>0.6959629749622998</x:v>
      </x:c>
      <x:c r="AM104" s="64" t="n">
        <x:f>AK104/L104</x:f>
        <x:v>267.44500000000005</x:v>
      </x:c>
      <x:c r="AN104" s="66" t="str">
        <x:f>IF(AM104&lt;=200,"≤200K",IF(AM104&lt;=350,"200–350K",IF(AM104&lt;=500,"350–500K",IF(AM104&lt;=700,"500–700K","&gt;700K"))))</x:f>
        <x:v>200–350K</x:v>
      </x:c>
      <x:c r="AO104" s="64" t="n">
        <x:f>-ROUND(Q104*'Drivers'!R104,3)</x:f>
        <x:v>-570.567</x:v>
      </x:c>
      <x:c r="AP104" s="64" t="n">
        <x:f>-ROUND(AK104*'Drivers'!S104,3)</x:f>
        <x:v>-14.293</x:v>
      </x:c>
      <x:c r="AQ104" s="64" t="n">
        <x:f>-ROUND(AK104*'Drivers'!T104,3)</x:f>
        <x:v>-6.515</x:v>
      </x:c>
      <x:c r="AR104" s="64" t="n">
        <x:f>-ROUND(AK104*'Drivers'!U104,3)</x:f>
        <x:v>-11.049</x:v>
      </x:c>
      <x:c r="AS104" s="64" t="n">
        <x:f>-ROUND(AK104*'Drivers'!V104,3)</x:f>
        <x:v>-31.974</x:v>
      </x:c>
      <x:c r="AT104" s="64" t="n">
        <x:f>SUM(AO104:AS104)</x:f>
        <x:v>-634.398</x:v>
      </x:c>
      <x:c r="AU104" s="65" t="n">
        <x:f>AT104/AK104</x:f>
        <x:v>-0.5930172558843874</x:v>
      </x:c>
      <x:c r="AV104" s="64" t="n">
        <x:f>AK104+AT104</x:f>
        <x:v>435.3820000000002</x:v>
      </x:c>
      <x:c r="AW104" s="65" t="n">
        <x:f>AV104/AK104</x:f>
        <x:v>0.40698274411561264</x:v>
      </x:c>
      <x:c r="AX104" s="64" t="n">
        <x:f>-ROUND(AK104*'Drivers'!W104,3)</x:f>
        <x:v>-19.898</x:v>
      </x:c>
      <x:c r="AY104" s="64" t="n">
        <x:f>-ROUND(AK104*'Drivers'!X104,3)</x:f>
        <x:v>-24.246</x:v>
      </x:c>
      <x:c r="AZ104" s="64" t="n">
        <x:f>-ROUND(AK104*'Drivers'!Y104,3)</x:f>
        <x:v>-26.051</x:v>
      </x:c>
      <x:c r="BA104" s="64" t="n">
        <x:f>-ROUND(AK104*'Drivers'!Z104,3)</x:f>
        <x:v>-6.846</x:v>
      </x:c>
      <x:c r="BB104" s="64" t="n">
        <x:f>-ROUND(AK104*'Drivers'!AA104,3)</x:f>
        <x:v>-8.099</x:v>
      </x:c>
      <x:c r="BC104" s="64" t="n">
        <x:f>SUM(BA104,BB104)</x:f>
        <x:v>-14.945</x:v>
      </x:c>
      <x:c r="BD104" s="64" t="n">
        <x:f>-ROUND(AK104*'Drivers'!AB104,3)</x:f>
        <x:v>-5.664</x:v>
      </x:c>
      <x:c r="BE104" s="64" t="n">
        <x:f>SUM(AX104:BB104,BD104)</x:f>
        <x:v>-90.804</x:v>
      </x:c>
      <x:c r="BF104" s="67" t="n">
        <x:f>'Drivers'!AF104</x:f>
        <x:v>7</x:v>
      </x:c>
      <x:c r="BG104" s="64" t="n">
        <x:f>BJ104</x:f>
        <x:v>-36.868</x:v>
      </x:c>
      <x:c r="BH104" s="64" t="n">
        <x:f>BE104/BF104</x:f>
        <x:v>-12.972</x:v>
      </x:c>
      <x:c r="BI104" s="68" t="n">
        <x:f>BF104/L104</x:f>
        <x:v>1.75</x:v>
      </x:c>
      <x:c r="BJ104" s="64" t="n">
        <x:f>-ROUND(AK104*'Drivers'!AC104,3)</x:f>
        <x:v>-36.868</x:v>
      </x:c>
      <x:c r="BK104" s="64" t="n">
        <x:f>-ROUND(AK104*'Drivers'!AD104,3)</x:f>
        <x:v>-129.389</x:v>
      </x:c>
      <x:c r="BL104" s="64" t="n">
        <x:f>SUM(AV104,BE104,BJ104,BK104)</x:f>
        <x:v>178.3210000000002</x:v>
      </x:c>
      <x:c r="BM104" s="65" t="n">
        <x:f>BL104/AK104</x:f>
        <x:v>0.16668941277645885</x:v>
      </x:c>
      <x:c r="BN104" s="64" t="n">
        <x:f>-ROUND(AK104*'Drivers'!AE104,3)</x:f>
        <x:v>-82.2</x:v>
      </x:c>
      <x:c r="BO104" s="64" t="n">
        <x:f>BL104+BN104</x:f>
        <x:v>96.1210000000002</x:v>
      </x:c>
      <x:c r="BP104" s="65" t="n">
        <x:f>BO104/AK104</x:f>
        <x:v>0.08985118435566207</x:v>
      </x:c>
    </x:row>
    <x:row r="105">
      <x:c r="A105" s="61" t="n">
        <x:v>2026</x:v>
      </x:c>
      <x:c r="B105" s="18" t="str">
        <x:v>S2</x:v>
      </x:c>
      <x:c r="C105" s="18" t="str">
        <x:v>2026 S2</x:v>
      </x:c>
      <x:c r="D105" s="18" t="str">
        <x:v>CNCT0026</x:v>
      </x:c>
      <x:c r="E105" s="18" t="str">
        <x:v>广州广百百货北京路店</x:v>
      </x:c>
      <x:c r="F105" s="18" t="str">
        <x:v>广州</x:v>
      </x:c>
      <x:c r="G105" s="18" t="str">
        <x:v>广东省</x:v>
      </x:c>
      <x:c r="H105" s="18" t="str">
        <x:v>南区</x:v>
      </x:c>
      <x:c r="I105" s="18" t="str">
        <x:v>Department Store</x:v>
      </x:c>
      <x:c r="J105" s="18" t="str">
        <x:v>Regional Mall</x:v>
      </x:c>
      <x:c r="K105" s="18" t="str">
        <x:v>正常</x:v>
      </x:c>
      <x:c r="L105" s="62" t="n">
        <x:v>4</x:v>
      </x:c>
      <x:c r="M105" s="62" t="n">
        <x:v>43</x:v>
      </x:c>
      <x:c r="N105" s="63" t="n">
        <x:f>'Drivers'!C105</x:f>
        <x:v>1824</x:v>
      </x:c>
      <x:c r="O105" s="63" t="n">
        <x:f>'Drivers'!D105</x:f>
        <x:v>966.682</x:v>
      </x:c>
      <x:c r="P105" s="64" t="n">
        <x:f>ROUND(N105*O105/1000,3)</x:f>
        <x:v>1763.228</x:v>
      </x:c>
      <x:c r="Q105" s="64" t="n">
        <x:f>ROUND(P105*'Drivers'!E105,3)</x:f>
        <x:v>1703.471</x:v>
      </x:c>
      <x:c r="R105" s="64" t="n">
        <x:f>-ROUND(Q105*'Drivers'!F105,3)</x:f>
        <x:v>-348.775</x:v>
      </x:c>
      <x:c r="S105" s="65" t="n">
        <x:f>R105/Q105</x:f>
        <x:v>-0.2047437261919927</x:v>
      </x:c>
      <x:c r="T105" s="64" t="n">
        <x:f>-ROUND(Q105*'Drivers'!G105,3)</x:f>
        <x:v>-20.288</x:v>
      </x:c>
      <x:c r="U105" s="65" t="n">
        <x:f>T105/Q105</x:f>
        <x:v>-0.011909800636465195</x:v>
      </x:c>
      <x:c r="V105" s="64" t="n">
        <x:f>-ROUND(Q105*'Drivers'!H105,3)</x:f>
        <x:v>-17.361</x:v>
      </x:c>
      <x:c r="W105" s="64" t="n">
        <x:f>-ROUND(Q105*'Drivers'!I105,3)</x:f>
        <x:v>-12.792</x:v>
      </x:c>
      <x:c r="X105" s="64" t="n">
        <x:f>-ROUND(Q105*'Drivers'!J105,3)</x:f>
        <x:v>-20.414</x:v>
      </x:c>
      <x:c r="Y105" s="64" t="n">
        <x:f>-ROUND(Q105*'Drivers'!K105,3)</x:f>
        <x:v>-13.697</x:v>
      </x:c>
      <x:c r="Z105" s="64" t="n">
        <x:f>-ROUND(Q105*'Drivers'!L105,3)</x:f>
        <x:v>-22.289</x:v>
      </x:c>
      <x:c r="AA105" s="64" t="n">
        <x:f>-ROUND(Q105*'Drivers'!M105,3)</x:f>
        <x:v>-16.138</x:v>
      </x:c>
      <x:c r="AB105" s="64" t="n">
        <x:f>-ROUND(Q105*'Drivers'!N105,3)</x:f>
        <x:v>-11.921</x:v>
      </x:c>
      <x:c r="AC105" s="64" t="n">
        <x:f>SUM(V105:AB105)</x:f>
        <x:v>-114.612</x:v>
      </x:c>
      <x:c r="AD105" s="65" t="n">
        <x:f>AC105/Q105</x:f>
        <x:v>-0.06728145063813824</x:v>
      </x:c>
      <x:c r="AE105" s="64" t="n">
        <x:f>-ROUND(Q105*'Drivers'!O105,3)</x:f>
        <x:v>-21.266</x:v>
      </x:c>
      <x:c r="AF105" s="65" t="n">
        <x:f>AE105/Q105</x:f>
        <x:v>-0.012483922532288486</x:v>
      </x:c>
      <x:c r="AG105" s="64" t="n">
        <x:f>-ROUND(Q105*'Drivers'!P105,3)</x:f>
        <x:v>-2.836</x:v>
      </x:c>
      <x:c r="AH105" s="64" t="n">
        <x:f>-ROUND(Q105*'Drivers'!Q105,3)</x:f>
        <x:v>-9.331</x:v>
      </x:c>
      <x:c r="AI105" s="64" t="n">
        <x:f>SUM(R105,T105,AC105,AE105,AG105,AH105)</x:f>
        <x:v>-517.108</x:v>
      </x:c>
      <x:c r="AJ105" s="65" t="n">
        <x:f>AI105/Q105</x:f>
        <x:v>-0.3035613755678846</x:v>
      </x:c>
      <x:c r="AK105" s="64" t="n">
        <x:f>Q105+AI105</x:f>
        <x:v>1186.363</x:v>
      </x:c>
      <x:c r="AL105" s="65" t="n">
        <x:f>AK105/Q105</x:f>
        <x:v>0.6964386244321153</x:v>
      </x:c>
      <x:c r="AM105" s="64" t="n">
        <x:f>AK105/L105</x:f>
        <x:v>296.59075</x:v>
      </x:c>
      <x:c r="AN105" s="66" t="str">
        <x:f>IF(AM105&lt;=200,"≤200K",IF(AM105&lt;=350,"200–350K",IF(AM105&lt;=500,"350–500K",IF(AM105&lt;=700,"500–700K","&gt;700K"))))</x:f>
        <x:v>200–350K</x:v>
      </x:c>
      <x:c r="AO105" s="64" t="n">
        <x:f>-ROUND(Q105*'Drivers'!R105,3)</x:f>
        <x:v>-619.65</x:v>
      </x:c>
      <x:c r="AP105" s="64" t="n">
        <x:f>-ROUND(AK105*'Drivers'!S105,3)</x:f>
        <x:v>-15.85</x:v>
      </x:c>
      <x:c r="AQ105" s="64" t="n">
        <x:f>-ROUND(AK105*'Drivers'!T105,3)</x:f>
        <x:v>-7.225</x:v>
      </x:c>
      <x:c r="AR105" s="64" t="n">
        <x:f>-ROUND(AK105*'Drivers'!U105,3)</x:f>
        <x:v>-12.253</x:v>
      </x:c>
      <x:c r="AS105" s="64" t="n">
        <x:f>-ROUND(AK105*'Drivers'!V105,3)</x:f>
        <x:v>-35.458</x:v>
      </x:c>
      <x:c r="AT105" s="64" t="n">
        <x:f>SUM(AO105:AS105)</x:f>
        <x:v>-690.436</x:v>
      </x:c>
      <x:c r="AU105" s="65" t="n">
        <x:f>AT105/AK105</x:f>
        <x:v>-0.581977017152423</x:v>
      </x:c>
      <x:c r="AV105" s="64" t="n">
        <x:f>AK105+AT105</x:f>
        <x:v>495.927</x:v>
      </x:c>
      <x:c r="AW105" s="65" t="n">
        <x:f>AV105/AK105</x:f>
        <x:v>0.418022982847577</x:v>
      </x:c>
      <x:c r="AX105" s="64" t="n">
        <x:f>-ROUND(AK105*'Drivers'!W105,3)</x:f>
        <x:v>-19.01</x:v>
      </x:c>
      <x:c r="AY105" s="64" t="n">
        <x:f>-ROUND(AK105*'Drivers'!X105,3)</x:f>
        <x:v>-23.163</x:v>
      </x:c>
      <x:c r="AZ105" s="64" t="n">
        <x:f>-ROUND(AK105*'Drivers'!Y105,3)</x:f>
        <x:v>-24.888</x:v>
      </x:c>
      <x:c r="BA105" s="64" t="n">
        <x:f>-ROUND(AK105*'Drivers'!Z105,3)</x:f>
        <x:v>-6.54</x:v>
      </x:c>
      <x:c r="BB105" s="64" t="n">
        <x:f>-ROUND(AK105*'Drivers'!AA105,3)</x:f>
        <x:v>-7.737</x:v>
      </x:c>
      <x:c r="BC105" s="64" t="n">
        <x:f>SUM(BA105,BB105)</x:f>
        <x:v>-14.277000000000001</x:v>
      </x:c>
      <x:c r="BD105" s="64" t="n">
        <x:f>-ROUND(AK105*'Drivers'!AB105,3)</x:f>
        <x:v>-5.411</x:v>
      </x:c>
      <x:c r="BE105" s="64" t="n">
        <x:f>SUM(AX105:BB105,BD105)</x:f>
        <x:v>-86.74900000000001</x:v>
      </x:c>
      <x:c r="BF105" s="67" t="n">
        <x:f>'Drivers'!AF105</x:f>
        <x:v>7</x:v>
      </x:c>
      <x:c r="BG105" s="64" t="n">
        <x:f>BJ105</x:f>
        <x:v>-35.222</x:v>
      </x:c>
      <x:c r="BH105" s="64" t="n">
        <x:f>BE105/BF105</x:f>
        <x:v>-12.392714285714288</x:v>
      </x:c>
      <x:c r="BI105" s="68" t="n">
        <x:f>BF105/L105</x:f>
        <x:v>1.75</x:v>
      </x:c>
      <x:c r="BJ105" s="64" t="n">
        <x:f>-ROUND(AK105*'Drivers'!AC105,3)</x:f>
        <x:v>-35.222</x:v>
      </x:c>
      <x:c r="BK105" s="64" t="n">
        <x:f>-ROUND(AK105*'Drivers'!AD105,3)</x:f>
        <x:v>-143.489</x:v>
      </x:c>
      <x:c r="BL105" s="64" t="n">
        <x:f>SUM(AV105,BE105,BJ105,BK105)</x:f>
        <x:v>230.467</x:v>
      </x:c>
      <x:c r="BM105" s="65" t="n">
        <x:f>BL105/AK105</x:f>
        <x:v>0.1942634758501403</x:v>
      </x:c>
      <x:c r="BN105" s="64" t="n">
        <x:f>-ROUND(AK105*'Drivers'!AE105,3)</x:f>
        <x:v>-91.158</x:v>
      </x:c>
      <x:c r="BO105" s="64" t="n">
        <x:f>BL105+BN105</x:f>
        <x:v>139.30900000000003</x:v>
      </x:c>
      <x:c r="BP105" s="65" t="n">
        <x:f>BO105/AK105</x:f>
        <x:v>0.11742527371470622</x:v>
      </x:c>
    </x:row>
    <x:row r="106">
      <x:c r="A106" s="61" t="n">
        <x:v>2025</x:v>
      </x:c>
      <x:c r="B106" s="18" t="str">
        <x:v>S1</x:v>
      </x:c>
      <x:c r="C106" s="18" t="str">
        <x:v>2025 S1</x:v>
      </x:c>
      <x:c r="D106" s="18" t="str">
        <x:v>CNCT0027</x:v>
      </x:c>
      <x:c r="E106" s="18" t="str">
        <x:v>广州番禺万达广场</x:v>
      </x:c>
      <x:c r="F106" s="18" t="str">
        <x:v>广州</x:v>
      </x:c>
      <x:c r="G106" s="18" t="str">
        <x:v>广东省</x:v>
      </x:c>
      <x:c r="H106" s="18" t="str">
        <x:v>南区</x:v>
      </x:c>
      <x:c r="I106" s="18" t="str">
        <x:v>Shopping Mall</x:v>
      </x:c>
      <x:c r="J106" s="18" t="str">
        <x:v>Regional Mall</x:v>
      </x:c>
      <x:c r="K106" s="18" t="str">
        <x:v>正常</x:v>
      </x:c>
      <x:c r="L106" s="62" t="n">
        <x:v>5</x:v>
      </x:c>
      <x:c r="M106" s="62" t="n">
        <x:v>44</x:v>
      </x:c>
      <x:c r="N106" s="63" t="n">
        <x:f>'Drivers'!C106</x:f>
        <x:v>1649</x:v>
      </x:c>
      <x:c r="O106" s="63" t="n">
        <x:f>'Drivers'!D106</x:f>
        <x:v>906.667</x:v>
      </x:c>
      <x:c r="P106" s="64" t="n">
        <x:f>ROUND(N106*O106/1000,3)</x:f>
        <x:v>1495.094</x:v>
      </x:c>
      <x:c r="Q106" s="64" t="n">
        <x:f>ROUND(P106*'Drivers'!E106,3)</x:f>
        <x:v>1452.859</x:v>
      </x:c>
      <x:c r="R106" s="64" t="n">
        <x:f>-ROUND(Q106*'Drivers'!F106,3)</x:f>
        <x:v>-296.981</x:v>
      </x:c>
      <x:c r="S106" s="65" t="n">
        <x:f>R106/Q106</x:f>
        <x:v>-0.20441143978872003</x:v>
      </x:c>
      <x:c r="T106" s="64" t="n">
        <x:f>-ROUND(Q106*'Drivers'!G106,3)</x:f>
        <x:v>-15.483</x:v>
      </x:c>
      <x:c r="U106" s="65" t="n">
        <x:f>T106/Q106</x:f>
        <x:v>-0.010656918530979264</x:v>
      </x:c>
      <x:c r="V106" s="64" t="n">
        <x:f>-ROUND(Q106*'Drivers'!H106,3)</x:f>
        <x:v>-15.402</x:v>
      </x:c>
      <x:c r="W106" s="64" t="n">
        <x:f>-ROUND(Q106*'Drivers'!I106,3)</x:f>
        <x:v>-14.483</x:v>
      </x:c>
      <x:c r="X106" s="64" t="n">
        <x:f>-ROUND(Q106*'Drivers'!J106,3)</x:f>
        <x:v>-17.498</x:v>
      </x:c>
      <x:c r="Y106" s="64" t="n">
        <x:f>-ROUND(Q106*'Drivers'!K106,3)</x:f>
        <x:v>-15.761</x:v>
      </x:c>
      <x:c r="Z106" s="64" t="n">
        <x:f>-ROUND(Q106*'Drivers'!L106,3)</x:f>
        <x:v>-13.89</x:v>
      </x:c>
      <x:c r="AA106" s="64" t="n">
        <x:f>-ROUND(Q106*'Drivers'!M106,3)</x:f>
        <x:v>-11.989</x:v>
      </x:c>
      <x:c r="AB106" s="64" t="n">
        <x:f>-ROUND(Q106*'Drivers'!N106,3)</x:f>
        <x:v>-12.348</x:v>
      </x:c>
      <x:c r="AC106" s="64" t="n">
        <x:f>SUM(V106:AB106)</x:f>
        <x:v>-101.371</x:v>
      </x:c>
      <x:c r="AD106" s="65" t="n">
        <x:f>AC106/Q106</x:f>
        <x:v>-0.06977346046656971</x:v>
      </x:c>
      <x:c r="AE106" s="64" t="n">
        <x:f>-ROUND(Q106*'Drivers'!O106,3)</x:f>
        <x:v>-19.523</x:v>
      </x:c>
      <x:c r="AF106" s="65" t="n">
        <x:f>AE106/Q106</x:f>
        <x:v>-0.013437642606749864</x:v>
      </x:c>
      <x:c r="AG106" s="64" t="n">
        <x:f>-ROUND(Q106*'Drivers'!P106,3)</x:f>
        <x:v>-3.593</x:v>
      </x:c>
      <x:c r="AH106" s="64" t="n">
        <x:f>-ROUND(Q106*'Drivers'!Q106,3)</x:f>
        <x:v>-4.623</x:v>
      </x:c>
      <x:c r="AI106" s="64" t="n">
        <x:f>SUM(R106,T106,AC106,AE106,AG106,AH106)</x:f>
        <x:v>-441.574</x:v>
      </x:c>
      <x:c r="AJ106" s="65" t="n">
        <x:f>AI106/Q106</x:f>
        <x:v>-0.30393451807780386</x:v>
      </x:c>
      <x:c r="AK106" s="64" t="n">
        <x:f>Q106+AI106</x:f>
        <x:v>1011.2849999999999</x:v>
      </x:c>
      <x:c r="AL106" s="65" t="n">
        <x:f>AK106/Q106</x:f>
        <x:v>0.6960654819221961</x:v>
      </x:c>
      <x:c r="AM106" s="64" t="n">
        <x:f>AK106/L106</x:f>
        <x:v>202.25699999999998</x:v>
      </x:c>
      <x:c r="AN106" s="66" t="str">
        <x:f>IF(AM106&lt;=200,"≤200K",IF(AM106&lt;=350,"200–350K",IF(AM106&lt;=500,"350–500K",IF(AM106&lt;=700,"500–700K","&gt;700K"))))</x:f>
        <x:v>200–350K</x:v>
      </x:c>
      <x:c r="AO106" s="64" t="n">
        <x:f>-ROUND(Q106*'Drivers'!R106,3)</x:f>
        <x:v>-545.082</x:v>
      </x:c>
      <x:c r="AP106" s="64" t="n">
        <x:f>-ROUND(AK106*'Drivers'!S106,3)</x:f>
        <x:v>-12.259</x:v>
      </x:c>
      <x:c r="AQ106" s="64" t="n">
        <x:f>-ROUND(AK106*'Drivers'!T106,3)</x:f>
        <x:v>-4.417</x:v>
      </x:c>
      <x:c r="AR106" s="64" t="n">
        <x:f>-ROUND(AK106*'Drivers'!U106,3)</x:f>
        <x:v>-11.692</x:v>
      </x:c>
      <x:c r="AS106" s="64" t="n">
        <x:f>-ROUND(AK106*'Drivers'!V106,3)</x:f>
        <x:v>-34.856</x:v>
      </x:c>
      <x:c r="AT106" s="64" t="n">
        <x:f>SUM(AO106:AS106)</x:f>
        <x:v>-608.306</x:v>
      </x:c>
      <x:c r="AU106" s="65" t="n">
        <x:f>AT106/AK106</x:f>
        <x:v>-0.6015178708277095</x:v>
      </x:c>
      <x:c r="AV106" s="64" t="n">
        <x:f>AK106+AT106</x:f>
        <x:v>402.9789999999998</x:v>
      </x:c>
      <x:c r="AW106" s="65" t="n">
        <x:f>AV106/AK106</x:f>
        <x:v>0.3984821291722906</x:v>
      </x:c>
      <x:c r="AX106" s="64" t="n">
        <x:f>-ROUND(AK106*'Drivers'!W106,3)</x:f>
        <x:v>-14.271</x:v>
      </x:c>
      <x:c r="AY106" s="64" t="n">
        <x:f>-ROUND(AK106*'Drivers'!X106,3)</x:f>
        <x:v>-25.083</x:v>
      </x:c>
      <x:c r="AZ106" s="64" t="n">
        <x:f>-ROUND(AK106*'Drivers'!Y106,3)</x:f>
        <x:v>-16.364</x:v>
      </x:c>
      <x:c r="BA106" s="64" t="n">
        <x:f>-ROUND(AK106*'Drivers'!Z106,3)</x:f>
        <x:v>-6.528</x:v>
      </x:c>
      <x:c r="BB106" s="64" t="n">
        <x:f>-ROUND(AK106*'Drivers'!AA106,3)</x:f>
        <x:v>-6.567</x:v>
      </x:c>
      <x:c r="BC106" s="64" t="n">
        <x:f>SUM(BA106,BB106)</x:f>
        <x:v>-13.094999999999999</x:v>
      </x:c>
      <x:c r="BD106" s="64" t="n">
        <x:f>-ROUND(AK106*'Drivers'!AB106,3)</x:f>
        <x:v>-3.595</x:v>
      </x:c>
      <x:c r="BE106" s="64" t="n">
        <x:f>SUM(AX106:BB106,BD106)</x:f>
        <x:v>-72.408</x:v>
      </x:c>
      <x:c r="BF106" s="67" t="n">
        <x:f>'Drivers'!AF106</x:f>
        <x:v>8</x:v>
      </x:c>
      <x:c r="BG106" s="64" t="n">
        <x:f>BJ106</x:f>
        <x:v>-21.047</x:v>
      </x:c>
      <x:c r="BH106" s="64" t="n">
        <x:f>BE106/BF106</x:f>
        <x:v>-9.051</x:v>
      </x:c>
      <x:c r="BI106" s="68" t="n">
        <x:f>BF106/L106</x:f>
        <x:v>1.6</x:v>
      </x:c>
      <x:c r="BJ106" s="64" t="n">
        <x:f>-ROUND(AK106*'Drivers'!AC106,3)</x:f>
        <x:v>-21.047</x:v>
      </x:c>
      <x:c r="BK106" s="64" t="n">
        <x:f>-ROUND(AK106*'Drivers'!AD106,3)</x:f>
        <x:v>-115.603</x:v>
      </x:c>
      <x:c r="BL106" s="64" t="n">
        <x:f>SUM(AV106,BE106,BJ106,BK106)</x:f>
        <x:v>193.92099999999976</x:v>
      </x:c>
      <x:c r="BM106" s="65" t="n">
        <x:f>BL106/AK106</x:f>
        <x:v>0.1917570220066547</x:v>
      </x:c>
      <x:c r="BN106" s="64" t="n">
        <x:f>-ROUND(AK106*'Drivers'!AE106,3)</x:f>
        <x:v>-87.718</x:v>
      </x:c>
      <x:c r="BO106" s="64" t="n">
        <x:f>BL106+BN106</x:f>
        <x:v>106.20299999999976</x:v>
      </x:c>
      <x:c r="BP106" s="65" t="n">
        <x:f>BO106/AK106</x:f>
        <x:v>0.10501787329981141</x:v>
      </x:c>
    </x:row>
    <x:row r="107">
      <x:c r="A107" s="61" t="n">
        <x:v>2025</x:v>
      </x:c>
      <x:c r="B107" s="18" t="str">
        <x:v>S2</x:v>
      </x:c>
      <x:c r="C107" s="18" t="str">
        <x:v>2025 S2</x:v>
      </x:c>
      <x:c r="D107" s="18" t="str">
        <x:v>CNCT0027</x:v>
      </x:c>
      <x:c r="E107" s="18" t="str">
        <x:v>广州番禺万达广场</x:v>
      </x:c>
      <x:c r="F107" s="18" t="str">
        <x:v>广州</x:v>
      </x:c>
      <x:c r="G107" s="18" t="str">
        <x:v>广东省</x:v>
      </x:c>
      <x:c r="H107" s="18" t="str">
        <x:v>南区</x:v>
      </x:c>
      <x:c r="I107" s="18" t="str">
        <x:v>Shopping Mall</x:v>
      </x:c>
      <x:c r="J107" s="18" t="str">
        <x:v>Regional Mall</x:v>
      </x:c>
      <x:c r="K107" s="18" t="str">
        <x:v>正常</x:v>
      </x:c>
      <x:c r="L107" s="62" t="n">
        <x:v>5</x:v>
      </x:c>
      <x:c r="M107" s="62" t="n">
        <x:v>44</x:v>
      </x:c>
      <x:c r="N107" s="63" t="n">
        <x:f>'Drivers'!C107</x:f>
        <x:v>1796</x:v>
      </x:c>
      <x:c r="O107" s="63" t="n">
        <x:f>'Drivers'!D107</x:f>
        <x:v>917.547</x:v>
      </x:c>
      <x:c r="P107" s="64" t="n">
        <x:f>ROUND(N107*O107/1000,3)</x:f>
        <x:v>1647.914</x:v>
      </x:c>
      <x:c r="Q107" s="64" t="n">
        <x:f>ROUND(P107*'Drivers'!E107,3)</x:f>
        <x:v>1606.194</x:v>
      </x:c>
      <x:c r="R107" s="64" t="n">
        <x:f>-ROUND(Q107*'Drivers'!F107,3)</x:f>
        <x:v>-328.325</x:v>
      </x:c>
      <x:c r="S107" s="65" t="n">
        <x:f>R107/Q107</x:f>
        <x:v>-0.2044117958353723</x:v>
      </x:c>
      <x:c r="T107" s="64" t="n">
        <x:f>-ROUND(Q107*'Drivers'!G107,3)</x:f>
        <x:v>-17.117</x:v>
      </x:c>
      <x:c r="U107" s="65" t="n">
        <x:f>T107/Q107</x:f>
        <x:v>-0.010656869593585831</x:v>
      </x:c>
      <x:c r="V107" s="64" t="n">
        <x:f>-ROUND(Q107*'Drivers'!H107,3)</x:f>
        <x:v>-17.028</x:v>
      </x:c>
      <x:c r="W107" s="64" t="n">
        <x:f>-ROUND(Q107*'Drivers'!I107,3)</x:f>
        <x:v>-16.012</x:v>
      </x:c>
      <x:c r="X107" s="64" t="n">
        <x:f>-ROUND(Q107*'Drivers'!J107,3)</x:f>
        <x:v>-19.345</x:v>
      </x:c>
      <x:c r="Y107" s="64" t="n">
        <x:f>-ROUND(Q107*'Drivers'!K107,3)</x:f>
        <x:v>-17.425</x:v>
      </x:c>
      <x:c r="Z107" s="64" t="n">
        <x:f>-ROUND(Q107*'Drivers'!L107,3)</x:f>
        <x:v>-15.356</x:v>
      </x:c>
      <x:c r="AA107" s="64" t="n">
        <x:f>-ROUND(Q107*'Drivers'!M107,3)</x:f>
        <x:v>-13.254</x:v>
      </x:c>
      <x:c r="AB107" s="64" t="n">
        <x:f>-ROUND(Q107*'Drivers'!N107,3)</x:f>
        <x:v>-13.651</x:v>
      </x:c>
      <x:c r="AC107" s="64" t="n">
        <x:f>SUM(V107:AB107)</x:f>
        <x:v>-112.071</x:v>
      </x:c>
      <x:c r="AD107" s="65" t="n">
        <x:f>AC107/Q107</x:f>
        <x:v>-0.06977426139059167</x:v>
      </x:c>
      <x:c r="AE107" s="64" t="n">
        <x:f>-ROUND(Q107*'Drivers'!O107,3)</x:f>
        <x:v>-21.584</x:v>
      </x:c>
      <x:c r="AF107" s="65" t="n">
        <x:f>AE107/Q107</x:f>
        <x:v>-0.013437978226789542</x:v>
      </x:c>
      <x:c r="AG107" s="64" t="n">
        <x:f>-ROUND(Q107*'Drivers'!P107,3)</x:f>
        <x:v>-3.972</x:v>
      </x:c>
      <x:c r="AH107" s="64" t="n">
        <x:f>-ROUND(Q107*'Drivers'!Q107,3)</x:f>
        <x:v>-5.111</x:v>
      </x:c>
      <x:c r="AI107" s="64" t="n">
        <x:f>SUM(R107,T107,AC107,AE107,AG107,AH107)</x:f>
        <x:v>-488.18</x:v>
      </x:c>
      <x:c r="AJ107" s="65" t="n">
        <x:f>AI107/Q107</x:f>
        <x:v>-0.3039358881928335</x:v>
      </x:c>
      <x:c r="AK107" s="64" t="n">
        <x:f>Q107+AI107</x:f>
        <x:v>1118.014</x:v>
      </x:c>
      <x:c r="AL107" s="65" t="n">
        <x:f>AK107/Q107</x:f>
        <x:v>0.6960641118071664</x:v>
      </x:c>
      <x:c r="AM107" s="64" t="n">
        <x:f>AK107/L107</x:f>
        <x:v>223.60279999999997</x:v>
      </x:c>
      <x:c r="AN107" s="66" t="str">
        <x:f>IF(AM107&lt;=200,"≤200K",IF(AM107&lt;=350,"200–350K",IF(AM107&lt;=500,"350–500K",IF(AM107&lt;=700,"500–700K","&gt;700K"))))</x:f>
        <x:v>200–350K</x:v>
      </x:c>
      <x:c r="AO107" s="64" t="n">
        <x:f>-ROUND(Q107*'Drivers'!R107,3)</x:f>
        <x:v>-587.821</x:v>
      </x:c>
      <x:c r="AP107" s="64" t="n">
        <x:f>-ROUND(AK107*'Drivers'!S107,3)</x:f>
        <x:v>-13.553</x:v>
      </x:c>
      <x:c r="AQ107" s="64" t="n">
        <x:f>-ROUND(AK107*'Drivers'!T107,3)</x:f>
        <x:v>-4.883</x:v>
      </x:c>
      <x:c r="AR107" s="64" t="n">
        <x:f>-ROUND(AK107*'Drivers'!U107,3)</x:f>
        <x:v>-12.926</x:v>
      </x:c>
      <x:c r="AS107" s="64" t="n">
        <x:f>-ROUND(AK107*'Drivers'!V107,3)</x:f>
        <x:v>-38.534</x:v>
      </x:c>
      <x:c r="AT107" s="64" t="n">
        <x:f>SUM(AO107:AS107)</x:f>
        <x:v>-657.7170000000001</x:v>
      </x:c>
      <x:c r="AU107" s="65" t="n">
        <x:f>AT107/AK107</x:f>
        <x:v>-0.5882904865234247</x:v>
      </x:c>
      <x:c r="AV107" s="64" t="n">
        <x:f>AK107+AT107</x:f>
        <x:v>460.2969999999998</x:v>
      </x:c>
      <x:c r="AW107" s="65" t="n">
        <x:f>AV107/AK107</x:f>
        <x:v>0.4117095134765753</x:v>
      </x:c>
      <x:c r="AX107" s="64" t="n">
        <x:f>-ROUND(AK107*'Drivers'!W107,3)</x:f>
        <x:v>-15.777</x:v>
      </x:c>
      <x:c r="AY107" s="64" t="n">
        <x:f>-ROUND(AK107*'Drivers'!X107,3)</x:f>
        <x:v>-27.73</x:v>
      </x:c>
      <x:c r="AZ107" s="64" t="n">
        <x:f>-ROUND(AK107*'Drivers'!Y107,3)</x:f>
        <x:v>-18.091</x:v>
      </x:c>
      <x:c r="BA107" s="64" t="n">
        <x:f>-ROUND(AK107*'Drivers'!Z107,3)</x:f>
        <x:v>-7.217</x:v>
      </x:c>
      <x:c r="BB107" s="64" t="n">
        <x:f>-ROUND(AK107*'Drivers'!AA107,3)</x:f>
        <x:v>-7.26</x:v>
      </x:c>
      <x:c r="BC107" s="64" t="n">
        <x:f>SUM(BA107,BB107)</x:f>
        <x:v>-14.477</x:v>
      </x:c>
      <x:c r="BD107" s="64" t="n">
        <x:f>-ROUND(AK107*'Drivers'!AB107,3)</x:f>
        <x:v>-3.975</x:v>
      </x:c>
      <x:c r="BE107" s="64" t="n">
        <x:f>SUM(AX107:BB107,BD107)</x:f>
        <x:v>-80.05</x:v>
      </x:c>
      <x:c r="BF107" s="67" t="n">
        <x:f>'Drivers'!AF107</x:f>
        <x:v>8</x:v>
      </x:c>
      <x:c r="BG107" s="64" t="n">
        <x:f>BJ107</x:f>
        <x:v>-23.269</x:v>
      </x:c>
      <x:c r="BH107" s="64" t="n">
        <x:f>BE107/BF107</x:f>
        <x:v>-10.00625</x:v>
      </x:c>
      <x:c r="BI107" s="68" t="n">
        <x:f>BF107/L107</x:f>
        <x:v>1.6</x:v>
      </x:c>
      <x:c r="BJ107" s="64" t="n">
        <x:f>-ROUND(AK107*'Drivers'!AC107,3)</x:f>
        <x:v>-23.269</x:v>
      </x:c>
      <x:c r="BK107" s="64" t="n">
        <x:f>-ROUND(AK107*'Drivers'!AD107,3)</x:f>
        <x:v>-127.804</x:v>
      </x:c>
      <x:c r="BL107" s="64" t="n">
        <x:f>SUM(AV107,BE107,BJ107,BK107)</x:f>
        <x:v>229.17399999999978</x:v>
      </x:c>
      <x:c r="BM107" s="65" t="n">
        <x:f>BL107/AK107</x:f>
        <x:v>0.2049831218571501</x:v>
      </x:c>
      <x:c r="BN107" s="64" t="n">
        <x:f>-ROUND(AK107*'Drivers'!AE107,3)</x:f>
        <x:v>-96.975</x:v>
      </x:c>
      <x:c r="BO107" s="64" t="n">
        <x:f>BL107+BN107</x:f>
        <x:v>132.19899999999978</x:v>
      </x:c>
      <x:c r="BP107" s="65" t="n">
        <x:f>BO107/AK107</x:f>
        <x:v>0.11824449425499126</x:v>
      </x:c>
    </x:row>
    <x:row r="108">
      <x:c r="A108" s="61" t="n">
        <x:v>2026</x:v>
      </x:c>
      <x:c r="B108" s="18" t="str">
        <x:v>S1</x:v>
      </x:c>
      <x:c r="C108" s="18" t="str">
        <x:v>2026 S1</x:v>
      </x:c>
      <x:c r="D108" s="18" t="str">
        <x:v>CNCT0027</x:v>
      </x:c>
      <x:c r="E108" s="18" t="str">
        <x:v>广州番禺万达广场</x:v>
      </x:c>
      <x:c r="F108" s="18" t="str">
        <x:v>广州</x:v>
      </x:c>
      <x:c r="G108" s="18" t="str">
        <x:v>广东省</x:v>
      </x:c>
      <x:c r="H108" s="18" t="str">
        <x:v>南区</x:v>
      </x:c>
      <x:c r="I108" s="18" t="str">
        <x:v>Shopping Mall</x:v>
      </x:c>
      <x:c r="J108" s="18" t="str">
        <x:v>Regional Mall</x:v>
      </x:c>
      <x:c r="K108" s="18" t="str">
        <x:v>正常</x:v>
      </x:c>
      <x:c r="L108" s="62" t="n">
        <x:v>5</x:v>
      </x:c>
      <x:c r="M108" s="62" t="n">
        <x:v>44</x:v>
      </x:c>
      <x:c r="N108" s="63" t="n">
        <x:f>'Drivers'!C108</x:f>
        <x:v>1201</x:v>
      </x:c>
      <x:c r="O108" s="63" t="n">
        <x:f>'Drivers'!D108</x:f>
        <x:v>946.386</x:v>
      </x:c>
      <x:c r="P108" s="64" t="n">
        <x:f>ROUND(N108*O108/1000,3)</x:f>
        <x:v>1136.61</x:v>
      </x:c>
      <x:c r="Q108" s="64" t="n">
        <x:f>ROUND(P108*'Drivers'!E108,3)</x:f>
        <x:v>1107.683</x:v>
      </x:c>
      <x:c r="R108" s="64" t="n">
        <x:f>-ROUND(Q108*'Drivers'!F108,3)</x:f>
        <x:v>-239.715</x:v>
      </x:c>
      <x:c r="S108" s="65" t="n">
        <x:f>R108/Q108</x:f>
        <x:v>-0.21641119345516724</x:v>
      </x:c>
      <x:c r="T108" s="64" t="n">
        <x:f>-ROUND(Q108*'Drivers'!G108,3)</x:f>
        <x:v>-10.254</x:v>
      </x:c>
      <x:c r="U108" s="65" t="n">
        <x:f>T108/Q108</x:f>
        <x:v>-0.00925716111920107</x:v>
      </x:c>
      <x:c r="V108" s="64" t="n">
        <x:f>-ROUND(Q108*'Drivers'!H108,3)</x:f>
        <x:v>-11.743</x:v>
      </x:c>
      <x:c r="W108" s="64" t="n">
        <x:f>-ROUND(Q108*'Drivers'!I108,3)</x:f>
        <x:v>-11.042</x:v>
      </x:c>
      <x:c r="X108" s="64" t="n">
        <x:f>-ROUND(Q108*'Drivers'!J108,3)</x:f>
        <x:v>-13.341</x:v>
      </x:c>
      <x:c r="Y108" s="64" t="n">
        <x:f>-ROUND(Q108*'Drivers'!K108,3)</x:f>
        <x:v>-12.017</x:v>
      </x:c>
      <x:c r="Z108" s="64" t="n">
        <x:f>-ROUND(Q108*'Drivers'!L108,3)</x:f>
        <x:v>-10.59</x:v>
      </x:c>
      <x:c r="AA108" s="64" t="n">
        <x:f>-ROUND(Q108*'Drivers'!M108,3)</x:f>
        <x:v>-9.141</x:v>
      </x:c>
      <x:c r="AB108" s="64" t="n">
        <x:f>-ROUND(Q108*'Drivers'!N108,3)</x:f>
        <x:v>-9.414</x:v>
      </x:c>
      <x:c r="AC108" s="64" t="n">
        <x:f>SUM(V108:AB108)</x:f>
        <x:v>-77.28800000000001</x:v>
      </x:c>
      <x:c r="AD108" s="65" t="n">
        <x:f>AC108/Q108</x:f>
        <x:v>-0.06977447518829846</x:v>
      </x:c>
      <x:c r="AE108" s="64" t="n">
        <x:f>-ROUND(Q108*'Drivers'!O108,3)</x:f>
        <x:v>-16.976</x:v>
      </x:c>
      <x:c r="AF108" s="65" t="n">
        <x:f>AE108/Q108</x:f>
        <x:v>-0.015325684333875305</x:v>
      </x:c>
      <x:c r="AG108" s="64" t="n">
        <x:f>-ROUND(Q108*'Drivers'!P108,3)</x:f>
        <x:v>-2.739</x:v>
      </x:c>
      <x:c r="AH108" s="64" t="n">
        <x:f>-ROUND(Q108*'Drivers'!Q108,3)</x:f>
        <x:v>-3.525</x:v>
      </x:c>
      <x:c r="AI108" s="64" t="n">
        <x:f>SUM(R108,T108,AC108,AE108,AG108,AH108)</x:f>
        <x:v>-350.49699999999996</x:v>
      </x:c>
      <x:c r="AJ108" s="65" t="n">
        <x:f>AI108/Q108</x:f>
        <x:v>-0.31642356161464963</x:v>
      </x:c>
      <x:c r="AK108" s="64" t="n">
        <x:f>Q108+AI108</x:f>
        <x:v>757.186</x:v>
      </x:c>
      <x:c r="AL108" s="65" t="n">
        <x:f>AK108/Q108</x:f>
        <x:v>0.6835764383853503</x:v>
      </x:c>
      <x:c r="AM108" s="64" t="n">
        <x:f>AK108/L108</x:f>
        <x:v>151.43720000000002</x:v>
      </x:c>
      <x:c r="AN108" s="66" t="str">
        <x:f>IF(AM108&lt;=200,"≤200K",IF(AM108&lt;=350,"200–350K",IF(AM108&lt;=500,"350–500K",IF(AM108&lt;=700,"500–700K","&gt;700K"))))</x:f>
        <x:v>≤200K</x:v>
      </x:c>
      <x:c r="AO108" s="64" t="n">
        <x:f>-ROUND(Q108*'Drivers'!R108,3)</x:f>
        <x:v>-434.388</x:v>
      </x:c>
      <x:c r="AP108" s="64" t="n">
        <x:f>-ROUND(AK108*'Drivers'!S108,3)</x:f>
        <x:v>-9.179</x:v>
      </x:c>
      <x:c r="AQ108" s="64" t="n">
        <x:f>-ROUND(AK108*'Drivers'!T108,3)</x:f>
        <x:v>-3.307</x:v>
      </x:c>
      <x:c r="AR108" s="64" t="n">
        <x:f>-ROUND(AK108*'Drivers'!U108,3)</x:f>
        <x:v>-8.755</x:v>
      </x:c>
      <x:c r="AS108" s="64" t="n">
        <x:f>-ROUND(AK108*'Drivers'!V108,3)</x:f>
        <x:v>-26.098</x:v>
      </x:c>
      <x:c r="AT108" s="64" t="n">
        <x:f>SUM(AO108:AS108)</x:f>
        <x:v>-481.727</x:v>
      </x:c>
      <x:c r="AU108" s="65" t="n">
        <x:f>AT108/AK108</x:f>
        <x:v>-0.6362069557545965</x:v>
      </x:c>
      <x:c r="AV108" s="64" t="n">
        <x:f>AK108+AT108</x:f>
        <x:v>275.45900000000006</x:v>
      </x:c>
      <x:c r="AW108" s="65" t="n">
        <x:f>AV108/AK108</x:f>
        <x:v>0.36379304424540343</x:v>
      </x:c>
      <x:c r="AX108" s="64" t="n">
        <x:f>-ROUND(AK108*'Drivers'!W108,3)</x:f>
        <x:v>-13.148</x:v>
      </x:c>
      <x:c r="AY108" s="64" t="n">
        <x:f>-ROUND(AK108*'Drivers'!X108,3)</x:f>
        <x:v>-23.109</x:v>
      </x:c>
      <x:c r="AZ108" s="64" t="n">
        <x:f>-ROUND(AK108*'Drivers'!Y108,3)</x:f>
        <x:v>-15.076</x:v>
      </x:c>
      <x:c r="BA108" s="64" t="n">
        <x:f>-ROUND(AK108*'Drivers'!Z108,3)</x:f>
        <x:v>-6.014</x:v>
      </x:c>
      <x:c r="BB108" s="64" t="n">
        <x:f>-ROUND(AK108*'Drivers'!AA108,3)</x:f>
        <x:v>-6.05</x:v>
      </x:c>
      <x:c r="BC108" s="64" t="n">
        <x:f>SUM(BA108,BB108)</x:f>
        <x:v>-12.064</x:v>
      </x:c>
      <x:c r="BD108" s="64" t="n">
        <x:f>-ROUND(AK108*'Drivers'!AB108,3)</x:f>
        <x:v>-3.312</x:v>
      </x:c>
      <x:c r="BE108" s="64" t="n">
        <x:f>SUM(AX108:BB108,BD108)</x:f>
        <x:v>-66.709</x:v>
      </x:c>
      <x:c r="BF108" s="67" t="n">
        <x:f>'Drivers'!AF108</x:f>
        <x:v>8</x:v>
      </x:c>
      <x:c r="BG108" s="64" t="n">
        <x:f>BJ108</x:f>
        <x:v>-28.116</x:v>
      </x:c>
      <x:c r="BH108" s="64" t="n">
        <x:f>BE108/BF108</x:f>
        <x:v>-8.338625</x:v>
      </x:c>
      <x:c r="BI108" s="68" t="n">
        <x:f>BF108/L108</x:f>
        <x:v>1.6</x:v>
      </x:c>
      <x:c r="BJ108" s="64" t="n">
        <x:f>-ROUND(AK108*'Drivers'!AC108,3)</x:f>
        <x:v>-28.116</x:v>
      </x:c>
      <x:c r="BK108" s="64" t="n">
        <x:f>-ROUND(AK108*'Drivers'!AD108,3)</x:f>
        <x:v>-95.212</x:v>
      </x:c>
      <x:c r="BL108" s="64" t="n">
        <x:f>SUM(AV108,BE108,BJ108,BK108)</x:f>
        <x:v>85.42200000000007</x:v>
      </x:c>
      <x:c r="BM108" s="65" t="n">
        <x:f>BL108/AK108</x:f>
        <x:v>0.11281508110292592</x:v>
      </x:c>
      <x:c r="BN108" s="64" t="n">
        <x:f>-ROUND(AK108*'Drivers'!AE108,3)</x:f>
        <x:v>-69.819</x:v>
      </x:c>
      <x:c r="BO108" s="64" t="n">
        <x:f>BL108+BN108</x:f>
        <x:v>15.603000000000065</x:v>
      </x:c>
      <x:c r="BP108" s="65" t="n">
        <x:f>BO108/AK108</x:f>
        <x:v>0.0206065616638449</x:v>
      </x:c>
    </x:row>
    <x:row r="109">
      <x:c r="A109" s="61" t="n">
        <x:v>2026</x:v>
      </x:c>
      <x:c r="B109" s="18" t="str">
        <x:v>S2</x:v>
      </x:c>
      <x:c r="C109" s="18" t="str">
        <x:v>2026 S2</x:v>
      </x:c>
      <x:c r="D109" s="18" t="str">
        <x:v>CNCT0027</x:v>
      </x:c>
      <x:c r="E109" s="18" t="str">
        <x:v>广州番禺万达广场</x:v>
      </x:c>
      <x:c r="F109" s="18" t="str">
        <x:v>广州</x:v>
      </x:c>
      <x:c r="G109" s="18" t="str">
        <x:v>广东省</x:v>
      </x:c>
      <x:c r="H109" s="18" t="str">
        <x:v>南区</x:v>
      </x:c>
      <x:c r="I109" s="18" t="str">
        <x:v>Shopping Mall</x:v>
      </x:c>
      <x:c r="J109" s="18" t="str">
        <x:v>Regional Mall</x:v>
      </x:c>
      <x:c r="K109" s="18" t="str">
        <x:v>正常</x:v>
      </x:c>
      <x:c r="L109" s="62" t="n">
        <x:v>5</x:v>
      </x:c>
      <x:c r="M109" s="62" t="n">
        <x:v>43</x:v>
      </x:c>
      <x:c r="N109" s="63" t="n">
        <x:f>'Drivers'!C109</x:f>
        <x:v>1494</x:v>
      </x:c>
      <x:c r="O109" s="63" t="n">
        <x:f>'Drivers'!D109</x:f>
        <x:v>958.022</x:v>
      </x:c>
      <x:c r="P109" s="64" t="n">
        <x:f>ROUND(N109*O109/1000,3)</x:f>
        <x:v>1431.285</x:v>
      </x:c>
      <x:c r="Q109" s="64" t="n">
        <x:f>ROUND(P109*'Drivers'!E109,3)</x:f>
        <x:v>1395.05</x:v>
      </x:c>
      <x:c r="R109" s="64" t="n">
        <x:f>-ROUND(Q109*'Drivers'!F109,3)</x:f>
        <x:v>-280.677</x:v>
      </x:c>
      <x:c r="S109" s="65" t="n">
        <x:f>R109/Q109</x:f>
        <x:v>-0.20119493924948928</x:v>
      </x:c>
      <x:c r="T109" s="64" t="n">
        <x:f>-ROUND(Q109*'Drivers'!G109,3)</x:f>
        <x:v>-14.351</x:v>
      </x:c>
      <x:c r="U109" s="65" t="n">
        <x:f>T109/Q109</x:f>
        <x:v>-0.0102870864843554</x:v>
      </x:c>
      <x:c r="V109" s="64" t="n">
        <x:f>-ROUND(Q109*'Drivers'!H109,3)</x:f>
        <x:v>-14.79</x:v>
      </x:c>
      <x:c r="W109" s="64" t="n">
        <x:f>-ROUND(Q109*'Drivers'!I109,3)</x:f>
        <x:v>-13.907</x:v>
      </x:c>
      <x:c r="X109" s="64" t="n">
        <x:f>-ROUND(Q109*'Drivers'!J109,3)</x:f>
        <x:v>-16.802</x:v>
      </x:c>
      <x:c r="Y109" s="64" t="n">
        <x:f>-ROUND(Q109*'Drivers'!K109,3)</x:f>
        <x:v>-15.134</x:v>
      </x:c>
      <x:c r="Z109" s="64" t="n">
        <x:f>-ROUND(Q109*'Drivers'!L109,3)</x:f>
        <x:v>-13.338</x:v>
      </x:c>
      <x:c r="AA109" s="64" t="n">
        <x:f>-ROUND(Q109*'Drivers'!M109,3)</x:f>
        <x:v>-11.512</x:v>
      </x:c>
      <x:c r="AB109" s="64" t="n">
        <x:f>-ROUND(Q109*'Drivers'!N109,3)</x:f>
        <x:v>-11.857</x:v>
      </x:c>
      <x:c r="AC109" s="64" t="n">
        <x:f>SUM(V109:AB109)</x:f>
        <x:v>-97.33999999999999</x:v>
      </x:c>
      <x:c r="AD109" s="65" t="n">
        <x:f>AC109/Q109</x:f>
        <x:v>-0.0697752768717967</x:v>
      </x:c>
      <x:c r="AE109" s="64" t="n">
        <x:f>-ROUND(Q109*'Drivers'!O109,3)</x:f>
        <x:v>-18.747</x:v>
      </x:c>
      <x:c r="AF109" s="65" t="n">
        <x:f>AE109/Q109</x:f>
        <x:v>-0.013438228020501057</x:v>
      </x:c>
      <x:c r="AG109" s="64" t="n">
        <x:f>-ROUND(Q109*'Drivers'!P109,3)</x:f>
        <x:v>-3.45</x:v>
      </x:c>
      <x:c r="AH109" s="64" t="n">
        <x:f>-ROUND(Q109*'Drivers'!Q109,3)</x:f>
        <x:v>-4.439</x:v>
      </x:c>
      <x:c r="AI109" s="64" t="n">
        <x:f>SUM(R109,T109,AC109,AE109,AG109,AH109)</x:f>
        <x:v>-419.004</x:v>
      </x:c>
      <x:c r="AJ109" s="65" t="n">
        <x:f>AI109/Q109</x:f>
        <x:v>-0.300350525070786</x:v>
      </x:c>
      <x:c r="AK109" s="64" t="n">
        <x:f>Q109+AI109</x:f>
        <x:v>976.0459999999999</x:v>
      </x:c>
      <x:c r="AL109" s="65" t="n">
        <x:f>AK109/Q109</x:f>
        <x:v>0.699649474929214</x:v>
      </x:c>
      <x:c r="AM109" s="64" t="n">
        <x:f>AK109/L109</x:f>
        <x:v>195.20919999999998</x:v>
      </x:c>
      <x:c r="AN109" s="66" t="str">
        <x:f>IF(AM109&lt;=200,"≤200K",IF(AM109&lt;=350,"200–350K",IF(AM109&lt;=500,"350–500K",IF(AM109&lt;=700,"500–700K","&gt;700K"))))</x:f>
        <x:v>≤200K</x:v>
      </x:c>
      <x:c r="AO109" s="64" t="n">
        <x:f>-ROUND(Q109*'Drivers'!R109,3)</x:f>
        <x:v>-537.993</x:v>
      </x:c>
      <x:c r="AP109" s="64" t="n">
        <x:f>-ROUND(AK109*'Drivers'!S109,3)</x:f>
        <x:v>-11.832</x:v>
      </x:c>
      <x:c r="AQ109" s="64" t="n">
        <x:f>-ROUND(AK109*'Drivers'!T109,3)</x:f>
        <x:v>-4.263</x:v>
      </x:c>
      <x:c r="AR109" s="64" t="n">
        <x:f>-ROUND(AK109*'Drivers'!U109,3)</x:f>
        <x:v>-11.285</x:v>
      </x:c>
      <x:c r="AS109" s="64" t="n">
        <x:f>-ROUND(AK109*'Drivers'!V109,3)</x:f>
        <x:v>-33.641</x:v>
      </x:c>
      <x:c r="AT109" s="64" t="n">
        <x:f>SUM(AO109:AS109)</x:f>
        <x:v>-599.014</x:v>
      </x:c>
      <x:c r="AU109" s="65" t="n">
        <x:f>AT109/AK109</x:f>
        <x:v>-0.6137149273702265</x:v>
      </x:c>
      <x:c r="AV109" s="64" t="n">
        <x:f>AK109+AT109</x:f>
        <x:v>377.0319999999999</x:v>
      </x:c>
      <x:c r="AW109" s="65" t="n">
        <x:f>AV109/AK109</x:f>
        <x:v>0.3862850726297735</x:v>
      </x:c>
      <x:c r="AX109" s="64" t="n">
        <x:f>-ROUND(AK109*'Drivers'!W109,3)</x:f>
        <x:v>-14.6</x:v>
      </x:c>
      <x:c r="AY109" s="64" t="n">
        <x:f>-ROUND(AK109*'Drivers'!X109,3)</x:f>
        <x:v>-25.662</x:v>
      </x:c>
      <x:c r="AZ109" s="64" t="n">
        <x:f>-ROUND(AK109*'Drivers'!Y109,3)</x:f>
        <x:v>-16.742</x:v>
      </x:c>
      <x:c r="BA109" s="64" t="n">
        <x:f>-ROUND(AK109*'Drivers'!Z109,3)</x:f>
        <x:v>-6.678</x:v>
      </x:c>
      <x:c r="BB109" s="64" t="n">
        <x:f>-ROUND(AK109*'Drivers'!AA109,3)</x:f>
        <x:v>-6.718</x:v>
      </x:c>
      <x:c r="BC109" s="64" t="n">
        <x:f>SUM(BA109,BB109)</x:f>
        <x:v>-13.396</x:v>
      </x:c>
      <x:c r="BD109" s="64" t="n">
        <x:f>-ROUND(AK109*'Drivers'!AB109,3)</x:f>
        <x:v>-3.678</x:v>
      </x:c>
      <x:c r="BE109" s="64" t="n">
        <x:f>SUM(AX109:BB109,BD109)</x:f>
        <x:v>-74.078</x:v>
      </x:c>
      <x:c r="BF109" s="67" t="n">
        <x:f>'Drivers'!AF109</x:f>
        <x:v>8</x:v>
      </x:c>
      <x:c r="BG109" s="64" t="n">
        <x:f>BJ109</x:f>
        <x:v>-31.222</x:v>
      </x:c>
      <x:c r="BH109" s="64" t="n">
        <x:f>BE109/BF109</x:f>
        <x:v>-9.25975</x:v>
      </x:c>
      <x:c r="BI109" s="68" t="n">
        <x:f>BF109/L109</x:f>
        <x:v>1.6</x:v>
      </x:c>
      <x:c r="BJ109" s="64" t="n">
        <x:f>-ROUND(AK109*'Drivers'!AC109,3)</x:f>
        <x:v>-31.222</x:v>
      </x:c>
      <x:c r="BK109" s="64" t="n">
        <x:f>-ROUND(AK109*'Drivers'!AD109,3)</x:f>
        <x:v>-120.501</x:v>
      </x:c>
      <x:c r="BL109" s="64" t="n">
        <x:f>SUM(AV109,BE109,BJ109,BK109)</x:f>
        <x:v>151.23099999999997</x:v>
      </x:c>
      <x:c r="BM109" s="65" t="n">
        <x:f>BL109/AK109</x:f>
        <x:v>0.15494249246449449</x:v>
      </x:c>
      <x:c r="BN109" s="64" t="n">
        <x:f>-ROUND(AK109*'Drivers'!AE109,3)</x:f>
        <x:v>-118.988</x:v>
      </x:c>
      <x:c r="BO109" s="64" t="n">
        <x:f>BL109+BN109</x:f>
        <x:v>32.24299999999997</x:v>
      </x:c>
      <x:c r="BP109" s="65" t="n">
        <x:f>BO109/AK109</x:f>
        <x:v>0.03303430371109555</x:v>
      </x:c>
    </x:row>
    <x:row r="110">
      <x:c r="A110" s="61" t="n">
        <x:v>2025</x:v>
      </x:c>
      <x:c r="B110" s="18" t="str">
        <x:v>S1</x:v>
      </x:c>
      <x:c r="C110" s="18" t="str">
        <x:v>2025 S1</x:v>
      </x:c>
      <x:c r="D110" s="18" t="str">
        <x:v>CNCT0028</x:v>
      </x:c>
      <x:c r="E110" s="18" t="str">
        <x:v>深圳万象城</x:v>
      </x:c>
      <x:c r="F110" s="18" t="str">
        <x:v>深圳</x:v>
      </x:c>
      <x:c r="G110" s="18" t="str">
        <x:v>广东省</x:v>
      </x:c>
      <x:c r="H110" s="18" t="str">
        <x:v>南区</x:v>
      </x:c>
      <x:c r="I110" s="18" t="str">
        <x:v>Shopping Mall</x:v>
      </x:c>
      <x:c r="J110" s="18" t="str">
        <x:v>Prestige Shopping Center</x:v>
      </x:c>
      <x:c r="K110" s="18" t="str">
        <x:v>正常</x:v>
      </x:c>
      <x:c r="L110" s="62" t="n">
        <x:v>7</x:v>
      </x:c>
      <x:c r="M110" s="62" t="n">
        <x:v>48</x:v>
      </x:c>
      <x:c r="N110" s="63" t="n">
        <x:f>'Drivers'!C110</x:f>
        <x:v>3092</x:v>
      </x:c>
      <x:c r="O110" s="63" t="n">
        <x:f>'Drivers'!D110</x:f>
        <x:v>1285.125</x:v>
      </x:c>
      <x:c r="P110" s="64" t="n">
        <x:f>ROUND(N110*O110/1000,3)</x:f>
        <x:v>3973.607</x:v>
      </x:c>
      <x:c r="Q110" s="64" t="n">
        <x:f>ROUND(P110*'Drivers'!E110,3)</x:f>
        <x:v>3830.636</x:v>
      </x:c>
      <x:c r="R110" s="64" t="n">
        <x:f>-ROUND(Q110*'Drivers'!F110,3)</x:f>
        <x:v>-778.827</x:v>
      </x:c>
      <x:c r="S110" s="65" t="n">
        <x:f>R110/Q110</x:f>
        <x:v>-0.20331532413938574</x:v>
      </x:c>
      <x:c r="T110" s="64" t="n">
        <x:f>-ROUND(Q110*'Drivers'!G110,3)</x:f>
        <x:v>-52.87</x:v>
      </x:c>
      <x:c r="U110" s="65" t="n">
        <x:f>T110/Q110</x:f>
        <x:v>-0.013801885639878077</x:v>
      </x:c>
      <x:c r="V110" s="64" t="n">
        <x:f>-ROUND(Q110*'Drivers'!H110,3)</x:f>
        <x:v>-43.571</x:v>
      </x:c>
      <x:c r="W110" s="64" t="n">
        <x:f>-ROUND(Q110*'Drivers'!I110,3)</x:f>
        <x:v>-31.672</x:v>
      </x:c>
      <x:c r="X110" s="64" t="n">
        <x:f>-ROUND(Q110*'Drivers'!J110,3)</x:f>
        <x:v>-51.915</x:v>
      </x:c>
      <x:c r="Y110" s="64" t="n">
        <x:f>-ROUND(Q110*'Drivers'!K110,3)</x:f>
        <x:v>-43.822</x:v>
      </x:c>
      <x:c r="Z110" s="64" t="n">
        <x:f>-ROUND(Q110*'Drivers'!L110,3)</x:f>
        <x:v>-37.121</x:v>
      </x:c>
      <x:c r="AA110" s="64" t="n">
        <x:f>-ROUND(Q110*'Drivers'!M110,3)</x:f>
        <x:v>-34.78</x:v>
      </x:c>
      <x:c r="AB110" s="64" t="n">
        <x:f>-ROUND(Q110*'Drivers'!N110,3)</x:f>
        <x:v>-32.051</x:v>
      </x:c>
      <x:c r="AC110" s="64" t="n">
        <x:f>SUM(V110:AB110)</x:f>
        <x:v>-274.932</x:v>
      </x:c>
      <x:c r="AD110" s="65" t="n">
        <x:f>AC110/Q110</x:f>
        <x:v>-0.07177189375341328</x:v>
      </x:c>
      <x:c r="AE110" s="64" t="n">
        <x:f>-ROUND(Q110*'Drivers'!O110,3)</x:f>
        <x:v>-43.865</x:v>
      </x:c>
      <x:c r="AF110" s="65" t="n">
        <x:f>AE110/Q110</x:f>
        <x:v>-0.011451101070422772</x:v>
      </x:c>
      <x:c r="AG110" s="64" t="n">
        <x:f>-ROUND(Q110*'Drivers'!P110,3)</x:f>
        <x:v>-8.346</x:v>
      </x:c>
      <x:c r="AH110" s="64" t="n">
        <x:f>-ROUND(Q110*'Drivers'!Q110,3)</x:f>
        <x:v>-17.276</x:v>
      </x:c>
      <x:c r="AI110" s="64" t="n">
        <x:f>SUM(R110,T110,AC110,AE110,AG110,AH110)</x:f>
        <x:v>-1176.116</x:v>
      </x:c>
      <x:c r="AJ110" s="65" t="n">
        <x:f>AI110/Q110</x:f>
        <x:v>-0.30702891112598535</x:v>
      </x:c>
      <x:c r="AK110" s="64" t="n">
        <x:f>Q110+AI110</x:f>
        <x:v>2654.52</x:v>
      </x:c>
      <x:c r="AL110" s="65" t="n">
        <x:f>AK110/Q110</x:f>
        <x:v>0.6929710888740147</x:v>
      </x:c>
      <x:c r="AM110" s="64" t="n">
        <x:f>AK110/L110</x:f>
        <x:v>379.21714285714285</x:v>
      </x:c>
      <x:c r="AN110" s="66" t="str">
        <x:f>IF(AM110&lt;=200,"≤200K",IF(AM110&lt;=350,"200–350K",IF(AM110&lt;=500,"350–500K",IF(AM110&lt;=700,"500–700K","&gt;700K"))))</x:f>
        <x:v>350–500K</x:v>
      </x:c>
      <x:c r="AO110" s="64" t="n">
        <x:f>-ROUND(Q110*'Drivers'!R110,3)</x:f>
        <x:v>-1316.847</x:v>
      </x:c>
      <x:c r="AP110" s="64" t="n">
        <x:f>-ROUND(AK110*'Drivers'!S110,3)</x:f>
        <x:v>-41.136</x:v>
      </x:c>
      <x:c r="AQ110" s="64" t="n">
        <x:f>-ROUND(AK110*'Drivers'!T110,3)</x:f>
        <x:v>-11.515</x:v>
      </x:c>
      <x:c r="AR110" s="64" t="n">
        <x:f>-ROUND(AK110*'Drivers'!U110,3)</x:f>
        <x:v>-25.28</x:v>
      </x:c>
      <x:c r="AS110" s="64" t="n">
        <x:f>-ROUND(AK110*'Drivers'!V110,3)</x:f>
        <x:v>-78.463</x:v>
      </x:c>
      <x:c r="AT110" s="64" t="n">
        <x:f>SUM(AO110:AS110)</x:f>
        <x:v>-1473.241</x:v>
      </x:c>
      <x:c r="AU110" s="65" t="n">
        <x:f>AT110/AK110</x:f>
        <x:v>-0.5549933697994365</x:v>
      </x:c>
      <x:c r="AV110" s="64" t="n">
        <x:f>AK110+AT110</x:f>
        <x:v>1181.279</x:v>
      </x:c>
      <x:c r="AW110" s="65" t="n">
        <x:f>AV110/AK110</x:f>
        <x:v>0.4450066302005636</x:v>
      </x:c>
      <x:c r="AX110" s="64" t="n">
        <x:f>-ROUND(AK110*'Drivers'!W110,3)</x:f>
        <x:v>-45.883</x:v>
      </x:c>
      <x:c r="AY110" s="64" t="n">
        <x:f>-ROUND(AK110*'Drivers'!X110,3)</x:f>
        <x:v>-67.045</x:v>
      </x:c>
      <x:c r="AZ110" s="64" t="n">
        <x:f>-ROUND(AK110*'Drivers'!Y110,3)</x:f>
        <x:v>-59.066</x:v>
      </x:c>
      <x:c r="BA110" s="64" t="n">
        <x:f>-ROUND(AK110*'Drivers'!Z110,3)</x:f>
        <x:v>-22.247</x:v>
      </x:c>
      <x:c r="BB110" s="64" t="n">
        <x:f>-ROUND(AK110*'Drivers'!AA110,3)</x:f>
        <x:v>-28.698</x:v>
      </x:c>
      <x:c r="BC110" s="64" t="n">
        <x:f>SUM(BA110,BB110)</x:f>
        <x:v>-50.945</x:v>
      </x:c>
      <x:c r="BD110" s="64" t="n">
        <x:f>-ROUND(AK110*'Drivers'!AB110,3)</x:f>
        <x:v>-18.492</x:v>
      </x:c>
      <x:c r="BE110" s="64" t="n">
        <x:f>SUM(AX110:BB110,BD110)</x:f>
        <x:v>-241.43099999999998</x:v>
      </x:c>
      <x:c r="BF110" s="67" t="n">
        <x:f>'Drivers'!AF110</x:f>
        <x:v>15</x:v>
      </x:c>
      <x:c r="BG110" s="64" t="n">
        <x:f>BJ110</x:f>
        <x:v>-94.52</x:v>
      </x:c>
      <x:c r="BH110" s="64" t="n">
        <x:f>BE110/BF110</x:f>
        <x:v>-16.095399999999998</x:v>
      </x:c>
      <x:c r="BI110" s="68" t="n">
        <x:f>BF110/L110</x:f>
        <x:v>2.142857142857143</x:v>
      </x:c>
      <x:c r="BJ110" s="64" t="n">
        <x:f>-ROUND(AK110*'Drivers'!AC110,3)</x:f>
        <x:v>-94.52</x:v>
      </x:c>
      <x:c r="BK110" s="64" t="n">
        <x:f>-ROUND(AK110*'Drivers'!AD110,3)</x:f>
        <x:v>-276.239</x:v>
      </x:c>
      <x:c r="BL110" s="64" t="n">
        <x:f>SUM(AV110,BE110,BJ110,BK110)</x:f>
        <x:v>569.0889999999999</x:v>
      </x:c>
      <x:c r="BM110" s="65" t="n">
        <x:f>BL110/AK110</x:f>
        <x:v>0.2143848982113527</x:v>
      </x:c>
      <x:c r="BN110" s="64" t="n">
        <x:f>-ROUND(AK110*'Drivers'!AE110,3)</x:f>
        <x:v>-227.596</x:v>
      </x:c>
      <x:c r="BO110" s="64" t="n">
        <x:f>BL110+BN110</x:f>
        <x:v>341.49299999999994</x:v>
      </x:c>
      <x:c r="BP110" s="65" t="n">
        <x:f>BO110/AK110</x:f>
        <x:v>0.12864585687807964</x:v>
      </x:c>
    </x:row>
    <x:row r="111">
      <x:c r="A111" s="61" t="n">
        <x:v>2025</x:v>
      </x:c>
      <x:c r="B111" s="18" t="str">
        <x:v>S2</x:v>
      </x:c>
      <x:c r="C111" s="18" t="str">
        <x:v>2025 S2</x:v>
      </x:c>
      <x:c r="D111" s="18" t="str">
        <x:v>CNCT0028</x:v>
      </x:c>
      <x:c r="E111" s="18" t="str">
        <x:v>深圳万象城</x:v>
      </x:c>
      <x:c r="F111" s="18" t="str">
        <x:v>深圳</x:v>
      </x:c>
      <x:c r="G111" s="18" t="str">
        <x:v>广东省</x:v>
      </x:c>
      <x:c r="H111" s="18" t="str">
        <x:v>南区</x:v>
      </x:c>
      <x:c r="I111" s="18" t="str">
        <x:v>Shopping Mall</x:v>
      </x:c>
      <x:c r="J111" s="18" t="str">
        <x:v>Prestige Shopping Center</x:v>
      </x:c>
      <x:c r="K111" s="18" t="str">
        <x:v>正常</x:v>
      </x:c>
      <x:c r="L111" s="62" t="n">
        <x:v>7</x:v>
      </x:c>
      <x:c r="M111" s="62" t="n">
        <x:v>48</x:v>
      </x:c>
      <x:c r="N111" s="63" t="n">
        <x:f>'Drivers'!C111</x:f>
        <x:v>3389</x:v>
      </x:c>
      <x:c r="O111" s="63" t="n">
        <x:f>'Drivers'!D111</x:f>
        <x:v>1300.547</x:v>
      </x:c>
      <x:c r="P111" s="64" t="n">
        <x:f>ROUND(N111*O111/1000,3)</x:f>
        <x:v>4407.554</x:v>
      </x:c>
      <x:c r="Q111" s="64" t="n">
        <x:f>ROUND(P111*'Drivers'!E111,3)</x:f>
        <x:v>4266.091</x:v>
      </x:c>
      <x:c r="R111" s="64" t="n">
        <x:f>-ROUND(Q111*'Drivers'!F111,3)</x:f>
        <x:v>-867.362</x:v>
      </x:c>
      <x:c r="S111" s="65" t="n">
        <x:f>R111/Q111</x:f>
        <x:v>-0.2033154004450444</x:v>
      </x:c>
      <x:c r="T111" s="64" t="n">
        <x:f>-ROUND(Q111*'Drivers'!G111,3)</x:f>
        <x:v>-58.88</x:v>
      </x:c>
      <x:c r="U111" s="65" t="n">
        <x:f>T111/Q111</x:f>
        <x:v>-0.013801862173122889</x:v>
      </x:c>
      <x:c r="V111" s="64" t="n">
        <x:f>-ROUND(Q111*'Drivers'!H111,3)</x:f>
        <x:v>-48.524</x:v>
      </x:c>
      <x:c r="W111" s="64" t="n">
        <x:f>-ROUND(Q111*'Drivers'!I111,3)</x:f>
        <x:v>-35.272</x:v>
      </x:c>
      <x:c r="X111" s="64" t="n">
        <x:f>-ROUND(Q111*'Drivers'!J111,3)</x:f>
        <x:v>-57.816</x:v>
      </x:c>
      <x:c r="Y111" s="64" t="n">
        <x:f>-ROUND(Q111*'Drivers'!K111,3)</x:f>
        <x:v>-48.804</x:v>
      </x:c>
      <x:c r="Z111" s="64" t="n">
        <x:f>-ROUND(Q111*'Drivers'!L111,3)</x:f>
        <x:v>-41.341</x:v>
      </x:c>
      <x:c r="AA111" s="64" t="n">
        <x:f>-ROUND(Q111*'Drivers'!M111,3)</x:f>
        <x:v>-38.734</x:v>
      </x:c>
      <x:c r="AB111" s="64" t="n">
        <x:f>-ROUND(Q111*'Drivers'!N111,3)</x:f>
        <x:v>-35.694</x:v>
      </x:c>
      <x:c r="AC111" s="64" t="n">
        <x:f>SUM(V111:AB111)</x:f>
        <x:v>-306.185</x:v>
      </x:c>
      <x:c r="AD111" s="65" t="n">
        <x:f>AC111/Q111</x:f>
        <x:v>-0.07177179295987825</x:v>
      </x:c>
      <x:c r="AE111" s="64" t="n">
        <x:f>-ROUND(Q111*'Drivers'!O111,3)</x:f>
        <x:v>-48.851</x:v>
      </x:c>
      <x:c r="AF111" s="65" t="n">
        <x:f>AE111/Q111</x:f>
        <x:v>-0.011450998115136314</x:v>
      </x:c>
      <x:c r="AG111" s="64" t="n">
        <x:f>-ROUND(Q111*'Drivers'!P111,3)</x:f>
        <x:v>-9.295</x:v>
      </x:c>
      <x:c r="AH111" s="64" t="n">
        <x:f>-ROUND(Q111*'Drivers'!Q111,3)</x:f>
        <x:v>-19.239</x:v>
      </x:c>
      <x:c r="AI111" s="64" t="n">
        <x:f>SUM(R111,T111,AC111,AE111,AG111,AH111)</x:f>
        <x:v>-1309.812</x:v>
      </x:c>
      <x:c r="AJ111" s="65" t="n">
        <x:f>AI111/Q111</x:f>
        <x:v>-0.3070286123760604</x:v>
      </x:c>
      <x:c r="AK111" s="64" t="n">
        <x:f>Q111+AI111</x:f>
        <x:v>2956.2790000000005</x:v>
      </x:c>
      <x:c r="AL111" s="65" t="n">
        <x:f>AK111/Q111</x:f>
        <x:v>0.6929713876239396</x:v>
      </x:c>
      <x:c r="AM111" s="64" t="n">
        <x:f>AK111/L111</x:f>
        <x:v>422.3255714285715</x:v>
      </x:c>
      <x:c r="AN111" s="66" t="str">
        <x:f>IF(AM111&lt;=200,"≤200K",IF(AM111&lt;=350,"200–350K",IF(AM111&lt;=500,"350–500K",IF(AM111&lt;=700,"500–700K","&gt;700K"))))</x:f>
        <x:v>350–500K</x:v>
      </x:c>
      <x:c r="AO111" s="64" t="n">
        <x:f>-ROUND(Q111*'Drivers'!R111,3)</x:f>
        <x:v>-1473.591</x:v>
      </x:c>
      <x:c r="AP111" s="64" t="n">
        <x:f>-ROUND(AK111*'Drivers'!S111,3)</x:f>
        <x:v>-45.812</x:v>
      </x:c>
      <x:c r="AQ111" s="64" t="n">
        <x:f>-ROUND(AK111*'Drivers'!T111,3)</x:f>
        <x:v>-12.824</x:v>
      </x:c>
      <x:c r="AR111" s="64" t="n">
        <x:f>-ROUND(AK111*'Drivers'!U111,3)</x:f>
        <x:v>-28.154</x:v>
      </x:c>
      <x:c r="AS111" s="64" t="n">
        <x:f>-ROUND(AK111*'Drivers'!V111,3)</x:f>
        <x:v>-87.382</x:v>
      </x:c>
      <x:c r="AT111" s="64" t="n">
        <x:f>SUM(AO111:AS111)</x:f>
        <x:v>-1647.763</x:v>
      </x:c>
      <x:c r="AU111" s="65" t="n">
        <x:f>AT111/AK111</x:f>
        <x:v>-0.5573773652622096</x:v>
      </x:c>
      <x:c r="AV111" s="64" t="n">
        <x:f>AK111+AT111</x:f>
        <x:v>1308.5160000000005</x:v>
      </x:c>
      <x:c r="AW111" s="65" t="n">
        <x:f>AV111/AK111</x:f>
        <x:v>0.4426226347377904</x:v>
      </x:c>
      <x:c r="AX111" s="64" t="n">
        <x:f>-ROUND(AK111*'Drivers'!W111,3)</x:f>
        <x:v>-51.099</x:v>
      </x:c>
      <x:c r="AY111" s="64" t="n">
        <x:f>-ROUND(AK111*'Drivers'!X111,3)</x:f>
        <x:v>-74.667</x:v>
      </x:c>
      <x:c r="AZ111" s="64" t="n">
        <x:f>-ROUND(AK111*'Drivers'!Y111,3)</x:f>
        <x:v>-65.78</x:v>
      </x:c>
      <x:c r="BA111" s="64" t="n">
        <x:f>-ROUND(AK111*'Drivers'!Z111,3)</x:f>
        <x:v>-24.776</x:v>
      </x:c>
      <x:c r="BB111" s="64" t="n">
        <x:f>-ROUND(AK111*'Drivers'!AA111,3)</x:f>
        <x:v>-31.96</x:v>
      </x:c>
      <x:c r="BC111" s="64" t="n">
        <x:f>SUM(BA111,BB111)</x:f>
        <x:v>-56.736000000000004</x:v>
      </x:c>
      <x:c r="BD111" s="64" t="n">
        <x:f>-ROUND(AK111*'Drivers'!AB111,3)</x:f>
        <x:v>-20.594</x:v>
      </x:c>
      <x:c r="BE111" s="64" t="n">
        <x:f>SUM(AX111:BB111,BD111)</x:f>
        <x:v>-268.87600000000003</x:v>
      </x:c>
      <x:c r="BF111" s="67" t="n">
        <x:f>'Drivers'!AF111</x:f>
        <x:v>15</x:v>
      </x:c>
      <x:c r="BG111" s="64" t="n">
        <x:f>BJ111</x:f>
        <x:v>-105.264</x:v>
      </x:c>
      <x:c r="BH111" s="64" t="n">
        <x:f>BE111/BF111</x:f>
        <x:v>-17.92506666666667</x:v>
      </x:c>
      <x:c r="BI111" s="68" t="n">
        <x:f>BF111/L111</x:f>
        <x:v>2.142857142857143</x:v>
      </x:c>
      <x:c r="BJ111" s="64" t="n">
        <x:f>-ROUND(AK111*'Drivers'!AC111,3)</x:f>
        <x:v>-105.264</x:v>
      </x:c>
      <x:c r="BK111" s="64" t="n">
        <x:f>-ROUND(AK111*'Drivers'!AD111,3)</x:f>
        <x:v>-307.641</x:v>
      </x:c>
      <x:c r="BL111" s="64" t="n">
        <x:f>SUM(AV111,BE111,BJ111,BK111)</x:f>
        <x:v>626.7350000000006</x:v>
      </x:c>
      <x:c r="BM111" s="65" t="n">
        <x:f>BL111/AK111</x:f>
        <x:v>0.21200130298933237</x:v>
      </x:c>
      <x:c r="BN111" s="64" t="n">
        <x:f>-ROUND(AK111*'Drivers'!AE111,3)</x:f>
        <x:v>-253.468</x:v>
      </x:c>
      <x:c r="BO111" s="64" t="n">
        <x:f>BL111+BN111</x:f>
        <x:v>373.2670000000006</x:v>
      </x:c>
      <x:c r="BP111" s="65" t="n">
        <x:f>BO111/AK111</x:f>
        <x:v>0.12626244004709994</x:v>
      </x:c>
    </x:row>
    <x:row r="112">
      <x:c r="A112" s="61" t="n">
        <x:v>2026</x:v>
      </x:c>
      <x:c r="B112" s="18" t="str">
        <x:v>S1</x:v>
      </x:c>
      <x:c r="C112" s="18" t="str">
        <x:v>2026 S1</x:v>
      </x:c>
      <x:c r="D112" s="18" t="str">
        <x:v>CNCT0028</x:v>
      </x:c>
      <x:c r="E112" s="18" t="str">
        <x:v>深圳万象城</x:v>
      </x:c>
      <x:c r="F112" s="18" t="str">
        <x:v>深圳</x:v>
      </x:c>
      <x:c r="G112" s="18" t="str">
        <x:v>广东省</x:v>
      </x:c>
      <x:c r="H112" s="18" t="str">
        <x:v>南区</x:v>
      </x:c>
      <x:c r="I112" s="18" t="str">
        <x:v>Shopping Mall</x:v>
      </x:c>
      <x:c r="J112" s="18" t="str">
        <x:v>Prestige Shopping Center</x:v>
      </x:c>
      <x:c r="K112" s="18" t="str">
        <x:v>正常</x:v>
      </x:c>
      <x:c r="L112" s="62" t="n">
        <x:v>7</x:v>
      </x:c>
      <x:c r="M112" s="62" t="n">
        <x:v>48</x:v>
      </x:c>
      <x:c r="N112" s="63" t="n">
        <x:f>'Drivers'!C112</x:f>
        <x:v>3341</x:v>
      </x:c>
      <x:c r="O112" s="63" t="n">
        <x:f>'Drivers'!D112</x:f>
        <x:v>1341.491</x:v>
      </x:c>
      <x:c r="P112" s="64" t="n">
        <x:f>ROUND(N112*O112/1000,3)</x:f>
        <x:v>4481.921</x:v>
      </x:c>
      <x:c r="Q112" s="64" t="n">
        <x:f>ROUND(P112*'Drivers'!E112,3)</x:f>
        <x:v>4304.748</x:v>
      </x:c>
      <x:c r="R112" s="64" t="n">
        <x:f>-ROUND(Q112*'Drivers'!F112,3)</x:f>
        <x:v>-1069.824</x:v>
      </x:c>
      <x:c r="S112" s="65" t="n">
        <x:f>R112/Q112</x:f>
        <x:v>-0.24852186469451873</x:v>
      </x:c>
      <x:c r="T112" s="64" t="n">
        <x:f>-ROUND(Q112*'Drivers'!G112,3)</x:f>
        <x:v>-64.999</x:v>
      </x:c>
      <x:c r="U112" s="65" t="n">
        <x:f>T112/Q112</x:f>
        <x:v>-0.015099373993553166</x:v>
      </x:c>
      <x:c r="V112" s="64" t="n">
        <x:f>-ROUND(Q112*'Drivers'!H112,3)</x:f>
        <x:v>-48.964</x:v>
      </x:c>
      <x:c r="W112" s="64" t="n">
        <x:f>-ROUND(Q112*'Drivers'!I112,3)</x:f>
        <x:v>-35.592</x:v>
      </x:c>
      <x:c r="X112" s="64" t="n">
        <x:f>-ROUND(Q112*'Drivers'!J112,3)</x:f>
        <x:v>-58.34</x:v>
      </x:c>
      <x:c r="Y112" s="64" t="n">
        <x:f>-ROUND(Q112*'Drivers'!K112,3)</x:f>
        <x:v>-49.246</x:v>
      </x:c>
      <x:c r="Z112" s="64" t="n">
        <x:f>-ROUND(Q112*'Drivers'!L112,3)</x:f>
        <x:v>-41.716</x:v>
      </x:c>
      <x:c r="AA112" s="64" t="n">
        <x:f>-ROUND(Q112*'Drivers'!M112,3)</x:f>
        <x:v>-39.085</x:v>
      </x:c>
      <x:c r="AB112" s="64" t="n">
        <x:f>-ROUND(Q112*'Drivers'!N112,3)</x:f>
        <x:v>-36.017</x:v>
      </x:c>
      <x:c r="AC112" s="64" t="n">
        <x:f>SUM(V112:AB112)</x:f>
        <x:v>-308.96000000000004</x:v>
      </x:c>
      <x:c r="AD112" s="65" t="n">
        <x:f>AC112/Q112</x:f>
        <x:v>-0.0717719132455605</x:v>
      </x:c>
      <x:c r="AE112" s="64" t="n">
        <x:f>-ROUND(Q112*'Drivers'!O112,3)</x:f>
        <x:v>-53.19</x:v>
      </x:c>
      <x:c r="AF112" s="65" t="n">
        <x:f>AE112/Q112</x:f>
        <x:v>-0.012356123982170385</x:v>
      </x:c>
      <x:c r="AG112" s="64" t="n">
        <x:f>-ROUND(Q112*'Drivers'!P112,3)</x:f>
        <x:v>-9.379</x:v>
      </x:c>
      <x:c r="AH112" s="64" t="n">
        <x:f>-ROUND(Q112*'Drivers'!Q112,3)</x:f>
        <x:v>-19.414</x:v>
      </x:c>
      <x:c r="AI112" s="64" t="n">
        <x:f>SUM(R112,T112,AC112,AE112,AG112,AH112)</x:f>
        <x:v>-1525.766</x:v>
      </x:c>
      <x:c r="AJ112" s="65" t="n">
        <x:f>AI112/Q112</x:f>
        <x:v>-0.35443793690130065</x:v>
      </x:c>
      <x:c r="AK112" s="64" t="n">
        <x:f>Q112+AI112</x:f>
        <x:v>2778.9819999999995</x:v>
      </x:c>
      <x:c r="AL112" s="65" t="n">
        <x:f>AK112/Q112</x:f>
        <x:v>0.6455620630986993</x:v>
      </x:c>
      <x:c r="AM112" s="64" t="n">
        <x:f>AK112/L112</x:f>
        <x:v>396.9974285714285</x:v>
      </x:c>
      <x:c r="AN112" s="66" t="str">
        <x:f>IF(AM112&lt;=200,"≤200K",IF(AM112&lt;=350,"200–350K",IF(AM112&lt;=500,"350–500K",IF(AM112&lt;=700,"500–700K","&gt;700K"))))</x:f>
        <x:v>350–500K</x:v>
      </x:c>
      <x:c r="AO112" s="64" t="n">
        <x:f>-ROUND(Q112*'Drivers'!R112,3)</x:f>
        <x:v>-1480.51</x:v>
      </x:c>
      <x:c r="AP112" s="64" t="n">
        <x:f>-ROUND(AK112*'Drivers'!S112,3)</x:f>
        <x:v>-43.065</x:v>
      </x:c>
      <x:c r="AQ112" s="64" t="n">
        <x:f>-ROUND(AK112*'Drivers'!T112,3)</x:f>
        <x:v>-12.055</x:v>
      </x:c>
      <x:c r="AR112" s="64" t="n">
        <x:f>-ROUND(AK112*'Drivers'!U112,3)</x:f>
        <x:v>-26.465</x:v>
      </x:c>
      <x:c r="AS112" s="64" t="n">
        <x:f>-ROUND(AK112*'Drivers'!V112,3)</x:f>
        <x:v>-82.142</x:v>
      </x:c>
      <x:c r="AT112" s="64" t="n">
        <x:f>SUM(AO112:AS112)</x:f>
        <x:v>-1644.237</x:v>
      </x:c>
      <x:c r="AU112" s="65" t="n">
        <x:f>AT112/AK112</x:f>
        <x:v>-0.5916688197332693</x:v>
      </x:c>
      <x:c r="AV112" s="64" t="n">
        <x:f>AK112+AT112</x:f>
        <x:v>1134.7449999999994</x:v>
      </x:c>
      <x:c r="AW112" s="65" t="n">
        <x:f>AV112/AK112</x:f>
        <x:v>0.40833118026673065</x:v>
      </x:c>
      <x:c r="AX112" s="64" t="n">
        <x:f>-ROUND(AK112*'Drivers'!W112,3)</x:f>
        <x:v>-66.197</x:v>
      </x:c>
      <x:c r="AY112" s="64" t="n">
        <x:f>-ROUND(AK112*'Drivers'!X112,3)</x:f>
        <x:v>-96.728</x:v>
      </x:c>
      <x:c r="AZ112" s="64" t="n">
        <x:f>-ROUND(AK112*'Drivers'!Y112,3)</x:f>
        <x:v>-85.216</x:v>
      </x:c>
      <x:c r="BA112" s="64" t="n">
        <x:f>-ROUND(AK112*'Drivers'!Z112,3)</x:f>
        <x:v>-32.096</x:v>
      </x:c>
      <x:c r="BB112" s="64" t="n">
        <x:f>-ROUND(AK112*'Drivers'!AA112,3)</x:f>
        <x:v>-41.403</x:v>
      </x:c>
      <x:c r="BC112" s="64" t="n">
        <x:f>SUM(BA112,BB112)</x:f>
        <x:v>-73.499</x:v>
      </x:c>
      <x:c r="BD112" s="64" t="n">
        <x:f>-ROUND(AK112*'Drivers'!AB112,3)</x:f>
        <x:v>-26.679</x:v>
      </x:c>
      <x:c r="BE112" s="64" t="n">
        <x:f>SUM(AX112:BB112,BD112)</x:f>
        <x:v>-348.319</x:v>
      </x:c>
      <x:c r="BF112" s="67" t="n">
        <x:f>'Drivers'!AF112</x:f>
        <x:v>15</x:v>
      </x:c>
      <x:c r="BG112" s="64" t="n">
        <x:f>BJ112</x:f>
        <x:v>-136.365</x:v>
      </x:c>
      <x:c r="BH112" s="64" t="n">
        <x:f>BE112/BF112</x:f>
        <x:v>-23.22126666666667</x:v>
      </x:c>
      <x:c r="BI112" s="68" t="n">
        <x:f>BF112/L112</x:f>
        <x:v>2.142857142857143</x:v>
      </x:c>
      <x:c r="BJ112" s="64" t="n">
        <x:f>-ROUND(AK112*'Drivers'!AC112,3)</x:f>
        <x:v>-136.365</x:v>
      </x:c>
      <x:c r="BK112" s="64" t="n">
        <x:f>-ROUND(AK112*'Drivers'!AD112,3)</x:f>
        <x:v>-289.191</x:v>
      </x:c>
      <x:c r="BL112" s="64" t="n">
        <x:f>SUM(AV112,BE112,BJ112,BK112)</x:f>
        <x:v>360.8699999999995</x:v>
      </x:c>
      <x:c r="BM112" s="65" t="n">
        <x:f>BL112/AK112</x:f>
        <x:v>0.12985690443478928</x:v>
      </x:c>
      <x:c r="BN112" s="64" t="n">
        <x:f>-ROUND(AK112*'Drivers'!AE112,3)</x:f>
        <x:v>-238.267</x:v>
      </x:c>
      <x:c r="BO112" s="64" t="n">
        <x:f>BL112+BN112</x:f>
        <x:v>122.6029999999995</x:v>
      </x:c>
      <x:c r="BP112" s="65" t="n">
        <x:f>BO112/AK112</x:f>
        <x:v>0.044117953984588426</x:v>
      </x:c>
    </x:row>
    <x:row r="113">
      <x:c r="A113" s="61" t="n">
        <x:v>2026</x:v>
      </x:c>
      <x:c r="B113" s="18" t="str">
        <x:v>S2</x:v>
      </x:c>
      <x:c r="C113" s="18" t="str">
        <x:v>2026 S2</x:v>
      </x:c>
      <x:c r="D113" s="18" t="str">
        <x:v>CNCT0028</x:v>
      </x:c>
      <x:c r="E113" s="18" t="str">
        <x:v>深圳万象城</x:v>
      </x:c>
      <x:c r="F113" s="18" t="str">
        <x:v>深圳</x:v>
      </x:c>
      <x:c r="G113" s="18" t="str">
        <x:v>广东省</x:v>
      </x:c>
      <x:c r="H113" s="18" t="str">
        <x:v>南区</x:v>
      </x:c>
      <x:c r="I113" s="18" t="str">
        <x:v>Shopping Mall</x:v>
      </x:c>
      <x:c r="J113" s="18" t="str">
        <x:v>Prestige Shopping Center</x:v>
      </x:c>
      <x:c r="K113" s="18" t="str">
        <x:v>正常</x:v>
      </x:c>
      <x:c r="L113" s="62" t="n">
        <x:v>7</x:v>
      </x:c>
      <x:c r="M113" s="62" t="n">
        <x:v>48</x:v>
      </x:c>
      <x:c r="N113" s="63" t="n">
        <x:f>'Drivers'!C113</x:f>
        <x:v>3520</x:v>
      </x:c>
      <x:c r="O113" s="63" t="n">
        <x:f>'Drivers'!D113</x:f>
        <x:v>1354.736</x:v>
      </x:c>
      <x:c r="P113" s="64" t="n">
        <x:f>ROUND(N113*O113/1000,3)</x:f>
        <x:v>4768.671</x:v>
      </x:c>
      <x:c r="Q113" s="64" t="n">
        <x:f>ROUND(P113*'Drivers'!E113,3)</x:f>
        <x:v>4615.617</x:v>
      </x:c>
      <x:c r="R113" s="64" t="n">
        <x:f>-ROUND(Q113*'Drivers'!F113,3)</x:f>
        <x:v>-1077.128</x:v>
      </x:c>
      <x:c r="S113" s="65" t="n">
        <x:f>R113/Q113</x:f>
        <x:v>-0.23336598335607134</x:v>
      </x:c>
      <x:c r="T113" s="64" t="n">
        <x:f>-ROUND(Q113*'Drivers'!G113,3)</x:f>
        <x:v>-72.465</x:v>
      </x:c>
      <x:c r="U113" s="65" t="n">
        <x:f>T113/Q113</x:f>
        <x:v>-0.01569995950703882</x:v>
      </x:c>
      <x:c r="V113" s="64" t="n">
        <x:f>-ROUND(Q113*'Drivers'!H113,3)</x:f>
        <x:v>-52.5</x:v>
      </x:c>
      <x:c r="W113" s="64" t="n">
        <x:f>-ROUND(Q113*'Drivers'!I113,3)</x:f>
        <x:v>-38.162</x:v>
      </x:c>
      <x:c r="X113" s="64" t="n">
        <x:f>-ROUND(Q113*'Drivers'!J113,3)</x:f>
        <x:v>-62.553</x:v>
      </x:c>
      <x:c r="Y113" s="64" t="n">
        <x:f>-ROUND(Q113*'Drivers'!K113,3)</x:f>
        <x:v>-52.802</x:v>
      </x:c>
      <x:c r="Z113" s="64" t="n">
        <x:f>-ROUND(Q113*'Drivers'!L113,3)</x:f>
        <x:v>-44.728</x:v>
      </x:c>
      <x:c r="AA113" s="64" t="n">
        <x:f>-ROUND(Q113*'Drivers'!M113,3)</x:f>
        <x:v>-41.907</x:v>
      </x:c>
      <x:c r="AB113" s="64" t="n">
        <x:f>-ROUND(Q113*'Drivers'!N113,3)</x:f>
        <x:v>-38.618</x:v>
      </x:c>
      <x:c r="AC113" s="64" t="n">
        <x:f>SUM(V113:AB113)</x:f>
        <x:v>-331.27</x:v>
      </x:c>
      <x:c r="AD113" s="65" t="n">
        <x:f>AC113/Q113</x:f>
        <x:v>-0.07177155296897467</x:v>
      </x:c>
      <x:c r="AE113" s="64" t="n">
        <x:f>-ROUND(Q113*'Drivers'!O113,3)</x:f>
        <x:v>-52.854</x:v>
      </x:c>
      <x:c r="AF113" s="65" t="n">
        <x:f>AE113/Q113</x:f>
        <x:v>-0.011451123435935</x:v>
      </x:c>
      <x:c r="AG113" s="64" t="n">
        <x:f>-ROUND(Q113*'Drivers'!P113,3)</x:f>
        <x:v>-10.056</x:v>
      </x:c>
      <x:c r="AH113" s="64" t="n">
        <x:f>-ROUND(Q113*'Drivers'!Q113,3)</x:f>
        <x:v>-20.816</x:v>
      </x:c>
      <x:c r="AI113" s="64" t="n">
        <x:f>SUM(R113,T113,AC113,AE113,AG113,AH113)</x:f>
        <x:v>-1564.589</x:v>
      </x:c>
      <x:c r="AJ113" s="65" t="n">
        <x:f>AI113/Q113</x:f>
        <x:v>-0.33897721583051627</x:v>
      </x:c>
      <x:c r="AK113" s="64" t="n">
        <x:f>Q113+AI113</x:f>
        <x:v>3051.0280000000002</x:v>
      </x:c>
      <x:c r="AL113" s="65" t="n">
        <x:f>AK113/Q113</x:f>
        <x:v>0.6610227841694838</x:v>
      </x:c>
      <x:c r="AM113" s="64" t="n">
        <x:f>AK113/L113</x:f>
        <x:v>435.8611428571429</x:v>
      </x:c>
      <x:c r="AN113" s="66" t="str">
        <x:f>IF(AM113&lt;=200,"≤200K",IF(AM113&lt;=350,"200–350K",IF(AM113&lt;=500,"350–500K",IF(AM113&lt;=700,"500–700K","&gt;700K"))))</x:f>
        <x:v>350–500K</x:v>
      </x:c>
      <x:c r="AO113" s="64" t="n">
        <x:f>-ROUND(Q113*'Drivers'!R113,3)</x:f>
        <x:v>-1594.324</x:v>
      </x:c>
      <x:c r="AP113" s="64" t="n">
        <x:f>-ROUND(AK113*'Drivers'!S113,3)</x:f>
        <x:v>-47.28</x:v>
      </x:c>
      <x:c r="AQ113" s="64" t="n">
        <x:f>-ROUND(AK113*'Drivers'!T113,3)</x:f>
        <x:v>-13.235</x:v>
      </x:c>
      <x:c r="AR113" s="64" t="n">
        <x:f>-ROUND(AK113*'Drivers'!U113,3)</x:f>
        <x:v>-29.056</x:v>
      </x:c>
      <x:c r="AS113" s="64" t="n">
        <x:f>-ROUND(AK113*'Drivers'!V113,3)</x:f>
        <x:v>-90.183</x:v>
      </x:c>
      <x:c r="AT113" s="64" t="n">
        <x:f>SUM(AO113:AS113)</x:f>
        <x:v>-1774.078</x:v>
      </x:c>
      <x:c r="AU113" s="65" t="n">
        <x:f>AT113/AK113</x:f>
        <x:v>-0.5814689344050595</x:v>
      </x:c>
      <x:c r="AV113" s="64" t="n">
        <x:f>AK113+AT113</x:f>
        <x:v>1276.9500000000003</x:v>
      </x:c>
      <x:c r="AW113" s="65" t="n">
        <x:f>AV113/AK113</x:f>
        <x:v>0.4185310655949405</x:v>
      </x:c>
      <x:c r="AX113" s="64" t="n">
        <x:f>-ROUND(AK113*'Drivers'!W113,3)</x:f>
        <x:v>-65.964</x:v>
      </x:c>
      <x:c r="AY113" s="64" t="n">
        <x:f>-ROUND(AK113*'Drivers'!X113,3)</x:f>
        <x:v>-96.387</x:v>
      </x:c>
      <x:c r="AZ113" s="64" t="n">
        <x:f>-ROUND(AK113*'Drivers'!Y113,3)</x:f>
        <x:v>-84.915</x:v>
      </x:c>
      <x:c r="BA113" s="64" t="n">
        <x:f>-ROUND(AK113*'Drivers'!Z113,3)</x:f>
        <x:v>-31.982</x:v>
      </x:c>
      <x:c r="BB113" s="64" t="n">
        <x:f>-ROUND(AK113*'Drivers'!AA113,3)</x:f>
        <x:v>-41.257</x:v>
      </x:c>
      <x:c r="BC113" s="64" t="n">
        <x:f>SUM(BA113,BB113)</x:f>
        <x:v>-73.239</x:v>
      </x:c>
      <x:c r="BD113" s="64" t="n">
        <x:f>-ROUND(AK113*'Drivers'!AB113,3)</x:f>
        <x:v>-26.585</x:v>
      </x:c>
      <x:c r="BE113" s="64" t="n">
        <x:f>SUM(AX113:BB113,BD113)</x:f>
        <x:v>-347.09000000000003</x:v>
      </x:c>
      <x:c r="BF113" s="67" t="n">
        <x:f>'Drivers'!AF113</x:f>
        <x:v>15</x:v>
      </x:c>
      <x:c r="BG113" s="64" t="n">
        <x:f>BJ113</x:f>
        <x:v>-135.884</x:v>
      </x:c>
      <x:c r="BH113" s="64" t="n">
        <x:f>BE113/BF113</x:f>
        <x:v>-23.139333333333337</x:v>
      </x:c>
      <x:c r="BI113" s="68" t="n">
        <x:f>BF113/L113</x:f>
        <x:v>2.142857142857143</x:v>
      </x:c>
      <x:c r="BJ113" s="64" t="n">
        <x:f>-ROUND(AK113*'Drivers'!AC113,3)</x:f>
        <x:v>-135.884</x:v>
      </x:c>
      <x:c r="BK113" s="64" t="n">
        <x:f>-ROUND(AK113*'Drivers'!AD113,3)</x:f>
        <x:v>-317.501</x:v>
      </x:c>
      <x:c r="BL113" s="64" t="n">
        <x:f>SUM(AV113,BE113,BJ113,BK113)</x:f>
        <x:v>476.47500000000025</x:v>
      </x:c>
      <x:c r="BM113" s="65" t="n">
        <x:f>BL113/AK113</x:f>
        <x:v>0.15616867495152462</x:v>
      </x:c>
      <x:c r="BN113" s="64" t="n">
        <x:f>-ROUND(AK113*'Drivers'!AE113,3)</x:f>
        <x:v>-261.592</x:v>
      </x:c>
      <x:c r="BO113" s="64" t="n">
        <x:f>BL113+BN113</x:f>
        <x:v>214.88300000000027</x:v>
      </x:c>
      <x:c r="BP113" s="65" t="n">
        <x:f>BO113/AK113</x:f>
        <x:v>0.07042970434882939</x:v>
      </x:c>
    </x:row>
    <x:row r="114">
      <x:c r="A114" s="61" t="n">
        <x:v>2025</x:v>
      </x:c>
      <x:c r="B114" s="18" t="str">
        <x:v>S1</x:v>
      </x:c>
      <x:c r="C114" s="18" t="str">
        <x:v>2025 S1</x:v>
      </x:c>
      <x:c r="D114" s="18" t="str">
        <x:v>CNCT0029</x:v>
      </x:c>
      <x:c r="E114" s="18" t="str">
        <x:v>深圳万象天地</x:v>
      </x:c>
      <x:c r="F114" s="18" t="str">
        <x:v>深圳</x:v>
      </x:c>
      <x:c r="G114" s="18" t="str">
        <x:v>广东省</x:v>
      </x:c>
      <x:c r="H114" s="18" t="str">
        <x:v>南区</x:v>
      </x:c>
      <x:c r="I114" s="18" t="str">
        <x:v>Shopping Mall</x:v>
      </x:c>
      <x:c r="J114" s="18" t="str">
        <x:v>Prestige Shopping Center</x:v>
      </x:c>
      <x:c r="K114" s="18" t="str">
        <x:v>正常</x:v>
      </x:c>
      <x:c r="L114" s="62" t="n">
        <x:v>5</x:v>
      </x:c>
      <x:c r="M114" s="62" t="n">
        <x:v>48</x:v>
      </x:c>
      <x:c r="N114" s="63" t="n">
        <x:f>'Drivers'!C114</x:f>
        <x:v>2586</x:v>
      </x:c>
      <x:c r="O114" s="63" t="n">
        <x:f>'Drivers'!D114</x:f>
        <x:v>1293.148</x:v>
      </x:c>
      <x:c r="P114" s="64" t="n">
        <x:f>ROUND(N114*O114/1000,3)</x:f>
        <x:v>3344.081</x:v>
      </x:c>
      <x:c r="Q114" s="64" t="n">
        <x:f>ROUND(P114*'Drivers'!E114,3)</x:f>
        <x:v>3227.553</x:v>
      </x:c>
      <x:c r="R114" s="64" t="n">
        <x:f>-ROUND(Q114*'Drivers'!F114,3)</x:f>
        <x:v>-632.937</x:v>
      </x:c>
      <x:c r="S114" s="65" t="n">
        <x:f>R114/Q114</x:f>
        <x:v>-0.1961042932525043</x:v>
      </x:c>
      <x:c r="T114" s="64" t="n">
        <x:f>-ROUND(Q114*'Drivers'!G114,3)</x:f>
        <x:v>-29.792</x:v>
      </x:c>
      <x:c r="U114" s="65" t="n">
        <x:f>T114/Q114</x:f>
        <x:v>-0.009230522318301203</x:v>
      </x:c>
      <x:c r="V114" s="64" t="n">
        <x:f>-ROUND(Q114*'Drivers'!H114,3)</x:f>
        <x:v>-23.928</x:v>
      </x:c>
      <x:c r="W114" s="64" t="n">
        <x:f>-ROUND(Q114*'Drivers'!I114,3)</x:f>
        <x:v>-23.993</x:v>
      </x:c>
      <x:c r="X114" s="64" t="n">
        <x:f>-ROUND(Q114*'Drivers'!J114,3)</x:f>
        <x:v>-52.858</x:v>
      </x:c>
      <x:c r="Y114" s="64" t="n">
        <x:f>-ROUND(Q114*'Drivers'!K114,3)</x:f>
        <x:v>-33.831</x:v>
      </x:c>
      <x:c r="Z114" s="64" t="n">
        <x:f>-ROUND(Q114*'Drivers'!L114,3)</x:f>
        <x:v>-43.346</x:v>
      </x:c>
      <x:c r="AA114" s="64" t="n">
        <x:f>-ROUND(Q114*'Drivers'!M114,3)</x:f>
        <x:v>-29.911</x:v>
      </x:c>
      <x:c r="AB114" s="64" t="n">
        <x:f>-ROUND(Q114*'Drivers'!N114,3)</x:f>
        <x:v>-18.72</x:v>
      </x:c>
      <x:c r="AC114" s="64" t="n">
        <x:f>SUM(V114:AB114)</x:f>
        <x:v>-226.58700000000002</x:v>
      </x:c>
      <x:c r="AD114" s="65" t="n">
        <x:f>AC114/Q114</x:f>
        <x:v>-0.07020395947022405</x:v>
      </x:c>
      <x:c r="AE114" s="64" t="n">
        <x:f>-ROUND(Q114*'Drivers'!O114,3)</x:f>
        <x:v>-28.528</x:v>
      </x:c>
      <x:c r="AF114" s="65" t="n">
        <x:f>AE114/Q114</x:f>
        <x:v>-0.008838894357428058</x:v>
      </x:c>
      <x:c r="AG114" s="64" t="n">
        <x:f>-ROUND(Q114*'Drivers'!P114,3)</x:f>
        <x:v>-4.404</x:v>
      </x:c>
      <x:c r="AH114" s="64" t="n">
        <x:f>-ROUND(Q114*'Drivers'!Q114,3)</x:f>
        <x:v>-20.449</x:v>
      </x:c>
      <x:c r="AI114" s="64" t="n">
        <x:f>SUM(R114,T114,AC114,AE114,AG114,AH114)</x:f>
        <x:v>-942.697</x:v>
      </x:c>
      <x:c r="AJ114" s="65" t="n">
        <x:f>AI114/Q114</x:f>
        <x:v>-0.2920779302462268</x:v>
      </x:c>
      <x:c r="AK114" s="64" t="n">
        <x:f>Q114+AI114</x:f>
        <x:v>2284.8559999999998</x:v>
      </x:c>
      <x:c r="AL114" s="65" t="n">
        <x:f>AK114/Q114</x:f>
        <x:v>0.7079220697537731</x:v>
      </x:c>
      <x:c r="AM114" s="64" t="n">
        <x:f>AK114/L114</x:f>
        <x:v>456.97119999999995</x:v>
      </x:c>
      <x:c r="AN114" s="66" t="str">
        <x:f>IF(AM114&lt;=200,"≤200K",IF(AM114&lt;=350,"200–350K",IF(AM114&lt;=500,"350–500K",IF(AM114&lt;=700,"500–700K","&gt;700K"))))</x:f>
        <x:v>350–500K</x:v>
      </x:c>
      <x:c r="AO114" s="64" t="n">
        <x:f>-ROUND(Q114*'Drivers'!R114,3)</x:f>
        <x:v>-1122.077</x:v>
      </x:c>
      <x:c r="AP114" s="64" t="n">
        <x:f>-ROUND(AK114*'Drivers'!S114,3)</x:f>
        <x:v>-27.136</x:v>
      </x:c>
      <x:c r="AQ114" s="64" t="n">
        <x:f>-ROUND(AK114*'Drivers'!T114,3)</x:f>
        <x:v>-7.559</x:v>
      </x:c>
      <x:c r="AR114" s="64" t="n">
        <x:f>-ROUND(AK114*'Drivers'!U114,3)</x:f>
        <x:v>-28.729</x:v>
      </x:c>
      <x:c r="AS114" s="64" t="n">
        <x:f>-ROUND(AK114*'Drivers'!V114,3)</x:f>
        <x:v>-90.613</x:v>
      </x:c>
      <x:c r="AT114" s="64" t="n">
        <x:f>SUM(AO114:AS114)</x:f>
        <x:v>-1276.114</x:v>
      </x:c>
      <x:c r="AU114" s="65" t="n">
        <x:f>AT114/AK114</x:f>
        <x:v>-0.5585095953530551</x:v>
      </x:c>
      <x:c r="AV114" s="64" t="n">
        <x:f>AK114+AT114</x:f>
        <x:v>1008.7419999999997</x:v>
      </x:c>
      <x:c r="AW114" s="65" t="n">
        <x:f>AV114/AK114</x:f>
        <x:v>0.44149040464694483</x:v>
      </x:c>
      <x:c r="AX114" s="64" t="n">
        <x:f>-ROUND(AK114*'Drivers'!W114,3)</x:f>
        <x:v>-25.576</x:v>
      </x:c>
      <x:c r="AY114" s="64" t="n">
        <x:f>-ROUND(AK114*'Drivers'!X114,3)</x:f>
        <x:v>-72.936</x:v>
      </x:c>
      <x:c r="AZ114" s="64" t="n">
        <x:f>-ROUND(AK114*'Drivers'!Y114,3)</x:f>
        <x:v>-51.825</x:v>
      </x:c>
      <x:c r="BA114" s="64" t="n">
        <x:f>-ROUND(AK114*'Drivers'!Z114,3)</x:f>
        <x:v>-13.172</x:v>
      </x:c>
      <x:c r="BB114" s="64" t="n">
        <x:f>-ROUND(AK114*'Drivers'!AA114,3)</x:f>
        <x:v>-16.253</x:v>
      </x:c>
      <x:c r="BC114" s="64" t="n">
        <x:f>SUM(BA114,BB114)</x:f>
        <x:v>-29.425</x:v>
      </x:c>
      <x:c r="BD114" s="64" t="n">
        <x:f>-ROUND(AK114*'Drivers'!AB114,3)</x:f>
        <x:v>-14.447</x:v>
      </x:c>
      <x:c r="BE114" s="64" t="n">
        <x:f>SUM(AX114:BB114,BD114)</x:f>
        <x:v>-194.209</x:v>
      </x:c>
      <x:c r="BF114" s="67" t="n">
        <x:f>'Drivers'!AF114</x:f>
        <x:v>8</x:v>
      </x:c>
      <x:c r="BG114" s="64" t="n">
        <x:f>BJ114</x:f>
        <x:v>-73.845</x:v>
      </x:c>
      <x:c r="BH114" s="64" t="n">
        <x:f>BE114/BF114</x:f>
        <x:v>-24.276125</x:v>
      </x:c>
      <x:c r="BI114" s="68" t="n">
        <x:f>BF114/L114</x:f>
        <x:v>1.6</x:v>
      </x:c>
      <x:c r="BJ114" s="64" t="n">
        <x:f>-ROUND(AK114*'Drivers'!AC114,3)</x:f>
        <x:v>-73.845</x:v>
      </x:c>
      <x:c r="BK114" s="64" t="n">
        <x:f>-ROUND(AK114*'Drivers'!AD114,3)</x:f>
        <x:v>-225.662</x:v>
      </x:c>
      <x:c r="BL114" s="64" t="n">
        <x:f>SUM(AV114,BE114,BJ114,BK114)</x:f>
        <x:v>515.0259999999996</x:v>
      </x:c>
      <x:c r="BM114" s="65" t="n">
        <x:f>BL114/AK114</x:f>
        <x:v>0.22540851589771946</x:v>
      </x:c>
      <x:c r="BN114" s="64" t="n">
        <x:f>-ROUND(AK114*'Drivers'!AE114,3)</x:f>
        <x:v>-177.748</x:v>
      </x:c>
      <x:c r="BO114" s="64" t="n">
        <x:f>BL114+BN114</x:f>
        <x:v>337.2779999999996</x:v>
      </x:c>
      <x:c r="BP114" s="65" t="n">
        <x:f>BO114/AK114</x:f>
        <x:v>0.1476145542651264</x:v>
      </x:c>
    </x:row>
    <x:row r="115">
      <x:c r="A115" s="61" t="n">
        <x:v>2025</x:v>
      </x:c>
      <x:c r="B115" s="18" t="str">
        <x:v>S2</x:v>
      </x:c>
      <x:c r="C115" s="18" t="str">
        <x:v>2025 S2</x:v>
      </x:c>
      <x:c r="D115" s="18" t="str">
        <x:v>CNCT0029</x:v>
      </x:c>
      <x:c r="E115" s="18" t="str">
        <x:v>深圳万象天地</x:v>
      </x:c>
      <x:c r="F115" s="18" t="str">
        <x:v>深圳</x:v>
      </x:c>
      <x:c r="G115" s="18" t="str">
        <x:v>广东省</x:v>
      </x:c>
      <x:c r="H115" s="18" t="str">
        <x:v>南区</x:v>
      </x:c>
      <x:c r="I115" s="18" t="str">
        <x:v>Shopping Mall</x:v>
      </x:c>
      <x:c r="J115" s="18" t="str">
        <x:v>Prestige Shopping Center</x:v>
      </x:c>
      <x:c r="K115" s="18" t="str">
        <x:v>正常</x:v>
      </x:c>
      <x:c r="L115" s="62" t="n">
        <x:v>5</x:v>
      </x:c>
      <x:c r="M115" s="62" t="n">
        <x:v>48</x:v>
      </x:c>
      <x:c r="N115" s="63" t="n">
        <x:f>'Drivers'!C115</x:f>
        <x:v>2806</x:v>
      </x:c>
      <x:c r="O115" s="63" t="n">
        <x:f>'Drivers'!D115</x:f>
        <x:v>1308.666</x:v>
      </x:c>
      <x:c r="P115" s="64" t="n">
        <x:f>ROUND(N115*O115/1000,3)</x:f>
        <x:v>3672.117</x:v>
      </x:c>
      <x:c r="Q115" s="64" t="n">
        <x:f>ROUND(P115*'Drivers'!E115,3)</x:f>
        <x:v>3585.946</x:v>
      </x:c>
      <x:c r="R115" s="64" t="n">
        <x:f>-ROUND(Q115*'Drivers'!F115,3)</x:f>
        <x:v>-703.219</x:v>
      </x:c>
      <x:c r="S115" s="65" t="n">
        <x:f>R115/Q115</x:f>
        <x:v>-0.19610418004063643</x:v>
      </x:c>
      <x:c r="T115" s="64" t="n">
        <x:f>-ROUND(Q115*'Drivers'!G115,3)</x:f>
        <x:v>-33.1</x:v>
      </x:c>
      <x:c r="U115" s="65" t="n">
        <x:f>T115/Q115</x:f>
        <x:v>-0.009230479209670196</x:v>
      </x:c>
      <x:c r="V115" s="64" t="n">
        <x:f>-ROUND(Q115*'Drivers'!H115,3)</x:f>
        <x:v>-26.585</x:v>
      </x:c>
      <x:c r="W115" s="64" t="n">
        <x:f>-ROUND(Q115*'Drivers'!I115,3)</x:f>
        <x:v>-26.657</x:v>
      </x:c>
      <x:c r="X115" s="64" t="n">
        <x:f>-ROUND(Q115*'Drivers'!J115,3)</x:f>
        <x:v>-58.728</x:v>
      </x:c>
      <x:c r="Y115" s="64" t="n">
        <x:f>-ROUND(Q115*'Drivers'!K115,3)</x:f>
        <x:v>-37.588</x:v>
      </x:c>
      <x:c r="Z115" s="64" t="n">
        <x:f>-ROUND(Q115*'Drivers'!L115,3)</x:f>
        <x:v>-48.159</x:v>
      </x:c>
      <x:c r="AA115" s="64" t="n">
        <x:f>-ROUND(Q115*'Drivers'!M115,3)</x:f>
        <x:v>-33.232</x:v>
      </x:c>
      <x:c r="AB115" s="64" t="n">
        <x:f>-ROUND(Q115*'Drivers'!N115,3)</x:f>
        <x:v>-20.799</x:v>
      </x:c>
      <x:c r="AC115" s="64" t="n">
        <x:f>SUM(V115:AB115)</x:f>
        <x:v>-251.748</x:v>
      </x:c>
      <x:c r="AD115" s="65" t="n">
        <x:f>AC115/Q115</x:f>
        <x:v>-0.07020406888447288</x:v>
      </x:c>
      <x:c r="AE115" s="64" t="n">
        <x:f>-ROUND(Q115*'Drivers'!O115,3)</x:f>
        <x:v>-31.696</x:v>
      </x:c>
      <x:c r="AF115" s="65" t="n">
        <x:f>AE115/Q115</x:f>
        <x:v>-0.008838950725973007</x:v>
      </x:c>
      <x:c r="AG115" s="64" t="n">
        <x:f>-ROUND(Q115*'Drivers'!P115,3)</x:f>
        <x:v>-4.893</x:v>
      </x:c>
      <x:c r="AH115" s="64" t="n">
        <x:f>-ROUND(Q115*'Drivers'!Q115,3)</x:f>
        <x:v>-22.72</x:v>
      </x:c>
      <x:c r="AI115" s="64" t="n">
        <x:f>SUM(R115,T115,AC115,AE115,AG115,AH115)</x:f>
        <x:v>-1047.376</x:v>
      </x:c>
      <x:c r="AJ115" s="65" t="n">
        <x:f>AI115/Q115</x:f>
        <x:v>-0.29207801790657195</x:v>
      </x:c>
      <x:c r="AK115" s="64" t="n">
        <x:f>Q115+AI115</x:f>
        <x:v>2538.5699999999997</x:v>
      </x:c>
      <x:c r="AL115" s="65" t="n">
        <x:f>AK115/Q115</x:f>
        <x:v>0.707921982093428</x:v>
      </x:c>
      <x:c r="AM115" s="64" t="n">
        <x:f>AK115/L115</x:f>
        <x:v>507.71399999999994</x:v>
      </x:c>
      <x:c r="AN115" s="66" t="str">
        <x:f>IF(AM115&lt;=200,"≤200K",IF(AM115&lt;=350,"200–350K",IF(AM115&lt;=500,"350–500K",IF(AM115&lt;=700,"500–700K","&gt;700K"))))</x:f>
        <x:v>500–700K</x:v>
      </x:c>
      <x:c r="AO115" s="64" t="n">
        <x:f>-ROUND(Q115*'Drivers'!R115,3)</x:f>
        <x:v>-1301.013</x:v>
      </x:c>
      <x:c r="AP115" s="64" t="n">
        <x:f>-ROUND(AK115*'Drivers'!S115,3)</x:f>
        <x:v>-30.149</x:v>
      </x:c>
      <x:c r="AQ115" s="64" t="n">
        <x:f>-ROUND(AK115*'Drivers'!T115,3)</x:f>
        <x:v>-8.399</x:v>
      </x:c>
      <x:c r="AR115" s="64" t="n">
        <x:f>-ROUND(AK115*'Drivers'!U115,3)</x:f>
        <x:v>-31.919</x:v>
      </x:c>
      <x:c r="AS115" s="64" t="n">
        <x:f>-ROUND(AK115*'Drivers'!V115,3)</x:f>
        <x:v>-100.674</x:v>
      </x:c>
      <x:c r="AT115" s="64" t="n">
        <x:f>SUM(AO115:AS115)</x:f>
        <x:v>-1472.1539999999998</x:v>
      </x:c>
      <x:c r="AU115" s="65" t="n">
        <x:f>AT115/AK115</x:f>
        <x:v>-0.5799146763729186</x:v>
      </x:c>
      <x:c r="AV115" s="64" t="n">
        <x:f>AK115+AT115</x:f>
        <x:v>1066.416</x:v>
      </x:c>
      <x:c r="AW115" s="65" t="n">
        <x:f>AV115/AK115</x:f>
        <x:v>0.4200853236270814</x:v>
      </x:c>
      <x:c r="AX115" s="64" t="n">
        <x:f>-ROUND(AK115*'Drivers'!W115,3)</x:f>
        <x:v>-28.416</x:v>
      </x:c>
      <x:c r="AY115" s="64" t="n">
        <x:f>-ROUND(AK115*'Drivers'!X115,3)</x:f>
        <x:v>-81.035</x:v>
      </x:c>
      <x:c r="AZ115" s="64" t="n">
        <x:f>-ROUND(AK115*'Drivers'!Y115,3)</x:f>
        <x:v>-57.579</x:v>
      </x:c>
      <x:c r="BA115" s="64" t="n">
        <x:f>-ROUND(AK115*'Drivers'!Z115,3)</x:f>
        <x:v>-14.635</x:v>
      </x:c>
      <x:c r="BB115" s="64" t="n">
        <x:f>-ROUND(AK115*'Drivers'!AA115,3)</x:f>
        <x:v>-18.057</x:v>
      </x:c>
      <x:c r="BC115" s="64" t="n">
        <x:f>SUM(BA115,BB115)</x:f>
        <x:v>-32.692</x:v>
      </x:c>
      <x:c r="BD115" s="64" t="n">
        <x:f>-ROUND(AK115*'Drivers'!AB115,3)</x:f>
        <x:v>-16.052</x:v>
      </x:c>
      <x:c r="BE115" s="64" t="n">
        <x:f>SUM(AX115:BB115,BD115)</x:f>
        <x:v>-215.77399999999997</x:v>
      </x:c>
      <x:c r="BF115" s="67" t="n">
        <x:f>'Drivers'!AF115</x:f>
        <x:v>8</x:v>
      </x:c>
      <x:c r="BG115" s="64" t="n">
        <x:f>BJ115</x:f>
        <x:v>-82.045</x:v>
      </x:c>
      <x:c r="BH115" s="64" t="n">
        <x:f>BE115/BF115</x:f>
        <x:v>-26.971749999999997</x:v>
      </x:c>
      <x:c r="BI115" s="68" t="n">
        <x:f>BF115/L115</x:f>
        <x:v>1.6</x:v>
      </x:c>
      <x:c r="BJ115" s="64" t="n">
        <x:f>-ROUND(AK115*'Drivers'!AC115,3)</x:f>
        <x:v>-82.045</x:v>
      </x:c>
      <x:c r="BK115" s="64" t="n">
        <x:f>-ROUND(AK115*'Drivers'!AD115,3)</x:f>
        <x:v>-250.72</x:v>
      </x:c>
      <x:c r="BL115" s="64" t="n">
        <x:f>SUM(AV115,BE115,BJ115,BK115)</x:f>
        <x:v>517.877</x:v>
      </x:c>
      <x:c r="BM115" s="65" t="n">
        <x:f>BL115/AK115</x:f>
        <x:v>0.20400343500474677</x:v>
      </x:c>
      <x:c r="BN115" s="64" t="n">
        <x:f>-ROUND(AK115*'Drivers'!AE115,3)</x:f>
        <x:v>-197.486</x:v>
      </x:c>
      <x:c r="BO115" s="64" t="n">
        <x:f>BL115+BN115</x:f>
        <x:v>320.39099999999996</x:v>
      </x:c>
      <x:c r="BP115" s="65" t="n">
        <x:f>BO115/AK115</x:f>
        <x:v>0.12620924378685638</x:v>
      </x:c>
    </x:row>
    <x:row r="116">
      <x:c r="A116" s="61" t="n">
        <x:v>2026</x:v>
      </x:c>
      <x:c r="B116" s="18" t="str">
        <x:v>S1</x:v>
      </x:c>
      <x:c r="C116" s="18" t="str">
        <x:v>2026 S1</x:v>
      </x:c>
      <x:c r="D116" s="18" t="str">
        <x:v>CNCT0029</x:v>
      </x:c>
      <x:c r="E116" s="18" t="str">
        <x:v>深圳万象天地</x:v>
      </x:c>
      <x:c r="F116" s="18" t="str">
        <x:v>深圳</x:v>
      </x:c>
      <x:c r="G116" s="18" t="str">
        <x:v>广东省</x:v>
      </x:c>
      <x:c r="H116" s="18" t="str">
        <x:v>南区</x:v>
      </x:c>
      <x:c r="I116" s="18" t="str">
        <x:v>Shopping Mall</x:v>
      </x:c>
      <x:c r="J116" s="18" t="str">
        <x:v>Prestige Shopping Center</x:v>
      </x:c>
      <x:c r="K116" s="18" t="str">
        <x:v>正常</x:v>
      </x:c>
      <x:c r="L116" s="62" t="n">
        <x:v>5</x:v>
      </x:c>
      <x:c r="M116" s="62" t="n">
        <x:v>48</x:v>
      </x:c>
      <x:c r="N116" s="63" t="n">
        <x:f>'Drivers'!C116</x:f>
        <x:v>2759</x:v>
      </x:c>
      <x:c r="O116" s="63" t="n">
        <x:f>'Drivers'!D116</x:f>
        <x:v>1339.527</x:v>
      </x:c>
      <x:c r="P116" s="64" t="n">
        <x:f>ROUND(N116*O116/1000,3)</x:f>
        <x:v>3695.755</x:v>
      </x:c>
      <x:c r="Q116" s="64" t="n">
        <x:f>ROUND(P116*'Drivers'!E116,3)</x:f>
        <x:v>3570.312</x:v>
      </x:c>
      <x:c r="R116" s="64" t="n">
        <x:f>-ROUND(Q116*'Drivers'!F116,3)</x:f>
        <x:v>-843.727</x:v>
      </x:c>
      <x:c r="S116" s="65" t="n">
        <x:f>R116/Q116</x:f>
        <x:v>-0.23631744228515603</x:v>
      </x:c>
      <x:c r="T116" s="64" t="n">
        <x:f>-ROUND(Q116*'Drivers'!G116,3)</x:f>
        <x:v>-31.297</x:v>
      </x:c>
      <x:c r="U116" s="65" t="n">
        <x:f>T116/Q116</x:f>
        <x:v>-0.008765900571154566</x:v>
      </x:c>
      <x:c r="V116" s="64" t="n">
        <x:f>-ROUND(Q116*'Drivers'!H116,3)</x:f>
        <x:v>-26.469</x:v>
      </x:c>
      <x:c r="W116" s="64" t="n">
        <x:f>-ROUND(Q116*'Drivers'!I116,3)</x:f>
        <x:v>-26.541</x:v>
      </x:c>
      <x:c r="X116" s="64" t="n">
        <x:f>-ROUND(Q116*'Drivers'!J116,3)</x:f>
        <x:v>-58.472</x:v>
      </x:c>
      <x:c r="Y116" s="64" t="n">
        <x:f>-ROUND(Q116*'Drivers'!K116,3)</x:f>
        <x:v>-37.424</x:v>
      </x:c>
      <x:c r="Z116" s="64" t="n">
        <x:f>-ROUND(Q116*'Drivers'!L116,3)</x:f>
        <x:v>-47.949</x:v>
      </x:c>
      <x:c r="AA116" s="64" t="n">
        <x:f>-ROUND(Q116*'Drivers'!M116,3)</x:f>
        <x:v>-33.088</x:v>
      </x:c>
      <x:c r="AB116" s="64" t="n">
        <x:f>-ROUND(Q116*'Drivers'!N116,3)</x:f>
        <x:v>-20.708</x:v>
      </x:c>
      <x:c r="AC116" s="64" t="n">
        <x:f>SUM(V116:AB116)</x:f>
        <x:v>-250.651</x:v>
      </x:c>
      <x:c r="AD116" s="65" t="n">
        <x:f>AC116/Q116</x:f>
        <x:v>-0.07020422865004515</x:v>
      </x:c>
      <x:c r="AE116" s="64" t="n">
        <x:f>-ROUND(Q116*'Drivers'!O116,3)</x:f>
        <x:v>-36.607</x:v>
      </x:c>
      <x:c r="AF116" s="65" t="n">
        <x:f>AE116/Q116</x:f>
        <x:v>-0.010253165549677451</x:v>
      </x:c>
      <x:c r="AG116" s="64" t="n">
        <x:f>-ROUND(Q116*'Drivers'!P116,3)</x:f>
        <x:v>-4.871</x:v>
      </x:c>
      <x:c r="AH116" s="64" t="n">
        <x:f>-ROUND(Q116*'Drivers'!Q116,3)</x:f>
        <x:v>-22.621</x:v>
      </x:c>
      <x:c r="AI116" s="64" t="n">
        <x:f>SUM(R116,T116,AC116,AE116,AG116,AH116)</x:f>
        <x:v>-1189.7740000000001</x:v>
      </x:c>
      <x:c r="AJ116" s="65" t="n">
        <x:f>AI116/Q116</x:f>
        <x:v>-0.333240904436363</x:v>
      </x:c>
      <x:c r="AK116" s="64" t="n">
        <x:f>Q116+AI116</x:f>
        <x:v>2380.5379999999996</x:v>
      </x:c>
      <x:c r="AL116" s="65" t="n">
        <x:f>AK116/Q116</x:f>
        <x:v>0.6667590955636369</x:v>
      </x:c>
      <x:c r="AM116" s="64" t="n">
        <x:f>AK116/L116</x:f>
        <x:v>476.10759999999993</x:v>
      </x:c>
      <x:c r="AN116" s="66" t="str">
        <x:f>IF(AM116&lt;=200,"≤200K",IF(AM116&lt;=350,"200–350K",IF(AM116&lt;=500,"350–500K",IF(AM116&lt;=700,"500–700K","&gt;700K"))))</x:f>
        <x:v>350–500K</x:v>
      </x:c>
      <x:c r="AO116" s="64" t="n">
        <x:f>-ROUND(Q116*'Drivers'!R116,3)</x:f>
        <x:v>-1228.87</x:v>
      </x:c>
      <x:c r="AP116" s="64" t="n">
        <x:f>-ROUND(AK116*'Drivers'!S116,3)</x:f>
        <x:v>-28.272</x:v>
      </x:c>
      <x:c r="AQ116" s="64" t="n">
        <x:f>-ROUND(AK116*'Drivers'!T116,3)</x:f>
        <x:v>-7.876</x:v>
      </x:c>
      <x:c r="AR116" s="64" t="n">
        <x:f>-ROUND(AK116*'Drivers'!U116,3)</x:f>
        <x:v>-29.932</x:v>
      </x:c>
      <x:c r="AS116" s="64" t="n">
        <x:f>-ROUND(AK116*'Drivers'!V116,3)</x:f>
        <x:v>-94.407</x:v>
      </x:c>
      <x:c r="AT116" s="64" t="n">
        <x:f>SUM(AO116:AS116)</x:f>
        <x:v>-1389.3569999999997</x:v>
      </x:c>
      <x:c r="AU116" s="65" t="n">
        <x:f>AT116/AK116</x:f>
        <x:v>-0.5836315152289104</x:v>
      </x:c>
      <x:c r="AV116" s="64" t="n">
        <x:f>AK116+AT116</x:f>
        <x:v>991.1809999999998</x:v>
      </x:c>
      <x:c r="AW116" s="65" t="n">
        <x:f>AV116/AK116</x:f>
        <x:v>0.41636848477108956</x:v>
      </x:c>
      <x:c r="AX116" s="64" t="n">
        <x:f>-ROUND(AK116*'Drivers'!W116,3)</x:f>
        <x:v>-36.722</x:v>
      </x:c>
      <x:c r="AY116" s="64" t="n">
        <x:f>-ROUND(AK116*'Drivers'!X116,3)</x:f>
        <x:v>-104.723</x:v>
      </x:c>
      <x:c r="AZ116" s="64" t="n">
        <x:f>-ROUND(AK116*'Drivers'!Y116,3)</x:f>
        <x:v>-74.41</x:v>
      </x:c>
      <x:c r="BA116" s="64" t="n">
        <x:f>-ROUND(AK116*'Drivers'!Z116,3)</x:f>
        <x:v>-18.913</x:v>
      </x:c>
      <x:c r="BB116" s="64" t="n">
        <x:f>-ROUND(AK116*'Drivers'!AA116,3)</x:f>
        <x:v>-23.336</x:v>
      </x:c>
      <x:c r="BC116" s="64" t="n">
        <x:f>SUM(BA116,BB116)</x:f>
        <x:v>-42.248999999999995</x:v>
      </x:c>
      <x:c r="BD116" s="64" t="n">
        <x:f>-ROUND(AK116*'Drivers'!AB116,3)</x:f>
        <x:v>-20.744</x:v>
      </x:c>
      <x:c r="BE116" s="64" t="n">
        <x:f>SUM(AX116:BB116,BD116)</x:f>
        <x:v>-278.84799999999996</x:v>
      </x:c>
      <x:c r="BF116" s="67" t="n">
        <x:f>'Drivers'!AF116</x:f>
        <x:v>8</x:v>
      </x:c>
      <x:c r="BG116" s="64" t="n">
        <x:f>BJ116</x:f>
        <x:v>-106.028</x:v>
      </x:c>
      <x:c r="BH116" s="64" t="n">
        <x:f>BE116/BF116</x:f>
        <x:v>-34.855999999999995</x:v>
      </x:c>
      <x:c r="BI116" s="68" t="n">
        <x:f>BF116/L116</x:f>
        <x:v>1.6</x:v>
      </x:c>
      <x:c r="BJ116" s="64" t="n">
        <x:f>-ROUND(AK116*'Drivers'!AC116,3)</x:f>
        <x:v>-106.028</x:v>
      </x:c>
      <x:c r="BK116" s="64" t="n">
        <x:f>-ROUND(AK116*'Drivers'!AD116,3)</x:f>
        <x:v>-235.112</x:v>
      </x:c>
      <x:c r="BL116" s="64" t="n">
        <x:f>SUM(AV116,BE116,BJ116,BK116)</x:f>
        <x:v>371.19299999999987</x:v>
      </x:c>
      <x:c r="BM116" s="65" t="n">
        <x:f>BL116/AK116</x:f>
        <x:v>0.15592819774353525</x:v>
      </x:c>
      <x:c r="BN116" s="64" t="n">
        <x:f>-ROUND(AK116*'Drivers'!AE116,3)</x:f>
        <x:v>-185.192</x:v>
      </x:c>
      <x:c r="BO116" s="64" t="n">
        <x:f>BL116+BN116</x:f>
        <x:v>186.00099999999986</x:v>
      </x:c>
      <x:c r="BP116" s="65" t="n">
        <x:f>BO116/AK116</x:f>
        <x:v>0.07813401844457005</x:v>
      </x:c>
    </x:row>
    <x:row r="117">
      <x:c r="A117" s="61" t="n">
        <x:v>2026</x:v>
      </x:c>
      <x:c r="B117" s="18" t="str">
        <x:v>S2</x:v>
      </x:c>
      <x:c r="C117" s="18" t="str">
        <x:v>2026 S2</x:v>
      </x:c>
      <x:c r="D117" s="18" t="str">
        <x:v>CNCT0029</x:v>
      </x:c>
      <x:c r="E117" s="18" t="str">
        <x:v>深圳万象天地</x:v>
      </x:c>
      <x:c r="F117" s="18" t="str">
        <x:v>深圳</x:v>
      </x:c>
      <x:c r="G117" s="18" t="str">
        <x:v>广东省</x:v>
      </x:c>
      <x:c r="H117" s="18" t="str">
        <x:v>南区</x:v>
      </x:c>
      <x:c r="I117" s="18" t="str">
        <x:v>Shopping Mall</x:v>
      </x:c>
      <x:c r="J117" s="18" t="str">
        <x:v>Prestige Shopping Center</x:v>
      </x:c>
      <x:c r="K117" s="18" t="str">
        <x:v>正常</x:v>
      </x:c>
      <x:c r="L117" s="62" t="n">
        <x:v>5</x:v>
      </x:c>
      <x:c r="M117" s="62" t="n">
        <x:v>48</x:v>
      </x:c>
      <x:c r="N117" s="63" t="n">
        <x:f>'Drivers'!C117</x:f>
        <x:v>2966</x:v>
      </x:c>
      <x:c r="O117" s="63" t="n">
        <x:f>'Drivers'!D117</x:f>
        <x:v>1367.622</x:v>
      </x:c>
      <x:c r="P117" s="64" t="n">
        <x:f>ROUND(N117*O117/1000,3)</x:f>
        <x:v>4056.367</x:v>
      </x:c>
      <x:c r="Q117" s="64" t="n">
        <x:f>ROUND(P117*'Drivers'!E117,3)</x:f>
        <x:v>3961.179</x:v>
      </x:c>
      <x:c r="R117" s="64" t="n">
        <x:f>-ROUND(Q117*'Drivers'!F117,3)</x:f>
        <x:v>-899.11</x:v>
      </x:c>
      <x:c r="S117" s="65" t="n">
        <x:f>R117/Q117</x:f>
        <x:v>-0.22698040154206614</x:v>
      </x:c>
      <x:c r="T117" s="64" t="n">
        <x:f>-ROUND(Q117*'Drivers'!G117,3)</x:f>
        <x:v>-43.472</x:v>
      </x:c>
      <x:c r="U117" s="65" t="n">
        <x:f>T117/Q117</x:f>
        <x:v>-0.010974510366736773</x:v>
      </x:c>
      <x:c r="V117" s="64" t="n">
        <x:f>-ROUND(Q117*'Drivers'!H117,3)</x:f>
        <x:v>-29.367</x:v>
      </x:c>
      <x:c r="W117" s="64" t="n">
        <x:f>-ROUND(Q117*'Drivers'!I117,3)</x:f>
        <x:v>-29.446</x:v>
      </x:c>
      <x:c r="X117" s="64" t="n">
        <x:f>-ROUND(Q117*'Drivers'!J117,3)</x:f>
        <x:v>-64.873</x:v>
      </x:c>
      <x:c r="Y117" s="64" t="n">
        <x:f>-ROUND(Q117*'Drivers'!K117,3)</x:f>
        <x:v>-41.521</x:v>
      </x:c>
      <x:c r="Z117" s="64" t="n">
        <x:f>-ROUND(Q117*'Drivers'!L117,3)</x:f>
        <x:v>-53.198</x:v>
      </x:c>
      <x:c r="AA117" s="64" t="n">
        <x:f>-ROUND(Q117*'Drivers'!M117,3)</x:f>
        <x:v>-36.71</x:v>
      </x:c>
      <x:c r="AB117" s="64" t="n">
        <x:f>-ROUND(Q117*'Drivers'!N117,3)</x:f>
        <x:v>-22.975</x:v>
      </x:c>
      <x:c r="AC117" s="64" t="n">
        <x:f>SUM(V117:AB117)</x:f>
        <x:v>-278.09000000000003</x:v>
      </x:c>
      <x:c r="AD117" s="65" t="n">
        <x:f>AC117/Q117</x:f>
        <x:v>-0.0702038458751801</x:v>
      </x:c>
      <x:c r="AE117" s="64" t="n">
        <x:f>-ROUND(Q117*'Drivers'!O117,3)</x:f>
        <x:v>-35.013</x:v>
      </x:c>
      <x:c r="AF117" s="65" t="n">
        <x:f>AE117/Q117</x:f>
        <x:v>-0.008839035044869216</x:v>
      </x:c>
      <x:c r="AG117" s="64" t="n">
        <x:f>-ROUND(Q117*'Drivers'!P117,3)</x:f>
        <x:v>-5.404</x:v>
      </x:c>
      <x:c r="AH117" s="64" t="n">
        <x:f>-ROUND(Q117*'Drivers'!Q117,3)</x:f>
        <x:v>-25.098</x:v>
      </x:c>
      <x:c r="AI117" s="64" t="n">
        <x:f>SUM(R117,T117,AC117,AE117,AG117,AH117)</x:f>
        <x:v>-1286.187</x:v>
      </x:c>
      <x:c r="AJ117" s="65" t="n">
        <x:f>AI117/Q117</x:f>
        <x:v>-0.3246980255121013</x:v>
      </x:c>
      <x:c r="AK117" s="64" t="n">
        <x:f>Q117+AI117</x:f>
        <x:v>2674.992</x:v>
      </x:c>
      <x:c r="AL117" s="65" t="n">
        <x:f>AK117/Q117</x:f>
        <x:v>0.6753019744878987</x:v>
      </x:c>
      <x:c r="AM117" s="64" t="n">
        <x:f>AK117/L117</x:f>
        <x:v>534.9984000000001</x:v>
      </x:c>
      <x:c r="AN117" s="66" t="str">
        <x:f>IF(AM117&lt;=200,"≤200K",IF(AM117&lt;=350,"200–350K",IF(AM117&lt;=500,"350–500K",IF(AM117&lt;=700,"500–700K","&gt;700K"))))</x:f>
        <x:v>500–700K</x:v>
      </x:c>
      <x:c r="AO117" s="64" t="n">
        <x:f>-ROUND(Q117*'Drivers'!R117,3)</x:f>
        <x:v>-1437.151</x:v>
      </x:c>
      <x:c r="AP117" s="64" t="n">
        <x:f>-ROUND(AK117*'Drivers'!S117,3)</x:f>
        <x:v>-31.769</x:v>
      </x:c>
      <x:c r="AQ117" s="64" t="n">
        <x:f>-ROUND(AK117*'Drivers'!T117,3)</x:f>
        <x:v>-8.85</x:v>
      </x:c>
      <x:c r="AR117" s="64" t="n">
        <x:f>-ROUND(AK117*'Drivers'!U117,3)</x:f>
        <x:v>-33.634</x:v>
      </x:c>
      <x:c r="AS117" s="64" t="n">
        <x:f>-ROUND(AK117*'Drivers'!V117,3)</x:f>
        <x:v>-106.085</x:v>
      </x:c>
      <x:c r="AT117" s="64" t="n">
        <x:f>SUM(AO117:AS117)</x:f>
        <x:v>-1617.489</x:v>
      </x:c>
      <x:c r="AU117" s="65" t="n">
        <x:f>AT117/AK117</x:f>
        <x:v>-0.6046705934073822</x:v>
      </x:c>
      <x:c r="AV117" s="64" t="n">
        <x:f>AK117+AT117</x:f>
        <x:v>1057.5030000000002</x:v>
      </x:c>
      <x:c r="AW117" s="65" t="n">
        <x:f>AV117/AK117</x:f>
        <x:v>0.3953294065926179</x:v>
      </x:c>
      <x:c r="AX117" s="64" t="n">
        <x:f>-ROUND(AK117*'Drivers'!W117,3)</x:f>
        <x:v>-37.452</x:v>
      </x:c>
      <x:c r="AY117" s="64" t="n">
        <x:f>-ROUND(AK117*'Drivers'!X117,3)</x:f>
        <x:v>-106.806</x:v>
      </x:c>
      <x:c r="AZ117" s="64" t="n">
        <x:f>-ROUND(AK117*'Drivers'!Y117,3)</x:f>
        <x:v>-75.89</x:v>
      </x:c>
      <x:c r="BA117" s="64" t="n">
        <x:f>-ROUND(AK117*'Drivers'!Z117,3)</x:f>
        <x:v>-19.289</x:v>
      </x:c>
      <x:c r="BB117" s="64" t="n">
        <x:f>-ROUND(AK117*'Drivers'!AA117,3)</x:f>
        <x:v>-23.8</x:v>
      </x:c>
      <x:c r="BC117" s="64" t="n">
        <x:f>SUM(BA117,BB117)</x:f>
        <x:v>-43.089</x:v>
      </x:c>
      <x:c r="BD117" s="64" t="n">
        <x:f>-ROUND(AK117*'Drivers'!AB117,3)</x:f>
        <x:v>-21.156</x:v>
      </x:c>
      <x:c r="BE117" s="64" t="n">
        <x:f>SUM(AX117:BB117,BD117)</x:f>
        <x:v>-284.393</x:v>
      </x:c>
      <x:c r="BF117" s="67" t="n">
        <x:f>'Drivers'!AF117</x:f>
        <x:v>8</x:v>
      </x:c>
      <x:c r="BG117" s="64" t="n">
        <x:f>BJ117</x:f>
        <x:v>-108.137</x:v>
      </x:c>
      <x:c r="BH117" s="64" t="n">
        <x:f>BE117/BF117</x:f>
        <x:v>-35.549125</x:v>
      </x:c>
      <x:c r="BI117" s="68" t="n">
        <x:f>BF117/L117</x:f>
        <x:v>1.6</x:v>
      </x:c>
      <x:c r="BJ117" s="64" t="n">
        <x:f>-ROUND(AK117*'Drivers'!AC117,3)</x:f>
        <x:v>-108.137</x:v>
      </x:c>
      <x:c r="BK117" s="64" t="n">
        <x:f>-ROUND(AK117*'Drivers'!AD117,3)</x:f>
        <x:v>-264.194</x:v>
      </x:c>
      <x:c r="BL117" s="64" t="n">
        <x:f>SUM(AV117,BE117,BJ117,BK117)</x:f>
        <x:v>400.77900000000017</x:v>
      </x:c>
      <x:c r="BM117" s="65" t="n">
        <x:f>BL117/AK117</x:f>
        <x:v>0.14982437330653706</x:v>
      </x:c>
      <x:c r="BN117" s="64" t="n">
        <x:f>-ROUND(AK117*'Drivers'!AE117,3)</x:f>
        <x:v>-208.099</x:v>
      </x:c>
      <x:c r="BO117" s="64" t="n">
        <x:f>BL117+BN117</x:f>
        <x:v>192.68000000000018</x:v>
      </x:c>
      <x:c r="BP117" s="65" t="n">
        <x:f>BO117/AK117</x:f>
        <x:v>0.0720301219592433</x:v>
      </x:c>
    </x:row>
    <x:row r="118">
      <x:c r="A118" s="61" t="n">
        <x:v>2025</x:v>
      </x:c>
      <x:c r="B118" s="18" t="str">
        <x:v>S1</x:v>
      </x:c>
      <x:c r="C118" s="18" t="str">
        <x:v>2025 S1</x:v>
      </x:c>
      <x:c r="D118" s="18" t="str">
        <x:v>CNCT0030</x:v>
      </x:c>
      <x:c r="E118" s="18" t="str">
        <x:v>深圳海岸城</x:v>
      </x:c>
      <x:c r="F118" s="18" t="str">
        <x:v>深圳</x:v>
      </x:c>
      <x:c r="G118" s="18" t="str">
        <x:v>广东省</x:v>
      </x:c>
      <x:c r="H118" s="18" t="str">
        <x:v>南区</x:v>
      </x:c>
      <x:c r="I118" s="18" t="str">
        <x:v>Shopping Mall</x:v>
      </x:c>
      <x:c r="J118" s="18" t="str">
        <x:v>Core Shopping Center</x:v>
      </x:c>
      <x:c r="K118" s="18" t="str">
        <x:v>正常</x:v>
      </x:c>
      <x:c r="L118" s="62" t="n">
        <x:v>6</x:v>
      </x:c>
      <x:c r="M118" s="62" t="n">
        <x:v>48</x:v>
      </x:c>
      <x:c r="N118" s="63" t="n">
        <x:f>'Drivers'!C118</x:f>
        <x:v>2278</x:v>
      </x:c>
      <x:c r="O118" s="63" t="n">
        <x:f>'Drivers'!D118</x:f>
        <x:v>1102.953</x:v>
      </x:c>
      <x:c r="P118" s="64" t="n">
        <x:f>ROUND(N118*O118/1000,3)</x:f>
        <x:v>2512.527</x:v>
      </x:c>
      <x:c r="Q118" s="64" t="n">
        <x:f>ROUND(P118*'Drivers'!E118,3)</x:f>
        <x:v>2454.147</x:v>
      </x:c>
      <x:c r="R118" s="64" t="n">
        <x:f>-ROUND(Q118*'Drivers'!F118,3)</x:f>
        <x:v>-388.99</x:v>
      </x:c>
      <x:c r="S118" s="65" t="n">
        <x:f>R118/Q118</x:f>
        <x:v>-0.1585031377501022</x:v>
      </x:c>
      <x:c r="T118" s="64" t="n">
        <x:f>-ROUND(Q118*'Drivers'!G118,3)</x:f>
        <x:v>-46.277</x:v>
      </x:c>
      <x:c r="U118" s="65" t="n">
        <x:f>T118/Q118</x:f>
        <x:v>-0.01885665365603609</x:v>
      </x:c>
      <x:c r="V118" s="64" t="n">
        <x:f>-ROUND(Q118*'Drivers'!H118,3)</x:f>
        <x:v>-26.241</x:v>
      </x:c>
      <x:c r="W118" s="64" t="n">
        <x:f>-ROUND(Q118*'Drivers'!I118,3)</x:f>
        <x:v>-23.613</x:v>
      </x:c>
      <x:c r="X118" s="64" t="n">
        <x:f>-ROUND(Q118*'Drivers'!J118,3)</x:f>
        <x:v>-31.987</x:v>
      </x:c>
      <x:c r="Y118" s="64" t="n">
        <x:f>-ROUND(Q118*'Drivers'!K118,3)</x:f>
        <x:v>-20.753</x:v>
      </x:c>
      <x:c r="Z118" s="64" t="n">
        <x:f>-ROUND(Q118*'Drivers'!L118,3)</x:f>
        <x:v>-27.707</x:v>
      </x:c>
      <x:c r="AA118" s="64" t="n">
        <x:f>-ROUND(Q118*'Drivers'!M118,3)</x:f>
        <x:v>-22.03</x:v>
      </x:c>
      <x:c r="AB118" s="64" t="n">
        <x:f>-ROUND(Q118*'Drivers'!N118,3)</x:f>
        <x:v>-17.701</x:v>
      </x:c>
      <x:c r="AC118" s="64" t="n">
        <x:f>SUM(V118:AB118)</x:f>
        <x:v>-170.03199999999998</x:v>
      </x:c>
      <x:c r="AD118" s="65" t="n">
        <x:f>AC118/Q118</x:f>
        <x:v>-0.06928354332482936</x:v>
      </x:c>
      <x:c r="AE118" s="64" t="n">
        <x:f>-ROUND(Q118*'Drivers'!O118,3)</x:f>
        <x:v>-36.985</x:v>
      </x:c>
      <x:c r="AF118" s="65" t="n">
        <x:f>AE118/Q118</x:f>
        <x:v>-0.015070409392754386</x:v>
      </x:c>
      <x:c r="AG118" s="64" t="n">
        <x:f>-ROUND(Q118*'Drivers'!P118,3)</x:f>
        <x:v>-3.333</x:v>
      </x:c>
      <x:c r="AH118" s="64" t="n">
        <x:f>-ROUND(Q118*'Drivers'!Q118,3)</x:f>
        <x:v>-14.072</x:v>
      </x:c>
      <x:c r="AI118" s="64" t="n">
        <x:f>SUM(R118,T118,AC118,AE118,AG118,AH118)</x:f>
        <x:v>-659.689</x:v>
      </x:c>
      <x:c r="AJ118" s="65" t="n">
        <x:f>AI118/Q118</x:f>
        <x:v>-0.2688058213301811</x:v>
      </x:c>
      <x:c r="AK118" s="64" t="n">
        <x:f>Q118+AI118</x:f>
        <x:v>1794.458</x:v>
      </x:c>
      <x:c r="AL118" s="65" t="n">
        <x:f>AK118/Q118</x:f>
        <x:v>0.731194178669819</x:v>
      </x:c>
      <x:c r="AM118" s="64" t="n">
        <x:f>AK118/L118</x:f>
        <x:v>299.07633333333337</x:v>
      </x:c>
      <x:c r="AN118" s="66" t="str">
        <x:f>IF(AM118&lt;=200,"≤200K",IF(AM118&lt;=350,"200–350K",IF(AM118&lt;=500,"350–500K",IF(AM118&lt;=700,"500–700K","&gt;700K"))))</x:f>
        <x:v>200–350K</x:v>
      </x:c>
      <x:c r="AO118" s="64" t="n">
        <x:f>-ROUND(Q118*'Drivers'!R118,3)</x:f>
        <x:v>-952.797</x:v>
      </x:c>
      <x:c r="AP118" s="64" t="n">
        <x:f>-ROUND(AK118*'Drivers'!S118,3)</x:f>
        <x:v>-21.402</x:v>
      </x:c>
      <x:c r="AQ118" s="64" t="n">
        <x:f>-ROUND(AK118*'Drivers'!T118,3)</x:f>
        <x:v>-5.407</x:v>
      </x:c>
      <x:c r="AR118" s="64" t="n">
        <x:f>-ROUND(AK118*'Drivers'!U118,3)</x:f>
        <x:v>-13.367</x:v>
      </x:c>
      <x:c r="AS118" s="64" t="n">
        <x:f>-ROUND(AK118*'Drivers'!V118,3)</x:f>
        <x:v>-65.129</x:v>
      </x:c>
      <x:c r="AT118" s="64" t="n">
        <x:f>SUM(AO118:AS118)</x:f>
        <x:v>-1058.102</x:v>
      </x:c>
      <x:c r="AU118" s="65" t="n">
        <x:f>AT118/AK118</x:f>
        <x:v>-0.5896499110037683</x:v>
      </x:c>
      <x:c r="AV118" s="64" t="n">
        <x:f>AK118+AT118</x:f>
        <x:v>736.356</x:v>
      </x:c>
      <x:c r="AW118" s="65" t="n">
        <x:f>AV118/AK118</x:f>
        <x:v>0.4103500889962317</x:v>
      </x:c>
      <x:c r="AX118" s="64" t="n">
        <x:f>-ROUND(AK118*'Drivers'!W118,3)</x:f>
        <x:v>-25.927</x:v>
      </x:c>
      <x:c r="AY118" s="64" t="n">
        <x:f>-ROUND(AK118*'Drivers'!X118,3)</x:f>
        <x:v>-55.241</x:v>
      </x:c>
      <x:c r="AZ118" s="64" t="n">
        <x:f>-ROUND(AK118*'Drivers'!Y118,3)</x:f>
        <x:v>-31.639</x:v>
      </x:c>
      <x:c r="BA118" s="64" t="n">
        <x:f>-ROUND(AK118*'Drivers'!Z118,3)</x:f>
        <x:v>-10.268</x:v>
      </x:c>
      <x:c r="BB118" s="64" t="n">
        <x:f>-ROUND(AK118*'Drivers'!AA118,3)</x:f>
        <x:v>-13.997</x:v>
      </x:c>
      <x:c r="BC118" s="64" t="n">
        <x:f>SUM(BA118,BB118)</x:f>
        <x:v>-24.265</x:v>
      </x:c>
      <x:c r="BD118" s="64" t="n">
        <x:f>-ROUND(AK118*'Drivers'!AB118,3)</x:f>
        <x:v>-10.365</x:v>
      </x:c>
      <x:c r="BE118" s="64" t="n">
        <x:f>SUM(AX118:BB118,BD118)</x:f>
        <x:v>-147.437</x:v>
      </x:c>
      <x:c r="BF118" s="67" t="n">
        <x:f>'Drivers'!AF118</x:f>
        <x:v>10</x:v>
      </x:c>
      <x:c r="BG118" s="64" t="n">
        <x:f>BJ118</x:f>
        <x:v>-62.224</x:v>
      </x:c>
      <x:c r="BH118" s="64" t="n">
        <x:f>BE118/BF118</x:f>
        <x:v>-14.7437</x:v>
      </x:c>
      <x:c r="BI118" s="68" t="n">
        <x:f>BF118/L118</x:f>
        <x:v>1.6666666666666667</x:v>
      </x:c>
      <x:c r="BJ118" s="64" t="n">
        <x:f>-ROUND(AK118*'Drivers'!AC118,3)</x:f>
        <x:v>-62.224</x:v>
      </x:c>
      <x:c r="BK118" s="64" t="n">
        <x:f>-ROUND(AK118*'Drivers'!AD118,3)</x:f>
        <x:v>-194.036</x:v>
      </x:c>
      <x:c r="BL118" s="64" t="n">
        <x:f>SUM(AV118,BE118,BJ118,BK118)</x:f>
        <x:v>332.65899999999993</x:v>
      </x:c>
      <x:c r="BM118" s="65" t="n">
        <x:f>BL118/AK118</x:f>
        <x:v>0.1853813240543941</x:v>
      </x:c>
      <x:c r="BN118" s="64" t="n">
        <x:f>-ROUND(AK118*'Drivers'!AE118,3)</x:f>
        <x:v>-154.652</x:v>
      </x:c>
      <x:c r="BO118" s="64" t="n">
        <x:f>BL118+BN118</x:f>
        <x:v>178.00699999999995</x:v>
      </x:c>
      <x:c r="BP118" s="65" t="n">
        <x:f>BO118/AK118</x:f>
        <x:v>0.0991981980074206</x:v>
      </x:c>
    </x:row>
    <x:row r="119">
      <x:c r="A119" s="61" t="n">
        <x:v>2025</x:v>
      </x:c>
      <x:c r="B119" s="18" t="str">
        <x:v>S2</x:v>
      </x:c>
      <x:c r="C119" s="18" t="str">
        <x:v>2025 S2</x:v>
      </x:c>
      <x:c r="D119" s="18" t="str">
        <x:v>CNCT0030</x:v>
      </x:c>
      <x:c r="E119" s="18" t="str">
        <x:v>深圳海岸城</x:v>
      </x:c>
      <x:c r="F119" s="18" t="str">
        <x:v>深圳</x:v>
      </x:c>
      <x:c r="G119" s="18" t="str">
        <x:v>广东省</x:v>
      </x:c>
      <x:c r="H119" s="18" t="str">
        <x:v>南区</x:v>
      </x:c>
      <x:c r="I119" s="18" t="str">
        <x:v>Shopping Mall</x:v>
      </x:c>
      <x:c r="J119" s="18" t="str">
        <x:v>Core Shopping Center</x:v>
      </x:c>
      <x:c r="K119" s="18" t="str">
        <x:v>正常</x:v>
      </x:c>
      <x:c r="L119" s="62" t="n">
        <x:v>6</x:v>
      </x:c>
      <x:c r="M119" s="62" t="n">
        <x:v>48</x:v>
      </x:c>
      <x:c r="N119" s="63" t="n">
        <x:f>'Drivers'!C119</x:f>
        <x:v>2420</x:v>
      </x:c>
      <x:c r="O119" s="63" t="n">
        <x:f>'Drivers'!D119</x:f>
        <x:v>1116.188</x:v>
      </x:c>
      <x:c r="P119" s="64" t="n">
        <x:f>ROUND(N119*O119/1000,3)</x:f>
        <x:v>2701.175</x:v>
      </x:c>
      <x:c r="Q119" s="64" t="n">
        <x:f>ROUND(P119*'Drivers'!E119,3)</x:f>
        <x:v>2626.244</x:v>
      </x:c>
      <x:c r="R119" s="64" t="n">
        <x:f>-ROUND(Q119*'Drivers'!F119,3)</x:f>
        <x:v>-416.268</x:v>
      </x:c>
      <x:c r="S119" s="65" t="n">
        <x:f>R119/Q119</x:f>
        <x:v>-0.15850317030710015</x:v>
      </x:c>
      <x:c r="T119" s="64" t="n">
        <x:f>-ROUND(Q119*'Drivers'!G119,3)</x:f>
        <x:v>-49.522</x:v>
      </x:c>
      <x:c r="U119" s="65" t="n">
        <x:f>T119/Q119</x:f>
        <x:v>-0.01885658758287501</x:v>
      </x:c>
      <x:c r="V119" s="64" t="n">
        <x:f>-ROUND(Q119*'Drivers'!H119,3)</x:f>
        <x:v>-28.081</x:v>
      </x:c>
      <x:c r="W119" s="64" t="n">
        <x:f>-ROUND(Q119*'Drivers'!I119,3)</x:f>
        <x:v>-25.269</x:v>
      </x:c>
      <x:c r="X119" s="64" t="n">
        <x:f>-ROUND(Q119*'Drivers'!J119,3)</x:f>
        <x:v>-34.23</x:v>
      </x:c>
      <x:c r="Y119" s="64" t="n">
        <x:f>-ROUND(Q119*'Drivers'!K119,3)</x:f>
        <x:v>-22.208</x:v>
      </x:c>
      <x:c r="Z119" s="64" t="n">
        <x:f>-ROUND(Q119*'Drivers'!L119,3)</x:f>
        <x:v>-29.65</x:v>
      </x:c>
      <x:c r="AA119" s="64" t="n">
        <x:f>-ROUND(Q119*'Drivers'!M119,3)</x:f>
        <x:v>-23.575</x:v>
      </x:c>
      <x:c r="AB119" s="64" t="n">
        <x:f>-ROUND(Q119*'Drivers'!N119,3)</x:f>
        <x:v>-18.942</x:v>
      </x:c>
      <x:c r="AC119" s="64" t="n">
        <x:f>SUM(V119:AB119)</x:f>
        <x:v>-181.95499999999998</x:v>
      </x:c>
      <x:c r="AD119" s="65" t="n">
        <x:f>AC119/Q119</x:f>
        <x:v>-0.0692833567634995</x:v>
      </x:c>
      <x:c r="AE119" s="64" t="n">
        <x:f>-ROUND(Q119*'Drivers'!O119,3)</x:f>
        <x:v>-39.578</x:v>
      </x:c>
      <x:c r="AF119" s="65" t="n">
        <x:f>AE119/Q119</x:f>
        <x:v>-0.0150701914978197</x:v>
      </x:c>
      <x:c r="AG119" s="64" t="n">
        <x:f>-ROUND(Q119*'Drivers'!P119,3)</x:f>
        <x:v>-3.566</x:v>
      </x:c>
      <x:c r="AH119" s="64" t="n">
        <x:f>-ROUND(Q119*'Drivers'!Q119,3)</x:f>
        <x:v>-15.059</x:v>
      </x:c>
      <x:c r="AI119" s="64" t="n">
        <x:f>SUM(R119,T119,AC119,AE119,AG119,AH119)</x:f>
        <x:v>-705.9479999999999</x:v>
      </x:c>
      <x:c r="AJ119" s="65" t="n">
        <x:f>AI119/Q119</x:f>
        <x:v>-0.2688051833721466</x:v>
      </x:c>
      <x:c r="AK119" s="64" t="n">
        <x:f>Q119+AI119</x:f>
        <x:v>1920.2960000000003</x:v>
      </x:c>
      <x:c r="AL119" s="65" t="n">
        <x:f>AK119/Q119</x:f>
        <x:v>0.7311948166278534</x:v>
      </x:c>
      <x:c r="AM119" s="64" t="n">
        <x:f>AK119/L119</x:f>
        <x:v>320.0493333333334</x:v>
      </x:c>
      <x:c r="AN119" s="66" t="str">
        <x:f>IF(AM119&lt;=200,"≤200K",IF(AM119&lt;=350,"200–350K",IF(AM119&lt;=500,"350–500K",IF(AM119&lt;=700,"500–700K","&gt;700K"))))</x:f>
        <x:v>200–350K</x:v>
      </x:c>
      <x:c r="AO119" s="64" t="n">
        <x:f>-ROUND(Q119*'Drivers'!R119,3)</x:f>
        <x:v>-1015.921</x:v>
      </x:c>
      <x:c r="AP119" s="64" t="n">
        <x:f>-ROUND(AK119*'Drivers'!S119,3)</x:f>
        <x:v>-22.903</x:v>
      </x:c>
      <x:c r="AQ119" s="64" t="n">
        <x:f>-ROUND(AK119*'Drivers'!T119,3)</x:f>
        <x:v>-5.786</x:v>
      </x:c>
      <x:c r="AR119" s="64" t="n">
        <x:f>-ROUND(AK119*'Drivers'!U119,3)</x:f>
        <x:v>-14.304</x:v>
      </x:c>
      <x:c r="AS119" s="64" t="n">
        <x:f>-ROUND(AK119*'Drivers'!V119,3)</x:f>
        <x:v>-69.696</x:v>
      </x:c>
      <x:c r="AT119" s="64" t="n">
        <x:f>SUM(AO119:AS119)</x:f>
        <x:v>-1128.6100000000001</x:v>
      </x:c>
      <x:c r="AU119" s="65" t="n">
        <x:f>AT119/AK119</x:f>
        <x:v>-0.5877271004053541</x:v>
      </x:c>
      <x:c r="AV119" s="64" t="n">
        <x:f>AK119+AT119</x:f>
        <x:v>791.6860000000001</x:v>
      </x:c>
      <x:c r="AW119" s="65" t="n">
        <x:f>AV119/AK119</x:f>
        <x:v>0.41227289959464586</x:v>
      </x:c>
      <x:c r="AX119" s="64" t="n">
        <x:f>-ROUND(AK119*'Drivers'!W119,3)</x:f>
        <x:v>-27.746</x:v>
      </x:c>
      <x:c r="AY119" s="64" t="n">
        <x:f>-ROUND(AK119*'Drivers'!X119,3)</x:f>
        <x:v>-59.115</x:v>
      </x:c>
      <x:c r="AZ119" s="64" t="n">
        <x:f>-ROUND(AK119*'Drivers'!Y119,3)</x:f>
        <x:v>-33.858</x:v>
      </x:c>
      <x:c r="BA119" s="64" t="n">
        <x:f>-ROUND(AK119*'Drivers'!Z119,3)</x:f>
        <x:v>-10.988</x:v>
      </x:c>
      <x:c r="BB119" s="64" t="n">
        <x:f>-ROUND(AK119*'Drivers'!AA119,3)</x:f>
        <x:v>-14.978</x:v>
      </x:c>
      <x:c r="BC119" s="64" t="n">
        <x:f>SUM(BA119,BB119)</x:f>
        <x:v>-25.966</x:v>
      </x:c>
      <x:c r="BD119" s="64" t="n">
        <x:f>-ROUND(AK119*'Drivers'!AB119,3)</x:f>
        <x:v>-11.092</x:v>
      </x:c>
      <x:c r="BE119" s="64" t="n">
        <x:f>SUM(AX119:BB119,BD119)</x:f>
        <x:v>-157.77700000000002</x:v>
      </x:c>
      <x:c r="BF119" s="67" t="n">
        <x:f>'Drivers'!AF119</x:f>
        <x:v>10</x:v>
      </x:c>
      <x:c r="BG119" s="64" t="n">
        <x:f>BJ119</x:f>
        <x:v>-66.587</x:v>
      </x:c>
      <x:c r="BH119" s="64" t="n">
        <x:f>BE119/BF119</x:f>
        <x:v>-15.777700000000001</x:v>
      </x:c>
      <x:c r="BI119" s="68" t="n">
        <x:f>BF119/L119</x:f>
        <x:v>1.6666666666666667</x:v>
      </x:c>
      <x:c r="BJ119" s="64" t="n">
        <x:f>-ROUND(AK119*'Drivers'!AC119,3)</x:f>
        <x:v>-66.587</x:v>
      </x:c>
      <x:c r="BK119" s="64" t="n">
        <x:f>-ROUND(AK119*'Drivers'!AD119,3)</x:f>
        <x:v>-207.643</x:v>
      </x:c>
      <x:c r="BL119" s="64" t="n">
        <x:f>SUM(AV119,BE119,BJ119,BK119)</x:f>
        <x:v>359.6790000000001</x:v>
      </x:c>
      <x:c r="BM119" s="65" t="n">
        <x:f>BL119/AK119</x:f>
        <x:v>0.1873039364764599</x:v>
      </x:c>
      <x:c r="BN119" s="64" t="n">
        <x:f>-ROUND(AK119*'Drivers'!AE119,3)</x:f>
        <x:v>-165.497</x:v>
      </x:c>
      <x:c r="BO119" s="64" t="n">
        <x:f>BL119+BN119</x:f>
        <x:v>194.18200000000007</x:v>
      </x:c>
      <x:c r="BP119" s="65" t="n">
        <x:f>BO119/AK119</x:f>
        <x:v>0.10112086886604985</x:v>
      </x:c>
    </x:row>
    <x:row r="120">
      <x:c r="A120" s="61" t="n">
        <x:v>2026</x:v>
      </x:c>
      <x:c r="B120" s="18" t="str">
        <x:v>S1</x:v>
      </x:c>
      <x:c r="C120" s="18" t="str">
        <x:v>2026 S1</x:v>
      </x:c>
      <x:c r="D120" s="18" t="str">
        <x:v>CNCT0030</x:v>
      </x:c>
      <x:c r="E120" s="18" t="str">
        <x:v>深圳海岸城</x:v>
      </x:c>
      <x:c r="F120" s="18" t="str">
        <x:v>深圳</x:v>
      </x:c>
      <x:c r="G120" s="18" t="str">
        <x:v>广东省</x:v>
      </x:c>
      <x:c r="H120" s="18" t="str">
        <x:v>南区</x:v>
      </x:c>
      <x:c r="I120" s="18" t="str">
        <x:v>Shopping Mall</x:v>
      </x:c>
      <x:c r="J120" s="18" t="str">
        <x:v>Core Shopping Center</x:v>
      </x:c>
      <x:c r="K120" s="18" t="str">
        <x:v>正常</x:v>
      </x:c>
      <x:c r="L120" s="62" t="n">
        <x:v>6</x:v>
      </x:c>
      <x:c r="M120" s="62" t="n">
        <x:v>48</x:v>
      </x:c>
      <x:c r="N120" s="63" t="n">
        <x:f>'Drivers'!C120</x:f>
        <x:v>2403</x:v>
      </x:c>
      <x:c r="O120" s="63" t="n">
        <x:f>'Drivers'!D120</x:f>
        <x:v>1164.6</x:v>
      </x:c>
      <x:c r="P120" s="64" t="n">
        <x:f>ROUND(N120*O120/1000,3)</x:f>
        <x:v>2798.534</x:v>
      </x:c>
      <x:c r="Q120" s="64" t="n">
        <x:f>ROUND(P120*'Drivers'!E120,3)</x:f>
        <x:v>2739.354</x:v>
      </x:c>
      <x:c r="R120" s="64" t="n">
        <x:f>-ROUND(Q120*'Drivers'!F120,3)</x:f>
        <x:v>-418.776</x:v>
      </x:c>
      <x:c r="S120" s="65" t="n">
        <x:f>R120/Q120</x:f>
        <x:v>-0.15287399876029167</x:v>
      </x:c>
      <x:c r="T120" s="64" t="n">
        <x:f>-ROUND(Q120*'Drivers'!G120,3)</x:f>
        <x:v>-56.994</x:v>
      </x:c>
      <x:c r="U120" s="65" t="n">
        <x:f>T120/Q120</x:f>
        <x:v>-0.02080563519720343</x:v>
      </x:c>
      <x:c r="V120" s="64" t="n">
        <x:f>-ROUND(Q120*'Drivers'!H120,3)</x:f>
        <x:v>-29.291</x:v>
      </x:c>
      <x:c r="W120" s="64" t="n">
        <x:f>-ROUND(Q120*'Drivers'!I120,3)</x:f>
        <x:v>-26.357</x:v>
      </x:c>
      <x:c r="X120" s="64" t="n">
        <x:f>-ROUND(Q120*'Drivers'!J120,3)</x:f>
        <x:v>-35.704</x:v>
      </x:c>
      <x:c r="Y120" s="64" t="n">
        <x:f>-ROUND(Q120*'Drivers'!K120,3)</x:f>
        <x:v>-23.165</x:v>
      </x:c>
      <x:c r="Z120" s="64" t="n">
        <x:f>-ROUND(Q120*'Drivers'!L120,3)</x:f>
        <x:v>-30.927</x:v>
      </x:c>
      <x:c r="AA120" s="64" t="n">
        <x:f>-ROUND(Q120*'Drivers'!M120,3)</x:f>
        <x:v>-24.59</x:v>
      </x:c>
      <x:c r="AB120" s="64" t="n">
        <x:f>-ROUND(Q120*'Drivers'!N120,3)</x:f>
        <x:v>-19.758</x:v>
      </x:c>
      <x:c r="AC120" s="64" t="n">
        <x:f>SUM(V120:AB120)</x:f>
        <x:v>-189.792</x:v>
      </x:c>
      <x:c r="AD120" s="65" t="n">
        <x:f>AC120/Q120</x:f>
        <x:v>-0.06928348800483618</x:v>
      </x:c>
      <x:c r="AE120" s="64" t="n">
        <x:f>-ROUND(Q120*'Drivers'!O120,3)</x:f>
        <x:v>-44.872</x:v>
      </x:c>
      <x:c r="AF120" s="65" t="n">
        <x:f>AE120/Q120</x:f>
        <x:v>-0.016380504308680075</x:v>
      </x:c>
      <x:c r="AG120" s="64" t="n">
        <x:f>-ROUND(Q120*'Drivers'!P120,3)</x:f>
        <x:v>-3.72</x:v>
      </x:c>
      <x:c r="AH120" s="64" t="n">
        <x:f>-ROUND(Q120*'Drivers'!Q120,3)</x:f>
        <x:v>-15.708</x:v>
      </x:c>
      <x:c r="AI120" s="64" t="n">
        <x:f>SUM(R120,T120,AC120,AE120,AG120,AH120)</x:f>
        <x:v>-729.862</x:v>
      </x:c>
      <x:c r="AJ120" s="65" t="n">
        <x:f>AI120/Q120</x:f>
        <x:v>-0.2664358093185474</x:v>
      </x:c>
      <x:c r="AK120" s="64" t="n">
        <x:f>Q120+AI120</x:f>
        <x:v>2009.4919999999997</x:v>
      </x:c>
      <x:c r="AL120" s="65" t="n">
        <x:f>AK120/Q120</x:f>
        <x:v>0.7335641906814526</x:v>
      </x:c>
      <x:c r="AM120" s="64" t="n">
        <x:f>AK120/L120</x:f>
        <x:v>334.9153333333333</x:v>
      </x:c>
      <x:c r="AN120" s="66" t="str">
        <x:f>IF(AM120&lt;=200,"≤200K",IF(AM120&lt;=350,"200–350K",IF(AM120&lt;=500,"350–500K",IF(AM120&lt;=700,"500–700K","&gt;700K"))))</x:f>
        <x:v>200–350K</x:v>
      </x:c>
      <x:c r="AO120" s="64" t="n">
        <x:f>-ROUND(Q120*'Drivers'!R120,3)</x:f>
        <x:v>-1076.364</x:v>
      </x:c>
      <x:c r="AP120" s="64" t="n">
        <x:f>-ROUND(AK120*'Drivers'!S120,3)</x:f>
        <x:v>-23.967</x:v>
      </x:c>
      <x:c r="AQ120" s="64" t="n">
        <x:f>-ROUND(AK120*'Drivers'!T120,3)</x:f>
        <x:v>-6.055</x:v>
      </x:c>
      <x:c r="AR120" s="64" t="n">
        <x:f>-ROUND(AK120*'Drivers'!U120,3)</x:f>
        <x:v>-14.969</x:v>
      </x:c>
      <x:c r="AS120" s="64" t="n">
        <x:f>-ROUND(AK120*'Drivers'!V120,3)</x:f>
        <x:v>-72.933</x:v>
      </x:c>
      <x:c r="AT120" s="64" t="n">
        <x:f>SUM(AO120:AS120)</x:f>
        <x:v>-1194.2880000000002</x:v>
      </x:c>
      <x:c r="AU120" s="65" t="n">
        <x:f>AT120/AK120</x:f>
        <x:v>-0.5943233414216132</x:v>
      </x:c>
      <x:c r="AV120" s="64" t="n">
        <x:f>AK120+AT120</x:f>
        <x:v>815.2039999999995</x:v>
      </x:c>
      <x:c r="AW120" s="65" t="n">
        <x:f>AV120/AK120</x:f>
        <x:v>0.40567665857838675</x:v>
      </x:c>
      <x:c r="AX120" s="64" t="n">
        <x:f>-ROUND(AK120*'Drivers'!W120,3)</x:f>
        <x:v>-40.012</x:v>
      </x:c>
      <x:c r="AY120" s="64" t="n">
        <x:f>-ROUND(AK120*'Drivers'!X120,3)</x:f>
        <x:v>-85.251</x:v>
      </x:c>
      <x:c r="AZ120" s="64" t="n">
        <x:f>-ROUND(AK120*'Drivers'!Y120,3)</x:f>
        <x:v>-48.827</x:v>
      </x:c>
      <x:c r="BA120" s="64" t="n">
        <x:f>-ROUND(AK120*'Drivers'!Z120,3)</x:f>
        <x:v>-15.846</x:v>
      </x:c>
      <x:c r="BB120" s="64" t="n">
        <x:f>-ROUND(AK120*'Drivers'!AA120,3)</x:f>
        <x:v>-21.6</x:v>
      </x:c>
      <x:c r="BC120" s="64" t="n">
        <x:f>SUM(BA120,BB120)</x:f>
        <x:v>-37.446</x:v>
      </x:c>
      <x:c r="BD120" s="64" t="n">
        <x:f>-ROUND(AK120*'Drivers'!AB120,3)</x:f>
        <x:v>-15.996</x:v>
      </x:c>
      <x:c r="BE120" s="64" t="n">
        <x:f>SUM(AX120:BB120,BD120)</x:f>
        <x:v>-227.532</x:v>
      </x:c>
      <x:c r="BF120" s="67" t="n">
        <x:f>'Drivers'!AF120</x:f>
        <x:v>10</x:v>
      </x:c>
      <x:c r="BG120" s="64" t="n">
        <x:f>BJ120</x:f>
        <x:v>-96.026</x:v>
      </x:c>
      <x:c r="BH120" s="64" t="n">
        <x:f>BE120/BF120</x:f>
        <x:v>-22.7532</x:v>
      </x:c>
      <x:c r="BI120" s="68" t="n">
        <x:f>BF120/L120</x:f>
        <x:v>1.6666666666666667</x:v>
      </x:c>
      <x:c r="BJ120" s="64" t="n">
        <x:f>-ROUND(AK120*'Drivers'!AC120,3)</x:f>
        <x:v>-96.026</x:v>
      </x:c>
      <x:c r="BK120" s="64" t="n">
        <x:f>-ROUND(AK120*'Drivers'!AD120,3)</x:f>
        <x:v>-217.287</x:v>
      </x:c>
      <x:c r="BL120" s="64" t="n">
        <x:f>SUM(AV120,BE120,BJ120,BK120)</x:f>
        <x:v>274.35899999999947</x:v>
      </x:c>
      <x:c r="BM120" s="65" t="n">
        <x:f>BL120/AK120</x:f>
        <x:v>0.13653152139943803</x:v>
      </x:c>
      <x:c r="BN120" s="64" t="n">
        <x:f>-ROUND(AK120*'Drivers'!AE120,3)</x:f>
        <x:v>-173.184</x:v>
      </x:c>
      <x:c r="BO120" s="64" t="n">
        <x:f>BL120+BN120</x:f>
        <x:v>101.17499999999947</x:v>
      </x:c>
      <x:c r="BP120" s="65" t="n">
        <x:f>BO120/AK120</x:f>
        <x:v>0.050348545801625226</x:v>
      </x:c>
    </x:row>
    <x:row r="121">
      <x:c r="A121" s="61" t="n">
        <x:v>2026</x:v>
      </x:c>
      <x:c r="B121" s="18" t="str">
        <x:v>S2</x:v>
      </x:c>
      <x:c r="C121" s="18" t="str">
        <x:v>2026 S2</x:v>
      </x:c>
      <x:c r="D121" s="18" t="str">
        <x:v>CNCT0030</x:v>
      </x:c>
      <x:c r="E121" s="18" t="str">
        <x:v>深圳海岸城</x:v>
      </x:c>
      <x:c r="F121" s="18" t="str">
        <x:v>深圳</x:v>
      </x:c>
      <x:c r="G121" s="18" t="str">
        <x:v>广东省</x:v>
      </x:c>
      <x:c r="H121" s="18" t="str">
        <x:v>南区</x:v>
      </x:c>
      <x:c r="I121" s="18" t="str">
        <x:v>Shopping Mall</x:v>
      </x:c>
      <x:c r="J121" s="18" t="str">
        <x:v>Core Shopping Center</x:v>
      </x:c>
      <x:c r="K121" s="18" t="str">
        <x:v>正常</x:v>
      </x:c>
      <x:c r="L121" s="62" t="n">
        <x:v>6</x:v>
      </x:c>
      <x:c r="M121" s="62" t="n">
        <x:v>48</x:v>
      </x:c>
      <x:c r="N121" s="63" t="n">
        <x:f>'Drivers'!C121</x:f>
        <x:v>2596</x:v>
      </x:c>
      <x:c r="O121" s="63" t="n">
        <x:f>'Drivers'!D121</x:f>
        <x:v>1167.183</x:v>
      </x:c>
      <x:c r="P121" s="64" t="n">
        <x:f>ROUND(N121*O121/1000,3)</x:f>
        <x:v>3030.007</x:v>
      </x:c>
      <x:c r="Q121" s="64" t="n">
        <x:f>ROUND(P121*'Drivers'!E121,3)</x:f>
        <x:v>2945.954</x:v>
      </x:c>
      <x:c r="R121" s="64" t="n">
        <x:f>-ROUND(Q121*'Drivers'!F121,3)</x:f>
        <x:v>-483.248</x:v>
      </x:c>
      <x:c r="S121" s="65" t="n">
        <x:f>R121/Q121</x:f>
        <x:v>-0.1640378634561164</x:v>
      </x:c>
      <x:c r="T121" s="64" t="n">
        <x:f>-ROUND(Q121*'Drivers'!G121,3)</x:f>
        <x:v>-57.942</x:v>
      </x:c>
      <x:c r="U121" s="65" t="n">
        <x:f>T121/Q121</x:f>
        <x:v>-0.01966833154896512</x:v>
      </x:c>
      <x:c r="V121" s="64" t="n">
        <x:f>-ROUND(Q121*'Drivers'!H121,3)</x:f>
        <x:v>-31.5</x:v>
      </x:c>
      <x:c r="W121" s="64" t="n">
        <x:f>-ROUND(Q121*'Drivers'!I121,3)</x:f>
        <x:v>-28.345</x:v>
      </x:c>
      <x:c r="X121" s="64" t="n">
        <x:f>-ROUND(Q121*'Drivers'!J121,3)</x:f>
        <x:v>-38.397</x:v>
      </x:c>
      <x:c r="Y121" s="64" t="n">
        <x:f>-ROUND(Q121*'Drivers'!K121,3)</x:f>
        <x:v>-24.912</x:v>
      </x:c>
      <x:c r="Z121" s="64" t="n">
        <x:f>-ROUND(Q121*'Drivers'!L121,3)</x:f>
        <x:v>-33.259</x:v>
      </x:c>
      <x:c r="AA121" s="64" t="n">
        <x:f>-ROUND(Q121*'Drivers'!M121,3)</x:f>
        <x:v>-26.445</x:v>
      </x:c>
      <x:c r="AB121" s="64" t="n">
        <x:f>-ROUND(Q121*'Drivers'!N121,3)</x:f>
        <x:v>-21.248</x:v>
      </x:c>
      <x:c r="AC121" s="64" t="n">
        <x:f>SUM(V121:AB121)</x:f>
        <x:v>-204.106</x:v>
      </x:c>
      <x:c r="AD121" s="65" t="n">
        <x:f>AC121/Q121</x:f>
        <x:v>-0.06928349865612293</x:v>
      </x:c>
      <x:c r="AE121" s="64" t="n">
        <x:f>-ROUND(Q121*'Drivers'!O121,3)</x:f>
        <x:v>-44.396</x:v>
      </x:c>
      <x:c r="AF121" s="65" t="n">
        <x:f>AE121/Q121</x:f>
        <x:v>-0.015070160633872762</x:v>
      </x:c>
      <x:c r="AG121" s="64" t="n">
        <x:f>-ROUND(Q121*'Drivers'!P121,3)</x:f>
        <x:v>-4</x:v>
      </x:c>
      <x:c r="AH121" s="64" t="n">
        <x:f>-ROUND(Q121*'Drivers'!Q121,3)</x:f>
        <x:v>-16.892</x:v>
      </x:c>
      <x:c r="AI121" s="64" t="n">
        <x:f>SUM(R121,T121,AC121,AE121,AG121,AH121)</x:f>
        <x:v>-810.584</x:v>
      </x:c>
      <x:c r="AJ121" s="65" t="n">
        <x:f>AI121/Q121</x:f>
        <x:v>-0.27515161472310834</x:v>
      </x:c>
      <x:c r="AK121" s="64" t="n">
        <x:f>Q121+AI121</x:f>
        <x:v>2135.3700000000003</x:v>
      </x:c>
      <x:c r="AL121" s="65" t="n">
        <x:f>AK121/Q121</x:f>
        <x:v>0.7248483852768917</x:v>
      </x:c>
      <x:c r="AM121" s="64" t="n">
        <x:f>AK121/L121</x:f>
        <x:v>355.89500000000004</x:v>
      </x:c>
      <x:c r="AN121" s="66" t="str">
        <x:f>IF(AM121&lt;=200,"≤200K",IF(AM121&lt;=350,"200–350K",IF(AM121&lt;=500,"350–500K",IF(AM121&lt;=700,"500–700K","&gt;700K"))))</x:f>
        <x:v>350–500K</x:v>
      </x:c>
      <x:c r="AO121" s="64" t="n">
        <x:f>-ROUND(Q121*'Drivers'!R121,3)</x:f>
        <x:v>-1121.221</x:v>
      </x:c>
      <x:c r="AP121" s="64" t="n">
        <x:f>-ROUND(AK121*'Drivers'!S121,3)</x:f>
        <x:v>-25.469</x:v>
      </x:c>
      <x:c r="AQ121" s="64" t="n">
        <x:f>-ROUND(AK121*'Drivers'!T121,3)</x:f>
        <x:v>-6.435</x:v>
      </x:c>
      <x:c r="AR121" s="64" t="n">
        <x:f>-ROUND(AK121*'Drivers'!U121,3)</x:f>
        <x:v>-15.906</x:v>
      </x:c>
      <x:c r="AS121" s="64" t="n">
        <x:f>-ROUND(AK121*'Drivers'!V121,3)</x:f>
        <x:v>-77.502</x:v>
      </x:c>
      <x:c r="AT121" s="64" t="n">
        <x:f>SUM(AO121:AS121)</x:f>
        <x:v>-1246.533</x:v>
      </x:c>
      <x:c r="AU121" s="65" t="n">
        <x:f>AT121/AK121</x:f>
        <x:v>-0.5837550401101447</x:v>
      </x:c>
      <x:c r="AV121" s="64" t="n">
        <x:f>AK121+AT121</x:f>
        <x:v>888.8370000000004</x:v>
      </x:c>
      <x:c r="AW121" s="65" t="n">
        <x:f>AV121/AK121</x:f>
        <x:v>0.41624495988985527</x:v>
      </x:c>
      <x:c r="AX121" s="64" t="n">
        <x:f>-ROUND(AK121*'Drivers'!W121,3)</x:f>
        <x:v>-38.591</x:v>
      </x:c>
      <x:c r="AY121" s="64" t="n">
        <x:f>-ROUND(AK121*'Drivers'!X121,3)</x:f>
        <x:v>-82.223</x:v>
      </x:c>
      <x:c r="AZ121" s="64" t="n">
        <x:f>-ROUND(AK121*'Drivers'!Y121,3)</x:f>
        <x:v>-47.092</x:v>
      </x:c>
      <x:c r="BA121" s="64" t="n">
        <x:f>-ROUND(AK121*'Drivers'!Z121,3)</x:f>
        <x:v>-15.283</x:v>
      </x:c>
      <x:c r="BB121" s="64" t="n">
        <x:f>-ROUND(AK121*'Drivers'!AA121,3)</x:f>
        <x:v>-20.833</x:v>
      </x:c>
      <x:c r="BC121" s="64" t="n">
        <x:f>SUM(BA121,BB121)</x:f>
        <x:v>-36.116</x:v>
      </x:c>
      <x:c r="BD121" s="64" t="n">
        <x:f>-ROUND(AK121*'Drivers'!AB121,3)</x:f>
        <x:v>-15.428</x:v>
      </x:c>
      <x:c r="BE121" s="64" t="n">
        <x:f>SUM(AX121:BB121,BD121)</x:f>
        <x:v>-219.45</x:v>
      </x:c>
      <x:c r="BF121" s="67" t="n">
        <x:f>'Drivers'!AF121</x:f>
        <x:v>10</x:v>
      </x:c>
      <x:c r="BG121" s="64" t="n">
        <x:f>BJ121</x:f>
        <x:v>-92.615</x:v>
      </x:c>
      <x:c r="BH121" s="64" t="n">
        <x:f>BE121/BF121</x:f>
        <x:v>-21.945</x:v>
      </x:c>
      <x:c r="BI121" s="68" t="n">
        <x:f>BF121/L121</x:f>
        <x:v>1.6666666666666667</x:v>
      </x:c>
      <x:c r="BJ121" s="64" t="n">
        <x:f>-ROUND(AK121*'Drivers'!AC121,3)</x:f>
        <x:v>-92.615</x:v>
      </x:c>
      <x:c r="BK121" s="64" t="n">
        <x:f>-ROUND(AK121*'Drivers'!AD121,3)</x:f>
        <x:v>-230.899</x:v>
      </x:c>
      <x:c r="BL121" s="64" t="n">
        <x:f>SUM(AV121,BE121,BJ121,BK121)</x:f>
        <x:v>345.8730000000004</x:v>
      </x:c>
      <x:c r="BM121" s="65" t="n">
        <x:f>BL121/AK121</x:f>
        <x:v>0.16197333483190282</x:v>
      </x:c>
      <x:c r="BN121" s="64" t="n">
        <x:f>-ROUND(AK121*'Drivers'!AE121,3)</x:f>
        <x:v>-184.033</x:v>
      </x:c>
      <x:c r="BO121" s="64" t="n">
        <x:f>BL121+BN121</x:f>
        <x:v>161.8400000000004</x:v>
      </x:c>
      <x:c r="BP121" s="65" t="n">
        <x:f>BO121/AK121</x:f>
        <x:v>0.07579014409680776</x:v>
      </x:c>
    </x:row>
    <x:row r="122">
      <x:c r="A122" s="61" t="n">
        <x:v>2025</x:v>
      </x:c>
      <x:c r="B122" s="18" t="str">
        <x:v>S1</x:v>
      </x:c>
      <x:c r="C122" s="18" t="str">
        <x:v>2025 S1</x:v>
      </x:c>
      <x:c r="D122" s="18" t="str">
        <x:v>CNCT0031</x:v>
      </x:c>
      <x:c r="E122" s="18" t="str">
        <x:v>深圳壹方城</x:v>
      </x:c>
      <x:c r="F122" s="18" t="str">
        <x:v>深圳</x:v>
      </x:c>
      <x:c r="G122" s="18" t="str">
        <x:v>广东省</x:v>
      </x:c>
      <x:c r="H122" s="18" t="str">
        <x:v>南区</x:v>
      </x:c>
      <x:c r="I122" s="18" t="str">
        <x:v>Shopping Mall</x:v>
      </x:c>
      <x:c r="J122" s="18" t="str">
        <x:v>Core Shopping Center</x:v>
      </x:c>
      <x:c r="K122" s="18" t="str">
        <x:v>正常</x:v>
      </x:c>
      <x:c r="L122" s="62" t="n">
        <x:v>4</x:v>
      </x:c>
      <x:c r="M122" s="62" t="n">
        <x:v>48</x:v>
      </x:c>
      <x:c r="N122" s="63" t="n">
        <x:f>'Drivers'!C122</x:f>
        <x:v>1978</x:v>
      </x:c>
      <x:c r="O122" s="63" t="n">
        <x:f>'Drivers'!D122</x:f>
        <x:v>1145.394</x:v>
      </x:c>
      <x:c r="P122" s="64" t="n">
        <x:f>ROUND(N122*O122/1000,3)</x:f>
        <x:v>2265.589</x:v>
      </x:c>
      <x:c r="Q122" s="64" t="n">
        <x:f>ROUND(P122*'Drivers'!E122,3)</x:f>
        <x:v>2225.43</x:v>
      </x:c>
      <x:c r="R122" s="64" t="n">
        <x:f>-ROUND(Q122*'Drivers'!F122,3)</x:f>
        <x:v>-397.076</x:v>
      </x:c>
      <x:c r="S122" s="65" t="n">
        <x:f>R122/Q122</x:f>
        <x:v>-0.17842664114350937</x:v>
      </x:c>
      <x:c r="T122" s="64" t="n">
        <x:f>-ROUND(Q122*'Drivers'!G122,3)</x:f>
        <x:v>-37.75</x:v>
      </x:c>
      <x:c r="U122" s="65" t="n">
        <x:f>T122/Q122</x:f>
        <x:v>-0.016963013889450578</x:v>
      </x:c>
      <x:c r="V122" s="64" t="n">
        <x:f>-ROUND(Q122*'Drivers'!H122,3)</x:f>
        <x:v>-15.802</x:v>
      </x:c>
      <x:c r="W122" s="64" t="n">
        <x:f>-ROUND(Q122*'Drivers'!I122,3)</x:f>
        <x:v>-16.612</x:v>
      </x:c>
      <x:c r="X122" s="64" t="n">
        <x:f>-ROUND(Q122*'Drivers'!J122,3)</x:f>
        <x:v>-38.108</x:v>
      </x:c>
      <x:c r="Y122" s="64" t="n">
        <x:f>-ROUND(Q122*'Drivers'!K122,3)</x:f>
        <x:v>-19.947</x:v>
      </x:c>
      <x:c r="Z122" s="64" t="n">
        <x:f>-ROUND(Q122*'Drivers'!L122,3)</x:f>
        <x:v>-21.088</x:v>
      </x:c>
      <x:c r="AA122" s="64" t="n">
        <x:f>-ROUND(Q122*'Drivers'!M122,3)</x:f>
        <x:v>-23.085</x:v>
      </x:c>
      <x:c r="AB122" s="64" t="n">
        <x:f>-ROUND(Q122*'Drivers'!N122,3)</x:f>
        <x:v>-19.336</x:v>
      </x:c>
      <x:c r="AC122" s="64" t="n">
        <x:f>SUM(V122:AB122)</x:f>
        <x:v>-153.978</x:v>
      </x:c>
      <x:c r="AD122" s="65" t="n">
        <x:f>AC122/Q122</x:f>
        <x:v>-0.06919022391178335</x:v>
      </x:c>
      <x:c r="AE122" s="64" t="n">
        <x:f>-ROUND(Q122*'Drivers'!O122,3)</x:f>
        <x:v>-20.577</x:v>
      </x:c>
      <x:c r="AF122" s="65" t="n">
        <x:f>AE122/Q122</x:f>
        <x:v>-0.009246302961674824</x:v>
      </x:c>
      <x:c r="AG122" s="64" t="n">
        <x:f>-ROUND(Q122*'Drivers'!P122,3)</x:f>
        <x:v>-6.149</x:v>
      </x:c>
      <x:c r="AH122" s="64" t="n">
        <x:f>-ROUND(Q122*'Drivers'!Q122,3)</x:f>
        <x:v>-2.997</x:v>
      </x:c>
      <x:c r="AI122" s="64" t="n">
        <x:f>SUM(R122,T122,AC122,AE122,AG122,AH122)</x:f>
        <x:v>-618.527</x:v>
      </x:c>
      <x:c r="AJ122" s="65" t="n">
        <x:f>AI122/Q122</x:f>
        <x:v>-0.27793594945695893</x:v>
      </x:c>
      <x:c r="AK122" s="64" t="n">
        <x:f>Q122+AI122</x:f>
        <x:v>1606.9029999999998</x:v>
      </x:c>
      <x:c r="AL122" s="65" t="n">
        <x:f>AK122/Q122</x:f>
        <x:v>0.7220640505430411</x:v>
      </x:c>
      <x:c r="AM122" s="64" t="n">
        <x:f>AK122/L122</x:f>
        <x:v>401.72574999999995</x:v>
      </x:c>
      <x:c r="AN122" s="66" t="str">
        <x:f>IF(AM122&lt;=200,"≤200K",IF(AM122&lt;=350,"200–350K",IF(AM122&lt;=500,"350–500K",IF(AM122&lt;=700,"500–700K","&gt;700K"))))</x:f>
        <x:v>350–500K</x:v>
      </x:c>
      <x:c r="AO122" s="64" t="n">
        <x:f>-ROUND(Q122*'Drivers'!R122,3)</x:f>
        <x:v>-832.099</x:v>
      </x:c>
      <x:c r="AP122" s="64" t="n">
        <x:f>-ROUND(AK122*'Drivers'!S122,3)</x:f>
        <x:v>-22.834</x:v>
      </x:c>
      <x:c r="AQ122" s="64" t="n">
        <x:f>-ROUND(AK122*'Drivers'!T122,3)</x:f>
        <x:v>-7.664</x:v>
      </x:c>
      <x:c r="AR122" s="64" t="n">
        <x:f>-ROUND(AK122*'Drivers'!U122,3)</x:f>
        <x:v>-8.537</x:v>
      </x:c>
      <x:c r="AS122" s="64" t="n">
        <x:f>-ROUND(AK122*'Drivers'!V122,3)</x:f>
        <x:v>-63.927</x:v>
      </x:c>
      <x:c r="AT122" s="64" t="n">
        <x:f>SUM(AO122:AS122)</x:f>
        <x:v>-935.061</x:v>
      </x:c>
      <x:c r="AU122" s="65" t="n">
        <x:f>AT122/AK122</x:f>
        <x:v>-0.581902579060466</x:v>
      </x:c>
      <x:c r="AV122" s="64" t="n">
        <x:f>AK122+AT122</x:f>
        <x:v>671.8419999999998</x:v>
      </x:c>
      <x:c r="AW122" s="65" t="n">
        <x:f>AV122/AK122</x:f>
        <x:v>0.4180974209395339</x:v>
      </x:c>
      <x:c r="AX122" s="64" t="n">
        <x:f>-ROUND(AK122*'Drivers'!W122,3)</x:f>
        <x:v>-24.997</x:v>
      </x:c>
      <x:c r="AY122" s="64" t="n">
        <x:f>-ROUND(AK122*'Drivers'!X122,3)</x:f>
        <x:v>-37.977</x:v>
      </x:c>
      <x:c r="AZ122" s="64" t="n">
        <x:f>-ROUND(AK122*'Drivers'!Y122,3)</x:f>
        <x:v>-35.981</x:v>
      </x:c>
      <x:c r="BA122" s="64" t="n">
        <x:f>-ROUND(AK122*'Drivers'!Z122,3)</x:f>
        <x:v>-11.234</x:v>
      </x:c>
      <x:c r="BB122" s="64" t="n">
        <x:f>-ROUND(AK122*'Drivers'!AA122,3)</x:f>
        <x:v>-13.465</x:v>
      </x:c>
      <x:c r="BC122" s="64" t="n">
        <x:f>SUM(BA122,BB122)</x:f>
        <x:v>-24.698999999999998</x:v>
      </x:c>
      <x:c r="BD122" s="64" t="n">
        <x:f>-ROUND(AK122*'Drivers'!AB122,3)</x:f>
        <x:v>-12.308</x:v>
      </x:c>
      <x:c r="BE122" s="64" t="n">
        <x:f>SUM(AX122:BB122,BD122)</x:f>
        <x:v>-135.962</x:v>
      </x:c>
      <x:c r="BF122" s="67" t="n">
        <x:f>'Drivers'!AF122</x:f>
        <x:v>8</x:v>
      </x:c>
      <x:c r="BG122" s="64" t="n">
        <x:f>BJ122</x:f>
        <x:v>-46.506</x:v>
      </x:c>
      <x:c r="BH122" s="64" t="n">
        <x:f>BE122/BF122</x:f>
        <x:v>-16.99525</x:v>
      </x:c>
      <x:c r="BI122" s="68" t="n">
        <x:f>BF122/L122</x:f>
        <x:v>2</x:v>
      </x:c>
      <x:c r="BJ122" s="64" t="n">
        <x:f>-ROUND(AK122*'Drivers'!AC122,3)</x:f>
        <x:v>-46.506</x:v>
      </x:c>
      <x:c r="BK122" s="64" t="n">
        <x:f>-ROUND(AK122*'Drivers'!AD122,3)</x:f>
        <x:v>-172.307</x:v>
      </x:c>
      <x:c r="BL122" s="64" t="n">
        <x:f>SUM(AV122,BE122,BJ122,BK122)</x:f>
        <x:v>317.0669999999998</x:v>
      </x:c>
      <x:c r="BM122" s="65" t="n">
        <x:f>BL122/AK122</x:f>
        <x:v>0.1973155815876875</x:v>
      </x:c>
      <x:c r="BN122" s="64" t="n">
        <x:f>-ROUND(AK122*'Drivers'!AE122,3)</x:f>
        <x:v>-116.191</x:v>
      </x:c>
      <x:c r="BO122" s="64" t="n">
        <x:f>BL122+BN122</x:f>
        <x:v>200.87599999999978</x:v>
      </x:c>
      <x:c r="BP122" s="65" t="n">
        <x:f>BO122/AK122</x:f>
        <x:v>0.12500816788567812</x:v>
      </x:c>
    </x:row>
    <x:row r="123">
      <x:c r="A123" s="61" t="n">
        <x:v>2025</x:v>
      </x:c>
      <x:c r="B123" s="18" t="str">
        <x:v>S2</x:v>
      </x:c>
      <x:c r="C123" s="18" t="str">
        <x:v>2025 S2</x:v>
      </x:c>
      <x:c r="D123" s="18" t="str">
        <x:v>CNCT0031</x:v>
      </x:c>
      <x:c r="E123" s="18" t="str">
        <x:v>深圳壹方城</x:v>
      </x:c>
      <x:c r="F123" s="18" t="str">
        <x:v>深圳</x:v>
      </x:c>
      <x:c r="G123" s="18" t="str">
        <x:v>广东省</x:v>
      </x:c>
      <x:c r="H123" s="18" t="str">
        <x:v>南区</x:v>
      </x:c>
      <x:c r="I123" s="18" t="str">
        <x:v>Shopping Mall</x:v>
      </x:c>
      <x:c r="J123" s="18" t="str">
        <x:v>Core Shopping Center</x:v>
      </x:c>
      <x:c r="K123" s="18" t="str">
        <x:v>正常</x:v>
      </x:c>
      <x:c r="L123" s="62" t="n">
        <x:v>4</x:v>
      </x:c>
      <x:c r="M123" s="62" t="n">
        <x:v>48</x:v>
      </x:c>
      <x:c r="N123" s="63" t="n">
        <x:f>'Drivers'!C123</x:f>
        <x:v>2139</x:v>
      </x:c>
      <x:c r="O123" s="63" t="n">
        <x:f>'Drivers'!D123</x:f>
        <x:v>1159.139</x:v>
      </x:c>
      <x:c r="P123" s="64" t="n">
        <x:f>ROUND(N123*O123/1000,3)</x:f>
        <x:v>2479.398</x:v>
      </x:c>
      <x:c r="Q123" s="64" t="n">
        <x:f>ROUND(P123*'Drivers'!E123,3)</x:f>
        <x:v>2435.142</x:v>
      </x:c>
      <x:c r="R123" s="64" t="n">
        <x:f>-ROUND(Q123*'Drivers'!F123,3)</x:f>
        <x:v>-434.494</x:v>
      </x:c>
      <x:c r="S123" s="65" t="n">
        <x:f>R123/Q123</x:f>
        <x:v>-0.178426555823028</x:v>
      </x:c>
      <x:c r="T123" s="64" t="n">
        <x:f>-ROUND(Q123*'Drivers'!G123,3)</x:f>
        <x:v>-41.307</x:v>
      </x:c>
      <x:c r="U123" s="65" t="n">
        <x:f>T123/Q123</x:f>
        <x:v>-0.01696287115905356</x:v>
      </x:c>
      <x:c r="V123" s="64" t="n">
        <x:f>-ROUND(Q123*'Drivers'!H123,3)</x:f>
        <x:v>-17.291</x:v>
      </x:c>
      <x:c r="W123" s="64" t="n">
        <x:f>-ROUND(Q123*'Drivers'!I123,3)</x:f>
        <x:v>-18.177</x:v>
      </x:c>
      <x:c r="X123" s="64" t="n">
        <x:f>-ROUND(Q123*'Drivers'!J123,3)</x:f>
        <x:v>-41.699</x:v>
      </x:c>
      <x:c r="Y123" s="64" t="n">
        <x:f>-ROUND(Q123*'Drivers'!K123,3)</x:f>
        <x:v>-21.827</x:v>
      </x:c>
      <x:c r="Z123" s="64" t="n">
        <x:f>-ROUND(Q123*'Drivers'!L123,3)</x:f>
        <x:v>-23.075</x:v>
      </x:c>
      <x:c r="AA123" s="64" t="n">
        <x:f>-ROUND(Q123*'Drivers'!M123,3)</x:f>
        <x:v>-25.261</x:v>
      </x:c>
      <x:c r="AB123" s="64" t="n">
        <x:f>-ROUND(Q123*'Drivers'!N123,3)</x:f>
        <x:v>-21.158</x:v>
      </x:c>
      <x:c r="AC123" s="64" t="n">
        <x:f>SUM(V123:AB123)</x:f>
        <x:v>-168.488</x:v>
      </x:c>
      <x:c r="AD123" s="65" t="n">
        <x:f>AC123/Q123</x:f>
        <x:v>-0.06919021560138998</x:v>
      </x:c>
      <x:c r="AE123" s="64" t="n">
        <x:f>-ROUND(Q123*'Drivers'!O123,3)</x:f>
        <x:v>-22.516</x:v>
      </x:c>
      <x:c r="AF123" s="65" t="n">
        <x:f>AE123/Q123</x:f>
        <x:v>-0.009246278040459242</x:v>
      </x:c>
      <x:c r="AG123" s="64" t="n">
        <x:f>-ROUND(Q123*'Drivers'!P123,3)</x:f>
        <x:v>-6.728</x:v>
      </x:c>
      <x:c r="AH123" s="64" t="n">
        <x:f>-ROUND(Q123*'Drivers'!Q123,3)</x:f>
        <x:v>-3.28</x:v>
      </x:c>
      <x:c r="AI123" s="64" t="n">
        <x:f>SUM(R123,T123,AC123,AE123,AG123,AH123)</x:f>
        <x:v>-676.8129999999999</x:v>
      </x:c>
      <x:c r="AJ123" s="65" t="n">
        <x:f>AI123/Q123</x:f>
        <x:v>-0.2779357425562862</x:v>
      </x:c>
      <x:c r="AK123" s="64" t="n">
        <x:f>Q123+AI123</x:f>
        <x:v>1758.329</x:v>
      </x:c>
      <x:c r="AL123" s="65" t="n">
        <x:f>AK123/Q123</x:f>
        <x:v>0.7220642574437138</x:v>
      </x:c>
      <x:c r="AM123" s="64" t="n">
        <x:f>AK123/L123</x:f>
        <x:v>439.58225</x:v>
      </x:c>
      <x:c r="AN123" s="66" t="str">
        <x:f>IF(AM123&lt;=200,"≤200K",IF(AM123&lt;=350,"200–350K",IF(AM123&lt;=500,"350–500K",IF(AM123&lt;=700,"500–700K","&gt;700K"))))</x:f>
        <x:v>350–500K</x:v>
      </x:c>
      <x:c r="AO123" s="64" t="n">
        <x:f>-ROUND(Q123*'Drivers'!R123,3)</x:f>
        <x:v>-913.403</x:v>
      </x:c>
      <x:c r="AP123" s="64" t="n">
        <x:f>-ROUND(AK123*'Drivers'!S123,3)</x:f>
        <x:v>-24.986</x:v>
      </x:c>
      <x:c r="AQ123" s="64" t="n">
        <x:f>-ROUND(AK123*'Drivers'!T123,3)</x:f>
        <x:v>-8.386</x:v>
      </x:c>
      <x:c r="AR123" s="64" t="n">
        <x:f>-ROUND(AK123*'Drivers'!U123,3)</x:f>
        <x:v>-9.342</x:v>
      </x:c>
      <x:c r="AS123" s="64" t="n">
        <x:f>-ROUND(AK123*'Drivers'!V123,3)</x:f>
        <x:v>-69.951</x:v>
      </x:c>
      <x:c r="AT123" s="64" t="n">
        <x:f>SUM(AO123:AS123)</x:f>
        <x:v>-1026.068</x:v>
      </x:c>
      <x:c r="AU123" s="65" t="n">
        <x:f>AT123/AK123</x:f>
        <x:v>-0.5835472201163718</x:v>
      </x:c>
      <x:c r="AV123" s="64" t="n">
        <x:f>AK123+AT123</x:f>
        <x:v>732.261</x:v>
      </x:c>
      <x:c r="AW123" s="65" t="n">
        <x:f>AV123/AK123</x:f>
        <x:v>0.41645277988362817</x:v>
      </x:c>
      <x:c r="AX123" s="64" t="n">
        <x:f>-ROUND(AK123*'Drivers'!W123,3)</x:f>
        <x:v>-27.353</x:v>
      </x:c>
      <x:c r="AY123" s="64" t="n">
        <x:f>-ROUND(AK123*'Drivers'!X123,3)</x:f>
        <x:v>-41.556</x:v>
      </x:c>
      <x:c r="AZ123" s="64" t="n">
        <x:f>-ROUND(AK123*'Drivers'!Y123,3)</x:f>
        <x:v>-39.372</x:v>
      </x:c>
      <x:c r="BA123" s="64" t="n">
        <x:f>-ROUND(AK123*'Drivers'!Z123,3)</x:f>
        <x:v>-12.293</x:v>
      </x:c>
      <x:c r="BB123" s="64" t="n">
        <x:f>-ROUND(AK123*'Drivers'!AA123,3)</x:f>
        <x:v>-14.734</x:v>
      </x:c>
      <x:c r="BC123" s="64" t="n">
        <x:f>SUM(BA123,BB123)</x:f>
        <x:v>-27.027</x:v>
      </x:c>
      <x:c r="BD123" s="64" t="n">
        <x:f>-ROUND(AK123*'Drivers'!AB123,3)</x:f>
        <x:v>-13.468</x:v>
      </x:c>
      <x:c r="BE123" s="64" t="n">
        <x:f>SUM(AX123:BB123,BD123)</x:f>
        <x:v>-148.77599999999998</x:v>
      </x:c>
      <x:c r="BF123" s="67" t="n">
        <x:f>'Drivers'!AF123</x:f>
        <x:v>8</x:v>
      </x:c>
      <x:c r="BG123" s="64" t="n">
        <x:f>BJ123</x:f>
        <x:v>-50.889</x:v>
      </x:c>
      <x:c r="BH123" s="64" t="n">
        <x:f>BE123/BF123</x:f>
        <x:v>-18.596999999999998</x:v>
      </x:c>
      <x:c r="BI123" s="68" t="n">
        <x:f>BF123/L123</x:f>
        <x:v>2</x:v>
      </x:c>
      <x:c r="BJ123" s="64" t="n">
        <x:f>-ROUND(AK123*'Drivers'!AC123,3)</x:f>
        <x:v>-50.889</x:v>
      </x:c>
      <x:c r="BK123" s="64" t="n">
        <x:f>-ROUND(AK123*'Drivers'!AD123,3)</x:f>
        <x:v>-188.545</x:v>
      </x:c>
      <x:c r="BL123" s="64" t="n">
        <x:f>SUM(AV123,BE123,BJ123,BK123)</x:f>
        <x:v>344.05100000000004</x:v>
      </x:c>
      <x:c r="BM123" s="65" t="n">
        <x:f>BL123/AK123</x:f>
        <x:v>0.19566929738405045</x:v>
      </x:c>
      <x:c r="BN123" s="64" t="n">
        <x:f>-ROUND(AK123*'Drivers'!AE123,3)</x:f>
        <x:v>-127.141</x:v>
      </x:c>
      <x:c r="BO123" s="64" t="n">
        <x:f>BL123+BN123</x:f>
        <x:v>216.91000000000003</x:v>
      </x:c>
      <x:c r="BP123" s="65" t="n">
        <x:f>BO123/AK123</x:f>
        <x:v>0.1233614414594766</x:v>
      </x:c>
    </x:row>
    <x:row r="124">
      <x:c r="A124" s="61" t="n">
        <x:v>2026</x:v>
      </x:c>
      <x:c r="B124" s="18" t="str">
        <x:v>S1</x:v>
      </x:c>
      <x:c r="C124" s="18" t="str">
        <x:v>2026 S1</x:v>
      </x:c>
      <x:c r="D124" s="18" t="str">
        <x:v>CNCT0031</x:v>
      </x:c>
      <x:c r="E124" s="18" t="str">
        <x:v>深圳壹方城</x:v>
      </x:c>
      <x:c r="F124" s="18" t="str">
        <x:v>深圳</x:v>
      </x:c>
      <x:c r="G124" s="18" t="str">
        <x:v>广东省</x:v>
      </x:c>
      <x:c r="H124" s="18" t="str">
        <x:v>南区</x:v>
      </x:c>
      <x:c r="I124" s="18" t="str">
        <x:v>Shopping Mall</x:v>
      </x:c>
      <x:c r="J124" s="18" t="str">
        <x:v>Core Shopping Center</x:v>
      </x:c>
      <x:c r="K124" s="18" t="str">
        <x:v>正常</x:v>
      </x:c>
      <x:c r="L124" s="62" t="n">
        <x:v>4</x:v>
      </x:c>
      <x:c r="M124" s="62" t="n">
        <x:v>48</x:v>
      </x:c>
      <x:c r="N124" s="63" t="n">
        <x:f>'Drivers'!C124</x:f>
        <x:v>1849</x:v>
      </x:c>
      <x:c r="O124" s="63" t="n">
        <x:f>'Drivers'!D124</x:f>
        <x:v>1212.74</x:v>
      </x:c>
      <x:c r="P124" s="64" t="n">
        <x:f>ROUND(N124*O124/1000,3)</x:f>
        <x:v>2242.356</x:v>
      </x:c>
      <x:c r="Q124" s="64" t="n">
        <x:f>ROUND(P124*'Drivers'!E124,3)</x:f>
        <x:v>2201.38</x:v>
      </x:c>
      <x:c r="R124" s="64" t="n">
        <x:f>-ROUND(Q124*'Drivers'!F124,3)</x:f>
        <x:v>-390.233</x:v>
      </x:c>
      <x:c r="S124" s="65" t="n">
        <x:f>R124/Q124</x:f>
        <x:v>-0.17726744133225522</x:v>
      </x:c>
      <x:c r="T124" s="64" t="n">
        <x:f>-ROUND(Q124*'Drivers'!G124,3)</x:f>
        <x:v>-39.438</x:v>
      </x:c>
      <x:c r="U124" s="65" t="n">
        <x:f>T124/Q124</x:f>
        <x:v>-0.017915125966439235</x:v>
      </x:c>
      <x:c r="V124" s="64" t="n">
        <x:f>-ROUND(Q124*'Drivers'!H124,3)</x:f>
        <x:v>-15.631</x:v>
      </x:c>
      <x:c r="W124" s="64" t="n">
        <x:f>-ROUND(Q124*'Drivers'!I124,3)</x:f>
        <x:v>-16.432</x:v>
      </x:c>
      <x:c r="X124" s="64" t="n">
        <x:f>-ROUND(Q124*'Drivers'!J124,3)</x:f>
        <x:v>-37.696</x:v>
      </x:c>
      <x:c r="Y124" s="64" t="n">
        <x:f>-ROUND(Q124*'Drivers'!K124,3)</x:f>
        <x:v>-19.732</x:v>
      </x:c>
      <x:c r="Z124" s="64" t="n">
        <x:f>-ROUND(Q124*'Drivers'!L124,3)</x:f>
        <x:v>-20.86</x:v>
      </x:c>
      <x:c r="AA124" s="64" t="n">
        <x:f>-ROUND(Q124*'Drivers'!M124,3)</x:f>
        <x:v>-22.836</x:v>
      </x:c>
      <x:c r="AB124" s="64" t="n">
        <x:f>-ROUND(Q124*'Drivers'!N124,3)</x:f>
        <x:v>-19.127</x:v>
      </x:c>
      <x:c r="AC124" s="64" t="n">
        <x:f>SUM(V124:AB124)</x:f>
        <x:v>-152.31400000000002</x:v>
      </x:c>
      <x:c r="AD124" s="65" t="n">
        <x:f>AC124/Q124</x:f>
        <x:v>-0.06919023521609173</x:v>
      </x:c>
      <x:c r="AE124" s="64" t="n">
        <x:f>-ROUND(Q124*'Drivers'!O124,3)</x:f>
        <x:v>-19.435</x:v>
      </x:c>
      <x:c r="AF124" s="65" t="n">
        <x:f>AE124/Q124</x:f>
        <x:v>-0.008828552998573621</x:v>
      </x:c>
      <x:c r="AG124" s="64" t="n">
        <x:f>-ROUND(Q124*'Drivers'!P124,3)</x:f>
        <x:v>-6.083</x:v>
      </x:c>
      <x:c r="AH124" s="64" t="n">
        <x:f>-ROUND(Q124*'Drivers'!Q124,3)</x:f>
        <x:v>-2.965</x:v>
      </x:c>
      <x:c r="AI124" s="64" t="n">
        <x:f>SUM(R124,T124,AC124,AE124,AG124,AH124)</x:f>
        <x:v>-610.468</x:v>
      </x:c>
      <x:c r="AJ124" s="65" t="n">
        <x:f>AI124/Q124</x:f>
        <x:v>-0.27731150460165893</x:v>
      </x:c>
      <x:c r="AK124" s="64" t="n">
        <x:f>Q124+AI124</x:f>
        <x:v>1590.9120000000003</x:v>
      </x:c>
      <x:c r="AL124" s="65" t="n">
        <x:f>AK124/Q124</x:f>
        <x:v>0.7226884953983411</x:v>
      </x:c>
      <x:c r="AM124" s="64" t="n">
        <x:f>AK124/L124</x:f>
        <x:v>397.72800000000007</x:v>
      </x:c>
      <x:c r="AN124" s="66" t="str">
        <x:f>IF(AM124&lt;=200,"≤200K",IF(AM124&lt;=350,"200–350K",IF(AM124&lt;=500,"350–500K",IF(AM124&lt;=700,"500–700K","&gt;700K"))))</x:f>
        <x:v>350–500K</x:v>
      </x:c>
      <x:c r="AO124" s="64" t="n">
        <x:f>-ROUND(Q124*'Drivers'!R124,3)</x:f>
        <x:v>-827.869</x:v>
      </x:c>
      <x:c r="AP124" s="64" t="n">
        <x:f>-ROUND(AK124*'Drivers'!S124,3)</x:f>
        <x:v>-22.607</x:v>
      </x:c>
      <x:c r="AQ124" s="64" t="n">
        <x:f>-ROUND(AK124*'Drivers'!T124,3)</x:f>
        <x:v>-7.588</x:v>
      </x:c>
      <x:c r="AR124" s="64" t="n">
        <x:f>-ROUND(AK124*'Drivers'!U124,3)</x:f>
        <x:v>-8.452</x:v>
      </x:c>
      <x:c r="AS124" s="64" t="n">
        <x:f>-ROUND(AK124*'Drivers'!V124,3)</x:f>
        <x:v>-63.291</x:v>
      </x:c>
      <x:c r="AT124" s="64" t="n">
        <x:f>SUM(AO124:AS124)</x:f>
        <x:v>-929.807</x:v>
      </x:c>
      <x:c r="AU124" s="65" t="n">
        <x:f>AT124/AK124</x:f>
        <x:v>-0.584449045578888</x:v>
      </x:c>
      <x:c r="AV124" s="64" t="n">
        <x:f>AK124+AT124</x:f>
        <x:v>661.1050000000002</x:v>
      </x:c>
      <x:c r="AW124" s="65" t="n">
        <x:f>AV124/AK124</x:f>
        <x:v>0.415550954421112</x:v>
      </x:c>
      <x:c r="AX124" s="64" t="n">
        <x:f>-ROUND(AK124*'Drivers'!W124,3)</x:f>
        <x:v>-34.106</x:v>
      </x:c>
      <x:c r="AY124" s="64" t="n">
        <x:f>-ROUND(AK124*'Drivers'!X124,3)</x:f>
        <x:v>-51.816</x:v>
      </x:c>
      <x:c r="AZ124" s="64" t="n">
        <x:f>-ROUND(AK124*'Drivers'!Y124,3)</x:f>
        <x:v>-49.093</x:v>
      </x:c>
      <x:c r="BA124" s="64" t="n">
        <x:f>-ROUND(AK124*'Drivers'!Z124,3)</x:f>
        <x:v>-15.328</x:v>
      </x:c>
      <x:c r="BB124" s="64" t="n">
        <x:f>-ROUND(AK124*'Drivers'!AA124,3)</x:f>
        <x:v>-18.371</x:v>
      </x:c>
      <x:c r="BC124" s="64" t="n">
        <x:f>SUM(BA124,BB124)</x:f>
        <x:v>-33.699</x:v>
      </x:c>
      <x:c r="BD124" s="64" t="n">
        <x:f>-ROUND(AK124*'Drivers'!AB124,3)</x:f>
        <x:v>-16.793</x:v>
      </x:c>
      <x:c r="BE124" s="64" t="n">
        <x:f>SUM(AX124:BB124,BD124)</x:f>
        <x:v>-185.507</x:v>
      </x:c>
      <x:c r="BF124" s="67" t="n">
        <x:f>'Drivers'!AF124</x:f>
        <x:v>8</x:v>
      </x:c>
      <x:c r="BG124" s="64" t="n">
        <x:f>BJ124</x:f>
        <x:v>-63.453</x:v>
      </x:c>
      <x:c r="BH124" s="64" t="n">
        <x:f>BE124/BF124</x:f>
        <x:v>-23.188375</x:v>
      </x:c>
      <x:c r="BI124" s="68" t="n">
        <x:f>BF124/L124</x:f>
        <x:v>2</x:v>
      </x:c>
      <x:c r="BJ124" s="64" t="n">
        <x:f>-ROUND(AK124*'Drivers'!AC124,3)</x:f>
        <x:v>-63.453</x:v>
      </x:c>
      <x:c r="BK124" s="64" t="n">
        <x:f>-ROUND(AK124*'Drivers'!AD124,3)</x:f>
        <x:v>-170.593</x:v>
      </x:c>
      <x:c r="BL124" s="64" t="n">
        <x:f>SUM(AV124,BE124,BJ124,BK124)</x:f>
        <x:v>241.55200000000022</x:v>
      </x:c>
      <x:c r="BM124" s="65" t="n">
        <x:f>BL124/AK124</x:f>
        <x:v>0.15183240807788248</x:v>
      </x:c>
      <x:c r="BN124" s="64" t="n">
        <x:f>-ROUND(AK124*'Drivers'!AE124,3)</x:f>
        <x:v>-115.035</x:v>
      </x:c>
      <x:c r="BO124" s="64" t="n">
        <x:f>BL124+BN124</x:f>
        <x:v>126.51700000000022</x:v>
      </x:c>
      <x:c r="BP124" s="65" t="n">
        <x:f>BO124/AK124</x:f>
        <x:v>0.07952482601174685</x:v>
      </x:c>
    </x:row>
    <x:row r="125">
      <x:c r="A125" s="61" t="n">
        <x:v>2026</x:v>
      </x:c>
      <x:c r="B125" s="18" t="str">
        <x:v>S2</x:v>
      </x:c>
      <x:c r="C125" s="18" t="str">
        <x:v>2026 S2</x:v>
      </x:c>
      <x:c r="D125" s="18" t="str">
        <x:v>CNCT0031</x:v>
      </x:c>
      <x:c r="E125" s="18" t="str">
        <x:v>深圳壹方城</x:v>
      </x:c>
      <x:c r="F125" s="18" t="str">
        <x:v>深圳</x:v>
      </x:c>
      <x:c r="G125" s="18" t="str">
        <x:v>广东省</x:v>
      </x:c>
      <x:c r="H125" s="18" t="str">
        <x:v>南区</x:v>
      </x:c>
      <x:c r="I125" s="18" t="str">
        <x:v>Shopping Mall</x:v>
      </x:c>
      <x:c r="J125" s="18" t="str">
        <x:v>Core Shopping Center</x:v>
      </x:c>
      <x:c r="K125" s="18" t="str">
        <x:v>正常</x:v>
      </x:c>
      <x:c r="L125" s="62" t="n">
        <x:v>4</x:v>
      </x:c>
      <x:c r="M125" s="62" t="n">
        <x:v>48</x:v>
      </x:c>
      <x:c r="N125" s="63" t="n">
        <x:f>'Drivers'!C125</x:f>
        <x:v>2095</x:v>
      </x:c>
      <x:c r="O125" s="63" t="n">
        <x:f>'Drivers'!D125</x:f>
        <x:v>1182.649</x:v>
      </x:c>
      <x:c r="P125" s="64" t="n">
        <x:f>ROUND(N125*O125/1000,3)</x:f>
        <x:v>2477.65</x:v>
      </x:c>
      <x:c r="Q125" s="64" t="n">
        <x:f>ROUND(P125*'Drivers'!E125,3)</x:f>
        <x:v>2433.425</x:v>
      </x:c>
      <x:c r="R125" s="64" t="n">
        <x:f>-ROUND(Q125*'Drivers'!F125,3)</x:f>
        <x:v>-428.54</x:v>
      </x:c>
      <x:c r="S125" s="65" t="n">
        <x:f>R125/Q125</x:f>
        <x:v>-0.17610569464848927</x:v>
      </x:c>
      <x:c r="T125" s="64" t="n">
        <x:f>-ROUND(Q125*'Drivers'!G125,3)</x:f>
        <x:v>-42.322</x:v>
      </x:c>
      <x:c r="U125" s="65" t="n">
        <x:f>T125/Q125</x:f>
        <x:v>-0.017391947563619177</x:v>
      </x:c>
      <x:c r="V125" s="64" t="n">
        <x:f>-ROUND(Q125*'Drivers'!H125,3)</x:f>
        <x:v>-17.279</x:v>
      </x:c>
      <x:c r="W125" s="64" t="n">
        <x:f>-ROUND(Q125*'Drivers'!I125,3)</x:f>
        <x:v>-18.165</x:v>
      </x:c>
      <x:c r="X125" s="64" t="n">
        <x:f>-ROUND(Q125*'Drivers'!J125,3)</x:f>
        <x:v>-41.67</x:v>
      </x:c>
      <x:c r="Y125" s="64" t="n">
        <x:f>-ROUND(Q125*'Drivers'!K125,3)</x:f>
        <x:v>-21.811</x:v>
      </x:c>
      <x:c r="Z125" s="64" t="n">
        <x:f>-ROUND(Q125*'Drivers'!L125,3)</x:f>
        <x:v>-23.059</x:v>
      </x:c>
      <x:c r="AA125" s="64" t="n">
        <x:f>-ROUND(Q125*'Drivers'!M125,3)</x:f>
        <x:v>-25.243</x:v>
      </x:c>
      <x:c r="AB125" s="64" t="n">
        <x:f>-ROUND(Q125*'Drivers'!N125,3)</x:f>
        <x:v>-21.143</x:v>
      </x:c>
      <x:c r="AC125" s="64" t="n">
        <x:f>SUM(V125:AB125)</x:f>
        <x:v>-168.37</x:v>
      </x:c>
      <x:c r="AD125" s="65" t="n">
        <x:f>AC125/Q125</x:f>
        <x:v>-0.0691905441918284</x:v>
      </x:c>
      <x:c r="AE125" s="64" t="n">
        <x:f>-ROUND(Q125*'Drivers'!O125,3)</x:f>
        <x:v>-22.5</x:v>
      </x:c>
      <x:c r="AF125" s="65" t="n">
        <x:f>AE125/Q125</x:f>
        <x:v>-0.009246227025694238</x:v>
      </x:c>
      <x:c r="AG125" s="64" t="n">
        <x:f>-ROUND(Q125*'Drivers'!P125,3)</x:f>
        <x:v>-6.724</x:v>
      </x:c>
      <x:c r="AH125" s="64" t="n">
        <x:f>-ROUND(Q125*'Drivers'!Q125,3)</x:f>
        <x:v>-3.277</x:v>
      </x:c>
      <x:c r="AI125" s="64" t="n">
        <x:f>SUM(R125,T125,AC125,AE125,AG125,AH125)</x:f>
        <x:v>-671.7330000000001</x:v>
      </x:c>
      <x:c r="AJ125" s="65" t="n">
        <x:f>AI125/Q125</x:f>
        <x:v>-0.27604425860669635</x:v>
      </x:c>
      <x:c r="AK125" s="64" t="n">
        <x:f>Q125+AI125</x:f>
        <x:v>1761.692</x:v>
      </x:c>
      <x:c r="AL125" s="65" t="n">
        <x:f>AK125/Q125</x:f>
        <x:v>0.7239557413933037</x:v>
      </x:c>
      <x:c r="AM125" s="64" t="n">
        <x:f>AK125/L125</x:f>
        <x:v>440.423</x:v>
      </x:c>
      <x:c r="AN125" s="66" t="str">
        <x:f>IF(AM125&lt;=200,"≤200K",IF(AM125&lt;=350,"200–350K",IF(AM125&lt;=500,"350–500K",IF(AM125&lt;=700,"500–700K","&gt;700K"))))</x:f>
        <x:v>350–500K</x:v>
      </x:c>
      <x:c r="AO125" s="64" t="n">
        <x:f>-ROUND(Q125*'Drivers'!R125,3)</x:f>
        <x:v>-919.926</x:v>
      </x:c>
      <x:c r="AP125" s="64" t="n">
        <x:f>-ROUND(AK125*'Drivers'!S125,3)</x:f>
        <x:v>-25.034</x:v>
      </x:c>
      <x:c r="AQ125" s="64" t="n">
        <x:f>-ROUND(AK125*'Drivers'!T125,3)</x:f>
        <x:v>-8.402</x:v>
      </x:c>
      <x:c r="AR125" s="64" t="n">
        <x:f>-ROUND(AK125*'Drivers'!U125,3)</x:f>
        <x:v>-9.36</x:v>
      </x:c>
      <x:c r="AS125" s="64" t="n">
        <x:f>-ROUND(AK125*'Drivers'!V125,3)</x:f>
        <x:v>-70.085</x:v>
      </x:c>
      <x:c r="AT125" s="64" t="n">
        <x:f>SUM(AO125:AS125)</x:f>
        <x:v>-1032.807</x:v>
      </x:c>
      <x:c r="AU125" s="65" t="n">
        <x:f>AT125/AK125</x:f>
        <x:v>-0.5862585514380494</x:v>
      </x:c>
      <x:c r="AV125" s="64" t="n">
        <x:f>AK125+AT125</x:f>
        <x:v>728.885</x:v>
      </x:c>
      <x:c r="AW125" s="65" t="n">
        <x:f>AV125/AK125</x:f>
        <x:v>0.41374144856195066</x:v>
      </x:c>
      <x:c r="AX125" s="64" t="n">
        <x:f>-ROUND(AK125*'Drivers'!W125,3)</x:f>
        <x:v>-34.278</x:v>
      </x:c>
      <x:c r="AY125" s="64" t="n">
        <x:f>-ROUND(AK125*'Drivers'!X125,3)</x:f>
        <x:v>-52.078</x:v>
      </x:c>
      <x:c r="AZ125" s="64" t="n">
        <x:f>-ROUND(AK125*'Drivers'!Y125,3)</x:f>
        <x:v>-49.341</x:v>
      </x:c>
      <x:c r="BA125" s="64" t="n">
        <x:f>-ROUND(AK125*'Drivers'!Z125,3)</x:f>
        <x:v>-15.406</x:v>
      </x:c>
      <x:c r="BB125" s="64" t="n">
        <x:f>-ROUND(AK125*'Drivers'!AA125,3)</x:f>
        <x:v>-18.464</x:v>
      </x:c>
      <x:c r="BC125" s="64" t="n">
        <x:f>SUM(BA125,BB125)</x:f>
        <x:v>-33.87</x:v>
      </x:c>
      <x:c r="BD125" s="64" t="n">
        <x:f>-ROUND(AK125*'Drivers'!AB125,3)</x:f>
        <x:v>-16.878</x:v>
      </x:c>
      <x:c r="BE125" s="64" t="n">
        <x:f>SUM(AX125:BB125,BD125)</x:f>
        <x:v>-186.445</x:v>
      </x:c>
      <x:c r="BF125" s="67" t="n">
        <x:f>'Drivers'!AF125</x:f>
        <x:v>8</x:v>
      </x:c>
      <x:c r="BG125" s="64" t="n">
        <x:f>BJ125</x:f>
        <x:v>-63.773</x:v>
      </x:c>
      <x:c r="BH125" s="64" t="n">
        <x:f>BE125/BF125</x:f>
        <x:v>-23.305625</x:v>
      </x:c>
      <x:c r="BI125" s="68" t="n">
        <x:f>BF125/L125</x:f>
        <x:v>2</x:v>
      </x:c>
      <x:c r="BJ125" s="64" t="n">
        <x:f>-ROUND(AK125*'Drivers'!AC125,3)</x:f>
        <x:v>-63.773</x:v>
      </x:c>
      <x:c r="BK125" s="64" t="n">
        <x:f>-ROUND(AK125*'Drivers'!AD125,3)</x:f>
        <x:v>-188.905</x:v>
      </x:c>
      <x:c r="BL125" s="64" t="n">
        <x:f>SUM(AV125,BE125,BJ125,BK125)</x:f>
        <x:v>289.76200000000006</x:v>
      </x:c>
      <x:c r="BM125" s="65" t="n">
        <x:f>BL125/AK125</x:f>
        <x:v>0.16447937550945343</x:v>
      </x:c>
      <x:c r="BN125" s="64" t="n">
        <x:f>-ROUND(AK125*'Drivers'!AE125,3)</x:f>
        <x:v>-127.384</x:v>
      </x:c>
      <x:c r="BO125" s="64" t="n">
        <x:f>BL125+BN125</x:f>
        <x:v>162.37800000000004</x:v>
      </x:c>
      <x:c r="BP125" s="65" t="n">
        <x:f>BO125/AK125</x:f>
        <x:v>0.09217161683200017</x:v>
      </x:c>
    </x:row>
    <x:row r="126">
      <x:c r="A126" s="61" t="n">
        <x:v>2025</x:v>
      </x:c>
      <x:c r="B126" s="18" t="str">
        <x:v>S1</x:v>
      </x:c>
      <x:c r="C126" s="18" t="str">
        <x:v>2025 S1</x:v>
      </x:c>
      <x:c r="D126" s="18" t="str">
        <x:v>CNCT0032</x:v>
      </x:c>
      <x:c r="E126" s="18" t="str">
        <x:v>深圳益田假日广场</x:v>
      </x:c>
      <x:c r="F126" s="18" t="str">
        <x:v>深圳</x:v>
      </x:c>
      <x:c r="G126" s="18" t="str">
        <x:v>广东省</x:v>
      </x:c>
      <x:c r="H126" s="18" t="str">
        <x:v>南区</x:v>
      </x:c>
      <x:c r="I126" s="18" t="str">
        <x:v>Shopping Mall</x:v>
      </x:c>
      <x:c r="J126" s="18" t="str">
        <x:v>Core Shopping Center</x:v>
      </x:c>
      <x:c r="K126" s="18" t="str">
        <x:v>正常</x:v>
      </x:c>
      <x:c r="L126" s="62" t="n">
        <x:v>5</x:v>
      </x:c>
      <x:c r="M126" s="62" t="n">
        <x:v>48</x:v>
      </x:c>
      <x:c r="N126" s="63" t="n">
        <x:f>'Drivers'!C126</x:f>
        <x:v>2379</x:v>
      </x:c>
      <x:c r="O126" s="63" t="n">
        <x:f>'Drivers'!D126</x:f>
        <x:v>1093.198</x:v>
      </x:c>
      <x:c r="P126" s="64" t="n">
        <x:f>ROUND(N126*O126/1000,3)</x:f>
        <x:v>2600.718</x:v>
      </x:c>
      <x:c r="Q126" s="64" t="n">
        <x:f>ROUND(P126*'Drivers'!E126,3)</x:f>
        <x:v>2540.847</x:v>
      </x:c>
      <x:c r="R126" s="64" t="n">
        <x:f>-ROUND(Q126*'Drivers'!F126,3)</x:f>
        <x:v>-428.815</x:v>
      </x:c>
      <x:c r="S126" s="65" t="n">
        <x:f>R126/Q126</x:f>
        <x:v>-0.16876852482656374</x:v>
      </x:c>
      <x:c r="T126" s="64" t="n">
        <x:f>-ROUND(Q126*'Drivers'!G126,3)</x:f>
        <x:v>-23.044</x:v>
      </x:c>
      <x:c r="U126" s="65" t="n">
        <x:f>T126/Q126</x:f>
        <x:v>-0.009069416615797802</x:v>
      </x:c>
      <x:c r="V126" s="64" t="n">
        <x:f>-ROUND(Q126*'Drivers'!H126,3)</x:f>
        <x:v>-22.153</x:v>
      </x:c>
      <x:c r="W126" s="64" t="n">
        <x:f>-ROUND(Q126*'Drivers'!I126,3)</x:f>
        <x:v>-23.593</x:v>
      </x:c>
      <x:c r="X126" s="64" t="n">
        <x:f>-ROUND(Q126*'Drivers'!J126,3)</x:f>
        <x:v>-40.472</x:v>
      </x:c>
      <x:c r="Y126" s="64" t="n">
        <x:f>-ROUND(Q126*'Drivers'!K126,3)</x:f>
        <x:v>-35.37</x:v>
      </x:c>
      <x:c r="Z126" s="64" t="n">
        <x:f>-ROUND(Q126*'Drivers'!L126,3)</x:f>
        <x:v>-33.521</x:v>
      </x:c>
      <x:c r="AA126" s="64" t="n">
        <x:f>-ROUND(Q126*'Drivers'!M126,3)</x:f>
        <x:v>-17.55</x:v>
      </x:c>
      <x:c r="AB126" s="64" t="n">
        <x:f>-ROUND(Q126*'Drivers'!N126,3)</x:f>
        <x:v>-12.927</x:v>
      </x:c>
      <x:c r="AC126" s="64" t="n">
        <x:f>SUM(V126:AB126)</x:f>
        <x:v>-185.58599999999998</x:v>
      </x:c>
      <x:c r="AD126" s="65" t="n">
        <x:f>AC126/Q126</x:f>
        <x:v>-0.0730409977460272</x:v>
      </x:c>
      <x:c r="AE126" s="64" t="n">
        <x:f>-ROUND(Q126*'Drivers'!O126,3)</x:f>
        <x:v>-26.757</x:v>
      </x:c>
      <x:c r="AF126" s="65" t="n">
        <x:f>AE126/Q126</x:f>
        <x:v>-0.010530740339737103</x:v>
      </x:c>
      <x:c r="AG126" s="64" t="n">
        <x:f>-ROUND(Q126*'Drivers'!P126,3)</x:f>
        <x:v>-2.624</x:v>
      </x:c>
      <x:c r="AH126" s="64" t="n">
        <x:f>-ROUND(Q126*'Drivers'!Q126,3)</x:f>
        <x:v>-10.881</x:v>
      </x:c>
      <x:c r="AI126" s="64" t="n">
        <x:f>SUM(R126,T126,AC126,AE126,AG126,AH126)</x:f>
        <x:v>-677.7069999999999</x:v>
      </x:c>
      <x:c r="AJ126" s="65" t="n">
        <x:f>AI126/Q126</x:f>
        <x:v>-0.2667248362455511</x:v>
      </x:c>
      <x:c r="AK126" s="64" t="n">
        <x:f>Q126+AI126</x:f>
        <x:v>1863.1400000000003</x:v>
      </x:c>
      <x:c r="AL126" s="65" t="n">
        <x:f>AK126/Q126</x:f>
        <x:v>0.7332751637544489</x:v>
      </x:c>
      <x:c r="AM126" s="64" t="n">
        <x:f>AK126/L126</x:f>
        <x:v>372.62800000000004</x:v>
      </x:c>
      <x:c r="AN126" s="66" t="str">
        <x:f>IF(AM126&lt;=200,"≤200K",IF(AM126&lt;=350,"200–350K",IF(AM126&lt;=500,"350–500K",IF(AM126&lt;=700,"500–700K","&gt;700K"))))</x:f>
        <x:v>350–500K</x:v>
      </x:c>
      <x:c r="AO126" s="64" t="n">
        <x:f>-ROUND(Q126*'Drivers'!R126,3)</x:f>
        <x:v>-991.49</x:v>
      </x:c>
      <x:c r="AP126" s="64" t="n">
        <x:f>-ROUND(AK126*'Drivers'!S126,3)</x:f>
        <x:v>-25.609</x:v>
      </x:c>
      <x:c r="AQ126" s="64" t="n">
        <x:f>-ROUND(AK126*'Drivers'!T126,3)</x:f>
        <x:v>-9.795</x:v>
      </x:c>
      <x:c r="AR126" s="64" t="n">
        <x:f>-ROUND(AK126*'Drivers'!U126,3)</x:f>
        <x:v>-16.494</x:v>
      </x:c>
      <x:c r="AS126" s="64" t="n">
        <x:f>-ROUND(AK126*'Drivers'!V126,3)</x:f>
        <x:v>-59.277</x:v>
      </x:c>
      <x:c r="AT126" s="64" t="n">
        <x:f>SUM(AO126:AS126)</x:f>
        <x:v>-1102.665</x:v>
      </x:c>
      <x:c r="AU126" s="65" t="n">
        <x:f>AT126/AK126</x:f>
        <x:v>-0.5918315317152762</x:v>
      </x:c>
      <x:c r="AV126" s="64" t="n">
        <x:f>AK126+AT126</x:f>
        <x:v>760.4750000000004</x:v>
      </x:c>
      <x:c r="AW126" s="65" t="n">
        <x:f>AV126/AK126</x:f>
        <x:v>0.40816846828472375</x:v>
      </x:c>
      <x:c r="AX126" s="64" t="n">
        <x:f>-ROUND(AK126*'Drivers'!W126,3)</x:f>
        <x:v>-27.149</x:v>
      </x:c>
      <x:c r="AY126" s="64" t="n">
        <x:f>-ROUND(AK126*'Drivers'!X126,3)</x:f>
        <x:v>-55.399</x:v>
      </x:c>
      <x:c r="AZ126" s="64" t="n">
        <x:f>-ROUND(AK126*'Drivers'!Y126,3)</x:f>
        <x:v>-46.761</x:v>
      </x:c>
      <x:c r="BA126" s="64" t="n">
        <x:f>-ROUND(AK126*'Drivers'!Z126,3)</x:f>
        <x:v>-16.812</x:v>
      </x:c>
      <x:c r="BB126" s="64" t="n">
        <x:f>-ROUND(AK126*'Drivers'!AA126,3)</x:f>
        <x:v>-16.593</x:v>
      </x:c>
      <x:c r="BC126" s="64" t="n">
        <x:f>SUM(BA126,BB126)</x:f>
        <x:v>-33.405</x:v>
      </x:c>
      <x:c r="BD126" s="64" t="n">
        <x:f>-ROUND(AK126*'Drivers'!AB126,3)</x:f>
        <x:v>-8.63</x:v>
      </x:c>
      <x:c r="BE126" s="64" t="n">
        <x:f>SUM(AX126:BB126,BD126)</x:f>
        <x:v>-171.344</x:v>
      </x:c>
      <x:c r="BF126" s="67" t="n">
        <x:f>'Drivers'!AF126</x:f>
        <x:v>9</x:v>
      </x:c>
      <x:c r="BG126" s="64" t="n">
        <x:f>BJ126</x:f>
        <x:v>-50.773</x:v>
      </x:c>
      <x:c r="BH126" s="64" t="n">
        <x:f>BE126/BF126</x:f>
        <x:v>-19.03822222222222</x:v>
      </x:c>
      <x:c r="BI126" s="68" t="n">
        <x:f>BF126/L126</x:f>
        <x:v>1.8</x:v>
      </x:c>
      <x:c r="BJ126" s="64" t="n">
        <x:f>-ROUND(AK126*'Drivers'!AC126,3)</x:f>
        <x:v>-50.773</x:v>
      </x:c>
      <x:c r="BK126" s="64" t="n">
        <x:f>-ROUND(AK126*'Drivers'!AD126,3)</x:f>
        <x:v>-163.353</x:v>
      </x:c>
      <x:c r="BL126" s="64" t="n">
        <x:f>SUM(AV126,BE126,BJ126,BK126)</x:f>
        <x:v>375.0050000000003</x:v>
      </x:c>
      <x:c r="BM126" s="65" t="n">
        <x:f>BL126/AK126</x:f>
        <x:v>0.2012758032139293</x:v>
      </x:c>
      <x:c r="BN126" s="64" t="n">
        <x:f>-ROUND(AK126*'Drivers'!AE126,3)</x:f>
        <x:v>-155.537</x:v>
      </x:c>
      <x:c r="BO126" s="64" t="n">
        <x:f>BL126+BN126</x:f>
        <x:v>219.46800000000027</x:v>
      </x:c>
      <x:c r="BP126" s="65" t="n">
        <x:f>BO126/AK126</x:f>
        <x:v>0.11779469068346997</x:v>
      </x:c>
    </x:row>
    <x:row r="127">
      <x:c r="A127" s="61" t="n">
        <x:v>2025</x:v>
      </x:c>
      <x:c r="B127" s="18" t="str">
        <x:v>S2</x:v>
      </x:c>
      <x:c r="C127" s="18" t="str">
        <x:v>2025 S2</x:v>
      </x:c>
      <x:c r="D127" s="18" t="str">
        <x:v>CNCT0032</x:v>
      </x:c>
      <x:c r="E127" s="18" t="str">
        <x:v>深圳益田假日广场</x:v>
      </x:c>
      <x:c r="F127" s="18" t="str">
        <x:v>深圳</x:v>
      </x:c>
      <x:c r="G127" s="18" t="str">
        <x:v>广东省</x:v>
      </x:c>
      <x:c r="H127" s="18" t="str">
        <x:v>南区</x:v>
      </x:c>
      <x:c r="I127" s="18" t="str">
        <x:v>Shopping Mall</x:v>
      </x:c>
      <x:c r="J127" s="18" t="str">
        <x:v>Core Shopping Center</x:v>
      </x:c>
      <x:c r="K127" s="18" t="str">
        <x:v>正常</x:v>
      </x:c>
      <x:c r="L127" s="62" t="n">
        <x:v>5</x:v>
      </x:c>
      <x:c r="M127" s="62" t="n">
        <x:v>48</x:v>
      </x:c>
      <x:c r="N127" s="63" t="n">
        <x:f>'Drivers'!C127</x:f>
        <x:v>2517</x:v>
      </x:c>
      <x:c r="O127" s="63" t="n">
        <x:f>'Drivers'!D127</x:f>
        <x:v>1106.316</x:v>
      </x:c>
      <x:c r="P127" s="64" t="n">
        <x:f>ROUND(N127*O127/1000,3)</x:f>
        <x:v>2784.597</x:v>
      </x:c>
      <x:c r="Q127" s="64" t="n">
        <x:f>ROUND(P127*'Drivers'!E127,3)</x:f>
        <x:v>2740.476</x:v>
      </x:c>
      <x:c r="R127" s="64" t="n">
        <x:f>-ROUND(Q127*'Drivers'!F127,3)</x:f>
        <x:v>-462.506</x:v>
      </x:c>
      <x:c r="S127" s="65" t="n">
        <x:f>R127/Q127</x:f>
        <x:v>-0.1687684913131879</x:v>
      </x:c>
      <x:c r="T127" s="64" t="n">
        <x:f>-ROUND(Q127*'Drivers'!G127,3)</x:f>
        <x:v>-24.854</x:v>
      </x:c>
      <x:c r="U127" s="65" t="n">
        <x:f>T127/Q127</x:f>
        <x:v>-0.009069227389694344</x:v>
      </x:c>
      <x:c r="V127" s="64" t="n">
        <x:f>-ROUND(Q127*'Drivers'!H127,3)</x:f>
        <x:v>-23.894</x:v>
      </x:c>
      <x:c r="W127" s="64" t="n">
        <x:f>-ROUND(Q127*'Drivers'!I127,3)</x:f>
        <x:v>-25.446</x:v>
      </x:c>
      <x:c r="X127" s="64" t="n">
        <x:f>-ROUND(Q127*'Drivers'!J127,3)</x:f>
        <x:v>-43.652</x:v>
      </x:c>
      <x:c r="Y127" s="64" t="n">
        <x:f>-ROUND(Q127*'Drivers'!K127,3)</x:f>
        <x:v>-38.149</x:v>
      </x:c>
      <x:c r="Z127" s="64" t="n">
        <x:f>-ROUND(Q127*'Drivers'!L127,3)</x:f>
        <x:v>-36.155</x:v>
      </x:c>
      <x:c r="AA127" s="64" t="n">
        <x:f>-ROUND(Q127*'Drivers'!M127,3)</x:f>
        <x:v>-18.929</x:v>
      </x:c>
      <x:c r="AB127" s="64" t="n">
        <x:f>-ROUND(Q127*'Drivers'!N127,3)</x:f>
        <x:v>-13.943</x:v>
      </x:c>
      <x:c r="AC127" s="64" t="n">
        <x:f>SUM(V127:AB127)</x:f>
        <x:v>-200.16800000000003</x:v>
      </x:c>
      <x:c r="AD127" s="65" t="n">
        <x:f>AC127/Q127</x:f>
        <x:v>-0.07304132566751179</x:v>
      </x:c>
      <x:c r="AE127" s="64" t="n">
        <x:f>-ROUND(Q127*'Drivers'!O127,3)</x:f>
        <x:v>-28.859</x:v>
      </x:c>
      <x:c r="AF127" s="65" t="n">
        <x:f>AE127/Q127</x:f>
        <x:v>-0.01053065233922866</x:v>
      </x:c>
      <x:c r="AG127" s="64" t="n">
        <x:f>-ROUND(Q127*'Drivers'!P127,3)</x:f>
        <x:v>-2.831</x:v>
      </x:c>
      <x:c r="AH127" s="64" t="n">
        <x:f>-ROUND(Q127*'Drivers'!Q127,3)</x:f>
        <x:v>-11.736</x:v>
      </x:c>
      <x:c r="AI127" s="64" t="n">
        <x:f>SUM(R127,T127,AC127,AE127,AG127,AH127)</x:f>
        <x:v>-730.9540000000001</x:v>
      </x:c>
      <x:c r="AJ127" s="65" t="n">
        <x:f>AI127/Q127</x:f>
        <x:v>-0.2667251966446705</x:v>
      </x:c>
      <x:c r="AK127" s="64" t="n">
        <x:f>Q127+AI127</x:f>
        <x:v>2009.522</x:v>
      </x:c>
      <x:c r="AL127" s="65" t="n">
        <x:f>AK127/Q127</x:f>
        <x:v>0.7332748033553295</x:v>
      </x:c>
      <x:c r="AM127" s="64" t="n">
        <x:f>AK127/L127</x:f>
        <x:v>401.9044</x:v>
      </x:c>
      <x:c r="AN127" s="66" t="str">
        <x:f>IF(AM127&lt;=200,"≤200K",IF(AM127&lt;=350,"200–350K",IF(AM127&lt;=500,"350–500K",IF(AM127&lt;=700,"500–700K","&gt;700K"))))</x:f>
        <x:v>350–500K</x:v>
      </x:c>
      <x:c r="AO127" s="64" t="n">
        <x:f>-ROUND(Q127*'Drivers'!R127,3)</x:f>
        <x:v>-1031.303</x:v>
      </x:c>
      <x:c r="AP127" s="64" t="n">
        <x:f>-ROUND(AK127*'Drivers'!S127,3)</x:f>
        <x:v>-27.621</x:v>
      </x:c>
      <x:c r="AQ127" s="64" t="n">
        <x:f>-ROUND(AK127*'Drivers'!T127,3)</x:f>
        <x:v>-10.564</x:v>
      </x:c>
      <x:c r="AR127" s="64" t="n">
        <x:f>-ROUND(AK127*'Drivers'!U127,3)</x:f>
        <x:v>-17.79</x:v>
      </x:c>
      <x:c r="AS127" s="64" t="n">
        <x:f>-ROUND(AK127*'Drivers'!V127,3)</x:f>
        <x:v>-63.934</x:v>
      </x:c>
      <x:c r="AT127" s="64" t="n">
        <x:f>SUM(AO127:AS127)</x:f>
        <x:v>-1151.2120000000002</x:v>
      </x:c>
      <x:c r="AU127" s="65" t="n">
        <x:f>AT127/AK127</x:f>
        <x:v>-0.5728785253408524</x:v>
      </x:c>
      <x:c r="AV127" s="64" t="n">
        <x:f>AK127+AT127</x:f>
        <x:v>858.3099999999997</x:v>
      </x:c>
      <x:c r="AW127" s="65" t="n">
        <x:f>AV127/AK127</x:f>
        <x:v>0.4271214746591477</x:v>
      </x:c>
      <x:c r="AX127" s="64" t="n">
        <x:f>-ROUND(AK127*'Drivers'!W127,3)</x:f>
        <x:v>-29.282</x:v>
      </x:c>
      <x:c r="AY127" s="64" t="n">
        <x:f>-ROUND(AK127*'Drivers'!X127,3)</x:f>
        <x:v>-59.751</x:v>
      </x:c>
      <x:c r="AZ127" s="64" t="n">
        <x:f>-ROUND(AK127*'Drivers'!Y127,3)</x:f>
        <x:v>-50.435</x:v>
      </x:c>
      <x:c r="BA127" s="64" t="n">
        <x:f>-ROUND(AK127*'Drivers'!Z127,3)</x:f>
        <x:v>-18.133</x:v>
      </x:c>
      <x:c r="BB127" s="64" t="n">
        <x:f>-ROUND(AK127*'Drivers'!AA127,3)</x:f>
        <x:v>-17.896</x:v>
      </x:c>
      <x:c r="BC127" s="64" t="n">
        <x:f>SUM(BA127,BB127)</x:f>
        <x:v>-36.028999999999996</x:v>
      </x:c>
      <x:c r="BD127" s="64" t="n">
        <x:f>-ROUND(AK127*'Drivers'!AB127,3)</x:f>
        <x:v>-9.308</x:v>
      </x:c>
      <x:c r="BE127" s="64" t="n">
        <x:f>SUM(AX127:BB127,BD127)</x:f>
        <x:v>-184.805</x:v>
      </x:c>
      <x:c r="BF127" s="67" t="n">
        <x:f>'Drivers'!AF127</x:f>
        <x:v>9</x:v>
      </x:c>
      <x:c r="BG127" s="64" t="n">
        <x:f>BJ127</x:f>
        <x:v>-54.762</x:v>
      </x:c>
      <x:c r="BH127" s="64" t="n">
        <x:f>BE127/BF127</x:f>
        <x:v>-20.53388888888889</x:v>
      </x:c>
      <x:c r="BI127" s="68" t="n">
        <x:f>BF127/L127</x:f>
        <x:v>1.8</x:v>
      </x:c>
      <x:c r="BJ127" s="64" t="n">
        <x:f>-ROUND(AK127*'Drivers'!AC127,3)</x:f>
        <x:v>-54.762</x:v>
      </x:c>
      <x:c r="BK127" s="64" t="n">
        <x:f>-ROUND(AK127*'Drivers'!AD127,3)</x:f>
        <x:v>-176.187</x:v>
      </x:c>
      <x:c r="BL127" s="64" t="n">
        <x:f>SUM(AV127,BE127,BJ127,BK127)</x:f>
        <x:v>442.5559999999997</x:v>
      </x:c>
      <x:c r="BM127" s="65" t="n">
        <x:f>BL127/AK127</x:f>
        <x:v>0.22022948741043877</x:v>
      </x:c>
      <x:c r="BN127" s="64" t="n">
        <x:f>-ROUND(AK127*'Drivers'!AE127,3)</x:f>
        <x:v>-167.757</x:v>
      </x:c>
      <x:c r="BO127" s="64" t="n">
        <x:f>BL127+BN127</x:f>
        <x:v>274.7989999999997</x:v>
      </x:c>
      <x:c r="BP127" s="65" t="n">
        <x:f>BO127/AK127</x:f>
        <x:v>0.13674844067395117</x:v>
      </x:c>
    </x:row>
    <x:row r="128">
      <x:c r="A128" s="61" t="n">
        <x:v>2026</x:v>
      </x:c>
      <x:c r="B128" s="18" t="str">
        <x:v>S1</x:v>
      </x:c>
      <x:c r="C128" s="18" t="str">
        <x:v>2026 S1</x:v>
      </x:c>
      <x:c r="D128" s="18" t="str">
        <x:v>CNCT0032</x:v>
      </x:c>
      <x:c r="E128" s="18" t="str">
        <x:v>深圳益田假日广场</x:v>
      </x:c>
      <x:c r="F128" s="18" t="str">
        <x:v>深圳</x:v>
      </x:c>
      <x:c r="G128" s="18" t="str">
        <x:v>广东省</x:v>
      </x:c>
      <x:c r="H128" s="18" t="str">
        <x:v>南区</x:v>
      </x:c>
      <x:c r="I128" s="18" t="str">
        <x:v>Shopping Mall</x:v>
      </x:c>
      <x:c r="J128" s="18" t="str">
        <x:v>Core Shopping Center</x:v>
      </x:c>
      <x:c r="K128" s="18" t="str">
        <x:v>正常</x:v>
      </x:c>
      <x:c r="L128" s="62" t="n">
        <x:v>5</x:v>
      </x:c>
      <x:c r="M128" s="62" t="n">
        <x:v>48</x:v>
      </x:c>
      <x:c r="N128" s="63" t="n">
        <x:f>'Drivers'!C128</x:f>
        <x:v>2355</x:v>
      </x:c>
      <x:c r="O128" s="63" t="n">
        <x:f>'Drivers'!D128</x:f>
        <x:v>1133.481</x:v>
      </x:c>
      <x:c r="P128" s="64" t="n">
        <x:f>ROUND(N128*O128/1000,3)</x:f>
        <x:v>2669.348</x:v>
      </x:c>
      <x:c r="Q128" s="64" t="n">
        <x:f>ROUND(P128*'Drivers'!E128,3)</x:f>
        <x:v>2603.839</x:v>
      </x:c>
      <x:c r="R128" s="64" t="n">
        <x:f>-ROUND(Q128*'Drivers'!F128,3)</x:f>
        <x:v>-427.827</x:v>
      </x:c>
      <x:c r="S128" s="65" t="n">
        <x:f>R128/Q128</x:f>
        <x:v>-0.1643062416685517</x:v>
      </x:c>
      <x:c r="T128" s="64" t="n">
        <x:f>-ROUND(Q128*'Drivers'!G128,3)</x:f>
        <x:v>-24.25</x:v>
      </x:c>
      <x:c r="U128" s="65" t="n">
        <x:f>T128/Q128</x:f>
        <x:v>-0.009313171820531147</x:v>
      </x:c>
      <x:c r="V128" s="64" t="n">
        <x:f>-ROUND(Q128*'Drivers'!H128,3)</x:f>
        <x:v>-22.702</x:v>
      </x:c>
      <x:c r="W128" s="64" t="n">
        <x:f>-ROUND(Q128*'Drivers'!I128,3)</x:f>
        <x:v>-24.178</x:v>
      </x:c>
      <x:c r="X128" s="64" t="n">
        <x:f>-ROUND(Q128*'Drivers'!J128,3)</x:f>
        <x:v>-41.476</x:v>
      </x:c>
      <x:c r="Y128" s="64" t="n">
        <x:f>-ROUND(Q128*'Drivers'!K128,3)</x:f>
        <x:v>-36.247</x:v>
      </x:c>
      <x:c r="Z128" s="64" t="n">
        <x:f>-ROUND(Q128*'Drivers'!L128,3)</x:f>
        <x:v>-34.352</x:v>
      </x:c>
      <x:c r="AA128" s="64" t="n">
        <x:f>-ROUND(Q128*'Drivers'!M128,3)</x:f>
        <x:v>-17.985</x:v>
      </x:c>
      <x:c r="AB128" s="64" t="n">
        <x:f>-ROUND(Q128*'Drivers'!N128,3)</x:f>
        <x:v>-13.248</x:v>
      </x:c>
      <x:c r="AC128" s="64" t="n">
        <x:f>SUM(V128:AB128)</x:f>
        <x:v>-190.188</x:v>
      </x:c>
      <x:c r="AD128" s="65" t="n">
        <x:f>AC128/Q128</x:f>
        <x:v>-0.07304138235889392</x:v>
      </x:c>
      <x:c r="AE128" s="64" t="n">
        <x:f>-ROUND(Q128*'Drivers'!O128,3)</x:f>
        <x:v>-30.679</x:v>
      </x:c>
      <x:c r="AF128" s="65" t="n">
        <x:f>AE128/Q128</x:f>
        <x:v>-0.011782218485858765</x:v>
      </x:c>
      <x:c r="AG128" s="64" t="n">
        <x:f>-ROUND(Q128*'Drivers'!P128,3)</x:f>
        <x:v>-2.69</x:v>
      </x:c>
      <x:c r="AH128" s="64" t="n">
        <x:f>-ROUND(Q128*'Drivers'!Q128,3)</x:f>
        <x:v>-11.15</x:v>
      </x:c>
      <x:c r="AI128" s="64" t="n">
        <x:f>SUM(R128,T128,AC128,AE128,AG128,AH128)</x:f>
        <x:v>-686.784</x:v>
      </x:c>
      <x:c r="AJ128" s="65" t="n">
        <x:f>AI128/Q128</x:f>
        <x:v>-0.263758243117182</x:v>
      </x:c>
      <x:c r="AK128" s="64" t="n">
        <x:f>Q128+AI128</x:f>
        <x:v>1917.0549999999998</x:v>
      </x:c>
      <x:c r="AL128" s="65" t="n">
        <x:f>AK128/Q128</x:f>
        <x:v>0.736241756882818</x:v>
      </x:c>
      <x:c r="AM128" s="64" t="n">
        <x:f>AK128/L128</x:f>
        <x:v>383.41099999999994</x:v>
      </x:c>
      <x:c r="AN128" s="66" t="str">
        <x:f>IF(AM128&lt;=200,"≤200K",IF(AM128&lt;=350,"200–350K",IF(AM128&lt;=500,"350–500K",IF(AM128&lt;=700,"500–700K","&gt;700K"))))</x:f>
        <x:v>350–500K</x:v>
      </x:c>
      <x:c r="AO128" s="64" t="n">
        <x:f>-ROUND(Q128*'Drivers'!R128,3)</x:f>
        <x:v>-1010.011</x:v>
      </x:c>
      <x:c r="AP128" s="64" t="n">
        <x:f>-ROUND(AK128*'Drivers'!S128,3)</x:f>
        <x:v>-26.35</x:v>
      </x:c>
      <x:c r="AQ128" s="64" t="n">
        <x:f>-ROUND(AK128*'Drivers'!T128,3)</x:f>
        <x:v>-10.078</x:v>
      </x:c>
      <x:c r="AR128" s="64" t="n">
        <x:f>-ROUND(AK128*'Drivers'!U128,3)</x:f>
        <x:v>-16.972</x:v>
      </x:c>
      <x:c r="AS128" s="64" t="n">
        <x:f>-ROUND(AK128*'Drivers'!V128,3)</x:f>
        <x:v>-60.992</x:v>
      </x:c>
      <x:c r="AT128" s="64" t="n">
        <x:f>SUM(AO128:AS128)</x:f>
        <x:v>-1124.4029999999998</x:v>
      </x:c>
      <x:c r="AU128" s="65" t="n">
        <x:f>AT128/AK128</x:f>
        <x:v>-0.5865262081682581</x:v>
      </x:c>
      <x:c r="AV128" s="64" t="n">
        <x:f>AK128+AT128</x:f>
        <x:v>792.652</x:v>
      </x:c>
      <x:c r="AW128" s="65" t="n">
        <x:f>AV128/AK128</x:f>
        <x:v>0.413473791831742</x:v>
      </x:c>
      <x:c r="AX128" s="64" t="n">
        <x:f>-ROUND(AK128*'Drivers'!W128,3)</x:f>
        <x:v>-38.496</x:v>
      </x:c>
      <x:c r="AY128" s="64" t="n">
        <x:f>-ROUND(AK128*'Drivers'!X128,3)</x:f>
        <x:v>-78.555</x:v>
      </x:c>
      <x:c r="AZ128" s="64" t="n">
        <x:f>-ROUND(AK128*'Drivers'!Y128,3)</x:f>
        <x:v>-66.306</x:v>
      </x:c>
      <x:c r="BA128" s="64" t="n">
        <x:f>-ROUND(AK128*'Drivers'!Z128,3)</x:f>
        <x:v>-23.839</x:v>
      </x:c>
      <x:c r="BB128" s="64" t="n">
        <x:f>-ROUND(AK128*'Drivers'!AA128,3)</x:f>
        <x:v>-23.528</x:v>
      </x:c>
      <x:c r="BC128" s="64" t="n">
        <x:f>SUM(BA128,BB128)</x:f>
        <x:v>-47.367</x:v>
      </x:c>
      <x:c r="BD128" s="64" t="n">
        <x:f>-ROUND(AK128*'Drivers'!AB128,3)</x:f>
        <x:v>-12.237</x:v>
      </x:c>
      <x:c r="BE128" s="64" t="n">
        <x:f>SUM(AX128:BB128,BD128)</x:f>
        <x:v>-242.961</x:v>
      </x:c>
      <x:c r="BF128" s="67" t="n">
        <x:f>'Drivers'!AF128</x:f>
        <x:v>9</x:v>
      </x:c>
      <x:c r="BG128" s="64" t="n">
        <x:f>BJ128</x:f>
        <x:v>-71.996</x:v>
      </x:c>
      <x:c r="BH128" s="64" t="n">
        <x:f>BE128/BF128</x:f>
        <x:v>-26.99566666666667</x:v>
      </x:c>
      <x:c r="BI128" s="68" t="n">
        <x:f>BF128/L128</x:f>
        <x:v>1.8</x:v>
      </x:c>
      <x:c r="BJ128" s="64" t="n">
        <x:f>-ROUND(AK128*'Drivers'!AC128,3)</x:f>
        <x:v>-71.996</x:v>
      </x:c>
      <x:c r="BK128" s="64" t="n">
        <x:f>-ROUND(AK128*'Drivers'!AD128,3)</x:f>
        <x:v>-168.08</x:v>
      </x:c>
      <x:c r="BL128" s="64" t="n">
        <x:f>SUM(AV128,BE128,BJ128,BK128)</x:f>
        <x:v>309.615</x:v>
      </x:c>
      <x:c r="BM128" s="65" t="n">
        <x:f>BL128/AK128</x:f>
        <x:v>0.1615055384430807</x:v>
      </x:c>
      <x:c r="BN128" s="64" t="n">
        <x:f>-ROUND(AK128*'Drivers'!AE128,3)</x:f>
        <x:v>-160.038</x:v>
      </x:c>
      <x:c r="BO128" s="64" t="n">
        <x:f>BL128+BN128</x:f>
        <x:v>149.577</x:v>
      </x:c>
      <x:c r="BP128" s="65" t="n">
        <x:f>BO128/AK128</x:f>
        <x:v>0.07802436549812082</x:v>
      </x:c>
    </x:row>
    <x:row r="129">
      <x:c r="A129" s="61" t="n">
        <x:v>2026</x:v>
      </x:c>
      <x:c r="B129" s="18" t="str">
        <x:v>S2</x:v>
      </x:c>
      <x:c r="C129" s="18" t="str">
        <x:v>2026 S2</x:v>
      </x:c>
      <x:c r="D129" s="18" t="str">
        <x:v>CNCT0032</x:v>
      </x:c>
      <x:c r="E129" s="18" t="str">
        <x:v>深圳益田假日广场</x:v>
      </x:c>
      <x:c r="F129" s="18" t="str">
        <x:v>深圳</x:v>
      </x:c>
      <x:c r="G129" s="18" t="str">
        <x:v>广东省</x:v>
      </x:c>
      <x:c r="H129" s="18" t="str">
        <x:v>南区</x:v>
      </x:c>
      <x:c r="I129" s="18" t="str">
        <x:v>Shopping Mall</x:v>
      </x:c>
      <x:c r="J129" s="18" t="str">
        <x:v>Core Shopping Center</x:v>
      </x:c>
      <x:c r="K129" s="18" t="str">
        <x:v>正常</x:v>
      </x:c>
      <x:c r="L129" s="62" t="n">
        <x:v>5</x:v>
      </x:c>
      <x:c r="M129" s="62" t="n">
        <x:v>48</x:v>
      </x:c>
      <x:c r="N129" s="63" t="n">
        <x:f>'Drivers'!C129</x:f>
        <x:v>2508</x:v>
      </x:c>
      <x:c r="O129" s="63" t="n">
        <x:f>'Drivers'!D129</x:f>
        <x:v>1129.446</x:v>
      </x:c>
      <x:c r="P129" s="64" t="n">
        <x:f>ROUND(N129*O129/1000,3)</x:f>
        <x:v>2832.651</x:v>
      </x:c>
      <x:c r="Q129" s="64" t="n">
        <x:f>ROUND(P129*'Drivers'!E129,3)</x:f>
        <x:v>2787.769</x:v>
      </x:c>
      <x:c r="R129" s="64" t="n">
        <x:f>-ROUND(Q129*'Drivers'!F129,3)</x:f>
        <x:v>-455.552</x:v>
      </x:c>
      <x:c r="S129" s="65" t="n">
        <x:f>R129/Q129</x:f>
        <x:v>-0.16341095693366275</x:v>
      </x:c>
      <x:c r="T129" s="64" t="n">
        <x:f>-ROUND(Q129*'Drivers'!G129,3)</x:f>
        <x:v>-20.595</x:v>
      </x:c>
      <x:c r="U129" s="65" t="n">
        <x:f>T129/Q129</x:f>
        <x:v>-0.0073876278845198436</x:v>
      </x:c>
      <x:c r="V129" s="64" t="n">
        <x:f>-ROUND(Q129*'Drivers'!H129,3)</x:f>
        <x:v>-24.306</x:v>
      </x:c>
      <x:c r="W129" s="64" t="n">
        <x:f>-ROUND(Q129*'Drivers'!I129,3)</x:f>
        <x:v>-25.885</x:v>
      </x:c>
      <x:c r="X129" s="64" t="n">
        <x:f>-ROUND(Q129*'Drivers'!J129,3)</x:f>
        <x:v>-44.406</x:v>
      </x:c>
      <x:c r="Y129" s="64" t="n">
        <x:f>-ROUND(Q129*'Drivers'!K129,3)</x:f>
        <x:v>-38.807</x:v>
      </x:c>
      <x:c r="Z129" s="64" t="n">
        <x:f>-ROUND(Q129*'Drivers'!L129,3)</x:f>
        <x:v>-36.779</x:v>
      </x:c>
      <x:c r="AA129" s="64" t="n">
        <x:f>-ROUND(Q129*'Drivers'!M129,3)</x:f>
        <x:v>-19.256</x:v>
      </x:c>
      <x:c r="AB129" s="64" t="n">
        <x:f>-ROUND(Q129*'Drivers'!N129,3)</x:f>
        <x:v>-14.184</x:v>
      </x:c>
      <x:c r="AC129" s="64" t="n">
        <x:f>SUM(V129:AB129)</x:f>
        <x:v>-203.623</x:v>
      </x:c>
      <x:c r="AD129" s="65" t="n">
        <x:f>AC129/Q129</x:f>
        <x:v>-0.0730415611910456</x:v>
      </x:c>
      <x:c r="AE129" s="64" t="n">
        <x:f>-ROUND(Q129*'Drivers'!O129,3)</x:f>
        <x:v>-29.357</x:v>
      </x:c>
      <x:c r="AF129" s="65" t="n">
        <x:f>AE129/Q129</x:f>
        <x:v>-0.010530642962167956</x:v>
      </x:c>
      <x:c r="AG129" s="64" t="n">
        <x:f>-ROUND(Q129*'Drivers'!P129,3)</x:f>
        <x:v>-2.88</x:v>
      </x:c>
      <x:c r="AH129" s="64" t="n">
        <x:f>-ROUND(Q129*'Drivers'!Q129,3)</x:f>
        <x:v>-11.938</x:v>
      </x:c>
      <x:c r="AI129" s="64" t="n">
        <x:f>SUM(R129,T129,AC129,AE129,AG129,AH129)</x:f>
        <x:v>-723.9449999999999</x:v>
      </x:c>
      <x:c r="AJ129" s="65" t="n">
        <x:f>AI129/Q129</x:f>
        <x:v>-0.25968615046655585</x:v>
      </x:c>
      <x:c r="AK129" s="64" t="n">
        <x:f>Q129+AI129</x:f>
        <x:v>2063.8239999999996</x:v>
      </x:c>
      <x:c r="AL129" s="65" t="n">
        <x:f>AK129/Q129</x:f>
        <x:v>0.740313849533444</x:v>
      </x:c>
      <x:c r="AM129" s="64" t="n">
        <x:f>AK129/L129</x:f>
        <x:v>412.7647999999999</x:v>
      </x:c>
      <x:c r="AN129" s="66" t="str">
        <x:f>IF(AM129&lt;=200,"≤200K",IF(AM129&lt;=350,"200–350K",IF(AM129&lt;=500,"350–500K",IF(AM129&lt;=700,"500–700K","&gt;700K"))))</x:f>
        <x:v>350–500K</x:v>
      </x:c>
      <x:c r="AO129" s="64" t="n">
        <x:f>-ROUND(Q129*'Drivers'!R129,3)</x:f>
        <x:v>-1048.709</x:v>
      </x:c>
      <x:c r="AP129" s="64" t="n">
        <x:f>-ROUND(AK129*'Drivers'!S129,3)</x:f>
        <x:v>-28.367</x:v>
      </x:c>
      <x:c r="AQ129" s="64" t="n">
        <x:f>-ROUND(AK129*'Drivers'!T129,3)</x:f>
        <x:v>-10.85</x:v>
      </x:c>
      <x:c r="AR129" s="64" t="n">
        <x:f>-ROUND(AK129*'Drivers'!U129,3)</x:f>
        <x:v>-18.271</x:v>
      </x:c>
      <x:c r="AS129" s="64" t="n">
        <x:f>-ROUND(AK129*'Drivers'!V129,3)</x:f>
        <x:v>-65.662</x:v>
      </x:c>
      <x:c r="AT129" s="64" t="n">
        <x:f>SUM(AO129:AS129)</x:f>
        <x:v>-1171.859</x:v>
      </x:c>
      <x:c r="AU129" s="65" t="n">
        <x:f>AT129/AK129</x:f>
        <x:v>-0.5678095612804194</x:v>
      </x:c>
      <x:c r="AV129" s="64" t="n">
        <x:f>AK129+AT129</x:f>
        <x:v>891.9649999999997</x:v>
      </x:c>
      <x:c r="AW129" s="65" t="n">
        <x:f>AV129/AK129</x:f>
        <x:v>0.4321904387195807</x:v>
      </x:c>
      <x:c r="AX129" s="64" t="n">
        <x:f>-ROUND(AK129*'Drivers'!W129,3)</x:f>
        <x:v>-37.615</x:v>
      </x:c>
      <x:c r="AY129" s="64" t="n">
        <x:f>-ROUND(AK129*'Drivers'!X129,3)</x:f>
        <x:v>-76.757</x:v>
      </x:c>
      <x:c r="AZ129" s="64" t="n">
        <x:f>-ROUND(AK129*'Drivers'!Y129,3)</x:f>
        <x:v>-64.788</x:v>
      </x:c>
      <x:c r="BA129" s="64" t="n">
        <x:f>-ROUND(AK129*'Drivers'!Z129,3)</x:f>
        <x:v>-23.294</x:v>
      </x:c>
      <x:c r="BB129" s="64" t="n">
        <x:f>-ROUND(AK129*'Drivers'!AA129,3)</x:f>
        <x:v>-22.99</x:v>
      </x:c>
      <x:c r="BC129" s="64" t="n">
        <x:f>SUM(BA129,BB129)</x:f>
        <x:v>-46.284</x:v>
      </x:c>
      <x:c r="BD129" s="64" t="n">
        <x:f>-ROUND(AK129*'Drivers'!AB129,3)</x:f>
        <x:v>-11.957</x:v>
      </x:c>
      <x:c r="BE129" s="64" t="n">
        <x:f>SUM(AX129:BB129,BD129)</x:f>
        <x:v>-237.40100000000004</x:v>
      </x:c>
      <x:c r="BF129" s="67" t="n">
        <x:f>'Drivers'!AF129</x:f>
        <x:v>9</x:v>
      </x:c>
      <x:c r="BG129" s="64" t="n">
        <x:f>BJ129</x:f>
        <x:v>-70.348</x:v>
      </x:c>
      <x:c r="BH129" s="64" t="n">
        <x:f>BE129/BF129</x:f>
        <x:v>-26.377888888888894</x:v>
      </x:c>
      <x:c r="BI129" s="68" t="n">
        <x:f>BF129/L129</x:f>
        <x:v>1.8</x:v>
      </x:c>
      <x:c r="BJ129" s="64" t="n">
        <x:f>-ROUND(AK129*'Drivers'!AC129,3)</x:f>
        <x:v>-70.348</x:v>
      </x:c>
      <x:c r="BK129" s="64" t="n">
        <x:f>-ROUND(AK129*'Drivers'!AD129,3)</x:f>
        <x:v>-180.948</x:v>
      </x:c>
      <x:c r="BL129" s="64" t="n">
        <x:f>SUM(AV129,BE129,BJ129,BK129)</x:f>
        <x:v>403.2679999999997</x:v>
      </x:c>
      <x:c r="BM129" s="65" t="n">
        <x:f>BL129/AK129</x:f>
        <x:v>0.19539844482862867</x:v>
      </x:c>
      <x:c r="BN129" s="64" t="n">
        <x:f>-ROUND(AK129*'Drivers'!AE129,3)</x:f>
        <x:v>-172.29</x:v>
      </x:c>
      <x:c r="BO129" s="64" t="n">
        <x:f>BL129+BN129</x:f>
        <x:v>230.9779999999997</x:v>
      </x:c>
      <x:c r="BP129" s="65" t="n">
        <x:f>BO129/AK129</x:f>
        <x:v>0.11191748908821669</x:v>
      </x:c>
    </x:row>
    <x:row r="130">
      <x:c r="A130" s="61" t="n">
        <x:v>2025</x:v>
      </x:c>
      <x:c r="B130" s="18" t="str">
        <x:v>S1</x:v>
      </x:c>
      <x:c r="C130" s="18" t="str">
        <x:v>2025 S1</x:v>
      </x:c>
      <x:c r="D130" s="18" t="str">
        <x:v>CNCT0033</x:v>
      </x:c>
      <x:c r="E130" s="18" t="str">
        <x:v>深圳卓悦中心</x:v>
      </x:c>
      <x:c r="F130" s="18" t="str">
        <x:v>深圳</x:v>
      </x:c>
      <x:c r="G130" s="18" t="str">
        <x:v>广东省</x:v>
      </x:c>
      <x:c r="H130" s="18" t="str">
        <x:v>南区</x:v>
      </x:c>
      <x:c r="I130" s="18" t="str">
        <x:v>Shopping Mall</x:v>
      </x:c>
      <x:c r="J130" s="18" t="str">
        <x:v>Core Shopping Center</x:v>
      </x:c>
      <x:c r="K130" s="18" t="str">
        <x:v>正常</x:v>
      </x:c>
      <x:c r="L130" s="62" t="n">
        <x:v>5</x:v>
      </x:c>
      <x:c r="M130" s="62" t="n">
        <x:v>48</x:v>
      </x:c>
      <x:c r="N130" s="63" t="n">
        <x:f>'Drivers'!C130</x:f>
        <x:v>2324</x:v>
      </x:c>
      <x:c r="O130" s="63" t="n">
        <x:f>'Drivers'!D130</x:f>
        <x:v>1106.314</x:v>
      </x:c>
      <x:c r="P130" s="64" t="n">
        <x:f>ROUND(N130*O130/1000,3)</x:f>
        <x:v>2571.074</x:v>
      </x:c>
      <x:c r="Q130" s="64" t="n">
        <x:f>ROUND(P130*'Drivers'!E130,3)</x:f>
        <x:v>2520.043</x:v>
      </x:c>
      <x:c r="R130" s="64" t="n">
        <x:f>-ROUND(Q130*'Drivers'!F130,3)</x:f>
        <x:v>-438.717</x:v>
      </x:c>
      <x:c r="S130" s="65" t="n">
        <x:f>R130/Q130</x:f>
        <x:v>-0.1740910770173366</x:v>
      </x:c>
      <x:c r="T130" s="64" t="n">
        <x:f>-ROUND(Q130*'Drivers'!G130,3)</x:f>
        <x:v>-45.487</x:v>
      </x:c>
      <x:c r="U130" s="65" t="n">
        <x:f>T130/Q130</x:f>
        <x:v>-0.018050088827849364</x:v>
      </x:c>
      <x:c r="V130" s="64" t="n">
        <x:f>-ROUND(Q130*'Drivers'!H130,3)</x:f>
        <x:v>-23.448</x:v>
      </x:c>
      <x:c r="W130" s="64" t="n">
        <x:f>-ROUND(Q130*'Drivers'!I130,3)</x:f>
        <x:v>-21.363</x:v>
      </x:c>
      <x:c r="X130" s="64" t="n">
        <x:f>-ROUND(Q130*'Drivers'!J130,3)</x:f>
        <x:v>-33.867</x:v>
      </x:c>
      <x:c r="Y130" s="64" t="n">
        <x:f>-ROUND(Q130*'Drivers'!K130,3)</x:f>
        <x:v>-33.306</x:v>
      </x:c>
      <x:c r="Z130" s="64" t="n">
        <x:f>-ROUND(Q130*'Drivers'!L130,3)</x:f>
        <x:v>-33.622</x:v>
      </x:c>
      <x:c r="AA130" s="64" t="n">
        <x:f>-ROUND(Q130*'Drivers'!M130,3)</x:f>
        <x:v>-21.552</x:v>
      </x:c>
      <x:c r="AB130" s="64" t="n">
        <x:f>-ROUND(Q130*'Drivers'!N130,3)</x:f>
        <x:v>-13.797</x:v>
      </x:c>
      <x:c r="AC130" s="64" t="n">
        <x:f>SUM(V130:AB130)</x:f>
        <x:v>-180.95499999999998</x:v>
      </x:c>
      <x:c r="AD130" s="65" t="n">
        <x:f>AC130/Q130</x:f>
        <x:v>-0.07180631441606353</x:v>
      </x:c>
      <x:c r="AE130" s="64" t="n">
        <x:f>-ROUND(Q130*'Drivers'!O130,3)</x:f>
        <x:v>-30.36</x:v>
      </x:c>
      <x:c r="AF130" s="65" t="n">
        <x:f>AE130/Q130</x:f>
        <x:v>-0.012047413476674802</x:v>
      </x:c>
      <x:c r="AG130" s="64" t="n">
        <x:f>-ROUND(Q130*'Drivers'!P130,3)</x:f>
        <x:v>-1.599</x:v>
      </x:c>
      <x:c r="AH130" s="64" t="n">
        <x:f>-ROUND(Q130*'Drivers'!Q130,3)</x:f>
        <x:v>-11.065</x:v>
      </x:c>
      <x:c r="AI130" s="64" t="n">
        <x:f>SUM(R130,T130,AC130,AE130,AG130,AH130)</x:f>
        <x:v>-708.1830000000001</x:v>
      </x:c>
      <x:c r="AJ130" s="65" t="n">
        <x:f>AI130/Q130</x:f>
        <x:v>-0.2810202048139655</x:v>
      </x:c>
      <x:c r="AK130" s="64" t="n">
        <x:f>Q130+AI130</x:f>
        <x:v>1811.8600000000001</x:v>
      </x:c>
      <x:c r="AL130" s="65" t="n">
        <x:f>AK130/Q130</x:f>
        <x:v>0.7189797951860345</x:v>
      </x:c>
      <x:c r="AM130" s="64" t="n">
        <x:f>AK130/L130</x:f>
        <x:v>362.372</x:v>
      </x:c>
      <x:c r="AN130" s="66" t="str">
        <x:f>IF(AM130&lt;=200,"≤200K",IF(AM130&lt;=350,"200–350K",IF(AM130&lt;=500,"350–500K",IF(AM130&lt;=700,"500–700K","&gt;700K"))))</x:f>
        <x:v>350–500K</x:v>
      </x:c>
      <x:c r="AO130" s="64" t="n">
        <x:f>-ROUND(Q130*'Drivers'!R130,3)</x:f>
        <x:v>-957.984</x:v>
      </x:c>
      <x:c r="AP130" s="64" t="n">
        <x:f>-ROUND(AK130*'Drivers'!S130,3)</x:f>
        <x:v>-22.198</x:v>
      </x:c>
      <x:c r="AQ130" s="64" t="n">
        <x:f>-ROUND(AK130*'Drivers'!T130,3)</x:f>
        <x:v>-8.629</x:v>
      </x:c>
      <x:c r="AR130" s="64" t="n">
        <x:f>-ROUND(AK130*'Drivers'!U130,3)</x:f>
        <x:v>-22.21</x:v>
      </x:c>
      <x:c r="AS130" s="64" t="n">
        <x:f>-ROUND(AK130*'Drivers'!V130,3)</x:f>
        <x:v>-69.32</x:v>
      </x:c>
      <x:c r="AT130" s="64" t="n">
        <x:f>SUM(AO130:AS130)</x:f>
        <x:v>-1080.3410000000001</x:v>
      </x:c>
      <x:c r="AU130" s="65" t="n">
        <x:f>AT130/AK130</x:f>
        <x:v>-0.5962607486229621</x:v>
      </x:c>
      <x:c r="AV130" s="64" t="n">
        <x:f>AK130+AT130</x:f>
        <x:v>731.519</x:v>
      </x:c>
      <x:c r="AW130" s="65" t="n">
        <x:f>AV130/AK130</x:f>
        <x:v>0.4037392513770379</x:v>
      </x:c>
      <x:c r="AX130" s="64" t="n">
        <x:f>-ROUND(AK130*'Drivers'!W130,3)</x:f>
        <x:v>-28.183</x:v>
      </x:c>
      <x:c r="AY130" s="64" t="n">
        <x:f>-ROUND(AK130*'Drivers'!X130,3)</x:f>
        <x:v>-49.481</x:v>
      </x:c>
      <x:c r="AZ130" s="64" t="n">
        <x:f>-ROUND(AK130*'Drivers'!Y130,3)</x:f>
        <x:v>-43.34</x:v>
      </x:c>
      <x:c r="BA130" s="64" t="n">
        <x:f>-ROUND(AK130*'Drivers'!Z130,3)</x:f>
        <x:v>-17.273</x:v>
      </x:c>
      <x:c r="BB130" s="64" t="n">
        <x:f>-ROUND(AK130*'Drivers'!AA130,3)</x:f>
        <x:v>-19.977</x:v>
      </x:c>
      <x:c r="BC130" s="64" t="n">
        <x:f>SUM(BA130,BB130)</x:f>
        <x:v>-37.25</x:v>
      </x:c>
      <x:c r="BD130" s="64" t="n">
        <x:f>-ROUND(AK130*'Drivers'!AB130,3)</x:f>
        <x:v>-11.532</x:v>
      </x:c>
      <x:c r="BE130" s="64" t="n">
        <x:f>SUM(AX130:BB130,BD130)</x:f>
        <x:v>-169.78600000000003</x:v>
      </x:c>
      <x:c r="BF130" s="67" t="n">
        <x:f>'Drivers'!AF130</x:f>
        <x:v>10</x:v>
      </x:c>
      <x:c r="BG130" s="64" t="n">
        <x:f>BJ130</x:f>
        <x:v>-49.165</x:v>
      </x:c>
      <x:c r="BH130" s="64" t="n">
        <x:f>BE130/BF130</x:f>
        <x:v>-16.978600000000004</x:v>
      </x:c>
      <x:c r="BI130" s="68" t="n">
        <x:f>BF130/L130</x:f>
        <x:v>2</x:v>
      </x:c>
      <x:c r="BJ130" s="64" t="n">
        <x:f>-ROUND(AK130*'Drivers'!AC130,3)</x:f>
        <x:v>-49.165</x:v>
      </x:c>
      <x:c r="BK130" s="64" t="n">
        <x:f>-ROUND(AK130*'Drivers'!AD130,3)</x:f>
        <x:v>-148.865</x:v>
      </x:c>
      <x:c r="BL130" s="64" t="n">
        <x:f>SUM(AV130,BE130,BJ130,BK130)</x:f>
        <x:v>363.703</x:v>
      </x:c>
      <x:c r="BM130" s="65" t="n">
        <x:f>BL130/AK130</x:f>
        <x:v>0.200734604218869</x:v>
      </x:c>
      <x:c r="BN130" s="64" t="n">
        <x:f>-ROUND(AK130*'Drivers'!AE130,3)</x:f>
        <x:v>-167.008</x:v>
      </x:c>
      <x:c r="BO130" s="64" t="n">
        <x:f>BL130+BN130</x:f>
        <x:v>196.69499999999996</x:v>
      </x:c>
      <x:c r="BP130" s="65" t="n">
        <x:f>BO130/AK130</x:f>
        <x:v>0.10855971211903787</x:v>
      </x:c>
    </x:row>
    <x:row r="131">
      <x:c r="A131" s="61" t="n">
        <x:v>2025</x:v>
      </x:c>
      <x:c r="B131" s="18" t="str">
        <x:v>S2</x:v>
      </x:c>
      <x:c r="C131" s="18" t="str">
        <x:v>2025 S2</x:v>
      </x:c>
      <x:c r="D131" s="18" t="str">
        <x:v>CNCT0033</x:v>
      </x:c>
      <x:c r="E131" s="18" t="str">
        <x:v>深圳卓悦中心</x:v>
      </x:c>
      <x:c r="F131" s="18" t="str">
        <x:v>深圳</x:v>
      </x:c>
      <x:c r="G131" s="18" t="str">
        <x:v>广东省</x:v>
      </x:c>
      <x:c r="H131" s="18" t="str">
        <x:v>南区</x:v>
      </x:c>
      <x:c r="I131" s="18" t="str">
        <x:v>Shopping Mall</x:v>
      </x:c>
      <x:c r="J131" s="18" t="str">
        <x:v>Core Shopping Center</x:v>
      </x:c>
      <x:c r="K131" s="18" t="str">
        <x:v>正常</x:v>
      </x:c>
      <x:c r="L131" s="62" t="n">
        <x:v>5</x:v>
      </x:c>
      <x:c r="M131" s="62" t="n">
        <x:v>48</x:v>
      </x:c>
      <x:c r="N131" s="63" t="n">
        <x:f>'Drivers'!C131</x:f>
        <x:v>2498</x:v>
      </x:c>
      <x:c r="O131" s="63" t="n">
        <x:f>'Drivers'!D131</x:f>
        <x:v>1119.59</x:v>
      </x:c>
      <x:c r="P131" s="64" t="n">
        <x:f>ROUND(N131*O131/1000,3)</x:f>
        <x:v>2796.736</x:v>
      </x:c>
      <x:c r="Q131" s="64" t="n">
        <x:f>ROUND(P131*'Drivers'!E131,3)</x:f>
        <x:v>2736.249</x:v>
      </x:c>
      <x:c r="R131" s="64" t="n">
        <x:f>-ROUND(Q131*'Drivers'!F131,3)</x:f>
        <x:v>-476.357</x:v>
      </x:c>
      <x:c r="S131" s="65" t="n">
        <x:f>R131/Q131</x:f>
        <x:v>-0.17409124681269872</x:v>
      </x:c>
      <x:c r="T131" s="64" t="n">
        <x:f>-ROUND(Q131*'Drivers'!G131,3)</x:f>
        <x:v>-49.389</x:v>
      </x:c>
      <x:c r="U131" s="65" t="n">
        <x:f>T131/Q131</x:f>
        <x:v>-0.018049892389179496</x:v>
      </x:c>
      <x:c r="V131" s="64" t="n">
        <x:f>-ROUND(Q131*'Drivers'!H131,3)</x:f>
        <x:v>-25.46</x:v>
      </x:c>
      <x:c r="W131" s="64" t="n">
        <x:f>-ROUND(Q131*'Drivers'!I131,3)</x:f>
        <x:v>-23.196</x:v>
      </x:c>
      <x:c r="X131" s="64" t="n">
        <x:f>-ROUND(Q131*'Drivers'!J131,3)</x:f>
        <x:v>-36.773</x:v>
      </x:c>
      <x:c r="Y131" s="64" t="n">
        <x:f>-ROUND(Q131*'Drivers'!K131,3)</x:f>
        <x:v>-36.163</x:v>
      </x:c>
      <x:c r="Z131" s="64" t="n">
        <x:f>-ROUND(Q131*'Drivers'!L131,3)</x:f>
        <x:v>-36.507</x:v>
      </x:c>
      <x:c r="AA131" s="64" t="n">
        <x:f>-ROUND(Q131*'Drivers'!M131,3)</x:f>
        <x:v>-23.401</x:v>
      </x:c>
      <x:c r="AB131" s="64" t="n">
        <x:f>-ROUND(Q131*'Drivers'!N131,3)</x:f>
        <x:v>-14.981</x:v>
      </x:c>
      <x:c r="AC131" s="64" t="n">
        <x:f>SUM(V131:AB131)</x:f>
        <x:v>-196.481</x:v>
      </x:c>
      <x:c r="AD131" s="65" t="n">
        <x:f>AC131/Q131</x:f>
        <x:v>-0.07180669595493686</x:v>
      </x:c>
      <x:c r="AE131" s="64" t="n">
        <x:f>-ROUND(Q131*'Drivers'!O131,3)</x:f>
        <x:v>-32.965</x:v>
      </x:c>
      <x:c r="AF131" s="65" t="n">
        <x:f>AE131/Q131</x:f>
        <x:v>-0.012047514681595135</x:v>
      </x:c>
      <x:c r="AG131" s="64" t="n">
        <x:f>-ROUND(Q131*'Drivers'!P131,3)</x:f>
        <x:v>-1.736</x:v>
      </x:c>
      <x:c r="AH131" s="64" t="n">
        <x:f>-ROUND(Q131*'Drivers'!Q131,3)</x:f>
        <x:v>-12.014</x:v>
      </x:c>
      <x:c r="AI131" s="64" t="n">
        <x:f>SUM(R131,T131,AC131,AE131,AG131,AH131)</x:f>
        <x:v>-768.942</x:v>
      </x:c>
      <x:c r="AJ131" s="65" t="n">
        <x:f>AI131/Q131</x:f>
        <x:v>-0.28102047730305246</x:v>
      </x:c>
      <x:c r="AK131" s="64" t="n">
        <x:f>Q131+AI131</x:f>
        <x:v>1967.3069999999998</x:v>
      </x:c>
      <x:c r="AL131" s="65" t="n">
        <x:f>AK131/Q131</x:f>
        <x:v>0.7189795226969475</x:v>
      </x:c>
      <x:c r="AM131" s="64" t="n">
        <x:f>AK131/L131</x:f>
        <x:v>393.46139999999997</x:v>
      </x:c>
      <x:c r="AN131" s="66" t="str">
        <x:f>IF(AM131&lt;=200,"≤200K",IF(AM131&lt;=350,"200–350K",IF(AM131&lt;=500,"350–500K",IF(AM131&lt;=700,"500–700K","&gt;700K"))))</x:f>
        <x:v>350–500K</x:v>
      </x:c>
      <x:c r="AO131" s="64" t="n">
        <x:f>-ROUND(Q131*'Drivers'!R131,3)</x:f>
        <x:v>-1024.266</x:v>
      </x:c>
      <x:c r="AP131" s="64" t="n">
        <x:f>-ROUND(AK131*'Drivers'!S131,3)</x:f>
        <x:v>-24.103</x:v>
      </x:c>
      <x:c r="AQ131" s="64" t="n">
        <x:f>-ROUND(AK131*'Drivers'!T131,3)</x:f>
        <x:v>-9.37</x:v>
      </x:c>
      <x:c r="AR131" s="64" t="n">
        <x:f>-ROUND(AK131*'Drivers'!U131,3)</x:f>
        <x:v>-24.116</x:v>
      </x:c>
      <x:c r="AS131" s="64" t="n">
        <x:f>-ROUND(AK131*'Drivers'!V131,3)</x:f>
        <x:v>-75.268</x:v>
      </x:c>
      <x:c r="AT131" s="64" t="n">
        <x:f>SUM(AO131:AS131)</x:f>
        <x:v>-1157.123</x:v>
      </x:c>
      <x:c r="AU131" s="65" t="n">
        <x:f>AT131/AK131</x:f>
        <x:v>-0.5881761209612939</x:v>
      </x:c>
      <x:c r="AV131" s="64" t="n">
        <x:f>AK131+AT131</x:f>
        <x:v>810.1839999999997</x:v>
      </x:c>
      <x:c r="AW131" s="65" t="n">
        <x:f>AV131/AK131</x:f>
        <x:v>0.4118238790387061</x:v>
      </x:c>
      <x:c r="AX131" s="64" t="n">
        <x:f>-ROUND(AK131*'Drivers'!W131,3)</x:f>
        <x:v>-30.601</x:v>
      </x:c>
      <x:c r="AY131" s="64" t="n">
        <x:f>-ROUND(AK131*'Drivers'!X131,3)</x:f>
        <x:v>-53.726</x:v>
      </x:c>
      <x:c r="AZ131" s="64" t="n">
        <x:f>-ROUND(AK131*'Drivers'!Y131,3)</x:f>
        <x:v>-47.059</x:v>
      </x:c>
      <x:c r="BA131" s="64" t="n">
        <x:f>-ROUND(AK131*'Drivers'!Z131,3)</x:f>
        <x:v>-18.755</x:v>
      </x:c>
      <x:c r="BB131" s="64" t="n">
        <x:f>-ROUND(AK131*'Drivers'!AA131,3)</x:f>
        <x:v>-21.691</x:v>
      </x:c>
      <x:c r="BC131" s="64" t="n">
        <x:f>SUM(BA131,BB131)</x:f>
        <x:v>-40.446</x:v>
      </x:c>
      <x:c r="BD131" s="64" t="n">
        <x:f>-ROUND(AK131*'Drivers'!AB131,3)</x:f>
        <x:v>-12.522</x:v>
      </x:c>
      <x:c r="BE131" s="64" t="n">
        <x:f>SUM(AX131:BB131,BD131)</x:f>
        <x:v>-184.35399999999998</x:v>
      </x:c>
      <x:c r="BF131" s="67" t="n">
        <x:f>'Drivers'!AF131</x:f>
        <x:v>10</x:v>
      </x:c>
      <x:c r="BG131" s="64" t="n">
        <x:f>BJ131</x:f>
        <x:v>-53.383</x:v>
      </x:c>
      <x:c r="BH131" s="64" t="n">
        <x:f>BE131/BF131</x:f>
        <x:v>-18.435399999999998</x:v>
      </x:c>
      <x:c r="BI131" s="68" t="n">
        <x:f>BF131/L131</x:f>
        <x:v>2</x:v>
      </x:c>
      <x:c r="BJ131" s="64" t="n">
        <x:f>-ROUND(AK131*'Drivers'!AC131,3)</x:f>
        <x:v>-53.383</x:v>
      </x:c>
      <x:c r="BK131" s="64" t="n">
        <x:f>-ROUND(AK131*'Drivers'!AD131,3)</x:f>
        <x:v>-161.637</x:v>
      </x:c>
      <x:c r="BL131" s="64" t="n">
        <x:f>SUM(AV131,BE131,BJ131,BK131)</x:f>
        <x:v>410.80999999999966</x:v>
      </x:c>
      <x:c r="BM131" s="65" t="n">
        <x:f>BL131/AK131</x:f>
        <x:v>0.20881845080610179</x:v>
      </x:c>
      <x:c r="BN131" s="64" t="n">
        <x:f>-ROUND(AK131*'Drivers'!AE131,3)</x:f>
        <x:v>-181.336</x:v>
      </x:c>
      <x:c r="BO131" s="64" t="n">
        <x:f>BL131+BN131</x:f>
        <x:v>229.47399999999965</x:v>
      </x:c>
      <x:c r="BP131" s="65" t="n">
        <x:f>BO131/AK131</x:f>
        <x:v>0.11664371651196263</x:v>
      </x:c>
    </x:row>
    <x:row r="132">
      <x:c r="A132" s="61" t="n">
        <x:v>2026</x:v>
      </x:c>
      <x:c r="B132" s="18" t="str">
        <x:v>S1</x:v>
      </x:c>
      <x:c r="C132" s="18" t="str">
        <x:v>2026 S1</x:v>
      </x:c>
      <x:c r="D132" s="18" t="str">
        <x:v>CNCT0033</x:v>
      </x:c>
      <x:c r="E132" s="18" t="str">
        <x:v>深圳卓悦中心</x:v>
      </x:c>
      <x:c r="F132" s="18" t="str">
        <x:v>深圳</x:v>
      </x:c>
      <x:c r="G132" s="18" t="str">
        <x:v>广东省</x:v>
      </x:c>
      <x:c r="H132" s="18" t="str">
        <x:v>南区</x:v>
      </x:c>
      <x:c r="I132" s="18" t="str">
        <x:v>Shopping Mall</x:v>
      </x:c>
      <x:c r="J132" s="18" t="str">
        <x:v>Core Shopping Center</x:v>
      </x:c>
      <x:c r="K132" s="18" t="str">
        <x:v>正常</x:v>
      </x:c>
      <x:c r="L132" s="62" t="n">
        <x:v>5</x:v>
      </x:c>
      <x:c r="M132" s="62" t="n">
        <x:v>48</x:v>
      </x:c>
      <x:c r="N132" s="63" t="n">
        <x:f>'Drivers'!C132</x:f>
        <x:v>2298</x:v>
      </x:c>
      <x:c r="O132" s="63" t="n">
        <x:f>'Drivers'!D132</x:f>
        <x:v>1161.213</x:v>
      </x:c>
      <x:c r="P132" s="64" t="n">
        <x:f>ROUND(N132*O132/1000,3)</x:f>
        <x:v>2668.467</x:v>
      </x:c>
      <x:c r="Q132" s="64" t="n">
        <x:f>ROUND(P132*'Drivers'!E132,3)</x:f>
        <x:v>2625.735</x:v>
      </x:c>
      <x:c r="R132" s="64" t="n">
        <x:f>-ROUND(Q132*'Drivers'!F132,3)</x:f>
        <x:v>-448.561</x:v>
      </x:c>
      <x:c r="S132" s="65" t="n">
        <x:f>R132/Q132</x:f>
        <x:v>-0.17083254783898602</x:v>
      </x:c>
      <x:c r="T132" s="64" t="n">
        <x:f>-ROUND(Q132*'Drivers'!G132,3)</x:f>
        <x:v>-47.602</x:v>
      </x:c>
      <x:c r="U132" s="65" t="n">
        <x:f>T132/Q132</x:f>
        <x:v>-0.018129019112743668</x:v>
      </x:c>
      <x:c r="V132" s="64" t="n">
        <x:f>-ROUND(Q132*'Drivers'!H132,3)</x:f>
        <x:v>-24.432</x:v>
      </x:c>
      <x:c r="W132" s="64" t="n">
        <x:f>-ROUND(Q132*'Drivers'!I132,3)</x:f>
        <x:v>-22.259</x:v>
      </x:c>
      <x:c r="X132" s="64" t="n">
        <x:f>-ROUND(Q132*'Drivers'!J132,3)</x:f>
        <x:v>-35.287</x:v>
      </x:c>
      <x:c r="Y132" s="64" t="n">
        <x:f>-ROUND(Q132*'Drivers'!K132,3)</x:f>
        <x:v>-34.703</x:v>
      </x:c>
      <x:c r="Z132" s="64" t="n">
        <x:f>-ROUND(Q132*'Drivers'!L132,3)</x:f>
        <x:v>-35.033</x:v>
      </x:c>
      <x:c r="AA132" s="64" t="n">
        <x:f>-ROUND(Q132*'Drivers'!M132,3)</x:f>
        <x:v>-22.456</x:v>
      </x:c>
      <x:c r="AB132" s="64" t="n">
        <x:f>-ROUND(Q132*'Drivers'!N132,3)</x:f>
        <x:v>-14.376</x:v>
      </x:c>
      <x:c r="AC132" s="64" t="n">
        <x:f>SUM(V132:AB132)</x:f>
        <x:v>-188.546</x:v>
      </x:c>
      <x:c r="AD132" s="65" t="n">
        <x:f>AC132/Q132</x:f>
        <x:v>-0.0718069416753785</x:v>
      </x:c>
      <x:c r="AE132" s="64" t="n">
        <x:f>-ROUND(Q132*'Drivers'!O132,3)</x:f>
        <x:v>-31.195</x:v>
      </x:c>
      <x:c r="AF132" s="65" t="n">
        <x:f>AE132/Q132</x:f>
        <x:v>-0.011880482988572723</x:v>
      </x:c>
      <x:c r="AG132" s="64" t="n">
        <x:f>-ROUND(Q132*'Drivers'!P132,3)</x:f>
        <x:v>-1.666</x:v>
      </x:c>
      <x:c r="AH132" s="64" t="n">
        <x:f>-ROUND(Q132*'Drivers'!Q132,3)</x:f>
        <x:v>-11.529</x:v>
      </x:c>
      <x:c r="AI132" s="64" t="n">
        <x:f>SUM(R132,T132,AC132,AE132,AG132,AH132)</x:f>
        <x:v>-729.099</x:v>
      </x:c>
      <x:c r="AJ132" s="65" t="n">
        <x:f>AI132/Q132</x:f>
        <x:v>-0.27767425120966127</x:v>
      </x:c>
      <x:c r="AK132" s="64" t="n">
        <x:f>Q132+AI132</x:f>
        <x:v>1896.636</x:v>
      </x:c>
      <x:c r="AL132" s="65" t="n">
        <x:f>AK132/Q132</x:f>
        <x:v>0.7223257487903386</x:v>
      </x:c>
      <x:c r="AM132" s="64" t="n">
        <x:f>AK132/L132</x:f>
        <x:v>379.3272</x:v>
      </x:c>
      <x:c r="AN132" s="66" t="str">
        <x:f>IF(AM132&lt;=200,"≤200K",IF(AM132&lt;=350,"200–350K",IF(AM132&lt;=500,"350–500K",IF(AM132&lt;=700,"500–700K","&gt;700K"))))</x:f>
        <x:v>350–500K</x:v>
      </x:c>
      <x:c r="AO132" s="64" t="n">
        <x:f>-ROUND(Q132*'Drivers'!R132,3)</x:f>
        <x:v>-1005.688</x:v>
      </x:c>
      <x:c r="AP132" s="64" t="n">
        <x:f>-ROUND(AK132*'Drivers'!S132,3)</x:f>
        <x:v>-23.237</x:v>
      </x:c>
      <x:c r="AQ132" s="64" t="n">
        <x:f>-ROUND(AK132*'Drivers'!T132,3)</x:f>
        <x:v>-9.033</x:v>
      </x:c>
      <x:c r="AR132" s="64" t="n">
        <x:f>-ROUND(AK132*'Drivers'!U132,3)</x:f>
        <x:v>-23.249</x:v>
      </x:c>
      <x:c r="AS132" s="64" t="n">
        <x:f>-ROUND(AK132*'Drivers'!V132,3)</x:f>
        <x:v>-72.564</x:v>
      </x:c>
      <x:c r="AT132" s="64" t="n">
        <x:f>SUM(AO132:AS132)</x:f>
        <x:v>-1133.771</x:v>
      </x:c>
      <x:c r="AU132" s="65" t="n">
        <x:f>AT132/AK132</x:f>
        <x:v>-0.5977799641048678</x:v>
      </x:c>
      <x:c r="AV132" s="64" t="n">
        <x:f>AK132+AT132</x:f>
        <x:v>762.865</x:v>
      </x:c>
      <x:c r="AW132" s="65" t="n">
        <x:f>AV132/AK132</x:f>
        <x:v>0.4022200358951322</x:v>
      </x:c>
      <x:c r="AX132" s="64" t="n">
        <x:f>-ROUND(AK132*'Drivers'!W132,3)</x:f>
        <x:v>-40.656</x:v>
      </x:c>
      <x:c r="AY132" s="64" t="n">
        <x:f>-ROUND(AK132*'Drivers'!X132,3)</x:f>
        <x:v>-71.38</x:v>
      </x:c>
      <x:c r="AZ132" s="64" t="n">
        <x:f>-ROUND(AK132*'Drivers'!Y132,3)</x:f>
        <x:v>-62.522</x:v>
      </x:c>
      <x:c r="BA132" s="64" t="n">
        <x:f>-ROUND(AK132*'Drivers'!Z132,3)</x:f>
        <x:v>-24.917</x:v>
      </x:c>
      <x:c r="BB132" s="64" t="n">
        <x:f>-ROUND(AK132*'Drivers'!AA132,3)</x:f>
        <x:v>-28.819</x:v>
      </x:c>
      <x:c r="BC132" s="64" t="n">
        <x:f>SUM(BA132,BB132)</x:f>
        <x:v>-53.736000000000004</x:v>
      </x:c>
      <x:c r="BD132" s="64" t="n">
        <x:f>-ROUND(AK132*'Drivers'!AB132,3)</x:f>
        <x:v>-16.636</x:v>
      </x:c>
      <x:c r="BE132" s="64" t="n">
        <x:f>SUM(AX132:BB132,BD132)</x:f>
        <x:v>-244.92999999999998</x:v>
      </x:c>
      <x:c r="BF132" s="67" t="n">
        <x:f>'Drivers'!AF132</x:f>
        <x:v>10</x:v>
      </x:c>
      <x:c r="BG132" s="64" t="n">
        <x:f>BJ132</x:f>
        <x:v>-70.924</x:v>
      </x:c>
      <x:c r="BH132" s="64" t="n">
        <x:f>BE132/BF132</x:f>
        <x:v>-24.493</x:v>
      </x:c>
      <x:c r="BI132" s="68" t="n">
        <x:f>BF132/L132</x:f>
        <x:v>2</x:v>
      </x:c>
      <x:c r="BJ132" s="64" t="n">
        <x:f>-ROUND(AK132*'Drivers'!AC132,3)</x:f>
        <x:v>-70.924</x:v>
      </x:c>
      <x:c r="BK132" s="64" t="n">
        <x:f>-ROUND(AK132*'Drivers'!AD132,3)</x:f>
        <x:v>-155.831</x:v>
      </x:c>
      <x:c r="BL132" s="64" t="n">
        <x:f>SUM(AV132,BE132,BJ132,BK132)</x:f>
        <x:v>291.18000000000006</x:v>
      </x:c>
      <x:c r="BM132" s="65" t="n">
        <x:f>BL132/AK132</x:f>
        <x:v>0.1535244506589562</x:v>
      </x:c>
      <x:c r="BN132" s="64" t="n">
        <x:f>-ROUND(AK132*'Drivers'!AE132,3)</x:f>
        <x:v>-174.822</x:v>
      </x:c>
      <x:c r="BO132" s="64" t="n">
        <x:f>BL132+BN132</x:f>
        <x:v>116.35800000000006</x:v>
      </x:c>
      <x:c r="BP132" s="65" t="n">
        <x:f>BO132/AK132</x:f>
        <x:v>0.06134967384358415</x:v>
      </x:c>
    </x:row>
    <x:row r="133">
      <x:c r="A133" s="61" t="n">
        <x:v>2026</x:v>
      </x:c>
      <x:c r="B133" s="18" t="str">
        <x:v>S2</x:v>
      </x:c>
      <x:c r="C133" s="18" t="str">
        <x:v>2026 S2</x:v>
      </x:c>
      <x:c r="D133" s="18" t="str">
        <x:v>CNCT0033</x:v>
      </x:c>
      <x:c r="E133" s="18" t="str">
        <x:v>深圳卓悦中心</x:v>
      </x:c>
      <x:c r="F133" s="18" t="str">
        <x:v>深圳</x:v>
      </x:c>
      <x:c r="G133" s="18" t="str">
        <x:v>广东省</x:v>
      </x:c>
      <x:c r="H133" s="18" t="str">
        <x:v>南区</x:v>
      </x:c>
      <x:c r="I133" s="18" t="str">
        <x:v>Shopping Mall</x:v>
      </x:c>
      <x:c r="J133" s="18" t="str">
        <x:v>Core Shopping Center</x:v>
      </x:c>
      <x:c r="K133" s="18" t="str">
        <x:v>正常</x:v>
      </x:c>
      <x:c r="L133" s="62" t="n">
        <x:v>5</x:v>
      </x:c>
      <x:c r="M133" s="62" t="n">
        <x:v>48</x:v>
      </x:c>
      <x:c r="N133" s="63" t="n">
        <x:f>'Drivers'!C133</x:f>
        <x:v>2521</x:v>
      </x:c>
      <x:c r="O133" s="63" t="n">
        <x:f>'Drivers'!D133</x:f>
        <x:v>1164.126</x:v>
      </x:c>
      <x:c r="P133" s="64" t="n">
        <x:f>ROUND(N133*O133/1000,3)</x:f>
        <x:v>2934.762</x:v>
      </x:c>
      <x:c r="Q133" s="64" t="n">
        <x:f>ROUND(P133*'Drivers'!E133,3)</x:f>
        <x:v>2871.29</x:v>
      </x:c>
      <x:c r="R133" s="64" t="n">
        <x:f>-ROUND(Q133*'Drivers'!F133,3)</x:f>
        <x:v>-518.203</x:v>
      </x:c>
      <x:c r="S133" s="65" t="n">
        <x:f>R133/Q133</x:f>
        <x:v>-0.18047741607430806</x:v>
      </x:c>
      <x:c r="T133" s="64" t="n">
        <x:f>-ROUND(Q133*'Drivers'!G133,3)</x:f>
        <x:v>-53.448</x:v>
      </x:c>
      <x:c r="U133" s="65" t="n">
        <x:f>T133/Q133</x:f>
        <x:v>-0.01861462966123241</x:v>
      </x:c>
      <x:c r="V133" s="64" t="n">
        <x:f>-ROUND(Q133*'Drivers'!H133,3)</x:f>
        <x:v>-26.716</x:v>
      </x:c>
      <x:c r="W133" s="64" t="n">
        <x:f>-ROUND(Q133*'Drivers'!I133,3)</x:f>
        <x:v>-24.341</x:v>
      </x:c>
      <x:c r="X133" s="64" t="n">
        <x:f>-ROUND(Q133*'Drivers'!J133,3)</x:f>
        <x:v>-38.587</x:v>
      </x:c>
      <x:c r="Y133" s="64" t="n">
        <x:f>-ROUND(Q133*'Drivers'!K133,3)</x:f>
        <x:v>-37.948</x:v>
      </x:c>
      <x:c r="Z133" s="64" t="n">
        <x:f>-ROUND(Q133*'Drivers'!L133,3)</x:f>
        <x:v>-38.309</x:v>
      </x:c>
      <x:c r="AA133" s="64" t="n">
        <x:f>-ROUND(Q133*'Drivers'!M133,3)</x:f>
        <x:v>-24.556</x:v>
      </x:c>
      <x:c r="AB133" s="64" t="n">
        <x:f>-ROUND(Q133*'Drivers'!N133,3)</x:f>
        <x:v>-15.72</x:v>
      </x:c>
      <x:c r="AC133" s="64" t="n">
        <x:f>SUM(V133:AB133)</x:f>
        <x:v>-206.17700000000002</x:v>
      </x:c>
      <x:c r="AD133" s="65" t="n">
        <x:f>AC133/Q133</x:f>
        <x:v>-0.0718064006073925</x:v>
      </x:c>
      <x:c r="AE133" s="64" t="n">
        <x:f>-ROUND(Q133*'Drivers'!O133,3)</x:f>
        <x:v>-34.592</x:v>
      </x:c>
      <x:c r="AF133" s="65" t="n">
        <x:f>AE133/Q133</x:f>
        <x:v>-0.012047546573143083</x:v>
      </x:c>
      <x:c r="AG133" s="64" t="n">
        <x:f>-ROUND(Q133*'Drivers'!P133,3)</x:f>
        <x:v>-1.822</x:v>
      </x:c>
      <x:c r="AH133" s="64" t="n">
        <x:f>-ROUND(Q133*'Drivers'!Q133,3)</x:f>
        <x:v>-12.607</x:v>
      </x:c>
      <x:c r="AI133" s="64" t="n">
        <x:f>SUM(R133,T133,AC133,AE133,AG133,AH133)</x:f>
        <x:v>-826.8489999999999</x:v>
      </x:c>
      <x:c r="AJ133" s="65" t="n">
        <x:f>AI133/Q133</x:f>
        <x:v>-0.28797126030460174</x:v>
      </x:c>
      <x:c r="AK133" s="64" t="n">
        <x:f>Q133+AI133</x:f>
        <x:v>2044.441</x:v>
      </x:c>
      <x:c r="AL133" s="65" t="n">
        <x:f>AK133/Q133</x:f>
        <x:v>0.7120287396953983</x:v>
      </x:c>
      <x:c r="AM133" s="64" t="n">
        <x:f>AK133/L133</x:f>
        <x:v>408.8882</x:v>
      </x:c>
      <x:c r="AN133" s="66" t="str">
        <x:f>IF(AM133&lt;=200,"≤200K",IF(AM133&lt;=350,"200–350K",IF(AM133&lt;=500,"350–500K",IF(AM133&lt;=700,"500–700K","&gt;700K"))))</x:f>
        <x:v>350–500K</x:v>
      </x:c>
      <x:c r="AO133" s="64" t="n">
        <x:f>-ROUND(Q133*'Drivers'!R133,3)</x:f>
        <x:v>-1047.941</x:v>
      </x:c>
      <x:c r="AP133" s="64" t="n">
        <x:f>-ROUND(AK133*'Drivers'!S133,3)</x:f>
        <x:v>-25.048</x:v>
      </x:c>
      <x:c r="AQ133" s="64" t="n">
        <x:f>-ROUND(AK133*'Drivers'!T133,3)</x:f>
        <x:v>-9.737</x:v>
      </x:c>
      <x:c r="AR133" s="64" t="n">
        <x:f>-ROUND(AK133*'Drivers'!U133,3)</x:f>
        <x:v>-25.061</x:v>
      </x:c>
      <x:c r="AS133" s="64" t="n">
        <x:f>-ROUND(AK133*'Drivers'!V133,3)</x:f>
        <x:v>-78.219</x:v>
      </x:c>
      <x:c r="AT133" s="64" t="n">
        <x:f>SUM(AO133:AS133)</x:f>
        <x:v>-1186.006</x:v>
      </x:c>
      <x:c r="AU133" s="65" t="n">
        <x:f>AT133/AK133</x:f>
        <x:v>-0.5801126077984153</x:v>
      </x:c>
      <x:c r="AV133" s="64" t="n">
        <x:f>AK133+AT133</x:f>
        <x:v>858.435</x:v>
      </x:c>
      <x:c r="AW133" s="65" t="n">
        <x:f>AV133/AK133</x:f>
        <x:v>0.41988739220158466</x:v>
      </x:c>
      <x:c r="AX133" s="64" t="n">
        <x:f>-ROUND(AK133*'Drivers'!W133,3)</x:f>
        <x:v>-39.776</x:v>
      </x:c>
      <x:c r="AY133" s="64" t="n">
        <x:f>-ROUND(AK133*'Drivers'!X133,3)</x:f>
        <x:v>-69.835</x:v>
      </x:c>
      <x:c r="AZ133" s="64" t="n">
        <x:f>-ROUND(AK133*'Drivers'!Y133,3)</x:f>
        <x:v>-61.169</x:v>
      </x:c>
      <x:c r="BA133" s="64" t="n">
        <x:f>-ROUND(AK133*'Drivers'!Z133,3)</x:f>
        <x:v>-24.378</x:v>
      </x:c>
      <x:c r="BB133" s="64" t="n">
        <x:f>-ROUND(AK133*'Drivers'!AA133,3)</x:f>
        <x:v>-28.195</x:v>
      </x:c>
      <x:c r="BC133" s="64" t="n">
        <x:f>SUM(BA133,BB133)</x:f>
        <x:v>-52.573</x:v>
      </x:c>
      <x:c r="BD133" s="64" t="n">
        <x:f>-ROUND(AK133*'Drivers'!AB133,3)</x:f>
        <x:v>-16.276</x:v>
      </x:c>
      <x:c r="BE133" s="64" t="n">
        <x:f>SUM(AX133:BB133,BD133)</x:f>
        <x:v>-239.62899999999996</x:v>
      </x:c>
      <x:c r="BF133" s="67" t="n">
        <x:f>'Drivers'!AF133</x:f>
        <x:v>10</x:v>
      </x:c>
      <x:c r="BG133" s="64" t="n">
        <x:f>BJ133</x:f>
        <x:v>-69.389</x:v>
      </x:c>
      <x:c r="BH133" s="64" t="n">
        <x:f>BE133/BF133</x:f>
        <x:v>-23.962899999999998</x:v>
      </x:c>
      <x:c r="BI133" s="68" t="n">
        <x:f>BF133/L133</x:f>
        <x:v>2</x:v>
      </x:c>
      <x:c r="BJ133" s="64" t="n">
        <x:f>-ROUND(AK133*'Drivers'!AC133,3)</x:f>
        <x:v>-69.389</x:v>
      </x:c>
      <x:c r="BK133" s="64" t="n">
        <x:f>-ROUND(AK133*'Drivers'!AD133,3)</x:f>
        <x:v>-167.975</x:v>
      </x:c>
      <x:c r="BL133" s="64" t="n">
        <x:f>SUM(AV133,BE133,BJ133,BK133)</x:f>
        <x:v>381.442</x:v>
      </x:c>
      <x:c r="BM133" s="65" t="n">
        <x:f>BL133/AK133</x:f>
        <x:v>0.1865752056430095</x:v>
      </x:c>
      <x:c r="BN133" s="64" t="n">
        <x:f>-ROUND(AK133*'Drivers'!AE133,3)</x:f>
        <x:v>-188.446</x:v>
      </x:c>
      <x:c r="BO133" s="64" t="n">
        <x:f>BL133+BN133</x:f>
        <x:v>192.996</x:v>
      </x:c>
      <x:c r="BP133" s="65" t="n">
        <x:f>BO133/AK133</x:f>
        <x:v>0.09440037643541682</x:v>
      </x:c>
    </x:row>
    <x:row r="134">
      <x:c r="A134" s="61" t="n">
        <x:v>2025</x:v>
      </x:c>
      <x:c r="B134" s="18" t="str">
        <x:v>S1</x:v>
      </x:c>
      <x:c r="C134" s="18" t="str">
        <x:v>2025 S1</x:v>
      </x:c>
      <x:c r="D134" s="18" t="str">
        <x:v>CNCT0034</x:v>
      </x:c>
      <x:c r="E134" s="18" t="str">
        <x:v>深圳KK MALL</x:v>
      </x:c>
      <x:c r="F134" s="18" t="str">
        <x:v>深圳</x:v>
      </x:c>
      <x:c r="G134" s="18" t="str">
        <x:v>广东省</x:v>
      </x:c>
      <x:c r="H134" s="18" t="str">
        <x:v>南区</x:v>
      </x:c>
      <x:c r="I134" s="18" t="str">
        <x:v>Shopping Mall</x:v>
      </x:c>
      <x:c r="J134" s="18" t="str">
        <x:v>Regional Mall</x:v>
      </x:c>
      <x:c r="K134" s="18" t="str">
        <x:v>正常</x:v>
      </x:c>
      <x:c r="L134" s="62" t="n">
        <x:v>5</x:v>
      </x:c>
      <x:c r="M134" s="62" t="n">
        <x:v>48</x:v>
      </x:c>
      <x:c r="N134" s="63" t="n">
        <x:f>'Drivers'!C134</x:f>
        <x:v>1955</x:v>
      </x:c>
      <x:c r="O134" s="63" t="n">
        <x:f>'Drivers'!D134</x:f>
        <x:v>968.753</x:v>
      </x:c>
      <x:c r="P134" s="64" t="n">
        <x:f>ROUND(N134*O134/1000,3)</x:f>
        <x:v>1893.912</x:v>
      </x:c>
      <x:c r="Q134" s="64" t="n">
        <x:f>ROUND(P134*'Drivers'!E134,3)</x:f>
        <x:v>1833.991</x:v>
      </x:c>
      <x:c r="R134" s="64" t="n">
        <x:f>-ROUND(Q134*'Drivers'!F134,3)</x:f>
        <x:v>-392.257</x:v>
      </x:c>
      <x:c r="S134" s="65" t="n">
        <x:f>R134/Q134</x:f>
        <x:v>-0.2138816384595126</x:v>
      </x:c>
      <x:c r="T134" s="64" t="n">
        <x:f>-ROUND(Q134*'Drivers'!G134,3)</x:f>
        <x:v>-24.888</x:v>
      </x:c>
      <x:c r="U134" s="65" t="n">
        <x:f>T134/Q134</x:f>
        <x:v>-0.013570404653021744</x:v>
      </x:c>
      <x:c r="V134" s="64" t="n">
        <x:f>-ROUND(Q134*'Drivers'!H134,3)</x:f>
        <x:v>-22.314</x:v>
      </x:c>
      <x:c r="W134" s="64" t="n">
        <x:f>-ROUND(Q134*'Drivers'!I134,3)</x:f>
        <x:v>-14.379</x:v>
      </x:c>
      <x:c r="X134" s="64" t="n">
        <x:f>-ROUND(Q134*'Drivers'!J134,3)</x:f>
        <x:v>-26.096</x:v>
      </x:c>
      <x:c r="Y134" s="64" t="n">
        <x:f>-ROUND(Q134*'Drivers'!K134,3)</x:f>
        <x:v>-16.221</x:v>
      </x:c>
      <x:c r="Z134" s="64" t="n">
        <x:f>-ROUND(Q134*'Drivers'!L134,3)</x:f>
        <x:v>-21.167</x:v>
      </x:c>
      <x:c r="AA134" s="64" t="n">
        <x:f>-ROUND(Q134*'Drivers'!M134,3)</x:f>
        <x:v>-18.982</x:v>
      </x:c>
      <x:c r="AB134" s="64" t="n">
        <x:f>-ROUND(Q134*'Drivers'!N134,3)</x:f>
        <x:v>-11.348</x:v>
      </x:c>
      <x:c r="AC134" s="64" t="n">
        <x:f>SUM(V134:AB134)</x:f>
        <x:v>-130.507</x:v>
      </x:c>
      <x:c r="AD134" s="65" t="n">
        <x:f>AC134/Q134</x:f>
        <x:v>-0.07116010929170317</x:v>
      </x:c>
      <x:c r="AE134" s="64" t="n">
        <x:f>-ROUND(Q134*'Drivers'!O134,3)</x:f>
        <x:v>-25.214</x:v>
      </x:c>
      <x:c r="AF134" s="65" t="n">
        <x:f>AE134/Q134</x:f>
        <x:v>-0.013748159069482893</x:v>
      </x:c>
      <x:c r="AG134" s="64" t="n">
        <x:f>-ROUND(Q134*'Drivers'!P134,3)</x:f>
        <x:v>-1.678</x:v>
      </x:c>
      <x:c r="AH134" s="64" t="n">
        <x:f>-ROUND(Q134*'Drivers'!Q134,3)</x:f>
        <x:v>-3.264</x:v>
      </x:c>
      <x:c r="AI134" s="64" t="n">
        <x:f>SUM(R134,T134,AC134,AE134,AG134,AH134)</x:f>
        <x:v>-577.808</x:v>
      </x:c>
      <x:c r="AJ134" s="65" t="n">
        <x:f>AI134/Q134</x:f>
        <x:v>-0.3150549811858401</x:v>
      </x:c>
      <x:c r="AK134" s="64" t="n">
        <x:f>Q134+AI134</x:f>
        <x:v>1256.183</x:v>
      </x:c>
      <x:c r="AL134" s="65" t="n">
        <x:f>AK134/Q134</x:f>
        <x:v>0.6849450188141599</x:v>
      </x:c>
      <x:c r="AM134" s="64" t="n">
        <x:f>AK134/L134</x:f>
        <x:v>251.2366</x:v>
      </x:c>
      <x:c r="AN134" s="66" t="str">
        <x:f>IF(AM134&lt;=200,"≤200K",IF(AM134&lt;=350,"200–350K",IF(AM134&lt;=500,"350–500K",IF(AM134&lt;=700,"500–700K","&gt;700K"))))</x:f>
        <x:v>200–350K</x:v>
      </x:c>
      <x:c r="AO134" s="64" t="n">
        <x:f>-ROUND(Q134*'Drivers'!R134,3)</x:f>
        <x:v>-661.29</x:v>
      </x:c>
      <x:c r="AP134" s="64" t="n">
        <x:f>-ROUND(AK134*'Drivers'!S134,3)</x:f>
        <x:v>-19.921</x:v>
      </x:c>
      <x:c r="AQ134" s="64" t="n">
        <x:f>-ROUND(AK134*'Drivers'!T134,3)</x:f>
        <x:v>-6.838</x:v>
      </x:c>
      <x:c r="AR134" s="64" t="n">
        <x:f>-ROUND(AK134*'Drivers'!U134,3)</x:f>
        <x:v>-6.545</x:v>
      </x:c>
      <x:c r="AS134" s="64" t="n">
        <x:f>-ROUND(AK134*'Drivers'!V134,3)</x:f>
        <x:v>-38.625</x:v>
      </x:c>
      <x:c r="AT134" s="64" t="n">
        <x:f>SUM(AO134:AS134)</x:f>
        <x:v>-733.2189999999999</x:v>
      </x:c>
      <x:c r="AU134" s="65" t="n">
        <x:f>AT134/AK134</x:f>
        <x:v>-0.5836880454519763</x:v>
      </x:c>
      <x:c r="AV134" s="64" t="n">
        <x:f>AK134+AT134</x:f>
        <x:v>522.964</x:v>
      </x:c>
      <x:c r="AW134" s="65" t="n">
        <x:f>AV134/AK134</x:f>
        <x:v>0.4163119545480237</x:v>
      </x:c>
      <x:c r="AX134" s="64" t="n">
        <x:f>-ROUND(AK134*'Drivers'!W134,3)</x:f>
        <x:v>-15.641</x:v>
      </x:c>
      <x:c r="AY134" s="64" t="n">
        <x:f>-ROUND(AK134*'Drivers'!X134,3)</x:f>
        <x:v>-26.878</x:v>
      </x:c>
      <x:c r="AZ134" s="64" t="n">
        <x:f>-ROUND(AK134*'Drivers'!Y134,3)</x:f>
        <x:v>-23.845</x:v>
      </x:c>
      <x:c r="BA134" s="64" t="n">
        <x:f>-ROUND(AK134*'Drivers'!Z134,3)</x:f>
        <x:v>-8.241</x:v>
      </x:c>
      <x:c r="BB134" s="64" t="n">
        <x:f>-ROUND(AK134*'Drivers'!AA134,3)</x:f>
        <x:v>-11.111</x:v>
      </x:c>
      <x:c r="BC134" s="64" t="n">
        <x:f>SUM(BA134,BB134)</x:f>
        <x:v>-19.352</x:v>
      </x:c>
      <x:c r="BD134" s="64" t="n">
        <x:f>-ROUND(AK134*'Drivers'!AB134,3)</x:f>
        <x:v>-8.118</x:v>
      </x:c>
      <x:c r="BE134" s="64" t="n">
        <x:f>SUM(AX134:BB134,BD134)</x:f>
        <x:v>-93.834</x:v>
      </x:c>
      <x:c r="BF134" s="67" t="n">
        <x:f>'Drivers'!AF134</x:f>
        <x:v>8</x:v>
      </x:c>
      <x:c r="BG134" s="64" t="n">
        <x:f>BJ134</x:f>
        <x:v>-31.346</x:v>
      </x:c>
      <x:c r="BH134" s="64" t="n">
        <x:f>BE134/BF134</x:f>
        <x:v>-11.72925</x:v>
      </x:c>
      <x:c r="BI134" s="68" t="n">
        <x:f>BF134/L134</x:f>
        <x:v>1.6</x:v>
      </x:c>
      <x:c r="BJ134" s="64" t="n">
        <x:f>-ROUND(AK134*'Drivers'!AC134,3)</x:f>
        <x:v>-31.346</x:v>
      </x:c>
      <x:c r="BK134" s="64" t="n">
        <x:f>-ROUND(AK134*'Drivers'!AD134,3)</x:f>
        <x:v>-115.736</x:v>
      </x:c>
      <x:c r="BL134" s="64" t="n">
        <x:f>SUM(AV134,BE134,BJ134,BK134)</x:f>
        <x:v>282.04800000000006</x:v>
      </x:c>
      <x:c r="BM134" s="65" t="n">
        <x:f>BL134/AK134</x:f>
        <x:v>0.2245277957112937</x:v>
      </x:c>
      <x:c r="BN134" s="64" t="n">
        <x:f>-ROUND(AK134*'Drivers'!AE134,3)</x:f>
        <x:v>-76.255</x:v>
      </x:c>
      <x:c r="BO134" s="64" t="n">
        <x:f>BL134+BN134</x:f>
        <x:v>205.79300000000006</x:v>
      </x:c>
      <x:c r="BP134" s="65" t="n">
        <x:f>BO134/AK134</x:f>
        <x:v>0.16382406066632016</x:v>
      </x:c>
    </x:row>
    <x:row r="135">
      <x:c r="A135" s="61" t="n">
        <x:v>2025</x:v>
      </x:c>
      <x:c r="B135" s="18" t="str">
        <x:v>S2</x:v>
      </x:c>
      <x:c r="C135" s="18" t="str">
        <x:v>2025 S2</x:v>
      </x:c>
      <x:c r="D135" s="18" t="str">
        <x:v>CNCT0034</x:v>
      </x:c>
      <x:c r="E135" s="18" t="str">
        <x:v>深圳KK MALL</x:v>
      </x:c>
      <x:c r="F135" s="18" t="str">
        <x:v>深圳</x:v>
      </x:c>
      <x:c r="G135" s="18" t="str">
        <x:v>广东省</x:v>
      </x:c>
      <x:c r="H135" s="18" t="str">
        <x:v>南区</x:v>
      </x:c>
      <x:c r="I135" s="18" t="str">
        <x:v>Shopping Mall</x:v>
      </x:c>
      <x:c r="J135" s="18" t="str">
        <x:v>Regional Mall</x:v>
      </x:c>
      <x:c r="K135" s="18" t="str">
        <x:v>正常</x:v>
      </x:c>
      <x:c r="L135" s="62" t="n">
        <x:v>5</x:v>
      </x:c>
      <x:c r="M135" s="62" t="n">
        <x:v>48</x:v>
      </x:c>
      <x:c r="N135" s="63" t="n">
        <x:f>'Drivers'!C135</x:f>
        <x:v>2060</x:v>
      </x:c>
      <x:c r="O135" s="63" t="n">
        <x:f>'Drivers'!D135</x:f>
        <x:v>980.378</x:v>
      </x:c>
      <x:c r="P135" s="64" t="n">
        <x:f>ROUND(N135*O135/1000,3)</x:f>
        <x:v>2019.579</x:v>
      </x:c>
      <x:c r="Q135" s="64" t="n">
        <x:f>ROUND(P135*'Drivers'!E135,3)</x:f>
        <x:v>1974.958</x:v>
      </x:c>
      <x:c r="R135" s="64" t="n">
        <x:f>-ROUND(Q135*'Drivers'!F135,3)</x:f>
        <x:v>-422.407</x:v>
      </x:c>
      <x:c r="S135" s="65" t="n">
        <x:f>R135/Q135</x:f>
        <x:v>-0.21388151039161338</x:v>
      </x:c>
      <x:c r="T135" s="64" t="n">
        <x:f>-ROUND(Q135*'Drivers'!G135,3)</x:f>
        <x:v>-26.801</x:v>
      </x:c>
      <x:c r="U135" s="65" t="n">
        <x:f>T135/Q135</x:f>
        <x:v>-0.013570415168322565</x:v>
      </x:c>
      <x:c r="V135" s="64" t="n">
        <x:f>-ROUND(Q135*'Drivers'!H135,3)</x:f>
        <x:v>-24.029</x:v>
      </x:c>
      <x:c r="W135" s="64" t="n">
        <x:f>-ROUND(Q135*'Drivers'!I135,3)</x:f>
        <x:v>-15.484</x:v>
      </x:c>
      <x:c r="X135" s="64" t="n">
        <x:f>-ROUND(Q135*'Drivers'!J135,3)</x:f>
        <x:v>-28.102</x:v>
      </x:c>
      <x:c r="Y135" s="64" t="n">
        <x:f>-ROUND(Q135*'Drivers'!K135,3)</x:f>
        <x:v>-17.468</x:v>
      </x:c>
      <x:c r="Z135" s="64" t="n">
        <x:f>-ROUND(Q135*'Drivers'!L135,3)</x:f>
        <x:v>-22.793</x:v>
      </x:c>
      <x:c r="AA135" s="64" t="n">
        <x:f>-ROUND(Q135*'Drivers'!M135,3)</x:f>
        <x:v>-20.441</x:v>
      </x:c>
      <x:c r="AB135" s="64" t="n">
        <x:f>-ROUND(Q135*'Drivers'!N135,3)</x:f>
        <x:v>-12.22</x:v>
      </x:c>
      <x:c r="AC135" s="64" t="n">
        <x:f>SUM(V135:AB135)</x:f>
        <x:v>-140.537</x:v>
      </x:c>
      <x:c r="AD135" s="65" t="n">
        <x:f>AC135/Q135</x:f>
        <x:v>-0.07115948794860448</x:v>
      </x:c>
      <x:c r="AE135" s="64" t="n">
        <x:f>-ROUND(Q135*'Drivers'!O135,3)</x:f>
        <x:v>-27.152</x:v>
      </x:c>
      <x:c r="AF135" s="65" t="n">
        <x:f>AE135/Q135</x:f>
        <x:v>-0.01374814046678461</x:v>
      </x:c>
      <x:c r="AG135" s="64" t="n">
        <x:f>-ROUND(Q135*'Drivers'!P135,3)</x:f>
        <x:v>-1.807</x:v>
      </x:c>
      <x:c r="AH135" s="64" t="n">
        <x:f>-ROUND(Q135*'Drivers'!Q135,3)</x:f>
        <x:v>-3.515</x:v>
      </x:c>
      <x:c r="AI135" s="64" t="n">
        <x:f>SUM(R135,T135,AC135,AE135,AG135,AH135)</x:f>
        <x:v>-622.219</x:v>
      </x:c>
      <x:c r="AJ135" s="65" t="n">
        <x:f>AI135/Q135</x:f>
        <x:v>-0.31505429482551023</x:v>
      </x:c>
      <x:c r="AK135" s="64" t="n">
        <x:f>Q135+AI135</x:f>
        <x:v>1352.739</x:v>
      </x:c>
      <x:c r="AL135" s="65" t="n">
        <x:f>AK135/Q135</x:f>
        <x:v>0.6849457051744898</x:v>
      </x:c>
      <x:c r="AM135" s="64" t="n">
        <x:f>AK135/L135</x:f>
        <x:v>270.5478</x:v>
      </x:c>
      <x:c r="AN135" s="66" t="str">
        <x:f>IF(AM135&lt;=200,"≤200K",IF(AM135&lt;=350,"200–350K",IF(AM135&lt;=500,"350–500K",IF(AM135&lt;=700,"500–700K","&gt;700K"))))</x:f>
        <x:v>200–350K</x:v>
      </x:c>
      <x:c r="AO135" s="64" t="n">
        <x:f>-ROUND(Q135*'Drivers'!R135,3)</x:f>
        <x:v>-735.711</x:v>
      </x:c>
      <x:c r="AP135" s="64" t="n">
        <x:f>-ROUND(AK135*'Drivers'!S135,3)</x:f>
        <x:v>-21.453</x:v>
      </x:c>
      <x:c r="AQ135" s="64" t="n">
        <x:f>-ROUND(AK135*'Drivers'!T135,3)</x:f>
        <x:v>-7.364</x:v>
      </x:c>
      <x:c r="AR135" s="64" t="n">
        <x:f>-ROUND(AK135*'Drivers'!U135,3)</x:f>
        <x:v>-7.048</x:v>
      </x:c>
      <x:c r="AS135" s="64" t="n">
        <x:f>-ROUND(AK135*'Drivers'!V135,3)</x:f>
        <x:v>-41.594</x:v>
      </x:c>
      <x:c r="AT135" s="64" t="n">
        <x:f>SUM(AO135:AS135)</x:f>
        <x:v>-813.1700000000001</x:v>
      </x:c>
      <x:c r="AU135" s="65" t="n">
        <x:f>AT135/AK135</x:f>
        <x:v>-0.6011285251626515</x:v>
      </x:c>
      <x:c r="AV135" s="64" t="n">
        <x:f>AK135+AT135</x:f>
        <x:v>539.569</x:v>
      </x:c>
      <x:c r="AW135" s="65" t="n">
        <x:f>AV135/AK135</x:f>
        <x:v>0.39887147483734847</x:v>
      </x:c>
      <x:c r="AX135" s="64" t="n">
        <x:f>-ROUND(AK135*'Drivers'!W135,3)</x:f>
        <x:v>-16.843</x:v>
      </x:c>
      <x:c r="AY135" s="64" t="n">
        <x:f>-ROUND(AK135*'Drivers'!X135,3)</x:f>
        <x:v>-28.944</x:v>
      </x:c>
      <x:c r="AZ135" s="64" t="n">
        <x:f>-ROUND(AK135*'Drivers'!Y135,3)</x:f>
        <x:v>-25.677</x:v>
      </x:c>
      <x:c r="BA135" s="64" t="n">
        <x:f>-ROUND(AK135*'Drivers'!Z135,3)</x:f>
        <x:v>-8.874</x:v>
      </x:c>
      <x:c r="BB135" s="64" t="n">
        <x:f>-ROUND(AK135*'Drivers'!AA135,3)</x:f>
        <x:v>-11.965</x:v>
      </x:c>
      <x:c r="BC135" s="64" t="n">
        <x:f>SUM(BA135,BB135)</x:f>
        <x:v>-20.839</x:v>
      </x:c>
      <x:c r="BD135" s="64" t="n">
        <x:f>-ROUND(AK135*'Drivers'!AB135,3)</x:f>
        <x:v>-8.742</x:v>
      </x:c>
      <x:c r="BE135" s="64" t="n">
        <x:f>SUM(AX135:BB135,BD135)</x:f>
        <x:v>-101.045</x:v>
      </x:c>
      <x:c r="BF135" s="67" t="n">
        <x:f>'Drivers'!AF135</x:f>
        <x:v>8</x:v>
      </x:c>
      <x:c r="BG135" s="64" t="n">
        <x:f>BJ135</x:f>
        <x:v>-33.755</x:v>
      </x:c>
      <x:c r="BH135" s="64" t="n">
        <x:f>BE135/BF135</x:f>
        <x:v>-12.630625</x:v>
      </x:c>
      <x:c r="BI135" s="68" t="n">
        <x:f>BF135/L135</x:f>
        <x:v>1.6</x:v>
      </x:c>
      <x:c r="BJ135" s="64" t="n">
        <x:f>-ROUND(AK135*'Drivers'!AC135,3)</x:f>
        <x:v>-33.755</x:v>
      </x:c>
      <x:c r="BK135" s="64" t="n">
        <x:f>-ROUND(AK135*'Drivers'!AD135,3)</x:f>
        <x:v>-124.632</x:v>
      </x:c>
      <x:c r="BL135" s="64" t="n">
        <x:f>SUM(AV135,BE135,BJ135,BK135)</x:f>
        <x:v>280.13699999999994</x:v>
      </x:c>
      <x:c r="BM135" s="65" t="n">
        <x:f>BL135/AK135</x:f>
        <x:v>0.2070887288678747</x:v>
      </x:c>
      <x:c r="BN135" s="64" t="n">
        <x:f>-ROUND(AK135*'Drivers'!AE135,3)</x:f>
        <x:v>-82.117</x:v>
      </x:c>
      <x:c r="BO135" s="64" t="n">
        <x:f>BL135+BN135</x:f>
        <x:v>198.01999999999992</x:v>
      </x:c>
      <x:c r="BP135" s="65" t="n">
        <x:f>BO135/AK135</x:f>
        <x:v>0.14638448362914053</x:v>
      </x:c>
    </x:row>
    <x:row r="136">
      <x:c r="A136" s="61" t="n">
        <x:v>2026</x:v>
      </x:c>
      <x:c r="B136" s="18" t="str">
        <x:v>S1</x:v>
      </x:c>
      <x:c r="C136" s="18" t="str">
        <x:v>2026 S1</x:v>
      </x:c>
      <x:c r="D136" s="18" t="str">
        <x:v>CNCT0034</x:v>
      </x:c>
      <x:c r="E136" s="18" t="str">
        <x:v>深圳KK MALL</x:v>
      </x:c>
      <x:c r="F136" s="18" t="str">
        <x:v>深圳</x:v>
      </x:c>
      <x:c r="G136" s="18" t="str">
        <x:v>广东省</x:v>
      </x:c>
      <x:c r="H136" s="18" t="str">
        <x:v>南区</x:v>
      </x:c>
      <x:c r="I136" s="18" t="str">
        <x:v>Shopping Mall</x:v>
      </x:c>
      <x:c r="J136" s="18" t="str">
        <x:v>Regional Mall</x:v>
      </x:c>
      <x:c r="K136" s="18" t="str">
        <x:v>正常</x:v>
      </x:c>
      <x:c r="L136" s="62" t="n">
        <x:v>5</x:v>
      </x:c>
      <x:c r="M136" s="62" t="n">
        <x:v>48</x:v>
      </x:c>
      <x:c r="N136" s="63" t="n">
        <x:f>'Drivers'!C136</x:f>
        <x:v>2049</x:v>
      </x:c>
      <x:c r="O136" s="63" t="n">
        <x:f>'Drivers'!D136</x:f>
        <x:v>1006.818</x:v>
      </x:c>
      <x:c r="P136" s="64" t="n">
        <x:f>ROUND(N136*O136/1000,3)</x:f>
        <x:v>2062.97</x:v>
      </x:c>
      <x:c r="Q136" s="64" t="n">
        <x:f>ROUND(P136*'Drivers'!E136,3)</x:f>
        <x:v>1992.031</x:v>
      </x:c>
      <x:c r="R136" s="64" t="n">
        <x:f>-ROUND(Q136*'Drivers'!F136,3)</x:f>
        <x:v>-437.475</x:v>
      </x:c>
      <x:c r="S136" s="65" t="n">
        <x:f>R136/Q136</x:f>
        <x:v>-0.21961254619029524</x:v>
      </x:c>
      <x:c r="T136" s="64" t="n">
        <x:f>-ROUND(Q136*'Drivers'!G136,3)</x:f>
        <x:v>-24.357</x:v>
      </x:c>
      <x:c r="U136" s="65" t="n">
        <x:f>T136/Q136</x:f>
        <x:v>-0.012227219355522078</x:v>
      </x:c>
      <x:c r="V136" s="64" t="n">
        <x:f>-ROUND(Q136*'Drivers'!H136,3)</x:f>
        <x:v>-24.237</x:v>
      </x:c>
      <x:c r="W136" s="64" t="n">
        <x:f>-ROUND(Q136*'Drivers'!I136,3)</x:f>
        <x:v>-15.618</x:v>
      </x:c>
      <x:c r="X136" s="64" t="n">
        <x:f>-ROUND(Q136*'Drivers'!J136,3)</x:f>
        <x:v>-28.345</x:v>
      </x:c>
      <x:c r="Y136" s="64" t="n">
        <x:f>-ROUND(Q136*'Drivers'!K136,3)</x:f>
        <x:v>-17.619</x:v>
      </x:c>
      <x:c r="Z136" s="64" t="n">
        <x:f>-ROUND(Q136*'Drivers'!L136,3)</x:f>
        <x:v>-22.99</x:v>
      </x:c>
      <x:c r="AA136" s="64" t="n">
        <x:f>-ROUND(Q136*'Drivers'!M136,3)</x:f>
        <x:v>-20.618</x:v>
      </x:c>
      <x:c r="AB136" s="64" t="n">
        <x:f>-ROUND(Q136*'Drivers'!N136,3)</x:f>
        <x:v>-12.325</x:v>
      </x:c>
      <x:c r="AC136" s="64" t="n">
        <x:f>SUM(V136:AB136)</x:f>
        <x:v>-141.75199999999998</x:v>
      </x:c>
      <x:c r="AD136" s="65" t="n">
        <x:f>AC136/Q136</x:f>
        <x:v>-0.07115953516787639</x:v>
      </x:c>
      <x:c r="AE136" s="64" t="n">
        <x:f>-ROUND(Q136*'Drivers'!O136,3)</x:f>
        <x:v>-28.376</x:v>
      </x:c>
      <x:c r="AF136" s="65" t="n">
        <x:f>AE136/Q136</x:f>
        <x:v>-0.01424475823920411</x:v>
      </x:c>
      <x:c r="AG136" s="64" t="n">
        <x:f>-ROUND(Q136*'Drivers'!P136,3)</x:f>
        <x:v>-1.822</x:v>
      </x:c>
      <x:c r="AH136" s="64" t="n">
        <x:f>-ROUND(Q136*'Drivers'!Q136,3)</x:f>
        <x:v>-3.545</x:v>
      </x:c>
      <x:c r="AI136" s="64" t="n">
        <x:f>SUM(R136,T136,AC136,AE136,AG136,AH136)</x:f>
        <x:v>-637.3269999999999</x:v>
      </x:c>
      <x:c r="AJ136" s="65" t="n">
        <x:f>AI136/Q136</x:f>
        <x:v>-0.31993829413297276</x:v>
      </x:c>
      <x:c r="AK136" s="64" t="n">
        <x:f>Q136+AI136</x:f>
        <x:v>1354.7040000000002</x:v>
      </x:c>
      <x:c r="AL136" s="65" t="n">
        <x:f>AK136/Q136</x:f>
        <x:v>0.6800617058670273</x:v>
      </x:c>
      <x:c r="AM136" s="64" t="n">
        <x:f>AK136/L136</x:f>
        <x:v>270.9408</x:v>
      </x:c>
      <x:c r="AN136" s="66" t="str">
        <x:f>IF(AM136&lt;=200,"≤200K",IF(AM136&lt;=350,"200–350K",IF(AM136&lt;=500,"350–500K",IF(AM136&lt;=700,"500–700K","&gt;700K"))))</x:f>
        <x:v>200–350K</x:v>
      </x:c>
      <x:c r="AO136" s="64" t="n">
        <x:f>-ROUND(Q136*'Drivers'!R136,3)</x:f>
        <x:v>-704.032</x:v>
      </x:c>
      <x:c r="AP136" s="64" t="n">
        <x:f>-ROUND(AK136*'Drivers'!S136,3)</x:f>
        <x:v>-21.484</x:v>
      </x:c>
      <x:c r="AQ136" s="64" t="n">
        <x:f>-ROUND(AK136*'Drivers'!T136,3)</x:f>
        <x:v>-7.374</x:v>
      </x:c>
      <x:c r="AR136" s="64" t="n">
        <x:f>-ROUND(AK136*'Drivers'!U136,3)</x:f>
        <x:v>-7.059</x:v>
      </x:c>
      <x:c r="AS136" s="64" t="n">
        <x:f>-ROUND(AK136*'Drivers'!V136,3)</x:f>
        <x:v>-41.655</x:v>
      </x:c>
      <x:c r="AT136" s="64" t="n">
        <x:f>SUM(AO136:AS136)</x:f>
        <x:v>-781.604</x:v>
      </x:c>
      <x:c r="AU136" s="65" t="n">
        <x:f>AT136/AK136</x:f>
        <x:v>-0.5769555563429354</x:v>
      </x:c>
      <x:c r="AV136" s="64" t="n">
        <x:f>AK136+AT136</x:f>
        <x:v>573.1000000000001</x:v>
      </x:c>
      <x:c r="AW136" s="65" t="n">
        <x:f>AV136/AK136</x:f>
        <x:v>0.4230444436570646</x:v>
      </x:c>
      <x:c r="AX136" s="64" t="n">
        <x:f>-ROUND(AK136*'Drivers'!W136,3)</x:f>
        <x:v>-23.245</x:v>
      </x:c>
      <x:c r="AY136" s="64" t="n">
        <x:f>-ROUND(AK136*'Drivers'!X136,3)</x:f>
        <x:v>-39.946</x:v>
      </x:c>
      <x:c r="AZ136" s="64" t="n">
        <x:f>-ROUND(AK136*'Drivers'!Y136,3)</x:f>
        <x:v>-35.438</x:v>
      </x:c>
      <x:c r="BA136" s="64" t="n">
        <x:f>-ROUND(AK136*'Drivers'!Z136,3)</x:f>
        <x:v>-12.247</x:v>
      </x:c>
      <x:c r="BB136" s="64" t="n">
        <x:f>-ROUND(AK136*'Drivers'!AA136,3)</x:f>
        <x:v>-16.513</x:v>
      </x:c>
      <x:c r="BC136" s="64" t="n">
        <x:f>SUM(BA136,BB136)</x:f>
        <x:v>-28.76</x:v>
      </x:c>
      <x:c r="BD136" s="64" t="n">
        <x:f>-ROUND(AK136*'Drivers'!AB136,3)</x:f>
        <x:v>-12.065</x:v>
      </x:c>
      <x:c r="BE136" s="64" t="n">
        <x:f>SUM(AX136:BB136,BD136)</x:f>
        <x:v>-139.454</x:v>
      </x:c>
      <x:c r="BF136" s="67" t="n">
        <x:f>'Drivers'!AF136</x:f>
        <x:v>8</x:v>
      </x:c>
      <x:c r="BG136" s="64" t="n">
        <x:f>BJ136</x:f>
        <x:v>-46.586</x:v>
      </x:c>
      <x:c r="BH136" s="64" t="n">
        <x:f>BE136/BF136</x:f>
        <x:v>-17.43175</x:v>
      </x:c>
      <x:c r="BI136" s="68" t="n">
        <x:f>BF136/L136</x:f>
        <x:v>1.6</x:v>
      </x:c>
      <x:c r="BJ136" s="64" t="n">
        <x:f>-ROUND(AK136*'Drivers'!AC136,3)</x:f>
        <x:v>-46.586</x:v>
      </x:c>
      <x:c r="BK136" s="64" t="n">
        <x:f>-ROUND(AK136*'Drivers'!AD136,3)</x:f>
        <x:v>-124.813</x:v>
      </x:c>
      <x:c r="BL136" s="64" t="n">
        <x:f>SUM(AV136,BE136,BJ136,BK136)</x:f>
        <x:v>262.2470000000001</x:v>
      </x:c>
      <x:c r="BM136" s="65" t="n">
        <x:f>BL136/AK136</x:f>
        <x:v>0.19358250953713882</x:v>
      </x:c>
      <x:c r="BN136" s="64" t="n">
        <x:f>-ROUND(AK136*'Drivers'!AE136,3)</x:f>
        <x:v>-82.236</x:v>
      </x:c>
      <x:c r="BO136" s="64" t="n">
        <x:f>BL136+BN136</x:f>
        <x:v>180.01100000000014</x:v>
      </x:c>
      <x:c r="BP136" s="65" t="n">
        <x:f>BO136/AK136</x:f>
        <x:v>0.13287847382158768</x:v>
      </x:c>
    </x:row>
    <x:row r="137">
      <x:c r="A137" s="61" t="n">
        <x:v>2026</x:v>
      </x:c>
      <x:c r="B137" s="18" t="str">
        <x:v>S2</x:v>
      </x:c>
      <x:c r="C137" s="18" t="str">
        <x:v>2026 S2</x:v>
      </x:c>
      <x:c r="D137" s="18" t="str">
        <x:v>CNCT0034</x:v>
      </x:c>
      <x:c r="E137" s="18" t="str">
        <x:v>深圳KK MALL</x:v>
      </x:c>
      <x:c r="F137" s="18" t="str">
        <x:v>深圳</x:v>
      </x:c>
      <x:c r="G137" s="18" t="str">
        <x:v>广东省</x:v>
      </x:c>
      <x:c r="H137" s="18" t="str">
        <x:v>南区</x:v>
      </x:c>
      <x:c r="I137" s="18" t="str">
        <x:v>Shopping Mall</x:v>
      </x:c>
      <x:c r="J137" s="18" t="str">
        <x:v>Regional Mall</x:v>
      </x:c>
      <x:c r="K137" s="18" t="str">
        <x:v>正常</x:v>
      </x:c>
      <x:c r="L137" s="62" t="n">
        <x:v>5</x:v>
      </x:c>
      <x:c r="M137" s="62" t="n">
        <x:v>48</x:v>
      </x:c>
      <x:c r="N137" s="63" t="n">
        <x:f>'Drivers'!C137</x:f>
        <x:v>2135</x:v>
      </x:c>
      <x:c r="O137" s="63" t="n">
        <x:f>'Drivers'!D137</x:f>
        <x:v>1002.402</x:v>
      </x:c>
      <x:c r="P137" s="64" t="n">
        <x:f>ROUND(N137*O137/1000,3)</x:f>
        <x:v>2140.128</x:v>
      </x:c>
      <x:c r="Q137" s="64" t="n">
        <x:f>ROUND(P137*'Drivers'!E137,3)</x:f>
        <x:v>2092.844</x:v>
      </x:c>
      <x:c r="R137" s="64" t="n">
        <x:f>-ROUND(Q137*'Drivers'!F137,3)</x:f>
        <x:v>-452.744</x:v>
      </x:c>
      <x:c r="S137" s="65" t="n">
        <x:f>R137/Q137</x:f>
        <x:v>-0.21632954964631862</x:v>
      </x:c>
      <x:c r="T137" s="64" t="n">
        <x:f>-ROUND(Q137*'Drivers'!G137,3)</x:f>
        <x:v>-27.485</x:v>
      </x:c>
      <x:c r="U137" s="65" t="n">
        <x:f>T137/Q137</x:f>
        <x:v>-0.013132846977605592</x:v>
      </x:c>
      <x:c r="V137" s="64" t="n">
        <x:f>-ROUND(Q137*'Drivers'!H137,3)</x:f>
        <x:v>-25.464</x:v>
      </x:c>
      <x:c r="W137" s="64" t="n">
        <x:f>-ROUND(Q137*'Drivers'!I137,3)</x:f>
        <x:v>-16.408</x:v>
      </x:c>
      <x:c r="X137" s="64" t="n">
        <x:f>-ROUND(Q137*'Drivers'!J137,3)</x:f>
        <x:v>-29.779</x:v>
      </x:c>
      <x:c r="Y137" s="64" t="n">
        <x:f>-ROUND(Q137*'Drivers'!K137,3)</x:f>
        <x:v>-18.51</x:v>
      </x:c>
      <x:c r="Z137" s="64" t="n">
        <x:f>-ROUND(Q137*'Drivers'!L137,3)</x:f>
        <x:v>-24.154</x:v>
      </x:c>
      <x:c r="AA137" s="64" t="n">
        <x:f>-ROUND(Q137*'Drivers'!M137,3)</x:f>
        <x:v>-21.662</x:v>
      </x:c>
      <x:c r="AB137" s="64" t="n">
        <x:f>-ROUND(Q137*'Drivers'!N137,3)</x:f>
        <x:v>-12.949</x:v>
      </x:c>
      <x:c r="AC137" s="64" t="n">
        <x:f>SUM(V137:AB137)</x:f>
        <x:v>-148.92600000000002</x:v>
      </x:c>
      <x:c r="AD137" s="65" t="n">
        <x:f>AC137/Q137</x:f>
        <x:v>-0.07115962776011973</x:v>
      </x:c>
      <x:c r="AE137" s="64" t="n">
        <x:f>-ROUND(Q137*'Drivers'!O137,3)</x:f>
        <x:v>-28.773</x:v>
      </x:c>
      <x:c r="AF137" s="65" t="n">
        <x:f>AE137/Q137</x:f>
        <x:v>-0.013748277463585437</x:v>
      </x:c>
      <x:c r="AG137" s="64" t="n">
        <x:f>-ROUND(Q137*'Drivers'!P137,3)</x:f>
        <x:v>-1.914</x:v>
      </x:c>
      <x:c r="AH137" s="64" t="n">
        <x:f>-ROUND(Q137*'Drivers'!Q137,3)</x:f>
        <x:v>-3.724</x:v>
      </x:c>
      <x:c r="AI137" s="64" t="n">
        <x:f>SUM(R137,T137,AC137,AE137,AG137,AH137)</x:f>
        <x:v>-663.5660000000001</x:v>
      </x:c>
      <x:c r="AJ137" s="65" t="n">
        <x:f>AI137/Q137</x:f>
        <x:v>-0.3170642436798921</x:v>
      </x:c>
      <x:c r="AK137" s="64" t="n">
        <x:f>Q137+AI137</x:f>
        <x:v>1429.2779999999998</x:v>
      </x:c>
      <x:c r="AL137" s="65" t="n">
        <x:f>AK137/Q137</x:f>
        <x:v>0.6829357563201078</x:v>
      </x:c>
      <x:c r="AM137" s="64" t="n">
        <x:f>AK137/L137</x:f>
        <x:v>285.8556</x:v>
      </x:c>
      <x:c r="AN137" s="66" t="str">
        <x:f>IF(AM137&lt;=200,"≤200K",IF(AM137&lt;=350,"200–350K",IF(AM137&lt;=500,"350–500K",IF(AM137&lt;=700,"500–700K","&gt;700K"))))</x:f>
        <x:v>200–350K</x:v>
      </x:c>
      <x:c r="AO137" s="64" t="n">
        <x:f>-ROUND(Q137*'Drivers'!R137,3)</x:f>
        <x:v>-763.273</x:v>
      </x:c>
      <x:c r="AP137" s="64" t="n">
        <x:f>-ROUND(AK137*'Drivers'!S137,3)</x:f>
        <x:v>-22.666</x:v>
      </x:c>
      <x:c r="AQ137" s="64" t="n">
        <x:f>-ROUND(AK137*'Drivers'!T137,3)</x:f>
        <x:v>-7.78</x:v>
      </x:c>
      <x:c r="AR137" s="64" t="n">
        <x:f>-ROUND(AK137*'Drivers'!U137,3)</x:f>
        <x:v>-7.447</x:v>
      </x:c>
      <x:c r="AS137" s="64" t="n">
        <x:f>-ROUND(AK137*'Drivers'!V137,3)</x:f>
        <x:v>-43.948</x:v>
      </x:c>
      <x:c r="AT137" s="64" t="n">
        <x:f>SUM(AO137:AS137)</x:f>
        <x:v>-845.114</x:v>
      </x:c>
      <x:c r="AU137" s="65" t="n">
        <x:f>AT137/AK137</x:f>
        <x:v>-0.5912873492770477</x:v>
      </x:c>
      <x:c r="AV137" s="64" t="n">
        <x:f>AK137+AT137</x:f>
        <x:v>584.1639999999998</x:v>
      </x:c>
      <x:c r="AW137" s="65" t="n">
        <x:f>AV137/AK137</x:f>
        <x:v>0.4087126507229523</x:v>
      </x:c>
      <x:c r="AX137" s="64" t="n">
        <x:f>-ROUND(AK137*'Drivers'!W137,3)</x:f>
        <x:v>-22.259</x:v>
      </x:c>
      <x:c r="AY137" s="64" t="n">
        <x:f>-ROUND(AK137*'Drivers'!X137,3)</x:f>
        <x:v>-38.252</x:v>
      </x:c>
      <x:c r="AZ137" s="64" t="n">
        <x:f>-ROUND(AK137*'Drivers'!Y137,3)</x:f>
        <x:v>-33.935</x:v>
      </x:c>
      <x:c r="BA137" s="64" t="n">
        <x:f>-ROUND(AK137*'Drivers'!Z137,3)</x:f>
        <x:v>-11.728</x:v>
      </x:c>
      <x:c r="BB137" s="64" t="n">
        <x:f>-ROUND(AK137*'Drivers'!AA137,3)</x:f>
        <x:v>-15.813</x:v>
      </x:c>
      <x:c r="BC137" s="64" t="n">
        <x:f>SUM(BA137,BB137)</x:f>
        <x:v>-27.541</x:v>
      </x:c>
      <x:c r="BD137" s="64" t="n">
        <x:f>-ROUND(AK137*'Drivers'!AB137,3)</x:f>
        <x:v>-11.553</x:v>
      </x:c>
      <x:c r="BE137" s="64" t="n">
        <x:f>SUM(AX137:BB137,BD137)</x:f>
        <x:v>-133.54</x:v>
      </x:c>
      <x:c r="BF137" s="67" t="n">
        <x:f>'Drivers'!AF137</x:f>
        <x:v>8</x:v>
      </x:c>
      <x:c r="BG137" s="64" t="n">
        <x:f>BJ137</x:f>
        <x:v>-44.61</x:v>
      </x:c>
      <x:c r="BH137" s="64" t="n">
        <x:f>BE137/BF137</x:f>
        <x:v>-16.6925</x:v>
      </x:c>
      <x:c r="BI137" s="68" t="n">
        <x:f>BF137/L137</x:f>
        <x:v>1.6</x:v>
      </x:c>
      <x:c r="BJ137" s="64" t="n">
        <x:f>-ROUND(AK137*'Drivers'!AC137,3)</x:f>
        <x:v>-44.61</x:v>
      </x:c>
      <x:c r="BK137" s="64" t="n">
        <x:f>-ROUND(AK137*'Drivers'!AD137,3)</x:f>
        <x:v>-131.683</x:v>
      </x:c>
      <x:c r="BL137" s="64" t="n">
        <x:f>SUM(AV137,BE137,BJ137,BK137)</x:f>
        <x:v>274.3309999999998</x:v>
      </x:c>
      <x:c r="BM137" s="65" t="n">
        <x:f>BL137/AK137</x:f>
        <x:v>0.19193676807451024</x:v>
      </x:c>
      <x:c r="BN137" s="64" t="n">
        <x:f>-ROUND(AK137*'Drivers'!AE137,3)</x:f>
        <x:v>-86.763</x:v>
      </x:c>
      <x:c r="BO137" s="64" t="n">
        <x:f>BL137+BN137</x:f>
        <x:v>187.56799999999978</x:v>
      </x:c>
      <x:c r="BP137" s="65" t="n">
        <x:f>BO137/AK137</x:f>
        <x:v>0.13123269231038315</x:v>
      </x:c>
    </x:row>
    <x:row r="138">
      <x:c r="A138" s="61" t="n">
        <x:v>2025</x:v>
      </x:c>
      <x:c r="B138" s="18" t="str">
        <x:v>S1</x:v>
      </x:c>
      <x:c r="C138" s="18" t="str">
        <x:v>2025 S1</x:v>
      </x:c>
      <x:c r="D138" s="18" t="str">
        <x:v>CNCT0035</x:v>
      </x:c>
      <x:c r="E138" s="18" t="str">
        <x:v>深圳前海壹方汇</x:v>
      </x:c>
      <x:c r="F138" s="18" t="str">
        <x:v>深圳</x:v>
      </x:c>
      <x:c r="G138" s="18" t="str">
        <x:v>广东省</x:v>
      </x:c>
      <x:c r="H138" s="18" t="str">
        <x:v>南区</x:v>
      </x:c>
      <x:c r="I138" s="18" t="str">
        <x:v>Shopping Mall</x:v>
      </x:c>
      <x:c r="J138" s="18" t="str">
        <x:v>Regional Mall</x:v>
      </x:c>
      <x:c r="K138" s="18" t="str">
        <x:v>新开店</x:v>
      </x:c>
      <x:c r="L138" s="62" t="n">
        <x:v>5</x:v>
      </x:c>
      <x:c r="M138" s="62" t="n">
        <x:v>48</x:v>
      </x:c>
      <x:c r="N138" s="63" t="n">
        <x:f>'Drivers'!C138</x:f>
        <x:v>1492</x:v>
      </x:c>
      <x:c r="O138" s="63" t="n">
        <x:f>'Drivers'!D138</x:f>
        <x:v>914.251</x:v>
      </x:c>
      <x:c r="P138" s="64" t="n">
        <x:f>ROUND(N138*O138/1000,3)</x:f>
        <x:v>1364.062</x:v>
      </x:c>
      <x:c r="Q138" s="64" t="n">
        <x:f>ROUND(P138*'Drivers'!E138,3)</x:f>
        <x:v>1331.525</x:v>
      </x:c>
      <x:c r="R138" s="64" t="n">
        <x:f>-ROUND(Q138*'Drivers'!F138,3)</x:f>
        <x:v>-286.609</x:v>
      </x:c>
      <x:c r="S138" s="65" t="n">
        <x:f>R138/Q138</x:f>
        <x:v>-0.21524868102363828</x:v>
      </x:c>
      <x:c r="T138" s="64" t="n">
        <x:f>-ROUND(Q138*'Drivers'!G138,3)</x:f>
        <x:v>-16.255</x:v>
      </x:c>
      <x:c r="U138" s="65" t="n">
        <x:f>T138/Q138</x:f>
        <x:v>-0.012207806838024068</x:v>
      </x:c>
      <x:c r="V138" s="64" t="n">
        <x:f>-ROUND(Q138*'Drivers'!H138,3)</x:f>
        <x:v>-14.117</x:v>
      </x:c>
      <x:c r="W138" s="64" t="n">
        <x:f>-ROUND(Q138*'Drivers'!I138,3)</x:f>
        <x:v>-10.324</x:v>
      </x:c>
      <x:c r="X138" s="64" t="n">
        <x:f>-ROUND(Q138*'Drivers'!J138,3)</x:f>
        <x:v>-17.387</x:v>
      </x:c>
      <x:c r="Y138" s="64" t="n">
        <x:f>-ROUND(Q138*'Drivers'!K138,3)</x:f>
        <x:v>-11.2</x:v>
      </x:c>
      <x:c r="Z138" s="64" t="n">
        <x:f>-ROUND(Q138*'Drivers'!L138,3)</x:f>
        <x:v>-15.939</x:v>
      </x:c>
      <x:c r="AA138" s="64" t="n">
        <x:f>-ROUND(Q138*'Drivers'!M138,3)</x:f>
        <x:v>-7.775</x:v>
      </x:c>
      <x:c r="AB138" s="64" t="n">
        <x:f>-ROUND(Q138*'Drivers'!N138,3)</x:f>
        <x:v>-9.958</x:v>
      </x:c>
      <x:c r="AC138" s="64" t="n">
        <x:f>SUM(V138:AB138)</x:f>
        <x:v>-86.70000000000002</x:v>
      </x:c>
      <x:c r="AD138" s="65" t="n">
        <x:f>AC138/Q138</x:f>
        <x:v>-0.06511330992658794</x:v>
      </x:c>
      <x:c r="AE138" s="64" t="n">
        <x:f>-ROUND(Q138*'Drivers'!O138,3)</x:f>
        <x:v>-18.511</x:v>
      </x:c>
      <x:c r="AF138" s="65" t="n">
        <x:f>AE138/Q138</x:f>
        <x:v>-0.013902104729539436</x:v>
      </x:c>
      <x:c r="AG138" s="64" t="n">
        <x:f>-ROUND(Q138*'Drivers'!P138,3)</x:f>
        <x:v>-3.551</x:v>
      </x:c>
      <x:c r="AH138" s="64" t="n">
        <x:f>-ROUND(Q138*'Drivers'!Q138,3)</x:f>
        <x:v>-4.813</x:v>
      </x:c>
      <x:c r="AI138" s="64" t="n">
        <x:f>SUM(R138,T138,AC138,AE138,AG138,AH138)</x:f>
        <x:v>-416.43899999999996</x:v>
      </x:c>
      <x:c r="AJ138" s="65" t="n">
        <x:f>AI138/Q138</x:f>
        <x:v>-0.31275342182835464</x:v>
      </x:c>
      <x:c r="AK138" s="64" t="n">
        <x:f>Q138+AI138</x:f>
        <x:v>915.0860000000001</x:v>
      </x:c>
      <x:c r="AL138" s="65" t="n">
        <x:f>AK138/Q138</x:f>
        <x:v>0.6872465781716454</x:v>
      </x:c>
      <x:c r="AM138" s="64" t="n">
        <x:f>AK138/L138</x:f>
        <x:v>183.01720000000003</x:v>
      </x:c>
      <x:c r="AN138" s="66" t="str">
        <x:f>IF(AM138&lt;=200,"≤200K",IF(AM138&lt;=350,"200–350K",IF(AM138&lt;=500,"350–500K",IF(AM138&lt;=700,"500–700K","&gt;700K"))))</x:f>
        <x:v>≤200K</x:v>
      </x:c>
      <x:c r="AO138" s="64" t="n">
        <x:f>-ROUND(Q138*'Drivers'!R138,3)</x:f>
        <x:v>-459.693</x:v>
      </x:c>
      <x:c r="AP138" s="64" t="n">
        <x:f>-ROUND(AK138*'Drivers'!S138,3)</x:f>
        <x:v>-15.54</x:v>
      </x:c>
      <x:c r="AQ138" s="64" t="n">
        <x:f>-ROUND(AK138*'Drivers'!T138,3)</x:f>
        <x:v>-6.006</x:v>
      </x:c>
      <x:c r="AR138" s="64" t="n">
        <x:f>-ROUND(AK138*'Drivers'!U138,3)</x:f>
        <x:v>-10.317</x:v>
      </x:c>
      <x:c r="AS138" s="64" t="n">
        <x:f>-ROUND(AK138*'Drivers'!V138,3)</x:f>
        <x:v>-27.872</x:v>
      </x:c>
      <x:c r="AT138" s="64" t="n">
        <x:f>SUM(AO138:AS138)</x:f>
        <x:v>-519.428</x:v>
      </x:c>
      <x:c r="AU138" s="65" t="n">
        <x:f>AT138/AK138</x:f>
        <x:v>-0.5676275235333071</x:v>
      </x:c>
      <x:c r="AV138" s="64" t="n">
        <x:f>AK138+AT138</x:f>
        <x:v>395.65800000000013</x:v>
      </x:c>
      <x:c r="AW138" s="65" t="n">
        <x:f>AV138/AK138</x:f>
        <x:v>0.43237247646669286</x:v>
      </x:c>
      <x:c r="AX138" s="64" t="n">
        <x:f>-ROUND(AK138*'Drivers'!W138,3)</x:f>
        <x:v>-18.402</x:v>
      </x:c>
      <x:c r="AY138" s="64" t="n">
        <x:f>-ROUND(AK138*'Drivers'!X138,3)</x:f>
        <x:v>-39.511</x:v>
      </x:c>
      <x:c r="AZ138" s="64" t="n">
        <x:f>-ROUND(AK138*'Drivers'!Y138,3)</x:f>
        <x:v>-29.915</x:v>
      </x:c>
      <x:c r="BA138" s="64" t="n">
        <x:f>-ROUND(AK138*'Drivers'!Z138,3)</x:f>
        <x:v>-5.361</x:v>
      </x:c>
      <x:c r="BB138" s="64" t="n">
        <x:f>-ROUND(AK138*'Drivers'!AA138,3)</x:f>
        <x:v>-7.331</x:v>
      </x:c>
      <x:c r="BC138" s="64" t="n">
        <x:f>SUM(BA138,BB138)</x:f>
        <x:v>-12.692</x:v>
      </x:c>
      <x:c r="BD138" s="64" t="n">
        <x:f>-ROUND(AK138*'Drivers'!AB138,3)</x:f>
        <x:v>-8.462</x:v>
      </x:c>
      <x:c r="BE138" s="64" t="n">
        <x:f>SUM(AX138:BB138,BD138)</x:f>
        <x:v>-108.98200000000001</x:v>
      </x:c>
      <x:c r="BF138" s="67" t="n">
        <x:f>'Drivers'!AF138</x:f>
        <x:v>9</x:v>
      </x:c>
      <x:c r="BG138" s="64" t="n">
        <x:f>BJ138</x:f>
        <x:v>-37.904</x:v>
      </x:c>
      <x:c r="BH138" s="64" t="n">
        <x:f>BE138/BF138</x:f>
        <x:v>-12.109111111111112</x:v>
      </x:c>
      <x:c r="BI138" s="68" t="n">
        <x:f>BF138/L138</x:f>
        <x:v>1.8</x:v>
      </x:c>
      <x:c r="BJ138" s="64" t="n">
        <x:f>-ROUND(AK138*'Drivers'!AC138,3)</x:f>
        <x:v>-37.904</x:v>
      </x:c>
      <x:c r="BK138" s="64" t="n">
        <x:f>-ROUND(AK138*'Drivers'!AD138,3)</x:f>
        <x:v>-94.748</x:v>
      </x:c>
      <x:c r="BL138" s="64" t="n">
        <x:f>SUM(AV138,BE138,BJ138,BK138)</x:f>
        <x:v>154.02400000000011</x:v>
      </x:c>
      <x:c r="BM138" s="65" t="n">
        <x:f>BL138/AK138</x:f>
        <x:v>0.16831642053315218</x:v>
      </x:c>
      <x:c r="BN138" s="64" t="n">
        <x:f>-ROUND(AK138*'Drivers'!AE138,3)</x:f>
        <x:v>-77.717</x:v>
      </x:c>
      <x:c r="BO138" s="64" t="n">
        <x:f>BL138+BN138</x:f>
        <x:v>76.30700000000012</x:v>
      </x:c>
      <x:c r="BP138" s="65" t="n">
        <x:f>BO138/AK138</x:f>
        <x:v>0.08338779087430045</x:v>
      </x:c>
    </x:row>
    <x:row r="139">
      <x:c r="A139" s="61" t="n">
        <x:v>2025</x:v>
      </x:c>
      <x:c r="B139" s="18" t="str">
        <x:v>S2</x:v>
      </x:c>
      <x:c r="C139" s="18" t="str">
        <x:v>2025 S2</x:v>
      </x:c>
      <x:c r="D139" s="18" t="str">
        <x:v>CNCT0035</x:v>
      </x:c>
      <x:c r="E139" s="18" t="str">
        <x:v>深圳前海壹方汇</x:v>
      </x:c>
      <x:c r="F139" s="18" t="str">
        <x:v>深圳</x:v>
      </x:c>
      <x:c r="G139" s="18" t="str">
        <x:v>广东省</x:v>
      </x:c>
      <x:c r="H139" s="18" t="str">
        <x:v>南区</x:v>
      </x:c>
      <x:c r="I139" s="18" t="str">
        <x:v>Shopping Mall</x:v>
      </x:c>
      <x:c r="J139" s="18" t="str">
        <x:v>Regional Mall</x:v>
      </x:c>
      <x:c r="K139" s="18" t="str">
        <x:v>正常</x:v>
      </x:c>
      <x:c r="L139" s="62" t="n">
        <x:v>5</x:v>
      </x:c>
      <x:c r="M139" s="62" t="n">
        <x:v>48</x:v>
      </x:c>
      <x:c r="N139" s="63" t="n">
        <x:f>'Drivers'!C139</x:f>
        <x:v>2263</x:v>
      </x:c>
      <x:c r="O139" s="63" t="n">
        <x:f>'Drivers'!D139</x:f>
        <x:v>925.222</x:v>
      </x:c>
      <x:c r="P139" s="64" t="n">
        <x:f>ROUND(N139*O139/1000,3)</x:f>
        <x:v>2093.777</x:v>
      </x:c>
      <x:c r="Q139" s="64" t="n">
        <x:f>ROUND(P139*'Drivers'!E139,3)</x:f>
        <x:v>2024.807</x:v>
      </x:c>
      <x:c r="R139" s="64" t="n">
        <x:f>-ROUND(Q139*'Drivers'!F139,3)</x:f>
        <x:v>-435.837</x:v>
      </x:c>
      <x:c r="S139" s="65" t="n">
        <x:f>R139/Q139</x:f>
        <x:v>-0.2152486632059253</x:v>
      </x:c>
      <x:c r="T139" s="64" t="n">
        <x:f>-ROUND(Q139*'Drivers'!G139,3)</x:f>
        <x:v>-24.719</x:v>
      </x:c>
      <x:c r="U139" s="65" t="n">
        <x:f>T139/Q139</x:f>
        <x:v>-0.012208077115497921</x:v>
      </x:c>
      <x:c r="V139" s="64" t="n">
        <x:f>-ROUND(Q139*'Drivers'!H139,3)</x:f>
        <x:v>-21.468</x:v>
      </x:c>
      <x:c r="W139" s="64" t="n">
        <x:f>-ROUND(Q139*'Drivers'!I139,3)</x:f>
        <x:v>-15.699</x:v>
      </x:c>
      <x:c r="X139" s="64" t="n">
        <x:f>-ROUND(Q139*'Drivers'!J139,3)</x:f>
        <x:v>-26.44</x:v>
      </x:c>
      <x:c r="Y139" s="64" t="n">
        <x:f>-ROUND(Q139*'Drivers'!K139,3)</x:f>
        <x:v>-17.031</x:v>
      </x:c>
      <x:c r="Z139" s="64" t="n">
        <x:f>-ROUND(Q139*'Drivers'!L139,3)</x:f>
        <x:v>-24.238</x:v>
      </x:c>
      <x:c r="AA139" s="64" t="n">
        <x:f>-ROUND(Q139*'Drivers'!M139,3)</x:f>
        <x:v>-11.823</x:v>
      </x:c>
      <x:c r="AB139" s="64" t="n">
        <x:f>-ROUND(Q139*'Drivers'!N139,3)</x:f>
        <x:v>-15.142</x:v>
      </x:c>
      <x:c r="AC139" s="64" t="n">
        <x:f>SUM(V139:AB139)</x:f>
        <x:v>-131.841</x:v>
      </x:c>
      <x:c r="AD139" s="65" t="n">
        <x:f>AC139/Q139</x:f>
        <x:v>-0.06511287248611844</x:v>
      </x:c>
      <x:c r="AE139" s="64" t="n">
        <x:f>-ROUND(Q139*'Drivers'!O139,3)</x:f>
        <x:v>-28.148</x:v>
      </x:c>
      <x:c r="AF139" s="65" t="n">
        <x:f>AE139/Q139</x:f>
        <x:v>-0.013901571853514927</x:v>
      </x:c>
      <x:c r="AG139" s="64" t="n">
        <x:f>-ROUND(Q139*'Drivers'!P139,3)</x:f>
        <x:v>-5.4</x:v>
      </x:c>
      <x:c r="AH139" s="64" t="n">
        <x:f>-ROUND(Q139*'Drivers'!Q139,3)</x:f>
        <x:v>-7.318</x:v>
      </x:c>
      <x:c r="AI139" s="64" t="n">
        <x:f>SUM(R139,T139,AC139,AE139,AG139,AH139)</x:f>
        <x:v>-633.2629999999999</x:v>
      </x:c>
      <x:c r="AJ139" s="65" t="n">
        <x:f>AI139/Q139</x:f>
        <x:v>-0.31275227713061043</x:v>
      </x:c>
      <x:c r="AK139" s="64" t="n">
        <x:f>Q139+AI139</x:f>
        <x:v>1391.544</x:v>
      </x:c>
      <x:c r="AL139" s="65" t="n">
        <x:f>AK139/Q139</x:f>
        <x:v>0.6872477228693896</x:v>
      </x:c>
      <x:c r="AM139" s="64" t="n">
        <x:f>AK139/L139</x:f>
        <x:v>278.3088</x:v>
      </x:c>
      <x:c r="AN139" s="66" t="str">
        <x:f>IF(AM139&lt;=200,"≤200K",IF(AM139&lt;=350,"200–350K",IF(AM139&lt;=500,"350–500K",IF(AM139&lt;=700,"500–700K","&gt;700K"))))</x:f>
        <x:v>200–350K</x:v>
      </x:c>
      <x:c r="AO139" s="64" t="n">
        <x:f>-ROUND(Q139*'Drivers'!R139,3)</x:f>
        <x:v>-731.307</x:v>
      </x:c>
      <x:c r="AP139" s="64" t="n">
        <x:f>-ROUND(AK139*'Drivers'!S139,3)</x:f>
        <x:v>-23.631</x:v>
      </x:c>
      <x:c r="AQ139" s="64" t="n">
        <x:f>-ROUND(AK139*'Drivers'!T139,3)</x:f>
        <x:v>-9.134</x:v>
      </x:c>
      <x:c r="AR139" s="64" t="n">
        <x:f>-ROUND(AK139*'Drivers'!U139,3)</x:f>
        <x:v>-15.689</x:v>
      </x:c>
      <x:c r="AS139" s="64" t="n">
        <x:f>-ROUND(AK139*'Drivers'!V139,3)</x:f>
        <x:v>-42.383</x:v>
      </x:c>
      <x:c r="AT139" s="64" t="n">
        <x:f>SUM(AO139:AS139)</x:f>
        <x:v>-822.144</x:v>
      </x:c>
      <x:c r="AU139" s="65" t="n">
        <x:f>AT139/AK139</x:f>
        <x:v>-0.5908142322484952</x:v>
      </x:c>
      <x:c r="AV139" s="64" t="n">
        <x:f>AK139+AT139</x:f>
        <x:v>569.4000000000001</x:v>
      </x:c>
      <x:c r="AW139" s="65" t="n">
        <x:f>AV139/AK139</x:f>
        <x:v>0.40918576775150484</x:v>
      </x:c>
      <x:c r="AX139" s="64" t="n">
        <x:f>-ROUND(AK139*'Drivers'!W139,3)</x:f>
        <x:v>-20.728</x:v>
      </x:c>
      <x:c r="AY139" s="64" t="n">
        <x:f>-ROUND(AK139*'Drivers'!X139,3)</x:f>
        <x:v>-44.507</x:v>
      </x:c>
      <x:c r="AZ139" s="64" t="n">
        <x:f>-ROUND(AK139*'Drivers'!Y139,3)</x:f>
        <x:v>-33.697</x:v>
      </x:c>
      <x:c r="BA139" s="64" t="n">
        <x:f>-ROUND(AK139*'Drivers'!Z139,3)</x:f>
        <x:v>-8.153</x:v>
      </x:c>
      <x:c r="BB139" s="64" t="n">
        <x:f>-ROUND(AK139*'Drivers'!AA139,3)</x:f>
        <x:v>-11.148</x:v>
      </x:c>
      <x:c r="BC139" s="64" t="n">
        <x:f>SUM(BA139,BB139)</x:f>
        <x:v>-19.301000000000002</x:v>
      </x:c>
      <x:c r="BD139" s="64" t="n">
        <x:f>-ROUND(AK139*'Drivers'!AB139,3)</x:f>
        <x:v>-9.532</x:v>
      </x:c>
      <x:c r="BE139" s="64" t="n">
        <x:f>SUM(AX139:BB139,BD139)</x:f>
        <x:v>-127.765</x:v>
      </x:c>
      <x:c r="BF139" s="67" t="n">
        <x:f>'Drivers'!AF139</x:f>
        <x:v>9</x:v>
      </x:c>
      <x:c r="BG139" s="64" t="n">
        <x:f>BJ139</x:f>
        <x:v>-42.696</x:v>
      </x:c>
      <x:c r="BH139" s="64" t="n">
        <x:f>BE139/BF139</x:f>
        <x:v>-14.196111111111112</x:v>
      </x:c>
      <x:c r="BI139" s="68" t="n">
        <x:f>BF139/L139</x:f>
        <x:v>1.8</x:v>
      </x:c>
      <x:c r="BJ139" s="64" t="n">
        <x:f>-ROUND(AK139*'Drivers'!AC139,3)</x:f>
        <x:v>-42.696</x:v>
      </x:c>
      <x:c r="BK139" s="64" t="n">
        <x:f>-ROUND(AK139*'Drivers'!AD139,3)</x:f>
        <x:v>-128.644</x:v>
      </x:c>
      <x:c r="BL139" s="64" t="n">
        <x:f>SUM(AV139,BE139,BJ139,BK139)</x:f>
        <x:v>270.2950000000001</x:v>
      </x:c>
      <x:c r="BM139" s="65" t="n">
        <x:f>BL139/AK139</x:f>
        <x:v>0.194241073225137</x:v>
      </x:c>
      <x:c r="BN139" s="64" t="n">
        <x:f>-ROUND(AK139*'Drivers'!AE139,3)</x:f>
        <x:v>-118.181</x:v>
      </x:c>
      <x:c r="BO139" s="64" t="n">
        <x:f>BL139+BN139</x:f>
        <x:v>152.1140000000001</x:v>
      </x:c>
      <x:c r="BP139" s="65" t="n">
        <x:f>BO139/AK139</x:f>
        <x:v>0.10931310831709244</x:v>
      </x:c>
    </x:row>
    <x:row r="140">
      <x:c r="A140" s="61" t="n">
        <x:v>2026</x:v>
      </x:c>
      <x:c r="B140" s="18" t="str">
        <x:v>S1</x:v>
      </x:c>
      <x:c r="C140" s="18" t="str">
        <x:v>2026 S1</x:v>
      </x:c>
      <x:c r="D140" s="18" t="str">
        <x:v>CNCT0035</x:v>
      </x:c>
      <x:c r="E140" s="18" t="str">
        <x:v>深圳前海壹方汇</x:v>
      </x:c>
      <x:c r="F140" s="18" t="str">
        <x:v>深圳</x:v>
      </x:c>
      <x:c r="G140" s="18" t="str">
        <x:v>广东省</x:v>
      </x:c>
      <x:c r="H140" s="18" t="str">
        <x:v>南区</x:v>
      </x:c>
      <x:c r="I140" s="18" t="str">
        <x:v>Shopping Mall</x:v>
      </x:c>
      <x:c r="J140" s="18" t="str">
        <x:v>Regional Mall</x:v>
      </x:c>
      <x:c r="K140" s="18" t="str">
        <x:v>正常</x:v>
      </x:c>
      <x:c r="L140" s="62" t="n">
        <x:v>5</x:v>
      </x:c>
      <x:c r="M140" s="62" t="n">
        <x:v>48</x:v>
      </x:c>
      <x:c r="N140" s="63" t="n">
        <x:f>'Drivers'!C140</x:f>
        <x:v>1891</x:v>
      </x:c>
      <x:c r="O140" s="63" t="n">
        <x:f>'Drivers'!D140</x:f>
        <x:v>948.34</x:v>
      </x:c>
      <x:c r="P140" s="64" t="n">
        <x:f>ROUND(N140*O140/1000,3)</x:f>
        <x:v>1793.311</x:v>
      </x:c>
      <x:c r="Q140" s="64" t="n">
        <x:f>ROUND(P140*'Drivers'!E140,3)</x:f>
        <x:v>1751.905</x:v>
      </x:c>
      <x:c r="R140" s="64" t="n">
        <x:f>-ROUND(Q140*'Drivers'!F140,3)</x:f>
        <x:v>-372.331</x:v>
      </x:c>
      <x:c r="S140" s="65" t="n">
        <x:f>R140/Q140</x:f>
        <x:v>-0.21252921819390894</x:v>
      </x:c>
      <x:c r="T140" s="64" t="n">
        <x:f>-ROUND(Q140*'Drivers'!G140,3)</x:f>
        <x:v>-20.27</x:v>
      </x:c>
      <x:c r="U140" s="65" t="n">
        <x:f>T140/Q140</x:f>
        <x:v>-0.0115702620861291</x:v>
      </x:c>
      <x:c r="V140" s="64" t="n">
        <x:f>-ROUND(Q140*'Drivers'!H140,3)</x:f>
        <x:v>-18.575</x:v>
      </x:c>
      <x:c r="W140" s="64" t="n">
        <x:f>-ROUND(Q140*'Drivers'!I140,3)</x:f>
        <x:v>-13.583</x:v>
      </x:c>
      <x:c r="X140" s="64" t="n">
        <x:f>-ROUND(Q140*'Drivers'!J140,3)</x:f>
        <x:v>-22.876</x:v>
      </x:c>
      <x:c r="Y140" s="64" t="n">
        <x:f>-ROUND(Q140*'Drivers'!K140,3)</x:f>
        <x:v>-14.736</x:v>
      </x:c>
      <x:c r="Z140" s="64" t="n">
        <x:f>-ROUND(Q140*'Drivers'!L140,3)</x:f>
        <x:v>-20.971</x:v>
      </x:c>
      <x:c r="AA140" s="64" t="n">
        <x:f>-ROUND(Q140*'Drivers'!M140,3)</x:f>
        <x:v>-10.229</x:v>
      </x:c>
      <x:c r="AB140" s="64" t="n">
        <x:f>-ROUND(Q140*'Drivers'!N140,3)</x:f>
        <x:v>-13.101</x:v>
      </x:c>
      <x:c r="AC140" s="64" t="n">
        <x:f>SUM(V140:AB140)</x:f>
        <x:v>-114.07100000000001</x:v>
      </x:c>
      <x:c r="AD140" s="65" t="n">
        <x:f>AC140/Q140</x:f>
        <x:v>-0.06511254891104255</x:v>
      </x:c>
      <x:c r="AE140" s="64" t="n">
        <x:f>-ROUND(Q140*'Drivers'!O140,3)</x:f>
        <x:v>-21.186</x:v>
      </x:c>
      <x:c r="AF140" s="65" t="n">
        <x:f>AE140/Q140</x:f>
        <x:v>-0.012093121487751905</x:v>
      </x:c>
      <x:c r="AG140" s="64" t="n">
        <x:f>-ROUND(Q140*'Drivers'!P140,3)</x:f>
        <x:v>-4.672</x:v>
      </x:c>
      <x:c r="AH140" s="64" t="n">
        <x:f>-ROUND(Q140*'Drivers'!Q140,3)</x:f>
        <x:v>-6.332</x:v>
      </x:c>
      <x:c r="AI140" s="64" t="n">
        <x:f>SUM(R140,T140,AC140,AE140,AG140,AH140)</x:f>
        <x:v>-538.8620000000001</x:v>
      </x:c>
      <x:c r="AJ140" s="65" t="n">
        <x:f>AI140/Q140</x:f>
        <x:v>-0.3075863131847903</x:v>
      </x:c>
      <x:c r="AK140" s="64" t="n">
        <x:f>Q140+AI140</x:f>
        <x:v>1213.043</x:v>
      </x:c>
      <x:c r="AL140" s="65" t="n">
        <x:f>AK140/Q140</x:f>
        <x:v>0.6924136868152097</x:v>
      </x:c>
      <x:c r="AM140" s="64" t="n">
        <x:f>AK140/L140</x:f>
        <x:v>242.60859999999997</x:v>
      </x:c>
      <x:c r="AN140" s="66" t="str">
        <x:f>IF(AM140&lt;=200,"≤200K",IF(AM140&lt;=350,"200–350K",IF(AM140&lt;=500,"350–500K",IF(AM140&lt;=700,"500–700K","&gt;700K"))))</x:f>
        <x:v>200–350K</x:v>
      </x:c>
      <x:c r="AO140" s="64" t="n">
        <x:f>-ROUND(Q140*'Drivers'!R140,3)</x:f>
        <x:v>-617.522</x:v>
      </x:c>
      <x:c r="AP140" s="64" t="n">
        <x:f>-ROUND(AK140*'Drivers'!S140,3)</x:f>
        <x:v>-20.599</x:v>
      </x:c>
      <x:c r="AQ140" s="64" t="n">
        <x:f>-ROUND(AK140*'Drivers'!T140,3)</x:f>
        <x:v>-7.962</x:v>
      </x:c>
      <x:c r="AR140" s="64" t="n">
        <x:f>-ROUND(AK140*'Drivers'!U140,3)</x:f>
        <x:v>-13.677</x:v>
      </x:c>
      <x:c r="AS140" s="64" t="n">
        <x:f>-ROUND(AK140*'Drivers'!V140,3)</x:f>
        <x:v>-36.947</x:v>
      </x:c>
      <x:c r="AT140" s="64" t="n">
        <x:f>SUM(AO140:AS140)</x:f>
        <x:v>-696.7070000000001</x:v>
      </x:c>
      <x:c r="AU140" s="65" t="n">
        <x:f>AT140/AK140</x:f>
        <x:v>-0.57434649884629</x:v>
      </x:c>
      <x:c r="AV140" s="64" t="n">
        <x:f>AK140+AT140</x:f>
        <x:v>516.3359999999998</x:v>
      </x:c>
      <x:c r="AW140" s="65" t="n">
        <x:f>AV140/AK140</x:f>
        <x:v>0.42565350115371</x:v>
      </x:c>
      <x:c r="AX140" s="64" t="n">
        <x:f>-ROUND(AK140*'Drivers'!W140,3)</x:f>
        <x:v>-33.617</x:v>
      </x:c>
      <x:c r="AY140" s="64" t="n">
        <x:f>-ROUND(AK140*'Drivers'!X140,3)</x:f>
        <x:v>-72.181</x:v>
      </x:c>
      <x:c r="AZ140" s="64" t="n">
        <x:f>-ROUND(AK140*'Drivers'!Y140,3)</x:f>
        <x:v>-54.65</x:v>
      </x:c>
      <x:c r="BA140" s="64" t="n">
        <x:f>-ROUND(AK140*'Drivers'!Z140,3)</x:f>
        <x:v>-9.794</x:v>
      </x:c>
      <x:c r="BB140" s="64" t="n">
        <x:f>-ROUND(AK140*'Drivers'!AA140,3)</x:f>
        <x:v>-13.393</x:v>
      </x:c>
      <x:c r="BC140" s="64" t="n">
        <x:f>SUM(BA140,BB140)</x:f>
        <x:v>-23.187</x:v>
      </x:c>
      <x:c r="BD140" s="64" t="n">
        <x:f>-ROUND(AK140*'Drivers'!AB140,3)</x:f>
        <x:v>-15.458</x:v>
      </x:c>
      <x:c r="BE140" s="64" t="n">
        <x:f>SUM(AX140:BB140,BD140)</x:f>
        <x:v>-199.09300000000002</x:v>
      </x:c>
      <x:c r="BF140" s="67" t="n">
        <x:f>'Drivers'!AF140</x:f>
        <x:v>9</x:v>
      </x:c>
      <x:c r="BG140" s="64" t="n">
        <x:f>BJ140</x:f>
        <x:v>-69.244</x:v>
      </x:c>
      <x:c r="BH140" s="64" t="n">
        <x:f>BE140/BF140</x:f>
        <x:v>-22.121444444444446</x:v>
      </x:c>
      <x:c r="BI140" s="68" t="n">
        <x:f>BF140/L140</x:f>
        <x:v>1.8</x:v>
      </x:c>
      <x:c r="BJ140" s="64" t="n">
        <x:f>-ROUND(AK140*'Drivers'!AC140,3)</x:f>
        <x:v>-69.244</x:v>
      </x:c>
      <x:c r="BK140" s="64" t="n">
        <x:f>-ROUND(AK140*'Drivers'!AD140,3)</x:f>
        <x:v>-125.599</x:v>
      </x:c>
      <x:c r="BL140" s="64" t="n">
        <x:f>SUM(AV140,BE140,BJ140,BK140)</x:f>
        <x:v>122.39999999999976</x:v>
      </x:c>
      <x:c r="BM140" s="65" t="n">
        <x:f>BL140/AK140</x:f>
        <x:v>0.10090326558910094</x:v>
      </x:c>
      <x:c r="BN140" s="64" t="n">
        <x:f>-ROUND(AK140*'Drivers'!AE140,3)</x:f>
        <x:v>-103.022</x:v>
      </x:c>
      <x:c r="BO140" s="64" t="n">
        <x:f>BL140+BN140</x:f>
        <x:v>19.37799999999976</x:v>
      </x:c>
      <x:c r="BP140" s="65" t="n">
        <x:f>BO140/AK140</x:f>
        <x:v>0.015974701638771058</x:v>
      </x:c>
    </x:row>
    <x:row r="141">
      <x:c r="A141" s="61" t="n">
        <x:v>2026</x:v>
      </x:c>
      <x:c r="B141" s="18" t="str">
        <x:v>S2</x:v>
      </x:c>
      <x:c r="C141" s="18" t="str">
        <x:v>2026 S2</x:v>
      </x:c>
      <x:c r="D141" s="18" t="str">
        <x:v>CNCT0035</x:v>
      </x:c>
      <x:c r="E141" s="18" t="str">
        <x:v>深圳前海壹方汇</x:v>
      </x:c>
      <x:c r="F141" s="18" t="str">
        <x:v>深圳</x:v>
      </x:c>
      <x:c r="G141" s="18" t="str">
        <x:v>广东省</x:v>
      </x:c>
      <x:c r="H141" s="18" t="str">
        <x:v>南区</x:v>
      </x:c>
      <x:c r="I141" s="18" t="str">
        <x:v>Shopping Mall</x:v>
      </x:c>
      <x:c r="J141" s="18" t="str">
        <x:v>Regional Mall</x:v>
      </x:c>
      <x:c r="K141" s="18" t="str">
        <x:v>正常</x:v>
      </x:c>
      <x:c r="L141" s="62" t="n">
        <x:v>5</x:v>
      </x:c>
      <x:c r="M141" s="62" t="n">
        <x:v>48</x:v>
      </x:c>
      <x:c r="N141" s="63" t="n">
        <x:f>'Drivers'!C141</x:f>
        <x:v>2381</x:v>
      </x:c>
      <x:c r="O141" s="63" t="n">
        <x:f>'Drivers'!D141</x:f>
        <x:v>953.611</x:v>
      </x:c>
      <x:c r="P141" s="64" t="n">
        <x:f>ROUND(N141*O141/1000,3)</x:f>
        <x:v>2270.548</x:v>
      </x:c>
      <x:c r="Q141" s="64" t="n">
        <x:f>ROUND(P141*'Drivers'!E141,3)</x:f>
        <x:v>2195.755</x:v>
      </x:c>
      <x:c r="R141" s="64" t="n">
        <x:f>-ROUND(Q141*'Drivers'!F141,3)</x:f>
        <x:v>-476.515</x:v>
      </x:c>
      <x:c r="S141" s="65" t="n">
        <x:f>R141/Q141</x:f>
        <x:v>-0.21701647041678146</x:v>
      </x:c>
      <x:c r="T141" s="64" t="n">
        <x:f>-ROUND(Q141*'Drivers'!G141,3)</x:f>
        <x:v>-25.58</x:v>
      </x:c>
      <x:c r="U141" s="65" t="n">
        <x:f>T141/Q141</x:f>
        <x:v>-0.011649751452233969</x:v>
      </x:c>
      <x:c r="V141" s="64" t="n">
        <x:f>-ROUND(Q141*'Drivers'!H141,3)</x:f>
        <x:v>-23.28</x:v>
      </x:c>
      <x:c r="W141" s="64" t="n">
        <x:f>-ROUND(Q141*'Drivers'!I141,3)</x:f>
        <x:v>-17.024</x:v>
      </x:c>
      <x:c r="X141" s="64" t="n">
        <x:f>-ROUND(Q141*'Drivers'!J141,3)</x:f>
        <x:v>-28.672</x:v>
      </x:c>
      <x:c r="Y141" s="64" t="n">
        <x:f>-ROUND(Q141*'Drivers'!K141,3)</x:f>
        <x:v>-18.469</x:v>
      </x:c>
      <x:c r="Z141" s="64" t="n">
        <x:f>-ROUND(Q141*'Drivers'!L141,3)</x:f>
        <x:v>-26.284</x:v>
      </x:c>
      <x:c r="AA141" s="64" t="n">
        <x:f>-ROUND(Q141*'Drivers'!M141,3)</x:f>
        <x:v>-12.821</x:v>
      </x:c>
      <x:c r="AB141" s="64" t="n">
        <x:f>-ROUND(Q141*'Drivers'!N141,3)</x:f>
        <x:v>-16.42</x:v>
      </x:c>
      <x:c r="AC141" s="64" t="n">
        <x:f>SUM(V141:AB141)</x:f>
        <x:v>-142.96999999999997</x:v>
      </x:c>
      <x:c r="AD141" s="65" t="n">
        <x:f>AC141/Q141</x:f>
        <x:v>-0.06511200020038664</x:v>
      </x:c>
      <x:c r="AE141" s="64" t="n">
        <x:f>-ROUND(Q141*'Drivers'!O141,3)</x:f>
        <x:v>-30.525</x:v>
      </x:c>
      <x:c r="AF141" s="65" t="n">
        <x:f>AE141/Q141</x:f>
        <x:v>-0.013901824201698276</x:v>
      </x:c>
      <x:c r="AG141" s="64" t="n">
        <x:f>-ROUND(Q141*'Drivers'!P141,3)</x:f>
        <x:v>-5.856</x:v>
      </x:c>
      <x:c r="AH141" s="64" t="n">
        <x:f>-ROUND(Q141*'Drivers'!Q141,3)</x:f>
        <x:v>-7.936</x:v>
      </x:c>
      <x:c r="AI141" s="64" t="n">
        <x:f>SUM(R141,T141,AC141,AE141,AG141,AH141)</x:f>
        <x:v>-689.382</x:v>
      </x:c>
      <x:c r="AJ141" s="65" t="n">
        <x:f>AI141/Q141</x:f>
        <x:v>-0.31396125706192174</x:v>
      </x:c>
      <x:c r="AK141" s="64" t="n">
        <x:f>Q141+AI141</x:f>
        <x:v>1506.373</x:v>
      </x:c>
      <x:c r="AL141" s="65" t="n">
        <x:f>AK141/Q141</x:f>
        <x:v>0.6860387429380782</x:v>
      </x:c>
      <x:c r="AM141" s="64" t="n">
        <x:f>AK141/L141</x:f>
        <x:v>301.2746</x:v>
      </x:c>
      <x:c r="AN141" s="66" t="str">
        <x:f>IF(AM141&lt;=200,"≤200K",IF(AM141&lt;=350,"200–350K",IF(AM141&lt;=500,"350–500K",IF(AM141&lt;=700,"500–700K","&gt;700K"))))</x:f>
        <x:v>200–350K</x:v>
      </x:c>
      <x:c r="AO141" s="64" t="n">
        <x:f>-ROUND(Q141*'Drivers'!R141,3)</x:f>
        <x:v>-794.904</x:v>
      </x:c>
      <x:c r="AP141" s="64" t="n">
        <x:f>-ROUND(AK141*'Drivers'!S141,3)</x:f>
        <x:v>-25.581</x:v>
      </x:c>
      <x:c r="AQ141" s="64" t="n">
        <x:f>-ROUND(AK141*'Drivers'!T141,3)</x:f>
        <x:v>-9.887</x:v>
      </x:c>
      <x:c r="AR141" s="64" t="n">
        <x:f>-ROUND(AK141*'Drivers'!U141,3)</x:f>
        <x:v>-16.984</x:v>
      </x:c>
      <x:c r="AS141" s="64" t="n">
        <x:f>-ROUND(AK141*'Drivers'!V141,3)</x:f>
        <x:v>-45.881</x:v>
      </x:c>
      <x:c r="AT141" s="64" t="n">
        <x:f>SUM(AO141:AS141)</x:f>
        <x:v>-893.2370000000001</x:v>
      </x:c>
      <x:c r="AU141" s="65" t="n">
        <x:f>AT141/AK141</x:f>
        <x:v>-0.5929719929924395</x:v>
      </x:c>
      <x:c r="AV141" s="64" t="n">
        <x:f>AK141+AT141</x:f>
        <x:v>613.136</x:v>
      </x:c>
      <x:c r="AW141" s="65" t="n">
        <x:f>AV141/AK141</x:f>
        <x:v>0.40702800700756053</x:v>
      </x:c>
      <x:c r="AX141" s="64" t="n">
        <x:f>-ROUND(AK141*'Drivers'!W141,3)</x:f>
        <x:v>-28.066</x:v>
      </x:c>
      <x:c r="AY141" s="64" t="n">
        <x:f>-ROUND(AK141*'Drivers'!X141,3)</x:f>
        <x:v>-60.263</x:v>
      </x:c>
      <x:c r="AZ141" s="64" t="n">
        <x:f>-ROUND(AK141*'Drivers'!Y141,3)</x:f>
        <x:v>-45.627</x:v>
      </x:c>
      <x:c r="BA141" s="64" t="n">
        <x:f>-ROUND(AK141*'Drivers'!Z141,3)</x:f>
        <x:v>-11.039</x:v>
      </x:c>
      <x:c r="BB141" s="64" t="n">
        <x:f>-ROUND(AK141*'Drivers'!AA141,3)</x:f>
        <x:v>-15.095</x:v>
      </x:c>
      <x:c r="BC141" s="64" t="n">
        <x:f>SUM(BA141,BB141)</x:f>
        <x:v>-26.134</x:v>
      </x:c>
      <x:c r="BD141" s="64" t="n">
        <x:f>-ROUND(AK141*'Drivers'!AB141,3)</x:f>
        <x:v>-12.906</x:v>
      </x:c>
      <x:c r="BE141" s="64" t="n">
        <x:f>SUM(AX141:BB141,BD141)</x:f>
        <x:v>-172.99599999999998</x:v>
      </x:c>
      <x:c r="BF141" s="67" t="n">
        <x:f>'Drivers'!AF141</x:f>
        <x:v>9</x:v>
      </x:c>
      <x:c r="BG141" s="64" t="n">
        <x:f>BJ141</x:f>
        <x:v>-57.811</x:v>
      </x:c>
      <x:c r="BH141" s="64" t="n">
        <x:f>BE141/BF141</x:f>
        <x:v>-19.221777777777774</x:v>
      </x:c>
      <x:c r="BI141" s="68" t="n">
        <x:f>BF141/L141</x:f>
        <x:v>1.8</x:v>
      </x:c>
      <x:c r="BJ141" s="64" t="n">
        <x:f>-ROUND(AK141*'Drivers'!AC141,3)</x:f>
        <x:v>-57.811</x:v>
      </x:c>
      <x:c r="BK141" s="64" t="n">
        <x:f>-ROUND(AK141*'Drivers'!AD141,3)</x:f>
        <x:v>-139.259</x:v>
      </x:c>
      <x:c r="BL141" s="64" t="n">
        <x:f>SUM(AV141,BE141,BJ141,BK141)</x:f>
        <x:v>243.07000000000002</x:v>
      </x:c>
      <x:c r="BM141" s="65" t="n">
        <x:f>BL141/AK141</x:f>
        <x:v>0.16136109715190064</x:v>
      </x:c>
      <x:c r="BN141" s="64" t="n">
        <x:f>-ROUND(AK141*'Drivers'!AE141,3)</x:f>
        <x:v>-127.934</x:v>
      </x:c>
      <x:c r="BO141" s="64" t="n">
        <x:f>BL141+BN141</x:f>
        <x:v>115.13600000000002</x:v>
      </x:c>
      <x:c r="BP141" s="65" t="n">
        <x:f>BO141/AK141</x:f>
        <x:v>0.0764325967074556</x:v>
      </x:c>
    </x:row>
    <x:row r="142">
      <x:c r="A142" s="61" t="n">
        <x:v>2025</x:v>
      </x:c>
      <x:c r="B142" s="18" t="str">
        <x:v>S1</x:v>
      </x:c>
      <x:c r="C142" s="18" t="str">
        <x:v>2025 S1</x:v>
      </x:c>
      <x:c r="D142" s="18" t="str">
        <x:v>CNCT0036</x:v>
      </x:c>
      <x:c r="E142" s="18" t="str">
        <x:v>深圳深业上城</x:v>
      </x:c>
      <x:c r="F142" s="18" t="str">
        <x:v>深圳</x:v>
      </x:c>
      <x:c r="G142" s="18" t="str">
        <x:v>广东省</x:v>
      </x:c>
      <x:c r="H142" s="18" t="str">
        <x:v>南区</x:v>
      </x:c>
      <x:c r="I142" s="18" t="str">
        <x:v>Shopping Mall</x:v>
      </x:c>
      <x:c r="J142" s="18" t="str">
        <x:v>Regional Mall</x:v>
      </x:c>
      <x:c r="K142" s="18" t="str">
        <x:v>正常</x:v>
      </x:c>
      <x:c r="L142" s="62" t="n">
        <x:v>6</x:v>
      </x:c>
      <x:c r="M142" s="62" t="n">
        <x:v>48</x:v>
      </x:c>
      <x:c r="N142" s="63" t="n">
        <x:f>'Drivers'!C142</x:f>
        <x:v>2016</x:v>
      </x:c>
      <x:c r="O142" s="63" t="n">
        <x:f>'Drivers'!D142</x:f>
        <x:v>986.961</x:v>
      </x:c>
      <x:c r="P142" s="64" t="n">
        <x:f>ROUND(N142*O142/1000,3)</x:f>
        <x:v>1989.713</x:v>
      </x:c>
      <x:c r="Q142" s="64" t="n">
        <x:f>ROUND(P142*'Drivers'!E142,3)</x:f>
        <x:v>1958.141</x:v>
      </x:c>
      <x:c r="R142" s="64" t="n">
        <x:f>-ROUND(Q142*'Drivers'!F142,3)</x:f>
        <x:v>-366.368</x:v>
      </x:c>
      <x:c r="S142" s="65" t="n">
        <x:f>R142/Q142</x:f>
        <x:v>-0.18709990751432098</x:v>
      </x:c>
      <x:c r="T142" s="64" t="n">
        <x:f>-ROUND(Q142*'Drivers'!G142,3)</x:f>
        <x:v>-17.794</x:v>
      </x:c>
      <x:c r="U142" s="65" t="n">
        <x:f>T142/Q142</x:f>
        <x:v>-0.009087190350439523</x:v>
      </x:c>
      <x:c r="V142" s="64" t="n">
        <x:f>-ROUND(Q142*'Drivers'!H142,3)</x:f>
        <x:v>-24.333</x:v>
      </x:c>
      <x:c r="W142" s="64" t="n">
        <x:f>-ROUND(Q142*'Drivers'!I142,3)</x:f>
        <x:v>-18.109</x:v>
      </x:c>
      <x:c r="X142" s="64" t="n">
        <x:f>-ROUND(Q142*'Drivers'!J142,3)</x:f>
        <x:v>-30.759</x:v>
      </x:c>
      <x:c r="Y142" s="64" t="n">
        <x:f>-ROUND(Q142*'Drivers'!K142,3)</x:f>
        <x:v>-16.1</x:v>
      </x:c>
      <x:c r="Z142" s="64" t="n">
        <x:f>-ROUND(Q142*'Drivers'!L142,3)</x:f>
        <x:v>-20.121</x:v>
      </x:c>
      <x:c r="AA142" s="64" t="n">
        <x:f>-ROUND(Q142*'Drivers'!M142,3)</x:f>
        <x:v>-11.562</x:v>
      </x:c>
      <x:c r="AB142" s="64" t="n">
        <x:f>-ROUND(Q142*'Drivers'!N142,3)</x:f>
        <x:v>-11.317</x:v>
      </x:c>
      <x:c r="AC142" s="64" t="n">
        <x:f>SUM(V142:AB142)</x:f>
        <x:v>-132.301</x:v>
      </x:c>
      <x:c r="AD142" s="65" t="n">
        <x:f>AC142/Q142</x:f>
        <x:v>-0.0675645931523828</x:v>
      </x:c>
      <x:c r="AE142" s="64" t="n">
        <x:f>-ROUND(Q142*'Drivers'!O142,3)</x:f>
        <x:v>-12.668</x:v>
      </x:c>
      <x:c r="AF142" s="65" t="n">
        <x:f>AE142/Q142</x:f>
        <x:v>-0.006469401335246031</x:v>
      </x:c>
      <x:c r="AG142" s="64" t="n">
        <x:f>-ROUND(Q142*'Drivers'!P142,3)</x:f>
        <x:v>-0.983</x:v>
      </x:c>
      <x:c r="AH142" s="64" t="n">
        <x:f>-ROUND(Q142*'Drivers'!Q142,3)</x:f>
        <x:v>-2.021</x:v>
      </x:c>
      <x:c r="AI142" s="64" t="n">
        <x:f>SUM(R142,T142,AC142,AE142,AG142,AH142)</x:f>
        <x:v>-532.1349999999999</x:v>
      </x:c>
      <x:c r="AJ142" s="65" t="n">
        <x:f>AI142/Q142</x:f>
        <x:v>-0.2717552004681991</x:v>
      </x:c>
      <x:c r="AK142" s="64" t="n">
        <x:f>Q142+AI142</x:f>
        <x:v>1426.0060000000003</x:v>
      </x:c>
      <x:c r="AL142" s="65" t="n">
        <x:f>AK142/Q142</x:f>
        <x:v>0.728244799531801</x:v>
      </x:c>
      <x:c r="AM142" s="64" t="n">
        <x:f>AK142/L142</x:f>
        <x:v>237.66766666666672</x:v>
      </x:c>
      <x:c r="AN142" s="66" t="str">
        <x:f>IF(AM142&lt;=200,"≤200K",IF(AM142&lt;=350,"200–350K",IF(AM142&lt;=500,"350–500K",IF(AM142&lt;=700,"500–700K","&gt;700K"))))</x:f>
        <x:v>200–350K</x:v>
      </x:c>
      <x:c r="AO142" s="64" t="n">
        <x:f>-ROUND(Q142*'Drivers'!R142,3)</x:f>
        <x:v>-729.44</x:v>
      </x:c>
      <x:c r="AP142" s="64" t="n">
        <x:f>-ROUND(AK142*'Drivers'!S142,3)</x:f>
        <x:v>-23.278</x:v>
      </x:c>
      <x:c r="AQ142" s="64" t="n">
        <x:f>-ROUND(AK142*'Drivers'!T142,3)</x:f>
        <x:v>-9.434</x:v>
      </x:c>
      <x:c r="AR142" s="64" t="n">
        <x:f>-ROUND(AK142*'Drivers'!U142,3)</x:f>
        <x:v>-12.55</x:v>
      </x:c>
      <x:c r="AS142" s="64" t="n">
        <x:f>-ROUND(AK142*'Drivers'!V142,3)</x:f>
        <x:v>-46.008</x:v>
      </x:c>
      <x:c r="AT142" s="64" t="n">
        <x:f>SUM(AO142:AS142)</x:f>
        <x:v>-820.71</x:v>
      </x:c>
      <x:c r="AU142" s="65" t="n">
        <x:f>AT142/AK142</x:f>
        <x:v>-0.5755305377396728</x:v>
      </x:c>
      <x:c r="AV142" s="64" t="n">
        <x:f>AK142+AT142</x:f>
        <x:v>605.2960000000003</x:v>
      </x:c>
      <x:c r="AW142" s="65" t="n">
        <x:f>AV142/AK142</x:f>
        <x:v>0.4244694622603272</x:v>
      </x:c>
      <x:c r="AX142" s="64" t="n">
        <x:f>-ROUND(AK142*'Drivers'!W142,3)</x:f>
        <x:v>-19.053</x:v>
      </x:c>
      <x:c r="AY142" s="64" t="n">
        <x:f>-ROUND(AK142*'Drivers'!X142,3)</x:f>
        <x:v>-31.486</x:v>
      </x:c>
      <x:c r="AZ142" s="64" t="n">
        <x:f>-ROUND(AK142*'Drivers'!Y142,3)</x:f>
        <x:v>-25.02</x:v>
      </x:c>
      <x:c r="BA142" s="64" t="n">
        <x:f>-ROUND(AK142*'Drivers'!Z142,3)</x:f>
        <x:v>-13.27</x:v>
      </x:c>
      <x:c r="BB142" s="64" t="n">
        <x:f>-ROUND(AK142*'Drivers'!AA142,3)</x:f>
        <x:v>-13.584</x:v>
      </x:c>
      <x:c r="BC142" s="64" t="n">
        <x:f>SUM(BA142,BB142)</x:f>
        <x:v>-26.854</x:v>
      </x:c>
      <x:c r="BD142" s="64" t="n">
        <x:f>-ROUND(AK142*'Drivers'!AB142,3)</x:f>
        <x:v>-10.497</x:v>
      </x:c>
      <x:c r="BE142" s="64" t="n">
        <x:f>SUM(AX142:BB142,BD142)</x:f>
        <x:v>-112.91</x:v>
      </x:c>
      <x:c r="BF142" s="67" t="n">
        <x:f>'Drivers'!AF142</x:f>
        <x:v>9</x:v>
      </x:c>
      <x:c r="BG142" s="64" t="n">
        <x:f>BJ142</x:f>
        <x:v>-52.84</x:v>
      </x:c>
      <x:c r="BH142" s="64" t="n">
        <x:f>BE142/BF142</x:f>
        <x:v>-12.545555555555556</x:v>
      </x:c>
      <x:c r="BI142" s="68" t="n">
        <x:f>BF142/L142</x:f>
        <x:v>1.5</x:v>
      </x:c>
      <x:c r="BJ142" s="64" t="n">
        <x:f>-ROUND(AK142*'Drivers'!AC142,3)</x:f>
        <x:v>-52.84</x:v>
      </x:c>
      <x:c r="BK142" s="64" t="n">
        <x:f>-ROUND(AK142*'Drivers'!AD142,3)</x:f>
        <x:v>-126.46</x:v>
      </x:c>
      <x:c r="BL142" s="64" t="n">
        <x:f>SUM(AV142,BE142,BJ142,BK142)</x:f>
        <x:v>313.0860000000003</x:v>
      </x:c>
      <x:c r="BM142" s="65" t="n">
        <x:f>BL142/AK142</x:f>
        <x:v>0.21955447592787142</x:v>
      </x:c>
      <x:c r="BN142" s="64" t="n">
        <x:f>-ROUND(AK142*'Drivers'!AE142,3)</x:f>
        <x:v>-94.359</x:v>
      </x:c>
      <x:c r="BO142" s="64" t="n">
        <x:f>BL142+BN142</x:f>
        <x:v>218.72700000000032</x:v>
      </x:c>
      <x:c r="BP142" s="65" t="n">
        <x:f>BO142/AK142</x:f>
        <x:v>0.15338434761144082</x:v>
      </x:c>
    </x:row>
    <x:row r="143">
      <x:c r="A143" s="61" t="n">
        <x:v>2025</x:v>
      </x:c>
      <x:c r="B143" s="18" t="str">
        <x:v>S2</x:v>
      </x:c>
      <x:c r="C143" s="18" t="str">
        <x:v>2025 S2</x:v>
      </x:c>
      <x:c r="D143" s="18" t="str">
        <x:v>CNCT0036</x:v>
      </x:c>
      <x:c r="E143" s="18" t="str">
        <x:v>深圳深业上城</x:v>
      </x:c>
      <x:c r="F143" s="18" t="str">
        <x:v>深圳</x:v>
      </x:c>
      <x:c r="G143" s="18" t="str">
        <x:v>广东省</x:v>
      </x:c>
      <x:c r="H143" s="18" t="str">
        <x:v>南区</x:v>
      </x:c>
      <x:c r="I143" s="18" t="str">
        <x:v>Shopping Mall</x:v>
      </x:c>
      <x:c r="J143" s="18" t="str">
        <x:v>Regional Mall</x:v>
      </x:c>
      <x:c r="K143" s="18" t="str">
        <x:v>正常</x:v>
      </x:c>
      <x:c r="L143" s="62" t="n">
        <x:v>6</x:v>
      </x:c>
      <x:c r="M143" s="62" t="n">
        <x:v>48</x:v>
      </x:c>
      <x:c r="N143" s="63" t="n">
        <x:f>'Drivers'!C143</x:f>
        <x:v>2176</x:v>
      </x:c>
      <x:c r="O143" s="63" t="n">
        <x:f>'Drivers'!D143</x:f>
        <x:v>998.805</x:v>
      </x:c>
      <x:c r="P143" s="64" t="n">
        <x:f>ROUND(N143*O143/1000,3)</x:f>
        <x:v>2173.4</x:v>
      </x:c>
      <x:c r="Q143" s="64" t="n">
        <x:f>ROUND(P143*'Drivers'!E143,3)</x:f>
        <x:v>2111.1</x:v>
      </x:c>
      <x:c r="R143" s="64" t="n">
        <x:f>-ROUND(Q143*'Drivers'!F143,3)</x:f>
        <x:v>-394.986</x:v>
      </x:c>
      <x:c r="S143" s="65" t="n">
        <x:f>R143/Q143</x:f>
        <x:v>-0.1870996163137701</x:v>
      </x:c>
      <x:c r="T143" s="64" t="n">
        <x:f>-ROUND(Q143*'Drivers'!G143,3)</x:f>
        <x:v>-19.184</x:v>
      </x:c>
      <x:c r="U143" s="65" t="n">
        <x:f>T143/Q143</x:f>
        <x:v>-0.00908720572213538</x:v>
      </x:c>
      <x:c r="V143" s="64" t="n">
        <x:f>-ROUND(Q143*'Drivers'!H143,3)</x:f>
        <x:v>-26.233</x:v>
      </x:c>
      <x:c r="W143" s="64" t="n">
        <x:f>-ROUND(Q143*'Drivers'!I143,3)</x:f>
        <x:v>-19.523</x:v>
      </x:c>
      <x:c r="X143" s="64" t="n">
        <x:f>-ROUND(Q143*'Drivers'!J143,3)</x:f>
        <x:v>-33.162</x:v>
      </x:c>
      <x:c r="Y143" s="64" t="n">
        <x:f>-ROUND(Q143*'Drivers'!K143,3)</x:f>
        <x:v>-17.357</x:v>
      </x:c>
      <x:c r="Z143" s="64" t="n">
        <x:f>-ROUND(Q143*'Drivers'!L143,3)</x:f>
        <x:v>-21.693</x:v>
      </x:c>
      <x:c r="AA143" s="64" t="n">
        <x:f>-ROUND(Q143*'Drivers'!M143,3)</x:f>
        <x:v>-12.465</x:v>
      </x:c>
      <x:c r="AB143" s="64" t="n">
        <x:f>-ROUND(Q143*'Drivers'!N143,3)</x:f>
        <x:v>-12.201</x:v>
      </x:c>
      <x:c r="AC143" s="64" t="n">
        <x:f>SUM(V143:AB143)</x:f>
        <x:v>-142.634</x:v>
      </x:c>
      <x:c r="AD143" s="65" t="n">
        <x:f>AC143/Q143</x:f>
        <x:v>-0.06756382928331202</x:v>
      </x:c>
      <x:c r="AE143" s="64" t="n">
        <x:f>-ROUND(Q143*'Drivers'!O143,3)</x:f>
        <x:v>-13.657</x:v>
      </x:c>
      <x:c r="AF143" s="65" t="n">
        <x:f>AE143/Q143</x:f>
        <x:v>-0.006469139311259533</x:v>
      </x:c>
      <x:c r="AG143" s="64" t="n">
        <x:f>-ROUND(Q143*'Drivers'!P143,3)</x:f>
        <x:v>-1.06</x:v>
      </x:c>
      <x:c r="AH143" s="64" t="n">
        <x:f>-ROUND(Q143*'Drivers'!Q143,3)</x:f>
        <x:v>-2.179</x:v>
      </x:c>
      <x:c r="AI143" s="64" t="n">
        <x:f>SUM(R143,T143,AC143,AE143,AG143,AH143)</x:f>
        <x:v>-573.6999999999999</x:v>
      </x:c>
      <x:c r="AJ143" s="65" t="n">
        <x:f>AI143/Q143</x:f>
        <x:v>-0.2717540618634835</x:v>
      </x:c>
      <x:c r="AK143" s="64" t="n">
        <x:f>Q143+AI143</x:f>
        <x:v>1537.4</x:v>
      </x:c>
      <x:c r="AL143" s="65" t="n">
        <x:f>AK143/Q143</x:f>
        <x:v>0.7282459381365166</x:v>
      </x:c>
      <x:c r="AM143" s="64" t="n">
        <x:f>AK143/L143</x:f>
        <x:v>256.23333333333335</x:v>
      </x:c>
      <x:c r="AN143" s="66" t="str">
        <x:f>IF(AM143&lt;=200,"≤200K",IF(AM143&lt;=350,"200–350K",IF(AM143&lt;=500,"350–500K",IF(AM143&lt;=700,"500–700K","&gt;700K"))))</x:f>
        <x:v>200–350K</x:v>
      </x:c>
      <x:c r="AO143" s="64" t="n">
        <x:f>-ROUND(Q143*'Drivers'!R143,3)</x:f>
        <x:v>-802.062</x:v>
      </x:c>
      <x:c r="AP143" s="64" t="n">
        <x:f>-ROUND(AK143*'Drivers'!S143,3)</x:f>
        <x:v>-25.096</x:v>
      </x:c>
      <x:c r="AQ143" s="64" t="n">
        <x:f>-ROUND(AK143*'Drivers'!T143,3)</x:f>
        <x:v>-10.171</x:v>
      </x:c>
      <x:c r="AR143" s="64" t="n">
        <x:f>-ROUND(AK143*'Drivers'!U143,3)</x:f>
        <x:v>-13.53</x:v>
      </x:c>
      <x:c r="AS143" s="64" t="n">
        <x:f>-ROUND(AK143*'Drivers'!V143,3)</x:f>
        <x:v>-49.602</x:v>
      </x:c>
      <x:c r="AT143" s="64" t="n">
        <x:f>SUM(AO143:AS143)</x:f>
        <x:v>-900.461</x:v>
      </x:c>
      <x:c r="AU143" s="65" t="n">
        <x:f>AT143/AK143</x:f>
        <x:v>-0.5857037856120723</x:v>
      </x:c>
      <x:c r="AV143" s="64" t="n">
        <x:f>AK143+AT143</x:f>
        <x:v>636.9390000000001</x:v>
      </x:c>
      <x:c r="AW143" s="65" t="n">
        <x:f>AV143/AK143</x:f>
        <x:v>0.4142962143879277</x:v>
      </x:c>
      <x:c r="AX143" s="64" t="n">
        <x:f>-ROUND(AK143*'Drivers'!W143,3)</x:f>
        <x:v>-20.541</x:v>
      </x:c>
      <x:c r="AY143" s="64" t="n">
        <x:f>-ROUND(AK143*'Drivers'!X143,3)</x:f>
        <x:v>-33.946</x:v>
      </x:c>
      <x:c r="AZ143" s="64" t="n">
        <x:f>-ROUND(AK143*'Drivers'!Y143,3)</x:f>
        <x:v>-26.975</x:v>
      </x:c>
      <x:c r="BA143" s="64" t="n">
        <x:f>-ROUND(AK143*'Drivers'!Z143,3)</x:f>
        <x:v>-14.307</x:v>
      </x:c>
      <x:c r="BB143" s="64" t="n">
        <x:f>-ROUND(AK143*'Drivers'!AA143,3)</x:f>
        <x:v>-14.645</x:v>
      </x:c>
      <x:c r="BC143" s="64" t="n">
        <x:f>SUM(BA143,BB143)</x:f>
        <x:v>-28.951999999999998</x:v>
      </x:c>
      <x:c r="BD143" s="64" t="n">
        <x:f>-ROUND(AK143*'Drivers'!AB143,3)</x:f>
        <x:v>-11.317</x:v>
      </x:c>
      <x:c r="BE143" s="64" t="n">
        <x:f>SUM(AX143:BB143,BD143)</x:f>
        <x:v>-121.731</x:v>
      </x:c>
      <x:c r="BF143" s="67" t="n">
        <x:f>'Drivers'!AF143</x:f>
        <x:v>9</x:v>
      </x:c>
      <x:c r="BG143" s="64" t="n">
        <x:f>BJ143</x:f>
        <x:v>-56.968</x:v>
      </x:c>
      <x:c r="BH143" s="64" t="n">
        <x:f>BE143/BF143</x:f>
        <x:v>-13.525666666666666</x:v>
      </x:c>
      <x:c r="BI143" s="68" t="n">
        <x:f>BF143/L143</x:f>
        <x:v>1.5</x:v>
      </x:c>
      <x:c r="BJ143" s="64" t="n">
        <x:f>-ROUND(AK143*'Drivers'!AC143,3)</x:f>
        <x:v>-56.968</x:v>
      </x:c>
      <x:c r="BK143" s="64" t="n">
        <x:f>-ROUND(AK143*'Drivers'!AD143,3)</x:f>
        <x:v>-136.339</x:v>
      </x:c>
      <x:c r="BL143" s="64" t="n">
        <x:f>SUM(AV143,BE143,BJ143,BK143)</x:f>
        <x:v>321.90100000000007</x:v>
      </x:c>
      <x:c r="BM143" s="65" t="n">
        <x:f>BL143/AK143</x:f>
        <x:v>0.20938012228437625</x:v>
      </x:c>
      <x:c r="BN143" s="64" t="n">
        <x:f>-ROUND(AK143*'Drivers'!AE143,3)</x:f>
        <x:v>-101.73</x:v>
      </x:c>
      <x:c r="BO143" s="64" t="n">
        <x:f>BL143+BN143</x:f>
        <x:v>220.17100000000005</x:v>
      </x:c>
      <x:c r="BP143" s="65" t="n">
        <x:f>BO143/AK143</x:f>
        <x:v>0.1432099648757643</x:v>
      </x:c>
    </x:row>
    <x:row r="144">
      <x:c r="A144" s="61" t="n">
        <x:v>2026</x:v>
      </x:c>
      <x:c r="B144" s="18" t="str">
        <x:v>S1</x:v>
      </x:c>
      <x:c r="C144" s="18" t="str">
        <x:v>2026 S1</x:v>
      </x:c>
      <x:c r="D144" s="18" t="str">
        <x:v>CNCT0036</x:v>
      </x:c>
      <x:c r="E144" s="18" t="str">
        <x:v>深圳深业上城</x:v>
      </x:c>
      <x:c r="F144" s="18" t="str">
        <x:v>深圳</x:v>
      </x:c>
      <x:c r="G144" s="18" t="str">
        <x:v>广东省</x:v>
      </x:c>
      <x:c r="H144" s="18" t="str">
        <x:v>南区</x:v>
      </x:c>
      <x:c r="I144" s="18" t="str">
        <x:v>Shopping Mall</x:v>
      </x:c>
      <x:c r="J144" s="18" t="str">
        <x:v>Regional Mall</x:v>
      </x:c>
      <x:c r="K144" s="18" t="str">
        <x:v>正常</x:v>
      </x:c>
      <x:c r="L144" s="62" t="n">
        <x:v>6</x:v>
      </x:c>
      <x:c r="M144" s="62" t="n">
        <x:v>48</x:v>
      </x:c>
      <x:c r="N144" s="63" t="n">
        <x:f>'Drivers'!C144</x:f>
        <x:v>1896</x:v>
      </x:c>
      <x:c r="O144" s="63" t="n">
        <x:f>'Drivers'!D144</x:f>
        <x:v>1030.316</x:v>
      </x:c>
      <x:c r="P144" s="64" t="n">
        <x:f>ROUND(N144*O144/1000,3)</x:f>
        <x:v>1953.479</x:v>
      </x:c>
      <x:c r="Q144" s="64" t="n">
        <x:f>ROUND(P144*'Drivers'!E144,3)</x:f>
        <x:v>1918.689</x:v>
      </x:c>
      <x:c r="R144" s="64" t="n">
        <x:f>-ROUND(Q144*'Drivers'!F144,3)</x:f>
        <x:v>-353.467</x:v>
      </x:c>
      <x:c r="S144" s="65" t="n">
        <x:f>R144/Q144</x:f>
        <x:v>-0.18422318572733776</x:v>
      </x:c>
      <x:c r="T144" s="64" t="n">
        <x:f>-ROUND(Q144*'Drivers'!G144,3)</x:f>
        <x:v>-13.87</x:v>
      </x:c>
      <x:c r="U144" s="65" t="n">
        <x:f>T144/Q144</x:f>
        <x:v>-0.007228894312731244</x:v>
      </x:c>
      <x:c r="V144" s="64" t="n">
        <x:f>-ROUND(Q144*'Drivers'!H144,3)</x:f>
        <x:v>-23.842</x:v>
      </x:c>
      <x:c r="W144" s="64" t="n">
        <x:f>-ROUND(Q144*'Drivers'!I144,3)</x:f>
        <x:v>-17.744</x:v>
      </x:c>
      <x:c r="X144" s="64" t="n">
        <x:f>-ROUND(Q144*'Drivers'!J144,3)</x:f>
        <x:v>-30.139</x:v>
      </x:c>
      <x:c r="Y144" s="64" t="n">
        <x:f>-ROUND(Q144*'Drivers'!K144,3)</x:f>
        <x:v>-15.775</x:v>
      </x:c>
      <x:c r="Z144" s="64" t="n">
        <x:f>-ROUND(Q144*'Drivers'!L144,3)</x:f>
        <x:v>-19.716</x:v>
      </x:c>
      <x:c r="AA144" s="64" t="n">
        <x:f>-ROUND(Q144*'Drivers'!M144,3)</x:f>
        <x:v>-11.329</x:v>
      </x:c>
      <x:c r="AB144" s="64" t="n">
        <x:f>-ROUND(Q144*'Drivers'!N144,3)</x:f>
        <x:v>-11.089</x:v>
      </x:c>
      <x:c r="AC144" s="64" t="n">
        <x:f>SUM(V144:AB144)</x:f>
        <x:v>-129.63400000000001</x:v>
      </x:c>
      <x:c r="AD144" s="65" t="n">
        <x:f>AC144/Q144</x:f>
        <x:v>-0.06756384176904126</x:v>
      </x:c>
      <x:c r="AE144" s="64" t="n">
        <x:f>-ROUND(Q144*'Drivers'!O144,3)</x:f>
        <x:v>-12.122</x:v>
      </x:c>
      <x:c r="AF144" s="65" t="n">
        <x:f>AE144/Q144</x:f>
        <x:v>-0.006317855577428129</x:v>
      </x:c>
      <x:c r="AG144" s="64" t="n">
        <x:f>-ROUND(Q144*'Drivers'!P144,3)</x:f>
        <x:v>-0.963</x:v>
      </x:c>
      <x:c r="AH144" s="64" t="n">
        <x:f>-ROUND(Q144*'Drivers'!Q144,3)</x:f>
        <x:v>-1.981</x:v>
      </x:c>
      <x:c r="AI144" s="64" t="n">
        <x:f>SUM(R144,T144,AC144,AE144,AG144,AH144)</x:f>
        <x:v>-512.037</x:v>
      </x:c>
      <x:c r="AJ144" s="65" t="n">
        <x:f>AI144/Q144</x:f>
        <x:v>-0.26686815841441736</x:v>
      </x:c>
      <x:c r="AK144" s="64" t="n">
        <x:f>Q144+AI144</x:f>
        <x:v>1406.652</x:v>
      </x:c>
      <x:c r="AL144" s="65" t="n">
        <x:f>AK144/Q144</x:f>
        <x:v>0.7331318415855826</x:v>
      </x:c>
      <x:c r="AM144" s="64" t="n">
        <x:f>AK144/L144</x:f>
        <x:v>234.442</x:v>
      </x:c>
      <x:c r="AN144" s="66" t="str">
        <x:f>IF(AM144&lt;=200,"≤200K",IF(AM144&lt;=350,"200–350K",IF(AM144&lt;=500,"350–500K",IF(AM144&lt;=700,"500–700K","&gt;700K"))))</x:f>
        <x:v>200–350K</x:v>
      </x:c>
      <x:c r="AO144" s="64" t="n">
        <x:f>-ROUND(Q144*'Drivers'!R144,3)</x:f>
        <x:v>-717.94</x:v>
      </x:c>
      <x:c r="AP144" s="64" t="n">
        <x:f>-ROUND(AK144*'Drivers'!S144,3)</x:f>
        <x:v>-22.962</x:v>
      </x:c>
      <x:c r="AQ144" s="64" t="n">
        <x:f>-ROUND(AK144*'Drivers'!T144,3)</x:f>
        <x:v>-9.306</x:v>
      </x:c>
      <x:c r="AR144" s="64" t="n">
        <x:f>-ROUND(AK144*'Drivers'!U144,3)</x:f>
        <x:v>-12.38</x:v>
      </x:c>
      <x:c r="AS144" s="64" t="n">
        <x:f>-ROUND(AK144*'Drivers'!V144,3)</x:f>
        <x:v>-45.383</x:v>
      </x:c>
      <x:c r="AT144" s="64" t="n">
        <x:f>SUM(AO144:AS144)</x:f>
        <x:v>-807.9710000000001</x:v>
      </x:c>
      <x:c r="AU144" s="65" t="n">
        <x:f>AT144/AK144</x:f>
        <x:v>-0.5743929557559369</x:v>
      </x:c>
      <x:c r="AV144" s="64" t="n">
        <x:f>AK144+AT144</x:f>
        <x:v>598.6809999999999</x:v>
      </x:c>
      <x:c r="AW144" s="65" t="n">
        <x:f>AV144/AK144</x:f>
        <x:v>0.42560704424406315</x:v>
      </x:c>
      <x:c r="AX144" s="64" t="n">
        <x:f>-ROUND(AK144*'Drivers'!W144,3)</x:f>
        <x:v>-25.901</x:v>
      </x:c>
      <x:c r="AY144" s="64" t="n">
        <x:f>-ROUND(AK144*'Drivers'!X144,3)</x:f>
        <x:v>-42.802</x:v>
      </x:c>
      <x:c r="AZ144" s="64" t="n">
        <x:f>-ROUND(AK144*'Drivers'!Y144,3)</x:f>
        <x:v>-34.013</x:v>
      </x:c>
      <x:c r="BA144" s="64" t="n">
        <x:f>-ROUND(AK144*'Drivers'!Z144,3)</x:f>
        <x:v>-18.04</x:v>
      </x:c>
      <x:c r="BB144" s="64" t="n">
        <x:f>-ROUND(AK144*'Drivers'!AA144,3)</x:f>
        <x:v>-18.466</x:v>
      </x:c>
      <x:c r="BC144" s="64" t="n">
        <x:f>SUM(BA144,BB144)</x:f>
        <x:v>-36.506</x:v>
      </x:c>
      <x:c r="BD144" s="64" t="n">
        <x:f>-ROUND(AK144*'Drivers'!AB144,3)</x:f>
        <x:v>-14.269</x:v>
      </x:c>
      <x:c r="BE144" s="64" t="n">
        <x:f>SUM(AX144:BB144,BD144)</x:f>
        <x:v>-153.491</x:v>
      </x:c>
      <x:c r="BF144" s="67" t="n">
        <x:f>'Drivers'!AF144</x:f>
        <x:v>9</x:v>
      </x:c>
      <x:c r="BG144" s="64" t="n">
        <x:f>BJ144</x:f>
        <x:v>-71.831</x:v>
      </x:c>
      <x:c r="BH144" s="64" t="n">
        <x:f>BE144/BF144</x:f>
        <x:v>-17.054555555555556</x:v>
      </x:c>
      <x:c r="BI144" s="68" t="n">
        <x:f>BF144/L144</x:f>
        <x:v>1.5</x:v>
      </x:c>
      <x:c r="BJ144" s="64" t="n">
        <x:f>-ROUND(AK144*'Drivers'!AC144,3)</x:f>
        <x:v>-71.831</x:v>
      </x:c>
      <x:c r="BK144" s="64" t="n">
        <x:f>-ROUND(AK144*'Drivers'!AD144,3)</x:f>
        <x:v>-124.744</x:v>
      </x:c>
      <x:c r="BL144" s="64" t="n">
        <x:f>SUM(AV144,BE144,BJ144,BK144)</x:f>
        <x:v>248.61499999999992</x:v>
      </x:c>
      <x:c r="BM144" s="65" t="n">
        <x:f>BL144/AK144</x:f>
        <x:v>0.1767423641383938</x:v>
      </x:c>
      <x:c r="BN144" s="64" t="n">
        <x:f>-ROUND(AK144*'Drivers'!AE144,3)</x:f>
        <x:v>-93.078</x:v>
      </x:c>
      <x:c r="BO144" s="64" t="n">
        <x:f>BL144+BN144</x:f>
        <x:v>155.53699999999992</x:v>
      </x:c>
      <x:c r="BP144" s="65" t="n">
        <x:f>BO144/AK144</x:f>
        <x:v>0.110572479902634</x:v>
      </x:c>
    </x:row>
    <x:row r="145">
      <x:c r="A145" s="61" t="n">
        <x:v>2026</x:v>
      </x:c>
      <x:c r="B145" s="18" t="str">
        <x:v>S2</x:v>
      </x:c>
      <x:c r="C145" s="18" t="str">
        <x:v>2026 S2</x:v>
      </x:c>
      <x:c r="D145" s="18" t="str">
        <x:v>CNCT0036</x:v>
      </x:c>
      <x:c r="E145" s="18" t="str">
        <x:v>深圳深业上城</x:v>
      </x:c>
      <x:c r="F145" s="18" t="str">
        <x:v>深圳</x:v>
      </x:c>
      <x:c r="G145" s="18" t="str">
        <x:v>广东省</x:v>
      </x:c>
      <x:c r="H145" s="18" t="str">
        <x:v>南区</x:v>
      </x:c>
      <x:c r="I145" s="18" t="str">
        <x:v>Shopping Mall</x:v>
      </x:c>
      <x:c r="J145" s="18" t="str">
        <x:v>Regional Mall</x:v>
      </x:c>
      <x:c r="K145" s="18" t="str">
        <x:v>正常</x:v>
      </x:c>
      <x:c r="L145" s="62" t="n">
        <x:v>6</x:v>
      </x:c>
      <x:c r="M145" s="62" t="n">
        <x:v>48</x:v>
      </x:c>
      <x:c r="N145" s="63" t="n">
        <x:f>'Drivers'!C145</x:f>
        <x:v>2103</x:v>
      </x:c>
      <x:c r="O145" s="63" t="n">
        <x:f>'Drivers'!D145</x:f>
        <x:v>1021.902</x:v>
      </x:c>
      <x:c r="P145" s="64" t="n">
        <x:f>ROUND(N145*O145/1000,3)</x:f>
        <x:v>2149.06</x:v>
      </x:c>
      <x:c r="Q145" s="64" t="n">
        <x:f>ROUND(P145*'Drivers'!E145,3)</x:f>
        <x:v>2087.457</x:v>
      </x:c>
      <x:c r="R145" s="64" t="n">
        <x:f>-ROUND(Q145*'Drivers'!F145,3)</x:f>
        <x:v>-388.631</x:v>
      </x:c>
      <x:c r="S145" s="65" t="n">
        <x:f>R145/Q145</x:f>
        <x:v>-0.18617437389129451</x:v>
      </x:c>
      <x:c r="T145" s="64" t="n">
        <x:f>-ROUND(Q145*'Drivers'!G145,3)</x:f>
        <x:v>-19.109</x:v>
      </x:c>
      <x:c r="U145" s="65" t="n">
        <x:f>T145/Q145</x:f>
        <x:v>-0.009154200541615948</x:v>
      </x:c>
      <x:c r="V145" s="64" t="n">
        <x:f>-ROUND(Q145*'Drivers'!H145,3)</x:f>
        <x:v>-25.94</x:v>
      </x:c>
      <x:c r="W145" s="64" t="n">
        <x:f>-ROUND(Q145*'Drivers'!I145,3)</x:f>
        <x:v>-19.305</x:v>
      </x:c>
      <x:c r="X145" s="64" t="n">
        <x:f>-ROUND(Q145*'Drivers'!J145,3)</x:f>
        <x:v>-32.79</x:v>
      </x:c>
      <x:c r="Y145" s="64" t="n">
        <x:f>-ROUND(Q145*'Drivers'!K145,3)</x:f>
        <x:v>-17.163</x:v>
      </x:c>
      <x:c r="Z145" s="64" t="n">
        <x:f>-ROUND(Q145*'Drivers'!L145,3)</x:f>
        <x:v>-21.45</x:v>
      </x:c>
      <x:c r="AA145" s="64" t="n">
        <x:f>-ROUND(Q145*'Drivers'!M145,3)</x:f>
        <x:v>-12.325</x:v>
      </x:c>
      <x:c r="AB145" s="64" t="n">
        <x:f>-ROUND(Q145*'Drivers'!N145,3)</x:f>
        <x:v>-12.064</x:v>
      </x:c>
      <x:c r="AC145" s="64" t="n">
        <x:f>SUM(V145:AB145)</x:f>
        <x:v>-141.03699999999998</x:v>
      </x:c>
      <x:c r="AD145" s="65" t="n">
        <x:f>AC145/Q145</x:f>
        <x:v>-0.06756402646856917</x:v>
      </x:c>
      <x:c r="AE145" s="64" t="n">
        <x:f>-ROUND(Q145*'Drivers'!O145,3)</x:f>
        <x:v>-13.504</x:v>
      </x:c>
      <x:c r="AF145" s="65" t="n">
        <x:f>AE145/Q145</x:f>
        <x:v>-0.006469115291955715</x:v>
      </x:c>
      <x:c r="AG145" s="64" t="n">
        <x:f>-ROUND(Q145*'Drivers'!P145,3)</x:f>
        <x:v>-1.048</x:v>
      </x:c>
      <x:c r="AH145" s="64" t="n">
        <x:f>-ROUND(Q145*'Drivers'!Q145,3)</x:f>
        <x:v>-2.155</x:v>
      </x:c>
      <x:c r="AI145" s="64" t="n">
        <x:f>SUM(R145,T145,AC145,AE145,AG145,AH145)</x:f>
        <x:v>-565.4839999999999</x:v>
      </x:c>
      <x:c r="AJ145" s="65" t="n">
        <x:f>AI145/Q145</x:f>
        <x:v>-0.27089611905778177</x:v>
      </x:c>
      <x:c r="AK145" s="64" t="n">
        <x:f>Q145+AI145</x:f>
        <x:v>1521.973</x:v>
      </x:c>
      <x:c r="AL145" s="65" t="n">
        <x:f>AK145/Q145</x:f>
        <x:v>0.7291038809422182</x:v>
      </x:c>
      <x:c r="AM145" s="64" t="n">
        <x:f>AK145/L145</x:f>
        <x:v>253.66216666666665</x:v>
      </x:c>
      <x:c r="AN145" s="66" t="str">
        <x:f>IF(AM145&lt;=200,"≤200K",IF(AM145&lt;=350,"200–350K",IF(AM145&lt;=500,"350–500K",IF(AM145&lt;=700,"500–700K","&gt;700K"))))</x:f>
        <x:v>200–350K</x:v>
      </x:c>
      <x:c r="AO145" s="64" t="n">
        <x:f>-ROUND(Q145*'Drivers'!R145,3)</x:f>
        <x:v>-794.402</x:v>
      </x:c>
      <x:c r="AP145" s="64" t="n">
        <x:f>-ROUND(AK145*'Drivers'!S145,3)</x:f>
        <x:v>-24.844</x:v>
      </x:c>
      <x:c r="AQ145" s="64" t="n">
        <x:f>-ROUND(AK145*'Drivers'!T145,3)</x:f>
        <x:v>-10.069</x:v>
      </x:c>
      <x:c r="AR145" s="64" t="n">
        <x:f>-ROUND(AK145*'Drivers'!U145,3)</x:f>
        <x:v>-13.395</x:v>
      </x:c>
      <x:c r="AS145" s="64" t="n">
        <x:f>-ROUND(AK145*'Drivers'!V145,3)</x:f>
        <x:v>-49.104</x:v>
      </x:c>
      <x:c r="AT145" s="64" t="n">
        <x:f>SUM(AO145:AS145)</x:f>
        <x:v>-891.8140000000001</x:v>
      </x:c>
      <x:c r="AU145" s="65" t="n">
        <x:f>AT145/AK145</x:f>
        <x:v>-0.5859591464500357</x:v>
      </x:c>
      <x:c r="AV145" s="64" t="n">
        <x:f>AK145+AT145</x:f>
        <x:v>630.1589999999999</x:v>
      </x:c>
      <x:c r="AW145" s="65" t="n">
        <x:f>AV145/AK145</x:f>
        <x:v>0.41404085354996434</x:v>
      </x:c>
      <x:c r="AX145" s="64" t="n">
        <x:f>-ROUND(AK145*'Drivers'!W145,3)</x:f>
        <x:v>-25.435</x:v>
      </x:c>
      <x:c r="AY145" s="64" t="n">
        <x:f>-ROUND(AK145*'Drivers'!X145,3)</x:f>
        <x:v>-42.033</x:v>
      </x:c>
      <x:c r="AZ145" s="64" t="n">
        <x:f>-ROUND(AK145*'Drivers'!Y145,3)</x:f>
        <x:v>-33.402</x:v>
      </x:c>
      <x:c r="BA145" s="64" t="n">
        <x:f>-ROUND(AK145*'Drivers'!Z145,3)</x:f>
        <x:v>-17.715</x:v>
      </x:c>
      <x:c r="BB145" s="64" t="n">
        <x:f>-ROUND(AK145*'Drivers'!AA145,3)</x:f>
        <x:v>-18.134</x:v>
      </x:c>
      <x:c r="BC145" s="64" t="n">
        <x:f>SUM(BA145,BB145)</x:f>
        <x:v>-35.849000000000004</x:v>
      </x:c>
      <x:c r="BD145" s="64" t="n">
        <x:f>-ROUND(AK145*'Drivers'!AB145,3)</x:f>
        <x:v>-14.013</x:v>
      </x:c>
      <x:c r="BE145" s="64" t="n">
        <x:f>SUM(AX145:BB145,BD145)</x:f>
        <x:v>-150.732</x:v>
      </x:c>
      <x:c r="BF145" s="67" t="n">
        <x:f>'Drivers'!AF145</x:f>
        <x:v>9</x:v>
      </x:c>
      <x:c r="BG145" s="64" t="n">
        <x:f>BJ145</x:f>
        <x:v>-70.54</x:v>
      </x:c>
      <x:c r="BH145" s="64" t="n">
        <x:f>BE145/BF145</x:f>
        <x:v>-16.748</x:v>
      </x:c>
      <x:c r="BI145" s="68" t="n">
        <x:f>BF145/L145</x:f>
        <x:v>1.5</x:v>
      </x:c>
      <x:c r="BJ145" s="64" t="n">
        <x:f>-ROUND(AK145*'Drivers'!AC145,3)</x:f>
        <x:v>-70.54</x:v>
      </x:c>
      <x:c r="BK145" s="64" t="n">
        <x:f>-ROUND(AK145*'Drivers'!AD145,3)</x:f>
        <x:v>-134.97</x:v>
      </x:c>
      <x:c r="BL145" s="64" t="n">
        <x:f>SUM(AV145,BE145,BJ145,BK145)</x:f>
        <x:v>273.9169999999999</x:v>
      </x:c>
      <x:c r="BM145" s="65" t="n">
        <x:f>BL145/AK145</x:f>
        <x:v>0.17997494042272755</x:v>
      </x:c>
      <x:c r="BN145" s="64" t="n">
        <x:f>-ROUND(AK145*'Drivers'!AE145,3)</x:f>
        <x:v>-100.709</x:v>
      </x:c>
      <x:c r="BO145" s="64" t="n">
        <x:f>BL145+BN145</x:f>
        <x:v>173.2079999999999</x:v>
      </x:c>
      <x:c r="BP145" s="65" t="n">
        <x:f>BO145/AK145</x:f>
        <x:v>0.1138049098111464</x:v>
      </x:c>
    </x:row>
    <x:row r="146">
      <x:c r="A146" s="61" t="n">
        <x:v>2025</x:v>
      </x:c>
      <x:c r="B146" s="18" t="str">
        <x:v>S1</x:v>
      </x:c>
      <x:c r="C146" s="18" t="str">
        <x:v>2025 S1</x:v>
      </x:c>
      <x:c r="D146" s="18" t="str">
        <x:v>CNCT0037</x:v>
      </x:c>
      <x:c r="E146" s="18" t="str">
        <x:v>成都IFS</x:v>
      </x:c>
      <x:c r="F146" s="18" t="str">
        <x:v>成都</x:v>
      </x:c>
      <x:c r="G146" s="18" t="str">
        <x:v>四川省</x:v>
      </x:c>
      <x:c r="H146" s="18" t="str">
        <x:v>西区</x:v>
      </x:c>
      <x:c r="I146" s="18" t="str">
        <x:v>Shopping Mall</x:v>
      </x:c>
      <x:c r="J146" s="18" t="str">
        <x:v>Prestige Shopping Center</x:v>
      </x:c>
      <x:c r="K146" s="18" t="str">
        <x:v>正常</x:v>
      </x:c>
      <x:c r="L146" s="62" t="n">
        <x:v>6</x:v>
      </x:c>
      <x:c r="M146" s="62" t="n">
        <x:v>48</x:v>
      </x:c>
      <x:c r="N146" s="63" t="n">
        <x:f>'Drivers'!C146</x:f>
        <x:v>3083</x:v>
      </x:c>
      <x:c r="O146" s="63" t="n">
        <x:f>'Drivers'!D146</x:f>
        <x:v>1272.827</x:v>
      </x:c>
      <x:c r="P146" s="64" t="n">
        <x:f>ROUND(N146*O146/1000,3)</x:f>
        <x:v>3924.126</x:v>
      </x:c>
      <x:c r="Q146" s="64" t="n">
        <x:f>ROUND(P146*'Drivers'!E146,3)</x:f>
        <x:v>3816.714</x:v>
      </x:c>
      <x:c r="R146" s="64" t="n">
        <x:f>-ROUND(Q146*'Drivers'!F146,3)</x:f>
        <x:v>-696.188</x:v>
      </x:c>
      <x:c r="S146" s="65" t="n">
        <x:f>R146/Q146</x:f>
        <x:v>-0.18240507410301113</x:v>
      </x:c>
      <x:c r="T146" s="64" t="n">
        <x:f>-ROUND(Q146*'Drivers'!G146,3)</x:f>
        <x:v>-35.305</x:v>
      </x:c>
      <x:c r="U146" s="65" t="n">
        <x:f>T146/Q146</x:f>
        <x:v>-0.00925010362316904</x:v>
      </x:c>
      <x:c r="V146" s="64" t="n">
        <x:f>-ROUND(Q146*'Drivers'!H146,3)</x:f>
        <x:v>-38.807</x:v>
      </x:c>
      <x:c r="W146" s="64" t="n">
        <x:f>-ROUND(Q146*'Drivers'!I146,3)</x:f>
        <x:v>-25.085</x:v>
      </x:c>
      <x:c r="X146" s="64" t="n">
        <x:f>-ROUND(Q146*'Drivers'!J146,3)</x:f>
        <x:v>-48.899</x:v>
      </x:c>
      <x:c r="Y146" s="64" t="n">
        <x:f>-ROUND(Q146*'Drivers'!K146,3)</x:f>
        <x:v>-53.33</x:v>
      </x:c>
      <x:c r="Z146" s="64" t="n">
        <x:f>-ROUND(Q146*'Drivers'!L146,3)</x:f>
        <x:v>-42.667</x:v>
      </x:c>
      <x:c r="AA146" s="64" t="n">
        <x:f>-ROUND(Q146*'Drivers'!M146,3)</x:f>
        <x:v>-36.3</x:v>
      </x:c>
      <x:c r="AB146" s="64" t="n">
        <x:f>-ROUND(Q146*'Drivers'!N146,3)</x:f>
        <x:v>-30.368</x:v>
      </x:c>
      <x:c r="AC146" s="64" t="n">
        <x:f>SUM(V146:AB146)</x:f>
        <x:v>-275.45599999999996</x:v>
      </x:c>
      <x:c r="AD146" s="65" t="n">
        <x:f>AC146/Q146</x:f>
        <x:v>-0.0721709826830095</x:v>
      </x:c>
      <x:c r="AE146" s="64" t="n">
        <x:f>-ROUND(Q146*'Drivers'!O146,3)</x:f>
        <x:v>-30.028</x:v>
      </x:c>
      <x:c r="AF146" s="65" t="n">
        <x:f>AE146/Q146</x:f>
        <x:v>-0.007867500682524287</x:v>
      </x:c>
      <x:c r="AG146" s="64" t="n">
        <x:f>-ROUND(Q146*'Drivers'!P146,3)</x:f>
        <x:v>-8.87</x:v>
      </x:c>
      <x:c r="AH146" s="64" t="n">
        <x:f>-ROUND(Q146*'Drivers'!Q146,3)</x:f>
        <x:v>-22.073</x:v>
      </x:c>
      <x:c r="AI146" s="64" t="n">
        <x:f>SUM(R146,T146,AC146,AE146,AG146,AH146)</x:f>
        <x:v>-1067.9199999999998</x:v>
      </x:c>
      <x:c r="AJ146" s="65" t="n">
        <x:f>AI146/Q146</x:f>
        <x:v>-0.27980089679237163</x:v>
      </x:c>
      <x:c r="AK146" s="64" t="n">
        <x:f>Q146+AI146</x:f>
        <x:v>2748.794</x:v>
      </x:c>
      <x:c r="AL146" s="65" t="n">
        <x:f>AK146/Q146</x:f>
        <x:v>0.7201991032076284</x:v>
      </x:c>
      <x:c r="AM146" s="64" t="n">
        <x:f>AK146/L146</x:f>
        <x:v>458.1323333333333</x:v>
      </x:c>
      <x:c r="AN146" s="66" t="str">
        <x:f>IF(AM146&lt;=200,"≤200K",IF(AM146&lt;=350,"200–350K",IF(AM146&lt;=500,"350–500K",IF(AM146&lt;=700,"500–700K","&gt;700K"))))</x:f>
        <x:v>350–500K</x:v>
      </x:c>
      <x:c r="AO146" s="64" t="n">
        <x:f>-ROUND(Q146*'Drivers'!R146,3)</x:f>
        <x:v>-1346.386</x:v>
      </x:c>
      <x:c r="AP146" s="64" t="n">
        <x:f>-ROUND(AK146*'Drivers'!S146,3)</x:f>
        <x:v>-35.397</x:v>
      </x:c>
      <x:c r="AQ146" s="64" t="n">
        <x:f>-ROUND(AK146*'Drivers'!T146,3)</x:f>
        <x:v>-18.929</x:v>
      </x:c>
      <x:c r="AR146" s="64" t="n">
        <x:f>-ROUND(AK146*'Drivers'!U146,3)</x:f>
        <x:v>-16.284</x:v>
      </x:c>
      <x:c r="AS146" s="64" t="n">
        <x:f>-ROUND(AK146*'Drivers'!V146,3)</x:f>
        <x:v>-103.273</x:v>
      </x:c>
      <x:c r="AT146" s="64" t="n">
        <x:f>SUM(AO146:AS146)</x:f>
        <x:v>-1520.269</x:v>
      </x:c>
      <x:c r="AU146" s="65" t="n">
        <x:f>AT146/AK146</x:f>
        <x:v>-0.5530676362070057</x:v>
      </x:c>
      <x:c r="AV146" s="64" t="n">
        <x:f>AK146+AT146</x:f>
        <x:v>1228.5249999999999</x:v>
      </x:c>
      <x:c r="AW146" s="65" t="n">
        <x:f>AV146/AK146</x:f>
        <x:v>0.4469323637929943</x:v>
      </x:c>
      <x:c r="AX146" s="64" t="n">
        <x:f>-ROUND(AK146*'Drivers'!W146,3)</x:f>
        <x:v>-35.357</x:v>
      </x:c>
      <x:c r="AY146" s="64" t="n">
        <x:f>-ROUND(AK146*'Drivers'!X146,3)</x:f>
        <x:v>-67.962</x:v>
      </x:c>
      <x:c r="AZ146" s="64" t="n">
        <x:f>-ROUND(AK146*'Drivers'!Y146,3)</x:f>
        <x:v>-40.518</x:v>
      </x:c>
      <x:c r="BA146" s="64" t="n">
        <x:f>-ROUND(AK146*'Drivers'!Z146,3)</x:f>
        <x:v>-14.831</x:v>
      </x:c>
      <x:c r="BB146" s="64" t="n">
        <x:f>-ROUND(AK146*'Drivers'!AA146,3)</x:f>
        <x:v>-13.904</x:v>
      </x:c>
      <x:c r="BC146" s="64" t="n">
        <x:f>SUM(BA146,BB146)</x:f>
        <x:v>-28.735</x:v>
      </x:c>
      <x:c r="BD146" s="64" t="n">
        <x:f>-ROUND(AK146*'Drivers'!AB146,3)</x:f>
        <x:v>-10.654</x:v>
      </x:c>
      <x:c r="BE146" s="64" t="n">
        <x:f>SUM(AX146:BB146,BD146)</x:f>
        <x:v>-183.22599999999997</x:v>
      </x:c>
      <x:c r="BF146" s="67" t="n">
        <x:f>'Drivers'!AF146</x:f>
        <x:v>11</x:v>
      </x:c>
      <x:c r="BG146" s="64" t="n">
        <x:f>BJ146</x:f>
        <x:v>-55.906</x:v>
      </x:c>
      <x:c r="BH146" s="64" t="n">
        <x:f>BE146/BF146</x:f>
        <x:v>-16.65690909090909</x:v>
      </x:c>
      <x:c r="BI146" s="68" t="n">
        <x:f>BF146/L146</x:f>
        <x:v>1.8333333333333333</x:v>
      </x:c>
      <x:c r="BJ146" s="64" t="n">
        <x:f>-ROUND(AK146*'Drivers'!AC146,3)</x:f>
        <x:v>-55.906</x:v>
      </x:c>
      <x:c r="BK146" s="64" t="n">
        <x:f>-ROUND(AK146*'Drivers'!AD146,3)</x:f>
        <x:v>-300.443</x:v>
      </x:c>
      <x:c r="BL146" s="64" t="n">
        <x:f>SUM(AV146,BE146,BJ146,BK146)</x:f>
        <x:v>688.95</x:v>
      </x:c>
      <x:c r="BM146" s="65" t="n">
        <x:f>BL146/AK146</x:f>
        <x:v>0.25063718852704137</x:v>
      </x:c>
      <x:c r="BN146" s="64" t="n">
        <x:f>-ROUND(AK146*'Drivers'!AE146,3)</x:f>
        <x:v>-194.167</x:v>
      </x:c>
      <x:c r="BO146" s="64" t="n">
        <x:f>BL146+BN146</x:f>
        <x:v>494.783</x:v>
      </x:c>
      <x:c r="BP146" s="65" t="n">
        <x:f>BO146/AK146</x:f>
        <x:v>0.18000002910367238</x:v>
      </x:c>
    </x:row>
    <x:row r="147">
      <x:c r="A147" s="61" t="n">
        <x:v>2025</x:v>
      </x:c>
      <x:c r="B147" s="18" t="str">
        <x:v>S2</x:v>
      </x:c>
      <x:c r="C147" s="18" t="str">
        <x:v>2025 S2</x:v>
      </x:c>
      <x:c r="D147" s="18" t="str">
        <x:v>CNCT0037</x:v>
      </x:c>
      <x:c r="E147" s="18" t="str">
        <x:v>成都IFS</x:v>
      </x:c>
      <x:c r="F147" s="18" t="str">
        <x:v>成都</x:v>
      </x:c>
      <x:c r="G147" s="18" t="str">
        <x:v>四川省</x:v>
      </x:c>
      <x:c r="H147" s="18" t="str">
        <x:v>西区</x:v>
      </x:c>
      <x:c r="I147" s="18" t="str">
        <x:v>Shopping Mall</x:v>
      </x:c>
      <x:c r="J147" s="18" t="str">
        <x:v>Prestige Shopping Center</x:v>
      </x:c>
      <x:c r="K147" s="18" t="str">
        <x:v>正常</x:v>
      </x:c>
      <x:c r="L147" s="62" t="n">
        <x:v>6</x:v>
      </x:c>
      <x:c r="M147" s="62" t="n">
        <x:v>48</x:v>
      </x:c>
      <x:c r="N147" s="63" t="n">
        <x:f>'Drivers'!C147</x:f>
        <x:v>3337</x:v>
      </x:c>
      <x:c r="O147" s="63" t="n">
        <x:f>'Drivers'!D147</x:f>
        <x:v>1288.101</x:v>
      </x:c>
      <x:c r="P147" s="64" t="n">
        <x:f>ROUND(N147*O147/1000,3)</x:f>
        <x:v>4298.393</x:v>
      </x:c>
      <x:c r="Q147" s="64" t="n">
        <x:f>ROUND(P147*'Drivers'!E147,3)</x:f>
        <x:v>4222.087</x:v>
      </x:c>
      <x:c r="R147" s="64" t="n">
        <x:f>-ROUND(Q147*'Drivers'!F147,3)</x:f>
        <x:v>-770.13</x:v>
      </x:c>
      <x:c r="S147" s="65" t="n">
        <x:f>R147/Q147</x:f>
        <x:v>-0.18240505228812195</x:v>
      </x:c>
      <x:c r="T147" s="64" t="n">
        <x:f>-ROUND(Q147*'Drivers'!G147,3)</x:f>
        <x:v>-39.055</x:v>
      </x:c>
      <x:c r="U147" s="65" t="n">
        <x:f>T147/Q147</x:f>
        <x:v>-0.009250164669747448</x:v>
      </x:c>
      <x:c r="V147" s="64" t="n">
        <x:f>-ROUND(Q147*'Drivers'!H147,3)</x:f>
        <x:v>-42.929</x:v>
      </x:c>
      <x:c r="W147" s="64" t="n">
        <x:f>-ROUND(Q147*'Drivers'!I147,3)</x:f>
        <x:v>-27.75</x:v>
      </x:c>
      <x:c r="X147" s="64" t="n">
        <x:f>-ROUND(Q147*'Drivers'!J147,3)</x:f>
        <x:v>-54.093</x:v>
      </x:c>
      <x:c r="Y147" s="64" t="n">
        <x:f>-ROUND(Q147*'Drivers'!K147,3)</x:f>
        <x:v>-58.995</x:v>
      </x:c>
      <x:c r="Z147" s="64" t="n">
        <x:f>-ROUND(Q147*'Drivers'!L147,3)</x:f>
        <x:v>-47.199</x:v>
      </x:c>
      <x:c r="AA147" s="64" t="n">
        <x:f>-ROUND(Q147*'Drivers'!M147,3)</x:f>
        <x:v>-40.155</x:v>
      </x:c>
      <x:c r="AB147" s="64" t="n">
        <x:f>-ROUND(Q147*'Drivers'!N147,3)</x:f>
        <x:v>-33.593</x:v>
      </x:c>
      <x:c r="AC147" s="64" t="n">
        <x:f>SUM(V147:AB147)</x:f>
        <x:v>-304.714</x:v>
      </x:c>
      <x:c r="AD147" s="65" t="n">
        <x:f>AC147/Q147</x:f>
        <x:v>-0.07217141664773842</x:v>
      </x:c>
      <x:c r="AE147" s="64" t="n">
        <x:f>-ROUND(Q147*'Drivers'!O147,3)</x:f>
        <x:v>-33.217</x:v>
      </x:c>
      <x:c r="AF147" s="65" t="n">
        <x:f>AE147/Q147</x:f>
        <x:v>-0.007867436175521726</x:v>
      </x:c>
      <x:c r="AG147" s="64" t="n">
        <x:f>-ROUND(Q147*'Drivers'!P147,3)</x:f>
        <x:v>-9.812</x:v>
      </x:c>
      <x:c r="AH147" s="64" t="n">
        <x:f>-ROUND(Q147*'Drivers'!Q147,3)</x:f>
        <x:v>-24.418</x:v>
      </x:c>
      <x:c r="AI147" s="64" t="n">
        <x:f>SUM(R147,T147,AC147,AE147,AG147,AH147)</x:f>
        <x:v>-1181.3459999999998</x:v>
      </x:c>
      <x:c r="AJ147" s="65" t="n">
        <x:f>AI147/Q147</x:f>
        <x:v>-0.27980143469331625</x:v>
      </x:c>
      <x:c r="AK147" s="64" t="n">
        <x:f>Q147+AI147</x:f>
        <x:v>3040.741000000001</x:v>
      </x:c>
      <x:c r="AL147" s="65" t="n">
        <x:f>AK147/Q147</x:f>
        <x:v>0.7201985653066838</x:v>
      </x:c>
      <x:c r="AM147" s="64" t="n">
        <x:f>AK147/L147</x:f>
        <x:v>506.79016666666683</x:v>
      </x:c>
      <x:c r="AN147" s="66" t="str">
        <x:f>IF(AM147&lt;=200,"≤200K",IF(AM147&lt;=350,"200–350K",IF(AM147&lt;=500,"350–500K",IF(AM147&lt;=700,"500–700K","&gt;700K"))))</x:f>
        <x:v>500–700K</x:v>
      </x:c>
      <x:c r="AO147" s="64" t="n">
        <x:f>-ROUND(Q147*'Drivers'!R147,3)</x:f>
        <x:v>-1463.554</x:v>
      </x:c>
      <x:c r="AP147" s="64" t="n">
        <x:f>-ROUND(AK147*'Drivers'!S147,3)</x:f>
        <x:v>-39.156</x:v>
      </x:c>
      <x:c r="AQ147" s="64" t="n">
        <x:f>-ROUND(AK147*'Drivers'!T147,3)</x:f>
        <x:v>-20.94</x:v>
      </x:c>
      <x:c r="AR147" s="64" t="n">
        <x:f>-ROUND(AK147*'Drivers'!U147,3)</x:f>
        <x:v>-18.013</x:v>
      </x:c>
      <x:c r="AS147" s="64" t="n">
        <x:f>-ROUND(AK147*'Drivers'!V147,3)</x:f>
        <x:v>-114.241</x:v>
      </x:c>
      <x:c r="AT147" s="64" t="n">
        <x:f>SUM(AO147:AS147)</x:f>
        <x:v>-1655.904</x:v>
      </x:c>
      <x:c r="AU147" s="65" t="n">
        <x:f>AT147/AK147</x:f>
        <x:v>-0.5445725236052658</x:v>
      </x:c>
      <x:c r="AV147" s="64" t="n">
        <x:f>AK147+AT147</x:f>
        <x:v>1384.837000000001</x:v>
      </x:c>
      <x:c r="AW147" s="65" t="n">
        <x:f>AV147/AK147</x:f>
        <x:v>0.4554274763947342</x:v>
      </x:c>
      <x:c r="AX147" s="64" t="n">
        <x:f>-ROUND(AK147*'Drivers'!W147,3)</x:f>
        <x:v>-39.113</x:v>
      </x:c>
      <x:c r="AY147" s="64" t="n">
        <x:f>-ROUND(AK147*'Drivers'!X147,3)</x:f>
        <x:v>-75.18</x:v>
      </x:c>
      <x:c r="AZ147" s="64" t="n">
        <x:f>-ROUND(AK147*'Drivers'!Y147,3)</x:f>
        <x:v>-44.821</x:v>
      </x:c>
      <x:c r="BA147" s="64" t="n">
        <x:f>-ROUND(AK147*'Drivers'!Z147,3)</x:f>
        <x:v>-16.406</x:v>
      </x:c>
      <x:c r="BB147" s="64" t="n">
        <x:f>-ROUND(AK147*'Drivers'!AA147,3)</x:f>
        <x:v>-15.381</x:v>
      </x:c>
      <x:c r="BC147" s="64" t="n">
        <x:f>SUM(BA147,BB147)</x:f>
        <x:v>-31.787</x:v>
      </x:c>
      <x:c r="BD147" s="64" t="n">
        <x:f>-ROUND(AK147*'Drivers'!AB147,3)</x:f>
        <x:v>-11.786</x:v>
      </x:c>
      <x:c r="BE147" s="64" t="n">
        <x:f>SUM(AX147:BB147,BD147)</x:f>
        <x:v>-202.687</x:v>
      </x:c>
      <x:c r="BF147" s="67" t="n">
        <x:f>'Drivers'!AF147</x:f>
        <x:v>11</x:v>
      </x:c>
      <x:c r="BG147" s="64" t="n">
        <x:f>BJ147</x:f>
        <x:v>-61.844</x:v>
      </x:c>
      <x:c r="BH147" s="64" t="n">
        <x:f>BE147/BF147</x:f>
        <x:v>-18.42609090909091</x:v>
      </x:c>
      <x:c r="BI147" s="68" t="n">
        <x:f>BF147/L147</x:f>
        <x:v>1.8333333333333333</x:v>
      </x:c>
      <x:c r="BJ147" s="64" t="n">
        <x:f>-ROUND(AK147*'Drivers'!AC147,3)</x:f>
        <x:v>-61.844</x:v>
      </x:c>
      <x:c r="BK147" s="64" t="n">
        <x:f>-ROUND(AK147*'Drivers'!AD147,3)</x:f>
        <x:v>-332.352</x:v>
      </x:c>
      <x:c r="BL147" s="64" t="n">
        <x:f>SUM(AV147,BE147,BJ147,BK147)</x:f>
        <x:v>787.954000000001</x:v>
      </x:c>
      <x:c r="BM147" s="65" t="n">
        <x:f>BL147/AK147</x:f>
        <x:v>0.25913223125547385</x:v>
      </x:c>
      <x:c r="BN147" s="64" t="n">
        <x:f>-ROUND(AK147*'Drivers'!AE147,3)</x:f>
        <x:v>-240.621</x:v>
      </x:c>
      <x:c r="BO147" s="64" t="n">
        <x:f>BL147+BN147</x:f>
        <x:v>547.333000000001</x:v>
      </x:c>
      <x:c r="BP147" s="65" t="n">
        <x:f>BO147/AK147</x:f>
        <x:v>0.1799998750304616</x:v>
      </x:c>
    </x:row>
    <x:row r="148">
      <x:c r="A148" s="61" t="n">
        <x:v>2026</x:v>
      </x:c>
      <x:c r="B148" s="18" t="str">
        <x:v>S1</x:v>
      </x:c>
      <x:c r="C148" s="18" t="str">
        <x:v>2026 S1</x:v>
      </x:c>
      <x:c r="D148" s="18" t="str">
        <x:v>CNCT0037</x:v>
      </x:c>
      <x:c r="E148" s="18" t="str">
        <x:v>成都IFS</x:v>
      </x:c>
      <x:c r="F148" s="18" t="str">
        <x:v>成都</x:v>
      </x:c>
      <x:c r="G148" s="18" t="str">
        <x:v>四川省</x:v>
      </x:c>
      <x:c r="H148" s="18" t="str">
        <x:v>西区</x:v>
      </x:c>
      <x:c r="I148" s="18" t="str">
        <x:v>Shopping Mall</x:v>
      </x:c>
      <x:c r="J148" s="18" t="str">
        <x:v>Prestige Shopping Center</x:v>
      </x:c>
      <x:c r="K148" s="18" t="str">
        <x:v>正常</x:v>
      </x:c>
      <x:c r="L148" s="62" t="n">
        <x:v>7</x:v>
      </x:c>
      <x:c r="M148" s="62" t="n">
        <x:v>51</x:v>
      </x:c>
      <x:c r="N148" s="63" t="n">
        <x:f>'Drivers'!C148</x:f>
        <x:v>3440</x:v>
      </x:c>
      <x:c r="O148" s="63" t="n">
        <x:f>'Drivers'!D148</x:f>
        <x:v>1317.412</x:v>
      </x:c>
      <x:c r="P148" s="64" t="n">
        <x:f>ROUND(N148*O148/1000,3)</x:f>
        <x:v>4531.897</x:v>
      </x:c>
      <x:c r="Q148" s="64" t="n">
        <x:f>ROUND(P148*'Drivers'!E148,3)</x:f>
        <x:v>4395.332</x:v>
      </x:c>
      <x:c r="R148" s="64" t="n">
        <x:f>-ROUND(Q148*'Drivers'!F148,3)</x:f>
        <x:v>-820.053</x:v>
      </x:c>
      <x:c r="S148" s="65" t="n">
        <x:f>R148/Q148</x:f>
        <x:v>-0.18657361946719836</x:v>
      </x:c>
      <x:c r="T148" s="64" t="n">
        <x:f>-ROUND(Q148*'Drivers'!G148,3)</x:f>
        <x:v>-45.804</x:v>
      </x:c>
      <x:c r="U148" s="65" t="n">
        <x:f>T148/Q148</x:f>
        <x:v>-0.010421055792827481</x:v>
      </x:c>
      <x:c r="V148" s="64" t="n">
        <x:f>-ROUND(Q148*'Drivers'!H148,3)</x:f>
        <x:v>-44.69</x:v>
      </x:c>
      <x:c r="W148" s="64" t="n">
        <x:f>-ROUND(Q148*'Drivers'!I148,3)</x:f>
        <x:v>-28.888</x:v>
      </x:c>
      <x:c r="X148" s="64" t="n">
        <x:f>-ROUND(Q148*'Drivers'!J148,3)</x:f>
        <x:v>-56.313</x:v>
      </x:c>
      <x:c r="Y148" s="64" t="n">
        <x:f>-ROUND(Q148*'Drivers'!K148,3)</x:f>
        <x:v>-61.415</x:v>
      </x:c>
      <x:c r="Z148" s="64" t="n">
        <x:f>-ROUND(Q148*'Drivers'!L148,3)</x:f>
        <x:v>-49.136</x:v>
      </x:c>
      <x:c r="AA148" s="64" t="n">
        <x:f>-ROUND(Q148*'Drivers'!M148,3)</x:f>
        <x:v>-41.803</x:v>
      </x:c>
      <x:c r="AB148" s="64" t="n">
        <x:f>-ROUND(Q148*'Drivers'!N148,3)</x:f>
        <x:v>-34.971</x:v>
      </x:c>
      <x:c r="AC148" s="64" t="n">
        <x:f>SUM(V148:AB148)</x:f>
        <x:v>-317.216</x:v>
      </x:c>
      <x:c r="AD148" s="65" t="n">
        <x:f>AC148/Q148</x:f>
        <x:v>-0.07217111244383814</x:v>
      </x:c>
      <x:c r="AE148" s="64" t="n">
        <x:f>-ROUND(Q148*'Drivers'!O148,3)</x:f>
        <x:v>-41.224</x:v>
      </x:c>
      <x:c r="AF148" s="65" t="n">
        <x:f>AE148/Q148</x:f>
        <x:v>-0.00937904121918435</x:v>
      </x:c>
      <x:c r="AG148" s="64" t="n">
        <x:f>-ROUND(Q148*'Drivers'!P148,3)</x:f>
        <x:v>-10.215</x:v>
      </x:c>
      <x:c r="AH148" s="64" t="n">
        <x:f>-ROUND(Q148*'Drivers'!Q148,3)</x:f>
        <x:v>-25.419</x:v>
      </x:c>
      <x:c r="AI148" s="64" t="n">
        <x:f>SUM(R148,T148,AC148,AE148,AG148,AH148)</x:f>
        <x:v>-1259.9309999999998</x:v>
      </x:c>
      <x:c r="AJ148" s="65" t="n">
        <x:f>AI148/Q148</x:f>
        <x:v>-0.28665206632855034</x:v>
      </x:c>
      <x:c r="AK148" s="64" t="n">
        <x:f>Q148+AI148</x:f>
        <x:v>3135.4010000000007</x:v>
      </x:c>
      <x:c r="AL148" s="65" t="n">
        <x:f>AK148/Q148</x:f>
        <x:v>0.7133479336714498</x:v>
      </x:c>
      <x:c r="AM148" s="64" t="n">
        <x:f>AK148/L148</x:f>
        <x:v>447.9144285714287</x:v>
      </x:c>
      <x:c r="AN148" s="66" t="str">
        <x:f>IF(AM148&lt;=200,"≤200K",IF(AM148&lt;=350,"200–350K",IF(AM148&lt;=500,"350–500K",IF(AM148&lt;=700,"500–700K","&gt;700K"))))</x:f>
        <x:v>350–500K</x:v>
      </x:c>
      <x:c r="AO148" s="64" t="n">
        <x:f>-ROUND(Q148*'Drivers'!R148,3)</x:f>
        <x:v>-1448.537</x:v>
      </x:c>
      <x:c r="AP148" s="64" t="n">
        <x:f>-ROUND(AK148*'Drivers'!S148,3)</x:f>
        <x:v>-40.375</x:v>
      </x:c>
      <x:c r="AQ148" s="64" t="n">
        <x:f>-ROUND(AK148*'Drivers'!T148,3)</x:f>
        <x:v>-21.592</x:v>
      </x:c>
      <x:c r="AR148" s="64" t="n">
        <x:f>-ROUND(AK148*'Drivers'!U148,3)</x:f>
        <x:v>-18.574</x:v>
      </x:c>
      <x:c r="AS148" s="64" t="n">
        <x:f>-ROUND(AK148*'Drivers'!V148,3)</x:f>
        <x:v>-117.798</x:v>
      </x:c>
      <x:c r="AT148" s="64" t="n">
        <x:f>SUM(AO148:AS148)</x:f>
        <x:v>-1646.8760000000002</x:v>
      </x:c>
      <x:c r="AU148" s="65" t="n">
        <x:f>AT148/AK148</x:f>
        <x:v>-0.5252521128876337</x:v>
      </x:c>
      <x:c r="AV148" s="64" t="n">
        <x:f>AK148+AT148</x:f>
        <x:v>1488.5250000000005</x:v>
      </x:c>
      <x:c r="AW148" s="65" t="n">
        <x:f>AV148/AK148</x:f>
        <x:v>0.4747478871123662</x:v>
      </x:c>
      <x:c r="AX148" s="64" t="n">
        <x:f>-ROUND(AK148*'Drivers'!W148,3)</x:f>
        <x:v>-35.491</x:v>
      </x:c>
      <x:c r="AY148" s="64" t="n">
        <x:f>-ROUND(AK148*'Drivers'!X148,3)</x:f>
        <x:v>-68.218</x:v>
      </x:c>
      <x:c r="AZ148" s="64" t="n">
        <x:f>-ROUND(AK148*'Drivers'!Y148,3)</x:f>
        <x:v>-40.67</x:v>
      </x:c>
      <x:c r="BA148" s="64" t="n">
        <x:f>-ROUND(AK148*'Drivers'!Z148,3)</x:f>
        <x:v>-14.886</x:v>
      </x:c>
      <x:c r="BB148" s="64" t="n">
        <x:f>-ROUND(AK148*'Drivers'!AA148,3)</x:f>
        <x:v>-13.957</x:v>
      </x:c>
      <x:c r="BC148" s="64" t="n">
        <x:f>SUM(BA148,BB148)</x:f>
        <x:v>-28.843</x:v>
      </x:c>
      <x:c r="BD148" s="64" t="n">
        <x:f>-ROUND(AK148*'Drivers'!AB148,3)</x:f>
        <x:v>-10.694</x:v>
      </x:c>
      <x:c r="BE148" s="64" t="n">
        <x:f>SUM(AX148:BB148,BD148)</x:f>
        <x:v>-183.916</x:v>
      </x:c>
      <x:c r="BF148" s="67" t="n">
        <x:f>'Drivers'!AF148</x:f>
        <x:v>11</x:v>
      </x:c>
      <x:c r="BG148" s="64" t="n">
        <x:f>BJ148</x:f>
        <x:v>-56.116</x:v>
      </x:c>
      <x:c r="BH148" s="64" t="n">
        <x:f>BE148/BF148</x:f>
        <x:v>-16.719636363636365</x:v>
      </x:c>
      <x:c r="BI148" s="68" t="n">
        <x:f>BF148/L148</x:f>
        <x:v>1.5714285714285714</x:v>
      </x:c>
      <x:c r="BJ148" s="64" t="n">
        <x:f>-ROUND(AK148*'Drivers'!AC148,3)</x:f>
        <x:v>-56.116</x:v>
      </x:c>
      <x:c r="BK148" s="64" t="n">
        <x:f>-ROUND(AK148*'Drivers'!AD148,3)</x:f>
        <x:v>-315.283</x:v>
      </x:c>
      <x:c r="BL148" s="64" t="n">
        <x:f>SUM(AV148,BE148,BJ148,BK148)</x:f>
        <x:v>933.2100000000006</x:v>
      </x:c>
      <x:c r="BM148" s="65" t="n">
        <x:f>BL148/AK148</x:f>
        <x:v>0.29763657025050394</x:v>
      </x:c>
      <x:c r="BN148" s="64" t="n">
        <x:f>-ROUND(AK148*'Drivers'!AE148,3)</x:f>
        <x:v>-368.838</x:v>
      </x:c>
      <x:c r="BO148" s="64" t="n">
        <x:f>BL148+BN148</x:f>
        <x:v>564.3720000000005</x:v>
      </x:c>
      <x:c r="BP148" s="65" t="n">
        <x:f>BO148/AK148</x:f>
        <x:v>0.1799999425910754</x:v>
      </x:c>
    </x:row>
    <x:row r="149">
      <x:c r="A149" s="61" t="n">
        <x:v>2026</x:v>
      </x:c>
      <x:c r="B149" s="18" t="str">
        <x:v>S2</x:v>
      </x:c>
      <x:c r="C149" s="18" t="str">
        <x:v>2026 S2</x:v>
      </x:c>
      <x:c r="D149" s="18" t="str">
        <x:v>CNCT0037</x:v>
      </x:c>
      <x:c r="E149" s="18" t="str">
        <x:v>成都IFS</x:v>
      </x:c>
      <x:c r="F149" s="18" t="str">
        <x:v>成都</x:v>
      </x:c>
      <x:c r="G149" s="18" t="str">
        <x:v>四川省</x:v>
      </x:c>
      <x:c r="H149" s="18" t="str">
        <x:v>西区</x:v>
      </x:c>
      <x:c r="I149" s="18" t="str">
        <x:v>Shopping Mall</x:v>
      </x:c>
      <x:c r="J149" s="18" t="str">
        <x:v>Prestige Shopping Center</x:v>
      </x:c>
      <x:c r="K149" s="18" t="str">
        <x:v>正常</x:v>
      </x:c>
      <x:c r="L149" s="62" t="n">
        <x:v>7</x:v>
      </x:c>
      <x:c r="M149" s="62" t="n">
        <x:v>51</x:v>
      </x:c>
      <x:c r="N149" s="63" t="n">
        <x:f>'Drivers'!C149</x:f>
        <x:v>3786</x:v>
      </x:c>
      <x:c r="O149" s="63" t="n">
        <x:f>'Drivers'!D149</x:f>
        <x:v>1317.944</x:v>
      </x:c>
      <x:c r="P149" s="64" t="n">
        <x:f>ROUND(N149*O149/1000,3)</x:f>
        <x:v>4989.736</x:v>
      </x:c>
      <x:c r="Q149" s="64" t="n">
        <x:f>ROUND(P149*'Drivers'!E149,3)</x:f>
        <x:v>4901.157</x:v>
      </x:c>
      <x:c r="R149" s="64" t="n">
        <x:f>-ROUND(Q149*'Drivers'!F149,3)</x:f>
        <x:v>-872.837</x:v>
      </x:c>
      <x:c r="S149" s="65" t="n">
        <x:f>R149/Q149</x:f>
        <x:v>-0.17808794943724512</x:v>
      </x:c>
      <x:c r="T149" s="64" t="n">
        <x:f>-ROUND(Q149*'Drivers'!G149,3)</x:f>
        <x:v>-44.315</x:v>
      </x:c>
      <x:c r="U149" s="65" t="n">
        <x:f>T149/Q149</x:f>
        <x:v>-0.009041742592616395</x:v>
      </x:c>
      <x:c r="V149" s="64" t="n">
        <x:f>-ROUND(Q149*'Drivers'!H149,3)</x:f>
        <x:v>-49.833</x:v>
      </x:c>
      <x:c r="W149" s="64" t="n">
        <x:f>-ROUND(Q149*'Drivers'!I149,3)</x:f>
        <x:v>-32.213</x:v>
      </x:c>
      <x:c r="X149" s="64" t="n">
        <x:f>-ROUND(Q149*'Drivers'!J149,3)</x:f>
        <x:v>-62.793</x:v>
      </x:c>
      <x:c r="Y149" s="64" t="n">
        <x:f>-ROUND(Q149*'Drivers'!K149,3)</x:f>
        <x:v>-68.483</x:v>
      </x:c>
      <x:c r="Z149" s="64" t="n">
        <x:f>-ROUND(Q149*'Drivers'!L149,3)</x:f>
        <x:v>-54.79</x:v>
      </x:c>
      <x:c r="AA149" s="64" t="n">
        <x:f>-ROUND(Q149*'Drivers'!M149,3)</x:f>
        <x:v>-46.614</x:v>
      </x:c>
      <x:c r="AB149" s="64" t="n">
        <x:f>-ROUND(Q149*'Drivers'!N149,3)</x:f>
        <x:v>-38.996</x:v>
      </x:c>
      <x:c r="AC149" s="64" t="n">
        <x:f>SUM(V149:AB149)</x:f>
        <x:v>-353.722</x:v>
      </x:c>
      <x:c r="AD149" s="65" t="n">
        <x:f>AC149/Q149</x:f>
        <x:v>-0.07217112204322366</x:v>
      </x:c>
      <x:c r="AE149" s="64" t="n">
        <x:f>-ROUND(Q149*'Drivers'!O149,3)</x:f>
        <x:v>-38.56</x:v>
      </x:c>
      <x:c r="AF149" s="65" t="n">
        <x:f>AE149/Q149</x:f>
        <x:v>-0.00786753005463812</x:v>
      </x:c>
      <x:c r="AG149" s="64" t="n">
        <x:f>-ROUND(Q149*'Drivers'!P149,3)</x:f>
        <x:v>-11.39</x:v>
      </x:c>
      <x:c r="AH149" s="64" t="n">
        <x:f>-ROUND(Q149*'Drivers'!Q149,3)</x:f>
        <x:v>-28.345</x:v>
      </x:c>
      <x:c r="AI149" s="64" t="n">
        <x:f>SUM(R149,T149,AC149,AE149,AG149,AH149)</x:f>
        <x:v>-1349.169</x:v>
      </x:c>
      <x:c r="AJ149" s="65" t="n">
        <x:f>AI149/Q149</x:f>
        <x:v>-0.27527561349289564</x:v>
      </x:c>
      <x:c r="AK149" s="64" t="n">
        <x:f>Q149+AI149</x:f>
        <x:v>3551.9880000000003</x:v>
      </x:c>
      <x:c r="AL149" s="65" t="n">
        <x:f>AK149/Q149</x:f>
        <x:v>0.7247243865071044</x:v>
      </x:c>
      <x:c r="AM149" s="64" t="n">
        <x:f>AK149/L149</x:f>
        <x:v>507.42685714285716</x:v>
      </x:c>
      <x:c r="AN149" s="66" t="str">
        <x:f>IF(AM149&lt;=200,"≤200K",IF(AM149&lt;=350,"200–350K",IF(AM149&lt;=500,"350–500K",IF(AM149&lt;=700,"500–700K","&gt;700K"))))</x:f>
        <x:v>500–700K</x:v>
      </x:c>
      <x:c r="AO149" s="64" t="n">
        <x:f>-ROUND(Q149*'Drivers'!R149,3)</x:f>
        <x:v>-1622.342</x:v>
      </x:c>
      <x:c r="AP149" s="64" t="n">
        <x:f>-ROUND(AK149*'Drivers'!S149,3)</x:f>
        <x:v>-45.74</x:v>
      </x:c>
      <x:c r="AQ149" s="64" t="n">
        <x:f>-ROUND(AK149*'Drivers'!T149,3)</x:f>
        <x:v>-24.461</x:v>
      </x:c>
      <x:c r="AR149" s="64" t="n">
        <x:f>-ROUND(AK149*'Drivers'!U149,3)</x:f>
        <x:v>-21.042</x:v>
      </x:c>
      <x:c r="AS149" s="64" t="n">
        <x:f>-ROUND(AK149*'Drivers'!V149,3)</x:f>
        <x:v>-133.449</x:v>
      </x:c>
      <x:c r="AT149" s="64" t="n">
        <x:f>SUM(AO149:AS149)</x:f>
        <x:v>-1847.034</x:v>
      </x:c>
      <x:c r="AU149" s="65" t="n">
        <x:f>AT149/AK149</x:f>
        <x:v>-0.5200000675677958</x:v>
      </x:c>
      <x:c r="AV149" s="64" t="n">
        <x:f>AK149+AT149</x:f>
        <x:v>1704.9540000000002</x:v>
      </x:c>
      <x:c r="AW149" s="65" t="n">
        <x:f>AV149/AK149</x:f>
        <x:v>0.4799999324322042</x:v>
      </x:c>
      <x:c r="AX149" s="64" t="n">
        <x:f>-ROUND(AK149*'Drivers'!W149,3)</x:f>
        <x:v>-41.65</x:v>
      </x:c>
      <x:c r="AY149" s="64" t="n">
        <x:f>-ROUND(AK149*'Drivers'!X149,3)</x:f>
        <x:v>-80.057</x:v>
      </x:c>
      <x:c r="AZ149" s="64" t="n">
        <x:f>-ROUND(AK149*'Drivers'!Y149,3)</x:f>
        <x:v>-47.729</x:v>
      </x:c>
      <x:c r="BA149" s="64" t="n">
        <x:f>-ROUND(AK149*'Drivers'!Z149,3)</x:f>
        <x:v>-17.47</x:v>
      </x:c>
      <x:c r="BB149" s="64" t="n">
        <x:f>-ROUND(AK149*'Drivers'!AA149,3)</x:f>
        <x:v>-16.379</x:v>
      </x:c>
      <x:c r="BC149" s="64" t="n">
        <x:f>SUM(BA149,BB149)</x:f>
        <x:v>-33.849000000000004</x:v>
      </x:c>
      <x:c r="BD149" s="64" t="n">
        <x:f>-ROUND(AK149*'Drivers'!AB149,3)</x:f>
        <x:v>-12.55</x:v>
      </x:c>
      <x:c r="BE149" s="64" t="n">
        <x:f>SUM(AX149:BB149,BD149)</x:f>
        <x:v>-215.83499999999998</x:v>
      </x:c>
      <x:c r="BF149" s="67" t="n">
        <x:f>'Drivers'!AF149</x:f>
        <x:v>11</x:v>
      </x:c>
      <x:c r="BG149" s="64" t="n">
        <x:f>BJ149</x:f>
        <x:v>-65.855</x:v>
      </x:c>
      <x:c r="BH149" s="64" t="n">
        <x:f>BE149/BF149</x:f>
        <x:v>-19.621363636363636</x:v>
      </x:c>
      <x:c r="BI149" s="68" t="n">
        <x:f>BF149/L149</x:f>
        <x:v>1.5714285714285714</x:v>
      </x:c>
      <x:c r="BJ149" s="64" t="n">
        <x:f>-ROUND(AK149*'Drivers'!AC149,3)</x:f>
        <x:v>-65.855</x:v>
      </x:c>
      <x:c r="BK149" s="64" t="n">
        <x:f>-ROUND(AK149*'Drivers'!AD149,3)</x:f>
        <x:v>-349.408</x:v>
      </x:c>
      <x:c r="BL149" s="64" t="n">
        <x:f>SUM(AV149,BE149,BJ149,BK149)</x:f>
        <x:v>1073.8560000000002</x:v>
      </x:c>
      <x:c r="BM149" s="65" t="n">
        <x:f>BL149/AK149</x:f>
        <x:v>0.3023253456937355</x:v>
      </x:c>
      <x:c r="BN149" s="64" t="n">
        <x:f>-ROUND(AK149*'Drivers'!AE149,3)</x:f>
        <x:v>-434.498</x:v>
      </x:c>
      <x:c r="BO149" s="64" t="n">
        <x:f>BL149+BN149</x:f>
        <x:v>639.3580000000002</x:v>
      </x:c>
      <x:c r="BP149" s="65" t="n">
        <x:f>BO149/AK149</x:f>
        <x:v>0.18000004504519726</x:v>
      </x:c>
    </x:row>
    <x:row r="150">
      <x:c r="A150" s="61" t="n">
        <x:v>2025</x:v>
      </x:c>
      <x:c r="B150" s="18" t="str">
        <x:v>S1</x:v>
      </x:c>
      <x:c r="C150" s="18" t="str">
        <x:v>2025 S1</x:v>
      </x:c>
      <x:c r="D150" s="18" t="str">
        <x:v>CNCT0038</x:v>
      </x:c>
      <x:c r="E150" s="18" t="str">
        <x:v>成都太古里</x:v>
      </x:c>
      <x:c r="F150" s="18" t="str">
        <x:v>成都</x:v>
      </x:c>
      <x:c r="G150" s="18" t="str">
        <x:v>四川省</x:v>
      </x:c>
      <x:c r="H150" s="18" t="str">
        <x:v>西区</x:v>
      </x:c>
      <x:c r="I150" s="18" t="str">
        <x:v>Shopping Mall</x:v>
      </x:c>
      <x:c r="J150" s="18" t="str">
        <x:v>Prestige Shopping Center</x:v>
      </x:c>
      <x:c r="K150" s="18" t="str">
        <x:v>正常</x:v>
      </x:c>
      <x:c r="L150" s="62" t="n">
        <x:v>6</x:v>
      </x:c>
      <x:c r="M150" s="62" t="n">
        <x:v>48</x:v>
      </x:c>
      <x:c r="N150" s="63" t="n">
        <x:f>'Drivers'!C150</x:f>
        <x:v>2479</x:v>
      </x:c>
      <x:c r="O150" s="63" t="n">
        <x:f>'Drivers'!D150</x:f>
        <x:v>1285.243</x:v>
      </x:c>
      <x:c r="P150" s="64" t="n">
        <x:f>ROUND(N150*O150/1000,3)</x:f>
        <x:v>3186.117</x:v>
      </x:c>
      <x:c r="Q150" s="64" t="n">
        <x:f>ROUND(P150*'Drivers'!E150,3)</x:f>
        <x:v>3137.46</x:v>
      </x:c>
      <x:c r="R150" s="64" t="n">
        <x:f>-ROUND(Q150*'Drivers'!F150,3)</x:f>
        <x:v>-552.457</x:v>
      </x:c>
      <x:c r="S150" s="65" t="n">
        <x:f>R150/Q150</x:f>
        <x:v>-0.17608415724821988</x:v>
      </x:c>
      <x:c r="T150" s="64" t="n">
        <x:f>-ROUND(Q150*'Drivers'!G150,3)</x:f>
        <x:v>-38.764</x:v>
      </x:c>
      <x:c r="U150" s="65" t="n">
        <x:f>T150/Q150</x:f>
        <x:v>-0.012355217277670473</x:v>
      </x:c>
      <x:c r="V150" s="64" t="n">
        <x:f>-ROUND(Q150*'Drivers'!H150,3)</x:f>
        <x:v>-33.05</x:v>
      </x:c>
      <x:c r="W150" s="64" t="n">
        <x:f>-ROUND(Q150*'Drivers'!I150,3)</x:f>
        <x:v>-18.095</x:v>
      </x:c>
      <x:c r="X150" s="64" t="n">
        <x:f>-ROUND(Q150*'Drivers'!J150,3)</x:f>
        <x:v>-47.2</x:v>
      </x:c>
      <x:c r="Y150" s="64" t="n">
        <x:f>-ROUND(Q150*'Drivers'!K150,3)</x:f>
        <x:v>-41.777</x:v>
      </x:c>
      <x:c r="Z150" s="64" t="n">
        <x:f>-ROUND(Q150*'Drivers'!L150,3)</x:f>
        <x:v>-38.296</x:v>
      </x:c>
      <x:c r="AA150" s="64" t="n">
        <x:f>-ROUND(Q150*'Drivers'!M150,3)</x:f>
        <x:v>-21.005</x:v>
      </x:c>
      <x:c r="AB150" s="64" t="n">
        <x:f>-ROUND(Q150*'Drivers'!N150,3)</x:f>
        <x:v>-20.182</x:v>
      </x:c>
      <x:c r="AC150" s="64" t="n">
        <x:f>SUM(V150:AB150)</x:f>
        <x:v>-219.605</x:v>
      </x:c>
      <x:c r="AD150" s="65" t="n">
        <x:f>AC150/Q150</x:f>
        <x:v>-0.069994517858395</x:v>
      </x:c>
      <x:c r="AE150" s="64" t="n">
        <x:f>-ROUND(Q150*'Drivers'!O150,3)</x:f>
        <x:v>-40.252</x:v>
      </x:c>
      <x:c r="AF150" s="65" t="n">
        <x:f>AE150/Q150</x:f>
        <x:v>-0.012829486272334947</x:v>
      </x:c>
      <x:c r="AG150" s="64" t="n">
        <x:f>-ROUND(Q150*'Drivers'!P150,3)</x:f>
        <x:v>-7.005</x:v>
      </x:c>
      <x:c r="AH150" s="64" t="n">
        <x:f>-ROUND(Q150*'Drivers'!Q150,3)</x:f>
        <x:v>-11.631</x:v>
      </x:c>
      <x:c r="AI150" s="64" t="n">
        <x:f>SUM(R150,T150,AC150,AE150,AG150,AH150)</x:f>
        <x:v>-869.7139999999999</x:v>
      </x:c>
      <x:c r="AJ150" s="65" t="n">
        <x:f>AI150/Q150</x:f>
        <x:v>-0.27720321533979714</x:v>
      </x:c>
      <x:c r="AK150" s="64" t="n">
        <x:f>Q150+AI150</x:f>
        <x:v>2267.746</x:v>
      </x:c>
      <x:c r="AL150" s="65" t="n">
        <x:f>AK150/Q150</x:f>
        <x:v>0.7227967846602028</x:v>
      </x:c>
      <x:c r="AM150" s="64" t="n">
        <x:f>AK150/L150</x:f>
        <x:v>377.9576666666667</x:v>
      </x:c>
      <x:c r="AN150" s="66" t="str">
        <x:f>IF(AM150&lt;=200,"≤200K",IF(AM150&lt;=350,"200–350K",IF(AM150&lt;=500,"350–500K",IF(AM150&lt;=700,"500–700K","&gt;700K"))))</x:f>
        <x:v>350–500K</x:v>
      </x:c>
      <x:c r="AO150" s="64" t="n">
        <x:f>-ROUND(Q150*'Drivers'!R150,3)</x:f>
        <x:v>-1110.395</x:v>
      </x:c>
      <x:c r="AP150" s="64" t="n">
        <x:f>-ROUND(AK150*'Drivers'!S150,3)</x:f>
        <x:v>-36.211</x:v>
      </x:c>
      <x:c r="AQ150" s="64" t="n">
        <x:f>-ROUND(AK150*'Drivers'!T150,3)</x:f>
        <x:v>-13.651</x:v>
      </x:c>
      <x:c r="AR150" s="64" t="n">
        <x:f>-ROUND(AK150*'Drivers'!U150,3)</x:f>
        <x:v>-26.085</x:v>
      </x:c>
      <x:c r="AS150" s="64" t="n">
        <x:f>-ROUND(AK150*'Drivers'!V150,3)</x:f>
        <x:v>-70.022</x:v>
      </x:c>
      <x:c r="AT150" s="64" t="n">
        <x:f>SUM(AO150:AS150)</x:f>
        <x:v>-1256.364</x:v>
      </x:c>
      <x:c r="AU150" s="65" t="n">
        <x:f>AT150/AK150</x:f>
        <x:v>-0.5540144266597758</x:v>
      </x:c>
      <x:c r="AV150" s="64" t="n">
        <x:f>AK150+AT150</x:f>
        <x:v>1011.3820000000001</x:v>
      </x:c>
      <x:c r="AW150" s="65" t="n">
        <x:f>AV150/AK150</x:f>
        <x:v>0.44598557334022415</x:v>
      </x:c>
      <x:c r="AX150" s="64" t="n">
        <x:f>-ROUND(AK150*'Drivers'!W150,3)</x:f>
        <x:v>-20.454</x:v>
      </x:c>
      <x:c r="AY150" s="64" t="n">
        <x:f>-ROUND(AK150*'Drivers'!X150,3)</x:f>
        <x:v>-57.669</x:v>
      </x:c>
      <x:c r="AZ150" s="64" t="n">
        <x:f>-ROUND(AK150*'Drivers'!Y150,3)</x:f>
        <x:v>-34.506</x:v>
      </x:c>
      <x:c r="BA150" s="64" t="n">
        <x:f>-ROUND(AK150*'Drivers'!Z150,3)</x:f>
        <x:v>-11.985</x:v>
      </x:c>
      <x:c r="BB150" s="64" t="n">
        <x:f>-ROUND(AK150*'Drivers'!AA150,3)</x:f>
        <x:v>-17.191</x:v>
      </x:c>
      <x:c r="BC150" s="64" t="n">
        <x:f>SUM(BA150,BB150)</x:f>
        <x:v>-29.176</x:v>
      </x:c>
      <x:c r="BD150" s="64" t="n">
        <x:f>-ROUND(AK150*'Drivers'!AB150,3)</x:f>
        <x:v>-6.976</x:v>
      </x:c>
      <x:c r="BE150" s="64" t="n">
        <x:f>SUM(AX150:BB150,BD150)</x:f>
        <x:v>-148.78099999999998</x:v>
      </x:c>
      <x:c r="BF150" s="67" t="n">
        <x:f>'Drivers'!AF150</x:f>
        <x:v>10</x:v>
      </x:c>
      <x:c r="BG150" s="64" t="n">
        <x:f>BJ150</x:f>
        <x:v>-57.128</x:v>
      </x:c>
      <x:c r="BH150" s="64" t="n">
        <x:f>BE150/BF150</x:f>
        <x:v>-14.878099999999998</x:v>
      </x:c>
      <x:c r="BI150" s="68" t="n">
        <x:f>BF150/L150</x:f>
        <x:v>1.6666666666666667</x:v>
      </x:c>
      <x:c r="BJ150" s="64" t="n">
        <x:f>-ROUND(AK150*'Drivers'!AC150,3)</x:f>
        <x:v>-57.128</x:v>
      </x:c>
      <x:c r="BK150" s="64" t="n">
        <x:f>-ROUND(AK150*'Drivers'!AD150,3)</x:f>
        <x:v>-227.822</x:v>
      </x:c>
      <x:c r="BL150" s="64" t="n">
        <x:f>SUM(AV150,BE150,BJ150,BK150)</x:f>
        <x:v>577.6510000000001</x:v>
      </x:c>
      <x:c r="BM150" s="65" t="n">
        <x:f>BL150/AK150</x:f>
        <x:v>0.25472473548624935</x:v>
      </x:c>
      <x:c r="BN150" s="64" t="n">
        <x:f>-ROUND(AK150*'Drivers'!AE150,3)</x:f>
        <x:v>-205.467</x:v>
      </x:c>
      <x:c r="BO150" s="64" t="n">
        <x:f>BL150+BN150</x:f>
        <x:v>372.1840000000001</x:v>
      </x:c>
      <x:c r="BP150" s="65" t="n">
        <x:f>BO150/AK150</x:f>
        <x:v>0.16412067312653184</x:v>
      </x:c>
    </x:row>
    <x:row r="151">
      <x:c r="A151" s="61" t="n">
        <x:v>2025</x:v>
      </x:c>
      <x:c r="B151" s="18" t="str">
        <x:v>S2</x:v>
      </x:c>
      <x:c r="C151" s="18" t="str">
        <x:v>2025 S2</x:v>
      </x:c>
      <x:c r="D151" s="18" t="str">
        <x:v>CNCT0038</x:v>
      </x:c>
      <x:c r="E151" s="18" t="str">
        <x:v>成都太古里</x:v>
      </x:c>
      <x:c r="F151" s="18" t="str">
        <x:v>成都</x:v>
      </x:c>
      <x:c r="G151" s="18" t="str">
        <x:v>四川省</x:v>
      </x:c>
      <x:c r="H151" s="18" t="str">
        <x:v>西区</x:v>
      </x:c>
      <x:c r="I151" s="18" t="str">
        <x:v>Shopping Mall</x:v>
      </x:c>
      <x:c r="J151" s="18" t="str">
        <x:v>Prestige Shopping Center</x:v>
      </x:c>
      <x:c r="K151" s="18" t="str">
        <x:v>正常</x:v>
      </x:c>
      <x:c r="L151" s="62" t="n">
        <x:v>6</x:v>
      </x:c>
      <x:c r="M151" s="62" t="n">
        <x:v>48</x:v>
      </x:c>
      <x:c r="N151" s="63" t="n">
        <x:f>'Drivers'!C151</x:f>
        <x:v>2617</x:v>
      </x:c>
      <x:c r="O151" s="63" t="n">
        <x:f>'Drivers'!D151</x:f>
        <x:v>1300.666</x:v>
      </x:c>
      <x:c r="P151" s="64" t="n">
        <x:f>ROUND(N151*O151/1000,3)</x:f>
        <x:v>3403.843</x:v>
      </x:c>
      <x:c r="Q151" s="64" t="n">
        <x:f>ROUND(P151*'Drivers'!E151,3)</x:f>
        <x:v>3314.665</x:v>
      </x:c>
      <x:c r="R151" s="64" t="n">
        <x:f>-ROUND(Q151*'Drivers'!F151,3)</x:f>
        <x:v>-583.659</x:v>
      </x:c>
      <x:c r="S151" s="65" t="n">
        <x:f>R151/Q151</x:f>
        <x:v>-0.17608385764473936</x:v>
      </x:c>
      <x:c r="T151" s="64" t="n">
        <x:f>-ROUND(Q151*'Drivers'!G151,3)</x:f>
        <x:v>-40.953</x:v>
      </x:c>
      <x:c r="U151" s="65" t="n">
        <x:f>T151/Q151</x:f>
        <x:v>-0.01235509470791166</x:v>
      </x:c>
      <x:c r="V151" s="64" t="n">
        <x:f>-ROUND(Q151*'Drivers'!H151,3)</x:f>
        <x:v>-34.917</x:v>
      </x:c>
      <x:c r="W151" s="64" t="n">
        <x:f>-ROUND(Q151*'Drivers'!I151,3)</x:f>
        <x:v>-19.117</x:v>
      </x:c>
      <x:c r="X151" s="64" t="n">
        <x:f>-ROUND(Q151*'Drivers'!J151,3)</x:f>
        <x:v>-49.866</x:v>
      </x:c>
      <x:c r="Y151" s="64" t="n">
        <x:f>-ROUND(Q151*'Drivers'!K151,3)</x:f>
        <x:v>-44.136</x:v>
      </x:c>
      <x:c r="Z151" s="64" t="n">
        <x:f>-ROUND(Q151*'Drivers'!L151,3)</x:f>
        <x:v>-40.459</x:v>
      </x:c>
      <x:c r="AA151" s="64" t="n">
        <x:f>-ROUND(Q151*'Drivers'!M151,3)</x:f>
        <x:v>-22.191</x:v>
      </x:c>
      <x:c r="AB151" s="64" t="n">
        <x:f>-ROUND(Q151*'Drivers'!N151,3)</x:f>
        <x:v>-21.322</x:v>
      </x:c>
      <x:c r="AC151" s="64" t="n">
        <x:f>SUM(V151:AB151)</x:f>
        <x:v>-232.008</x:v>
      </x:c>
      <x:c r="AD151" s="65" t="n">
        <x:f>AC151/Q151</x:f>
        <x:v>-0.06999440365768486</x:v>
      </x:c>
      <x:c r="AE151" s="64" t="n">
        <x:f>-ROUND(Q151*'Drivers'!O151,3)</x:f>
        <x:v>-42.525</x:v>
      </x:c>
      <x:c r="AF151" s="65" t="n">
        <x:f>AE151/Q151</x:f>
        <x:v>-0.012829350779038002</x:v>
      </x:c>
      <x:c r="AG151" s="64" t="n">
        <x:f>-ROUND(Q151*'Drivers'!P151,3)</x:f>
        <x:v>-7.4</x:v>
      </x:c>
      <x:c r="AH151" s="64" t="n">
        <x:f>-ROUND(Q151*'Drivers'!Q151,3)</x:f>
        <x:v>-12.288</x:v>
      </x:c>
      <x:c r="AI151" s="64" t="n">
        <x:f>SUM(R151,T151,AC151,AE151,AG151,AH151)</x:f>
        <x:v>-918.833</x:v>
      </x:c>
      <x:c r="AJ151" s="65" t="n">
        <x:f>AI151/Q151</x:f>
        <x:v>-0.27720237188373487</x:v>
      </x:c>
      <x:c r="AK151" s="64" t="n">
        <x:f>Q151+AI151</x:f>
        <x:v>2395.832</x:v>
      </x:c>
      <x:c r="AL151" s="65" t="n">
        <x:f>AK151/Q151</x:f>
        <x:v>0.7227976281162651</x:v>
      </x:c>
      <x:c r="AM151" s="64" t="n">
        <x:f>AK151/L151</x:f>
        <x:v>399.3053333333333</x:v>
      </x:c>
      <x:c r="AN151" s="66" t="str">
        <x:f>IF(AM151&lt;=200,"≤200K",IF(AM151&lt;=350,"200–350K",IF(AM151&lt;=500,"350–500K",IF(AM151&lt;=700,"500–700K","&gt;700K"))))</x:f>
        <x:v>350–500K</x:v>
      </x:c>
      <x:c r="AO151" s="64" t="n">
        <x:f>-ROUND(Q151*'Drivers'!R151,3)</x:f>
        <x:v>-1185.895</x:v>
      </x:c>
      <x:c r="AP151" s="64" t="n">
        <x:f>-ROUND(AK151*'Drivers'!S151,3)</x:f>
        <x:v>-38.256</x:v>
      </x:c>
      <x:c r="AQ151" s="64" t="n">
        <x:f>-ROUND(AK151*'Drivers'!T151,3)</x:f>
        <x:v>-14.422</x:v>
      </x:c>
      <x:c r="AR151" s="64" t="n">
        <x:f>-ROUND(AK151*'Drivers'!U151,3)</x:f>
        <x:v>-27.558</x:v>
      </x:c>
      <x:c r="AS151" s="64" t="n">
        <x:f>-ROUND(AK151*'Drivers'!V151,3)</x:f>
        <x:v>-73.977</x:v>
      </x:c>
      <x:c r="AT151" s="64" t="n">
        <x:f>SUM(AO151:AS151)</x:f>
        <x:v>-1340.1080000000002</x:v>
      </x:c>
      <x:c r="AU151" s="65" t="n">
        <x:f>AT151/AK151</x:f>
        <x:v>-0.5593497373772452</x:v>
      </x:c>
      <x:c r="AV151" s="64" t="n">
        <x:f>AK151+AT151</x:f>
        <x:v>1055.7239999999997</x:v>
      </x:c>
      <x:c r="AW151" s="65" t="n">
        <x:f>AV151/AK151</x:f>
        <x:v>0.44065026262275475</x:v>
      </x:c>
      <x:c r="AX151" s="64" t="n">
        <x:f>-ROUND(AK151*'Drivers'!W151,3)</x:f>
        <x:v>-21.609</x:v>
      </x:c>
      <x:c r="AY151" s="64" t="n">
        <x:f>-ROUND(AK151*'Drivers'!X151,3)</x:f>
        <x:v>-60.926</x:v>
      </x:c>
      <x:c r="AZ151" s="64" t="n">
        <x:f>-ROUND(AK151*'Drivers'!Y151,3)</x:f>
        <x:v>-36.455</x:v>
      </x:c>
      <x:c r="BA151" s="64" t="n">
        <x:f>-ROUND(AK151*'Drivers'!Z151,3)</x:f>
        <x:v>-12.662</x:v>
      </x:c>
      <x:c r="BB151" s="64" t="n">
        <x:f>-ROUND(AK151*'Drivers'!AA151,3)</x:f>
        <x:v>-18.162</x:v>
      </x:c>
      <x:c r="BC151" s="64" t="n">
        <x:f>SUM(BA151,BB151)</x:f>
        <x:v>-30.823999999999998</x:v>
      </x:c>
      <x:c r="BD151" s="64" t="n">
        <x:f>-ROUND(AK151*'Drivers'!AB151,3)</x:f>
        <x:v>-7.37</x:v>
      </x:c>
      <x:c r="BE151" s="64" t="n">
        <x:f>SUM(AX151:BB151,BD151)</x:f>
        <x:v>-157.184</x:v>
      </x:c>
      <x:c r="BF151" s="67" t="n">
        <x:f>'Drivers'!AF151</x:f>
        <x:v>10</x:v>
      </x:c>
      <x:c r="BG151" s="64" t="n">
        <x:f>BJ151</x:f>
        <x:v>-60.354</x:v>
      </x:c>
      <x:c r="BH151" s="64" t="n">
        <x:f>BE151/BF151</x:f>
        <x:v>-15.718399999999999</x:v>
      </x:c>
      <x:c r="BI151" s="68" t="n">
        <x:f>BF151/L151</x:f>
        <x:v>1.6666666666666667</x:v>
      </x:c>
      <x:c r="BJ151" s="64" t="n">
        <x:f>-ROUND(AK151*'Drivers'!AC151,3)</x:f>
        <x:v>-60.354</x:v>
      </x:c>
      <x:c r="BK151" s="64" t="n">
        <x:f>-ROUND(AK151*'Drivers'!AD151,3)</x:f>
        <x:v>-240.69</x:v>
      </x:c>
      <x:c r="BL151" s="64" t="n">
        <x:f>SUM(AV151,BE151,BJ151,BK151)</x:f>
        <x:v>597.4959999999996</x:v>
      </x:c>
      <x:c r="BM151" s="65" t="n">
        <x:f>BL151/AK151</x:f>
        <x:v>0.24938977357343906</x:v>
      </x:c>
      <x:c r="BN151" s="64" t="n">
        <x:f>-ROUND(AK151*'Drivers'!AE151,3)</x:f>
        <x:v>-217.072</x:v>
      </x:c>
      <x:c r="BO151" s="64" t="n">
        <x:f>BL151+BN151</x:f>
        <x:v>380.42399999999964</x:v>
      </x:c>
      <x:c r="BP151" s="65" t="n">
        <x:f>BO151/AK151</x:f>
        <x:v>0.1587857579329434</x:v>
      </x:c>
    </x:row>
    <x:row r="152">
      <x:c r="A152" s="61" t="n">
        <x:v>2026</x:v>
      </x:c>
      <x:c r="B152" s="18" t="str">
        <x:v>S1</x:v>
      </x:c>
      <x:c r="C152" s="18" t="str">
        <x:v>2026 S1</x:v>
      </x:c>
      <x:c r="D152" s="18" t="str">
        <x:v>CNCT0038</x:v>
      </x:c>
      <x:c r="E152" s="18" t="str">
        <x:v>成都太古里</x:v>
      </x:c>
      <x:c r="F152" s="18" t="str">
        <x:v>成都</x:v>
      </x:c>
      <x:c r="G152" s="18" t="str">
        <x:v>四川省</x:v>
      </x:c>
      <x:c r="H152" s="18" t="str">
        <x:v>西区</x:v>
      </x:c>
      <x:c r="I152" s="18" t="str">
        <x:v>Shopping Mall</x:v>
      </x:c>
      <x:c r="J152" s="18" t="str">
        <x:v>Prestige Shopping Center</x:v>
      </x:c>
      <x:c r="K152" s="18" t="str">
        <x:v>正常</x:v>
      </x:c>
      <x:c r="L152" s="62" t="n">
        <x:v>7</x:v>
      </x:c>
      <x:c r="M152" s="62" t="n">
        <x:v>51</x:v>
      </x:c>
      <x:c r="N152" s="63" t="n">
        <x:f>'Drivers'!C152</x:f>
        <x:v>2686</x:v>
      </x:c>
      <x:c r="O152" s="63" t="n">
        <x:f>'Drivers'!D152</x:f>
        <x:v>1346.32</x:v>
      </x:c>
      <x:c r="P152" s="64" t="n">
        <x:f>ROUND(N152*O152/1000,3)</x:f>
        <x:v>3616.216</x:v>
      </x:c>
      <x:c r="Q152" s="64" t="n">
        <x:f>ROUND(P152*'Drivers'!E152,3)</x:f>
        <x:v>3549.559</x:v>
      </x:c>
      <x:c r="R152" s="64" t="n">
        <x:f>-ROUND(Q152*'Drivers'!F152,3)</x:f>
        <x:v>-603.916</x:v>
      </x:c>
      <x:c r="S152" s="65" t="n">
        <x:f>R152/Q152</x:f>
        <x:v>-0.1701383185911264</x:v>
      </x:c>
      <x:c r="T152" s="64" t="n">
        <x:f>-ROUND(Q152*'Drivers'!G152,3)</x:f>
        <x:v>-48.431</x:v>
      </x:c>
      <x:c r="U152" s="65" t="n">
        <x:f>T152/Q152</x:f>
        <x:v>-0.013644230170564849</x:v>
      </x:c>
      <x:c r="V152" s="64" t="n">
        <x:f>-ROUND(Q152*'Drivers'!H152,3)</x:f>
        <x:v>-37.391</x:v>
      </x:c>
      <x:c r="W152" s="64" t="n">
        <x:f>-ROUND(Q152*'Drivers'!I152,3)</x:f>
        <x:v>-20.472</x:v>
      </x:c>
      <x:c r="X152" s="64" t="n">
        <x:f>-ROUND(Q152*'Drivers'!J152,3)</x:f>
        <x:v>-53.399</x:v>
      </x:c>
      <x:c r="Y152" s="64" t="n">
        <x:f>-ROUND(Q152*'Drivers'!K152,3)</x:f>
        <x:v>-47.264</x:v>
      </x:c>
      <x:c r="Z152" s="64" t="n">
        <x:f>-ROUND(Q152*'Drivers'!L152,3)</x:f>
        <x:v>-43.326</x:v>
      </x:c>
      <x:c r="AA152" s="64" t="n">
        <x:f>-ROUND(Q152*'Drivers'!M152,3)</x:f>
        <x:v>-23.763</x:v>
      </x:c>
      <x:c r="AB152" s="64" t="n">
        <x:f>-ROUND(Q152*'Drivers'!N152,3)</x:f>
        <x:v>-22.833</x:v>
      </x:c>
      <x:c r="AC152" s="64" t="n">
        <x:f>SUM(V152:AB152)</x:f>
        <x:v>-248.448</x:v>
      </x:c>
      <x:c r="AD152" s="65" t="n">
        <x:f>AC152/Q152</x:f>
        <x:v>-0.06999404714782878</x:v>
      </x:c>
      <x:c r="AE152" s="64" t="n">
        <x:f>-ROUND(Q152*'Drivers'!O152,3)</x:f>
        <x:v>-52.147</x:v>
      </x:c>
      <x:c r="AF152" s="65" t="n">
        <x:f>AE152/Q152</x:f>
        <x:v>-0.014691120784300246</x:v>
      </x:c>
      <x:c r="AG152" s="64" t="n">
        <x:f>-ROUND(Q152*'Drivers'!P152,3)</x:f>
        <x:v>-7.925</x:v>
      </x:c>
      <x:c r="AH152" s="64" t="n">
        <x:f>-ROUND(Q152*'Drivers'!Q152,3)</x:f>
        <x:v>-13.158</x:v>
      </x:c>
      <x:c r="AI152" s="64" t="n">
        <x:f>SUM(R152,T152,AC152,AE152,AG152,AH152)</x:f>
        <x:v>-974.0250000000001</x:v>
      </x:c>
      <x:c r="AJ152" s="65" t="n">
        <x:f>AI152/Q152</x:f>
        <x:v>-0.27440732778353594</x:v>
      </x:c>
      <x:c r="AK152" s="64" t="n">
        <x:f>Q152+AI152</x:f>
        <x:v>2575.534</x:v>
      </x:c>
      <x:c r="AL152" s="65" t="n">
        <x:f>AK152/Q152</x:f>
        <x:v>0.7255926722164641</x:v>
      </x:c>
      <x:c r="AM152" s="64" t="n">
        <x:f>AK152/L152</x:f>
        <x:v>367.9334285714286</x:v>
      </x:c>
      <x:c r="AN152" s="66" t="str">
        <x:f>IF(AM152&lt;=200,"≤200K",IF(AM152&lt;=350,"200–350K",IF(AM152&lt;=500,"350–500K",IF(AM152&lt;=700,"500–700K","&gt;700K"))))</x:f>
        <x:v>350–500K</x:v>
      </x:c>
      <x:c r="AO152" s="64" t="n">
        <x:f>-ROUND(Q152*'Drivers'!R152,3)</x:f>
        <x:v>-1184.331</x:v>
      </x:c>
      <x:c r="AP152" s="64" t="n">
        <x:f>-ROUND(AK152*'Drivers'!S152,3)</x:f>
        <x:v>-41.125</x:v>
      </x:c>
      <x:c r="AQ152" s="64" t="n">
        <x:f>-ROUND(AK152*'Drivers'!T152,3)</x:f>
        <x:v>-15.504</x:v>
      </x:c>
      <x:c r="AR152" s="64" t="n">
        <x:f>-ROUND(AK152*'Drivers'!U152,3)</x:f>
        <x:v>-29.625</x:v>
      </x:c>
      <x:c r="AS152" s="64" t="n">
        <x:f>-ROUND(AK152*'Drivers'!V152,3)</x:f>
        <x:v>-79.526</x:v>
      </x:c>
      <x:c r="AT152" s="64" t="n">
        <x:f>SUM(AO152:AS152)</x:f>
        <x:v>-1350.1109999999999</x:v>
      </x:c>
      <x:c r="AU152" s="65" t="n">
        <x:f>AT152/AK152</x:f>
        <x:v>-0.5242062422783003</x:v>
      </x:c>
      <x:c r="AV152" s="64" t="n">
        <x:f>AK152+AT152</x:f>
        <x:v>1225.4230000000002</x:v>
      </x:c>
      <x:c r="AW152" s="65" t="n">
        <x:f>AV152/AK152</x:f>
        <x:v>0.47579375772169974</x:v>
      </x:c>
      <x:c r="AX152" s="64" t="n">
        <x:f>-ROUND(AK152*'Drivers'!W152,3)</x:f>
        <x:v>-20.442</x:v>
      </x:c>
      <x:c r="AY152" s="64" t="n">
        <x:f>-ROUND(AK152*'Drivers'!X152,3)</x:f>
        <x:v>-57.636</x:v>
      </x:c>
      <x:c r="AZ152" s="64" t="n">
        <x:f>-ROUND(AK152*'Drivers'!Y152,3)</x:f>
        <x:v>-34.486</x:v>
      </x:c>
      <x:c r="BA152" s="64" t="n">
        <x:f>-ROUND(AK152*'Drivers'!Z152,3)</x:f>
        <x:v>-11.978</x:v>
      </x:c>
      <x:c r="BB152" s="64" t="n">
        <x:f>-ROUND(AK152*'Drivers'!AA152,3)</x:f>
        <x:v>-17.181</x:v>
      </x:c>
      <x:c r="BC152" s="64" t="n">
        <x:f>SUM(BA152,BB152)</x:f>
        <x:v>-29.159</x:v>
      </x:c>
      <x:c r="BD152" s="64" t="n">
        <x:f>-ROUND(AK152*'Drivers'!AB152,3)</x:f>
        <x:v>-6.972</x:v>
      </x:c>
      <x:c r="BE152" s="64" t="n">
        <x:f>SUM(AX152:BB152,BD152)</x:f>
        <x:v>-148.695</x:v>
      </x:c>
      <x:c r="BF152" s="67" t="n">
        <x:f>'Drivers'!AF152</x:f>
        <x:v>10</x:v>
      </x:c>
      <x:c r="BG152" s="64" t="n">
        <x:f>BJ152</x:f>
        <x:v>-57.096</x:v>
      </x:c>
      <x:c r="BH152" s="64" t="n">
        <x:f>BE152/BF152</x:f>
        <x:v>-14.869499999999999</x:v>
      </x:c>
      <x:c r="BI152" s="68" t="n">
        <x:f>BF152/L152</x:f>
        <x:v>1.4285714285714286</x:v>
      </x:c>
      <x:c r="BJ152" s="64" t="n">
        <x:f>-ROUND(AK152*'Drivers'!AC152,3)</x:f>
        <x:v>-57.096</x:v>
      </x:c>
      <x:c r="BK152" s="64" t="n">
        <x:f>-ROUND(AK152*'Drivers'!AD152,3)</x:f>
        <x:v>-238.043</x:v>
      </x:c>
      <x:c r="BL152" s="64" t="n">
        <x:f>SUM(AV152,BE152,BJ152,BK152)</x:f>
        <x:v>781.5890000000003</x:v>
      </x:c>
      <x:c r="BM152" s="65" t="n">
        <x:f>BL152/AK152</x:f>
        <x:v>0.3034667762102928</x:v>
      </x:c>
      <x:c r="BN152" s="64" t="n">
        <x:f>-ROUND(AK152*'Drivers'!AE152,3)</x:f>
        <x:v>-317.993</x:v>
      </x:c>
      <x:c r="BO152" s="64" t="n">
        <x:f>BL152+BN152</x:f>
        <x:v>463.5960000000003</x:v>
      </x:c>
      <x:c r="BP152" s="65" t="n">
        <x:f>BO152/AK152</x:f>
        <x:v>0.1799999534077206</x:v>
      </x:c>
    </x:row>
    <x:row r="153">
      <x:c r="A153" s="61" t="n">
        <x:v>2026</x:v>
      </x:c>
      <x:c r="B153" s="18" t="str">
        <x:v>S2</x:v>
      </x:c>
      <x:c r="C153" s="18" t="str">
        <x:v>2026 S2</x:v>
      </x:c>
      <x:c r="D153" s="18" t="str">
        <x:v>CNCT0038</x:v>
      </x:c>
      <x:c r="E153" s="18" t="str">
        <x:v>成都太古里</x:v>
      </x:c>
      <x:c r="F153" s="18" t="str">
        <x:v>成都</x:v>
      </x:c>
      <x:c r="G153" s="18" t="str">
        <x:v>四川省</x:v>
      </x:c>
      <x:c r="H153" s="18" t="str">
        <x:v>西区</x:v>
      </x:c>
      <x:c r="I153" s="18" t="str">
        <x:v>Shopping Mall</x:v>
      </x:c>
      <x:c r="J153" s="18" t="str">
        <x:v>Prestige Shopping Center</x:v>
      </x:c>
      <x:c r="K153" s="18" t="str">
        <x:v>正常</x:v>
      </x:c>
      <x:c r="L153" s="62" t="n">
        <x:v>7</x:v>
      </x:c>
      <x:c r="M153" s="62" t="n">
        <x:v>51</x:v>
      </x:c>
      <x:c r="N153" s="63" t="n">
        <x:f>'Drivers'!C153</x:f>
        <x:v>2845</x:v>
      </x:c>
      <x:c r="O153" s="63" t="n">
        <x:f>'Drivers'!D153</x:f>
        <x:v>1358.072</x:v>
      </x:c>
      <x:c r="P153" s="64" t="n">
        <x:f>ROUND(N153*O153/1000,3)</x:f>
        <x:v>3863.715</x:v>
      </x:c>
      <x:c r="Q153" s="64" t="n">
        <x:f>ROUND(P153*'Drivers'!E153,3)</x:f>
        <x:v>3762.488</x:v>
      </x:c>
      <x:c r="R153" s="64" t="n">
        <x:f>-ROUND(Q153*'Drivers'!F153,3)</x:f>
        <x:v>-685.761</x:v>
      </x:c>
      <x:c r="S153" s="65" t="n">
        <x:f>R153/Q153</x:f>
        <x:v>-0.18226264110344007</x:v>
      </x:c>
      <x:c r="T153" s="64" t="n">
        <x:f>-ROUND(Q153*'Drivers'!G153,3)</x:f>
        <x:v>-46.921</x:v>
      </x:c>
      <x:c r="U153" s="65" t="n">
        <x:f>T153/Q153</x:f>
        <x:v>-0.012470737448199171</x:v>
      </x:c>
      <x:c r="V153" s="64" t="n">
        <x:f>-ROUND(Q153*'Drivers'!H153,3)</x:f>
        <x:v>-39.634</x:v>
      </x:c>
      <x:c r="W153" s="64" t="n">
        <x:f>-ROUND(Q153*'Drivers'!I153,3)</x:f>
        <x:v>-21.7</x:v>
      </x:c>
      <x:c r="X153" s="64" t="n">
        <x:f>-ROUND(Q153*'Drivers'!J153,3)</x:f>
        <x:v>-56.603</x:v>
      </x:c>
      <x:c r="Y153" s="64" t="n">
        <x:f>-ROUND(Q153*'Drivers'!K153,3)</x:f>
        <x:v>-50.099</x:v>
      </x:c>
      <x:c r="Z153" s="64" t="n">
        <x:f>-ROUND(Q153*'Drivers'!L153,3)</x:f>
        <x:v>-45.925</x:v>
      </x:c>
      <x:c r="AA153" s="64" t="n">
        <x:f>-ROUND(Q153*'Drivers'!M153,3)</x:f>
        <x:v>-25.189</x:v>
      </x:c>
      <x:c r="AB153" s="64" t="n">
        <x:f>-ROUND(Q153*'Drivers'!N153,3)</x:f>
        <x:v>-24.203</x:v>
      </x:c>
      <x:c r="AC153" s="64" t="n">
        <x:f>SUM(V153:AB153)</x:f>
        <x:v>-263.353</x:v>
      </x:c>
      <x:c r="AD153" s="65" t="n">
        <x:f>AC153/Q153</x:f>
        <x:v>-0.06999437606179741</x:v>
      </x:c>
      <x:c r="AE153" s="64" t="n">
        <x:f>-ROUND(Q153*'Drivers'!O153,3)</x:f>
        <x:v>-48.271</x:v>
      </x:c>
      <x:c r="AF153" s="65" t="n">
        <x:f>AE153/Q153</x:f>
        <x:v>-0.012829542579272015</x:v>
      </x:c>
      <x:c r="AG153" s="64" t="n">
        <x:f>-ROUND(Q153*'Drivers'!P153,3)</x:f>
        <x:v>-8.4</x:v>
      </x:c>
      <x:c r="AH153" s="64" t="n">
        <x:f>-ROUND(Q153*'Drivers'!Q153,3)</x:f>
        <x:v>-13.948</x:v>
      </x:c>
      <x:c r="AI153" s="64" t="n">
        <x:f>SUM(R153,T153,AC153,AE153,AG153,AH153)</x:f>
        <x:v>-1066.6540000000002</x:v>
      </x:c>
      <x:c r="AJ153" s="65" t="n">
        <x:f>AI153/Q153</x:f>
        <x:v>-0.2834969839106464</x:v>
      </x:c>
      <x:c r="AK153" s="64" t="n">
        <x:f>Q153+AI153</x:f>
        <x:v>2695.834</x:v>
      </x:c>
      <x:c r="AL153" s="65" t="n">
        <x:f>AK153/Q153</x:f>
        <x:v>0.7165030160893536</x:v>
      </x:c>
      <x:c r="AM153" s="64" t="n">
        <x:f>AK153/L153</x:f>
        <x:v>385.11914285714283</x:v>
      </x:c>
      <x:c r="AN153" s="66" t="str">
        <x:f>IF(AM153&lt;=200,"≤200K",IF(AM153&lt;=350,"200–350K",IF(AM153&lt;=500,"350–500K",IF(AM153&lt;=700,"500–700K","&gt;700K"))))</x:f>
        <x:v>350–500K</x:v>
      </x:c>
      <x:c r="AO153" s="64" t="n">
        <x:f>-ROUND(Q153*'Drivers'!R153,3)</x:f>
        <x:v>-1244.015</x:v>
      </x:c>
      <x:c r="AP153" s="64" t="n">
        <x:f>-ROUND(AK153*'Drivers'!S153,3)</x:f>
        <x:v>-43.046</x:v>
      </x:c>
      <x:c r="AQ153" s="64" t="n">
        <x:f>-ROUND(AK153*'Drivers'!T153,3)</x:f>
        <x:v>-16.228</x:v>
      </x:c>
      <x:c r="AR153" s="64" t="n">
        <x:f>-ROUND(AK153*'Drivers'!U153,3)</x:f>
        <x:v>-31.009</x:v>
      </x:c>
      <x:c r="AS153" s="64" t="n">
        <x:f>-ROUND(AK153*'Drivers'!V153,3)</x:f>
        <x:v>-83.241</x:v>
      </x:c>
      <x:c r="AT153" s="64" t="n">
        <x:f>SUM(AO153:AS153)</x:f>
        <x:v>-1417.5390000000002</x:v>
      </x:c>
      <x:c r="AU153" s="65" t="n">
        <x:f>AT153/AK153</x:f>
        <x:v>-0.5258257741389122</x:v>
      </x:c>
      <x:c r="AV153" s="64" t="n">
        <x:f>AK153+AT153</x:f>
        <x:v>1278.2949999999996</x:v>
      </x:c>
      <x:c r="AW153" s="65" t="n">
        <x:f>AV153/AK153</x:f>
        <x:v>0.47417422586108776</x:v>
      </x:c>
      <x:c r="AX153" s="64" t="n">
        <x:f>-ROUND(AK153*'Drivers'!W153,3)</x:f>
        <x:v>-22.165</x:v>
      </x:c>
      <x:c r="AY153" s="64" t="n">
        <x:f>-ROUND(AK153*'Drivers'!X153,3)</x:f>
        <x:v>-62.495</x:v>
      </x:c>
      <x:c r="AZ153" s="64" t="n">
        <x:f>-ROUND(AK153*'Drivers'!Y153,3)</x:f>
        <x:v>-37.393</x:v>
      </x:c>
      <x:c r="BA153" s="64" t="n">
        <x:f>-ROUND(AK153*'Drivers'!Z153,3)</x:f>
        <x:v>-12.988</x:v>
      </x:c>
      <x:c r="BB153" s="64" t="n">
        <x:f>-ROUND(AK153*'Drivers'!AA153,3)</x:f>
        <x:v>-18.629</x:v>
      </x:c>
      <x:c r="BC153" s="64" t="n">
        <x:f>SUM(BA153,BB153)</x:f>
        <x:v>-31.617</x:v>
      </x:c>
      <x:c r="BD153" s="64" t="n">
        <x:f>-ROUND(AK153*'Drivers'!AB153,3)</x:f>
        <x:v>-7.56</x:v>
      </x:c>
      <x:c r="BE153" s="64" t="n">
        <x:f>SUM(AX153:BB153,BD153)</x:f>
        <x:v>-161.23</x:v>
      </x:c>
      <x:c r="BF153" s="67" t="n">
        <x:f>'Drivers'!AF153</x:f>
        <x:v>10</x:v>
      </x:c>
      <x:c r="BG153" s="64" t="n">
        <x:f>BJ153</x:f>
        <x:v>-61.908</x:v>
      </x:c>
      <x:c r="BH153" s="64" t="n">
        <x:f>BE153/BF153</x:f>
        <x:v>-16.122999999999998</x:v>
      </x:c>
      <x:c r="BI153" s="68" t="n">
        <x:f>BF153/L153</x:f>
        <x:v>1.4285714285714286</x:v>
      </x:c>
      <x:c r="BJ153" s="64" t="n">
        <x:f>-ROUND(AK153*'Drivers'!AC153,3)</x:f>
        <x:v>-61.908</x:v>
      </x:c>
      <x:c r="BK153" s="64" t="n">
        <x:f>-ROUND(AK153*'Drivers'!AD153,3)</x:f>
        <x:v>-243.745</x:v>
      </x:c>
      <x:c r="BL153" s="64" t="n">
        <x:f>SUM(AV153,BE153,BJ153,BK153)</x:f>
        <x:v>811.4119999999997</x:v>
      </x:c>
      <x:c r="BM153" s="65" t="n">
        <x:f>BL153/AK153</x:f>
        <x:v>0.30098737533542486</x:v>
      </x:c>
      <x:c r="BN153" s="64" t="n">
        <x:f>-ROUND(AK153*'Drivers'!AE153,3)</x:f>
        <x:v>-326.162</x:v>
      </x:c>
      <x:c r="BO153" s="64" t="n">
        <x:f>BL153+BN153</x:f>
        <x:v>485.2499999999997</x:v>
      </x:c>
      <x:c r="BP153" s="65" t="n">
        <x:f>BO153/AK153</x:f>
        <x:v>0.17999995548687336</x:v>
      </x:c>
    </x:row>
    <x:row r="154">
      <x:c r="A154" s="61" t="n">
        <x:v>2025</x:v>
      </x:c>
      <x:c r="B154" s="18" t="str">
        <x:v>S1</x:v>
      </x:c>
      <x:c r="C154" s="18" t="str">
        <x:v>2025 S1</x:v>
      </x:c>
      <x:c r="D154" s="18" t="str">
        <x:v>CNCT0039</x:v>
      </x:c>
      <x:c r="E154" s="18" t="str">
        <x:v>成都万象城</x:v>
      </x:c>
      <x:c r="F154" s="18" t="str">
        <x:v>成都</x:v>
      </x:c>
      <x:c r="G154" s="18" t="str">
        <x:v>四川省</x:v>
      </x:c>
      <x:c r="H154" s="18" t="str">
        <x:v>西区</x:v>
      </x:c>
      <x:c r="I154" s="18" t="str">
        <x:v>Shopping Mall</x:v>
      </x:c>
      <x:c r="J154" s="18" t="str">
        <x:v>Prestige Shopping Center</x:v>
      </x:c>
      <x:c r="K154" s="18" t="str">
        <x:v>正常</x:v>
      </x:c>
      <x:c r="L154" s="62" t="n">
        <x:v>6</x:v>
      </x:c>
      <x:c r="M154" s="62" t="n">
        <x:v>48</x:v>
      </x:c>
      <x:c r="N154" s="63" t="n">
        <x:f>'Drivers'!C154</x:f>
        <x:v>2754</x:v>
      </x:c>
      <x:c r="O154" s="63" t="n">
        <x:f>'Drivers'!D154</x:f>
        <x:v>1170.23</x:v>
      </x:c>
      <x:c r="P154" s="64" t="n">
        <x:f>ROUND(N154*O154/1000,3)</x:f>
        <x:v>3222.813</x:v>
      </x:c>
      <x:c r="Q154" s="64" t="n">
        <x:f>ROUND(P154*'Drivers'!E154,3)</x:f>
        <x:v>3130.567</x:v>
      </x:c>
      <x:c r="R154" s="64" t="n">
        <x:f>-ROUND(Q154*'Drivers'!F154,3)</x:f>
        <x:v>-525.69</x:v>
      </x:c>
      <x:c r="S154" s="65" t="n">
        <x:f>R154/Q154</x:f>
        <x:v>-0.16792165764220987</x:v>
      </x:c>
      <x:c r="T154" s="64" t="n">
        <x:f>-ROUND(Q154*'Drivers'!G154,3)</x:f>
        <x:v>-64.216</x:v>
      </x:c>
      <x:c r="U154" s="65" t="n">
        <x:f>T154/Q154</x:f>
        <x:v>-0.02051257807291778</x:v>
      </x:c>
      <x:c r="V154" s="64" t="n">
        <x:f>-ROUND(Q154*'Drivers'!H154,3)</x:f>
        <x:v>-28.265</x:v>
      </x:c>
      <x:c r="W154" s="64" t="n">
        <x:f>-ROUND(Q154*'Drivers'!I154,3)</x:f>
        <x:v>-23.469</x:v>
      </x:c>
      <x:c r="X154" s="64" t="n">
        <x:f>-ROUND(Q154*'Drivers'!J154,3)</x:f>
        <x:v>-33.981</x:v>
      </x:c>
      <x:c r="Y154" s="64" t="n">
        <x:f>-ROUND(Q154*'Drivers'!K154,3)</x:f>
        <x:v>-31.815</x:v>
      </x:c>
      <x:c r="Z154" s="64" t="n">
        <x:f>-ROUND(Q154*'Drivers'!L154,3)</x:f>
        <x:v>-41.99</x:v>
      </x:c>
      <x:c r="AA154" s="64" t="n">
        <x:f>-ROUND(Q154*'Drivers'!M154,3)</x:f>
        <x:v>-30.117</x:v>
      </x:c>
      <x:c r="AB154" s="64" t="n">
        <x:f>-ROUND(Q154*'Drivers'!N154,3)</x:f>
        <x:v>-15.838</x:v>
      </x:c>
      <x:c r="AC154" s="64" t="n">
        <x:f>SUM(V154:AB154)</x:f>
        <x:v>-205.475</x:v>
      </x:c>
      <x:c r="AD154" s="65" t="n">
        <x:f>AC154/Q154</x:f>
        <x:v>-0.06563507505189954</x:v>
      </x:c>
      <x:c r="AE154" s="64" t="n">
        <x:f>-ROUND(Q154*'Drivers'!O154,3)</x:f>
        <x:v>-31.505</x:v>
      </x:c>
      <x:c r="AF154" s="65" t="n">
        <x:f>AE154/Q154</x:f>
        <x:v>-0.010063672171846186</x:v>
      </x:c>
      <x:c r="AG154" s="64" t="n">
        <x:f>-ROUND(Q154*'Drivers'!P154,3)</x:f>
        <x:v>-9.352</x:v>
      </x:c>
      <x:c r="AH154" s="64" t="n">
        <x:f>-ROUND(Q154*'Drivers'!Q154,3)</x:f>
        <x:v>-11.459</x:v>
      </x:c>
      <x:c r="AI154" s="64" t="n">
        <x:f>SUM(R154,T154,AC154,AE154,AG154,AH154)</x:f>
        <x:v>-847.697</x:v>
      </x:c>
      <x:c r="AJ154" s="65" t="n">
        <x:f>AI154/Q154</x:f>
        <x:v>-0.2707806605001586</x:v>
      </x:c>
      <x:c r="AK154" s="64" t="n">
        <x:f>Q154+AI154</x:f>
        <x:v>2282.87</x:v>
      </x:c>
      <x:c r="AL154" s="65" t="n">
        <x:f>AK154/Q154</x:f>
        <x:v>0.7292193394998414</x:v>
      </x:c>
      <x:c r="AM154" s="64" t="n">
        <x:f>AK154/L154</x:f>
        <x:v>380.4783333333333</x:v>
      </x:c>
      <x:c r="AN154" s="66" t="str">
        <x:f>IF(AM154&lt;=200,"≤200K",IF(AM154&lt;=350,"200–350K",IF(AM154&lt;=500,"350–500K",IF(AM154&lt;=700,"500–700K","&gt;700K"))))</x:f>
        <x:v>350–500K</x:v>
      </x:c>
      <x:c r="AO154" s="64" t="n">
        <x:f>-ROUND(Q154*'Drivers'!R154,3)</x:f>
        <x:v>-1083.725</x:v>
      </x:c>
      <x:c r="AP154" s="64" t="n">
        <x:f>-ROUND(AK154*'Drivers'!S154,3)</x:f>
        <x:v>-34.237</x:v>
      </x:c>
      <x:c r="AQ154" s="64" t="n">
        <x:f>-ROUND(AK154*'Drivers'!T154,3)</x:f>
        <x:v>-12.072</x:v>
      </x:c>
      <x:c r="AR154" s="64" t="n">
        <x:f>-ROUND(AK154*'Drivers'!U154,3)</x:f>
        <x:v>-19.904</x:v>
      </x:c>
      <x:c r="AS154" s="64" t="n">
        <x:f>-ROUND(AK154*'Drivers'!V154,3)</x:f>
        <x:v>-89.736</x:v>
      </x:c>
      <x:c r="AT154" s="64" t="n">
        <x:f>SUM(AO154:AS154)</x:f>
        <x:v>-1239.674</x:v>
      </x:c>
      <x:c r="AU154" s="65" t="n">
        <x:f>AT154/AK154</x:f>
        <x:v>-0.5430331118285316</x:v>
      </x:c>
      <x:c r="AV154" s="64" t="n">
        <x:f>AK154+AT154</x:f>
        <x:v>1043.196</x:v>
      </x:c>
      <x:c r="AW154" s="65" t="n">
        <x:f>AV154/AK154</x:f>
        <x:v>0.45696688817146836</x:v>
      </x:c>
      <x:c r="AX154" s="64" t="n">
        <x:f>-ROUND(AK154*'Drivers'!W154,3)</x:f>
        <x:v>-24.86</x:v>
      </x:c>
      <x:c r="AY154" s="64" t="n">
        <x:f>-ROUND(AK154*'Drivers'!X154,3)</x:f>
        <x:v>-54.802</x:v>
      </x:c>
      <x:c r="AZ154" s="64" t="n">
        <x:f>-ROUND(AK154*'Drivers'!Y154,3)</x:f>
        <x:v>-33.859</x:v>
      </x:c>
      <x:c r="BA154" s="64" t="n">
        <x:f>-ROUND(AK154*'Drivers'!Z154,3)</x:f>
        <x:v>-17.168</x:v>
      </x:c>
      <x:c r="BB154" s="64" t="n">
        <x:f>-ROUND(AK154*'Drivers'!AA154,3)</x:f>
        <x:v>-19.67</x:v>
      </x:c>
      <x:c r="BC154" s="64" t="n">
        <x:f>SUM(BA154,BB154)</x:f>
        <x:v>-36.838</x:v>
      </x:c>
      <x:c r="BD154" s="64" t="n">
        <x:f>-ROUND(AK154*'Drivers'!AB154,3)</x:f>
        <x:v>-9.791</x:v>
      </x:c>
      <x:c r="BE154" s="64" t="n">
        <x:f>SUM(AX154:BB154,BD154)</x:f>
        <x:v>-160.15000000000003</x:v>
      </x:c>
      <x:c r="BF154" s="67" t="n">
        <x:f>'Drivers'!AF154</x:f>
        <x:v>11</x:v>
      </x:c>
      <x:c r="BG154" s="64" t="n">
        <x:f>BJ154</x:f>
        <x:v>-60.634</x:v>
      </x:c>
      <x:c r="BH154" s="64" t="n">
        <x:f>BE154/BF154</x:f>
        <x:v>-14.559090909090912</x:v>
      </x:c>
      <x:c r="BI154" s="68" t="n">
        <x:f>BF154/L154</x:f>
        <x:v>1.8333333333333333</x:v>
      </x:c>
      <x:c r="BJ154" s="64" t="n">
        <x:f>-ROUND(AK154*'Drivers'!AC154,3)</x:f>
        <x:v>-60.634</x:v>
      </x:c>
      <x:c r="BK154" s="64" t="n">
        <x:f>-ROUND(AK154*'Drivers'!AD154,3)</x:f>
        <x:v>-261.736</x:v>
      </x:c>
      <x:c r="BL154" s="64" t="n">
        <x:f>SUM(AV154,BE154,BJ154,BK154)</x:f>
        <x:v>560.6759999999998</x:v>
      </x:c>
      <x:c r="BM154" s="65" t="n">
        <x:f>BL154/AK154</x:f>
        <x:v>0.24560137020504885</x:v>
      </x:c>
      <x:c r="BN154" s="64" t="n">
        <x:f>-ROUND(AK154*'Drivers'!AE154,3)</x:f>
        <x:v>-218.797</x:v>
      </x:c>
      <x:c r="BO154" s="64" t="n">
        <x:f>BL154+BN154</x:f>
        <x:v>341.8789999999998</x:v>
      </x:c>
      <x:c r="BP154" s="65" t="n">
        <x:f>BO154/AK154</x:f>
        <x:v>0.14975841813156238</x:v>
      </x:c>
    </x:row>
    <x:row r="155">
      <x:c r="A155" s="61" t="n">
        <x:v>2025</x:v>
      </x:c>
      <x:c r="B155" s="18" t="str">
        <x:v>S2</x:v>
      </x:c>
      <x:c r="C155" s="18" t="str">
        <x:v>2025 S2</x:v>
      </x:c>
      <x:c r="D155" s="18" t="str">
        <x:v>CNCT0039</x:v>
      </x:c>
      <x:c r="E155" s="18" t="str">
        <x:v>成都万象城</x:v>
      </x:c>
      <x:c r="F155" s="18" t="str">
        <x:v>成都</x:v>
      </x:c>
      <x:c r="G155" s="18" t="str">
        <x:v>四川省</x:v>
      </x:c>
      <x:c r="H155" s="18" t="str">
        <x:v>西区</x:v>
      </x:c>
      <x:c r="I155" s="18" t="str">
        <x:v>Shopping Mall</x:v>
      </x:c>
      <x:c r="J155" s="18" t="str">
        <x:v>Prestige Shopping Center</x:v>
      </x:c>
      <x:c r="K155" s="18" t="str">
        <x:v>正常</x:v>
      </x:c>
      <x:c r="L155" s="62" t="n">
        <x:v>6</x:v>
      </x:c>
      <x:c r="M155" s="62" t="n">
        <x:v>48</x:v>
      </x:c>
      <x:c r="N155" s="63" t="n">
        <x:f>'Drivers'!C155</x:f>
        <x:v>3006</x:v>
      </x:c>
      <x:c r="O155" s="63" t="n">
        <x:f>'Drivers'!D155</x:f>
        <x:v>1184.273</x:v>
      </x:c>
      <x:c r="P155" s="64" t="n">
        <x:f>ROUND(N155*O155/1000,3)</x:f>
        <x:v>3559.925</x:v>
      </x:c>
      <x:c r="Q155" s="64" t="n">
        <x:f>ROUND(P155*'Drivers'!E155,3)</x:f>
        <x:v>3446.409</x:v>
      </x:c>
      <x:c r="R155" s="64" t="n">
        <x:f>-ROUND(Q155*'Drivers'!F155,3)</x:f>
        <x:v>-578.727</x:v>
      </x:c>
      <x:c r="S155" s="65" t="n">
        <x:f>R155/Q155</x:f>
        <x:v>-0.16792174115144196</x:v>
      </x:c>
      <x:c r="T155" s="64" t="n">
        <x:f>-ROUND(Q155*'Drivers'!G155,3)</x:f>
        <x:v>-70.694</x:v>
      </x:c>
      <x:c r="U155" s="65" t="n">
        <x:f>T155/Q155</x:f>
        <x:v>-0.020512365189389883</x:v>
      </x:c>
      <x:c r="V155" s="64" t="n">
        <x:f>-ROUND(Q155*'Drivers'!H155,3)</x:f>
        <x:v>-31.117</x:v>
      </x:c>
      <x:c r="W155" s="64" t="n">
        <x:f>-ROUND(Q155*'Drivers'!I155,3)</x:f>
        <x:v>-25.837</x:v>
      </x:c>
      <x:c r="X155" s="64" t="n">
        <x:f>-ROUND(Q155*'Drivers'!J155,3)</x:f>
        <x:v>-37.41</x:v>
      </x:c>
      <x:c r="Y155" s="64" t="n">
        <x:f>-ROUND(Q155*'Drivers'!K155,3)</x:f>
        <x:v>-35.024</x:v>
      </x:c>
      <x:c r="Z155" s="64" t="n">
        <x:f>-ROUND(Q155*'Drivers'!L155,3)</x:f>
        <x:v>-46.227</x:v>
      </x:c>
      <x:c r="AA155" s="64" t="n">
        <x:f>-ROUND(Q155*'Drivers'!M155,3)</x:f>
        <x:v>-33.156</x:v>
      </x:c>
      <x:c r="AB155" s="64" t="n">
        <x:f>-ROUND(Q155*'Drivers'!N155,3)</x:f>
        <x:v>-17.436</x:v>
      </x:c>
      <x:c r="AC155" s="64" t="n">
        <x:f>SUM(V155:AB155)</x:f>
        <x:v>-226.20700000000002</x:v>
      </x:c>
      <x:c r="AD155" s="65" t="n">
        <x:f>AC155/Q155</x:f>
        <x:v>-0.06563556443823122</x:v>
      </x:c>
      <x:c r="AE155" s="64" t="n">
        <x:f>-ROUND(Q155*'Drivers'!O155,3)</x:f>
        <x:v>-34.683</x:v>
      </x:c>
      <x:c r="AF155" s="65" t="n">
        <x:f>AE155/Q155</x:f>
        <x:v>-0.01006351828816603</x:v>
      </x:c>
      <x:c r="AG155" s="64" t="n">
        <x:f>-ROUND(Q155*'Drivers'!P155,3)</x:f>
        <x:v>-10.295</x:v>
      </x:c>
      <x:c r="AH155" s="64" t="n">
        <x:f>-ROUND(Q155*'Drivers'!Q155,3)</x:f>
        <x:v>-12.615</x:v>
      </x:c>
      <x:c r="AI155" s="64" t="n">
        <x:f>SUM(R155,T155,AC155,AE155,AG155,AH155)</x:f>
        <x:v>-933.2209999999999</x:v>
      </x:c>
      <x:c r="AJ155" s="65" t="n">
        <x:f>AI155/Q155</x:f>
        <x:v>-0.27078068795665283</x:v>
      </x:c>
      <x:c r="AK155" s="64" t="n">
        <x:f>Q155+AI155</x:f>
        <x:v>2513.188</x:v>
      </x:c>
      <x:c r="AL155" s="65" t="n">
        <x:f>AK155/Q155</x:f>
        <x:v>0.7292193120433471</x:v>
      </x:c>
      <x:c r="AM155" s="64" t="n">
        <x:f>AK155/L155</x:f>
        <x:v>418.86466666666666</x:v>
      </x:c>
      <x:c r="AN155" s="66" t="str">
        <x:f>IF(AM155&lt;=200,"≤200K",IF(AM155&lt;=350,"200–350K",IF(AM155&lt;=500,"350–500K",IF(AM155&lt;=700,"500–700K","&gt;700K"))))</x:f>
        <x:v>350–500K</x:v>
      </x:c>
      <x:c r="AO155" s="64" t="n">
        <x:f>-ROUND(Q155*'Drivers'!R155,3)</x:f>
        <x:v>-1263.335</x:v>
      </x:c>
      <x:c r="AP155" s="64" t="n">
        <x:f>-ROUND(AK155*'Drivers'!S155,3)</x:f>
        <x:v>-37.692</x:v>
      </x:c>
      <x:c r="AQ155" s="64" t="n">
        <x:f>-ROUND(AK155*'Drivers'!T155,3)</x:f>
        <x:v>-13.29</x:v>
      </x:c>
      <x:c r="AR155" s="64" t="n">
        <x:f>-ROUND(AK155*'Drivers'!U155,3)</x:f>
        <x:v>-21.913</x:v>
      </x:c>
      <x:c r="AS155" s="64" t="n">
        <x:f>-ROUND(AK155*'Drivers'!V155,3)</x:f>
        <x:v>-98.79</x:v>
      </x:c>
      <x:c r="AT155" s="64" t="n">
        <x:f>SUM(AO155:AS155)</x:f>
        <x:v>-1435.02</x:v>
      </x:c>
      <x:c r="AU155" s="65" t="n">
        <x:f>AT155/AK155</x:f>
        <x:v>-0.5709958825205277</x:v>
      </x:c>
      <x:c r="AV155" s="64" t="n">
        <x:f>AK155+AT155</x:f>
        <x:v>1078.1680000000001</x:v>
      </x:c>
      <x:c r="AW155" s="65" t="n">
        <x:f>AV155/AK155</x:f>
        <x:v>0.4290041174794723</x:v>
      </x:c>
      <x:c r="AX155" s="64" t="n">
        <x:f>-ROUND(AK155*'Drivers'!W155,3)</x:f>
        <x:v>-27.369</x:v>
      </x:c>
      <x:c r="AY155" s="64" t="n">
        <x:f>-ROUND(AK155*'Drivers'!X155,3)</x:f>
        <x:v>-60.331</x:v>
      </x:c>
      <x:c r="AZ155" s="64" t="n">
        <x:f>-ROUND(AK155*'Drivers'!Y155,3)</x:f>
        <x:v>-37.275</x:v>
      </x:c>
      <x:c r="BA155" s="64" t="n">
        <x:f>-ROUND(AK155*'Drivers'!Z155,3)</x:f>
        <x:v>-18.9</x:v>
      </x:c>
      <x:c r="BB155" s="64" t="n">
        <x:f>-ROUND(AK155*'Drivers'!AA155,3)</x:f>
        <x:v>-21.655</x:v>
      </x:c>
      <x:c r="BC155" s="64" t="n">
        <x:f>SUM(BA155,BB155)</x:f>
        <x:v>-40.555</x:v>
      </x:c>
      <x:c r="BD155" s="64" t="n">
        <x:f>-ROUND(AK155*'Drivers'!AB155,3)</x:f>
        <x:v>-10.779</x:v>
      </x:c>
      <x:c r="BE155" s="64" t="n">
        <x:f>SUM(AX155:BB155,BD155)</x:f>
        <x:v>-176.309</x:v>
      </x:c>
      <x:c r="BF155" s="67" t="n">
        <x:f>'Drivers'!AF155</x:f>
        <x:v>11</x:v>
      </x:c>
      <x:c r="BG155" s="64" t="n">
        <x:f>BJ155</x:f>
        <x:v>-66.751</x:v>
      </x:c>
      <x:c r="BH155" s="64" t="n">
        <x:f>BE155/BF155</x:f>
        <x:v>-16.02809090909091</x:v>
      </x:c>
      <x:c r="BI155" s="68" t="n">
        <x:f>BF155/L155</x:f>
        <x:v>1.8333333333333333</x:v>
      </x:c>
      <x:c r="BJ155" s="64" t="n">
        <x:f>-ROUND(AK155*'Drivers'!AC155,3)</x:f>
        <x:v>-66.751</x:v>
      </x:c>
      <x:c r="BK155" s="64" t="n">
        <x:f>-ROUND(AK155*'Drivers'!AD155,3)</x:f>
        <x:v>-288.142</x:v>
      </x:c>
      <x:c r="BL155" s="64" t="n">
        <x:f>SUM(AV155,BE155,BJ155,BK155)</x:f>
        <x:v>546.9660000000001</x:v>
      </x:c>
      <x:c r="BM155" s="65" t="n">
        <x:f>BL155/AK155</x:f>
        <x:v>0.21763831436406672</x:v>
      </x:c>
      <x:c r="BN155" s="64" t="n">
        <x:f>-ROUND(AK155*'Drivers'!AE155,3)</x:f>
        <x:v>-240.871</x:v>
      </x:c>
      <x:c r="BO155" s="64" t="n">
        <x:f>BL155+BN155</x:f>
        <x:v>306.09500000000014</x:v>
      </x:c>
      <x:c r="BP155" s="65" t="n">
        <x:f>BO155/AK155</x:f>
        <x:v>0.12179550435542431</x:v>
      </x:c>
    </x:row>
    <x:row r="156">
      <x:c r="A156" s="61" t="n">
        <x:v>2026</x:v>
      </x:c>
      <x:c r="B156" s="18" t="str">
        <x:v>S1</x:v>
      </x:c>
      <x:c r="C156" s="18" t="str">
        <x:v>2026 S1</x:v>
      </x:c>
      <x:c r="D156" s="18" t="str">
        <x:v>CNCT0039</x:v>
      </x:c>
      <x:c r="E156" s="18" t="str">
        <x:v>成都万象城</x:v>
      </x:c>
      <x:c r="F156" s="18" t="str">
        <x:v>成都</x:v>
      </x:c>
      <x:c r="G156" s="18" t="str">
        <x:v>四川省</x:v>
      </x:c>
      <x:c r="H156" s="18" t="str">
        <x:v>西区</x:v>
      </x:c>
      <x:c r="I156" s="18" t="str">
        <x:v>Shopping Mall</x:v>
      </x:c>
      <x:c r="J156" s="18" t="str">
        <x:v>Prestige Shopping Center</x:v>
      </x:c>
      <x:c r="K156" s="18" t="str">
        <x:v>正常</x:v>
      </x:c>
      <x:c r="L156" s="62" t="n">
        <x:v>6</x:v>
      </x:c>
      <x:c r="M156" s="62" t="n">
        <x:v>51</x:v>
      </x:c>
      <x:c r="N156" s="63" t="n">
        <x:f>'Drivers'!C156</x:f>
        <x:v>3088</x:v>
      </x:c>
      <x:c r="O156" s="63" t="n">
        <x:f>'Drivers'!D156</x:f>
        <x:v>1233.474</x:v>
      </x:c>
      <x:c r="P156" s="64" t="n">
        <x:f>ROUND(N156*O156/1000,3)</x:f>
        <x:v>3808.968</x:v>
      </x:c>
      <x:c r="Q156" s="64" t="n">
        <x:f>ROUND(P156*'Drivers'!E156,3)</x:f>
        <x:v>3702.337</x:v>
      </x:c>
      <x:c r="R156" s="64" t="n">
        <x:f>-ROUND(Q156*'Drivers'!F156,3)</x:f>
        <x:v>-632.874</x:v>
      </x:c>
      <x:c r="S156" s="65" t="n">
        <x:f>R156/Q156</x:f>
        <x:v>-0.17093905822187447</x:v>
      </x:c>
      <x:c r="T156" s="64" t="n">
        <x:f>-ROUND(Q156*'Drivers'!G156,3)</x:f>
        <x:v>-73.53</x:v>
      </x:c>
      <x:c r="U156" s="65" t="n">
        <x:f>T156/Q156</x:f>
        <x:v>-0.019860428696793404</x:v>
      </x:c>
      <x:c r="V156" s="64" t="n">
        <x:f>-ROUND(Q156*'Drivers'!H156,3)</x:f>
        <x:v>-33.427</x:v>
      </x:c>
      <x:c r="W156" s="64" t="n">
        <x:f>-ROUND(Q156*'Drivers'!I156,3)</x:f>
        <x:v>-27.755</x:v>
      </x:c>
      <x:c r="X156" s="64" t="n">
        <x:f>-ROUND(Q156*'Drivers'!J156,3)</x:f>
        <x:v>-40.188</x:v>
      </x:c>
      <x:c r="Y156" s="64" t="n">
        <x:f>-ROUND(Q156*'Drivers'!K156,3)</x:f>
        <x:v>-37.625</x:v>
      </x:c>
      <x:c r="Z156" s="64" t="n">
        <x:f>-ROUND(Q156*'Drivers'!L156,3)</x:f>
        <x:v>-49.659</x:v>
      </x:c>
      <x:c r="AA156" s="64" t="n">
        <x:f>-ROUND(Q156*'Drivers'!M156,3)</x:f>
        <x:v>-35.618</x:v>
      </x:c>
      <x:c r="AB156" s="64" t="n">
        <x:f>-ROUND(Q156*'Drivers'!N156,3)</x:f>
        <x:v>-18.731</x:v>
      </x:c>
      <x:c r="AC156" s="64" t="n">
        <x:f>SUM(V156:AB156)</x:f>
        <x:v>-243.003</x:v>
      </x:c>
      <x:c r="AD156" s="65" t="n">
        <x:f>AC156/Q156</x:f>
        <x:v>-0.0656350299824138</x:v>
      </x:c>
      <x:c r="AE156" s="64" t="n">
        <x:f>-ROUND(Q156*'Drivers'!O156,3)</x:f>
        <x:v>-40.858</x:v>
      </x:c>
      <x:c r="AF156" s="65" t="n">
        <x:f>AE156/Q156</x:f>
        <x:v>-0.011035732295574389</x:v>
      </x:c>
      <x:c r="AG156" s="64" t="n">
        <x:f>-ROUND(Q156*'Drivers'!P156,3)</x:f>
        <x:v>-11.06</x:v>
      </x:c>
      <x:c r="AH156" s="64" t="n">
        <x:f>-ROUND(Q156*'Drivers'!Q156,3)</x:f>
        <x:v>-13.552</x:v>
      </x:c>
      <x:c r="AI156" s="64" t="n">
        <x:f>SUM(R156,T156,AC156,AE156,AG156,AH156)</x:f>
        <x:v>-1014.8769999999998</x:v>
      </x:c>
      <x:c r="AJ156" s="65" t="n">
        <x:f>AI156/Q156</x:f>
        <x:v>-0.274117942261874</x:v>
      </x:c>
      <x:c r="AK156" s="64" t="n">
        <x:f>Q156+AI156</x:f>
        <x:v>2687.46</x:v>
      </x:c>
      <x:c r="AL156" s="65" t="n">
        <x:f>AK156/Q156</x:f>
        <x:v>0.725882057738126</x:v>
      </x:c>
      <x:c r="AM156" s="64" t="n">
        <x:f>AK156/L156</x:f>
        <x:v>447.91</x:v>
      </x:c>
      <x:c r="AN156" s="66" t="str">
        <x:f>IF(AM156&lt;=200,"≤200K",IF(AM156&lt;=350,"200–350K",IF(AM156&lt;=500,"350–500K",IF(AM156&lt;=700,"500–700K","&gt;700K"))))</x:f>
        <x:v>350–500K</x:v>
      </x:c>
      <x:c r="AO156" s="64" t="n">
        <x:f>-ROUND(Q156*'Drivers'!R156,3)</x:f>
        <x:v>-1213.89</x:v>
      </x:c>
      <x:c r="AP156" s="64" t="n">
        <x:f>-ROUND(AK156*'Drivers'!S156,3)</x:f>
        <x:v>-40.305</x:v>
      </x:c>
      <x:c r="AQ156" s="64" t="n">
        <x:f>-ROUND(AK156*'Drivers'!T156,3)</x:f>
        <x:v>-14.212</x:v>
      </x:c>
      <x:c r="AR156" s="64" t="n">
        <x:f>-ROUND(AK156*'Drivers'!U156,3)</x:f>
        <x:v>-23.432</x:v>
      </x:c>
      <x:c r="AS156" s="64" t="n">
        <x:f>-ROUND(AK156*'Drivers'!V156,3)</x:f>
        <x:v>-105.64</x:v>
      </x:c>
      <x:c r="AT156" s="64" t="n">
        <x:f>SUM(AO156:AS156)</x:f>
        <x:v>-1397.4790000000003</x:v>
      </x:c>
      <x:c r="AU156" s="65" t="n">
        <x:f>AT156/AK156</x:f>
        <x:v>-0.5199999255802878</x:v>
      </x:c>
      <x:c r="AV156" s="64" t="n">
        <x:f>AK156+AT156</x:f>
        <x:v>1289.9809999999998</x:v>
      </x:c>
      <x:c r="AW156" s="65" t="n">
        <x:f>AV156/AK156</x:f>
        <x:v>0.4800000744197122</x:v>
      </x:c>
      <x:c r="AX156" s="64" t="n">
        <x:f>-ROUND(AK156*'Drivers'!W156,3)</x:f>
        <x:v>-25.754</x:v>
      </x:c>
      <x:c r="AY156" s="64" t="n">
        <x:f>-ROUND(AK156*'Drivers'!X156,3)</x:f>
        <x:v>-56.772</x:v>
      </x:c>
      <x:c r="AZ156" s="64" t="n">
        <x:f>-ROUND(AK156*'Drivers'!Y156,3)</x:f>
        <x:v>-35.077</x:v>
      </x:c>
      <x:c r="BA156" s="64" t="n">
        <x:f>-ROUND(AK156*'Drivers'!Z156,3)</x:f>
        <x:v>-17.785</x:v>
      </x:c>
      <x:c r="BB156" s="64" t="n">
        <x:f>-ROUND(AK156*'Drivers'!AA156,3)</x:f>
        <x:v>-20.378</x:v>
      </x:c>
      <x:c r="BC156" s="64" t="n">
        <x:f>SUM(BA156,BB156)</x:f>
        <x:v>-38.163</x:v>
      </x:c>
      <x:c r="BD156" s="64" t="n">
        <x:f>-ROUND(AK156*'Drivers'!AB156,3)</x:f>
        <x:v>-10.143</x:v>
      </x:c>
      <x:c r="BE156" s="64" t="n">
        <x:f>SUM(AX156:BB156,BD156)</x:f>
        <x:v>-165.90900000000002</x:v>
      </x:c>
      <x:c r="BF156" s="67" t="n">
        <x:f>'Drivers'!AF156</x:f>
        <x:v>11</x:v>
      </x:c>
      <x:c r="BG156" s="64" t="n">
        <x:f>BJ156</x:f>
        <x:v>-62.815</x:v>
      </x:c>
      <x:c r="BH156" s="64" t="n">
        <x:f>BE156/BF156</x:f>
        <x:v>-15.082636363636366</x:v>
      </x:c>
      <x:c r="BI156" s="68" t="n">
        <x:f>BF156/L156</x:f>
        <x:v>1.8333333333333333</x:v>
      </x:c>
      <x:c r="BJ156" s="64" t="n">
        <x:f>-ROUND(AK156*'Drivers'!AC156,3)</x:f>
        <x:v>-62.815</x:v>
      </x:c>
      <x:c r="BK156" s="64" t="n">
        <x:f>-ROUND(AK156*'Drivers'!AD156,3)</x:f>
        <x:v>-283.473</x:v>
      </x:c>
      <x:c r="BL156" s="64" t="n">
        <x:f>SUM(AV156,BE156,BJ156,BK156)</x:f>
        <x:v>777.7839999999997</x:v>
      </x:c>
      <x:c r="BM156" s="65" t="n">
        <x:f>BL156/AK156</x:f>
        <x:v>0.28941230753201896</x:v>
      </x:c>
      <x:c r="BN156" s="64" t="n">
        <x:f>-ROUND(AK156*'Drivers'!AE156,3)</x:f>
        <x:v>-294.041</x:v>
      </x:c>
      <x:c r="BO156" s="64" t="n">
        <x:f>BL156+BN156</x:f>
        <x:v>483.74299999999965</x:v>
      </x:c>
      <x:c r="BP156" s="65" t="n">
        <x:f>BO156/AK156</x:f>
        <x:v>0.18000007441971216</x:v>
      </x:c>
    </x:row>
    <x:row r="157">
      <x:c r="A157" s="61" t="n">
        <x:v>2026</x:v>
      </x:c>
      <x:c r="B157" s="18" t="str">
        <x:v>S2</x:v>
      </x:c>
      <x:c r="C157" s="18" t="str">
        <x:v>2026 S2</x:v>
      </x:c>
      <x:c r="D157" s="18" t="str">
        <x:v>CNCT0039</x:v>
      </x:c>
      <x:c r="E157" s="18" t="str">
        <x:v>成都万象城</x:v>
      </x:c>
      <x:c r="F157" s="18" t="str">
        <x:v>成都</x:v>
      </x:c>
      <x:c r="G157" s="18" t="str">
        <x:v>四川省</x:v>
      </x:c>
      <x:c r="H157" s="18" t="str">
        <x:v>西区</x:v>
      </x:c>
      <x:c r="I157" s="18" t="str">
        <x:v>Shopping Mall</x:v>
      </x:c>
      <x:c r="J157" s="18" t="str">
        <x:v>Prestige Shopping Center</x:v>
      </x:c>
      <x:c r="K157" s="18" t="str">
        <x:v>正常</x:v>
      </x:c>
      <x:c r="L157" s="62" t="n">
        <x:v>6</x:v>
      </x:c>
      <x:c r="M157" s="62" t="n">
        <x:v>51</x:v>
      </x:c>
      <x:c r="N157" s="63" t="n">
        <x:f>'Drivers'!C157</x:f>
        <x:v>3435</x:v>
      </x:c>
      <x:c r="O157" s="63" t="n">
        <x:f>'Drivers'!D157</x:f>
        <x:v>1224.068</x:v>
      </x:c>
      <x:c r="P157" s="64" t="n">
        <x:f>ROUND(N157*O157/1000,3)</x:f>
        <x:v>4204.674</x:v>
      </x:c>
      <x:c r="Q157" s="64" t="n">
        <x:f>ROUND(P157*'Drivers'!E157,3)</x:f>
        <x:v>4070.599</x:v>
      </x:c>
      <x:c r="R157" s="64" t="n">
        <x:f>-ROUND(Q157*'Drivers'!F157,3)</x:f>
        <x:v>-662.4</x:v>
      </x:c>
      <x:c r="S157" s="65" t="n">
        <x:f>R157/Q157</x:f>
        <x:v>-0.16272789336409701</x:v>
      </x:c>
      <x:c r="T157" s="64" t="n">
        <x:f>-ROUND(Q157*'Drivers'!G157,3)</x:f>
        <x:v>-85.493</x:v>
      </x:c>
      <x:c r="U157" s="65" t="n">
        <x:f>T157/Q157</x:f>
        <x:v>-0.02100256006548422</x:v>
      </x:c>
      <x:c r="V157" s="64" t="n">
        <x:f>-ROUND(Q157*'Drivers'!H157,3)</x:f>
        <x:v>-36.752</x:v>
      </x:c>
      <x:c r="W157" s="64" t="n">
        <x:f>-ROUND(Q157*'Drivers'!I157,3)</x:f>
        <x:v>-30.516</x:v>
      </x:c>
      <x:c r="X157" s="64" t="n">
        <x:f>-ROUND(Q157*'Drivers'!J157,3)</x:f>
        <x:v>-44.185</x:v>
      </x:c>
      <x:c r="Y157" s="64" t="n">
        <x:f>-ROUND(Q157*'Drivers'!K157,3)</x:f>
        <x:v>-41.368</x:v>
      </x:c>
      <x:c r="Z157" s="64" t="n">
        <x:f>-ROUND(Q157*'Drivers'!L157,3)</x:f>
        <x:v>-54.599</x:v>
      </x:c>
      <x:c r="AA157" s="64" t="n">
        <x:f>-ROUND(Q157*'Drivers'!M157,3)</x:f>
        <x:v>-39.161</x:v>
      </x:c>
      <x:c r="AB157" s="64" t="n">
        <x:f>-ROUND(Q157*'Drivers'!N157,3)</x:f>
        <x:v>-20.594</x:v>
      </x:c>
      <x:c r="AC157" s="64" t="n">
        <x:f>SUM(V157:AB157)</x:f>
        <x:v>-267.175</x:v>
      </x:c>
      <x:c r="AD157" s="65" t="n">
        <x:f>AC157/Q157</x:f>
        <x:v>-0.06563530330548403</x:v>
      </x:c>
      <x:c r="AE157" s="64" t="n">
        <x:f>-ROUND(Q157*'Drivers'!O157,3)</x:f>
        <x:v>-40.965</x:v>
      </x:c>
      <x:c r="AF157" s="65" t="n">
        <x:f>AE157/Q157</x:f>
        <x:v>-0.010063629456008808</x:v>
      </x:c>
      <x:c r="AG157" s="64" t="n">
        <x:f>-ROUND(Q157*'Drivers'!P157,3)</x:f>
        <x:v>-12.16</x:v>
      </x:c>
      <x:c r="AH157" s="64" t="n">
        <x:f>-ROUND(Q157*'Drivers'!Q157,3)</x:f>
        <x:v>-14.9</x:v>
      </x:c>
      <x:c r="AI157" s="64" t="n">
        <x:f>SUM(R157,T157,AC157,AE157,AG157,AH157)</x:f>
        <x:v>-1083.093</x:v>
      </x:c>
      <x:c r="AJ157" s="65" t="n">
        <x:f>AI157/Q157</x:f>
        <x:v>-0.26607705647252405</x:v>
      </x:c>
      <x:c r="AK157" s="64" t="n">
        <x:f>Q157+AI157</x:f>
        <x:v>2987.5060000000003</x:v>
      </x:c>
      <x:c r="AL157" s="65" t="n">
        <x:f>AK157/Q157</x:f>
        <x:v>0.733922943527476</x:v>
      </x:c>
      <x:c r="AM157" s="64" t="n">
        <x:f>AK157/L157</x:f>
        <x:v>497.9176666666667</x:v>
      </x:c>
      <x:c r="AN157" s="66" t="str">
        <x:f>IF(AM157&lt;=200,"≤200K",IF(AM157&lt;=350,"200–350K",IF(AM157&lt;=500,"350–500K",IF(AM157&lt;=700,"500–700K","&gt;700K"))))</x:f>
        <x:v>350–500K</x:v>
      </x:c>
      <x:c r="AO157" s="64" t="n">
        <x:f>-ROUND(Q157*'Drivers'!R157,3)</x:f>
        <x:v>-1408.393</x:v>
      </x:c>
      <x:c r="AP157" s="64" t="n">
        <x:f>-ROUND(AK157*'Drivers'!S157,3)</x:f>
        <x:v>-44.805</x:v>
      </x:c>
      <x:c r="AQ157" s="64" t="n">
        <x:f>-ROUND(AK157*'Drivers'!T157,3)</x:f>
        <x:v>-15.798</x:v>
      </x:c>
      <x:c r="AR157" s="64" t="n">
        <x:f>-ROUND(AK157*'Drivers'!U157,3)</x:f>
        <x:v>-26.048</x:v>
      </x:c>
      <x:c r="AS157" s="64" t="n">
        <x:f>-ROUND(AK157*'Drivers'!V157,3)</x:f>
        <x:v>-117.434</x:v>
      </x:c>
      <x:c r="AT157" s="64" t="n">
        <x:f>SUM(AO157:AS157)</x:f>
        <x:v>-1612.478</x:v>
      </x:c>
      <x:c r="AU157" s="65" t="n">
        <x:f>AT157/AK157</x:f>
        <x:v>-0.5397405059604901</x:v>
      </x:c>
      <x:c r="AV157" s="64" t="n">
        <x:f>AK157+AT157</x:f>
        <x:v>1375.0280000000002</x:v>
      </x:c>
      <x:c r="AW157" s="65" t="n">
        <x:f>AV157/AK157</x:f>
        <x:v>0.4602594940395099</x:v>
      </x:c>
      <x:c r="AX157" s="64" t="n">
        <x:f>-ROUND(AK157*'Drivers'!W157,3)</x:f>
        <x:v>-29.658</x:v>
      </x:c>
      <x:c r="AY157" s="64" t="n">
        <x:f>-ROUND(AK157*'Drivers'!X157,3)</x:f>
        <x:v>-65.377</x:v>
      </x:c>
      <x:c r="AZ157" s="64" t="n">
        <x:f>-ROUND(AK157*'Drivers'!Y157,3)</x:f>
        <x:v>-40.393</x:v>
      </x:c>
      <x:c r="BA157" s="64" t="n">
        <x:f>-ROUND(AK157*'Drivers'!Z157,3)</x:f>
        <x:v>-20.481</x:v>
      </x:c>
      <x:c r="BB157" s="64" t="n">
        <x:f>-ROUND(AK157*'Drivers'!AA157,3)</x:f>
        <x:v>-23.466</x:v>
      </x:c>
      <x:c r="BC157" s="64" t="n">
        <x:f>SUM(BA157,BB157)</x:f>
        <x:v>-43.947</x:v>
      </x:c>
      <x:c r="BD157" s="64" t="n">
        <x:f>-ROUND(AK157*'Drivers'!AB157,3)</x:f>
        <x:v>-11.68</x:v>
      </x:c>
      <x:c r="BE157" s="64" t="n">
        <x:f>SUM(AX157:BB157,BD157)</x:f>
        <x:v>-191.055</x:v>
      </x:c>
      <x:c r="BF157" s="67" t="n">
        <x:f>'Drivers'!AF157</x:f>
        <x:v>11</x:v>
      </x:c>
      <x:c r="BG157" s="64" t="n">
        <x:f>BJ157</x:f>
        <x:v>-72.335</x:v>
      </x:c>
      <x:c r="BH157" s="64" t="n">
        <x:f>BE157/BF157</x:f>
        <x:v>-17.368636363636366</x:v>
      </x:c>
      <x:c r="BI157" s="68" t="n">
        <x:f>BF157/L157</x:f>
        <x:v>1.8333333333333333</x:v>
      </x:c>
      <x:c r="BJ157" s="64" t="n">
        <x:f>-ROUND(AK157*'Drivers'!AC157,3)</x:f>
        <x:v>-72.335</x:v>
      </x:c>
      <x:c r="BK157" s="64" t="n">
        <x:f>-ROUND(AK157*'Drivers'!AD157,3)</x:f>
        <x:v>-308.271</x:v>
      </x:c>
      <x:c r="BL157" s="64" t="n">
        <x:f>SUM(AV157,BE157,BJ157,BK157)</x:f>
        <x:v>803.3670000000002</x:v>
      </x:c>
      <x:c r="BM157" s="65" t="n">
        <x:f>BL157/AK157</x:f>
        <x:v>0.2689089159988298</x:v>
      </x:c>
      <x:c r="BN157" s="64" t="n">
        <x:f>-ROUND(AK157*'Drivers'!AE157,3)</x:f>
        <x:v>-286.331</x:v>
      </x:c>
      <x:c r="BO157" s="64" t="n">
        <x:f>BL157+BN157</x:f>
        <x:v>517.0360000000002</x:v>
      </x:c>
      <x:c r="BP157" s="65" t="n">
        <x:f>BO157/AK157</x:f>
        <x:v>0.17306609593420066</x:v>
      </x:c>
    </x:row>
    <x:row r="158">
      <x:c r="A158" s="61" t="n">
        <x:v>2025</x:v>
      </x:c>
      <x:c r="B158" s="18" t="str">
        <x:v>S1</x:v>
      </x:c>
      <x:c r="C158" s="18" t="str">
        <x:v>2025 S1</x:v>
      </x:c>
      <x:c r="D158" s="18" t="str">
        <x:v>CNCT0040</x:v>
      </x:c>
      <x:c r="E158" s="18" t="str">
        <x:v>成都银泰城in99</x:v>
      </x:c>
      <x:c r="F158" s="18" t="str">
        <x:v>成都</x:v>
      </x:c>
      <x:c r="G158" s="18" t="str">
        <x:v>四川省</x:v>
      </x:c>
      <x:c r="H158" s="18" t="str">
        <x:v>西区</x:v>
      </x:c>
      <x:c r="I158" s="18" t="str">
        <x:v>Department Store</x:v>
      </x:c>
      <x:c r="J158" s="18" t="str">
        <x:v>Core Shopping Center</x:v>
      </x:c>
      <x:c r="K158" s="18" t="str">
        <x:v>正常</x:v>
      </x:c>
      <x:c r="L158" s="62" t="n">
        <x:v>5</x:v>
      </x:c>
      <x:c r="M158" s="62" t="n">
        <x:v>48</x:v>
      </x:c>
      <x:c r="N158" s="63" t="n">
        <x:f>'Drivers'!C158</x:f>
        <x:v>2116</x:v>
      </x:c>
      <x:c r="O158" s="63" t="n">
        <x:f>'Drivers'!D158</x:f>
        <x:v>1012.387</x:v>
      </x:c>
      <x:c r="P158" s="64" t="n">
        <x:f>ROUND(N158*O158/1000,3)</x:f>
        <x:v>2142.211</x:v>
      </x:c>
      <x:c r="Q158" s="64" t="n">
        <x:f>ROUND(P158*'Drivers'!E158,3)</x:f>
        <x:v>2093.424</x:v>
      </x:c>
      <x:c r="R158" s="64" t="n">
        <x:f>-ROUND(Q158*'Drivers'!F158,3)</x:f>
        <x:v>-383.748</x:v>
      </x:c>
      <x:c r="S158" s="65" t="n">
        <x:f>R158/Q158</x:f>
        <x:v>-0.18331116868823516</x:v>
      </x:c>
      <x:c r="T158" s="64" t="n">
        <x:f>-ROUND(Q158*'Drivers'!G158,3)</x:f>
        <x:v>-19.005</x:v>
      </x:c>
      <x:c r="U158" s="65" t="n">
        <x:f>T158/Q158</x:f>
        <x:v>-0.009078428450232729</x:v>
      </x:c>
      <x:c r="V158" s="64" t="n">
        <x:f>-ROUND(Q158*'Drivers'!H158,3)</x:f>
        <x:v>-17.469</x:v>
      </x:c>
      <x:c r="W158" s="64" t="n">
        <x:f>-ROUND(Q158*'Drivers'!I158,3)</x:f>
        <x:v>-14.858</x:v>
      </x:c>
      <x:c r="X158" s="64" t="n">
        <x:f>-ROUND(Q158*'Drivers'!J158,3)</x:f>
        <x:v>-31.378</x:v>
      </x:c>
      <x:c r="Y158" s="64" t="n">
        <x:f>-ROUND(Q158*'Drivers'!K158,3)</x:f>
        <x:v>-19.848</x:v>
      </x:c>
      <x:c r="Z158" s="64" t="n">
        <x:f>-ROUND(Q158*'Drivers'!L158,3)</x:f>
        <x:v>-17.729</x:v>
      </x:c>
      <x:c r="AA158" s="64" t="n">
        <x:f>-ROUND(Q158*'Drivers'!M158,3)</x:f>
        <x:v>-21.298</x:v>
      </x:c>
      <x:c r="AB158" s="64" t="n">
        <x:f>-ROUND(Q158*'Drivers'!N158,3)</x:f>
        <x:v>-14.29</x:v>
      </x:c>
      <x:c r="AC158" s="64" t="n">
        <x:f>SUM(V158:AB158)</x:f>
        <x:v>-136.87</x:v>
      </x:c>
      <x:c r="AD158" s="65" t="n">
        <x:f>AC158/Q158</x:f>
        <x:v>-0.06538092617644586</x:v>
      </x:c>
      <x:c r="AE158" s="64" t="n">
        <x:f>-ROUND(Q158*'Drivers'!O158,3)</x:f>
        <x:v>-19.702</x:v>
      </x:c>
      <x:c r="AF158" s="65" t="n">
        <x:f>AE158/Q158</x:f>
        <x:v>-0.009411375813022113</x:v>
      </x:c>
      <x:c r="AG158" s="64" t="n">
        <x:f>-ROUND(Q158*'Drivers'!P158,3)</x:f>
        <x:v>-3.528</x:v>
      </x:c>
      <x:c r="AH158" s="64" t="n">
        <x:f>-ROUND(Q158*'Drivers'!Q158,3)</x:f>
        <x:v>-10.419</x:v>
      </x:c>
      <x:c r="AI158" s="64" t="n">
        <x:f>SUM(R158,T158,AC158,AE158,AG158,AH158)</x:f>
        <x:v>-573.272</x:v>
      </x:c>
      <x:c r="AJ158" s="65" t="n">
        <x:f>AI158/Q158</x:f>
        <x:v>-0.27384419018794093</x:v>
      </x:c>
      <x:c r="AK158" s="64" t="n">
        <x:f>Q158+AI158</x:f>
        <x:v>1520.152</x:v>
      </x:c>
      <x:c r="AL158" s="65" t="n">
        <x:f>AK158/Q158</x:f>
        <x:v>0.7261558098120591</x:v>
      </x:c>
      <x:c r="AM158" s="64" t="n">
        <x:f>AK158/L158</x:f>
        <x:v>304.0304</x:v>
      </x:c>
      <x:c r="AN158" s="66" t="str">
        <x:f>IF(AM158&lt;=200,"≤200K",IF(AM158&lt;=350,"200–350K",IF(AM158&lt;=500,"350–500K",IF(AM158&lt;=700,"500–700K","&gt;700K"))))</x:f>
        <x:v>200–350K</x:v>
      </x:c>
      <x:c r="AO158" s="64" t="n">
        <x:f>-ROUND(Q158*'Drivers'!R158,3)</x:f>
        <x:v>-780.068</x:v>
      </x:c>
      <x:c r="AP158" s="64" t="n">
        <x:f>-ROUND(AK158*'Drivers'!S158,3)</x:f>
        <x:v>-21.284</x:v>
      </x:c>
      <x:c r="AQ158" s="64" t="n">
        <x:f>-ROUND(AK158*'Drivers'!T158,3)</x:f>
        <x:v>-7.015</x:v>
      </x:c>
      <x:c r="AR158" s="64" t="n">
        <x:f>-ROUND(AK158*'Drivers'!U158,3)</x:f>
        <x:v>-14.62</x:v>
      </x:c>
      <x:c r="AS158" s="64" t="n">
        <x:f>-ROUND(AK158*'Drivers'!V158,3)</x:f>
        <x:v>-52.399</x:v>
      </x:c>
      <x:c r="AT158" s="64" t="n">
        <x:f>SUM(AO158:AS158)</x:f>
        <x:v>-875.386</x:v>
      </x:c>
      <x:c r="AU158" s="65" t="n">
        <x:f>AT158/AK158</x:f>
        <x:v>-0.5758542566795951</x:v>
      </x:c>
      <x:c r="AV158" s="64" t="n">
        <x:f>AK158+AT158</x:f>
        <x:v>644.7660000000001</x:v>
      </x:c>
      <x:c r="AW158" s="65" t="n">
        <x:f>AV158/AK158</x:f>
        <x:v>0.42414574332040483</x:v>
      </x:c>
      <x:c r="AX158" s="64" t="n">
        <x:f>-ROUND(AK158*'Drivers'!W158,3)</x:f>
        <x:v>-18.08</x:v>
      </x:c>
      <x:c r="AY158" s="64" t="n">
        <x:f>-ROUND(AK158*'Drivers'!X158,3)</x:f>
        <x:v>-31.855</x:v>
      </x:c>
      <x:c r="AZ158" s="64" t="n">
        <x:f>-ROUND(AK158*'Drivers'!Y158,3)</x:f>
        <x:v>-28.963</x:v>
      </x:c>
      <x:c r="BA158" s="64" t="n">
        <x:f>-ROUND(AK158*'Drivers'!Z158,3)</x:f>
        <x:v>-10.421</x:v>
      </x:c>
      <x:c r="BB158" s="64" t="n">
        <x:f>-ROUND(AK158*'Drivers'!AA158,3)</x:f>
        <x:v>-12.945</x:v>
      </x:c>
      <x:c r="BC158" s="64" t="n">
        <x:f>SUM(BA158,BB158)</x:f>
        <x:v>-23.366</x:v>
      </x:c>
      <x:c r="BD158" s="64" t="n">
        <x:f>-ROUND(AK158*'Drivers'!AB158,3)</x:f>
        <x:v>-5.622</x:v>
      </x:c>
      <x:c r="BE158" s="64" t="n">
        <x:f>SUM(AX158:BB158,BD158)</x:f>
        <x:v>-107.88599999999998</x:v>
      </x:c>
      <x:c r="BF158" s="67" t="n">
        <x:f>'Drivers'!AF158</x:f>
        <x:v>10</x:v>
      </x:c>
      <x:c r="BG158" s="64" t="n">
        <x:f>BJ158</x:f>
        <x:v>-40.491</x:v>
      </x:c>
      <x:c r="BH158" s="64" t="n">
        <x:f>BE158/BF158</x:f>
        <x:v>-10.788599999999999</x:v>
      </x:c>
      <x:c r="BI158" s="68" t="n">
        <x:f>BF158/L158</x:f>
        <x:v>2</x:v>
      </x:c>
      <x:c r="BJ158" s="64" t="n">
        <x:f>-ROUND(AK158*'Drivers'!AC158,3)</x:f>
        <x:v>-40.491</x:v>
      </x:c>
      <x:c r="BK158" s="64" t="n">
        <x:f>-ROUND(AK158*'Drivers'!AD158,3)</x:f>
        <x:v>-155.393</x:v>
      </x:c>
      <x:c r="BL158" s="64" t="n">
        <x:f>SUM(AV158,BE158,BJ158,BK158)</x:f>
        <x:v>340.9960000000001</x:v>
      </x:c>
      <x:c r="BM158" s="65" t="n">
        <x:f>BL158/AK158</x:f>
        <x:v>0.2243170419800126</x:v>
      </x:c>
      <x:c r="BN158" s="64" t="n">
        <x:f>-ROUND(AK158*'Drivers'!AE158,3)</x:f>
        <x:v>-122.748</x:v>
      </x:c>
      <x:c r="BO158" s="64" t="n">
        <x:f>BL158+BN158</x:f>
        <x:v>218.2480000000001</x:v>
      </x:c>
      <x:c r="BP158" s="65" t="n">
        <x:f>BO158/AK158</x:f>
        <x:v>0.14356985354096174</x:v>
      </x:c>
    </x:row>
    <x:row r="159">
      <x:c r="A159" s="61" t="n">
        <x:v>2025</x:v>
      </x:c>
      <x:c r="B159" s="18" t="str">
        <x:v>S2</x:v>
      </x:c>
      <x:c r="C159" s="18" t="str">
        <x:v>2025 S2</x:v>
      </x:c>
      <x:c r="D159" s="18" t="str">
        <x:v>CNCT0040</x:v>
      </x:c>
      <x:c r="E159" s="18" t="str">
        <x:v>成都银泰城in99</x:v>
      </x:c>
      <x:c r="F159" s="18" t="str">
        <x:v>成都</x:v>
      </x:c>
      <x:c r="G159" s="18" t="str">
        <x:v>四川省</x:v>
      </x:c>
      <x:c r="H159" s="18" t="str">
        <x:v>西区</x:v>
      </x:c>
      <x:c r="I159" s="18" t="str">
        <x:v>Department Store</x:v>
      </x:c>
      <x:c r="J159" s="18" t="str">
        <x:v>Core Shopping Center</x:v>
      </x:c>
      <x:c r="K159" s="18" t="str">
        <x:v>正常</x:v>
      </x:c>
      <x:c r="L159" s="62" t="n">
        <x:v>5</x:v>
      </x:c>
      <x:c r="M159" s="62" t="n">
        <x:v>48</x:v>
      </x:c>
      <x:c r="N159" s="63" t="n">
        <x:f>'Drivers'!C159</x:f>
        <x:v>2288</x:v>
      </x:c>
      <x:c r="O159" s="63" t="n">
        <x:f>'Drivers'!D159</x:f>
        <x:v>1024.535</x:v>
      </x:c>
      <x:c r="P159" s="64" t="n">
        <x:f>ROUND(N159*O159/1000,3)</x:f>
        <x:v>2344.136</x:v>
      </x:c>
      <x:c r="Q159" s="64" t="n">
        <x:f>ROUND(P159*'Drivers'!E159,3)</x:f>
        <x:v>2279.805</x:v>
      </x:c>
      <x:c r="R159" s="64" t="n">
        <x:f>-ROUND(Q159*'Drivers'!F159,3)</x:f>
        <x:v>-417.914</x:v>
      </x:c>
      <x:c r="S159" s="65" t="n">
        <x:f>R159/Q159</x:f>
        <x:v>-0.18331129197453291</x:v>
      </x:c>
      <x:c r="T159" s="64" t="n">
        <x:f>-ROUND(Q159*'Drivers'!G159,3)</x:f>
        <x:v>-20.697</x:v>
      </x:c>
      <x:c r="U159" s="65" t="n">
        <x:f>T159/Q159</x:f>
        <x:v>-0.009078408021738702</x:v>
      </x:c>
      <x:c r="V159" s="64" t="n">
        <x:f>-ROUND(Q159*'Drivers'!H159,3)</x:f>
        <x:v>-19.024</x:v>
      </x:c>
      <x:c r="W159" s="64" t="n">
        <x:f>-ROUND(Q159*'Drivers'!I159,3)</x:f>
        <x:v>-16.181</x:v>
      </x:c>
      <x:c r="X159" s="64" t="n">
        <x:f>-ROUND(Q159*'Drivers'!J159,3)</x:f>
        <x:v>-34.171</x:v>
      </x:c>
      <x:c r="Y159" s="64" t="n">
        <x:f>-ROUND(Q159*'Drivers'!K159,3)</x:f>
        <x:v>-21.615</x:v>
      </x:c>
      <x:c r="Z159" s="64" t="n">
        <x:f>-ROUND(Q159*'Drivers'!L159,3)</x:f>
        <x:v>-19.307</x:v>
      </x:c>
      <x:c r="AA159" s="64" t="n">
        <x:f>-ROUND(Q159*'Drivers'!M159,3)</x:f>
        <x:v>-23.195</x:v>
      </x:c>
      <x:c r="AB159" s="64" t="n">
        <x:f>-ROUND(Q159*'Drivers'!N159,3)</x:f>
        <x:v>-15.563</x:v>
      </x:c>
      <x:c r="AC159" s="64" t="n">
        <x:f>SUM(V159:AB159)</x:f>
        <x:v>-149.05599999999998</x:v>
      </x:c>
      <x:c r="AD159" s="65" t="n">
        <x:f>AC159/Q159</x:f>
        <x:v>-0.06538103039514344</x:v>
      </x:c>
      <x:c r="AE159" s="64" t="n">
        <x:f>-ROUND(Q159*'Drivers'!O159,3)</x:f>
        <x:v>-21.457</x:v>
      </x:c>
      <x:c r="AF159" s="65" t="n">
        <x:f>AE159/Q159</x:f>
        <x:v>-0.009411769866282425</x:v>
      </x:c>
      <x:c r="AG159" s="64" t="n">
        <x:f>-ROUND(Q159*'Drivers'!P159,3)</x:f>
        <x:v>-3.842</x:v>
      </x:c>
      <x:c r="AH159" s="64" t="n">
        <x:f>-ROUND(Q159*'Drivers'!Q159,3)</x:f>
        <x:v>-11.346</x:v>
      </x:c>
      <x:c r="AI159" s="64" t="n">
        <x:f>SUM(R159,T159,AC159,AE159,AG159,AH159)</x:f>
        <x:v>-624.3119999999999</x:v>
      </x:c>
      <x:c r="AJ159" s="65" t="n">
        <x:f>AI159/Q159</x:f>
        <x:v>-0.2738444735405001</x:v>
      </x:c>
      <x:c r="AK159" s="64" t="n">
        <x:f>Q159+AI159</x:f>
        <x:v>1655.493</x:v>
      </x:c>
      <x:c r="AL159" s="65" t="n">
        <x:f>AK159/Q159</x:f>
        <x:v>0.7261555264594999</x:v>
      </x:c>
      <x:c r="AM159" s="64" t="n">
        <x:f>AK159/L159</x:f>
        <x:v>331.0986</x:v>
      </x:c>
      <x:c r="AN159" s="66" t="str">
        <x:f>IF(AM159&lt;=200,"≤200K",IF(AM159&lt;=350,"200–350K",IF(AM159&lt;=500,"350–500K",IF(AM159&lt;=700,"500–700K","&gt;700K"))))</x:f>
        <x:v>200–350K</x:v>
      </x:c>
      <x:c r="AO159" s="64" t="n">
        <x:f>-ROUND(Q159*'Drivers'!R159,3)</x:f>
        <x:v>-844.966</x:v>
      </x:c>
      <x:c r="AP159" s="64" t="n">
        <x:f>-ROUND(AK159*'Drivers'!S159,3)</x:f>
        <x:v>-23.179</x:v>
      </x:c>
      <x:c r="AQ159" s="64" t="n">
        <x:f>-ROUND(AK159*'Drivers'!T159,3)</x:f>
        <x:v>-7.639</x:v>
      </x:c>
      <x:c r="AR159" s="64" t="n">
        <x:f>-ROUND(AK159*'Drivers'!U159,3)</x:f>
        <x:v>-15.921</x:v>
      </x:c>
      <x:c r="AS159" s="64" t="n">
        <x:f>-ROUND(AK159*'Drivers'!V159,3)</x:f>
        <x:v>-57.065</x:v>
      </x:c>
      <x:c r="AT159" s="64" t="n">
        <x:f>SUM(AO159:AS159)</x:f>
        <x:v>-948.77</x:v>
      </x:c>
      <x:c r="AU159" s="65" t="n">
        <x:f>AT159/AK159</x:f>
        <x:v>-0.5731042052125862</x:v>
      </x:c>
      <x:c r="AV159" s="64" t="n">
        <x:f>AK159+AT159</x:f>
        <x:v>706.723</x:v>
      </x:c>
      <x:c r="AW159" s="65" t="n">
        <x:f>AV159/AK159</x:f>
        <x:v>0.4268957947874138</x:v>
      </x:c>
      <x:c r="AX159" s="64" t="n">
        <x:f>-ROUND(AK159*'Drivers'!W159,3)</x:f>
        <x:v>-19.69</x:v>
      </x:c>
      <x:c r="AY159" s="64" t="n">
        <x:f>-ROUND(AK159*'Drivers'!X159,3)</x:f>
        <x:v>-34.691</x:v>
      </x:c>
      <x:c r="AZ159" s="64" t="n">
        <x:f>-ROUND(AK159*'Drivers'!Y159,3)</x:f>
        <x:v>-31.541</x:v>
      </x:c>
      <x:c r="BA159" s="64" t="n">
        <x:f>-ROUND(AK159*'Drivers'!Z159,3)</x:f>
        <x:v>-11.349</x:v>
      </x:c>
      <x:c r="BB159" s="64" t="n">
        <x:f>-ROUND(AK159*'Drivers'!AA159,3)</x:f>
        <x:v>-14.098</x:v>
      </x:c>
      <x:c r="BC159" s="64" t="n">
        <x:f>SUM(BA159,BB159)</x:f>
        <x:v>-25.447000000000003</x:v>
      </x:c>
      <x:c r="BD159" s="64" t="n">
        <x:f>-ROUND(AK159*'Drivers'!AB159,3)</x:f>
        <x:v>-6.122</x:v>
      </x:c>
      <x:c r="BE159" s="64" t="n">
        <x:f>SUM(AX159:BB159,BD159)</x:f>
        <x:v>-117.491</x:v>
      </x:c>
      <x:c r="BF159" s="67" t="n">
        <x:f>'Drivers'!AF159</x:f>
        <x:v>10</x:v>
      </x:c>
      <x:c r="BG159" s="64" t="n">
        <x:f>BJ159</x:f>
        <x:v>-44.096</x:v>
      </x:c>
      <x:c r="BH159" s="64" t="n">
        <x:f>BE159/BF159</x:f>
        <x:v>-11.7491</x:v>
      </x:c>
      <x:c r="BI159" s="68" t="n">
        <x:f>BF159/L159</x:f>
        <x:v>2</x:v>
      </x:c>
      <x:c r="BJ159" s="64" t="n">
        <x:f>-ROUND(AK159*'Drivers'!AC159,3)</x:f>
        <x:v>-44.096</x:v>
      </x:c>
      <x:c r="BK159" s="64" t="n">
        <x:f>-ROUND(AK159*'Drivers'!AD159,3)</x:f>
        <x:v>-169.228</x:v>
      </x:c>
      <x:c r="BL159" s="64" t="n">
        <x:f>SUM(AV159,BE159,BJ159,BK159)</x:f>
        <x:v>375.90799999999996</x:v>
      </x:c>
      <x:c r="BM159" s="65" t="n">
        <x:f>BL159/AK159</x:f>
        <x:v>0.22706710327376797</x:v>
      </x:c>
      <x:c r="BN159" s="64" t="n">
        <x:f>-ROUND(AK159*'Drivers'!AE159,3)</x:f>
        <x:v>-133.676</x:v>
      </x:c>
      <x:c r="BO159" s="64" t="n">
        <x:f>BL159+BN159</x:f>
        <x:v>242.23199999999997</x:v>
      </x:c>
      <x:c r="BP159" s="65" t="n">
        <x:f>BO159/AK159</x:f>
        <x:v>0.14632015961408473</x:v>
      </x:c>
    </x:row>
    <x:row r="160">
      <x:c r="A160" s="61" t="n">
        <x:v>2026</x:v>
      </x:c>
      <x:c r="B160" s="18" t="str">
        <x:v>S1</x:v>
      </x:c>
      <x:c r="C160" s="18" t="str">
        <x:v>2026 S1</x:v>
      </x:c>
      <x:c r="D160" s="18" t="str">
        <x:v>CNCT0040</x:v>
      </x:c>
      <x:c r="E160" s="18" t="str">
        <x:v>成都银泰城in99</x:v>
      </x:c>
      <x:c r="F160" s="18" t="str">
        <x:v>成都</x:v>
      </x:c>
      <x:c r="G160" s="18" t="str">
        <x:v>四川省</x:v>
      </x:c>
      <x:c r="H160" s="18" t="str">
        <x:v>西区</x:v>
      </x:c>
      <x:c r="I160" s="18" t="str">
        <x:v>Department Store</x:v>
      </x:c>
      <x:c r="J160" s="18" t="str">
        <x:v>Core Shopping Center</x:v>
      </x:c>
      <x:c r="K160" s="18" t="str">
        <x:v>正常</x:v>
      </x:c>
      <x:c r="L160" s="62" t="n">
        <x:v>5</x:v>
      </x:c>
      <x:c r="M160" s="62" t="n">
        <x:v>51</x:v>
      </x:c>
      <x:c r="N160" s="63" t="n">
        <x:f>'Drivers'!C160</x:f>
        <x:v>2210</x:v>
      </x:c>
      <x:c r="O160" s="63" t="n">
        <x:f>'Drivers'!D160</x:f>
        <x:v>1062.94</x:v>
      </x:c>
      <x:c r="P160" s="64" t="n">
        <x:f>ROUND(N160*O160/1000,3)</x:f>
        <x:v>2349.097</x:v>
      </x:c>
      <x:c r="Q160" s="64" t="n">
        <x:f>ROUND(P160*'Drivers'!E160,3)</x:f>
        <x:v>2288.986</x:v>
      </x:c>
      <x:c r="R160" s="64" t="n">
        <x:f>-ROUND(Q160*'Drivers'!F160,3)</x:f>
        <x:v>-423.566</x:v>
      </x:c>
      <x:c r="S160" s="65" t="n">
        <x:f>R160/Q160</x:f>
        <x:v>-0.18504525584691212</x:v>
      </x:c>
      <x:c r="T160" s="64" t="n">
        <x:f>-ROUND(Q160*'Drivers'!G160,3)</x:f>
        <x:v>-22.438</x:v>
      </x:c>
      <x:c r="U160" s="65" t="n">
        <x:f>T160/Q160</x:f>
        <x:v>-0.009802593812281945</x:v>
      </x:c>
      <x:c r="V160" s="64" t="n">
        <x:f>-ROUND(Q160*'Drivers'!H160,3)</x:f>
        <x:v>-19.101</x:v>
      </x:c>
      <x:c r="W160" s="64" t="n">
        <x:f>-ROUND(Q160*'Drivers'!I160,3)</x:f>
        <x:v>-16.246</x:v>
      </x:c>
      <x:c r="X160" s="64" t="n">
        <x:f>-ROUND(Q160*'Drivers'!J160,3)</x:f>
        <x:v>-34.309</x:v>
      </x:c>
      <x:c r="Y160" s="64" t="n">
        <x:f>-ROUND(Q160*'Drivers'!K160,3)</x:f>
        <x:v>-21.703</x:v>
      </x:c>
      <x:c r="Z160" s="64" t="n">
        <x:f>-ROUND(Q160*'Drivers'!L160,3)</x:f>
        <x:v>-19.385</x:v>
      </x:c>
      <x:c r="AA160" s="64" t="n">
        <x:f>-ROUND(Q160*'Drivers'!M160,3)</x:f>
        <x:v>-23.288</x:v>
      </x:c>
      <x:c r="AB160" s="64" t="n">
        <x:f>-ROUND(Q160*'Drivers'!N160,3)</x:f>
        <x:v>-15.625</x:v>
      </x:c>
      <x:c r="AC160" s="64" t="n">
        <x:f>SUM(V160:AB160)</x:f>
        <x:v>-149.657</x:v>
      </x:c>
      <x:c r="AD160" s="65" t="n">
        <x:f>AC160/Q160</x:f>
        <x:v>-0.06538135226689898</x:v>
      </x:c>
      <x:c r="AE160" s="64" t="n">
        <x:f>-ROUND(Q160*'Drivers'!O160,3)</x:f>
        <x:v>-25.656</x:v>
      </x:c>
      <x:c r="AF160" s="65" t="n">
        <x:f>AE160/Q160</x:f>
        <x:v>-0.011208456495583633</x:v>
      </x:c>
      <x:c r="AG160" s="64" t="n">
        <x:f>-ROUND(Q160*'Drivers'!P160,3)</x:f>
        <x:v>-3.858</x:v>
      </x:c>
      <x:c r="AH160" s="64" t="n">
        <x:f>-ROUND(Q160*'Drivers'!Q160,3)</x:f>
        <x:v>-11.392</x:v>
      </x:c>
      <x:c r="AI160" s="64" t="n">
        <x:f>SUM(R160,T160,AC160,AE160,AG160,AH160)</x:f>
        <x:v>-636.5669999999999</x:v>
      </x:c>
      <x:c r="AJ160" s="65" t="n">
        <x:f>AI160/Q160</x:f>
        <x:v>-0.27809999711662714</x:v>
      </x:c>
      <x:c r="AK160" s="64" t="n">
        <x:f>Q160+AI160</x:f>
        <x:v>1652.4189999999999</x:v>
      </x:c>
      <x:c r="AL160" s="65" t="n">
        <x:f>AK160/Q160</x:f>
        <x:v>0.7219000028833727</x:v>
      </x:c>
      <x:c r="AM160" s="64" t="n">
        <x:f>AK160/L160</x:f>
        <x:v>330.4838</x:v>
      </x:c>
      <x:c r="AN160" s="66" t="str">
        <x:f>IF(AM160&lt;=200,"≤200K",IF(AM160&lt;=350,"200–350K",IF(AM160&lt;=500,"350–500K",IF(AM160&lt;=700,"500–700K","&gt;700K"))))</x:f>
        <x:v>200–350K</x:v>
      </x:c>
      <x:c r="AO160" s="64" t="n">
        <x:f>-ROUND(Q160*'Drivers'!R160,3)</x:f>
        <x:v>-859.692</x:v>
      </x:c>
      <x:c r="AP160" s="64" t="n">
        <x:f>-ROUND(AK160*'Drivers'!S160,3)</x:f>
        <x:v>-23.136</x:v>
      </x:c>
      <x:c r="AQ160" s="64" t="n">
        <x:f>-ROUND(AK160*'Drivers'!T160,3)</x:f>
        <x:v>-7.625</x:v>
      </x:c>
      <x:c r="AR160" s="64" t="n">
        <x:f>-ROUND(AK160*'Drivers'!U160,3)</x:f>
        <x:v>-15.892</x:v>
      </x:c>
      <x:c r="AS160" s="64" t="n">
        <x:f>-ROUND(AK160*'Drivers'!V160,3)</x:f>
        <x:v>-56.959</x:v>
      </x:c>
      <x:c r="AT160" s="64" t="n">
        <x:f>SUM(AO160:AS160)</x:f>
        <x:v>-963.3040000000001</x:v>
      </x:c>
      <x:c r="AU160" s="65" t="n">
        <x:f>AT160/AK160</x:f>
        <x:v>-0.5829659426574012</x:v>
      </x:c>
      <x:c r="AV160" s="64" t="n">
        <x:f>AK160+AT160</x:f>
        <x:v>689.1149999999998</x:v>
      </x:c>
      <x:c r="AW160" s="65" t="n">
        <x:f>AV160/AK160</x:f>
        <x:v>0.41703405734259885</x:v>
      </x:c>
      <x:c r="AX160" s="64" t="n">
        <x:f>-ROUND(AK160*'Drivers'!W160,3)</x:f>
        <x:v>-24.182</x:v>
      </x:c>
      <x:c r="AY160" s="64" t="n">
        <x:f>-ROUND(AK160*'Drivers'!X160,3)</x:f>
        <x:v>-42.607</x:v>
      </x:c>
      <x:c r="AZ160" s="64" t="n">
        <x:f>-ROUND(AK160*'Drivers'!Y160,3)</x:f>
        <x:v>-38.738</x:v>
      </x:c>
      <x:c r="BA160" s="64" t="n">
        <x:f>-ROUND(AK160*'Drivers'!Z160,3)</x:f>
        <x:v>-13.938</x:v>
      </x:c>
      <x:c r="BB160" s="64" t="n">
        <x:f>-ROUND(AK160*'Drivers'!AA160,3)</x:f>
        <x:v>-17.314</x:v>
      </x:c>
      <x:c r="BC160" s="64" t="n">
        <x:f>SUM(BA160,BB160)</x:f>
        <x:v>-31.252000000000002</x:v>
      </x:c>
      <x:c r="BD160" s="64" t="n">
        <x:f>-ROUND(AK160*'Drivers'!AB160,3)</x:f>
        <x:v>-7.519</x:v>
      </x:c>
      <x:c r="BE160" s="64" t="n">
        <x:f>SUM(AX160:BB160,BD160)</x:f>
        <x:v>-144.298</x:v>
      </x:c>
      <x:c r="BF160" s="67" t="n">
        <x:f>'Drivers'!AF160</x:f>
        <x:v>10</x:v>
      </x:c>
      <x:c r="BG160" s="64" t="n">
        <x:f>BJ160</x:f>
        <x:v>-54.158</x:v>
      </x:c>
      <x:c r="BH160" s="64" t="n">
        <x:f>BE160/BF160</x:f>
        <x:v>-14.4298</x:v>
      </x:c>
      <x:c r="BI160" s="68" t="n">
        <x:f>BF160/L160</x:f>
        <x:v>2</x:v>
      </x:c>
      <x:c r="BJ160" s="64" t="n">
        <x:f>-ROUND(AK160*'Drivers'!AC160,3)</x:f>
        <x:v>-54.158</x:v>
      </x:c>
      <x:c r="BK160" s="64" t="n">
        <x:f>-ROUND(AK160*'Drivers'!AD160,3)</x:f>
        <x:v>-168.914</x:v>
      </x:c>
      <x:c r="BL160" s="64" t="n">
        <x:f>SUM(AV160,BE160,BJ160,BK160)</x:f>
        <x:v>321.7449999999998</x:v>
      </x:c>
      <x:c r="BM160" s="65" t="n">
        <x:f>BL160/AK160</x:f>
        <x:v>0.19471151082140778</x:v>
      </x:c>
      <x:c r="BN160" s="64" t="n">
        <x:f>-ROUND(AK160*'Drivers'!AE160,3)</x:f>
        <x:v>-133.428</x:v>
      </x:c>
      <x:c r="BO160" s="64" t="n">
        <x:f>BL160+BN160</x:f>
        <x:v>188.31699999999978</x:v>
      </x:c>
      <x:c r="BP160" s="65" t="n">
        <x:f>BO160/AK160</x:f>
        <x:v>0.11396443638084516</x:v>
      </x:c>
    </x:row>
    <x:row r="161">
      <x:c r="A161" s="61" t="n">
        <x:v>2026</x:v>
      </x:c>
      <x:c r="B161" s="18" t="str">
        <x:v>S2</x:v>
      </x:c>
      <x:c r="C161" s="18" t="str">
        <x:v>2026 S2</x:v>
      </x:c>
      <x:c r="D161" s="18" t="str">
        <x:v>CNCT0040</x:v>
      </x:c>
      <x:c r="E161" s="18" t="str">
        <x:v>成都银泰城in99</x:v>
      </x:c>
      <x:c r="F161" s="18" t="str">
        <x:v>成都</x:v>
      </x:c>
      <x:c r="G161" s="18" t="str">
        <x:v>四川省</x:v>
      </x:c>
      <x:c r="H161" s="18" t="str">
        <x:v>西区</x:v>
      </x:c>
      <x:c r="I161" s="18" t="str">
        <x:v>Department Store</x:v>
      </x:c>
      <x:c r="J161" s="18" t="str">
        <x:v>Core Shopping Center</x:v>
      </x:c>
      <x:c r="K161" s="18" t="str">
        <x:v>正常</x:v>
      </x:c>
      <x:c r="L161" s="62" t="n">
        <x:v>5</x:v>
      </x:c>
      <x:c r="M161" s="62" t="n">
        <x:v>51</x:v>
      </x:c>
      <x:c r="N161" s="63" t="n">
        <x:f>'Drivers'!C161</x:f>
        <x:v>2463</x:v>
      </x:c>
      <x:c r="O161" s="63" t="n">
        <x:f>'Drivers'!D161</x:f>
        <x:v>1057.838</x:v>
      </x:c>
      <x:c r="P161" s="64" t="n">
        <x:f>ROUND(N161*O161/1000,3)</x:f>
        <x:v>2605.455</x:v>
      </x:c>
      <x:c r="Q161" s="64" t="n">
        <x:f>ROUND(P161*'Drivers'!E161,3)</x:f>
        <x:v>2533.952</x:v>
      </x:c>
      <x:c r="R161" s="64" t="n">
        <x:f>-ROUND(Q161*'Drivers'!F161,3)</x:f>
        <x:v>-451.373</x:v>
      </x:c>
      <x:c r="S161" s="65" t="n">
        <x:f>R161/Q161</x:f>
        <x:v>-0.17813005139797436</x:v>
      </x:c>
      <x:c r="T161" s="64" t="n">
        <x:f>-ROUND(Q161*'Drivers'!G161,3)</x:f>
        <x:v>-19.138</x:v>
      </x:c>
      <x:c r="U161" s="65" t="n">
        <x:f>T161/Q161</x:f>
        <x:v>-0.00755262925264567</x:v>
      </x:c>
      <x:c r="V161" s="64" t="n">
        <x:f>-ROUND(Q161*'Drivers'!H161,3)</x:f>
        <x:v>-21.145</x:v>
      </x:c>
      <x:c r="W161" s="64" t="n">
        <x:f>-ROUND(Q161*'Drivers'!I161,3)</x:f>
        <x:v>-17.985</x:v>
      </x:c>
      <x:c r="X161" s="64" t="n">
        <x:f>-ROUND(Q161*'Drivers'!J161,3)</x:f>
        <x:v>-37.981</x:v>
      </x:c>
      <x:c r="Y161" s="64" t="n">
        <x:f>-ROUND(Q161*'Drivers'!K161,3)</x:f>
        <x:v>-24.025</x:v>
      </x:c>
      <x:c r="Z161" s="64" t="n">
        <x:f>-ROUND(Q161*'Drivers'!L161,3)</x:f>
        <x:v>-21.459</x:v>
      </x:c>
      <x:c r="AA161" s="64" t="n">
        <x:f>-ROUND(Q161*'Drivers'!M161,3)</x:f>
        <x:v>-25.78</x:v>
      </x:c>
      <x:c r="AB161" s="64" t="n">
        <x:f>-ROUND(Q161*'Drivers'!N161,3)</x:f>
        <x:v>-17.298</x:v>
      </x:c>
      <x:c r="AC161" s="64" t="n">
        <x:f>SUM(V161:AB161)</x:f>
        <x:v>-165.673</x:v>
      </x:c>
      <x:c r="AD161" s="65" t="n">
        <x:f>AC161/Q161</x:f>
        <x:v>-0.06538127004773571</x:v>
      </x:c>
      <x:c r="AE161" s="64" t="n">
        <x:f>-ROUND(Q161*'Drivers'!O161,3)</x:f>
        <x:v>-23.848</x:v>
      </x:c>
      <x:c r="AF161" s="65" t="n">
        <x:f>AE161/Q161</x:f>
        <x:v>-0.009411385851034272</x:v>
      </x:c>
      <x:c r="AG161" s="64" t="n">
        <x:f>-ROUND(Q161*'Drivers'!P161,3)</x:f>
        <x:v>-4.271</x:v>
      </x:c>
      <x:c r="AH161" s="64" t="n">
        <x:f>-ROUND(Q161*'Drivers'!Q161,3)</x:f>
        <x:v>-12.611</x:v>
      </x:c>
      <x:c r="AI161" s="64" t="n">
        <x:f>SUM(R161,T161,AC161,AE161,AG161,AH161)</x:f>
        <x:v>-676.9139999999999</x:v>
      </x:c>
      <x:c r="AJ161" s="65" t="n">
        <x:f>AI161/Q161</x:f>
        <x:v>-0.2671376569090495</x:v>
      </x:c>
      <x:c r="AK161" s="64" t="n">
        <x:f>Q161+AI161</x:f>
        <x:v>1857.0380000000005</x:v>
      </x:c>
      <x:c r="AL161" s="65" t="n">
        <x:f>AK161/Q161</x:f>
        <x:v>0.7328623430909506</x:v>
      </x:c>
      <x:c r="AM161" s="64" t="n">
        <x:f>AK161/L161</x:f>
        <x:v>371.4076000000001</x:v>
      </x:c>
      <x:c r="AN161" s="66" t="str">
        <x:f>IF(AM161&lt;=200,"≤200K",IF(AM161&lt;=350,"200–350K",IF(AM161&lt;=500,"350–500K",IF(AM161&lt;=700,"500–700K","&gt;700K"))))</x:f>
        <x:v>350–500K</x:v>
      </x:c>
      <x:c r="AO161" s="64" t="n">
        <x:f>-ROUND(Q161*'Drivers'!R161,3)</x:f>
        <x:v>-938.651</x:v>
      </x:c>
      <x:c r="AP161" s="64" t="n">
        <x:f>-ROUND(AK161*'Drivers'!S161,3)</x:f>
        <x:v>-26.001</x:v>
      </x:c>
      <x:c r="AQ161" s="64" t="n">
        <x:f>-ROUND(AK161*'Drivers'!T161,3)</x:f>
        <x:v>-8.569</x:v>
      </x:c>
      <x:c r="AR161" s="64" t="n">
        <x:f>-ROUND(AK161*'Drivers'!U161,3)</x:f>
        <x:v>-17.86</x:v>
      </x:c>
      <x:c r="AS161" s="64" t="n">
        <x:f>-ROUND(AK161*'Drivers'!V161,3)</x:f>
        <x:v>-64.012</x:v>
      </x:c>
      <x:c r="AT161" s="64" t="n">
        <x:f>SUM(AO161:AS161)</x:f>
        <x:v>-1055.0929999999998</x:v>
      </x:c>
      <x:c r="AU161" s="65" t="n">
        <x:f>AT161/AK161</x:f>
        <x:v>-0.5681590791356986</x:v>
      </x:c>
      <x:c r="AV161" s="64" t="n">
        <x:f>AK161+AT161</x:f>
        <x:v>801.9450000000006</x:v>
      </x:c>
      <x:c r="AW161" s="65" t="n">
        <x:f>AV161/AK161</x:f>
        <x:v>0.4318409208643013</x:v>
      </x:c>
      <x:c r="AX161" s="64" t="n">
        <x:f>-ROUND(AK161*'Drivers'!W161,3)</x:f>
        <x:v>-23.412</x:v>
      </x:c>
      <x:c r="AY161" s="64" t="n">
        <x:f>-ROUND(AK161*'Drivers'!X161,3)</x:f>
        <x:v>-41.25</x:v>
      </x:c>
      <x:c r="AZ161" s="64" t="n">
        <x:f>-ROUND(AK161*'Drivers'!Y161,3)</x:f>
        <x:v>-37.504</x:v>
      </x:c>
      <x:c r="BA161" s="64" t="n">
        <x:f>-ROUND(AK161*'Drivers'!Z161,3)</x:f>
        <x:v>-13.494</x:v>
      </x:c>
      <x:c r="BB161" s="64" t="n">
        <x:f>-ROUND(AK161*'Drivers'!AA161,3)</x:f>
        <x:v>-16.763</x:v>
      </x:c>
      <x:c r="BC161" s="64" t="n">
        <x:f>SUM(BA161,BB161)</x:f>
        <x:v>-30.257</x:v>
      </x:c>
      <x:c r="BD161" s="64" t="n">
        <x:f>-ROUND(AK161*'Drivers'!AB161,3)</x:f>
        <x:v>-7.28</x:v>
      </x:c>
      <x:c r="BE161" s="64" t="n">
        <x:f>SUM(AX161:BB161,BD161)</x:f>
        <x:v>-139.703</x:v>
      </x:c>
      <x:c r="BF161" s="67" t="n">
        <x:f>'Drivers'!AF161</x:f>
        <x:v>10</x:v>
      </x:c>
      <x:c r="BG161" s="64" t="n">
        <x:f>BJ161</x:f>
        <x:v>-52.433</x:v>
      </x:c>
      <x:c r="BH161" s="64" t="n">
        <x:f>BE161/BF161</x:f>
        <x:v>-13.9703</x:v>
      </x:c>
      <x:c r="BI161" s="68" t="n">
        <x:f>BF161/L161</x:f>
        <x:v>2</x:v>
      </x:c>
      <x:c r="BJ161" s="64" t="n">
        <x:f>-ROUND(AK161*'Drivers'!AC161,3)</x:f>
        <x:v>-52.433</x:v>
      </x:c>
      <x:c r="BK161" s="64" t="n">
        <x:f>-ROUND(AK161*'Drivers'!AD161,3)</x:f>
        <x:v>-189.831</x:v>
      </x:c>
      <x:c r="BL161" s="64" t="n">
        <x:f>SUM(AV161,BE161,BJ161,BK161)</x:f>
        <x:v>419.97800000000063</x:v>
      </x:c>
      <x:c r="BM161" s="65" t="n">
        <x:f>BL161/AK161</x:f>
        <x:v>0.22615476904619106</x:v>
      </x:c>
      <x:c r="BN161" s="64" t="n">
        <x:f>-ROUND(AK161*'Drivers'!AE161,3)</x:f>
        <x:v>-149.95</x:v>
      </x:c>
      <x:c r="BO161" s="64" t="n">
        <x:f>BL161+BN161</x:f>
        <x:v>270.02800000000065</x:v>
      </x:c>
      <x:c r="BP161" s="65" t="n">
        <x:f>BO161/AK161</x:f>
        <x:v>0.14540790226155878</x:v>
      </x:c>
    </x:row>
    <x:row r="162">
      <x:c r="A162" s="61" t="n">
        <x:v>2025</x:v>
      </x:c>
      <x:c r="B162" s="18" t="str">
        <x:v>S1</x:v>
      </x:c>
      <x:c r="C162" s="18" t="str">
        <x:v>2025 S1</x:v>
      </x:c>
      <x:c r="D162" s="18" t="str">
        <x:v>CNCT0041</x:v>
      </x:c>
      <x:c r="E162" s="18" t="str">
        <x:v>成都王府井百货总府店</x:v>
      </x:c>
      <x:c r="F162" s="18" t="str">
        <x:v>成都</x:v>
      </x:c>
      <x:c r="G162" s="18" t="str">
        <x:v>四川省</x:v>
      </x:c>
      <x:c r="H162" s="18" t="str">
        <x:v>西区</x:v>
      </x:c>
      <x:c r="I162" s="18" t="str">
        <x:v>Department Store</x:v>
      </x:c>
      <x:c r="J162" s="18" t="str">
        <x:v>Core Shopping Center</x:v>
      </x:c>
      <x:c r="K162" s="18" t="str">
        <x:v>正常</x:v>
      </x:c>
      <x:c r="L162" s="62" t="n">
        <x:v>4</x:v>
      </x:c>
      <x:c r="M162" s="62" t="n">
        <x:v>48</x:v>
      </x:c>
      <x:c r="N162" s="63" t="n">
        <x:f>'Drivers'!C162</x:f>
        <x:v>1957</x:v>
      </x:c>
      <x:c r="O162" s="63" t="n">
        <x:f>'Drivers'!D162</x:f>
        <x:v>1134.541</x:v>
      </x:c>
      <x:c r="P162" s="64" t="n">
        <x:f>ROUND(N162*O162/1000,3)</x:f>
        <x:v>2220.297</x:v>
      </x:c>
      <x:c r="Q162" s="64" t="n">
        <x:f>ROUND(P162*'Drivers'!E162,3)</x:f>
        <x:v>2138.582</x:v>
      </x:c>
      <x:c r="R162" s="64" t="n">
        <x:f>-ROUND(Q162*'Drivers'!F162,3)</x:f>
        <x:v>-436.052</x:v>
      </x:c>
      <x:c r="S162" s="65" t="n">
        <x:f>R162/Q162</x:f>
        <x:v>-0.2038977228836678</x:v>
      </x:c>
      <x:c r="T162" s="64" t="n">
        <x:f>-ROUND(Q162*'Drivers'!G162,3)</x:f>
        <x:v>-35.863</x:v>
      </x:c>
      <x:c r="U162" s="65" t="n">
        <x:f>T162/Q162</x:f>
        <x:v>-0.016769522982985924</x:v>
      </x:c>
      <x:c r="V162" s="64" t="n">
        <x:f>-ROUND(Q162*'Drivers'!H162,3)</x:f>
        <x:v>-15.946</x:v>
      </x:c>
      <x:c r="W162" s="64" t="n">
        <x:f>-ROUND(Q162*'Drivers'!I162,3)</x:f>
        <x:v>-15.527</x:v>
      </x:c>
      <x:c r="X162" s="64" t="n">
        <x:f>-ROUND(Q162*'Drivers'!J162,3)</x:f>
        <x:v>-27.575</x:v>
      </x:c>
      <x:c r="Y162" s="64" t="n">
        <x:f>-ROUND(Q162*'Drivers'!K162,3)</x:f>
        <x:v>-25.45</x:v>
      </x:c>
      <x:c r="Z162" s="64" t="n">
        <x:f>-ROUND(Q162*'Drivers'!L162,3)</x:f>
        <x:v>-17.212</x:v>
      </x:c>
      <x:c r="AA162" s="64" t="n">
        <x:f>-ROUND(Q162*'Drivers'!M162,3)</x:f>
        <x:v>-17.066</x:v>
      </x:c>
      <x:c r="AB162" s="64" t="n">
        <x:f>-ROUND(Q162*'Drivers'!N162,3)</x:f>
        <x:v>-18.214</x:v>
      </x:c>
      <x:c r="AC162" s="64" t="n">
        <x:f>SUM(V162:AB162)</x:f>
        <x:v>-136.99</x:v>
      </x:c>
      <x:c r="AD162" s="65" t="n">
        <x:f>AC162/Q162</x:f>
        <x:v>-0.06405646358194356</x:v>
      </x:c>
      <x:c r="AE162" s="64" t="n">
        <x:f>-ROUND(Q162*'Drivers'!O162,3)</x:f>
        <x:v>-15.292</x:v>
      </x:c>
      <x:c r="AF162" s="65" t="n">
        <x:f>AE162/Q162</x:f>
        <x:v>-0.0071505324556177885</x:v>
      </x:c>
      <x:c r="AG162" s="64" t="n">
        <x:f>-ROUND(Q162*'Drivers'!P162,3)</x:f>
        <x:v>-3.088</x:v>
      </x:c>
      <x:c r="AH162" s="64" t="n">
        <x:f>-ROUND(Q162*'Drivers'!Q162,3)</x:f>
        <x:v>-14.189</x:v>
      </x:c>
      <x:c r="AI162" s="64" t="n">
        <x:f>SUM(R162,T162,AC162,AE162,AG162,AH162)</x:f>
        <x:v>-641.4739999999999</x:v>
      </x:c>
      <x:c r="AJ162" s="65" t="n">
        <x:f>AI162/Q162</x:f>
        <x:v>-0.2999529594843686</x:v>
      </x:c>
      <x:c r="AK162" s="64" t="n">
        <x:f>Q162+AI162</x:f>
        <x:v>1497.108</x:v>
      </x:c>
      <x:c r="AL162" s="65" t="n">
        <x:f>AK162/Q162</x:f>
        <x:v>0.7000470405156314</x:v>
      </x:c>
      <x:c r="AM162" s="64" t="n">
        <x:f>AK162/L162</x:f>
        <x:v>374.277</x:v>
      </x:c>
      <x:c r="AN162" s="66" t="str">
        <x:f>IF(AM162&lt;=200,"≤200K",IF(AM162&lt;=350,"200–350K",IF(AM162&lt;=500,"350–500K",IF(AM162&lt;=700,"500–700K","&gt;700K"))))</x:f>
        <x:v>350–500K</x:v>
      </x:c>
      <x:c r="AO162" s="64" t="n">
        <x:f>-ROUND(Q162*'Drivers'!R162,3)</x:f>
        <x:v>-742.272</x:v>
      </x:c>
      <x:c r="AP162" s="64" t="n">
        <x:f>-ROUND(AK162*'Drivers'!S162,3)</x:f>
        <x:v>-18.431</x:v>
      </x:c>
      <x:c r="AQ162" s="64" t="n">
        <x:f>-ROUND(AK162*'Drivers'!T162,3)</x:f>
        <x:v>-7.098</x:v>
      </x:c>
      <x:c r="AR162" s="64" t="n">
        <x:f>-ROUND(AK162*'Drivers'!U162,3)</x:f>
        <x:v>-19.44</x:v>
      </x:c>
      <x:c r="AS162" s="64" t="n">
        <x:f>-ROUND(AK162*'Drivers'!V162,3)</x:f>
        <x:v>-54.781</x:v>
      </x:c>
      <x:c r="AT162" s="64" t="n">
        <x:f>SUM(AO162:AS162)</x:f>
        <x:v>-842.022</x:v>
      </x:c>
      <x:c r="AU162" s="65" t="n">
        <x:f>AT162/AK162</x:f>
        <x:v>-0.5624323696086054</x:v>
      </x:c>
      <x:c r="AV162" s="64" t="n">
        <x:f>AK162+AT162</x:f>
        <x:v>655.0859999999999</x:v>
      </x:c>
      <x:c r="AW162" s="65" t="n">
        <x:f>AV162/AK162</x:f>
        <x:v>0.43756763039139457</x:v>
      </x:c>
      <x:c r="AX162" s="64" t="n">
        <x:f>-ROUND(AK162*'Drivers'!W162,3)</x:f>
        <x:v>-19.152</x:v>
      </x:c>
      <x:c r="AY162" s="64" t="n">
        <x:f>-ROUND(AK162*'Drivers'!X162,3)</x:f>
        <x:v>-26.258</x:v>
      </x:c>
      <x:c r="AZ162" s="64" t="n">
        <x:f>-ROUND(AK162*'Drivers'!Y162,3)</x:f>
        <x:v>-28.146</x:v>
      </x:c>
      <x:c r="BA162" s="64" t="n">
        <x:f>-ROUND(AK162*'Drivers'!Z162,3)</x:f>
        <x:v>-9.52</x:v>
      </x:c>
      <x:c r="BB162" s="64" t="n">
        <x:f>-ROUND(AK162*'Drivers'!AA162,3)</x:f>
        <x:v>-9.535</x:v>
      </x:c>
      <x:c r="BC162" s="64" t="n">
        <x:f>SUM(BA162,BB162)</x:f>
        <x:v>-19.055</x:v>
      </x:c>
      <x:c r="BD162" s="64" t="n">
        <x:f>-ROUND(AK162*'Drivers'!AB162,3)</x:f>
        <x:v>-6.868</x:v>
      </x:c>
      <x:c r="BE162" s="64" t="n">
        <x:f>SUM(AX162:BB162,BD162)</x:f>
        <x:v>-99.47899999999998</x:v>
      </x:c>
      <x:c r="BF162" s="67" t="n">
        <x:f>'Drivers'!AF162</x:f>
        <x:v>6</x:v>
      </x:c>
      <x:c r="BG162" s="64" t="n">
        <x:f>BJ162</x:f>
        <x:v>-34.617</x:v>
      </x:c>
      <x:c r="BH162" s="64" t="n">
        <x:f>BE162/BF162</x:f>
        <x:v>-16.57983333333333</x:v>
      </x:c>
      <x:c r="BI162" s="68" t="n">
        <x:f>BF162/L162</x:f>
        <x:v>1.5</x:v>
      </x:c>
      <x:c r="BJ162" s="64" t="n">
        <x:f>-ROUND(AK162*'Drivers'!AC162,3)</x:f>
        <x:v>-34.617</x:v>
      </x:c>
      <x:c r="BK162" s="64" t="n">
        <x:f>-ROUND(AK162*'Drivers'!AD162,3)</x:f>
        <x:v>-168.708</x:v>
      </x:c>
      <x:c r="BL162" s="64" t="n">
        <x:f>SUM(AV162,BE162,BJ162,BK162)</x:f>
        <x:v>352.28200000000004</x:v>
      </x:c>
      <x:c r="BM162" s="65" t="n">
        <x:f>BL162/AK162</x:f>
        <x:v>0.23530834114840082</x:v>
      </x:c>
      <x:c r="BN162" s="64" t="n">
        <x:f>-ROUND(AK162*'Drivers'!AE162,3)</x:f>
        <x:v>-109.114</x:v>
      </x:c>
      <x:c r="BO162" s="64" t="n">
        <x:f>BL162+BN162</x:f>
        <x:v>243.16800000000003</x:v>
      </x:c>
      <x:c r="BP162" s="65" t="n">
        <x:f>BO162/AK162</x:f>
        <x:v>0.16242515570019</x:v>
      </x:c>
    </x:row>
    <x:row r="163">
      <x:c r="A163" s="61" t="n">
        <x:v>2025</x:v>
      </x:c>
      <x:c r="B163" s="18" t="str">
        <x:v>S2</x:v>
      </x:c>
      <x:c r="C163" s="18" t="str">
        <x:v>2025 S2</x:v>
      </x:c>
      <x:c r="D163" s="18" t="str">
        <x:v>CNCT0041</x:v>
      </x:c>
      <x:c r="E163" s="18" t="str">
        <x:v>成都王府井百货总府店</x:v>
      </x:c>
      <x:c r="F163" s="18" t="str">
        <x:v>成都</x:v>
      </x:c>
      <x:c r="G163" s="18" t="str">
        <x:v>四川省</x:v>
      </x:c>
      <x:c r="H163" s="18" t="str">
        <x:v>西区</x:v>
      </x:c>
      <x:c r="I163" s="18" t="str">
        <x:v>Department Store</x:v>
      </x:c>
      <x:c r="J163" s="18" t="str">
        <x:v>Core Shopping Center</x:v>
      </x:c>
      <x:c r="K163" s="18" t="str">
        <x:v>正常</x:v>
      </x:c>
      <x:c r="L163" s="62" t="n">
        <x:v>4</x:v>
      </x:c>
      <x:c r="M163" s="62" t="n">
        <x:v>48</x:v>
      </x:c>
      <x:c r="N163" s="63" t="n">
        <x:f>'Drivers'!C163</x:f>
        <x:v>2146</x:v>
      </x:c>
      <x:c r="O163" s="63" t="n">
        <x:f>'Drivers'!D163</x:f>
        <x:v>1148.156</x:v>
      </x:c>
      <x:c r="P163" s="64" t="n">
        <x:f>ROUND(N163*O163/1000,3)</x:f>
        <x:v>2463.943</x:v>
      </x:c>
      <x:c r="Q163" s="64" t="n">
        <x:f>ROUND(P163*'Drivers'!E163,3)</x:f>
        <x:v>2424.027</x:v>
      </x:c>
      <x:c r="R163" s="64" t="n">
        <x:f>-ROUND(Q163*'Drivers'!F163,3)</x:f>
        <x:v>-494.254</x:v>
      </x:c>
      <x:c r="S163" s="65" t="n">
        <x:f>R163/Q163</x:f>
        <x:v>-0.20389789387659463</x:v>
      </x:c>
      <x:c r="T163" s="64" t="n">
        <x:f>-ROUND(Q163*'Drivers'!G163,3)</x:f>
        <x:v>-40.649</x:v>
      </x:c>
      <x:c r="U163" s="65" t="n">
        <x:f>T163/Q163</x:f>
        <x:v>-0.016769202653270775</x:v>
      </x:c>
      <x:c r="V163" s="64" t="n">
        <x:f>-ROUND(Q163*'Drivers'!H163,3)</x:f>
        <x:v>-18.074</x:v>
      </x:c>
      <x:c r="W163" s="64" t="n">
        <x:f>-ROUND(Q163*'Drivers'!I163,3)</x:f>
        <x:v>-17.6</x:v>
      </x:c>
      <x:c r="X163" s="64" t="n">
        <x:f>-ROUND(Q163*'Drivers'!J163,3)</x:f>
        <x:v>-31.255</x:v>
      </x:c>
      <x:c r="Y163" s="64" t="n">
        <x:f>-ROUND(Q163*'Drivers'!K163,3)</x:f>
        <x:v>-28.847</x:v>
      </x:c>
      <x:c r="Z163" s="64" t="n">
        <x:f>-ROUND(Q163*'Drivers'!L163,3)</x:f>
        <x:v>-19.509</x:v>
      </x:c>
      <x:c r="AA163" s="64" t="n">
        <x:f>-ROUND(Q163*'Drivers'!M163,3)</x:f>
        <x:v>-19.344</x:v>
      </x:c>
      <x:c r="AB163" s="64" t="n">
        <x:f>-ROUND(Q163*'Drivers'!N163,3)</x:f>
        <x:v>-20.645</x:v>
      </x:c>
      <x:c r="AC163" s="64" t="n">
        <x:f>SUM(V163:AB163)</x:f>
        <x:v>-155.27400000000003</x:v>
      </x:c>
      <x:c r="AD163" s="65" t="n">
        <x:f>AC163/Q163</x:f>
        <x:v>-0.06405621719560055</x:v>
      </x:c>
      <x:c r="AE163" s="64" t="n">
        <x:f>-ROUND(Q163*'Drivers'!O163,3)</x:f>
        <x:v>-17.333</x:v>
      </x:c>
      <x:c r="AF163" s="65" t="n">
        <x:f>AE163/Q163</x:f>
        <x:v>-0.0071504979111206264</x:v>
      </x:c>
      <x:c r="AG163" s="64" t="n">
        <x:f>-ROUND(Q163*'Drivers'!P163,3)</x:f>
        <x:v>-3.5</x:v>
      </x:c>
      <x:c r="AH163" s="64" t="n">
        <x:f>-ROUND(Q163*'Drivers'!Q163,3)</x:f>
        <x:v>-16.082</x:v>
      </x:c>
      <x:c r="AI163" s="64" t="n">
        <x:f>SUM(R163,T163,AC163,AE163,AG163,AH163)</x:f>
        <x:v>-727.092</x:v>
      </x:c>
      <x:c r="AJ163" s="65" t="n">
        <x:f>AI163/Q163</x:f>
        <x:v>-0.2999521044938856</x:v>
      </x:c>
      <x:c r="AK163" s="64" t="n">
        <x:f>Q163+AI163</x:f>
        <x:v>1696.935</x:v>
      </x:c>
      <x:c r="AL163" s="65" t="n">
        <x:f>AK163/Q163</x:f>
        <x:v>0.7000478955061143</x:v>
      </x:c>
      <x:c r="AM163" s="64" t="n">
        <x:f>AK163/L163</x:f>
        <x:v>424.23375</x:v>
      </x:c>
      <x:c r="AN163" s="66" t="str">
        <x:f>IF(AM163&lt;=200,"≤200K",IF(AM163&lt;=350,"200–350K",IF(AM163&lt;=500,"350–500K",IF(AM163&lt;=700,"500–700K","&gt;700K"))))</x:f>
        <x:v>350–500K</x:v>
      </x:c>
      <x:c r="AO163" s="64" t="n">
        <x:f>-ROUND(Q163*'Drivers'!R163,3)</x:f>
        <x:v>-839.665</x:v>
      </x:c>
      <x:c r="AP163" s="64" t="n">
        <x:f>-ROUND(AK163*'Drivers'!S163,3)</x:f>
        <x:v>-20.891</x:v>
      </x:c>
      <x:c r="AQ163" s="64" t="n">
        <x:f>-ROUND(AK163*'Drivers'!T163,3)</x:f>
        <x:v>-8.045</x:v>
      </x:c>
      <x:c r="AR163" s="64" t="n">
        <x:f>-ROUND(AK163*'Drivers'!U163,3)</x:f>
        <x:v>-22.035</x:v>
      </x:c>
      <x:c r="AS163" s="64" t="n">
        <x:f>-ROUND(AK163*'Drivers'!V163,3)</x:f>
        <x:v>-62.093</x:v>
      </x:c>
      <x:c r="AT163" s="64" t="n">
        <x:f>SUM(AO163:AS163)</x:f>
        <x:v>-952.7289999999998</x:v>
      </x:c>
      <x:c r="AU163" s="65" t="n">
        <x:f>AT163/AK163</x:f>
        <x:v>-0.5614410687504234</x:v>
      </x:c>
      <x:c r="AV163" s="64" t="n">
        <x:f>AK163+AT163</x:f>
        <x:v>744.2060000000001</x:v>
      </x:c>
      <x:c r="AW163" s="65" t="n">
        <x:f>AV163/AK163</x:f>
        <x:v>0.4385589312495765</x:v>
      </x:c>
      <x:c r="AX163" s="64" t="n">
        <x:f>-ROUND(AK163*'Drivers'!W163,3)</x:f>
        <x:v>-21.709</x:v>
      </x:c>
      <x:c r="AY163" s="64" t="n">
        <x:f>-ROUND(AK163*'Drivers'!X163,3)</x:f>
        <x:v>-29.763</x:v>
      </x:c>
      <x:c r="AZ163" s="64" t="n">
        <x:f>-ROUND(AK163*'Drivers'!Y163,3)</x:f>
        <x:v>-31.903</x:v>
      </x:c>
      <x:c r="BA163" s="64" t="n">
        <x:f>-ROUND(AK163*'Drivers'!Z163,3)</x:f>
        <x:v>-10.791</x:v>
      </x:c>
      <x:c r="BB163" s="64" t="n">
        <x:f>-ROUND(AK163*'Drivers'!AA163,3)</x:f>
        <x:v>-10.808</x:v>
      </x:c>
      <x:c r="BC163" s="64" t="n">
        <x:f>SUM(BA163,BB163)</x:f>
        <x:v>-21.599</x:v>
      </x:c>
      <x:c r="BD163" s="64" t="n">
        <x:f>-ROUND(AK163*'Drivers'!AB163,3)</x:f>
        <x:v>-7.785</x:v>
      </x:c>
      <x:c r="BE163" s="64" t="n">
        <x:f>SUM(AX163:BB163,BD163)</x:f>
        <x:v>-112.75899999999999</x:v>
      </x:c>
      <x:c r="BF163" s="67" t="n">
        <x:f>'Drivers'!AF163</x:f>
        <x:v>6</x:v>
      </x:c>
      <x:c r="BG163" s="64" t="n">
        <x:f>BJ163</x:f>
        <x:v>-39.238</x:v>
      </x:c>
      <x:c r="BH163" s="64" t="n">
        <x:f>BE163/BF163</x:f>
        <x:v>-18.793166666666664</x:v>
      </x:c>
      <x:c r="BI163" s="68" t="n">
        <x:f>BF163/L163</x:f>
        <x:v>1.5</x:v>
      </x:c>
      <x:c r="BJ163" s="64" t="n">
        <x:f>-ROUND(AK163*'Drivers'!AC163,3)</x:f>
        <x:v>-39.238</x:v>
      </x:c>
      <x:c r="BK163" s="64" t="n">
        <x:f>-ROUND(AK163*'Drivers'!AD163,3)</x:f>
        <x:v>-191.226</x:v>
      </x:c>
      <x:c r="BL163" s="64" t="n">
        <x:f>SUM(AV163,BE163,BJ163,BK163)</x:f>
        <x:v>400.98300000000006</x:v>
      </x:c>
      <x:c r="BM163" s="65" t="n">
        <x:f>BL163/AK163</x:f>
        <x:v>0.23629838502947967</x:v>
      </x:c>
      <x:c r="BN163" s="64" t="n">
        <x:f>-ROUND(AK163*'Drivers'!AE163,3)</x:f>
        <x:v>-123.678</x:v>
      </x:c>
      <x:c r="BO163" s="64" t="n">
        <x:f>BL163+BN163</x:f>
        <x:v>277.30500000000006</x:v>
      </x:c>
      <x:c r="BP163" s="65" t="n">
        <x:f>BO163/AK163</x:f>
        <x:v>0.16341521625754674</x:v>
      </x:c>
    </x:row>
    <x:row r="164">
      <x:c r="A164" s="61" t="n">
        <x:v>2026</x:v>
      </x:c>
      <x:c r="B164" s="18" t="str">
        <x:v>S1</x:v>
      </x:c>
      <x:c r="C164" s="18" t="str">
        <x:v>2026 S1</x:v>
      </x:c>
      <x:c r="D164" s="18" t="str">
        <x:v>CNCT0041</x:v>
      </x:c>
      <x:c r="E164" s="18" t="str">
        <x:v>成都王府井百货总府店</x:v>
      </x:c>
      <x:c r="F164" s="18" t="str">
        <x:v>成都</x:v>
      </x:c>
      <x:c r="G164" s="18" t="str">
        <x:v>四川省</x:v>
      </x:c>
      <x:c r="H164" s="18" t="str">
        <x:v>西区</x:v>
      </x:c>
      <x:c r="I164" s="18" t="str">
        <x:v>Department Store</x:v>
      </x:c>
      <x:c r="J164" s="18" t="str">
        <x:v>Core Shopping Center</x:v>
      </x:c>
      <x:c r="K164" s="18" t="str">
        <x:v>正常</x:v>
      </x:c>
      <x:c r="L164" s="62" t="n">
        <x:v>4</x:v>
      </x:c>
      <x:c r="M164" s="62" t="n">
        <x:v>51</x:v>
      </x:c>
      <x:c r="N164" s="63" t="n">
        <x:f>'Drivers'!C164</x:f>
        <x:v>1829</x:v>
      </x:c>
      <x:c r="O164" s="63" t="n">
        <x:f>'Drivers'!D164</x:f>
        <x:v>1192.012</x:v>
      </x:c>
      <x:c r="P164" s="64" t="n">
        <x:f>ROUND(N164*O164/1000,3)</x:f>
        <x:v>2180.19</x:v>
      </x:c>
      <x:c r="Q164" s="64" t="n">
        <x:f>ROUND(P164*'Drivers'!E164,3)</x:f>
        <x:v>2106.88</x:v>
      </x:c>
      <x:c r="R164" s="64" t="n">
        <x:f>-ROUND(Q164*'Drivers'!F164,3)</x:f>
        <x:v>-422.201</x:v>
      </x:c>
      <x:c r="S164" s="65" t="n">
        <x:f>R164/Q164</x:f>
        <x:v>-0.2003915742709599</x:v>
      </x:c>
      <x:c r="T164" s="64" t="n">
        <x:f>-ROUND(Q164*'Drivers'!G164,3)</x:f>
        <x:v>-33.141</x:v>
      </x:c>
      <x:c r="U164" s="65" t="n">
        <x:f>T164/Q164</x:f>
        <x:v>-0.01572989444106926</x:v>
      </x:c>
      <x:c r="V164" s="64" t="n">
        <x:f>-ROUND(Q164*'Drivers'!H164,3)</x:f>
        <x:v>-15.709</x:v>
      </x:c>
      <x:c r="W164" s="64" t="n">
        <x:f>-ROUND(Q164*'Drivers'!I164,3)</x:f>
        <x:v>-15.297</x:v>
      </x:c>
      <x:c r="X164" s="64" t="n">
        <x:f>-ROUND(Q164*'Drivers'!J164,3)</x:f>
        <x:v>-27.166</x:v>
      </x:c>
      <x:c r="Y164" s="64" t="n">
        <x:f>-ROUND(Q164*'Drivers'!K164,3)</x:f>
        <x:v>-25.072</x:v>
      </x:c>
      <x:c r="Z164" s="64" t="n">
        <x:f>-ROUND(Q164*'Drivers'!L164,3)</x:f>
        <x:v>-16.957</x:v>
      </x:c>
      <x:c r="AA164" s="64" t="n">
        <x:f>-ROUND(Q164*'Drivers'!M164,3)</x:f>
        <x:v>-16.813</x:v>
      </x:c>
      <x:c r="AB164" s="64" t="n">
        <x:f>-ROUND(Q164*'Drivers'!N164,3)</x:f>
        <x:v>-17.944</x:v>
      </x:c>
      <x:c r="AC164" s="64" t="n">
        <x:f>SUM(V164:AB164)</x:f>
        <x:v>-134.958</x:v>
      </x:c>
      <x:c r="AD164" s="65" t="n">
        <x:f>AC164/Q164</x:f>
        <x:v>-0.06405585510328067</x:v>
      </x:c>
      <x:c r="AE164" s="64" t="n">
        <x:f>-ROUND(Q164*'Drivers'!O164,3)</x:f>
        <x:v>-14.351</x:v>
      </x:c>
      <x:c r="AF164" s="65" t="n">
        <x:f>AE164/Q164</x:f>
        <x:v>-0.006811493772782503</x:v>
      </x:c>
      <x:c r="AG164" s="64" t="n">
        <x:f>-ROUND(Q164*'Drivers'!P164,3)</x:f>
        <x:v>-3.042</x:v>
      </x:c>
      <x:c r="AH164" s="64" t="n">
        <x:f>-ROUND(Q164*'Drivers'!Q164,3)</x:f>
        <x:v>-13.978</x:v>
      </x:c>
      <x:c r="AI164" s="64" t="n">
        <x:f>SUM(R164,T164,AC164,AE164,AG164,AH164)</x:f>
        <x:v>-621.671</x:v>
      </x:c>
      <x:c r="AJ164" s="65" t="n">
        <x:f>AI164/Q164</x:f>
        <x:v>-0.29506711345686515</x:v>
      </x:c>
      <x:c r="AK164" s="64" t="n">
        <x:f>Q164+AI164</x:f>
        <x:v>1485.209</x:v>
      </x:c>
      <x:c r="AL164" s="65" t="n">
        <x:f>AK164/Q164</x:f>
        <x:v>0.7049328865431349</x:v>
      </x:c>
      <x:c r="AM164" s="64" t="n">
        <x:f>AK164/L164</x:f>
        <x:v>371.30225</x:v>
      </x:c>
      <x:c r="AN164" s="66" t="str">
        <x:f>IF(AM164&lt;=200,"≤200K",IF(AM164&lt;=350,"200–350K",IF(AM164&lt;=500,"350–500K",IF(AM164&lt;=700,"500–700K","&gt;700K"))))</x:f>
        <x:v>350–500K</x:v>
      </x:c>
      <x:c r="AO164" s="64" t="n">
        <x:f>-ROUND(Q164*'Drivers'!R164,3)</x:f>
        <x:v>-732.364</x:v>
      </x:c>
      <x:c r="AP164" s="64" t="n">
        <x:f>-ROUND(AK164*'Drivers'!S164,3)</x:f>
        <x:v>-18.285</x:v>
      </x:c>
      <x:c r="AQ164" s="64" t="n">
        <x:f>-ROUND(AK164*'Drivers'!T164,3)</x:f>
        <x:v>-7.041</x:v>
      </x:c>
      <x:c r="AR164" s="64" t="n">
        <x:f>-ROUND(AK164*'Drivers'!U164,3)</x:f>
        <x:v>-19.285</x:v>
      </x:c>
      <x:c r="AS164" s="64" t="n">
        <x:f>-ROUND(AK164*'Drivers'!V164,3)</x:f>
        <x:v>-54.346</x:v>
      </x:c>
      <x:c r="AT164" s="64" t="n">
        <x:f>SUM(AO164:AS164)</x:f>
        <x:v>-831.321</x:v>
      </x:c>
      <x:c r="AU164" s="65" t="n">
        <x:f>AT164/AK164</x:f>
        <x:v>-0.5597333439266797</x:v>
      </x:c>
      <x:c r="AV164" s="64" t="n">
        <x:f>AK164+AT164</x:f>
        <x:v>653.888</x:v>
      </x:c>
      <x:c r="AW164" s="65" t="n">
        <x:f>AV164/AK164</x:f>
        <x:v>0.44026665607332033</x:v>
      </x:c>
      <x:c r="AX164" s="64" t="n">
        <x:f>-ROUND(AK164*'Drivers'!W164,3)</x:f>
        <x:v>-23.379</x:v>
      </x:c>
      <x:c r="AY164" s="64" t="n">
        <x:f>-ROUND(AK164*'Drivers'!X164,3)</x:f>
        <x:v>-32.053</x:v>
      </x:c>
      <x:c r="AZ164" s="64" t="n">
        <x:f>-ROUND(AK164*'Drivers'!Y164,3)</x:f>
        <x:v>-34.357</x:v>
      </x:c>
      <x:c r="BA164" s="64" t="n">
        <x:f>-ROUND(AK164*'Drivers'!Z164,3)</x:f>
        <x:v>-11.621</x:v>
      </x:c>
      <x:c r="BB164" s="64" t="n">
        <x:f>-ROUND(AK164*'Drivers'!AA164,3)</x:f>
        <x:v>-11.639</x:v>
      </x:c>
      <x:c r="BC164" s="64" t="n">
        <x:f>SUM(BA164,BB164)</x:f>
        <x:v>-23.259999999999998</x:v>
      </x:c>
      <x:c r="BD164" s="64" t="n">
        <x:f>-ROUND(AK164*'Drivers'!AB164,3)</x:f>
        <x:v>-8.384</x:v>
      </x:c>
      <x:c r="BE164" s="64" t="n">
        <x:f>SUM(AX164:BB164,BD164)</x:f>
        <x:v>-121.43299999999999</x:v>
      </x:c>
      <x:c r="BF164" s="67" t="n">
        <x:f>'Drivers'!AF164</x:f>
        <x:v>6</x:v>
      </x:c>
      <x:c r="BG164" s="64" t="n">
        <x:f>BJ164</x:f>
        <x:v>-42.256</x:v>
      </x:c>
      <x:c r="BH164" s="64" t="n">
        <x:f>BE164/BF164</x:f>
        <x:v>-20.238833333333332</x:v>
      </x:c>
      <x:c r="BI164" s="68" t="n">
        <x:f>BF164/L164</x:f>
        <x:v>1.5</x:v>
      </x:c>
      <x:c r="BJ164" s="64" t="n">
        <x:f>-ROUND(AK164*'Drivers'!AC164,3)</x:f>
        <x:v>-42.256</x:v>
      </x:c>
      <x:c r="BK164" s="64" t="n">
        <x:f>-ROUND(AK164*'Drivers'!AD164,3)</x:f>
        <x:v>-167.367</x:v>
      </x:c>
      <x:c r="BL164" s="64" t="n">
        <x:f>SUM(AV164,BE164,BJ164,BK164)</x:f>
        <x:v>322.8320000000001</x:v>
      </x:c>
      <x:c r="BM164" s="65" t="n">
        <x:f>BL164/AK164</x:f>
        <x:v>0.2173646941272239</x:v>
      </x:c>
      <x:c r="BN164" s="64" t="n">
        <x:f>-ROUND(AK164*'Drivers'!AE164,3)</x:f>
        <x:v>-108.246</x:v>
      </x:c>
      <x:c r="BO164" s="64" t="n">
        <x:f>BL164+BN164</x:f>
        <x:v>214.58600000000013</x:v>
      </x:c>
      <x:c r="BP164" s="65" t="n">
        <x:f>BO164/AK164</x:f>
        <x:v>0.1444820223955013</x:v>
      </x:c>
    </x:row>
    <x:row r="165">
      <x:c r="A165" s="61" t="n">
        <x:v>2026</x:v>
      </x:c>
      <x:c r="B165" s="18" t="str">
        <x:v>S2</x:v>
      </x:c>
      <x:c r="C165" s="18" t="str">
        <x:v>2026 S2</x:v>
      </x:c>
      <x:c r="D165" s="18" t="str">
        <x:v>CNCT0041</x:v>
      </x:c>
      <x:c r="E165" s="18" t="str">
        <x:v>成都王府井百货总府店</x:v>
      </x:c>
      <x:c r="F165" s="18" t="str">
        <x:v>成都</x:v>
      </x:c>
      <x:c r="G165" s="18" t="str">
        <x:v>四川省</x:v>
      </x:c>
      <x:c r="H165" s="18" t="str">
        <x:v>西区</x:v>
      </x:c>
      <x:c r="I165" s="18" t="str">
        <x:v>Department Store</x:v>
      </x:c>
      <x:c r="J165" s="18" t="str">
        <x:v>Core Shopping Center</x:v>
      </x:c>
      <x:c r="K165" s="18" t="str">
        <x:v>正常</x:v>
      </x:c>
      <x:c r="L165" s="62" t="n">
        <x:v>4</x:v>
      </x:c>
      <x:c r="M165" s="62" t="n">
        <x:v>51</x:v>
      </x:c>
      <x:c r="N165" s="63" t="n">
        <x:f>'Drivers'!C165</x:f>
        <x:v>2094</x:v>
      </x:c>
      <x:c r="O165" s="63" t="n">
        <x:f>'Drivers'!D165</x:f>
        <x:v>1190.35</x:v>
      </x:c>
      <x:c r="P165" s="64" t="n">
        <x:f>ROUND(N165*O165/1000,3)</x:f>
        <x:v>2492.593</x:v>
      </x:c>
      <x:c r="Q165" s="64" t="n">
        <x:f>ROUND(P165*'Drivers'!E165,3)</x:f>
        <x:v>2452.212</x:v>
      </x:c>
      <x:c r="R165" s="64" t="n">
        <x:f>-ROUND(Q165*'Drivers'!F165,3)</x:f>
        <x:v>-513.228</x:v>
      </x:c>
      <x:c r="S165" s="65" t="n">
        <x:f>R165/Q165</x:f>
        <x:v>-0.20929185567968836</x:v>
      </x:c>
      <x:c r="T165" s="64" t="n">
        <x:f>-ROUND(Q165*'Drivers'!G165,3)</x:f>
        <x:v>-38.191</x:v>
      </x:c>
      <x:c r="U165" s="65" t="n">
        <x:f>T165/Q165</x:f>
        <x:v>-0.015574102076003217</x:v>
      </x:c>
      <x:c r="V165" s="64" t="n">
        <x:f>-ROUND(Q165*'Drivers'!H165,3)</x:f>
        <x:v>-18.284</x:v>
      </x:c>
      <x:c r="W165" s="64" t="n">
        <x:f>-ROUND(Q165*'Drivers'!I165,3)</x:f>
        <x:v>-17.804</x:v>
      </x:c>
      <x:c r="X165" s="64" t="n">
        <x:f>-ROUND(Q165*'Drivers'!J165,3)</x:f>
        <x:v>-31.619</x:v>
      </x:c>
      <x:c r="Y165" s="64" t="n">
        <x:f>-ROUND(Q165*'Drivers'!K165,3)</x:f>
        <x:v>-29.182</x:v>
      </x:c>
      <x:c r="Z165" s="64" t="n">
        <x:f>-ROUND(Q165*'Drivers'!L165,3)</x:f>
        <x:v>-19.736</x:v>
      </x:c>
      <x:c r="AA165" s="64" t="n">
        <x:f>-ROUND(Q165*'Drivers'!M165,3)</x:f>
        <x:v>-19.569</x:v>
      </x:c>
      <x:c r="AB165" s="64" t="n">
        <x:f>-ROUND(Q165*'Drivers'!N165,3)</x:f>
        <x:v>-20.885</x:v>
      </x:c>
      <x:c r="AC165" s="64" t="n">
        <x:f>SUM(V165:AB165)</x:f>
        <x:v>-157.07899999999998</x:v>
      </x:c>
      <x:c r="AD165" s="65" t="n">
        <x:f>AC165/Q165</x:f>
        <x:v>-0.0640560440940669</x:v>
      </x:c>
      <x:c r="AE165" s="64" t="n">
        <x:f>-ROUND(Q165*'Drivers'!O165,3)</x:f>
        <x:v>-17.534</x:v>
      </x:c>
      <x:c r="AF165" s="65" t="n">
        <x:f>AE165/Q165</x:f>
        <x:v>-0.007150279013396884</x:v>
      </x:c>
      <x:c r="AG165" s="64" t="n">
        <x:f>-ROUND(Q165*'Drivers'!P165,3)</x:f>
        <x:v>-3.541</x:v>
      </x:c>
      <x:c r="AH165" s="64" t="n">
        <x:f>-ROUND(Q165*'Drivers'!Q165,3)</x:f>
        <x:v>-16.269</x:v>
      </x:c>
      <x:c r="AI165" s="64" t="n">
        <x:f>SUM(R165,T165,AC165,AE165,AG165,AH165)</x:f>
        <x:v>-745.842</x:v>
      </x:c>
      <x:c r="AJ165" s="65" t="n">
        <x:f>AI165/Q165</x:f>
        <x:v>-0.3041507014891045</x:v>
      </x:c>
      <x:c r="AK165" s="64" t="n">
        <x:f>Q165+AI165</x:f>
        <x:v>1706.37</x:v>
      </x:c>
      <x:c r="AL165" s="65" t="n">
        <x:f>AK165/Q165</x:f>
        <x:v>0.6958492985108954</x:v>
      </x:c>
      <x:c r="AM165" s="64" t="n">
        <x:f>AK165/L165</x:f>
        <x:v>426.5925</x:v>
      </x:c>
      <x:c r="AN165" s="66" t="str">
        <x:f>IF(AM165&lt;=200,"≤200K",IF(AM165&lt;=350,"200–350K",IF(AM165&lt;=500,"350–500K",IF(AM165&lt;=700,"500–700K","&gt;700K"))))</x:f>
        <x:v>350–500K</x:v>
      </x:c>
      <x:c r="AO165" s="64" t="n">
        <x:f>-ROUND(Q165*'Drivers'!R165,3)</x:f>
        <x:v>-837.363</x:v>
      </x:c>
      <x:c r="AP165" s="64" t="n">
        <x:f>-ROUND(AK165*'Drivers'!S165,3)</x:f>
        <x:v>-21.008</x:v>
      </x:c>
      <x:c r="AQ165" s="64" t="n">
        <x:f>-ROUND(AK165*'Drivers'!T165,3)</x:f>
        <x:v>-8.09</x:v>
      </x:c>
      <x:c r="AR165" s="64" t="n">
        <x:f>-ROUND(AK165*'Drivers'!U165,3)</x:f>
        <x:v>-22.157</x:v>
      </x:c>
      <x:c r="AS165" s="64" t="n">
        <x:f>-ROUND(AK165*'Drivers'!V165,3)</x:f>
        <x:v>-62.439</x:v>
      </x:c>
      <x:c r="AT165" s="64" t="n">
        <x:f>SUM(AO165:AS165)</x:f>
        <x:v>-951.0570000000001</x:v>
      </x:c>
      <x:c r="AU165" s="65" t="n">
        <x:f>AT165/AK165</x:f>
        <x:v>-0.5573568452328629</x:v>
      </x:c>
      <x:c r="AV165" s="64" t="n">
        <x:f>AK165+AT165</x:f>
        <x:v>755.3129999999998</x:v>
      </x:c>
      <x:c r="AW165" s="65" t="n">
        <x:f>AV165/AK165</x:f>
        <x:v>0.44264315476713717</x:v>
      </x:c>
      <x:c r="AX165" s="64" t="n">
        <x:f>-ROUND(AK165*'Drivers'!W165,3)</x:f>
        <x:v>-23.139</x:v>
      </x:c>
      <x:c r="AY165" s="64" t="n">
        <x:f>-ROUND(AK165*'Drivers'!X165,3)</x:f>
        <x:v>-31.725</x:v>
      </x:c>
      <x:c r="AZ165" s="64" t="n">
        <x:f>-ROUND(AK165*'Drivers'!Y165,3)</x:f>
        <x:v>-34.005</x:v>
      </x:c>
      <x:c r="BA165" s="64" t="n">
        <x:f>-ROUND(AK165*'Drivers'!Z165,3)</x:f>
        <x:v>-11.502</x:v>
      </x:c>
      <x:c r="BB165" s="64" t="n">
        <x:f>-ROUND(AK165*'Drivers'!AA165,3)</x:f>
        <x:v>-11.52</x:v>
      </x:c>
      <x:c r="BC165" s="64" t="n">
        <x:f>SUM(BA165,BB165)</x:f>
        <x:v>-23.022</x:v>
      </x:c>
      <x:c r="BD165" s="64" t="n">
        <x:f>-ROUND(AK165*'Drivers'!AB165,3)</x:f>
        <x:v>-8.298</x:v>
      </x:c>
      <x:c r="BE165" s="64" t="n">
        <x:f>SUM(AX165:BB165,BD165)</x:f>
        <x:v>-120.189</x:v>
      </x:c>
      <x:c r="BF165" s="67" t="n">
        <x:f>'Drivers'!AF165</x:f>
        <x:v>6</x:v>
      </x:c>
      <x:c r="BG165" s="64" t="n">
        <x:f>BJ165</x:f>
        <x:v>-41.823</x:v>
      </x:c>
      <x:c r="BH165" s="64" t="n">
        <x:f>BE165/BF165</x:f>
        <x:v>-20.031499999999998</x:v>
      </x:c>
      <x:c r="BI165" s="68" t="n">
        <x:f>BF165/L165</x:f>
        <x:v>1.5</x:v>
      </x:c>
      <x:c r="BJ165" s="64" t="n">
        <x:f>-ROUND(AK165*'Drivers'!AC165,3)</x:f>
        <x:v>-41.823</x:v>
      </x:c>
      <x:c r="BK165" s="64" t="n">
        <x:f>-ROUND(AK165*'Drivers'!AD165,3)</x:f>
        <x:v>-192.289</x:v>
      </x:c>
      <x:c r="BL165" s="64" t="n">
        <x:f>SUM(AV165,BE165,BJ165,BK165)</x:f>
        <x:v>401.01199999999983</x:v>
      </x:c>
      <x:c r="BM165" s="65" t="n">
        <x:f>BL165/AK165</x:f>
        <x:v>0.2350088198925203</x:v>
      </x:c>
      <x:c r="BN165" s="64" t="n">
        <x:f>-ROUND(AK165*'Drivers'!AE165,3)</x:f>
        <x:v>-124.365</x:v>
      </x:c>
      <x:c r="BO165" s="64" t="n">
        <x:f>BL165+BN165</x:f>
        <x:v>276.6469999999998</x:v>
      </x:c>
      <x:c r="BP165" s="65" t="n">
        <x:f>BO165/AK165</x:f>
        <x:v>0.16212603362693898</x:v>
      </x:c>
    </x:row>
    <x:row r="166">
      <x:c r="A166" s="61" t="n">
        <x:v>2025</x:v>
      </x:c>
      <x:c r="B166" s="18" t="str">
        <x:v>S1</x:v>
      </x:c>
      <x:c r="C166" s="18" t="str">
        <x:v>2025 S1</x:v>
      </x:c>
      <x:c r="D166" s="18" t="str">
        <x:v>CNCT0042</x:v>
      </x:c>
      <x:c r="E166" s="18" t="str">
        <x:v>成都群光广场</x:v>
      </x:c>
      <x:c r="F166" s="18" t="str">
        <x:v>成都</x:v>
      </x:c>
      <x:c r="G166" s="18" t="str">
        <x:v>四川省</x:v>
      </x:c>
      <x:c r="H166" s="18" t="str">
        <x:v>西区</x:v>
      </x:c>
      <x:c r="I166" s="18" t="str">
        <x:v>Shopping Mall</x:v>
      </x:c>
      <x:c r="J166" s="18" t="str">
        <x:v>Core Shopping Center</x:v>
      </x:c>
      <x:c r="K166" s="18" t="str">
        <x:v>正常</x:v>
      </x:c>
      <x:c r="L166" s="62" t="n">
        <x:v>5</x:v>
      </x:c>
      <x:c r="M166" s="62" t="n">
        <x:v>48</x:v>
      </x:c>
      <x:c r="N166" s="63" t="n">
        <x:f>'Drivers'!C166</x:f>
        <x:v>2282</x:v>
      </x:c>
      <x:c r="O166" s="63" t="n">
        <x:f>'Drivers'!D166</x:f>
        <x:v>1073.722</x:v>
      </x:c>
      <x:c r="P166" s="64" t="n">
        <x:f>ROUND(N166*O166/1000,3)</x:f>
        <x:v>2450.234</x:v>
      </x:c>
      <x:c r="Q166" s="64" t="n">
        <x:f>ROUND(P166*'Drivers'!E166,3)</x:f>
        <x:v>2380.575</x:v>
      </x:c>
      <x:c r="R166" s="64" t="n">
        <x:f>-ROUND(Q166*'Drivers'!F166,3)</x:f>
        <x:v>-494.464</x:v>
      </x:c>
      <x:c r="S166" s="65" t="n">
        <x:f>R166/Q166</x:f>
        <x:v>-0.20770780168656733</x:v>
      </x:c>
      <x:c r="T166" s="64" t="n">
        <x:f>-ROUND(Q166*'Drivers'!G166,3)</x:f>
        <x:v>-48.765</x:v>
      </x:c>
      <x:c r="U166" s="65" t="n">
        <x:f>T166/Q166</x:f>
        <x:v>-0.020484546800667906</x:v>
      </x:c>
      <x:c r="V166" s="64" t="n">
        <x:f>-ROUND(Q166*'Drivers'!H166,3)</x:f>
        <x:v>-24.196</x:v>
      </x:c>
      <x:c r="W166" s="64" t="n">
        <x:f>-ROUND(Q166*'Drivers'!I166,3)</x:f>
        <x:v>-15.23</x:v>
      </x:c>
      <x:c r="X166" s="64" t="n">
        <x:f>-ROUND(Q166*'Drivers'!J166,3)</x:f>
        <x:v>-36.314</x:v>
      </x:c>
      <x:c r="Y166" s="64" t="n">
        <x:f>-ROUND(Q166*'Drivers'!K166,3)</x:f>
        <x:v>-31.267</x:v>
      </x:c>
      <x:c r="Z166" s="64" t="n">
        <x:f>-ROUND(Q166*'Drivers'!L166,3)</x:f>
        <x:v>-23.802</x:v>
      </x:c>
      <x:c r="AA166" s="64" t="n">
        <x:f>-ROUND(Q166*'Drivers'!M166,3)</x:f>
        <x:v>-13.628</x:v>
      </x:c>
      <x:c r="AB166" s="64" t="n">
        <x:f>-ROUND(Q166*'Drivers'!N166,3)</x:f>
        <x:v>-12.851</x:v>
      </x:c>
      <x:c r="AC166" s="64" t="n">
        <x:f>SUM(V166:AB166)</x:f>
        <x:v>-157.288</x:v>
      </x:c>
      <x:c r="AD166" s="65" t="n">
        <x:f>AC166/Q166</x:f>
        <x:v>-0.06607143232202305</x:v>
      </x:c>
      <x:c r="AE166" s="64" t="n">
        <x:f>-ROUND(Q166*'Drivers'!O166,3)</x:f>
        <x:v>-23.873</x:v>
      </x:c>
      <x:c r="AF166" s="65" t="n">
        <x:f>AE166/Q166</x:f>
        <x:v>-0.010028249477542191</x:v>
      </x:c>
      <x:c r="AG166" s="64" t="n">
        <x:f>-ROUND(Q166*'Drivers'!P166,3)</x:f>
        <x:v>-6.299</x:v>
      </x:c>
      <x:c r="AH166" s="64" t="n">
        <x:f>-ROUND(Q166*'Drivers'!Q166,3)</x:f>
        <x:v>-13.936</x:v>
      </x:c>
      <x:c r="AI166" s="64" t="n">
        <x:f>SUM(R166,T166,AC166,AE166,AG166,AH166)</x:f>
        <x:v>-744.6250000000001</x:v>
      </x:c>
      <x:c r="AJ166" s="65" t="n">
        <x:f>AI166/Q166</x:f>
        <x:v>-0.31279207754429084</x:v>
      </x:c>
      <x:c r="AK166" s="64" t="n">
        <x:f>Q166+AI166</x:f>
        <x:v>1635.9499999999998</x:v>
      </x:c>
      <x:c r="AL166" s="65" t="n">
        <x:f>AK166/Q166</x:f>
        <x:v>0.6872079224557092</x:v>
      </x:c>
      <x:c r="AM166" s="64" t="n">
        <x:f>AK166/L166</x:f>
        <x:v>327.18999999999994</x:v>
      </x:c>
      <x:c r="AN166" s="66" t="str">
        <x:f>IF(AM166&lt;=200,"≤200K",IF(AM166&lt;=350,"200–350K",IF(AM166&lt;=500,"350–500K",IF(AM166&lt;=700,"500–700K","&gt;700K"))))</x:f>
        <x:v>200–350K</x:v>
      </x:c>
      <x:c r="AO166" s="64" t="n">
        <x:f>-ROUND(Q166*'Drivers'!R166,3)</x:f>
        <x:v>-874.993</x:v>
      </x:c>
      <x:c r="AP166" s="64" t="n">
        <x:f>-ROUND(AK166*'Drivers'!S166,3)</x:f>
        <x:v>-21.068</x:v>
      </x:c>
      <x:c r="AQ166" s="64" t="n">
        <x:f>-ROUND(AK166*'Drivers'!T166,3)</x:f>
        <x:v>-5.141</x:v>
      </x:c>
      <x:c r="AR166" s="64" t="n">
        <x:f>-ROUND(AK166*'Drivers'!U166,3)</x:f>
        <x:v>-15.289</x:v>
      </x:c>
      <x:c r="AS166" s="64" t="n">
        <x:f>-ROUND(AK166*'Drivers'!V166,3)</x:f>
        <x:v>-49.719</x:v>
      </x:c>
      <x:c r="AT166" s="64" t="n">
        <x:f>SUM(AO166:AS166)</x:f>
        <x:v>-966.21</x:v>
      </x:c>
      <x:c r="AU166" s="65" t="n">
        <x:f>AT166/AK166</x:f>
        <x:v>-0.5906109599926649</x:v>
      </x:c>
      <x:c r="AV166" s="64" t="n">
        <x:f>AK166+AT166</x:f>
        <x:v>669.7399999999998</x:v>
      </x:c>
      <x:c r="AW166" s="65" t="n">
        <x:f>AV166/AK166</x:f>
        <x:v>0.4093890400073351</x:v>
      </x:c>
      <x:c r="AX166" s="64" t="n">
        <x:f>-ROUND(AK166*'Drivers'!W166,3)</x:f>
        <x:v>-21.486</x:v>
      </x:c>
      <x:c r="AY166" s="64" t="n">
        <x:f>-ROUND(AK166*'Drivers'!X166,3)</x:f>
        <x:v>-40.511</x:v>
      </x:c>
      <x:c r="AZ166" s="64" t="n">
        <x:f>-ROUND(AK166*'Drivers'!Y166,3)</x:f>
        <x:v>-33.029</x:v>
      </x:c>
      <x:c r="BA166" s="64" t="n">
        <x:f>-ROUND(AK166*'Drivers'!Z166,3)</x:f>
        <x:v>-10.513</x:v>
      </x:c>
      <x:c r="BB166" s="64" t="n">
        <x:f>-ROUND(AK166*'Drivers'!AA166,3)</x:f>
        <x:v>-9.989</x:v>
      </x:c>
      <x:c r="BC166" s="64" t="n">
        <x:f>SUM(BA166,BB166)</x:f>
        <x:v>-20.502000000000002</x:v>
      </x:c>
      <x:c r="BD166" s="64" t="n">
        <x:f>-ROUND(AK166*'Drivers'!AB166,3)</x:f>
        <x:v>-7.638</x:v>
      </x:c>
      <x:c r="BE166" s="64" t="n">
        <x:f>SUM(AX166:BB166,BD166)</x:f>
        <x:v>-123.16600000000003</x:v>
      </x:c>
      <x:c r="BF166" s="67" t="n">
        <x:f>'Drivers'!AF166</x:f>
        <x:v>10</x:v>
      </x:c>
      <x:c r="BG166" s="64" t="n">
        <x:f>BJ166</x:f>
        <x:v>-33.145</x:v>
      </x:c>
      <x:c r="BH166" s="64" t="n">
        <x:f>BE166/BF166</x:f>
        <x:v>-12.316600000000003</x:v>
      </x:c>
      <x:c r="BI166" s="68" t="n">
        <x:f>BF166/L166</x:f>
        <x:v>2</x:v>
      </x:c>
      <x:c r="BJ166" s="64" t="n">
        <x:f>-ROUND(AK166*'Drivers'!AC166,3)</x:f>
        <x:v>-33.145</x:v>
      </x:c>
      <x:c r="BK166" s="64" t="n">
        <x:f>-ROUND(AK166*'Drivers'!AD166,3)</x:f>
        <x:v>-182.362</x:v>
      </x:c>
      <x:c r="BL166" s="64" t="n">
        <x:f>SUM(AV166,BE166,BJ166,BK166)</x:f>
        <x:v>331.0669999999998</x:v>
      </x:c>
      <x:c r="BM166" s="65" t="n">
        <x:f>BL166/AK166</x:f>
        <x:v>0.20236987682997634</x:v>
      </x:c>
      <x:c r="BN166" s="64" t="n">
        <x:f>-ROUND(AK166*'Drivers'!AE166,3)</x:f>
        <x:v>-127.021</x:v>
      </x:c>
      <x:c r="BO166" s="64" t="n">
        <x:f>BL166+BN166</x:f>
        <x:v>204.04599999999976</x:v>
      </x:c>
      <x:c r="BP166" s="65" t="n">
        <x:f>BO166/AK166</x:f>
        <x:v>0.12472630581619229</x:v>
      </x:c>
    </x:row>
    <x:row r="167">
      <x:c r="A167" s="61" t="n">
        <x:v>2025</x:v>
      </x:c>
      <x:c r="B167" s="18" t="str">
        <x:v>S2</x:v>
      </x:c>
      <x:c r="C167" s="18" t="str">
        <x:v>2025 S2</x:v>
      </x:c>
      <x:c r="D167" s="18" t="str">
        <x:v>CNCT0042</x:v>
      </x:c>
      <x:c r="E167" s="18" t="str">
        <x:v>成都群光广场</x:v>
      </x:c>
      <x:c r="F167" s="18" t="str">
        <x:v>成都</x:v>
      </x:c>
      <x:c r="G167" s="18" t="str">
        <x:v>四川省</x:v>
      </x:c>
      <x:c r="H167" s="18" t="str">
        <x:v>西区</x:v>
      </x:c>
      <x:c r="I167" s="18" t="str">
        <x:v>Shopping Mall</x:v>
      </x:c>
      <x:c r="J167" s="18" t="str">
        <x:v>Core Shopping Center</x:v>
      </x:c>
      <x:c r="K167" s="18" t="str">
        <x:v>正常</x:v>
      </x:c>
      <x:c r="L167" s="62" t="n">
        <x:v>5</x:v>
      </x:c>
      <x:c r="M167" s="62" t="n">
        <x:v>48</x:v>
      </x:c>
      <x:c r="N167" s="63" t="n">
        <x:f>'Drivers'!C167</x:f>
        <x:v>2421</x:v>
      </x:c>
      <x:c r="O167" s="63" t="n">
        <x:f>'Drivers'!D167</x:f>
        <x:v>1086.606</x:v>
      </x:c>
      <x:c r="P167" s="64" t="n">
        <x:f>ROUND(N167*O167/1000,3)</x:f>
        <x:v>2630.673</x:v>
      </x:c>
      <x:c r="Q167" s="64" t="n">
        <x:f>ROUND(P167*'Drivers'!E167,3)</x:f>
        <x:v>2584.482</x:v>
      </x:c>
      <x:c r="R167" s="64" t="n">
        <x:f>-ROUND(Q167*'Drivers'!F167,3)</x:f>
        <x:v>-536.817</x:v>
      </x:c>
      <x:c r="S167" s="65" t="n">
        <x:f>R167/Q167</x:f>
        <x:v>-0.20770777277613078</x:v>
      </x:c>
      <x:c r="T167" s="64" t="n">
        <x:f>-ROUND(Q167*'Drivers'!G167,3)</x:f>
        <x:v>-52.942</x:v>
      </x:c>
      <x:c r="U167" s="65" t="n">
        <x:f>T167/Q167</x:f>
        <x:v>-0.020484569054843485</x:v>
      </x:c>
      <x:c r="V167" s="64" t="n">
        <x:f>-ROUND(Q167*'Drivers'!H167,3)</x:f>
        <x:v>-26.269</x:v>
      </x:c>
      <x:c r="W167" s="64" t="n">
        <x:f>-ROUND(Q167*'Drivers'!I167,3)</x:f>
        <x:v>-16.535</x:v>
      </x:c>
      <x:c r="X167" s="64" t="n">
        <x:f>-ROUND(Q167*'Drivers'!J167,3)</x:f>
        <x:v>-39.424</x:v>
      </x:c>
      <x:c r="Y167" s="64" t="n">
        <x:f>-ROUND(Q167*'Drivers'!K167,3)</x:f>
        <x:v>-33.946</x:v>
      </x:c>
      <x:c r="Z167" s="64" t="n">
        <x:f>-ROUND(Q167*'Drivers'!L167,3)</x:f>
        <x:v>-25.841</x:v>
      </x:c>
      <x:c r="AA167" s="64" t="n">
        <x:f>-ROUND(Q167*'Drivers'!M167,3)</x:f>
        <x:v>-14.796</x:v>
      </x:c>
      <x:c r="AB167" s="64" t="n">
        <x:f>-ROUND(Q167*'Drivers'!N167,3)</x:f>
        <x:v>-13.952</x:v>
      </x:c>
      <x:c r="AC167" s="64" t="n">
        <x:f>SUM(V167:AB167)</x:f>
        <x:v>-170.763</x:v>
      </x:c>
      <x:c r="AD167" s="65" t="n">
        <x:f>AC167/Q167</x:f>
        <x:v>-0.06607242766635636</x:v>
      </x:c>
      <x:c r="AE167" s="64" t="n">
        <x:f>-ROUND(Q167*'Drivers'!O167,3)</x:f>
        <x:v>-25.917</x:v>
      </x:c>
      <x:c r="AF167" s="65" t="n">
        <x:f>AE167/Q167</x:f>
        <x:v>-0.010027928227010287</x:v>
      </x:c>
      <x:c r="AG167" s="64" t="n">
        <x:f>-ROUND(Q167*'Drivers'!P167,3)</x:f>
        <x:v>-6.838</x:v>
      </x:c>
      <x:c r="AH167" s="64" t="n">
        <x:f>-ROUND(Q167*'Drivers'!Q167,3)</x:f>
        <x:v>-15.13</x:v>
      </x:c>
      <x:c r="AI167" s="64" t="n">
        <x:f>SUM(R167,T167,AC167,AE167,AG167,AH167)</x:f>
        <x:v>-808.407</x:v>
      </x:c>
      <x:c r="AJ167" s="65" t="n">
        <x:f>AI167/Q167</x:f>
        <x:v>-0.3127926601926421</x:v>
      </x:c>
      <x:c r="AK167" s="64" t="n">
        <x:f>Q167+AI167</x:f>
        <x:v>1776.0749999999998</x:v>
      </x:c>
      <x:c r="AL167" s="65" t="n">
        <x:f>AK167/Q167</x:f>
        <x:v>0.6872073398073578</x:v>
      </x:c>
      <x:c r="AM167" s="64" t="n">
        <x:f>AK167/L167</x:f>
        <x:v>355.215</x:v>
      </x:c>
      <x:c r="AN167" s="66" t="str">
        <x:f>IF(AM167&lt;=200,"≤200K",IF(AM167&lt;=350,"200–350K",IF(AM167&lt;=500,"350–500K",IF(AM167&lt;=700,"500–700K","&gt;700K"))))</x:f>
        <x:v>350–500K</x:v>
      </x:c>
      <x:c r="AO167" s="64" t="n">
        <x:f>-ROUND(Q167*'Drivers'!R167,3)</x:f>
        <x:v>-938.255</x:v>
      </x:c>
      <x:c r="AP167" s="64" t="n">
        <x:f>-ROUND(AK167*'Drivers'!S167,3)</x:f>
        <x:v>-22.872</x:v>
      </x:c>
      <x:c r="AQ167" s="64" t="n">
        <x:f>-ROUND(AK167*'Drivers'!T167,3)</x:f>
        <x:v>-5.581</x:v>
      </x:c>
      <x:c r="AR167" s="64" t="n">
        <x:f>-ROUND(AK167*'Drivers'!U167,3)</x:f>
        <x:v>-16.599</x:v>
      </x:c>
      <x:c r="AS167" s="64" t="n">
        <x:f>-ROUND(AK167*'Drivers'!V167,3)</x:f>
        <x:v>-53.978</x:v>
      </x:c>
      <x:c r="AT167" s="64" t="n">
        <x:f>SUM(AO167:AS167)</x:f>
        <x:v>-1037.285</x:v>
      </x:c>
      <x:c r="AU167" s="65" t="n">
        <x:f>AT167/AK167</x:f>
        <x:v>-0.5840322058471631</x:v>
      </x:c>
      <x:c r="AV167" s="64" t="n">
        <x:f>AK167+AT167</x:f>
        <x:v>738.7899999999997</x:v>
      </x:c>
      <x:c r="AW167" s="65" t="n">
        <x:f>AV167/AK167</x:f>
        <x:v>0.4159677941528369</x:v>
      </x:c>
      <x:c r="AX167" s="64" t="n">
        <x:f>-ROUND(AK167*'Drivers'!W167,3)</x:f>
        <x:v>-23.326</x:v>
      </x:c>
      <x:c r="AY167" s="64" t="n">
        <x:f>-ROUND(AK167*'Drivers'!X167,3)</x:f>
        <x:v>-43.981</x:v>
      </x:c>
      <x:c r="AZ167" s="64" t="n">
        <x:f>-ROUND(AK167*'Drivers'!Y167,3)</x:f>
        <x:v>-35.858</x:v>
      </x:c>
      <x:c r="BA167" s="64" t="n">
        <x:f>-ROUND(AK167*'Drivers'!Z167,3)</x:f>
        <x:v>-11.414</x:v>
      </x:c>
      <x:c r="BB167" s="64" t="n">
        <x:f>-ROUND(AK167*'Drivers'!AA167,3)</x:f>
        <x:v>-10.844</x:v>
      </x:c>
      <x:c r="BC167" s="64" t="n">
        <x:f>SUM(BA167,BB167)</x:f>
        <x:v>-22.258</x:v>
      </x:c>
      <x:c r="BD167" s="64" t="n">
        <x:f>-ROUND(AK167*'Drivers'!AB167,3)</x:f>
        <x:v>-8.292</x:v>
      </x:c>
      <x:c r="BE167" s="64" t="n">
        <x:f>SUM(AX167:BB167,BD167)</x:f>
        <x:v>-133.71499999999997</x:v>
      </x:c>
      <x:c r="BF167" s="67" t="n">
        <x:f>'Drivers'!AF167</x:f>
        <x:v>10</x:v>
      </x:c>
      <x:c r="BG167" s="64" t="n">
        <x:f>BJ167</x:f>
        <x:v>-35.984</x:v>
      </x:c>
      <x:c r="BH167" s="64" t="n">
        <x:f>BE167/BF167</x:f>
        <x:v>-13.371499999999997</x:v>
      </x:c>
      <x:c r="BI167" s="68" t="n">
        <x:f>BF167/L167</x:f>
        <x:v>2</x:v>
      </x:c>
      <x:c r="BJ167" s="64" t="n">
        <x:f>-ROUND(AK167*'Drivers'!AC167,3)</x:f>
        <x:v>-35.984</x:v>
      </x:c>
      <x:c r="BK167" s="64" t="n">
        <x:f>-ROUND(AK167*'Drivers'!AD167,3)</x:f>
        <x:v>-197.982</x:v>
      </x:c>
      <x:c r="BL167" s="64" t="n">
        <x:f>SUM(AV167,BE167,BJ167,BK167)</x:f>
        <x:v>371.1089999999998</x:v>
      </x:c>
      <x:c r="BM167" s="65" t="n">
        <x:f>BL167/AK167</x:f>
        <x:v>0.20894894641273587</x:v>
      </x:c>
      <x:c r="BN167" s="64" t="n">
        <x:f>-ROUND(AK167*'Drivers'!AE167,3)</x:f>
        <x:v>-137.901</x:v>
      </x:c>
      <x:c r="BO167" s="64" t="n">
        <x:f>BL167+BN167</x:f>
        <x:v>233.2079999999998</x:v>
      </x:c>
      <x:c r="BP167" s="65" t="n">
        <x:f>BO167/AK167</x:f>
        <x:v>0.13130526582492283</x:v>
      </x:c>
    </x:row>
    <x:row r="168">
      <x:c r="A168" s="61" t="n">
        <x:v>2026</x:v>
      </x:c>
      <x:c r="B168" s="18" t="str">
        <x:v>S1</x:v>
      </x:c>
      <x:c r="C168" s="18" t="str">
        <x:v>2026 S1</x:v>
      </x:c>
      <x:c r="D168" s="18" t="str">
        <x:v>CNCT0042</x:v>
      </x:c>
      <x:c r="E168" s="18" t="str">
        <x:v>成都群光广场</x:v>
      </x:c>
      <x:c r="F168" s="18" t="str">
        <x:v>成都</x:v>
      </x:c>
      <x:c r="G168" s="18" t="str">
        <x:v>四川省</x:v>
      </x:c>
      <x:c r="H168" s="18" t="str">
        <x:v>西区</x:v>
      </x:c>
      <x:c r="I168" s="18" t="str">
        <x:v>Shopping Mall</x:v>
      </x:c>
      <x:c r="J168" s="18" t="str">
        <x:v>Core Shopping Center</x:v>
      </x:c>
      <x:c r="K168" s="18" t="str">
        <x:v>正常</x:v>
      </x:c>
      <x:c r="L168" s="62" t="n">
        <x:v>5</x:v>
      </x:c>
      <x:c r="M168" s="62" t="n">
        <x:v>51</x:v>
      </x:c>
      <x:c r="N168" s="63" t="n">
        <x:f>'Drivers'!C168</x:f>
        <x:v>2215</x:v>
      </x:c>
      <x:c r="O168" s="63" t="n">
        <x:f>'Drivers'!D168</x:f>
        <x:v>1127.354</x:v>
      </x:c>
      <x:c r="P168" s="64" t="n">
        <x:f>ROUND(N168*O168/1000,3)</x:f>
        <x:v>2497.089</x:v>
      </x:c>
      <x:c r="Q168" s="64" t="n">
        <x:f>ROUND(P168*'Drivers'!E168,3)</x:f>
        <x:v>2435.045</x:v>
      </x:c>
      <x:c r="R168" s="64" t="n">
        <x:f>-ROUND(Q168*'Drivers'!F168,3)</x:f>
        <x:v>-499.065</x:v>
      </x:c>
      <x:c r="S168" s="65" t="n">
        <x:f>R168/Q168</x:f>
        <x:v>-0.20495103786583</x:v>
      </x:c>
      <x:c r="T168" s="64" t="n">
        <x:f>-ROUND(Q168*'Drivers'!G168,3)</x:f>
        <x:v>-53.817</x:v>
      </x:c>
      <x:c r="U168" s="65" t="n">
        <x:f>T168/Q168</x:f>
        <x:v>-0.022101028933756872</x:v>
      </x:c>
      <x:c r="V168" s="64" t="n">
        <x:f>-ROUND(Q168*'Drivers'!H168,3)</x:f>
        <x:v>-24.75</x:v>
      </x:c>
      <x:c r="W168" s="64" t="n">
        <x:f>-ROUND(Q168*'Drivers'!I168,3)</x:f>
        <x:v>-15.579</x:v>
      </x:c>
      <x:c r="X168" s="64" t="n">
        <x:f>-ROUND(Q168*'Drivers'!J168,3)</x:f>
        <x:v>-37.145</x:v>
      </x:c>
      <x:c r="Y168" s="64" t="n">
        <x:f>-ROUND(Q168*'Drivers'!K168,3)</x:f>
        <x:v>-31.983</x:v>
      </x:c>
      <x:c r="Z168" s="64" t="n">
        <x:f>-ROUND(Q168*'Drivers'!L168,3)</x:f>
        <x:v>-24.347</x:v>
      </x:c>
      <x:c r="AA168" s="64" t="n">
        <x:f>-ROUND(Q168*'Drivers'!M168,3)</x:f>
        <x:v>-13.94</x:v>
      </x:c>
      <x:c r="AB168" s="64" t="n">
        <x:f>-ROUND(Q168*'Drivers'!N168,3)</x:f>
        <x:v>-13.145</x:v>
      </x:c>
      <x:c r="AC168" s="64" t="n">
        <x:f>SUM(V168:AB168)</x:f>
        <x:v>-160.889</x:v>
      </x:c>
      <x:c r="AD168" s="65" t="n">
        <x:f>AC168/Q168</x:f>
        <x:v>-0.06607229024514948</x:v>
      </x:c>
      <x:c r="AE168" s="64" t="n">
        <x:f>-ROUND(Q168*'Drivers'!O168,3)</x:f>
        <x:v>-27.11</x:v>
      </x:c>
      <x:c r="AF168" s="65" t="n">
        <x:f>AE168/Q168</x:f>
        <x:v>-0.011133264477658522</x:v>
      </x:c>
      <x:c r="AG168" s="64" t="n">
        <x:f>-ROUND(Q168*'Drivers'!P168,3)</x:f>
        <x:v>-6.443</x:v>
      </x:c>
      <x:c r="AH168" s="64" t="n">
        <x:f>-ROUND(Q168*'Drivers'!Q168,3)</x:f>
        <x:v>-14.255</x:v>
      </x:c>
      <x:c r="AI168" s="64" t="n">
        <x:f>SUM(R168,T168,AC168,AE168,AG168,AH168)</x:f>
        <x:v>-761.579</x:v>
      </x:c>
      <x:c r="AJ168" s="65" t="n">
        <x:f>AI168/Q168</x:f>
        <x:v>-0.3127576697761232</x:v>
      </x:c>
      <x:c r="AK168" s="64" t="n">
        <x:f>Q168+AI168</x:f>
        <x:v>1673.4660000000001</x:v>
      </x:c>
      <x:c r="AL168" s="65" t="n">
        <x:f>AK168/Q168</x:f>
        <x:v>0.6872423302238768</x:v>
      </x:c>
      <x:c r="AM168" s="64" t="n">
        <x:f>AK168/L168</x:f>
        <x:v>334.69320000000005</x:v>
      </x:c>
      <x:c r="AN168" s="66" t="str">
        <x:f>IF(AM168&lt;=200,"≤200K",IF(AM168&lt;=350,"200–350K",IF(AM168&lt;=500,"350–500K",IF(AM168&lt;=700,"500–700K","&gt;700K"))))</x:f>
        <x:v>200–350K</x:v>
      </x:c>
      <x:c r="AO168" s="64" t="n">
        <x:f>-ROUND(Q168*'Drivers'!R168,3)</x:f>
        <x:v>-885.905</x:v>
      </x:c>
      <x:c r="AP168" s="64" t="n">
        <x:f>-ROUND(AK168*'Drivers'!S168,3)</x:f>
        <x:v>-21.551</x:v>
      </x:c>
      <x:c r="AQ168" s="64" t="n">
        <x:f>-ROUND(AK168*'Drivers'!T168,3)</x:f>
        <x:v>-5.258</x:v>
      </x:c>
      <x:c r="AR168" s="64" t="n">
        <x:f>-ROUND(AK168*'Drivers'!U168,3)</x:f>
        <x:v>-15.64</x:v>
      </x:c>
      <x:c r="AS168" s="64" t="n">
        <x:f>-ROUND(AK168*'Drivers'!V168,3)</x:f>
        <x:v>-50.859</x:v>
      </x:c>
      <x:c r="AT168" s="64" t="n">
        <x:f>SUM(AO168:AS168)</x:f>
        <x:v>-979.2130000000001</x:v>
      </x:c>
      <x:c r="AU168" s="65" t="n">
        <x:f>AT168/AK168</x:f>
        <x:v>-0.5851406601627999</x:v>
      </x:c>
      <x:c r="AV168" s="64" t="n">
        <x:f>AK168+AT168</x:f>
        <x:v>694.253</x:v>
      </x:c>
      <x:c r="AW168" s="65" t="n">
        <x:f>AV168/AK168</x:f>
        <x:v>0.41485933983720014</x:v>
      </x:c>
      <x:c r="AX168" s="64" t="n">
        <x:f>-ROUND(AK168*'Drivers'!W168,3)</x:f>
        <x:v>-27.043</x:v>
      </x:c>
      <x:c r="AY168" s="64" t="n">
        <x:f>-ROUND(AK168*'Drivers'!X168,3)</x:f>
        <x:v>-50.99</x:v>
      </x:c>
      <x:c r="AZ168" s="64" t="n">
        <x:f>-ROUND(AK168*'Drivers'!Y168,3)</x:f>
        <x:v>-41.573</x:v>
      </x:c>
      <x:c r="BA168" s="64" t="n">
        <x:f>-ROUND(AK168*'Drivers'!Z168,3)</x:f>
        <x:v>-13.233</x:v>
      </x:c>
      <x:c r="BB168" s="64" t="n">
        <x:f>-ROUND(AK168*'Drivers'!AA168,3)</x:f>
        <x:v>-12.573</x:v>
      </x:c>
      <x:c r="BC168" s="64" t="n">
        <x:f>SUM(BA168,BB168)</x:f>
        <x:v>-25.806</x:v>
      </x:c>
      <x:c r="BD168" s="64" t="n">
        <x:f>-ROUND(AK168*'Drivers'!AB168,3)</x:f>
        <x:v>-9.614</x:v>
      </x:c>
      <x:c r="BE168" s="64" t="n">
        <x:f>SUM(AX168:BB168,BD168)</x:f>
        <x:v>-155.026</x:v>
      </x:c>
      <x:c r="BF168" s="67" t="n">
        <x:f>'Drivers'!AF168</x:f>
        <x:v>10</x:v>
      </x:c>
      <x:c r="BG168" s="64" t="n">
        <x:f>BJ168</x:f>
        <x:v>-41.718</x:v>
      </x:c>
      <x:c r="BH168" s="64" t="n">
        <x:f>BE168/BF168</x:f>
        <x:v>-15.502600000000001</x:v>
      </x:c>
      <x:c r="BI168" s="68" t="n">
        <x:f>BF168/L168</x:f>
        <x:v>2</x:v>
      </x:c>
      <x:c r="BJ168" s="64" t="n">
        <x:f>-ROUND(AK168*'Drivers'!AC168,3)</x:f>
        <x:v>-41.718</x:v>
      </x:c>
      <x:c r="BK168" s="64" t="n">
        <x:f>-ROUND(AK168*'Drivers'!AD168,3)</x:f>
        <x:v>-186.544</x:v>
      </x:c>
      <x:c r="BL168" s="64" t="n">
        <x:f>SUM(AV168,BE168,BJ168,BK168)</x:f>
        <x:v>310.96500000000003</x:v>
      </x:c>
      <x:c r="BM168" s="65" t="n">
        <x:f>BL168/AK168</x:f>
        <x:v>0.1858209249545554</x:v>
      </x:c>
      <x:c r="BN168" s="64" t="n">
        <x:f>-ROUND(AK168*'Drivers'!AE168,3)</x:f>
        <x:v>-129.934</x:v>
      </x:c>
      <x:c r="BO168" s="64" t="n">
        <x:f>BL168+BN168</x:f>
        <x:v>181.03100000000003</x:v>
      </x:c>
      <x:c r="BP168" s="65" t="n">
        <x:f>BO168/AK168</x:f>
        <x:v>0.10817727996863995</x:v>
      </x:c>
    </x:row>
    <x:row r="169">
      <x:c r="A169" s="61" t="n">
        <x:v>2026</x:v>
      </x:c>
      <x:c r="B169" s="18" t="str">
        <x:v>S2</x:v>
      </x:c>
      <x:c r="C169" s="18" t="str">
        <x:v>2026 S2</x:v>
      </x:c>
      <x:c r="D169" s="18" t="str">
        <x:v>CNCT0042</x:v>
      </x:c>
      <x:c r="E169" s="18" t="str">
        <x:v>成都群光广场</x:v>
      </x:c>
      <x:c r="F169" s="18" t="str">
        <x:v>成都</x:v>
      </x:c>
      <x:c r="G169" s="18" t="str">
        <x:v>四川省</x:v>
      </x:c>
      <x:c r="H169" s="18" t="str">
        <x:v>西区</x:v>
      </x:c>
      <x:c r="I169" s="18" t="str">
        <x:v>Shopping Mall</x:v>
      </x:c>
      <x:c r="J169" s="18" t="str">
        <x:v>Core Shopping Center</x:v>
      </x:c>
      <x:c r="K169" s="18" t="str">
        <x:v>正常</x:v>
      </x:c>
      <x:c r="L169" s="62" t="n">
        <x:v>5</x:v>
      </x:c>
      <x:c r="M169" s="62" t="n">
        <x:v>51</x:v>
      </x:c>
      <x:c r="N169" s="63" t="n">
        <x:f>'Drivers'!C169</x:f>
        <x:v>2437</x:v>
      </x:c>
      <x:c r="O169" s="63" t="n">
        <x:f>'Drivers'!D169</x:f>
        <x:v>1108.933</x:v>
      </x:c>
      <x:c r="P169" s="64" t="n">
        <x:f>ROUND(N169*O169/1000,3)</x:f>
        <x:v>2702.47</x:v>
      </x:c>
      <x:c r="Q169" s="64" t="n">
        <x:f>ROUND(P169*'Drivers'!E169,3)</x:f>
        <x:v>2655.018</x:v>
      </x:c>
      <x:c r="R169" s="64" t="n">
        <x:f>-ROUND(Q169*'Drivers'!F169,3)</x:f>
        <x:v>-536.857</x:v>
      </x:c>
      <x:c r="S169" s="65" t="n">
        <x:f>R169/Q169</x:f>
        <x:v>-0.20220465548632813</x:v>
      </x:c>
      <x:c r="T169" s="64" t="n">
        <x:f>-ROUND(Q169*'Drivers'!G169,3)</x:f>
        <x:v>-59.669</x:v>
      </x:c>
      <x:c r="U169" s="65" t="n">
        <x:f>T169/Q169</x:f>
        <x:v>-0.022474047256930082</x:v>
      </x:c>
      <x:c r="V169" s="64" t="n">
        <x:f>-ROUND(Q169*'Drivers'!H169,3)</x:f>
        <x:v>-26.986</x:v>
      </x:c>
      <x:c r="W169" s="64" t="n">
        <x:f>-ROUND(Q169*'Drivers'!I169,3)</x:f>
        <x:v>-16.986</x:v>
      </x:c>
      <x:c r="X169" s="64" t="n">
        <x:f>-ROUND(Q169*'Drivers'!J169,3)</x:f>
        <x:v>-40.5</x:v>
      </x:c>
      <x:c r="Y169" s="64" t="n">
        <x:f>-ROUND(Q169*'Drivers'!K169,3)</x:f>
        <x:v>-34.872</x:v>
      </x:c>
      <x:c r="Z169" s="64" t="n">
        <x:f>-ROUND(Q169*'Drivers'!L169,3)</x:f>
        <x:v>-26.546</x:v>
      </x:c>
      <x:c r="AA169" s="64" t="n">
        <x:f>-ROUND(Q169*'Drivers'!M169,3)</x:f>
        <x:v>-15.199</x:v>
      </x:c>
      <x:c r="AB169" s="64" t="n">
        <x:f>-ROUND(Q169*'Drivers'!N169,3)</x:f>
        <x:v>-14.332</x:v>
      </x:c>
      <x:c r="AC169" s="64" t="n">
        <x:f>SUM(V169:AB169)</x:f>
        <x:v>-175.42100000000002</x:v>
      </x:c>
      <x:c r="AD169" s="65" t="n">
        <x:f>AC169/Q169</x:f>
        <x:v>-0.06607149179402927</x:v>
      </x:c>
      <x:c r="AE169" s="64" t="n">
        <x:f>-ROUND(Q169*'Drivers'!O169,3)</x:f>
        <x:v>-26.625</x:v>
      </x:c>
      <x:c r="AF169" s="65" t="n">
        <x:f>AE169/Q169</x:f>
        <x:v>-0.010028180599905538</x:v>
      </x:c>
      <x:c r="AG169" s="64" t="n">
        <x:f>-ROUND(Q169*'Drivers'!P169,3)</x:f>
        <x:v>-7.025</x:v>
      </x:c>
      <x:c r="AH169" s="64" t="n">
        <x:f>-ROUND(Q169*'Drivers'!Q169,3)</x:f>
        <x:v>-15.542</x:v>
      </x:c>
      <x:c r="AI169" s="64" t="n">
        <x:f>SUM(R169,T169,AC169,AE169,AG169,AH169)</x:f>
        <x:v>-821.139</x:v>
      </x:c>
      <x:c r="AJ169" s="65" t="n">
        <x:f>AI169/Q169</x:f>
        <x:v>-0.3092781291878247</x:v>
      </x:c>
      <x:c r="AK169" s="64" t="n">
        <x:f>Q169+AI169</x:f>
        <x:v>1833.879</x:v>
      </x:c>
      <x:c r="AL169" s="65" t="n">
        <x:f>AK169/Q169</x:f>
        <x:v>0.6907218708121753</x:v>
      </x:c>
      <x:c r="AM169" s="64" t="n">
        <x:f>AK169/L169</x:f>
        <x:v>366.7758</x:v>
      </x:c>
      <x:c r="AN169" s="66" t="str">
        <x:f>IF(AM169&lt;=200,"≤200K",IF(AM169&lt;=350,"200–350K",IF(AM169&lt;=500,"350–500K",IF(AM169&lt;=700,"500–700K","&gt;700K"))))</x:f>
        <x:v>350–500K</x:v>
      </x:c>
      <x:c r="AO169" s="64" t="n">
        <x:f>-ROUND(Q169*'Drivers'!R169,3)</x:f>
        <x:v>-949.215</x:v>
      </x:c>
      <x:c r="AP169" s="64" t="n">
        <x:f>-ROUND(AK169*'Drivers'!S169,3)</x:f>
        <x:v>-23.617</x:v>
      </x:c>
      <x:c r="AQ169" s="64" t="n">
        <x:f>-ROUND(AK169*'Drivers'!T169,3)</x:f>
        <x:v>-5.762</x:v>
      </x:c>
      <x:c r="AR169" s="64" t="n">
        <x:f>-ROUND(AK169*'Drivers'!U169,3)</x:f>
        <x:v>-17.139</x:v>
      </x:c>
      <x:c r="AS169" s="64" t="n">
        <x:f>-ROUND(AK169*'Drivers'!V169,3)</x:f>
        <x:v>-55.735</x:v>
      </x:c>
      <x:c r="AT169" s="64" t="n">
        <x:f>SUM(AO169:AS169)</x:f>
        <x:v>-1051.4679999999998</x:v>
      </x:c>
      <x:c r="AU169" s="65" t="n">
        <x:f>AT169/AK169</x:f>
        <x:v>-0.5733573480038758</x:v>
      </x:c>
      <x:c r="AV169" s="64" t="n">
        <x:f>AK169+AT169</x:f>
        <x:v>782.4110000000001</x:v>
      </x:c>
      <x:c r="AW169" s="65" t="n">
        <x:f>AV169/AK169</x:f>
        <x:v>0.4266426519961241</x:v>
      </x:c>
      <x:c r="AX169" s="64" t="n">
        <x:f>-ROUND(AK169*'Drivers'!W169,3)</x:f>
        <x:v>-25.53</x:v>
      </x:c>
      <x:c r="AY169" s="64" t="n">
        <x:f>-ROUND(AK169*'Drivers'!X169,3)</x:f>
        <x:v>-48.137</x:v>
      </x:c>
      <x:c r="AZ169" s="64" t="n">
        <x:f>-ROUND(AK169*'Drivers'!Y169,3)</x:f>
        <x:v>-39.247</x:v>
      </x:c>
      <x:c r="BA169" s="64" t="n">
        <x:f>-ROUND(AK169*'Drivers'!Z169,3)</x:f>
        <x:v>-12.493</x:v>
      </x:c>
      <x:c r="BB169" s="64" t="n">
        <x:f>-ROUND(AK169*'Drivers'!AA169,3)</x:f>
        <x:v>-11.869</x:v>
      </x:c>
      <x:c r="BC169" s="64" t="n">
        <x:f>SUM(BA169,BB169)</x:f>
        <x:v>-24.362000000000002</x:v>
      </x:c>
      <x:c r="BD169" s="64" t="n">
        <x:f>-ROUND(AK169*'Drivers'!AB169,3)</x:f>
        <x:v>-9.076</x:v>
      </x:c>
      <x:c r="BE169" s="64" t="n">
        <x:f>SUM(AX169:BB169,BD169)</x:f>
        <x:v>-146.352</x:v>
      </x:c>
      <x:c r="BF169" s="67" t="n">
        <x:f>'Drivers'!AF169</x:f>
        <x:v>10</x:v>
      </x:c>
      <x:c r="BG169" s="64" t="n">
        <x:f>BJ169</x:f>
        <x:v>-39.384</x:v>
      </x:c>
      <x:c r="BH169" s="64" t="n">
        <x:f>BE169/BF169</x:f>
        <x:v>-14.635200000000001</x:v>
      </x:c>
      <x:c r="BI169" s="68" t="n">
        <x:f>BF169/L169</x:f>
        <x:v>2</x:v>
      </x:c>
      <x:c r="BJ169" s="64" t="n">
        <x:f>-ROUND(AK169*'Drivers'!AC169,3)</x:f>
        <x:v>-39.384</x:v>
      </x:c>
      <x:c r="BK169" s="64" t="n">
        <x:f>-ROUND(AK169*'Drivers'!AD169,3)</x:f>
        <x:v>-204.426</x:v>
      </x:c>
      <x:c r="BL169" s="64" t="n">
        <x:f>SUM(AV169,BE169,BJ169,BK169)</x:f>
        <x:v>392.2490000000001</x:v>
      </x:c>
      <x:c r="BM169" s="65" t="n">
        <x:f>BL169/AK169</x:f>
        <x:v>0.21389033845744462</x:v>
      </x:c>
      <x:c r="BN169" s="64" t="n">
        <x:f>-ROUND(AK169*'Drivers'!AE169,3)</x:f>
        <x:v>-142.389</x:v>
      </x:c>
      <x:c r="BO169" s="64" t="n">
        <x:f>BL169+BN169</x:f>
        <x:v>249.86000000000007</x:v>
      </x:c>
      <x:c r="BP169" s="65" t="n">
        <x:f>BO169/AK169</x:f>
        <x:v>0.13624672074875174</x:v>
      </x:c>
    </x:row>
    <x:row r="170">
      <x:c r="A170" s="61" t="n">
        <x:v>2025</x:v>
      </x:c>
      <x:c r="B170" s="18" t="str">
        <x:v>S1</x:v>
      </x:c>
      <x:c r="C170" s="18" t="str">
        <x:v>2025 S1</x:v>
      </x:c>
      <x:c r="D170" s="18" t="str">
        <x:v>CNCT0043</x:v>
      </x:c>
      <x:c r="E170" s="18" t="str">
        <x:v>成都SKP</x:v>
      </x:c>
      <x:c r="F170" s="18" t="str">
        <x:v>成都</x:v>
      </x:c>
      <x:c r="G170" s="18" t="str">
        <x:v>四川省</x:v>
      </x:c>
      <x:c r="H170" s="18" t="str">
        <x:v>西区</x:v>
      </x:c>
      <x:c r="I170" s="18" t="str">
        <x:v>Shopping Mall</x:v>
      </x:c>
      <x:c r="J170" s="18" t="str">
        <x:v>Prestige Shopping Center</x:v>
      </x:c>
      <x:c r="K170" s="18" t="str">
        <x:v>正常</x:v>
      </x:c>
      <x:c r="L170" s="62" t="n">
        <x:v>6</x:v>
      </x:c>
      <x:c r="M170" s="62" t="n">
        <x:v>48</x:v>
      </x:c>
      <x:c r="N170" s="63" t="n">
        <x:f>'Drivers'!C170</x:f>
        <x:v>2481</x:v>
      </x:c>
      <x:c r="O170" s="63" t="n">
        <x:f>'Drivers'!D170</x:f>
        <x:v>1140.916</x:v>
      </x:c>
      <x:c r="P170" s="64" t="n">
        <x:f>ROUND(N170*O170/1000,3)</x:f>
        <x:v>2830.613</x:v>
      </x:c>
      <x:c r="Q170" s="64" t="n">
        <x:f>ROUND(P170*'Drivers'!E170,3)</x:f>
        <x:v>2736.513</x:v>
      </x:c>
      <x:c r="R170" s="64" t="n">
        <x:f>-ROUND(Q170*'Drivers'!F170,3)</x:f>
        <x:v>-519.361</x:v>
      </x:c>
      <x:c r="S170" s="65" t="n">
        <x:f>R170/Q170</x:f>
        <x:v>-0.18978934139907247</x:v>
      </x:c>
      <x:c r="T170" s="64" t="n">
        <x:f>-ROUND(Q170*'Drivers'!G170,3)</x:f>
        <x:v>-36.414</x:v>
      </x:c>
      <x:c r="U170" s="65" t="n">
        <x:f>T170/Q170</x:f>
        <x:v>-0.013306715517156323</x:v>
      </x:c>
      <x:c r="V170" s="64" t="n">
        <x:f>-ROUND(Q170*'Drivers'!H170,3)</x:f>
        <x:v>-23.784</x:v>
      </x:c>
      <x:c r="W170" s="64" t="n">
        <x:f>-ROUND(Q170*'Drivers'!I170,3)</x:f>
        <x:v>-28.623</x:v>
      </x:c>
      <x:c r="X170" s="64" t="n">
        <x:f>-ROUND(Q170*'Drivers'!J170,3)</x:f>
        <x:v>-36.747</x:v>
      </x:c>
      <x:c r="Y170" s="64" t="n">
        <x:f>-ROUND(Q170*'Drivers'!K170,3)</x:f>
        <x:v>-36.078</x:v>
      </x:c>
      <x:c r="Z170" s="64" t="n">
        <x:f>-ROUND(Q170*'Drivers'!L170,3)</x:f>
        <x:v>-36.1</x:v>
      </x:c>
      <x:c r="AA170" s="64" t="n">
        <x:f>-ROUND(Q170*'Drivers'!M170,3)</x:f>
        <x:v>-17.485</x:v>
      </x:c>
      <x:c r="AB170" s="64" t="n">
        <x:f>-ROUND(Q170*'Drivers'!N170,3)</x:f>
        <x:v>-16.997</x:v>
      </x:c>
      <x:c r="AC170" s="64" t="n">
        <x:f>SUM(V170:AB170)</x:f>
        <x:v>-195.81400000000002</x:v>
      </x:c>
      <x:c r="AD170" s="65" t="n">
        <x:f>AC170/Q170</x:f>
        <x:v>-0.07155602768925272</x:v>
      </x:c>
      <x:c r="AE170" s="64" t="n">
        <x:f>-ROUND(Q170*'Drivers'!O170,3)</x:f>
        <x:v>-40.942</x:v>
      </x:c>
      <x:c r="AF170" s="65" t="n">
        <x:f>AE170/Q170</x:f>
        <x:v>-0.014961376028544356</x:v>
      </x:c>
      <x:c r="AG170" s="64" t="n">
        <x:f>-ROUND(Q170*'Drivers'!P170,3)</x:f>
        <x:v>-4.999</x:v>
      </x:c>
      <x:c r="AH170" s="64" t="n">
        <x:f>-ROUND(Q170*'Drivers'!Q170,3)</x:f>
        <x:v>-5.699</x:v>
      </x:c>
      <x:c r="AI170" s="64" t="n">
        <x:f>SUM(R170,T170,AC170,AE170,AG170,AH170)</x:f>
        <x:v>-803.2289999999999</x:v>
      </x:c>
      <x:c r="AJ170" s="65" t="n">
        <x:f>AI170/Q170</x:f>
        <x:v>-0.29352281534931496</x:v>
      </x:c>
      <x:c r="AK170" s="64" t="n">
        <x:f>Q170+AI170</x:f>
        <x:v>1933.284</x:v>
      </x:c>
      <x:c r="AL170" s="65" t="n">
        <x:f>AK170/Q170</x:f>
        <x:v>0.7064771846506851</x:v>
      </x:c>
      <x:c r="AM170" s="64" t="n">
        <x:f>AK170/L170</x:f>
        <x:v>322.214</x:v>
      </x:c>
      <x:c r="AN170" s="66" t="str">
        <x:f>IF(AM170&lt;=200,"≤200K",IF(AM170&lt;=350,"200–350K",IF(AM170&lt;=500,"350–500K",IF(AM170&lt;=700,"500–700K","&gt;700K"))))</x:f>
        <x:v>200–350K</x:v>
      </x:c>
      <x:c r="AO170" s="64" t="n">
        <x:f>-ROUND(Q170*'Drivers'!R170,3)</x:f>
        <x:v>-992.203</x:v>
      </x:c>
      <x:c r="AP170" s="64" t="n">
        <x:f>-ROUND(AK170*'Drivers'!S170,3)</x:f>
        <x:v>-21.429</x:v>
      </x:c>
      <x:c r="AQ170" s="64" t="n">
        <x:f>-ROUND(AK170*'Drivers'!T170,3)</x:f>
        <x:v>-11.04</x:v>
      </x:c>
      <x:c r="AR170" s="64" t="n">
        <x:f>-ROUND(AK170*'Drivers'!U170,3)</x:f>
        <x:v>-17.825</x:v>
      </x:c>
      <x:c r="AS170" s="64" t="n">
        <x:f>-ROUND(AK170*'Drivers'!V170,3)</x:f>
        <x:v>-74.765</x:v>
      </x:c>
      <x:c r="AT170" s="64" t="n">
        <x:f>SUM(AO170:AS170)</x:f>
        <x:v>-1117.2620000000002</x:v>
      </x:c>
      <x:c r="AU170" s="65" t="n">
        <x:f>AT170/AK170</x:f>
        <x:v>-0.5779088845715374</x:v>
      </x:c>
      <x:c r="AV170" s="64" t="n">
        <x:f>AK170+AT170</x:f>
        <x:v>816.0219999999999</x:v>
      </x:c>
      <x:c r="AW170" s="65" t="n">
        <x:f>AV170/AK170</x:f>
        <x:v>0.4220911154284626</x:v>
      </x:c>
      <x:c r="AX170" s="64" t="n">
        <x:f>-ROUND(AK170*'Drivers'!W170,3)</x:f>
        <x:v>-18.061</x:v>
      </x:c>
      <x:c r="AY170" s="64" t="n">
        <x:f>-ROUND(AK170*'Drivers'!X170,3)</x:f>
        <x:v>-37.478</x:v>
      </x:c>
      <x:c r="AZ170" s="64" t="n">
        <x:f>-ROUND(AK170*'Drivers'!Y170,3)</x:f>
        <x:v>-33.017</x:v>
      </x:c>
      <x:c r="BA170" s="64" t="n">
        <x:f>-ROUND(AK170*'Drivers'!Z170,3)</x:f>
        <x:v>-8.329</x:v>
      </x:c>
      <x:c r="BB170" s="64" t="n">
        <x:f>-ROUND(AK170*'Drivers'!AA170,3)</x:f>
        <x:v>-12.643</x:v>
      </x:c>
      <x:c r="BC170" s="64" t="n">
        <x:f>SUM(BA170,BB170)</x:f>
        <x:v>-20.972</x:v>
      </x:c>
      <x:c r="BD170" s="64" t="n">
        <x:f>-ROUND(AK170*'Drivers'!AB170,3)</x:f>
        <x:v>-6.506</x:v>
      </x:c>
      <x:c r="BE170" s="64" t="n">
        <x:f>SUM(AX170:BB170,BD170)</x:f>
        <x:v>-116.03400000000002</x:v>
      </x:c>
      <x:c r="BF170" s="67" t="n">
        <x:f>'Drivers'!AF170</x:f>
        <x:v>11</x:v>
      </x:c>
      <x:c r="BG170" s="64" t="n">
        <x:f>BJ170</x:f>
        <x:v>-43.584</x:v>
      </x:c>
      <x:c r="BH170" s="64" t="n">
        <x:f>BE170/BF170</x:f>
        <x:v>-10.548545454545456</x:v>
      </x:c>
      <x:c r="BI170" s="68" t="n">
        <x:f>BF170/L170</x:f>
        <x:v>1.8333333333333333</x:v>
      </x:c>
      <x:c r="BJ170" s="64" t="n">
        <x:f>-ROUND(AK170*'Drivers'!AC170,3)</x:f>
        <x:v>-43.584</x:v>
      </x:c>
      <x:c r="BK170" s="64" t="n">
        <x:f>-ROUND(AK170*'Drivers'!AD170,3)</x:f>
        <x:v>-157.226</x:v>
      </x:c>
      <x:c r="BL170" s="64" t="n">
        <x:f>SUM(AV170,BE170,BJ170,BK170)</x:f>
        <x:v>499.178</x:v>
      </x:c>
      <x:c r="BM170" s="65" t="n">
        <x:f>BL170/AK170</x:f>
        <x:v>0.25820210584683884</x:v>
      </x:c>
      <x:c r="BN170" s="64" t="n">
        <x:f>-ROUND(AK170*'Drivers'!AE170,3)</x:f>
        <x:v>-151.187</x:v>
      </x:c>
      <x:c r="BO170" s="64" t="n">
        <x:f>BL170+BN170</x:f>
        <x:v>347.991</x:v>
      </x:c>
      <x:c r="BP170" s="65" t="n">
        <x:f>BO170/AK170</x:f>
        <x:v>0.1799999379294506</x:v>
      </x:c>
    </x:row>
    <x:row r="171">
      <x:c r="A171" s="61" t="n">
        <x:v>2025</x:v>
      </x:c>
      <x:c r="B171" s="18" t="str">
        <x:v>S2</x:v>
      </x:c>
      <x:c r="C171" s="18" t="str">
        <x:v>2025 S2</x:v>
      </x:c>
      <x:c r="D171" s="18" t="str">
        <x:v>CNCT0043</x:v>
      </x:c>
      <x:c r="E171" s="18" t="str">
        <x:v>成都SKP</x:v>
      </x:c>
      <x:c r="F171" s="18" t="str">
        <x:v>成都</x:v>
      </x:c>
      <x:c r="G171" s="18" t="str">
        <x:v>四川省</x:v>
      </x:c>
      <x:c r="H171" s="18" t="str">
        <x:v>西区</x:v>
      </x:c>
      <x:c r="I171" s="18" t="str">
        <x:v>Shopping Mall</x:v>
      </x:c>
      <x:c r="J171" s="18" t="str">
        <x:v>Prestige Shopping Center</x:v>
      </x:c>
      <x:c r="K171" s="18" t="str">
        <x:v>正常</x:v>
      </x:c>
      <x:c r="L171" s="62" t="n">
        <x:v>6</x:v>
      </x:c>
      <x:c r="M171" s="62" t="n">
        <x:v>48</x:v>
      </x:c>
      <x:c r="N171" s="63" t="n">
        <x:f>'Drivers'!C171</x:f>
        <x:v>2698</x:v>
      </x:c>
      <x:c r="O171" s="63" t="n">
        <x:f>'Drivers'!D171</x:f>
        <x:v>1154.607</x:v>
      </x:c>
      <x:c r="P171" s="64" t="n">
        <x:f>ROUND(N171*O171/1000,3)</x:f>
        <x:v>3115.13</x:v>
      </x:c>
      <x:c r="Q171" s="64" t="n">
        <x:f>ROUND(P171*'Drivers'!E171,3)</x:f>
        <x:v>3066.114</x:v>
      </x:c>
      <x:c r="R171" s="64" t="n">
        <x:f>-ROUND(Q171*'Drivers'!F171,3)</x:f>
        <x:v>-581.916</x:v>
      </x:c>
      <x:c r="S171" s="65" t="n">
        <x:f>R171/Q171</x:f>
        <x:v>-0.1897894207456083</x:v>
      </x:c>
      <x:c r="T171" s="64" t="n">
        <x:f>-ROUND(Q171*'Drivers'!G171,3)</x:f>
        <x:v>-40.8</x:v>
      </x:c>
      <x:c r="U171" s="65" t="n">
        <x:f>T171/Q171</x:f>
        <x:v>-0.013306745933125773</x:v>
      </x:c>
      <x:c r="V171" s="64" t="n">
        <x:f>-ROUND(Q171*'Drivers'!H171,3)</x:f>
        <x:v>-26.649</x:v>
      </x:c>
      <x:c r="W171" s="64" t="n">
        <x:f>-ROUND(Q171*'Drivers'!I171,3)</x:f>
        <x:v>-32.07</x:v>
      </x:c>
      <x:c r="X171" s="64" t="n">
        <x:f>-ROUND(Q171*'Drivers'!J171,3)</x:f>
        <x:v>-41.173</x:v>
      </x:c>
      <x:c r="Y171" s="64" t="n">
        <x:f>-ROUND(Q171*'Drivers'!K171,3)</x:f>
        <x:v>-40.424</x:v>
      </x:c>
      <x:c r="Z171" s="64" t="n">
        <x:f>-ROUND(Q171*'Drivers'!L171,3)</x:f>
        <x:v>-40.448</x:v>
      </x:c>
      <x:c r="AA171" s="64" t="n">
        <x:f>-ROUND(Q171*'Drivers'!M171,3)</x:f>
        <x:v>-19.591</x:v>
      </x:c>
      <x:c r="AB171" s="64" t="n">
        <x:f>-ROUND(Q171*'Drivers'!N171,3)</x:f>
        <x:v>-19.044</x:v>
      </x:c>
      <x:c r="AC171" s="64" t="n">
        <x:f>SUM(V171:AB171)</x:f>
        <x:v>-219.39900000000003</x:v>
      </x:c>
      <x:c r="AD171" s="65" t="n">
        <x:f>AC171/Q171</x:f>
        <x:v>-0.0715560478181829</x:v>
      </x:c>
      <x:c r="AE171" s="64" t="n">
        <x:f>-ROUND(Q171*'Drivers'!O171,3)</x:f>
        <x:v>-45.874</x:v>
      </x:c>
      <x:c r="AF171" s="65" t="n">
        <x:f>AE171/Q171</x:f>
        <x:v>-0.014961609385691466</x:v>
      </x:c>
      <x:c r="AG171" s="64" t="n">
        <x:f>-ROUND(Q171*'Drivers'!P171,3)</x:f>
        <x:v>-5.601</x:v>
      </x:c>
      <x:c r="AH171" s="64" t="n">
        <x:f>-ROUND(Q171*'Drivers'!Q171,3)</x:f>
        <x:v>-6.385</x:v>
      </x:c>
      <x:c r="AI171" s="64" t="n">
        <x:f>SUM(R171,T171,AC171,AE171,AG171,AH171)</x:f>
        <x:v>-899.975</x:v>
      </x:c>
      <x:c r="AJ171" s="65" t="n">
        <x:f>AI171/Q171</x:f>
        <x:v>-0.29352300664619774</x:v>
      </x:c>
      <x:c r="AK171" s="64" t="n">
        <x:f>Q171+AI171</x:f>
        <x:v>2166.139</x:v>
      </x:c>
      <x:c r="AL171" s="65" t="n">
        <x:f>AK171/Q171</x:f>
        <x:v>0.7064769933538023</x:v>
      </x:c>
      <x:c r="AM171" s="64" t="n">
        <x:f>AK171/L171</x:f>
        <x:v>361.02316666666667</x:v>
      </x:c>
      <x:c r="AN171" s="66" t="str">
        <x:f>IF(AM171&lt;=200,"≤200K",IF(AM171&lt;=350,"200–350K",IF(AM171&lt;=500,"350–500K",IF(AM171&lt;=700,"500–700K","&gt;700K"))))</x:f>
        <x:v>350–500K</x:v>
      </x:c>
      <x:c r="AO171" s="64" t="n">
        <x:f>-ROUND(Q171*'Drivers'!R171,3)</x:f>
        <x:v>-1063.545</x:v>
      </x:c>
      <x:c r="AP171" s="64" t="n">
        <x:f>-ROUND(AK171*'Drivers'!S171,3)</x:f>
        <x:v>-24.01</x:v>
      </x:c>
      <x:c r="AQ171" s="64" t="n">
        <x:f>-ROUND(AK171*'Drivers'!T171,3)</x:f>
        <x:v>-12.37</x:v>
      </x:c>
      <x:c r="AR171" s="64" t="n">
        <x:f>-ROUND(AK171*'Drivers'!U171,3)</x:f>
        <x:v>-19.972</x:v>
      </x:c>
      <x:c r="AS171" s="64" t="n">
        <x:f>-ROUND(AK171*'Drivers'!V171,3)</x:f>
        <x:v>-83.77</x:v>
      </x:c>
      <x:c r="AT171" s="64" t="n">
        <x:f>SUM(AO171:AS171)</x:f>
        <x:v>-1203.667</x:v>
      </x:c>
      <x:c r="AU171" s="65" t="n">
        <x:f>AT171/AK171</x:f>
        <x:v>-0.5556739433618987</x:v>
      </x:c>
      <x:c r="AV171" s="64" t="n">
        <x:f>AK171+AT171</x:f>
        <x:v>962.4720000000002</x:v>
      </x:c>
      <x:c r="AW171" s="65" t="n">
        <x:f>AV171/AK171</x:f>
        <x:v>0.4443260566381013</x:v>
      </x:c>
      <x:c r="AX171" s="64" t="n">
        <x:f>-ROUND(AK171*'Drivers'!W171,3)</x:f>
        <x:v>-20.237</x:v>
      </x:c>
      <x:c r="AY171" s="64" t="n">
        <x:f>-ROUND(AK171*'Drivers'!X171,3)</x:f>
        <x:v>-41.992</x:v>
      </x:c>
      <x:c r="AZ171" s="64" t="n">
        <x:f>-ROUND(AK171*'Drivers'!Y171,3)</x:f>
        <x:v>-36.993</x:v>
      </x:c>
      <x:c r="BA171" s="64" t="n">
        <x:f>-ROUND(AK171*'Drivers'!Z171,3)</x:f>
        <x:v>-9.332</x:v>
      </x:c>
      <x:c r="BB171" s="64" t="n">
        <x:f>-ROUND(AK171*'Drivers'!AA171,3)</x:f>
        <x:v>-14.166</x:v>
      </x:c>
      <x:c r="BC171" s="64" t="n">
        <x:f>SUM(BA171,BB171)</x:f>
        <x:v>-23.498</x:v>
      </x:c>
      <x:c r="BD171" s="64" t="n">
        <x:f>-ROUND(AK171*'Drivers'!AB171,3)</x:f>
        <x:v>-7.29</x:v>
      </x:c>
      <x:c r="BE171" s="64" t="n">
        <x:f>SUM(AX171:BB171,BD171)</x:f>
        <x:v>-130.01</x:v>
      </x:c>
      <x:c r="BF171" s="67" t="n">
        <x:f>'Drivers'!AF171</x:f>
        <x:v>11</x:v>
      </x:c>
      <x:c r="BG171" s="64" t="n">
        <x:f>BJ171</x:f>
        <x:v>-48.833</x:v>
      </x:c>
      <x:c r="BH171" s="64" t="n">
        <x:f>BE171/BF171</x:f>
        <x:v>-11.819090909090908</x:v>
      </x:c>
      <x:c r="BI171" s="68" t="n">
        <x:f>BF171/L171</x:f>
        <x:v>1.8333333333333333</x:v>
      </x:c>
      <x:c r="BJ171" s="64" t="n">
        <x:f>-ROUND(AK171*'Drivers'!AC171,3)</x:f>
        <x:v>-48.833</x:v>
      </x:c>
      <x:c r="BK171" s="64" t="n">
        <x:f>-ROUND(AK171*'Drivers'!AD171,3)</x:f>
        <x:v>-176.163</x:v>
      </x:c>
      <x:c r="BL171" s="64" t="n">
        <x:f>SUM(AV171,BE171,BJ171,BK171)</x:f>
        <x:v>607.4660000000002</x:v>
      </x:c>
      <x:c r="BM171" s="65" t="n">
        <x:f>BL171/AK171</x:f>
        <x:v>0.2804372203261195</x:v>
      </x:c>
      <x:c r="BN171" s="64" t="n">
        <x:f>-ROUND(AK171*'Drivers'!AE171,3)</x:f>
        <x:v>-217.561</x:v>
      </x:c>
      <x:c r="BO171" s="64" t="n">
        <x:f>BL171+BN171</x:f>
        <x:v>389.9050000000002</x:v>
      </x:c>
      <x:c r="BP171" s="65" t="n">
        <x:f>BO171/AK171</x:f>
        <x:v>0.17999999076698225</x:v>
      </x:c>
    </x:row>
    <x:row r="172">
      <x:c r="A172" s="61" t="n">
        <x:v>2026</x:v>
      </x:c>
      <x:c r="B172" s="18" t="str">
        <x:v>S1</x:v>
      </x:c>
      <x:c r="C172" s="18" t="str">
        <x:v>2026 S1</x:v>
      </x:c>
      <x:c r="D172" s="18" t="str">
        <x:v>CNCT0043</x:v>
      </x:c>
      <x:c r="E172" s="18" t="str">
        <x:v>成都SKP</x:v>
      </x:c>
      <x:c r="F172" s="18" t="str">
        <x:v>成都</x:v>
      </x:c>
      <x:c r="G172" s="18" t="str">
        <x:v>四川省</x:v>
      </x:c>
      <x:c r="H172" s="18" t="str">
        <x:v>西区</x:v>
      </x:c>
      <x:c r="I172" s="18" t="str">
        <x:v>Shopping Mall</x:v>
      </x:c>
      <x:c r="J172" s="18" t="str">
        <x:v>Prestige Shopping Center</x:v>
      </x:c>
      <x:c r="K172" s="18" t="str">
        <x:v>正常</x:v>
      </x:c>
      <x:c r="L172" s="62" t="n">
        <x:v>7</x:v>
      </x:c>
      <x:c r="M172" s="62" t="n">
        <x:v>51</x:v>
      </x:c>
      <x:c r="N172" s="63" t="n">
        <x:f>'Drivers'!C172</x:f>
        <x:v>2733</x:v>
      </x:c>
      <x:c r="O172" s="63" t="n">
        <x:f>'Drivers'!D172</x:f>
        <x:v>1193.131</x:v>
      </x:c>
      <x:c r="P172" s="64" t="n">
        <x:f>ROUND(N172*O172/1000,3)</x:f>
        <x:v>3260.827</x:v>
      </x:c>
      <x:c r="Q172" s="64" t="n">
        <x:f>ROUND(P172*'Drivers'!E172,3)</x:f>
        <x:v>3150.843</x:v>
      </x:c>
      <x:c r="R172" s="64" t="n">
        <x:f>-ROUND(Q172*'Drivers'!F172,3)</x:f>
        <x:v>-607.669</x:v>
      </x:c>
      <x:c r="S172" s="65" t="n">
        <x:f>R172/Q172</x:f>
        <x:v>-0.19285918086048717</x:v>
      </x:c>
      <x:c r="T172" s="64" t="n">
        <x:f>-ROUND(Q172*'Drivers'!G172,3)</x:f>
        <x:v>-41.664</x:v>
      </x:c>
      <x:c r="U172" s="65" t="n">
        <x:f>T172/Q172</x:f>
        <x:v>-0.013223127905769981</x:v>
      </x:c>
      <x:c r="V172" s="64" t="n">
        <x:f>-ROUND(Q172*'Drivers'!H172,3)</x:f>
        <x:v>-27.385</x:v>
      </x:c>
      <x:c r="W172" s="64" t="n">
        <x:f>-ROUND(Q172*'Drivers'!I172,3)</x:f>
        <x:v>-32.956</x:v>
      </x:c>
      <x:c r="X172" s="64" t="n">
        <x:f>-ROUND(Q172*'Drivers'!J172,3)</x:f>
        <x:v>-42.311</x:v>
      </x:c>
      <x:c r="Y172" s="64" t="n">
        <x:f>-ROUND(Q172*'Drivers'!K172,3)</x:f>
        <x:v>-41.541</x:v>
      </x:c>
      <x:c r="Z172" s="64" t="n">
        <x:f>-ROUND(Q172*'Drivers'!L172,3)</x:f>
        <x:v>-41.566</x:v>
      </x:c>
      <x:c r="AA172" s="64" t="n">
        <x:f>-ROUND(Q172*'Drivers'!M172,3)</x:f>
        <x:v>-20.132</x:v>
      </x:c>
      <x:c r="AB172" s="64" t="n">
        <x:f>-ROUND(Q172*'Drivers'!N172,3)</x:f>
        <x:v>-19.57</x:v>
      </x:c>
      <x:c r="AC172" s="64" t="n">
        <x:f>SUM(V172:AB172)</x:f>
        <x:v>-225.461</x:v>
      </x:c>
      <x:c r="AD172" s="65" t="n">
        <x:f>AC172/Q172</x:f>
        <x:v>-0.07155577094764799</x:v>
      </x:c>
      <x:c r="AE172" s="64" t="n">
        <x:f>-ROUND(Q172*'Drivers'!O172,3)</x:f>
        <x:v>-43.854</x:v>
      </x:c>
      <x:c r="AF172" s="65" t="n">
        <x:f>AE172/Q172</x:f>
        <x:v>-0.013918179991830757</x:v>
      </x:c>
      <x:c r="AG172" s="64" t="n">
        <x:f>-ROUND(Q172*'Drivers'!P172,3)</x:f>
        <x:v>-5.756</x:v>
      </x:c>
      <x:c r="AH172" s="64" t="n">
        <x:f>-ROUND(Q172*'Drivers'!Q172,3)</x:f>
        <x:v>-6.562</x:v>
      </x:c>
      <x:c r="AI172" s="64" t="n">
        <x:f>SUM(R172,T172,AC172,AE172,AG172,AH172)</x:f>
        <x:v>-930.966</x:v>
      </x:c>
      <x:c r="AJ172" s="65" t="n">
        <x:f>AI172/Q172</x:f>
        <x:v>-0.29546568965829145</x:v>
      </x:c>
      <x:c r="AK172" s="64" t="n">
        <x:f>Q172+AI172</x:f>
        <x:v>2219.877</x:v>
      </x:c>
      <x:c r="AL172" s="65" t="n">
        <x:f>AK172/Q172</x:f>
        <x:v>0.7045343103417085</x:v>
      </x:c>
      <x:c r="AM172" s="64" t="n">
        <x:f>AK172/L172</x:f>
        <x:v>317.1252857142857</x:v>
      </x:c>
      <x:c r="AN172" s="66" t="str">
        <x:f>IF(AM172&lt;=200,"≤200K",IF(AM172&lt;=350,"200–350K",IF(AM172&lt;=500,"350–500K",IF(AM172&lt;=700,"500–700K","&gt;700K"))))</x:f>
        <x:v>200–350K</x:v>
      </x:c>
      <x:c r="AO172" s="64" t="n">
        <x:f>-ROUND(Q172*'Drivers'!R172,3)</x:f>
        <x:v>-1071.825</x:v>
      </x:c>
      <x:c r="AP172" s="64" t="n">
        <x:f>-ROUND(AK172*'Drivers'!S172,3)</x:f>
        <x:v>-24.606</x:v>
      </x:c>
      <x:c r="AQ172" s="64" t="n">
        <x:f>-ROUND(AK172*'Drivers'!T172,3)</x:f>
        <x:v>-12.677</x:v>
      </x:c>
      <x:c r="AR172" s="64" t="n">
        <x:f>-ROUND(AK172*'Drivers'!U172,3)</x:f>
        <x:v>-20.467</x:v>
      </x:c>
      <x:c r="AS172" s="64" t="n">
        <x:f>-ROUND(AK172*'Drivers'!V172,3)</x:f>
        <x:v>-85.848</x:v>
      </x:c>
      <x:c r="AT172" s="64" t="n">
        <x:f>SUM(AO172:AS172)</x:f>
        <x:v>-1215.423</x:v>
      </x:c>
      <x:c r="AU172" s="65" t="n">
        <x:f>AT172/AK172</x:f>
        <x:v>-0.5475181733041966</x:v>
      </x:c>
      <x:c r="AV172" s="64" t="n">
        <x:f>AK172+AT172</x:f>
        <x:v>1004.454</x:v>
      </x:c>
      <x:c r="AW172" s="65" t="n">
        <x:f>AV172/AK172</x:f>
        <x:v>0.4524818266958034</x:v>
      </x:c>
      <x:c r="AX172" s="64" t="n">
        <x:f>-ROUND(AK172*'Drivers'!W172,3)</x:f>
        <x:v>-18.25</x:v>
      </x:c>
      <x:c r="AY172" s="64" t="n">
        <x:f>-ROUND(AK172*'Drivers'!X172,3)</x:f>
        <x:v>-37.87</x:v>
      </x:c>
      <x:c r="AZ172" s="64" t="n">
        <x:f>-ROUND(AK172*'Drivers'!Y172,3)</x:f>
        <x:v>-33.362</x:v>
      </x:c>
      <x:c r="BA172" s="64" t="n">
        <x:f>-ROUND(AK172*'Drivers'!Z172,3)</x:f>
        <x:v>-8.416</x:v>
      </x:c>
      <x:c r="BB172" s="64" t="n">
        <x:f>-ROUND(AK172*'Drivers'!AA172,3)</x:f>
        <x:v>-12.775</x:v>
      </x:c>
      <x:c r="BC172" s="64" t="n">
        <x:f>SUM(BA172,BB172)</x:f>
        <x:v>-21.191000000000003</x:v>
      </x:c>
      <x:c r="BD172" s="64" t="n">
        <x:f>-ROUND(AK172*'Drivers'!AB172,3)</x:f>
        <x:v>-6.574</x:v>
      </x:c>
      <x:c r="BE172" s="64" t="n">
        <x:f>SUM(AX172:BB172,BD172)</x:f>
        <x:v>-117.247</x:v>
      </x:c>
      <x:c r="BF172" s="67" t="n">
        <x:f>'Drivers'!AF172</x:f>
        <x:v>11</x:v>
      </x:c>
      <x:c r="BG172" s="64" t="n">
        <x:f>BJ172</x:f>
        <x:v>-44.039</x:v>
      </x:c>
      <x:c r="BH172" s="64" t="n">
        <x:f>BE172/BF172</x:f>
        <x:v>-10.658818181818182</x:v>
      </x:c>
      <x:c r="BI172" s="68" t="n">
        <x:f>BF172/L172</x:f>
        <x:v>1.5714285714285714</x:v>
      </x:c>
      <x:c r="BJ172" s="64" t="n">
        <x:f>-ROUND(AK172*'Drivers'!AC172,3)</x:f>
        <x:v>-44.039</x:v>
      </x:c>
      <x:c r="BK172" s="64" t="n">
        <x:f>-ROUND(AK172*'Drivers'!AD172,3)</x:f>
        <x:v>-166.091</x:v>
      </x:c>
      <x:c r="BL172" s="64" t="n">
        <x:f>SUM(AV172,BE172,BJ172,BK172)</x:f>
        <x:v>677.077</x:v>
      </x:c>
      <x:c r="BM172" s="65" t="n">
        <x:f>BL172/AK172</x:f>
        <x:v>0.3050065386505649</x:v>
      </x:c>
      <x:c r="BN172" s="64" t="n">
        <x:f>-ROUND(AK172*'Drivers'!AE172,3)</x:f>
        <x:v>-277.499</x:v>
      </x:c>
      <x:c r="BO172" s="64" t="n">
        <x:f>BL172+BN172</x:f>
        <x:v>399.578</x:v>
      </x:c>
      <x:c r="BP172" s="65" t="n">
        <x:f>BO172/AK172</x:f>
        <x:v>0.18000006306655728</x:v>
      </x:c>
    </x:row>
    <x:row r="173">
      <x:c r="A173" s="61" t="n">
        <x:v>2026</x:v>
      </x:c>
      <x:c r="B173" s="18" t="str">
        <x:v>S2</x:v>
      </x:c>
      <x:c r="C173" s="18" t="str">
        <x:v>2026 S2</x:v>
      </x:c>
      <x:c r="D173" s="18" t="str">
        <x:v>CNCT0043</x:v>
      </x:c>
      <x:c r="E173" s="18" t="str">
        <x:v>成都SKP</x:v>
      </x:c>
      <x:c r="F173" s="18" t="str">
        <x:v>成都</x:v>
      </x:c>
      <x:c r="G173" s="18" t="str">
        <x:v>四川省</x:v>
      </x:c>
      <x:c r="H173" s="18" t="str">
        <x:v>西区</x:v>
      </x:c>
      <x:c r="I173" s="18" t="str">
        <x:v>Shopping Mall</x:v>
      </x:c>
      <x:c r="J173" s="18" t="str">
        <x:v>Prestige Shopping Center</x:v>
      </x:c>
      <x:c r="K173" s="18" t="str">
        <x:v>正常</x:v>
      </x:c>
      <x:c r="L173" s="62" t="n">
        <x:v>7</x:v>
      </x:c>
      <x:c r="M173" s="62" t="n">
        <x:v>51</x:v>
      </x:c>
      <x:c r="N173" s="63" t="n">
        <x:f>'Drivers'!C173</x:f>
        <x:v>3057</x:v>
      </x:c>
      <x:c r="O173" s="63" t="n">
        <x:f>'Drivers'!D173</x:f>
        <x:v>1180.804</x:v>
      </x:c>
      <x:c r="P173" s="64" t="n">
        <x:f>ROUND(N173*O173/1000,3)</x:f>
        <x:v>3609.718</x:v>
      </x:c>
      <x:c r="Q173" s="64" t="n">
        <x:f>ROUND(P173*'Drivers'!E173,3)</x:f>
        <x:v>3552.92</x:v>
      </x:c>
      <x:c r="R173" s="64" t="n">
        <x:f>-ROUND(Q173*'Drivers'!F173,3)</x:f>
        <x:v>-694.15</x:v>
      </x:c>
      <x:c r="S173" s="65" t="n">
        <x:f>R173/Q173</x:f>
        <x:v>-0.19537450885468852</x:v>
      </x:c>
      <x:c r="T173" s="64" t="n">
        <x:f>-ROUND(Q173*'Drivers'!G173,3)</x:f>
        <x:v>-47.143</x:v>
      </x:c>
      <x:c r="U173" s="65" t="n">
        <x:f>T173/Q173</x:f>
        <x:v>-0.013268804251151166</x:v>
      </x:c>
      <x:c r="V173" s="64" t="n">
        <x:f>-ROUND(Q173*'Drivers'!H173,3)</x:f>
        <x:v>-30.88</x:v>
      </x:c>
      <x:c r="W173" s="64" t="n">
        <x:f>-ROUND(Q173*'Drivers'!I173,3)</x:f>
        <x:v>-37.162</x:v>
      </x:c>
      <x:c r="X173" s="64" t="n">
        <x:f>-ROUND(Q173*'Drivers'!J173,3)</x:f>
        <x:v>-47.71</x:v>
      </x:c>
      <x:c r="Y173" s="64" t="n">
        <x:f>-ROUND(Q173*'Drivers'!K173,3)</x:f>
        <x:v>-46.842</x:v>
      </x:c>
      <x:c r="Z173" s="64" t="n">
        <x:f>-ROUND(Q173*'Drivers'!L173,3)</x:f>
        <x:v>-46.87</x:v>
      </x:c>
      <x:c r="AA173" s="64" t="n">
        <x:f>-ROUND(Q173*'Drivers'!M173,3)</x:f>
        <x:v>-22.701</x:v>
      </x:c>
      <x:c r="AB173" s="64" t="n">
        <x:f>-ROUND(Q173*'Drivers'!N173,3)</x:f>
        <x:v>-22.067</x:v>
      </x:c>
      <x:c r="AC173" s="64" t="n">
        <x:f>SUM(V173:AB173)</x:f>
        <x:v>-254.232</x:v>
      </x:c>
      <x:c r="AD173" s="65" t="n">
        <x:f>AC173/Q173</x:f>
        <x:v>-0.07155579072987853</x:v>
      </x:c>
      <x:c r="AE173" s="64" t="n">
        <x:f>-ROUND(Q173*'Drivers'!O173,3)</x:f>
        <x:v>-53.157</x:v>
      </x:c>
      <x:c r="AF173" s="65" t="n">
        <x:f>AE173/Q173</x:f>
        <x:v>-0.014961496459250418</x:v>
      </x:c>
      <x:c r="AG173" s="64" t="n">
        <x:f>-ROUND(Q173*'Drivers'!P173,3)</x:f>
        <x:v>-6.49</x:v>
      </x:c>
      <x:c r="AH173" s="64" t="n">
        <x:f>-ROUND(Q173*'Drivers'!Q173,3)</x:f>
        <x:v>-7.399</x:v>
      </x:c>
      <x:c r="AI173" s="64" t="n">
        <x:f>SUM(R173,T173,AC173,AE173,AG173,AH173)</x:f>
        <x:v>-1062.571</x:v>
      </x:c>
      <x:c r="AJ173" s="65" t="n">
        <x:f>AI173/Q173</x:f>
        <x:v>-0.29906977922384964</x:v>
      </x:c>
      <x:c r="AK173" s="64" t="n">
        <x:f>Q173+AI173</x:f>
        <x:v>2490.349</x:v>
      </x:c>
      <x:c r="AL173" s="65" t="n">
        <x:f>AK173/Q173</x:f>
        <x:v>0.7009302207761503</x:v>
      </x:c>
      <x:c r="AM173" s="64" t="n">
        <x:f>AK173/L173</x:f>
        <x:v>355.7641428571429</x:v>
      </x:c>
      <x:c r="AN173" s="66" t="str">
        <x:f>IF(AM173&lt;=200,"≤200K",IF(AM173&lt;=350,"200–350K",IF(AM173&lt;=500,"350–500K",IF(AM173&lt;=700,"500–700K","&gt;700K"))))</x:f>
        <x:v>350–500K</x:v>
      </x:c>
      <x:c r="AO173" s="64" t="n">
        <x:f>-ROUND(Q173*'Drivers'!R173,3)</x:f>
        <x:v>-1145.379</x:v>
      </x:c>
      <x:c r="AP173" s="64" t="n">
        <x:f>-ROUND(AK173*'Drivers'!S173,3)</x:f>
        <x:v>-27.604</x:v>
      </x:c>
      <x:c r="AQ173" s="64" t="n">
        <x:f>-ROUND(AK173*'Drivers'!T173,3)</x:f>
        <x:v>-14.221</x:v>
      </x:c>
      <x:c r="AR173" s="64" t="n">
        <x:f>-ROUND(AK173*'Drivers'!U173,3)</x:f>
        <x:v>-22.961</x:v>
      </x:c>
      <x:c r="AS173" s="64" t="n">
        <x:f>-ROUND(AK173*'Drivers'!V173,3)</x:f>
        <x:v>-96.308</x:v>
      </x:c>
      <x:c r="AT173" s="64" t="n">
        <x:f>SUM(AO173:AS173)</x:f>
        <x:v>-1306.473</x:v>
      </x:c>
      <x:c r="AU173" s="65" t="n">
        <x:f>AT173/AK173</x:f>
        <x:v>-0.524614421512808</x:v>
      </x:c>
      <x:c r="AV173" s="64" t="n">
        <x:f>AK173+AT173</x:f>
        <x:v>1183.8760000000002</x:v>
      </x:c>
      <x:c r="AW173" s="65" t="n">
        <x:f>AV173/AK173</x:f>
        <x:v>0.475385578487192</x:v>
      </x:c>
      <x:c r="AX173" s="64" t="n">
        <x:f>-ROUND(AK173*'Drivers'!W173,3)</x:f>
        <x:v>-21.209</x:v>
      </x:c>
      <x:c r="AY173" s="64" t="n">
        <x:f>-ROUND(AK173*'Drivers'!X173,3)</x:f>
        <x:v>-44.01</x:v>
      </x:c>
      <x:c r="AZ173" s="64" t="n">
        <x:f>-ROUND(AK173*'Drivers'!Y173,3)</x:f>
        <x:v>-38.77</x:v>
      </x:c>
      <x:c r="BA173" s="64" t="n">
        <x:f>-ROUND(AK173*'Drivers'!Z173,3)</x:f>
        <x:v>-9.781</x:v>
      </x:c>
      <x:c r="BB173" s="64" t="n">
        <x:f>-ROUND(AK173*'Drivers'!AA173,3)</x:f>
        <x:v>-14.846</x:v>
      </x:c>
      <x:c r="BC173" s="64" t="n">
        <x:f>SUM(BA173,BB173)</x:f>
        <x:v>-24.627000000000002</x:v>
      </x:c>
      <x:c r="BD173" s="64" t="n">
        <x:f>-ROUND(AK173*'Drivers'!AB173,3)</x:f>
        <x:v>-7.64</x:v>
      </x:c>
      <x:c r="BE173" s="64" t="n">
        <x:f>SUM(AX173:BB173,BD173)</x:f>
        <x:v>-136.256</x:v>
      </x:c>
      <x:c r="BF173" s="67" t="n">
        <x:f>'Drivers'!AF173</x:f>
        <x:v>11</x:v>
      </x:c>
      <x:c r="BG173" s="64" t="n">
        <x:f>BJ173</x:f>
        <x:v>-51.179</x:v>
      </x:c>
      <x:c r="BH173" s="64" t="n">
        <x:f>BE173/BF173</x:f>
        <x:v>-12.386909090909091</x:v>
      </x:c>
      <x:c r="BI173" s="68" t="n">
        <x:f>BF173/L173</x:f>
        <x:v>1.5714285714285714</x:v>
      </x:c>
      <x:c r="BJ173" s="64" t="n">
        <x:f>-ROUND(AK173*'Drivers'!AC173,3)</x:f>
        <x:v>-51.179</x:v>
      </x:c>
      <x:c r="BK173" s="64" t="n">
        <x:f>-ROUND(AK173*'Drivers'!AD173,3)</x:f>
        <x:v>-182.277</x:v>
      </x:c>
      <x:c r="BL173" s="64" t="n">
        <x:f>SUM(AV173,BE173,BJ173,BK173)</x:f>
        <x:v>814.1640000000002</x:v>
      </x:c>
      <x:c r="BM173" s="65" t="n">
        <x:f>BL173/AK173</x:f>
        <x:v>0.32692767158338054</x:v>
      </x:c>
      <x:c r="BN173" s="64" t="n">
        <x:f>-ROUND(AK173*'Drivers'!AE173,3)</x:f>
        <x:v>-365.902</x:v>
      </x:c>
      <x:c r="BO173" s="64" t="n">
        <x:f>BL173+BN173</x:f>
        <x:v>448.2620000000002</x:v>
      </x:c>
      <x:c r="BP173" s="65" t="n">
        <x:f>BO173/AK173</x:f>
        <x:v>0.17999967072888184</x:v>
      </x:c>
    </x:row>
    <x:row r="174">
      <x:c r="A174" s="61" t="n">
        <x:v>2025</x:v>
      </x:c>
      <x:c r="B174" s="18" t="str">
        <x:v>S1</x:v>
      </x:c>
      <x:c r="C174" s="18" t="str">
        <x:v>2025 S1</x:v>
      </x:c>
      <x:c r="D174" s="18" t="str">
        <x:v>CNCT0044</x:v>
      </x:c>
      <x:c r="E174" s="18" t="str">
        <x:v>成都仁恒置地广场</x:v>
      </x:c>
      <x:c r="F174" s="18" t="str">
        <x:v>成都</x:v>
      </x:c>
      <x:c r="G174" s="18" t="str">
        <x:v>四川省</x:v>
      </x:c>
      <x:c r="H174" s="18" t="str">
        <x:v>西区</x:v>
      </x:c>
      <x:c r="I174" s="18" t="str">
        <x:v>Shopping Mall</x:v>
      </x:c>
      <x:c r="J174" s="18" t="str">
        <x:v>Regional Mall</x:v>
      </x:c>
      <x:c r="K174" s="18" t="str">
        <x:v>正常</x:v>
      </x:c>
      <x:c r="L174" s="62" t="n">
        <x:v>6</x:v>
      </x:c>
      <x:c r="M174" s="62" t="n">
        <x:v>48</x:v>
      </x:c>
      <x:c r="N174" s="63" t="n">
        <x:f>'Drivers'!C174</x:f>
        <x:v>1864</x:v>
      </x:c>
      <x:c r="O174" s="63" t="n">
        <x:f>'Drivers'!D174</x:f>
        <x:v>913.262</x:v>
      </x:c>
      <x:c r="P174" s="64" t="n">
        <x:f>ROUND(N174*O174/1000,3)</x:f>
        <x:v>1702.32</x:v>
      </x:c>
      <x:c r="Q174" s="64" t="n">
        <x:f>ROUND(P174*'Drivers'!E174,3)</x:f>
        <x:v>1672.589</x:v>
      </x:c>
      <x:c r="R174" s="64" t="n">
        <x:f>-ROUND(Q174*'Drivers'!F174,3)</x:f>
        <x:v>-279.981</x:v>
      </x:c>
      <x:c r="S174" s="65" t="n">
        <x:f>R174/Q174</x:f>
        <x:v>-0.16739378293173038</x:v>
      </x:c>
      <x:c r="T174" s="64" t="n">
        <x:f>-ROUND(Q174*'Drivers'!G174,3)</x:f>
        <x:v>-15.928</x:v>
      </x:c>
      <x:c r="U174" s="65" t="n">
        <x:f>T174/Q174</x:f>
        <x:v>-0.009522961109991757</x:v>
      </x:c>
      <x:c r="V174" s="64" t="n">
        <x:f>-ROUND(Q174*'Drivers'!H174,3)</x:f>
        <x:v>-11.991</x:v>
      </x:c>
      <x:c r="W174" s="64" t="n">
        <x:f>-ROUND(Q174*'Drivers'!I174,3)</x:f>
        <x:v>-16.398</x:v>
      </x:c>
      <x:c r="X174" s="64" t="n">
        <x:f>-ROUND(Q174*'Drivers'!J174,3)</x:f>
        <x:v>-19.925</x:v>
      </x:c>
      <x:c r="Y174" s="64" t="n">
        <x:f>-ROUND(Q174*'Drivers'!K174,3)</x:f>
        <x:v>-15.759</x:v>
      </x:c>
      <x:c r="Z174" s="64" t="n">
        <x:f>-ROUND(Q174*'Drivers'!L174,3)</x:f>
        <x:v>-17.626</x:v>
      </x:c>
      <x:c r="AA174" s="64" t="n">
        <x:f>-ROUND(Q174*'Drivers'!M174,3)</x:f>
        <x:v>-14.412</x:v>
      </x:c>
      <x:c r="AB174" s="64" t="n">
        <x:f>-ROUND(Q174*'Drivers'!N174,3)</x:f>
        <x:v>-12.654</x:v>
      </x:c>
      <x:c r="AC174" s="64" t="n">
        <x:f>SUM(V174:AB174)</x:f>
        <x:v>-108.76500000000001</x:v>
      </x:c>
      <x:c r="AD174" s="65" t="n">
        <x:f>AC174/Q174</x:f>
        <x:v>-0.06502792975441068</x:v>
      </x:c>
      <x:c r="AE174" s="64" t="n">
        <x:f>-ROUND(Q174*'Drivers'!O174,3)</x:f>
        <x:v>-24.711</x:v>
      </x:c>
      <x:c r="AF174" s="65" t="n">
        <x:f>AE174/Q174</x:f>
        <x:v>-0.014774101706994365</x:v>
      </x:c>
      <x:c r="AG174" s="64" t="n">
        <x:f>-ROUND(Q174*'Drivers'!P174,3)</x:f>
        <x:v>-1.702</x:v>
      </x:c>
      <x:c r="AH174" s="64" t="n">
        <x:f>-ROUND(Q174*'Drivers'!Q174,3)</x:f>
        <x:v>-4.613</x:v>
      </x:c>
      <x:c r="AI174" s="64" t="n">
        <x:f>SUM(R174,T174,AC174,AE174,AG174,AH174)</x:f>
        <x:v>-435.7</x:v>
      </x:c>
      <x:c r="AJ174" s="65" t="n">
        <x:f>AI174/Q174</x:f>
        <x:v>-0.2604943593435088</x:v>
      </x:c>
      <x:c r="AK174" s="64" t="n">
        <x:f>Q174+AI174</x:f>
        <x:v>1236.889</x:v>
      </x:c>
      <x:c r="AL174" s="65" t="n">
        <x:f>AK174/Q174</x:f>
        <x:v>0.7395056406564912</x:v>
      </x:c>
      <x:c r="AM174" s="64" t="n">
        <x:f>AK174/L174</x:f>
        <x:v>206.14816666666664</x:v>
      </x:c>
      <x:c r="AN174" s="66" t="str">
        <x:f>IF(AM174&lt;=200,"≤200K",IF(AM174&lt;=350,"200–350K",IF(AM174&lt;=500,"350–500K",IF(AM174&lt;=700,"500–700K","&gt;700K"))))</x:f>
        <x:v>200–350K</x:v>
      </x:c>
      <x:c r="AO174" s="64" t="n">
        <x:f>-ROUND(Q174*'Drivers'!R174,3)</x:f>
        <x:v>-635.193</x:v>
      </x:c>
      <x:c r="AP174" s="64" t="n">
        <x:f>-ROUND(AK174*'Drivers'!S174,3)</x:f>
        <x:v>-13.621</x:v>
      </x:c>
      <x:c r="AQ174" s="64" t="n">
        <x:f>-ROUND(AK174*'Drivers'!T174,3)</x:f>
        <x:v>-6.72</x:v>
      </x:c>
      <x:c r="AR174" s="64" t="n">
        <x:f>-ROUND(AK174*'Drivers'!U174,3)</x:f>
        <x:v>-9.336</x:v>
      </x:c>
      <x:c r="AS174" s="64" t="n">
        <x:f>-ROUND(AK174*'Drivers'!V174,3)</x:f>
        <x:v>-38.664</x:v>
      </x:c>
      <x:c r="AT174" s="64" t="n">
        <x:f>SUM(AO174:AS174)</x:f>
        <x:v>-703.534</x:v>
      </x:c>
      <x:c r="AU174" s="65" t="n">
        <x:f>AT174/AK174</x:f>
        <x:v>-0.5687931576721922</x:v>
      </x:c>
      <x:c r="AV174" s="64" t="n">
        <x:f>AK174+AT174</x:f>
        <x:v>533.3549999999999</x:v>
      </x:c>
      <x:c r="AW174" s="65" t="n">
        <x:f>AV174/AK174</x:f>
        <x:v>0.43120684232780787</x:v>
      </x:c>
      <x:c r="AX174" s="64" t="n">
        <x:f>-ROUND(AK174*'Drivers'!W174,3)</x:f>
        <x:v>-16.906</x:v>
      </x:c>
      <x:c r="AY174" s="64" t="n">
        <x:f>-ROUND(AK174*'Drivers'!X174,3)</x:f>
        <x:v>-30.683</x:v>
      </x:c>
      <x:c r="AZ174" s="64" t="n">
        <x:f>-ROUND(AK174*'Drivers'!Y174,3)</x:f>
        <x:v>-23.322</x:v>
      </x:c>
      <x:c r="BA174" s="64" t="n">
        <x:f>-ROUND(AK174*'Drivers'!Z174,3)</x:f>
        <x:v>-7.725</x:v>
      </x:c>
      <x:c r="BB174" s="64" t="n">
        <x:f>-ROUND(AK174*'Drivers'!AA174,3)</x:f>
        <x:v>-10.542</x:v>
      </x:c>
      <x:c r="BC174" s="64" t="n">
        <x:f>SUM(BA174,BB174)</x:f>
        <x:v>-18.267</x:v>
      </x:c>
      <x:c r="BD174" s="64" t="n">
        <x:f>-ROUND(AK174*'Drivers'!AB174,3)</x:f>
        <x:v>-4.183</x:v>
      </x:c>
      <x:c r="BE174" s="64" t="n">
        <x:f>SUM(AX174:BB174,BD174)</x:f>
        <x:v>-93.36099999999999</x:v>
      </x:c>
      <x:c r="BF174" s="67" t="n">
        <x:f>'Drivers'!AF174</x:f>
        <x:v>8</x:v>
      </x:c>
      <x:c r="BG174" s="64" t="n">
        <x:f>BJ174</x:f>
        <x:v>-27.288</x:v>
      </x:c>
      <x:c r="BH174" s="64" t="n">
        <x:f>BE174/BF174</x:f>
        <x:v>-11.670124999999999</x:v>
      </x:c>
      <x:c r="BI174" s="68" t="n">
        <x:f>BF174/L174</x:f>
        <x:v>1.3333333333333333</x:v>
      </x:c>
      <x:c r="BJ174" s="64" t="n">
        <x:f>-ROUND(AK174*'Drivers'!AC174,3)</x:f>
        <x:v>-27.288</x:v>
      </x:c>
      <x:c r="BK174" s="64" t="n">
        <x:f>-ROUND(AK174*'Drivers'!AD174,3)</x:f>
        <x:v>-111.187</x:v>
      </x:c>
      <x:c r="BL174" s="64" t="n">
        <x:f>SUM(AV174,BE174,BJ174,BK174)</x:f>
        <x:v>301.5189999999999</x:v>
      </x:c>
      <x:c r="BM174" s="65" t="n">
        <x:f>BL174/AK174</x:f>
        <x:v>0.24377207655658667</x:v>
      </x:c>
      <x:c r="BN174" s="64" t="n">
        <x:f>-ROUND(AK174*'Drivers'!AE174,3)</x:f>
        <x:v>-81.98</x:v>
      </x:c>
      <x:c r="BO174" s="64" t="n">
        <x:f>BL174+BN174</x:f>
        <x:v>219.53899999999987</x:v>
      </x:c>
      <x:c r="BP174" s="65" t="n">
        <x:f>BO174/AK174</x:f>
        <x:v>0.17749288739733307</x:v>
      </x:c>
    </x:row>
    <x:row r="175">
      <x:c r="A175" s="61" t="n">
        <x:v>2025</x:v>
      </x:c>
      <x:c r="B175" s="18" t="str">
        <x:v>S2</x:v>
      </x:c>
      <x:c r="C175" s="18" t="str">
        <x:v>2025 S2</x:v>
      </x:c>
      <x:c r="D175" s="18" t="str">
        <x:v>CNCT0044</x:v>
      </x:c>
      <x:c r="E175" s="18" t="str">
        <x:v>成都仁恒置地广场</x:v>
      </x:c>
      <x:c r="F175" s="18" t="str">
        <x:v>成都</x:v>
      </x:c>
      <x:c r="G175" s="18" t="str">
        <x:v>四川省</x:v>
      </x:c>
      <x:c r="H175" s="18" t="str">
        <x:v>西区</x:v>
      </x:c>
      <x:c r="I175" s="18" t="str">
        <x:v>Shopping Mall</x:v>
      </x:c>
      <x:c r="J175" s="18" t="str">
        <x:v>Regional Mall</x:v>
      </x:c>
      <x:c r="K175" s="18" t="str">
        <x:v>正常</x:v>
      </x:c>
      <x:c r="L175" s="62" t="n">
        <x:v>6</x:v>
      </x:c>
      <x:c r="M175" s="62" t="n">
        <x:v>48</x:v>
      </x:c>
      <x:c r="N175" s="63" t="n">
        <x:f>'Drivers'!C175</x:f>
        <x:v>2014</x:v>
      </x:c>
      <x:c r="O175" s="63" t="n">
        <x:f>'Drivers'!D175</x:f>
        <x:v>924.221</x:v>
      </x:c>
      <x:c r="P175" s="64" t="n">
        <x:f>ROUND(N175*O175/1000,3)</x:f>
        <x:v>1861.381</x:v>
      </x:c>
      <x:c r="Q175" s="64" t="n">
        <x:f>ROUND(P175*'Drivers'!E175,3)</x:f>
        <x:v>1824.747</x:v>
      </x:c>
      <x:c r="R175" s="64" t="n">
        <x:f>-ROUND(Q175*'Drivers'!F175,3)</x:f>
        <x:v>-305.451</x:v>
      </x:c>
      <x:c r="S175" s="65" t="n">
        <x:f>R175/Q175</x:f>
        <x:v>-0.16739361675892603</x:v>
      </x:c>
      <x:c r="T175" s="64" t="n">
        <x:f>-ROUND(Q175*'Drivers'!G175,3)</x:f>
        <x:v>-17.377</x:v>
      </x:c>
      <x:c r="U175" s="65" t="n">
        <x:f>T175/Q175</x:f>
        <x:v>-0.009522964005421025</x:v>
      </x:c>
      <x:c r="V175" s="64" t="n">
        <x:f>-ROUND(Q175*'Drivers'!H175,3)</x:f>
        <x:v>-13.082</x:v>
      </x:c>
      <x:c r="W175" s="64" t="n">
        <x:f>-ROUND(Q175*'Drivers'!I175,3)</x:f>
        <x:v>-17.889</x:v>
      </x:c>
      <x:c r="X175" s="64" t="n">
        <x:f>-ROUND(Q175*'Drivers'!J175,3)</x:f>
        <x:v>-21.738</x:v>
      </x:c>
      <x:c r="Y175" s="64" t="n">
        <x:f>-ROUND(Q175*'Drivers'!K175,3)</x:f>
        <x:v>-17.193</x:v>
      </x:c>
      <x:c r="Z175" s="64" t="n">
        <x:f>-ROUND(Q175*'Drivers'!L175,3)</x:f>
        <x:v>-19.23</x:v>
      </x:c>
      <x:c r="AA175" s="64" t="n">
        <x:f>-ROUND(Q175*'Drivers'!M175,3)</x:f>
        <x:v>-15.723</x:v>
      </x:c>
      <x:c r="AB175" s="64" t="n">
        <x:f>-ROUND(Q175*'Drivers'!N175,3)</x:f>
        <x:v>-13.806</x:v>
      </x:c>
      <x:c r="AC175" s="64" t="n">
        <x:f>SUM(V175:AB175)</x:f>
        <x:v>-118.661</x:v>
      </x:c>
      <x:c r="AD175" s="65" t="n">
        <x:f>AC175/Q175</x:f>
        <x:v>-0.06502874097066606</x:v>
      </x:c>
      <x:c r="AE175" s="64" t="n">
        <x:f>-ROUND(Q175*'Drivers'!O175,3)</x:f>
        <x:v>-26.959</x:v>
      </x:c>
      <x:c r="AF175" s="65" t="n">
        <x:f>AE175/Q175</x:f>
        <x:v>-0.014774102930433642</x:v>
      </x:c>
      <x:c r="AG175" s="64" t="n">
        <x:f>-ROUND(Q175*'Drivers'!P175,3)</x:f>
        <x:v>-1.856</x:v>
      </x:c>
      <x:c r="AH175" s="64" t="n">
        <x:f>-ROUND(Q175*'Drivers'!Q175,3)</x:f>
        <x:v>-5.033</x:v>
      </x:c>
      <x:c r="AI175" s="64" t="n">
        <x:f>SUM(R175,T175,AC175,AE175,AG175,AH175)</x:f>
        <x:v>-475.33700000000005</x:v>
      </x:c>
      <x:c r="AJ175" s="65" t="n">
        <x:f>AI175/Q175</x:f>
        <x:v>-0.2604947425588315</x:v>
      </x:c>
      <x:c r="AK175" s="64" t="n">
        <x:f>Q175+AI175</x:f>
        <x:v>1349.41</x:v>
      </x:c>
      <x:c r="AL175" s="65" t="n">
        <x:f>AK175/Q175</x:f>
        <x:v>0.7395052574411686</x:v>
      </x:c>
      <x:c r="AM175" s="64" t="n">
        <x:f>AK175/L175</x:f>
        <x:v>224.90166666666667</x:v>
      </x:c>
      <x:c r="AN175" s="66" t="str">
        <x:f>IF(AM175&lt;=200,"≤200K",IF(AM175&lt;=350,"200–350K",IF(AM175&lt;=500,"350–500K",IF(AM175&lt;=700,"500–700K","&gt;700K"))))</x:f>
        <x:v>200–350K</x:v>
      </x:c>
      <x:c r="AO175" s="64" t="n">
        <x:f>-ROUND(Q175*'Drivers'!R175,3)</x:f>
        <x:v>-688.901</x:v>
      </x:c>
      <x:c r="AP175" s="64" t="n">
        <x:f>-ROUND(AK175*'Drivers'!S175,3)</x:f>
        <x:v>-14.86</x:v>
      </x:c>
      <x:c r="AQ175" s="64" t="n">
        <x:f>-ROUND(AK175*'Drivers'!T175,3)</x:f>
        <x:v>-7.331</x:v>
      </x:c>
      <x:c r="AR175" s="64" t="n">
        <x:f>-ROUND(AK175*'Drivers'!U175,3)</x:f>
        <x:v>-10.185</x:v>
      </x:c>
      <x:c r="AS175" s="64" t="n">
        <x:f>-ROUND(AK175*'Drivers'!V175,3)</x:f>
        <x:v>-42.181</x:v>
      </x:c>
      <x:c r="AT175" s="64" t="n">
        <x:f>SUM(AO175:AS175)</x:f>
        <x:v>-763.458</x:v>
      </x:c>
      <x:c r="AU175" s="65" t="n">
        <x:f>AT175/AK175</x:f>
        <x:v>-0.5657717076351887</x:v>
      </x:c>
      <x:c r="AV175" s="64" t="n">
        <x:f>AK175+AT175</x:f>
        <x:v>585.9520000000001</x:v>
      </x:c>
      <x:c r="AW175" s="65" t="n">
        <x:f>AV175/AK175</x:f>
        <x:v>0.43422829236481136</x:v>
      </x:c>
      <x:c r="AX175" s="64" t="n">
        <x:f>-ROUND(AK175*'Drivers'!W175,3)</x:f>
        <x:v>-18.444</x:v>
      </x:c>
      <x:c r="AY175" s="64" t="n">
        <x:f>-ROUND(AK175*'Drivers'!X175,3)</x:f>
        <x:v>-33.474</x:v>
      </x:c>
      <x:c r="AZ175" s="64" t="n">
        <x:f>-ROUND(AK175*'Drivers'!Y175,3)</x:f>
        <x:v>-25.443</x:v>
      </x:c>
      <x:c r="BA175" s="64" t="n">
        <x:f>-ROUND(AK175*'Drivers'!Z175,3)</x:f>
        <x:v>-8.428</x:v>
      </x:c>
      <x:c r="BB175" s="64" t="n">
        <x:f>-ROUND(AK175*'Drivers'!AA175,3)</x:f>
        <x:v>-11.501</x:v>
      </x:c>
      <x:c r="BC175" s="64" t="n">
        <x:f>SUM(BA175,BB175)</x:f>
        <x:v>-19.929000000000002</x:v>
      </x:c>
      <x:c r="BD175" s="64" t="n">
        <x:f>-ROUND(AK175*'Drivers'!AB175,3)</x:f>
        <x:v>-4.564</x:v>
      </x:c>
      <x:c r="BE175" s="64" t="n">
        <x:f>SUM(AX175:BB175,BD175)</x:f>
        <x:v>-101.85399999999998</x:v>
      </x:c>
      <x:c r="BF175" s="67" t="n">
        <x:f>'Drivers'!AF175</x:f>
        <x:v>8</x:v>
      </x:c>
      <x:c r="BG175" s="64" t="n">
        <x:f>BJ175</x:f>
        <x:v>-29.77</x:v>
      </x:c>
      <x:c r="BH175" s="64" t="n">
        <x:f>BE175/BF175</x:f>
        <x:v>-12.731749999999998</x:v>
      </x:c>
      <x:c r="BI175" s="68" t="n">
        <x:f>BF175/L175</x:f>
        <x:v>1.3333333333333333</x:v>
      </x:c>
      <x:c r="BJ175" s="64" t="n">
        <x:f>-ROUND(AK175*'Drivers'!AC175,3)</x:f>
        <x:v>-29.77</x:v>
      </x:c>
      <x:c r="BK175" s="64" t="n">
        <x:f>-ROUND(AK175*'Drivers'!AD175,3)</x:f>
        <x:v>-121.302</x:v>
      </x:c>
      <x:c r="BL175" s="64" t="n">
        <x:f>SUM(AV175,BE175,BJ175,BK175)</x:f>
        <x:v>333.0260000000001</x:v>
      </x:c>
      <x:c r="BM175" s="65" t="n">
        <x:f>BL175/AK175</x:f>
        <x:v>0.2467937839500227</x:v>
      </x:c>
      <x:c r="BN175" s="64" t="n">
        <x:f>-ROUND(AK175*'Drivers'!AE175,3)</x:f>
        <x:v>-90.133</x:v>
      </x:c>
      <x:c r="BO175" s="64" t="n">
        <x:f>BL175+BN175</x:f>
        <x:v>242.89300000000014</x:v>
      </x:c>
      <x:c r="BP175" s="65" t="n">
        <x:f>BO175/AK175</x:f>
        <x:v>0.17999940714830936</x:v>
      </x:c>
    </x:row>
    <x:row r="176">
      <x:c r="A176" s="61" t="n">
        <x:v>2026</x:v>
      </x:c>
      <x:c r="B176" s="18" t="str">
        <x:v>S1</x:v>
      </x:c>
      <x:c r="C176" s="18" t="str">
        <x:v>2026 S1</x:v>
      </x:c>
      <x:c r="D176" s="18" t="str">
        <x:v>CNCT0044</x:v>
      </x:c>
      <x:c r="E176" s="18" t="str">
        <x:v>成都仁恒置地广场</x:v>
      </x:c>
      <x:c r="F176" s="18" t="str">
        <x:v>成都</x:v>
      </x:c>
      <x:c r="G176" s="18" t="str">
        <x:v>四川省</x:v>
      </x:c>
      <x:c r="H176" s="18" t="str">
        <x:v>西区</x:v>
      </x:c>
      <x:c r="I176" s="18" t="str">
        <x:v>Shopping Mall</x:v>
      </x:c>
      <x:c r="J176" s="18" t="str">
        <x:v>Regional Mall</x:v>
      </x:c>
      <x:c r="K176" s="18" t="str">
        <x:v>正常</x:v>
      </x:c>
      <x:c r="L176" s="62" t="n">
        <x:v>6</x:v>
      </x:c>
      <x:c r="M176" s="62" t="n">
        <x:v>51</x:v>
      </x:c>
      <x:c r="N176" s="63" t="n">
        <x:f>'Drivers'!C176</x:f>
        <x:v>1910</x:v>
      </x:c>
      <x:c r="O176" s="63" t="n">
        <x:f>'Drivers'!D176</x:f>
        <x:v>956.125</x:v>
      </x:c>
      <x:c r="P176" s="64" t="n">
        <x:f>ROUND(N176*O176/1000,3)</x:f>
        <x:v>1826.199</x:v>
      </x:c>
      <x:c r="Q176" s="64" t="n">
        <x:f>ROUND(P176*'Drivers'!E176,3)</x:f>
        <x:v>1787.97</x:v>
      </x:c>
      <x:c r="R176" s="64" t="n">
        <x:f>-ROUND(Q176*'Drivers'!F176,3)</x:f>
        <x:v>-301.526</x:v>
      </x:c>
      <x:c r="S176" s="65" t="n">
        <x:f>R176/Q176</x:f>
        <x:v>-0.16864153201675644</x:v>
      </x:c>
      <x:c r="T176" s="64" t="n">
        <x:f>-ROUND(Q176*'Drivers'!G176,3)</x:f>
        <x:v>-13.937</x:v>
      </x:c>
      <x:c r="U176" s="65" t="n">
        <x:f>T176/Q176</x:f>
        <x:v>-0.007794873515774872</x:v>
      </x:c>
      <x:c r="V176" s="64" t="n">
        <x:f>-ROUND(Q176*'Drivers'!H176,3)</x:f>
        <x:v>-12.818</x:v>
      </x:c>
      <x:c r="W176" s="64" t="n">
        <x:f>-ROUND(Q176*'Drivers'!I176,3)</x:f>
        <x:v>-17.529</x:v>
      </x:c>
      <x:c r="X176" s="64" t="n">
        <x:f>-ROUND(Q176*'Drivers'!J176,3)</x:f>
        <x:v>-21.3</x:v>
      </x:c>
      <x:c r="Y176" s="64" t="n">
        <x:f>-ROUND(Q176*'Drivers'!K176,3)</x:f>
        <x:v>-16.846</x:v>
      </x:c>
      <x:c r="Z176" s="64" t="n">
        <x:f>-ROUND(Q176*'Drivers'!L176,3)</x:f>
        <x:v>-18.842</x:v>
      </x:c>
      <x:c r="AA176" s="64" t="n">
        <x:f>-ROUND(Q176*'Drivers'!M176,3)</x:f>
        <x:v>-15.406</x:v>
      </x:c>
      <x:c r="AB176" s="64" t="n">
        <x:f>-ROUND(Q176*'Drivers'!N176,3)</x:f>
        <x:v>-13.527</x:v>
      </x:c>
      <x:c r="AC176" s="64" t="n">
        <x:f>SUM(V176:AB176)</x:f>
        <x:v>-116.26800000000001</x:v>
      </x:c>
      <x:c r="AD176" s="65" t="n">
        <x:f>AC176/Q176</x:f>
        <x:v>-0.0650279367103475</x:v>
      </x:c>
      <x:c r="AE176" s="64" t="n">
        <x:f>-ROUND(Q176*'Drivers'!O176,3)</x:f>
        <x:v>-28.581</x:v>
      </x:c>
      <x:c r="AF176" s="65" t="n">
        <x:f>AE176/Q176</x:f>
        <x:v>-0.01598516753636806</x:v>
      </x:c>
      <x:c r="AG176" s="64" t="n">
        <x:f>-ROUND(Q176*'Drivers'!P176,3)</x:f>
        <x:v>-1.819</x:v>
      </x:c>
      <x:c r="AH176" s="64" t="n">
        <x:f>-ROUND(Q176*'Drivers'!Q176,3)</x:f>
        <x:v>-4.931</x:v>
      </x:c>
      <x:c r="AI176" s="64" t="n">
        <x:f>SUM(R176,T176,AC176,AE176,AG176,AH176)</x:f>
        <x:v>-467.06200000000007</x:v>
      </x:c>
      <x:c r="AJ176" s="65" t="n">
        <x:f>AI176/Q176</x:f>
        <x:v>-0.2612247409072859</x:v>
      </x:c>
      <x:c r="AK176" s="64" t="n">
        <x:f>Q176+AI176</x:f>
        <x:v>1320.908</x:v>
      </x:c>
      <x:c r="AL176" s="65" t="n">
        <x:f>AK176/Q176</x:f>
        <x:v>0.738775259092714</x:v>
      </x:c>
      <x:c r="AM176" s="64" t="n">
        <x:f>AK176/L176</x:f>
        <x:v>220.15133333333333</x:v>
      </x:c>
      <x:c r="AN176" s="66" t="str">
        <x:f>IF(AM176&lt;=200,"≤200K",IF(AM176&lt;=350,"200–350K",IF(AM176&lt;=500,"350–500K",IF(AM176&lt;=700,"500–700K","&gt;700K"))))</x:f>
        <x:v>200–350K</x:v>
      </x:c>
      <x:c r="AO176" s="64" t="n">
        <x:f>-ROUND(Q176*'Drivers'!R176,3)</x:f>
        <x:v>-683.565</x:v>
      </x:c>
      <x:c r="AP176" s="64" t="n">
        <x:f>-ROUND(AK176*'Drivers'!S176,3)</x:f>
        <x:v>-14.546</x:v>
      </x:c>
      <x:c r="AQ176" s="64" t="n">
        <x:f>-ROUND(AK176*'Drivers'!T176,3)</x:f>
        <x:v>-7.176</x:v>
      </x:c>
      <x:c r="AR176" s="64" t="n">
        <x:f>-ROUND(AK176*'Drivers'!U176,3)</x:f>
        <x:v>-9.97</x:v>
      </x:c>
      <x:c r="AS176" s="64" t="n">
        <x:f>-ROUND(AK176*'Drivers'!V176,3)</x:f>
        <x:v>-41.29</x:v>
      </x:c>
      <x:c r="AT176" s="64" t="n">
        <x:f>SUM(AO176:AS176)</x:f>
        <x:v>-756.5470000000001</x:v>
      </x:c>
      <x:c r="AU176" s="65" t="n">
        <x:f>AT176/AK176</x:f>
        <x:v>-0.5727476856828789</x:v>
      </x:c>
      <x:c r="AV176" s="64" t="n">
        <x:f>AK176+AT176</x:f>
        <x:v>564.3609999999998</x:v>
      </x:c>
      <x:c r="AW176" s="65" t="n">
        <x:f>AV176/AK176</x:f>
        <x:v>0.42725231431712113</x:v>
      </x:c>
      <x:c r="AX176" s="64" t="n">
        <x:f>-ROUND(AK176*'Drivers'!W176,3)</x:f>
        <x:v>-22.215</x:v>
      </x:c>
      <x:c r="AY176" s="64" t="n">
        <x:f>-ROUND(AK176*'Drivers'!X176,3)</x:f>
        <x:v>-40.318</x:v>
      </x:c>
      <x:c r="AZ176" s="64" t="n">
        <x:f>-ROUND(AK176*'Drivers'!Y176,3)</x:f>
        <x:v>-30.646</x:v>
      </x:c>
      <x:c r="BA176" s="64" t="n">
        <x:f>-ROUND(AK176*'Drivers'!Z176,3)</x:f>
        <x:v>-10.151</x:v>
      </x:c>
      <x:c r="BB176" s="64" t="n">
        <x:f>-ROUND(AK176*'Drivers'!AA176,3)</x:f>
        <x:v>-13.853</x:v>
      </x:c>
      <x:c r="BC176" s="64" t="n">
        <x:f>SUM(BA176,BB176)</x:f>
        <x:v>-24.003999999999998</x:v>
      </x:c>
      <x:c r="BD176" s="64" t="n">
        <x:f>-ROUND(AK176*'Drivers'!AB176,3)</x:f>
        <x:v>-5.497</x:v>
      </x:c>
      <x:c r="BE176" s="64" t="n">
        <x:f>SUM(AX176:BB176,BD176)</x:f>
        <x:v>-122.67999999999999</x:v>
      </x:c>
      <x:c r="BF176" s="67" t="n">
        <x:f>'Drivers'!AF176</x:f>
        <x:v>8</x:v>
      </x:c>
      <x:c r="BG176" s="64" t="n">
        <x:f>BJ176</x:f>
        <x:v>-35.857</x:v>
      </x:c>
      <x:c r="BH176" s="64" t="n">
        <x:f>BE176/BF176</x:f>
        <x:v>-15.334999999999999</x:v>
      </x:c>
      <x:c r="BI176" s="68" t="n">
        <x:f>BF176/L176</x:f>
        <x:v>1.3333333333333333</x:v>
      </x:c>
      <x:c r="BJ176" s="64" t="n">
        <x:f>-ROUND(AK176*'Drivers'!AC176,3)</x:f>
        <x:v>-35.857</x:v>
      </x:c>
      <x:c r="BK176" s="64" t="n">
        <x:f>-ROUND(AK176*'Drivers'!AD176,3)</x:f>
        <x:v>-118.74</x:v>
      </x:c>
      <x:c r="BL176" s="64" t="n">
        <x:f>SUM(AV176,BE176,BJ176,BK176)</x:f>
        <x:v>287.0839999999997</x:v>
      </x:c>
      <x:c r="BM176" s="65" t="n">
        <x:f>BL176/AK176</x:f>
        <x:v>0.21733837632900985</x:v>
      </x:c>
      <x:c r="BN176" s="64" t="n">
        <x:f>-ROUND(AK176*'Drivers'!AE176,3)</x:f>
        <x:v>-87.548</x:v>
      </x:c>
      <x:c r="BO176" s="64" t="n">
        <x:f>BL176+BN176</x:f>
        <x:v>199.53599999999972</x:v>
      </x:c>
      <x:c r="BP176" s="65" t="n">
        <x:f>BO176/AK176</x:f>
        <x:v>0.15105972558270503</x:v>
      </x:c>
    </x:row>
    <x:row r="177">
      <x:c r="A177" s="61" t="n">
        <x:v>2026</x:v>
      </x:c>
      <x:c r="B177" s="18" t="str">
        <x:v>S2</x:v>
      </x:c>
      <x:c r="C177" s="18" t="str">
        <x:v>2026 S2</x:v>
      </x:c>
      <x:c r="D177" s="18" t="str">
        <x:v>CNCT0044</x:v>
      </x:c>
      <x:c r="E177" s="18" t="str">
        <x:v>成都仁恒置地广场</x:v>
      </x:c>
      <x:c r="F177" s="18" t="str">
        <x:v>成都</x:v>
      </x:c>
      <x:c r="G177" s="18" t="str">
        <x:v>四川省</x:v>
      </x:c>
      <x:c r="H177" s="18" t="str">
        <x:v>西区</x:v>
      </x:c>
      <x:c r="I177" s="18" t="str">
        <x:v>Shopping Mall</x:v>
      </x:c>
      <x:c r="J177" s="18" t="str">
        <x:v>Regional Mall</x:v>
      </x:c>
      <x:c r="K177" s="18" t="str">
        <x:v>正常</x:v>
      </x:c>
      <x:c r="L177" s="62" t="n">
        <x:v>6</x:v>
      </x:c>
      <x:c r="M177" s="62" t="n">
        <x:v>51</x:v>
      </x:c>
      <x:c r="N177" s="63" t="n">
        <x:f>'Drivers'!C177</x:f>
        <x:v>2066</x:v>
      </x:c>
      <x:c r="O177" s="63" t="n">
        <x:f>'Drivers'!D177</x:f>
        <x:v>961.252</x:v>
      </x:c>
      <x:c r="P177" s="64" t="n">
        <x:f>ROUND(N177*O177/1000,3)</x:f>
        <x:v>1985.947</x:v>
      </x:c>
      <x:c r="Q177" s="64" t="n">
        <x:f>ROUND(P177*'Drivers'!E177,3)</x:f>
        <x:v>1946.861</x:v>
      </x:c>
      <x:c r="R177" s="64" t="n">
        <x:f>-ROUND(Q177*'Drivers'!F177,3)</x:f>
        <x:v>-335.229</x:v>
      </x:c>
      <x:c r="S177" s="65" t="n">
        <x:f>R177/Q177</x:f>
        <x:v>-0.17218948861783145</x:v>
      </x:c>
      <x:c r="T177" s="64" t="n">
        <x:f>-ROUND(Q177*'Drivers'!G177,3)</x:f>
        <x:v>-17.285</x:v>
      </x:c>
      <x:c r="U177" s="65" t="n">
        <x:f>T177/Q177</x:f>
        <x:v>-0.008878394502740566</x:v>
      </x:c>
      <x:c r="V177" s="64" t="n">
        <x:f>-ROUND(Q177*'Drivers'!H177,3)</x:f>
        <x:v>-13.958</x:v>
      </x:c>
      <x:c r="W177" s="64" t="n">
        <x:f>-ROUND(Q177*'Drivers'!I177,3)</x:f>
        <x:v>-19.087</x:v>
      </x:c>
      <x:c r="X177" s="64" t="n">
        <x:f>-ROUND(Q177*'Drivers'!J177,3)</x:f>
        <x:v>-23.192</x:v>
      </x:c>
      <x:c r="Y177" s="64" t="n">
        <x:f>-ROUND(Q177*'Drivers'!K177,3)</x:f>
        <x:v>-18.343</x:v>
      </x:c>
      <x:c r="Z177" s="64" t="n">
        <x:f>-ROUND(Q177*'Drivers'!L177,3)</x:f>
        <x:v>-20.517</x:v>
      </x:c>
      <x:c r="AA177" s="64" t="n">
        <x:f>-ROUND(Q177*'Drivers'!M177,3)</x:f>
        <x:v>-16.775</x:v>
      </x:c>
      <x:c r="AB177" s="64" t="n">
        <x:f>-ROUND(Q177*'Drivers'!N177,3)</x:f>
        <x:v>-14.729</x:v>
      </x:c>
      <x:c r="AC177" s="64" t="n">
        <x:f>SUM(V177:AB177)</x:f>
        <x:v>-126.60099999999998</x:v>
      </x:c>
      <x:c r="AD177" s="65" t="n">
        <x:f>AC177/Q177</x:f>
        <x:v>-0.06502826858209187</x:v>
      </x:c>
      <x:c r="AE177" s="64" t="n">
        <x:f>-ROUND(Q177*'Drivers'!O177,3)</x:f>
        <x:v>-28.763</x:v>
      </x:c>
      <x:c r="AF177" s="65" t="n">
        <x:f>AE177/Q177</x:f>
        <x:v>-0.01477403882454885</x:v>
      </x:c>
      <x:c r="AG177" s="64" t="n">
        <x:f>-ROUND(Q177*'Drivers'!P177,3)</x:f>
        <x:v>-1.981</x:v>
      </x:c>
      <x:c r="AH177" s="64" t="n">
        <x:f>-ROUND(Q177*'Drivers'!Q177,3)</x:f>
        <x:v>-5.37</x:v>
      </x:c>
      <x:c r="AI177" s="64" t="n">
        <x:f>SUM(R177,T177,AC177,AE177,AG177,AH177)</x:f>
        <x:v>-515.2289999999999</x:v>
      </x:c>
      <x:c r="AJ177" s="65" t="n">
        <x:f>AI177/Q177</x:f>
        <x:v>-0.26464601222172507</x:v>
      </x:c>
      <x:c r="AK177" s="64" t="n">
        <x:f>Q177+AI177</x:f>
        <x:v>1431.632</x:v>
      </x:c>
      <x:c r="AL177" s="65" t="n">
        <x:f>AK177/Q177</x:f>
        <x:v>0.7353539877782749</x:v>
      </x:c>
      <x:c r="AM177" s="64" t="n">
        <x:f>AK177/L177</x:f>
        <x:v>238.60533333333333</x:v>
      </x:c>
      <x:c r="AN177" s="66" t="str">
        <x:f>IF(AM177&lt;=200,"≤200K",IF(AM177&lt;=350,"200–350K",IF(AM177&lt;=500,"350–500K",IF(AM177&lt;=700,"500–700K","&gt;700K"))))</x:f>
        <x:v>200–350K</x:v>
      </x:c>
      <x:c r="AO177" s="64" t="n">
        <x:f>-ROUND(Q177*'Drivers'!R177,3)</x:f>
        <x:v>-722.954</x:v>
      </x:c>
      <x:c r="AP177" s="64" t="n">
        <x:f>-ROUND(AK177*'Drivers'!S177,3)</x:f>
        <x:v>-15.766</x:v>
      </x:c>
      <x:c r="AQ177" s="64" t="n">
        <x:f>-ROUND(AK177*'Drivers'!T177,3)</x:f>
        <x:v>-7.778</x:v>
      </x:c>
      <x:c r="AR177" s="64" t="n">
        <x:f>-ROUND(AK177*'Drivers'!U177,3)</x:f>
        <x:v>-10.806</x:v>
      </x:c>
      <x:c r="AS177" s="64" t="n">
        <x:f>-ROUND(AK177*'Drivers'!V177,3)</x:f>
        <x:v>-44.751</x:v>
      </x:c>
      <x:c r="AT177" s="64" t="n">
        <x:f>SUM(AO177:AS177)</x:f>
        <x:v>-802.055</x:v>
      </x:c>
      <x:c r="AU177" s="65" t="n">
        <x:f>AT177/AK177</x:f>
        <x:v>-0.5602382455826637</x:v>
      </x:c>
      <x:c r="AV177" s="64" t="n">
        <x:f>AK177+AT177</x:f>
        <x:v>629.5770000000001</x:v>
      </x:c>
      <x:c r="AW177" s="65" t="n">
        <x:f>AV177/AK177</x:f>
        <x:v>0.43976175441733634</x:v>
      </x:c>
      <x:c r="AX177" s="64" t="n">
        <x:f>-ROUND(AK177*'Drivers'!W177,3)</x:f>
        <x:v>-20.742</x:v>
      </x:c>
      <x:c r="AY177" s="64" t="n">
        <x:f>-ROUND(AK177*'Drivers'!X177,3)</x:f>
        <x:v>-37.645</x:v>
      </x:c>
      <x:c r="AZ177" s="64" t="n">
        <x:f>-ROUND(AK177*'Drivers'!Y177,3)</x:f>
        <x:v>-28.613</x:v>
      </x:c>
      <x:c r="BA177" s="64" t="n">
        <x:f>-ROUND(AK177*'Drivers'!Z177,3)</x:f>
        <x:v>-9.478</x:v>
      </x:c>
      <x:c r="BB177" s="64" t="n">
        <x:f>-ROUND(AK177*'Drivers'!AA177,3)</x:f>
        <x:v>-12.934</x:v>
      </x:c>
      <x:c r="BC177" s="64" t="n">
        <x:f>SUM(BA177,BB177)</x:f>
        <x:v>-22.412</x:v>
      </x:c>
      <x:c r="BD177" s="64" t="n">
        <x:f>-ROUND(AK177*'Drivers'!AB177,3)</x:f>
        <x:v>-5.132</x:v>
      </x:c>
      <x:c r="BE177" s="64" t="n">
        <x:f>SUM(AX177:BB177,BD177)</x:f>
        <x:v>-114.544</x:v>
      </x:c>
      <x:c r="BF177" s="67" t="n">
        <x:f>'Drivers'!AF177</x:f>
        <x:v>8</x:v>
      </x:c>
      <x:c r="BG177" s="64" t="n">
        <x:f>BJ177</x:f>
        <x:v>-33.479</x:v>
      </x:c>
      <x:c r="BH177" s="64" t="n">
        <x:f>BE177/BF177</x:f>
        <x:v>-14.318</x:v>
      </x:c>
      <x:c r="BI177" s="68" t="n">
        <x:f>BF177/L177</x:f>
        <x:v>1.3333333333333333</x:v>
      </x:c>
      <x:c r="BJ177" s="64" t="n">
        <x:f>-ROUND(AK177*'Drivers'!AC177,3)</x:f>
        <x:v>-33.479</x:v>
      </x:c>
      <x:c r="BK177" s="64" t="n">
        <x:f>-ROUND(AK177*'Drivers'!AD177,3)</x:f>
        <x:v>-128.693</x:v>
      </x:c>
      <x:c r="BL177" s="64" t="n">
        <x:f>SUM(AV177,BE177,BJ177,BK177)</x:f>
        <x:v>352.8610000000001</x:v>
      </x:c>
      <x:c r="BM177" s="65" t="n">
        <x:f>BL177/AK177</x:f>
        <x:v>0.24647465270404692</x:v>
      </x:c>
      <x:c r="BN177" s="64" t="n">
        <x:f>-ROUND(AK177*'Drivers'!AE177,3)</x:f>
        <x:v>-95.624</x:v>
      </x:c>
      <x:c r="BO177" s="64" t="n">
        <x:f>BL177+BN177</x:f>
        <x:v>257.2370000000001</x:v>
      </x:c>
      <x:c r="BP177" s="65" t="n">
        <x:f>BO177/AK177</x:f>
        <x:v>0.17968095152944336</x:v>
      </x:c>
    </x:row>
    <x:row r="178">
      <x:c r="A178" s="61" t="n">
        <x:v>2025</x:v>
      </x:c>
      <x:c r="B178" s="18" t="str">
        <x:v>S1</x:v>
      </x:c>
      <x:c r="C178" s="18" t="str">
        <x:v>2025 S1</x:v>
      </x:c>
      <x:c r="D178" s="18" t="str">
        <x:v>CNCT0045</x:v>
      </x:c>
      <x:c r="E178" s="18" t="str">
        <x:v>成都大悦城</x:v>
      </x:c>
      <x:c r="F178" s="18" t="str">
        <x:v>成都</x:v>
      </x:c>
      <x:c r="G178" s="18" t="str">
        <x:v>四川省</x:v>
      </x:c>
      <x:c r="H178" s="18" t="str">
        <x:v>西区</x:v>
      </x:c>
      <x:c r="I178" s="18" t="str">
        <x:v>Shopping Mall</x:v>
      </x:c>
      <x:c r="J178" s="18" t="str">
        <x:v>Regional Mall</x:v>
      </x:c>
      <x:c r="K178" s="18" t="str">
        <x:v>新开店</x:v>
      </x:c>
      <x:c r="L178" s="62" t="n">
        <x:v>4</x:v>
      </x:c>
      <x:c r="M178" s="62" t="n">
        <x:v>48</x:v>
      </x:c>
      <x:c r="N178" s="63" t="n">
        <x:f>'Drivers'!C178</x:f>
        <x:v>1053</x:v>
      </x:c>
      <x:c r="O178" s="63" t="n">
        <x:f>'Drivers'!D178</x:f>
        <x:v>1001.189</x:v>
      </x:c>
      <x:c r="P178" s="64" t="n">
        <x:f>ROUND(N178*O178/1000,3)</x:f>
        <x:v>1054.252</x:v>
      </x:c>
      <x:c r="Q178" s="64" t="n">
        <x:f>ROUND(P178*'Drivers'!E178,3)</x:f>
        <x:v>1037.874</x:v>
      </x:c>
      <x:c r="R178" s="64" t="n">
        <x:f>-ROUND(Q178*'Drivers'!F178,3)</x:f>
        <x:v>-193.225</x:v>
      </x:c>
      <x:c r="S178" s="65" t="n">
        <x:f>R178/Q178</x:f>
        <x:v>-0.18617385154652683</x:v>
      </x:c>
      <x:c r="T178" s="64" t="n">
        <x:f>-ROUND(Q178*'Drivers'!G178,3)</x:f>
        <x:v>-16.49</x:v>
      </x:c>
      <x:c r="U178" s="65" t="n">
        <x:f>T178/Q178</x:f>
        <x:v>-0.015888248477175456</x:v>
      </x:c>
      <x:c r="V178" s="64" t="n">
        <x:f>-ROUND(Q178*'Drivers'!H178,3)</x:f>
        <x:v>-8.408</x:v>
      </x:c>
      <x:c r="W178" s="64" t="n">
        <x:f>-ROUND(Q178*'Drivers'!I178,3)</x:f>
        <x:v>-7.358</x:v>
      </x:c>
      <x:c r="X178" s="64" t="n">
        <x:f>-ROUND(Q178*'Drivers'!J178,3)</x:f>
        <x:v>-11.308</x:v>
      </x:c>
      <x:c r="Y178" s="64" t="n">
        <x:f>-ROUND(Q178*'Drivers'!K178,3)</x:f>
        <x:v>-10.652</x:v>
      </x:c>
      <x:c r="Z178" s="64" t="n">
        <x:f>-ROUND(Q178*'Drivers'!L178,3)</x:f>
        <x:v>-8.818</x:v>
      </x:c>
      <x:c r="AA178" s="64" t="n">
        <x:f>-ROUND(Q178*'Drivers'!M178,3)</x:f>
        <x:v>-9.933</x:v>
      </x:c>
      <x:c r="AB178" s="64" t="n">
        <x:f>-ROUND(Q178*'Drivers'!N178,3)</x:f>
        <x:v>-7.197</x:v>
      </x:c>
      <x:c r="AC178" s="64" t="n">
        <x:f>SUM(V178:AB178)</x:f>
        <x:v>-63.674</x:v>
      </x:c>
      <x:c r="AD178" s="65" t="n">
        <x:f>AC178/Q178</x:f>
        <x:v>-0.06135041440483141</x:v>
      </x:c>
      <x:c r="AE178" s="64" t="n">
        <x:f>-ROUND(Q178*'Drivers'!O178,3)</x:f>
        <x:v>-15.534</x:v>
      </x:c>
      <x:c r="AF178" s="65" t="n">
        <x:f>AE178/Q178</x:f>
        <x:v>-0.014967134738898942</x:v>
      </x:c>
      <x:c r="AG178" s="64" t="n">
        <x:f>-ROUND(Q178*'Drivers'!P178,3)</x:f>
        <x:v>-2.021</x:v>
      </x:c>
      <x:c r="AH178" s="64" t="n">
        <x:f>-ROUND(Q178*'Drivers'!Q178,3)</x:f>
        <x:v>-2.131</x:v>
      </x:c>
      <x:c r="AI178" s="64" t="n">
        <x:f>SUM(R178,T178,AC178,AE178,AG178,AH178)</x:f>
        <x:v>-293.075</x:v>
      </x:c>
      <x:c r="AJ178" s="65" t="n">
        <x:f>AI178/Q178</x:f>
        <x:v>-0.2823801347755122</x:v>
      </x:c>
      <x:c r="AK178" s="64" t="n">
        <x:f>Q178+AI178</x:f>
        <x:v>744.799</x:v>
      </x:c>
      <x:c r="AL178" s="65" t="n">
        <x:f>AK178/Q178</x:f>
        <x:v>0.7176198652244877</x:v>
      </x:c>
      <x:c r="AM178" s="64" t="n">
        <x:f>AK178/L178</x:f>
        <x:v>186.19975</x:v>
      </x:c>
      <x:c r="AN178" s="66" t="str">
        <x:f>IF(AM178&lt;=200,"≤200K",IF(AM178&lt;=350,"200–350K",IF(AM178&lt;=500,"350–500K",IF(AM178&lt;=700,"500–700K","&gt;700K"))))</x:f>
        <x:v>≤200K</x:v>
      </x:c>
      <x:c r="AO178" s="64" t="n">
        <x:f>-ROUND(Q178*'Drivers'!R178,3)</x:f>
        <x:v>-380.171</x:v>
      </x:c>
      <x:c r="AP178" s="64" t="n">
        <x:f>-ROUND(AK178*'Drivers'!S178,3)</x:f>
        <x:v>-10.234</x:v>
      </x:c>
      <x:c r="AQ178" s="64" t="n">
        <x:f>-ROUND(AK178*'Drivers'!T178,3)</x:f>
        <x:v>-2.958</x:v>
      </x:c>
      <x:c r="AR178" s="64" t="n">
        <x:f>-ROUND(AK178*'Drivers'!U178,3)</x:f>
        <x:v>-8.399</x:v>
      </x:c>
      <x:c r="AS178" s="64" t="n">
        <x:f>-ROUND(AK178*'Drivers'!V178,3)</x:f>
        <x:v>-27.189</x:v>
      </x:c>
      <x:c r="AT178" s="64" t="n">
        <x:f>SUM(AO178:AS178)</x:f>
        <x:v>-428.951</x:v>
      </x:c>
      <x:c r="AU178" s="65" t="n">
        <x:f>AT178/AK178</x:f>
        <x:v>-0.5759285391092094</x:v>
      </x:c>
      <x:c r="AV178" s="64" t="n">
        <x:f>AK178+AT178</x:f>
        <x:v>315.84799999999996</x:v>
      </x:c>
      <x:c r="AW178" s="65" t="n">
        <x:f>AV178/AK178</x:f>
        <x:v>0.4240714608907906</x:v>
      </x:c>
      <x:c r="AX178" s="64" t="n">
        <x:f>-ROUND(AK178*'Drivers'!W178,3)</x:f>
        <x:v>-9.439</x:v>
      </x:c>
      <x:c r="AY178" s="64" t="n">
        <x:f>-ROUND(AK178*'Drivers'!X178,3)</x:f>
        <x:v>-17.703</x:v>
      </x:c>
      <x:c r="AZ178" s="64" t="n">
        <x:f>-ROUND(AK178*'Drivers'!Y178,3)</x:f>
        <x:v>-19.012</x:v>
      </x:c>
      <x:c r="BA178" s="64" t="n">
        <x:f>-ROUND(AK178*'Drivers'!Z178,3)</x:f>
        <x:v>-4.23</x:v>
      </x:c>
      <x:c r="BB178" s="64" t="n">
        <x:f>-ROUND(AK178*'Drivers'!AA178,3)</x:f>
        <x:v>-4.344</x:v>
      </x:c>
      <x:c r="BC178" s="64" t="n">
        <x:f>SUM(BA178,BB178)</x:f>
        <x:v>-8.574000000000002</x:v>
      </x:c>
      <x:c r="BD178" s="64" t="n">
        <x:f>-ROUND(AK178*'Drivers'!AB178,3)</x:f>
        <x:v>-3.134</x:v>
      </x:c>
      <x:c r="BE178" s="64" t="n">
        <x:f>SUM(AX178:BB178,BD178)</x:f>
        <x:v>-57.862</x:v>
      </x:c>
      <x:c r="BF178" s="67" t="n">
        <x:f>'Drivers'!AF178</x:f>
        <x:v>6</x:v>
      </x:c>
      <x:c r="BG178" s="64" t="n">
        <x:f>BJ178</x:f>
        <x:v>-21.726</x:v>
      </x:c>
      <x:c r="BH178" s="64" t="n">
        <x:f>BE178/BF178</x:f>
        <x:v>-9.643666666666666</x:v>
      </x:c>
      <x:c r="BI178" s="68" t="n">
        <x:f>BF178/L178</x:f>
        <x:v>1.5</x:v>
      </x:c>
      <x:c r="BJ178" s="64" t="n">
        <x:f>-ROUND(AK178*'Drivers'!AC178,3)</x:f>
        <x:v>-21.726</x:v>
      </x:c>
      <x:c r="BK178" s="64" t="n">
        <x:f>-ROUND(AK178*'Drivers'!AD178,3)</x:f>
        <x:v>-84.837</x:v>
      </x:c>
      <x:c r="BL178" s="64" t="n">
        <x:f>SUM(AV178,BE178,BJ178,BK178)</x:f>
        <x:v>151.42299999999994</x:v>
      </x:c>
      <x:c r="BM178" s="65" t="n">
        <x:f>BL178/AK178</x:f>
        <x:v>0.2033072010032236</x:v>
      </x:c>
      <x:c r="BN178" s="64" t="n">
        <x:f>-ROUND(AK178*'Drivers'!AE178,3)</x:f>
        <x:v>-63.515</x:v>
      </x:c>
      <x:c r="BO178" s="64" t="n">
        <x:f>BL178+BN178</x:f>
        <x:v>87.90799999999994</x:v>
      </x:c>
      <x:c r="BP178" s="65" t="n">
        <x:f>BO178/AK178</x:f>
        <x:v>0.1180291595450584</x:v>
      </x:c>
    </x:row>
    <x:row r="179">
      <x:c r="A179" s="61" t="n">
        <x:v>2025</x:v>
      </x:c>
      <x:c r="B179" s="18" t="str">
        <x:v>S2</x:v>
      </x:c>
      <x:c r="C179" s="18" t="str">
        <x:v>2025 S2</x:v>
      </x:c>
      <x:c r="D179" s="18" t="str">
        <x:v>CNCT0045</x:v>
      </x:c>
      <x:c r="E179" s="18" t="str">
        <x:v>成都大悦城</x:v>
      </x:c>
      <x:c r="F179" s="18" t="str">
        <x:v>成都</x:v>
      </x:c>
      <x:c r="G179" s="18" t="str">
        <x:v>四川省</x:v>
      </x:c>
      <x:c r="H179" s="18" t="str">
        <x:v>西区</x:v>
      </x:c>
      <x:c r="I179" s="18" t="str">
        <x:v>Shopping Mall</x:v>
      </x:c>
      <x:c r="J179" s="18" t="str">
        <x:v>Regional Mall</x:v>
      </x:c>
      <x:c r="K179" s="18" t="str">
        <x:v>正常</x:v>
      </x:c>
      <x:c r="L179" s="62" t="n">
        <x:v>4</x:v>
      </x:c>
      <x:c r="M179" s="62" t="n">
        <x:v>48</x:v>
      </x:c>
      <x:c r="N179" s="63" t="n">
        <x:f>'Drivers'!C179</x:f>
        <x:v>1600</x:v>
      </x:c>
      <x:c r="O179" s="63" t="n">
        <x:f>'Drivers'!D179</x:f>
        <x:v>1013.204</x:v>
      </x:c>
      <x:c r="P179" s="64" t="n">
        <x:f>ROUND(N179*O179/1000,3)</x:f>
        <x:v>1621.126</x:v>
      </x:c>
      <x:c r="Q179" s="64" t="n">
        <x:f>ROUND(P179*'Drivers'!E179,3)</x:f>
        <x:v>1587.974</x:v>
      </x:c>
      <x:c r="R179" s="64" t="n">
        <x:f>-ROUND(Q179*'Drivers'!F179,3)</x:f>
        <x:v>-295.639</x:v>
      </x:c>
      <x:c r="S179" s="65" t="n">
        <x:f>R179/Q179</x:f>
        <x:v>-0.18617370309589454</x:v>
      </x:c>
      <x:c r="T179" s="64" t="n">
        <x:f>-ROUND(Q179*'Drivers'!G179,3)</x:f>
        <x:v>-25.23</x:v>
      </x:c>
      <x:c r="U179" s="65" t="n">
        <x:f>T179/Q179</x:f>
        <x:v>-0.015888169453656044</x:v>
      </x:c>
      <x:c r="V179" s="64" t="n">
        <x:f>-ROUND(Q179*'Drivers'!H179,3)</x:f>
        <x:v>-12.865</x:v>
      </x:c>
      <x:c r="W179" s="64" t="n">
        <x:f>-ROUND(Q179*'Drivers'!I179,3)</x:f>
        <x:v>-11.258</x:v>
      </x:c>
      <x:c r="X179" s="64" t="n">
        <x:f>-ROUND(Q179*'Drivers'!J179,3)</x:f>
        <x:v>-17.302</x:v>
      </x:c>
      <x:c r="Y179" s="64" t="n">
        <x:f>-ROUND(Q179*'Drivers'!K179,3)</x:f>
        <x:v>-16.298</x:v>
      </x:c>
      <x:c r="Z179" s="64" t="n">
        <x:f>-ROUND(Q179*'Drivers'!L179,3)</x:f>
        <x:v>-13.492</x:v>
      </x:c>
      <x:c r="AA179" s="64" t="n">
        <x:f>-ROUND(Q179*'Drivers'!M179,3)</x:f>
        <x:v>-15.198</x:v>
      </x:c>
      <x:c r="AB179" s="64" t="n">
        <x:f>-ROUND(Q179*'Drivers'!N179,3)</x:f>
        <x:v>-11.012</x:v>
      </x:c>
      <x:c r="AC179" s="64" t="n">
        <x:f>SUM(V179:AB179)</x:f>
        <x:v>-97.42500000000001</x:v>
      </x:c>
      <x:c r="AD179" s="65" t="n">
        <x:f>AC179/Q179</x:f>
        <x:v>-0.06135176016735791</x:v>
      </x:c>
      <x:c r="AE179" s="64" t="n">
        <x:f>-ROUND(Q179*'Drivers'!O179,3)</x:f>
        <x:v>-23.767</x:v>
      </x:c>
      <x:c r="AF179" s="65" t="n">
        <x:f>AE179/Q179</x:f>
        <x:v>-0.01496686973464301</x:v>
      </x:c>
      <x:c r="AG179" s="64" t="n">
        <x:f>-ROUND(Q179*'Drivers'!P179,3)</x:f>
        <x:v>-3.092</x:v>
      </x:c>
      <x:c r="AH179" s="64" t="n">
        <x:f>-ROUND(Q179*'Drivers'!Q179,3)</x:f>
        <x:v>-3.261</x:v>
      </x:c>
      <x:c r="AI179" s="64" t="n">
        <x:f>SUM(R179,T179,AC179,AE179,AG179,AH179)</x:f>
        <x:v>-448.41400000000004</x:v>
      </x:c>
      <x:c r="AJ179" s="65" t="n">
        <x:f>AI179/Q179</x:f>
        <x:v>-0.2823811976770401</x:v>
      </x:c>
      <x:c r="AK179" s="64" t="n">
        <x:f>Q179+AI179</x:f>
        <x:v>1139.56</x:v>
      </x:c>
      <x:c r="AL179" s="65" t="n">
        <x:f>AK179/Q179</x:f>
        <x:v>0.7176188023229599</x:v>
      </x:c>
      <x:c r="AM179" s="64" t="n">
        <x:f>AK179/L179</x:f>
        <x:v>284.89</x:v>
      </x:c>
      <x:c r="AN179" s="66" t="str">
        <x:f>IF(AM179&lt;=200,"≤200K",IF(AM179&lt;=350,"200–350K",IF(AM179&lt;=500,"350–500K",IF(AM179&lt;=700,"500–700K","&gt;700K"))))</x:f>
        <x:v>200–350K</x:v>
      </x:c>
      <x:c r="AO179" s="64" t="n">
        <x:f>-ROUND(Q179*'Drivers'!R179,3)</x:f>
        <x:v>-574.682</x:v>
      </x:c>
      <x:c r="AP179" s="64" t="n">
        <x:f>-ROUND(AK179*'Drivers'!S179,3)</x:f>
        <x:v>-15.658</x:v>
      </x:c>
      <x:c r="AQ179" s="64" t="n">
        <x:f>-ROUND(AK179*'Drivers'!T179,3)</x:f>
        <x:v>-4.526</x:v>
      </x:c>
      <x:c r="AR179" s="64" t="n">
        <x:f>-ROUND(AK179*'Drivers'!U179,3)</x:f>
        <x:v>-12.851</x:v>
      </x:c>
      <x:c r="AS179" s="64" t="n">
        <x:f>-ROUND(AK179*'Drivers'!V179,3)</x:f>
        <x:v>-41.599</x:v>
      </x:c>
      <x:c r="AT179" s="64" t="n">
        <x:f>SUM(AO179:AS179)</x:f>
        <x:v>-649.316</x:v>
      </x:c>
      <x:c r="AU179" s="65" t="n">
        <x:f>AT179/AK179</x:f>
        <x:v>-0.5697953596124821</x:v>
      </x:c>
      <x:c r="AV179" s="64" t="n">
        <x:f>AK179+AT179</x:f>
        <x:v>490.2439999999999</x:v>
      </x:c>
      <x:c r="AW179" s="65" t="n">
        <x:f>AV179/AK179</x:f>
        <x:v>0.43020464038751793</x:v>
      </x:c>
      <x:c r="AX179" s="64" t="n">
        <x:f>-ROUND(AK179*'Drivers'!W179,3)</x:f>
        <x:v>-10.697</x:v>
      </x:c>
      <x:c r="AY179" s="64" t="n">
        <x:f>-ROUND(AK179*'Drivers'!X179,3)</x:f>
        <x:v>-20.064</x:v>
      </x:c>
      <x:c r="AZ179" s="64" t="n">
        <x:f>-ROUND(AK179*'Drivers'!Y179,3)</x:f>
        <x:v>-21.547</x:v>
      </x:c>
      <x:c r="BA179" s="64" t="n">
        <x:f>-ROUND(AK179*'Drivers'!Z179,3)</x:f>
        <x:v>-6.471</x:v>
      </x:c>
      <x:c r="BB179" s="64" t="n">
        <x:f>-ROUND(AK179*'Drivers'!AA179,3)</x:f>
        <x:v>-6.647</x:v>
      </x:c>
      <x:c r="BC179" s="64" t="n">
        <x:f>SUM(BA179,BB179)</x:f>
        <x:v>-13.118</x:v>
      </x:c>
      <x:c r="BD179" s="64" t="n">
        <x:f>-ROUND(AK179*'Drivers'!AB179,3)</x:f>
        <x:v>-3.552</x:v>
      </x:c>
      <x:c r="BE179" s="64" t="n">
        <x:f>SUM(AX179:BB179,BD179)</x:f>
        <x:v>-68.97800000000001</x:v>
      </x:c>
      <x:c r="BF179" s="67" t="n">
        <x:f>'Drivers'!AF179</x:f>
        <x:v>6</x:v>
      </x:c>
      <x:c r="BG179" s="64" t="n">
        <x:f>BJ179</x:f>
        <x:v>-24.623</x:v>
      </x:c>
      <x:c r="BH179" s="64" t="n">
        <x:f>BE179/BF179</x:f>
        <x:v>-11.496333333333334</x:v>
      </x:c>
      <x:c r="BI179" s="68" t="n">
        <x:f>BF179/L179</x:f>
        <x:v>1.5</x:v>
      </x:c>
      <x:c r="BJ179" s="64" t="n">
        <x:f>-ROUND(AK179*'Drivers'!AC179,3)</x:f>
        <x:v>-24.623</x:v>
      </x:c>
      <x:c r="BK179" s="64" t="n">
        <x:f>-ROUND(AK179*'Drivers'!AD179,3)</x:f>
        <x:v>-115.895</x:v>
      </x:c>
      <x:c r="BL179" s="64" t="n">
        <x:f>SUM(AV179,BE179,BJ179,BK179)</x:f>
        <x:v>280.74799999999993</x:v>
      </x:c>
      <x:c r="BM179" s="65" t="n">
        <x:f>BL179/AK179</x:f>
        <x:v>0.24636526378602264</x:v>
      </x:c>
      <x:c r="BN179" s="64" t="n">
        <x:f>-ROUND(AK179*'Drivers'!AE179,3)</x:f>
        <x:v>-97.179</x:v>
      </x:c>
      <x:c r="BO179" s="64" t="n">
        <x:f>BL179+BN179</x:f>
        <x:v>183.56899999999993</x:v>
      </x:c>
      <x:c r="BP179" s="65" t="n">
        <x:f>BO179/AK179</x:f>
        <x:v>0.1610876127628207</x:v>
      </x:c>
    </x:row>
    <x:row r="180">
      <x:c r="A180" s="61" t="n">
        <x:v>2026</x:v>
      </x:c>
      <x:c r="B180" s="18" t="str">
        <x:v>S1</x:v>
      </x:c>
      <x:c r="C180" s="18" t="str">
        <x:v>2026 S1</x:v>
      </x:c>
      <x:c r="D180" s="18" t="str">
        <x:v>CNCT0045</x:v>
      </x:c>
      <x:c r="E180" s="18" t="str">
        <x:v>成都大悦城</x:v>
      </x:c>
      <x:c r="F180" s="18" t="str">
        <x:v>成都</x:v>
      </x:c>
      <x:c r="G180" s="18" t="str">
        <x:v>四川省</x:v>
      </x:c>
      <x:c r="H180" s="18" t="str">
        <x:v>西区</x:v>
      </x:c>
      <x:c r="I180" s="18" t="str">
        <x:v>Shopping Mall</x:v>
      </x:c>
      <x:c r="J180" s="18" t="str">
        <x:v>Regional Mall</x:v>
      </x:c>
      <x:c r="K180" s="18" t="str">
        <x:v>正常</x:v>
      </x:c>
      <x:c r="L180" s="62" t="n">
        <x:v>4</x:v>
      </x:c>
      <x:c r="M180" s="62" t="n">
        <x:v>51</x:v>
      </x:c>
      <x:c r="N180" s="63" t="n">
        <x:f>'Drivers'!C180</x:f>
        <x:v>1364</x:v>
      </x:c>
      <x:c r="O180" s="63" t="n">
        <x:f>'Drivers'!D180</x:f>
        <x:v>1036.208</x:v>
      </x:c>
      <x:c r="P180" s="64" t="n">
        <x:f>ROUND(N180*O180/1000,3)</x:f>
        <x:v>1413.388</x:v>
      </x:c>
      <x:c r="Q180" s="64" t="n">
        <x:f>ROUND(P180*'Drivers'!E180,3)</x:f>
        <x:v>1389.679</x:v>
      </x:c>
      <x:c r="R180" s="64" t="n">
        <x:f>-ROUND(Q180*'Drivers'!F180,3)</x:f>
        <x:v>-254.836</x:v>
      </x:c>
      <x:c r="S180" s="65" t="n">
        <x:f>R180/Q180</x:f>
        <x:v>-0.1833776001508262</x:v>
      </x:c>
      <x:c r="T180" s="64" t="n">
        <x:f>-ROUND(Q180*'Drivers'!G180,3)</x:f>
        <x:v>-22.22</x:v>
      </x:c>
      <x:c r="U180" s="65" t="n">
        <x:f>T180/Q180</x:f>
        <x:v>-0.015989304004737782</x:v>
      </x:c>
      <x:c r="V180" s="64" t="n">
        <x:f>-ROUND(Q180*'Drivers'!H180,3)</x:f>
        <x:v>-11.258</x:v>
      </x:c>
      <x:c r="W180" s="64" t="n">
        <x:f>-ROUND(Q180*'Drivers'!I180,3)</x:f>
        <x:v>-9.852</x:v>
      </x:c>
      <x:c r="X180" s="64" t="n">
        <x:f>-ROUND(Q180*'Drivers'!J180,3)</x:f>
        <x:v>-15.141</x:v>
      </x:c>
      <x:c r="Y180" s="64" t="n">
        <x:f>-ROUND(Q180*'Drivers'!K180,3)</x:f>
        <x:v>-14.263</x:v>
      </x:c>
      <x:c r="Z180" s="64" t="n">
        <x:f>-ROUND(Q180*'Drivers'!L180,3)</x:f>
        <x:v>-11.807</x:v>
      </x:c>
      <x:c r="AA180" s="64" t="n">
        <x:f>-ROUND(Q180*'Drivers'!M180,3)</x:f>
        <x:v>-13.3</x:v>
      </x:c>
      <x:c r="AB180" s="64" t="n">
        <x:f>-ROUND(Q180*'Drivers'!N180,3)</x:f>
        <x:v>-9.637</x:v>
      </x:c>
      <x:c r="AC180" s="64" t="n">
        <x:f>SUM(V180:AB180)</x:f>
        <x:v>-85.258</x:v>
      </x:c>
      <x:c r="AD180" s="65" t="n">
        <x:f>AC180/Q180</x:f>
        <x:v>-0.061350858723489374</x:v>
      </x:c>
      <x:c r="AE180" s="64" t="n">
        <x:f>-ROUND(Q180*'Drivers'!O180,3)</x:f>
        <x:v>-23.183</x:v>
      </x:c>
      <x:c r="AF180" s="65" t="n">
        <x:f>AE180/Q180</x:f>
        <x:v>-0.016682269790361658</x:v>
      </x:c>
      <x:c r="AG180" s="64" t="n">
        <x:f>-ROUND(Q180*'Drivers'!P180,3)</x:f>
        <x:v>-2.706</x:v>
      </x:c>
      <x:c r="AH180" s="64" t="n">
        <x:f>-ROUND(Q180*'Drivers'!Q180,3)</x:f>
        <x:v>-2.854</x:v>
      </x:c>
      <x:c r="AI180" s="64" t="n">
        <x:f>SUM(R180,T180,AC180,AE180,AG180,AH180)</x:f>
        <x:v>-391.057</x:v>
      </x:c>
      <x:c r="AJ180" s="65" t="n">
        <x:f>AI180/Q180</x:f>
        <x:v>-0.28140095662379583</x:v>
      </x:c>
      <x:c r="AK180" s="64" t="n">
        <x:f>Q180+AI180</x:f>
        <x:v>998.6220000000001</x:v>
      </x:c>
      <x:c r="AL180" s="65" t="n">
        <x:f>AK180/Q180</x:f>
        <x:v>0.7185990433762042</x:v>
      </x:c>
      <x:c r="AM180" s="64" t="n">
        <x:f>AK180/L180</x:f>
        <x:v>249.65550000000002</x:v>
      </x:c>
      <x:c r="AN180" s="66" t="str">
        <x:f>IF(AM180&lt;=200,"≤200K",IF(AM180&lt;=350,"200–350K",IF(AM180&lt;=500,"350–500K",IF(AM180&lt;=700,"500–700K","&gt;700K"))))</x:f>
        <x:v>200–350K</x:v>
      </x:c>
      <x:c r="AO180" s="64" t="n">
        <x:f>-ROUND(Q180*'Drivers'!R180,3)</x:f>
        <x:v>-514.651</x:v>
      </x:c>
      <x:c r="AP180" s="64" t="n">
        <x:f>-ROUND(AK180*'Drivers'!S180,3)</x:f>
        <x:v>-13.721</x:v>
      </x:c>
      <x:c r="AQ180" s="64" t="n">
        <x:f>-ROUND(AK180*'Drivers'!T180,3)</x:f>
        <x:v>-3.966</x:v>
      </x:c>
      <x:c r="AR180" s="64" t="n">
        <x:f>-ROUND(AK180*'Drivers'!U180,3)</x:f>
        <x:v>-11.262</x:v>
      </x:c>
      <x:c r="AS180" s="64" t="n">
        <x:f>-ROUND(AK180*'Drivers'!V180,3)</x:f>
        <x:v>-36.454</x:v>
      </x:c>
      <x:c r="AT180" s="64" t="n">
        <x:f>SUM(AO180:AS180)</x:f>
        <x:v>-580.0539999999999</x:v>
      </x:c>
      <x:c r="AU180" s="65" t="n">
        <x:f>AT180/AK180</x:f>
        <x:v>-0.5808544173871594</x:v>
      </x:c>
      <x:c r="AV180" s="64" t="n">
        <x:f>AK180+AT180</x:f>
        <x:v>418.5680000000002</x:v>
      </x:c>
      <x:c r="AW180" s="65" t="n">
        <x:f>AV180/AK180</x:f>
        <x:v>0.4191455826128407</x:v>
      </x:c>
      <x:c r="AX180" s="64" t="n">
        <x:f>-ROUND(AK180*'Drivers'!W180,3)</x:f>
        <x:v>-15.572</x:v>
      </x:c>
      <x:c r="AY180" s="64" t="n">
        <x:f>-ROUND(AK180*'Drivers'!X180,3)</x:f>
        <x:v>-29.206</x:v>
      </x:c>
      <x:c r="AZ180" s="64" t="n">
        <x:f>-ROUND(AK180*'Drivers'!Y180,3)</x:f>
        <x:v>-31.365</x:v>
      </x:c>
      <x:c r="BA180" s="64" t="n">
        <x:f>-ROUND(AK180*'Drivers'!Z180,3)</x:f>
        <x:v>-6.978</x:v>
      </x:c>
      <x:c r="BB180" s="64" t="n">
        <x:f>-ROUND(AK180*'Drivers'!AA180,3)</x:f>
        <x:v>-7.167</x:v>
      </x:c>
      <x:c r="BC180" s="64" t="n">
        <x:f>SUM(BA180,BB180)</x:f>
        <x:v>-14.145</x:v>
      </x:c>
      <x:c r="BD180" s="64" t="n">
        <x:f>-ROUND(AK180*'Drivers'!AB180,3)</x:f>
        <x:v>-5.17</x:v>
      </x:c>
      <x:c r="BE180" s="64" t="n">
        <x:f>SUM(AX180:BB180,BD180)</x:f>
        <x:v>-95.458</x:v>
      </x:c>
      <x:c r="BF180" s="67" t="n">
        <x:f>'Drivers'!AF180</x:f>
        <x:v>6</x:v>
      </x:c>
      <x:c r="BG180" s="64" t="n">
        <x:f>BJ180</x:f>
        <x:v>-35.843</x:v>
      </x:c>
      <x:c r="BH180" s="64" t="n">
        <x:f>BE180/BF180</x:f>
        <x:v>-15.909666666666666</x:v>
      </x:c>
      <x:c r="BI180" s="68" t="n">
        <x:f>BF180/L180</x:f>
        <x:v>1.5</x:v>
      </x:c>
      <x:c r="BJ180" s="64" t="n">
        <x:f>-ROUND(AK180*'Drivers'!AC180,3)</x:f>
        <x:v>-35.843</x:v>
      </x:c>
      <x:c r="BK180" s="64" t="n">
        <x:f>-ROUND(AK180*'Drivers'!AD180,3)</x:f>
        <x:v>-113.749</x:v>
      </x:c>
      <x:c r="BL180" s="64" t="n">
        <x:f>SUM(AV180,BE180,BJ180,BK180)</x:f>
        <x:v>173.51800000000023</x:v>
      </x:c>
      <x:c r="BM180" s="65" t="n">
        <x:f>BL180/AK180</x:f>
        <x:v>0.17375743774921865</x:v>
      </x:c>
      <x:c r="BN180" s="64" t="n">
        <x:f>-ROUND(AK180*'Drivers'!AE180,3)</x:f>
        <x:v>-85.16</x:v>
      </x:c>
      <x:c r="BO180" s="64" t="n">
        <x:f>BL180+BN180</x:f>
        <x:v>88.35800000000023</x:v>
      </x:c>
      <x:c r="BP180" s="65" t="n">
        <x:f>BO180/AK180</x:f>
        <x:v>0.08847992533711477</x:v>
      </x:c>
    </x:row>
    <x:row r="181">
      <x:c r="A181" s="61" t="n">
        <x:v>2026</x:v>
      </x:c>
      <x:c r="B181" s="18" t="str">
        <x:v>S2</x:v>
      </x:c>
      <x:c r="C181" s="18" t="str">
        <x:v>2026 S2</x:v>
      </x:c>
      <x:c r="D181" s="18" t="str">
        <x:v>CNCT0045</x:v>
      </x:c>
      <x:c r="E181" s="18" t="str">
        <x:v>成都大悦城</x:v>
      </x:c>
      <x:c r="F181" s="18" t="str">
        <x:v>成都</x:v>
      </x:c>
      <x:c r="G181" s="18" t="str">
        <x:v>四川省</x:v>
      </x:c>
      <x:c r="H181" s="18" t="str">
        <x:v>西区</x:v>
      </x:c>
      <x:c r="I181" s="18" t="str">
        <x:v>Shopping Mall</x:v>
      </x:c>
      <x:c r="J181" s="18" t="str">
        <x:v>Regional Mall</x:v>
      </x:c>
      <x:c r="K181" s="18" t="str">
        <x:v>正常</x:v>
      </x:c>
      <x:c r="L181" s="62" t="n">
        <x:v>4</x:v>
      </x:c>
      <x:c r="M181" s="62" t="n">
        <x:v>51</x:v>
      </x:c>
      <x:c r="N181" s="63" t="n">
        <x:f>'Drivers'!C181</x:f>
        <x:v>1699</x:v>
      </x:c>
      <x:c r="O181" s="63" t="n">
        <x:f>'Drivers'!D181</x:f>
        <x:v>1061.491</x:v>
      </x:c>
      <x:c r="P181" s="64" t="n">
        <x:f>ROUND(N181*O181/1000,3)</x:f>
        <x:v>1803.473</x:v>
      </x:c>
      <x:c r="Q181" s="64" t="n">
        <x:f>ROUND(P181*'Drivers'!E181,3)</x:f>
        <x:v>1766.592</x:v>
      </x:c>
      <x:c r="R181" s="64" t="n">
        <x:f>-ROUND(Q181*'Drivers'!F181,3)</x:f>
        <x:v>-328.819</x:v>
      </x:c>
      <x:c r="S181" s="65" t="n">
        <x:f>R181/Q181</x:f>
        <x:v>-0.18613182896786581</x:v>
      </x:c>
      <x:c r="T181" s="64" t="n">
        <x:f>-ROUND(Q181*'Drivers'!G181,3)</x:f>
        <x:v>-28.746</x:v>
      </x:c>
      <x:c r="U181" s="65" t="n">
        <x:f>T181/Q181</x:f>
        <x:v>-0.01627200847733942</x:v>
      </x:c>
      <x:c r="V181" s="64" t="n">
        <x:f>-ROUND(Q181*'Drivers'!H181,3)</x:f>
        <x:v>-14.312</x:v>
      </x:c>
      <x:c r="W181" s="64" t="n">
        <x:f>-ROUND(Q181*'Drivers'!I181,3)</x:f>
        <x:v>-12.524</x:v>
      </x:c>
      <x:c r="X181" s="64" t="n">
        <x:f>-ROUND(Q181*'Drivers'!J181,3)</x:f>
        <x:v>-19.248</x:v>
      </x:c>
      <x:c r="Y181" s="64" t="n">
        <x:f>-ROUND(Q181*'Drivers'!K181,3)</x:f>
        <x:v>-18.132</x:v>
      </x:c>
      <x:c r="Z181" s="64" t="n">
        <x:f>-ROUND(Q181*'Drivers'!L181,3)</x:f>
        <x:v>-15.01</x:v>
      </x:c>
      <x:c r="AA181" s="64" t="n">
        <x:f>-ROUND(Q181*'Drivers'!M181,3)</x:f>
        <x:v>-16.907</x:v>
      </x:c>
      <x:c r="AB181" s="64" t="n">
        <x:f>-ROUND(Q181*'Drivers'!N181,3)</x:f>
        <x:v>-12.251</x:v>
      </x:c>
      <x:c r="AC181" s="64" t="n">
        <x:f>SUM(V181:AB181)</x:f>
        <x:v>-108.38400000000001</x:v>
      </x:c>
      <x:c r="AD181" s="65" t="n">
        <x:f>AC181/Q181</x:f>
        <x:v>-0.06135202695359201</x:v>
      </x:c>
      <x:c r="AE181" s="64" t="n">
        <x:f>-ROUND(Q181*'Drivers'!O181,3)</x:f>
        <x:v>-26.441</x:v>
      </x:c>
      <x:c r="AF181" s="65" t="n">
        <x:f>AE181/Q181</x:f>
        <x:v>-0.014967236351121254</x:v>
      </x:c>
      <x:c r="AG181" s="64" t="n">
        <x:f>-ROUND(Q181*'Drivers'!P181,3)</x:f>
        <x:v>-3.44</x:v>
      </x:c>
      <x:c r="AH181" s="64" t="n">
        <x:f>-ROUND(Q181*'Drivers'!Q181,3)</x:f>
        <x:v>-3.628</x:v>
      </x:c>
      <x:c r="AI181" s="64" t="n">
        <x:f>SUM(R181,T181,AC181,AE181,AG181,AH181)</x:f>
        <x:v>-499.45799999999997</x:v>
      </x:c>
      <x:c r="AJ181" s="65" t="n">
        <x:f>AI181/Q181</x:f>
        <x:v>-0.2827240245625475</x:v>
      </x:c>
      <x:c r="AK181" s="64" t="n">
        <x:f>Q181+AI181</x:f>
        <x:v>1267.134</x:v>
      </x:c>
      <x:c r="AL181" s="65" t="n">
        <x:f>AK181/Q181</x:f>
        <x:v>0.7172759754374525</x:v>
      </x:c>
      <x:c r="AM181" s="64" t="n">
        <x:f>AK181/L181</x:f>
        <x:v>316.7835</x:v>
      </x:c>
      <x:c r="AN181" s="66" t="str">
        <x:f>IF(AM181&lt;=200,"≤200K",IF(AM181&lt;=350,"200–350K",IF(AM181&lt;=500,"350–500K",IF(AM181&lt;=700,"500–700K","&gt;700K"))))</x:f>
        <x:v>200–350K</x:v>
      </x:c>
      <x:c r="AO181" s="64" t="n">
        <x:f>-ROUND(Q181*'Drivers'!R181,3)</x:f>
        <x:v>-631.96</x:v>
      </x:c>
      <x:c r="AP181" s="64" t="n">
        <x:f>-ROUND(AK181*'Drivers'!S181,3)</x:f>
        <x:v>-17.411</x:v>
      </x:c>
      <x:c r="AQ181" s="64" t="n">
        <x:f>-ROUND(AK181*'Drivers'!T181,3)</x:f>
        <x:v>-5.032</x:v>
      </x:c>
      <x:c r="AR181" s="64" t="n">
        <x:f>-ROUND(AK181*'Drivers'!U181,3)</x:f>
        <x:v>-14.29</x:v>
      </x:c>
      <x:c r="AS181" s="64" t="n">
        <x:f>-ROUND(AK181*'Drivers'!V181,3)</x:f>
        <x:v>-46.256</x:v>
      </x:c>
      <x:c r="AT181" s="64" t="n">
        <x:f>SUM(AO181:AS181)</x:f>
        <x:v>-714.9490000000001</x:v>
      </x:c>
      <x:c r="AU181" s="65" t="n">
        <x:f>AT181/AK181</x:f>
        <x:v>-0.5642252516308457</x:v>
      </x:c>
      <x:c r="AV181" s="64" t="n">
        <x:f>AK181+AT181</x:f>
        <x:v>552.185</x:v>
      </x:c>
      <x:c r="AW181" s="65" t="n">
        <x:f>AV181/AK181</x:f>
        <x:v>0.43577474836915425</x:v>
      </x:c>
      <x:c r="AX181" s="64" t="n">
        <x:f>-ROUND(AK181*'Drivers'!W181,3)</x:f>
        <x:v>-12.609</x:v>
      </x:c>
      <x:c r="AY181" s="64" t="n">
        <x:f>-ROUND(AK181*'Drivers'!X181,3)</x:f>
        <x:v>-23.648</x:v>
      </x:c>
      <x:c r="AZ181" s="64" t="n">
        <x:f>-ROUND(AK181*'Drivers'!Y181,3)</x:f>
        <x:v>-25.397</x:v>
      </x:c>
      <x:c r="BA181" s="64" t="n">
        <x:f>-ROUND(AK181*'Drivers'!Z181,3)</x:f>
        <x:v>-7.628</x:v>
      </x:c>
      <x:c r="BB181" s="64" t="n">
        <x:f>-ROUND(AK181*'Drivers'!AA181,3)</x:f>
        <x:v>-7.835</x:v>
      </x:c>
      <x:c r="BC181" s="64" t="n">
        <x:f>SUM(BA181,BB181)</x:f>
        <x:v>-15.463000000000001</x:v>
      </x:c>
      <x:c r="BD181" s="64" t="n">
        <x:f>-ROUND(AK181*'Drivers'!AB181,3)</x:f>
        <x:v>-4.187</x:v>
      </x:c>
      <x:c r="BE181" s="64" t="n">
        <x:f>SUM(AX181:BB181,BD181)</x:f>
        <x:v>-81.30399999999999</x:v>
      </x:c>
      <x:c r="BF181" s="67" t="n">
        <x:f>'Drivers'!AF181</x:f>
        <x:v>6</x:v>
      </x:c>
      <x:c r="BG181" s="64" t="n">
        <x:f>BJ181</x:f>
        <x:v>-29.022</x:v>
      </x:c>
      <x:c r="BH181" s="64" t="n">
        <x:f>BE181/BF181</x:f>
        <x:v>-13.550666666666665</x:v>
      </x:c>
      <x:c r="BI181" s="68" t="n">
        <x:f>BF181/L181</x:f>
        <x:v>1.5</x:v>
      </x:c>
      <x:c r="BJ181" s="64" t="n">
        <x:f>-ROUND(AK181*'Drivers'!AC181,3)</x:f>
        <x:v>-29.022</x:v>
      </x:c>
      <x:c r="BK181" s="64" t="n">
        <x:f>-ROUND(AK181*'Drivers'!AD181,3)</x:f>
        <x:v>-128.87</x:v>
      </x:c>
      <x:c r="BL181" s="64" t="n">
        <x:f>SUM(AV181,BE181,BJ181,BK181)</x:f>
        <x:v>312.989</x:v>
      </x:c>
      <x:c r="BM181" s="65" t="n">
        <x:f>BL181/AK181</x:f>
        <x:v>0.24700544693773505</x:v>
      </x:c>
      <x:c r="BN181" s="64" t="n">
        <x:f>-ROUND(AK181*'Drivers'!AE181,3)</x:f>
        <x:v>-108.058</x:v>
      </x:c>
      <x:c r="BO181" s="64" t="n">
        <x:f>BL181+BN181</x:f>
        <x:v>204.93099999999998</x:v>
      </x:c>
      <x:c r="BP181" s="65" t="n">
        <x:f>BO181/AK181</x:f>
        <x:v>0.16172796247279292</x:v>
      </x:c>
    </x:row>
    <x:row r="182">
      <x:c r="A182" s="61" t="n">
        <x:v>2025</x:v>
      </x:c>
      <x:c r="B182" s="18" t="str">
        <x:v>S1</x:v>
      </x:c>
      <x:c r="C182" s="18" t="str">
        <x:v>2025 S1</x:v>
      </x:c>
      <x:c r="D182" s="18" t="str">
        <x:v>CNCT0046</x:v>
      </x:c>
      <x:c r="E182" s="18" t="str">
        <x:v>重庆IFS</x:v>
      </x:c>
      <x:c r="F182" s="18" t="str">
        <x:v>重庆</x:v>
      </x:c>
      <x:c r="G182" s="18" t="str">
        <x:v>重庆市</x:v>
      </x:c>
      <x:c r="H182" s="18" t="str">
        <x:v>西区</x:v>
      </x:c>
      <x:c r="I182" s="18" t="str">
        <x:v>Shopping Mall</x:v>
      </x:c>
      <x:c r="J182" s="18" t="str">
        <x:v>Prestige Shopping Center</x:v>
      </x:c>
      <x:c r="K182" s="18" t="str">
        <x:v>正常</x:v>
      </x:c>
      <x:c r="L182" s="62" t="n">
        <x:v>6</x:v>
      </x:c>
      <x:c r="M182" s="62" t="n">
        <x:v>42</x:v>
      </x:c>
      <x:c r="N182" s="63" t="n">
        <x:f>'Drivers'!C182</x:f>
        <x:v>2102</x:v>
      </x:c>
      <x:c r="O182" s="63" t="n">
        <x:f>'Drivers'!D182</x:f>
        <x:v>1252.647</x:v>
      </x:c>
      <x:c r="P182" s="64" t="n">
        <x:f>ROUND(N182*O182/1000,3)</x:f>
        <x:v>2633.064</x:v>
      </x:c>
      <x:c r="Q182" s="64" t="n">
        <x:f>ROUND(P182*'Drivers'!E182,3)</x:f>
        <x:v>2569.542</x:v>
      </x:c>
      <x:c r="R182" s="64" t="n">
        <x:f>-ROUND(Q182*'Drivers'!F182,3)</x:f>
        <x:v>-483.2</x:v>
      </x:c>
      <x:c r="S182" s="65" t="n">
        <x:f>R182/Q182</x:f>
        <x:v>-0.18804907645020008</x:v>
      </x:c>
      <x:c r="T182" s="64" t="n">
        <x:f>-ROUND(Q182*'Drivers'!G182,3)</x:f>
        <x:v>-48.343</x:v>
      </x:c>
      <x:c r="U182" s="65" t="n">
        <x:f>T182/Q182</x:f>
        <x:v>-0.018813858656523227</x:v>
      </x:c>
      <x:c r="V182" s="64" t="n">
        <x:f>-ROUND(Q182*'Drivers'!H182,3)</x:f>
        <x:v>-27.115</x:v>
      </x:c>
      <x:c r="W182" s="64" t="n">
        <x:f>-ROUND(Q182*'Drivers'!I182,3)</x:f>
        <x:v>-23.719</x:v>
      </x:c>
      <x:c r="X182" s="64" t="n">
        <x:f>-ROUND(Q182*'Drivers'!J182,3)</x:f>
        <x:v>-29.481</x:v>
      </x:c>
      <x:c r="Y182" s="64" t="n">
        <x:f>-ROUND(Q182*'Drivers'!K182,3)</x:f>
        <x:v>-24.826</x:v>
      </x:c>
      <x:c r="Z182" s="64" t="n">
        <x:f>-ROUND(Q182*'Drivers'!L182,3)</x:f>
        <x:v>-35.179</x:v>
      </x:c>
      <x:c r="AA182" s="64" t="n">
        <x:f>-ROUND(Q182*'Drivers'!M182,3)</x:f>
        <x:v>-17.923</x:v>
      </x:c>
      <x:c r="AB182" s="64" t="n">
        <x:f>-ROUND(Q182*'Drivers'!N182,3)</x:f>
        <x:v>-15.479</x:v>
      </x:c>
      <x:c r="AC182" s="64" t="n">
        <x:f>SUM(V182:AB182)</x:f>
        <x:v>-173.72199999999998</x:v>
      </x:c>
      <x:c r="AD182" s="65" t="n">
        <x:f>AC182/Q182</x:f>
        <x:v>-0.06760815740703985</x:v>
      </x:c>
      <x:c r="AE182" s="64" t="n">
        <x:f>-ROUND(Q182*'Drivers'!O182,3)</x:f>
        <x:v>-18.713</x:v>
      </x:c>
      <x:c r="AF182" s="65" t="n">
        <x:f>AE182/Q182</x:f>
        <x:v>-0.007282620793900236</x:v>
      </x:c>
      <x:c r="AG182" s="64" t="n">
        <x:f>-ROUND(Q182*'Drivers'!P182,3)</x:f>
        <x:v>-7.251</x:v>
      </x:c>
      <x:c r="AH182" s="64" t="n">
        <x:f>-ROUND(Q182*'Drivers'!Q182,3)</x:f>
        <x:v>-15.949</x:v>
      </x:c>
      <x:c r="AI182" s="64" t="n">
        <x:f>SUM(R182,T182,AC182,AE182,AG182,AH182)</x:f>
        <x:v>-747.1779999999999</x:v>
      </x:c>
      <x:c r="AJ182" s="65" t="n">
        <x:f>AI182/Q182</x:f>
        <x:v>-0.29078255969351735</x:v>
      </x:c>
      <x:c r="AK182" s="64" t="n">
        <x:f>Q182+AI182</x:f>
        <x:v>1822.364</x:v>
      </x:c>
      <x:c r="AL182" s="65" t="n">
        <x:f>AK182/Q182</x:f>
        <x:v>0.7092174403064827</x:v>
      </x:c>
      <x:c r="AM182" s="64" t="n">
        <x:f>AK182/L182</x:f>
        <x:v>303.7273333333333</x:v>
      </x:c>
      <x:c r="AN182" s="66" t="str">
        <x:f>IF(AM182&lt;=200,"≤200K",IF(AM182&lt;=350,"200–350K",IF(AM182&lt;=500,"350–500K",IF(AM182&lt;=700,"500–700K","&gt;700K"))))</x:f>
        <x:v>200–350K</x:v>
      </x:c>
      <x:c r="AO182" s="64" t="n">
        <x:f>-ROUND(Q182*'Drivers'!R182,3)</x:f>
        <x:v>-945.015</x:v>
      </x:c>
      <x:c r="AP182" s="64" t="n">
        <x:f>-ROUND(AK182*'Drivers'!S182,3)</x:f>
        <x:v>-25.164</x:v>
      </x:c>
      <x:c r="AQ182" s="64" t="n">
        <x:f>-ROUND(AK182*'Drivers'!T182,3)</x:f>
        <x:v>-7.919</x:v>
      </x:c>
      <x:c r="AR182" s="64" t="n">
        <x:f>-ROUND(AK182*'Drivers'!U182,3)</x:f>
        <x:v>-18.37</x:v>
      </x:c>
      <x:c r="AS182" s="64" t="n">
        <x:f>-ROUND(AK182*'Drivers'!V182,3)</x:f>
        <x:v>-60.112</x:v>
      </x:c>
      <x:c r="AT182" s="64" t="n">
        <x:f>SUM(AO182:AS182)</x:f>
        <x:v>-1056.58</x:v>
      </x:c>
      <x:c r="AU182" s="65" t="n">
        <x:f>AT182/AK182</x:f>
        <x:v>-0.5797853776742736</x:v>
      </x:c>
      <x:c r="AV182" s="64" t="n">
        <x:f>AK182+AT182</x:f>
        <x:v>765.7840000000001</x:v>
      </x:c>
      <x:c r="AW182" s="65" t="n">
        <x:f>AV182/AK182</x:f>
        <x:v>0.42021462232572643</x:v>
      </x:c>
      <x:c r="AX182" s="64" t="n">
        <x:f>-ROUND(AK182*'Drivers'!W182,3)</x:f>
        <x:v>-21.772</x:v>
      </x:c>
      <x:c r="AY182" s="64" t="n">
        <x:f>-ROUND(AK182*'Drivers'!X182,3)</x:f>
        <x:v>-42.586</x:v>
      </x:c>
      <x:c r="AZ182" s="64" t="n">
        <x:f>-ROUND(AK182*'Drivers'!Y182,3)</x:f>
        <x:v>-30.259</x:v>
      </x:c>
      <x:c r="BA182" s="64" t="n">
        <x:f>-ROUND(AK182*'Drivers'!Z182,3)</x:f>
        <x:v>-13.929</x:v>
      </x:c>
      <x:c r="BB182" s="64" t="n">
        <x:f>-ROUND(AK182*'Drivers'!AA182,3)</x:f>
        <x:v>-10.385</x:v>
      </x:c>
      <x:c r="BC182" s="64" t="n">
        <x:f>SUM(BA182,BB182)</x:f>
        <x:v>-24.314</x:v>
      </x:c>
      <x:c r="BD182" s="64" t="n">
        <x:f>-ROUND(AK182*'Drivers'!AB182,3)</x:f>
        <x:v>-6.464</x:v>
      </x:c>
      <x:c r="BE182" s="64" t="n">
        <x:f>SUM(AX182:BB182,BD182)</x:f>
        <x:v>-125.39500000000001</x:v>
      </x:c>
      <x:c r="BF182" s="67" t="n">
        <x:f>'Drivers'!AF182</x:f>
        <x:v>11</x:v>
      </x:c>
      <x:c r="BG182" s="64" t="n">
        <x:f>BJ182</x:f>
        <x:v>-38.044</x:v>
      </x:c>
      <x:c r="BH182" s="64" t="n">
        <x:f>BE182/BF182</x:f>
        <x:v>-11.399545454545455</x:v>
      </x:c>
      <x:c r="BI182" s="68" t="n">
        <x:f>BF182/L182</x:f>
        <x:v>1.8333333333333333</x:v>
      </x:c>
      <x:c r="BJ182" s="64" t="n">
        <x:f>-ROUND(AK182*'Drivers'!AC182,3)</x:f>
        <x:v>-38.044</x:v>
      </x:c>
      <x:c r="BK182" s="64" t="n">
        <x:f>-ROUND(AK182*'Drivers'!AD182,3)</x:f>
        <x:v>-190.468</x:v>
      </x:c>
      <x:c r="BL182" s="64" t="n">
        <x:f>SUM(AV182,BE182,BJ182,BK182)</x:f>
        <x:v>411.8770000000002</x:v>
      </x:c>
      <x:c r="BM182" s="65" t="n">
        <x:f>BL182/AK182</x:f>
        <x:v>0.2260124761024692</x:v>
      </x:c>
      <x:c r="BN182" s="64" t="n">
        <x:f>-ROUND(AK182*'Drivers'!AE182,3)</x:f>
        <x:v>-110.319</x:v>
      </x:c>
      <x:c r="BO182" s="64" t="n">
        <x:f>BL182+BN182</x:f>
        <x:v>301.55800000000016</x:v>
      </x:c>
      <x:c r="BP182" s="65" t="n">
        <x:f>BO182/AK182</x:f>
        <x:v>0.165476271480341</x:v>
      </x:c>
    </x:row>
    <x:row r="183">
      <x:c r="A183" s="61" t="n">
        <x:v>2025</x:v>
      </x:c>
      <x:c r="B183" s="18" t="str">
        <x:v>S2</x:v>
      </x:c>
      <x:c r="C183" s="18" t="str">
        <x:v>2025 S2</x:v>
      </x:c>
      <x:c r="D183" s="18" t="str">
        <x:v>CNCT0046</x:v>
      </x:c>
      <x:c r="E183" s="18" t="str">
        <x:v>重庆IFS</x:v>
      </x:c>
      <x:c r="F183" s="18" t="str">
        <x:v>重庆</x:v>
      </x:c>
      <x:c r="G183" s="18" t="str">
        <x:v>重庆市</x:v>
      </x:c>
      <x:c r="H183" s="18" t="str">
        <x:v>西区</x:v>
      </x:c>
      <x:c r="I183" s="18" t="str">
        <x:v>Shopping Mall</x:v>
      </x:c>
      <x:c r="J183" s="18" t="str">
        <x:v>Prestige Shopping Center</x:v>
      </x:c>
      <x:c r="K183" s="18" t="str">
        <x:v>正常</x:v>
      </x:c>
      <x:c r="L183" s="62" t="n">
        <x:v>6</x:v>
      </x:c>
      <x:c r="M183" s="62" t="n">
        <x:v>42</x:v>
      </x:c>
      <x:c r="N183" s="63" t="n">
        <x:f>'Drivers'!C183</x:f>
        <x:v>2247</x:v>
      </x:c>
      <x:c r="O183" s="63" t="n">
        <x:f>'Drivers'!D183</x:f>
        <x:v>1267.679</x:v>
      </x:c>
      <x:c r="P183" s="64" t="n">
        <x:f>ROUND(N183*O183/1000,3)</x:f>
        <x:v>2848.475</x:v>
      </x:c>
      <x:c r="Q183" s="64" t="n">
        <x:f>ROUND(P183*'Drivers'!E183,3)</x:f>
        <x:v>2800.363</x:v>
      </x:c>
      <x:c r="R183" s="64" t="n">
        <x:f>-ROUND(Q183*'Drivers'!F183,3)</x:f>
        <x:v>-526.605</x:v>
      </x:c>
      <x:c r="S183" s="65" t="n">
        <x:f>R183/Q183</x:f>
        <x:v>-0.18804883509744988</x:v>
      </x:c>
      <x:c r="T183" s="64" t="n">
        <x:f>-ROUND(Q183*'Drivers'!G183,3)</x:f>
        <x:v>-52.686</x:v>
      </x:c>
      <x:c r="U183" s="65" t="n">
        <x:f>T183/Q183</x:f>
        <x:v>-0.018813989472079157</x:v>
      </x:c>
      <x:c r="V183" s="64" t="n">
        <x:f>-ROUND(Q183*'Drivers'!H183,3)</x:f>
        <x:v>-29.55</x:v>
      </x:c>
      <x:c r="W183" s="64" t="n">
        <x:f>-ROUND(Q183*'Drivers'!I183,3)</x:f>
        <x:v>-25.85</x:v>
      </x:c>
      <x:c r="X183" s="64" t="n">
        <x:f>-ROUND(Q183*'Drivers'!J183,3)</x:f>
        <x:v>-32.129</x:v>
      </x:c>
      <x:c r="Y183" s="64" t="n">
        <x:f>-ROUND(Q183*'Drivers'!K183,3)</x:f>
        <x:v>-27.056</x:v>
      </x:c>
      <x:c r="Z183" s="64" t="n">
        <x:f>-ROUND(Q183*'Drivers'!L183,3)</x:f>
        <x:v>-38.34</x:v>
      </x:c>
      <x:c r="AA183" s="64" t="n">
        <x:f>-ROUND(Q183*'Drivers'!M183,3)</x:f>
        <x:v>-19.533</x:v>
      </x:c>
      <x:c r="AB183" s="64" t="n">
        <x:f>-ROUND(Q183*'Drivers'!N183,3)</x:f>
        <x:v>-16.869</x:v>
      </x:c>
      <x:c r="AC183" s="64" t="n">
        <x:f>SUM(V183:AB183)</x:f>
        <x:v>-189.32700000000003</x:v>
      </x:c>
      <x:c r="AD183" s="65" t="n">
        <x:f>AC183/Q183</x:f>
        <x:v>-0.0676080208173012</x:v>
      </x:c>
      <x:c r="AE183" s="64" t="n">
        <x:f>-ROUND(Q183*'Drivers'!O183,3)</x:f>
        <x:v>-20.394</x:v>
      </x:c>
      <x:c r="AF183" s="65" t="n">
        <x:f>AE183/Q183</x:f>
        <x:v>-0.00728262728796231</x:v>
      </x:c>
      <x:c r="AG183" s="64" t="n">
        <x:f>-ROUND(Q183*'Drivers'!P183,3)</x:f>
        <x:v>-7.903</x:v>
      </x:c>
      <x:c r="AH183" s="64" t="n">
        <x:f>-ROUND(Q183*'Drivers'!Q183,3)</x:f>
        <x:v>-17.381</x:v>
      </x:c>
      <x:c r="AI183" s="64" t="n">
        <x:f>SUM(R183,T183,AC183,AE183,AG183,AH183)</x:f>
        <x:v>-814.296</x:v>
      </x:c>
      <x:c r="AJ183" s="65" t="n">
        <x:f>AI183/Q183</x:f>
        <x:v>-0.29078230215154255</x:v>
      </x:c>
      <x:c r="AK183" s="64" t="n">
        <x:f>Q183+AI183</x:f>
        <x:v>1986.0669999999998</x:v>
      </x:c>
      <x:c r="AL183" s="65" t="n">
        <x:f>AK183/Q183</x:f>
        <x:v>0.7092176978484575</x:v>
      </x:c>
      <x:c r="AM183" s="64" t="n">
        <x:f>AK183/L183</x:f>
        <x:v>331.0111666666666</x:v>
      </x:c>
      <x:c r="AN183" s="66" t="str">
        <x:f>IF(AM183&lt;=200,"≤200K",IF(AM183&lt;=350,"200–350K",IF(AM183&lt;=500,"350–500K",IF(AM183&lt;=700,"500–700K","&gt;700K"))))</x:f>
        <x:v>200–350K</x:v>
      </x:c>
      <x:c r="AO183" s="64" t="n">
        <x:f>-ROUND(Q183*'Drivers'!R183,3)</x:f>
        <x:v>-967.591</x:v>
      </x:c>
      <x:c r="AP183" s="64" t="n">
        <x:f>-ROUND(AK183*'Drivers'!S183,3)</x:f>
        <x:v>-27.424</x:v>
      </x:c>
      <x:c r="AQ183" s="64" t="n">
        <x:f>-ROUND(AK183*'Drivers'!T183,3)</x:f>
        <x:v>-8.63</x:v>
      </x:c>
      <x:c r="AR183" s="64" t="n">
        <x:f>-ROUND(AK183*'Drivers'!U183,3)</x:f>
        <x:v>-20.02</x:v>
      </x:c>
      <x:c r="AS183" s="64" t="n">
        <x:f>-ROUND(AK183*'Drivers'!V183,3)</x:f>
        <x:v>-65.512</x:v>
      </x:c>
      <x:c r="AT183" s="64" t="n">
        <x:f>SUM(AO183:AS183)</x:f>
        <x:v>-1089.177</x:v>
      </x:c>
      <x:c r="AU183" s="65" t="n">
        <x:f>AT183/AK183</x:f>
        <x:v>-0.5484089912374558</x:v>
      </x:c>
      <x:c r="AV183" s="64" t="n">
        <x:f>AK183+AT183</x:f>
        <x:v>896.8899999999999</x:v>
      </x:c>
      <x:c r="AW183" s="65" t="n">
        <x:f>AV183/AK183</x:f>
        <x:v>0.45159100876254427</x:v>
      </x:c>
      <x:c r="AX183" s="64" t="n">
        <x:f>-ROUND(AK183*'Drivers'!W183,3)</x:f>
        <x:v>-23.728</x:v>
      </x:c>
      <x:c r="AY183" s="64" t="n">
        <x:f>-ROUND(AK183*'Drivers'!X183,3)</x:f>
        <x:v>-46.411</x:v>
      </x:c>
      <x:c r="AZ183" s="64" t="n">
        <x:f>-ROUND(AK183*'Drivers'!Y183,3)</x:f>
        <x:v>-32.977</x:v>
      </x:c>
      <x:c r="BA183" s="64" t="n">
        <x:f>-ROUND(AK183*'Drivers'!Z183,3)</x:f>
        <x:v>-15.18</x:v>
      </x:c>
      <x:c r="BB183" s="64" t="n">
        <x:f>-ROUND(AK183*'Drivers'!AA183,3)</x:f>
        <x:v>-11.318</x:v>
      </x:c>
      <x:c r="BC183" s="64" t="n">
        <x:f>SUM(BA183,BB183)</x:f>
        <x:v>-26.497999999999998</x:v>
      </x:c>
      <x:c r="BD183" s="64" t="n">
        <x:f>-ROUND(AK183*'Drivers'!AB183,3)</x:f>
        <x:v>-7.045</x:v>
      </x:c>
      <x:c r="BE183" s="64" t="n">
        <x:f>SUM(AX183:BB183,BD183)</x:f>
        <x:v>-136.65900000000002</x:v>
      </x:c>
      <x:c r="BF183" s="67" t="n">
        <x:f>'Drivers'!AF183</x:f>
        <x:v>11</x:v>
      </x:c>
      <x:c r="BG183" s="64" t="n">
        <x:f>BJ183</x:f>
        <x:v>-41.461</x:v>
      </x:c>
      <x:c r="BH183" s="64" t="n">
        <x:f>BE183/BF183</x:f>
        <x:v>-12.423545454545456</x:v>
      </x:c>
      <x:c r="BI183" s="68" t="n">
        <x:f>BF183/L183</x:f>
        <x:v>1.8333333333333333</x:v>
      </x:c>
      <x:c r="BJ183" s="64" t="n">
        <x:f>-ROUND(AK183*'Drivers'!AC183,3)</x:f>
        <x:v>-41.461</x:v>
      </x:c>
      <x:c r="BK183" s="64" t="n">
        <x:f>-ROUND(AK183*'Drivers'!AD183,3)</x:f>
        <x:v>-207.578</x:v>
      </x:c>
      <x:c r="BL183" s="64" t="n">
        <x:f>SUM(AV183,BE183,BJ183,BK183)</x:f>
        <x:v>511.1919999999999</x:v>
      </x:c>
      <x:c r="BM183" s="65" t="n">
        <x:f>BL183/AK183</x:f>
        <x:v>0.2573891011733239</x:v>
      </x:c>
      <x:c r="BN183" s="64" t="n">
        <x:f>-ROUND(AK183*'Drivers'!AE183,3)</x:f>
        <x:v>-153.7</x:v>
      </x:c>
      <x:c r="BO183" s="64" t="n">
        <x:f>BL183+BN183</x:f>
        <x:v>357.4919999999999</x:v>
      </x:c>
      <x:c r="BP183" s="65" t="n">
        <x:f>BO183/AK183</x:f>
        <x:v>0.1799999697895388</x:v>
      </x:c>
    </x:row>
    <x:row r="184">
      <x:c r="A184" s="61" t="n">
        <x:v>2026</x:v>
      </x:c>
      <x:c r="B184" s="18" t="str">
        <x:v>S1</x:v>
      </x:c>
      <x:c r="C184" s="18" t="str">
        <x:v>2026 S1</x:v>
      </x:c>
      <x:c r="D184" s="18" t="str">
        <x:v>CNCT0046</x:v>
      </x:c>
      <x:c r="E184" s="18" t="str">
        <x:v>重庆IFS</x:v>
      </x:c>
      <x:c r="F184" s="18" t="str">
        <x:v>重庆</x:v>
      </x:c>
      <x:c r="G184" s="18" t="str">
        <x:v>重庆市</x:v>
      </x:c>
      <x:c r="H184" s="18" t="str">
        <x:v>西区</x:v>
      </x:c>
      <x:c r="I184" s="18" t="str">
        <x:v>Shopping Mall</x:v>
      </x:c>
      <x:c r="J184" s="18" t="str">
        <x:v>Prestige Shopping Center</x:v>
      </x:c>
      <x:c r="K184" s="18" t="str">
        <x:v>正常</x:v>
      </x:c>
      <x:c r="L184" s="62" t="n">
        <x:v>6</x:v>
      </x:c>
      <x:c r="M184" s="62" t="n">
        <x:v>42</x:v>
      </x:c>
      <x:c r="N184" s="63" t="n">
        <x:f>'Drivers'!C184</x:f>
        <x:v>2299</x:v>
      </x:c>
      <x:c r="O184" s="63" t="n">
        <x:f>'Drivers'!D184</x:f>
        <x:v>1311.742</x:v>
      </x:c>
      <x:c r="P184" s="64" t="n">
        <x:f>ROUND(N184*O184/1000,3)</x:f>
        <x:v>3015.695</x:v>
      </x:c>
      <x:c r="Q184" s="64" t="n">
        <x:f>ROUND(P184*'Drivers'!E184,3)</x:f>
        <x:v>2937.965</x:v>
      </x:c>
      <x:c r="R184" s="64" t="n">
        <x:f>-ROUND(Q184*'Drivers'!F184,3)</x:f>
        <x:v>-679.363</x:v>
      </x:c>
      <x:c r="S184" s="65" t="n">
        <x:f>R184/Q184</x:f>
        <x:v>-0.2312359064862924</x:v>
      </x:c>
      <x:c r="T184" s="64" t="n">
        <x:f>-ROUND(Q184*'Drivers'!G184,3)</x:f>
        <x:v>-51.464</x:v>
      </x:c>
      <x:c r="U184" s="65" t="n">
        <x:f>T184/Q184</x:f>
        <x:v>-0.017516886688575255</x:v>
      </x:c>
      <x:c r="V184" s="64" t="n">
        <x:f>-ROUND(Q184*'Drivers'!H184,3)</x:f>
        <x:v>-31.003</x:v>
      </x:c>
      <x:c r="W184" s="64" t="n">
        <x:f>-ROUND(Q184*'Drivers'!I184,3)</x:f>
        <x:v>-27.12</x:v>
      </x:c>
      <x:c r="X184" s="64" t="n">
        <x:f>-ROUND(Q184*'Drivers'!J184,3)</x:f>
        <x:v>-33.707</x:v>
      </x:c>
      <x:c r="Y184" s="64" t="n">
        <x:f>-ROUND(Q184*'Drivers'!K184,3)</x:f>
        <x:v>-28.385</x:v>
      </x:c>
      <x:c r="Z184" s="64" t="n">
        <x:f>-ROUND(Q184*'Drivers'!L184,3)</x:f>
        <x:v>-40.224</x:v>
      </x:c>
      <x:c r="AA184" s="64" t="n">
        <x:f>-ROUND(Q184*'Drivers'!M184,3)</x:f>
        <x:v>-20.492</x:v>
      </x:c>
      <x:c r="AB184" s="64" t="n">
        <x:f>-ROUND(Q184*'Drivers'!N184,3)</x:f>
        <x:v>-17.698</x:v>
      </x:c>
      <x:c r="AC184" s="64" t="n">
        <x:f>SUM(V184:AB184)</x:f>
        <x:v>-198.62900000000002</x:v>
      </x:c>
      <x:c r="AD184" s="65" t="n">
        <x:f>AC184/Q184</x:f>
        <x:v>-0.06760768082669467</x:v>
      </x:c>
      <x:c r="AE184" s="64" t="n">
        <x:f>-ROUND(Q184*'Drivers'!O184,3)</x:f>
        <x:v>-25.494</x:v>
      </x:c>
      <x:c r="AF184" s="65" t="n">
        <x:f>AE184/Q184</x:f>
        <x:v>-0.008677434891157654</x:v>
      </x:c>
      <x:c r="AG184" s="64" t="n">
        <x:f>-ROUND(Q184*'Drivers'!P184,3)</x:f>
        <x:v>-8.291</x:v>
      </x:c>
      <x:c r="AH184" s="64" t="n">
        <x:f>-ROUND(Q184*'Drivers'!Q184,3)</x:f>
        <x:v>-18.236</x:v>
      </x:c>
      <x:c r="AI184" s="64" t="n">
        <x:f>SUM(R184,T184,AC184,AE184,AG184,AH184)</x:f>
        <x:v>-981.4770000000001</x:v>
      </x:c>
      <x:c r="AJ184" s="65" t="n">
        <x:f>AI184/Q184</x:f>
        <x:v>-0.33406694770019385</x:v>
      </x:c>
      <x:c r="AK184" s="64" t="n">
        <x:f>Q184+AI184</x:f>
        <x:v>1956.488</x:v>
      </x:c>
      <x:c r="AL184" s="65" t="n">
        <x:f>AK184/Q184</x:f>
        <x:v>0.6659330522998061</x:v>
      </x:c>
      <x:c r="AM184" s="64" t="n">
        <x:f>AK184/L184</x:f>
        <x:v>326.08133333333336</x:v>
      </x:c>
      <x:c r="AN184" s="66" t="str">
        <x:f>IF(AM184&lt;=200,"≤200K",IF(AM184&lt;=350,"200–350K",IF(AM184&lt;=500,"350–500K",IF(AM184&lt;=700,"500–700K","&gt;700K"))))</x:f>
        <x:v>200–350K</x:v>
      </x:c>
      <x:c r="AO184" s="64" t="n">
        <x:f>-ROUND(Q184*'Drivers'!R184,3)</x:f>
        <x:v>-1079.795</x:v>
      </x:c>
      <x:c r="AP184" s="64" t="n">
        <x:f>-ROUND(AK184*'Drivers'!S184,3)</x:f>
        <x:v>-27.016</x:v>
      </x:c>
      <x:c r="AQ184" s="64" t="n">
        <x:f>-ROUND(AK184*'Drivers'!T184,3)</x:f>
        <x:v>-8.501</x:v>
      </x:c>
      <x:c r="AR184" s="64" t="n">
        <x:f>-ROUND(AK184*'Drivers'!U184,3)</x:f>
        <x:v>-19.722</x:v>
      </x:c>
      <x:c r="AS184" s="64" t="n">
        <x:f>-ROUND(AK184*'Drivers'!V184,3)</x:f>
        <x:v>-64.536</x:v>
      </x:c>
      <x:c r="AT184" s="64" t="n">
        <x:f>SUM(AO184:AS184)</x:f>
        <x:v>-1199.5700000000002</x:v>
      </x:c>
      <x:c r="AU184" s="65" t="n">
        <x:f>AT184/AK184</x:f>
        <x:v>-0.6131241285405278</x:v>
      </x:c>
      <x:c r="AV184" s="64" t="n">
        <x:f>AK184+AT184</x:f>
        <x:v>756.9179999999999</x:v>
      </x:c>
      <x:c r="AW184" s="65" t="n">
        <x:f>AV184/AK184</x:f>
        <x:v>0.3868758714594722</x:v>
      </x:c>
      <x:c r="AX184" s="64" t="n">
        <x:f>-ROUND(AK184*'Drivers'!W184,3)</x:f>
        <x:v>-28.762</x:v>
      </x:c>
      <x:c r="AY184" s="64" t="n">
        <x:f>-ROUND(AK184*'Drivers'!X184,3)</x:f>
        <x:v>-56.257</x:v>
      </x:c>
      <x:c r="AZ184" s="64" t="n">
        <x:f>-ROUND(AK184*'Drivers'!Y184,3)</x:f>
        <x:v>-39.972</x:v>
      </x:c>
      <x:c r="BA184" s="64" t="n">
        <x:f>-ROUND(AK184*'Drivers'!Z184,3)</x:f>
        <x:v>-18.4</x:v>
      </x:c>
      <x:c r="BB184" s="64" t="n">
        <x:f>-ROUND(AK184*'Drivers'!AA184,3)</x:f>
        <x:v>-13.719</x:v>
      </x:c>
      <x:c r="BC184" s="64" t="n">
        <x:f>SUM(BA184,BB184)</x:f>
        <x:v>-32.119</x:v>
      </x:c>
      <x:c r="BD184" s="64" t="n">
        <x:f>-ROUND(AK184*'Drivers'!AB184,3)</x:f>
        <x:v>-8.54</x:v>
      </x:c>
      <x:c r="BE184" s="64" t="n">
        <x:f>SUM(AX184:BB184,BD184)</x:f>
        <x:v>-165.65</x:v>
      </x:c>
      <x:c r="BF184" s="67" t="n">
        <x:f>'Drivers'!AF184</x:f>
        <x:v>11</x:v>
      </x:c>
      <x:c r="BG184" s="64" t="n">
        <x:f>BJ184</x:f>
        <x:v>-50.256</x:v>
      </x:c>
      <x:c r="BH184" s="64" t="n">
        <x:f>BE184/BF184</x:f>
        <x:v>-15.05909090909091</x:v>
      </x:c>
      <x:c r="BI184" s="68" t="n">
        <x:f>BF184/L184</x:f>
        <x:v>1.8333333333333333</x:v>
      </x:c>
      <x:c r="BJ184" s="64" t="n">
        <x:f>-ROUND(AK184*'Drivers'!AC184,3)</x:f>
        <x:v>-50.256</x:v>
      </x:c>
      <x:c r="BK184" s="64" t="n">
        <x:f>-ROUND(AK184*'Drivers'!AD184,3)</x:f>
        <x:v>-204.487</x:v>
      </x:c>
      <x:c r="BL184" s="64" t="n">
        <x:f>SUM(AV184,BE184,BJ184,BK184)</x:f>
        <x:v>336.525</x:v>
      </x:c>
      <x:c r="BM184" s="65" t="n">
        <x:f>BL184/AK184</x:f>
        <x:v>0.172004632791001</x:v>
      </x:c>
      <x:c r="BN184" s="64" t="n">
        <x:f>-ROUND(AK184*'Drivers'!AE184,3)</x:f>
        <x:v>-118.439</x:v>
      </x:c>
      <x:c r="BO184" s="64" t="n">
        <x:f>BL184+BN184</x:f>
        <x:v>218.08599999999998</x:v>
      </x:c>
      <x:c r="BP184" s="65" t="n">
        <x:f>BO184/AK184</x:f>
        <x:v>0.11146809998323526</x:v>
      </x:c>
    </x:row>
    <x:row r="185">
      <x:c r="A185" s="61" t="n">
        <x:v>2026</x:v>
      </x:c>
      <x:c r="B185" s="18" t="str">
        <x:v>S2</x:v>
      </x:c>
      <x:c r="C185" s="18" t="str">
        <x:v>2026 S2</x:v>
      </x:c>
      <x:c r="D185" s="18" t="str">
        <x:v>CNCT0046</x:v>
      </x:c>
      <x:c r="E185" s="18" t="str">
        <x:v>重庆IFS</x:v>
      </x:c>
      <x:c r="F185" s="18" t="str">
        <x:v>重庆</x:v>
      </x:c>
      <x:c r="G185" s="18" t="str">
        <x:v>重庆市</x:v>
      </x:c>
      <x:c r="H185" s="18" t="str">
        <x:v>西区</x:v>
      </x:c>
      <x:c r="I185" s="18" t="str">
        <x:v>Shopping Mall</x:v>
      </x:c>
      <x:c r="J185" s="18" t="str">
        <x:v>Prestige Shopping Center</x:v>
      </x:c>
      <x:c r="K185" s="18" t="str">
        <x:v>正常</x:v>
      </x:c>
      <x:c r="L185" s="62" t="n">
        <x:v>6</x:v>
      </x:c>
      <x:c r="M185" s="62" t="n">
        <x:v>42</x:v>
      </x:c>
      <x:c r="N185" s="63" t="n">
        <x:f>'Drivers'!C185</x:f>
        <x:v>2334</x:v>
      </x:c>
      <x:c r="O185" s="63" t="n">
        <x:f>'Drivers'!D185</x:f>
        <x:v>1315.727</x:v>
      </x:c>
      <x:c r="P185" s="64" t="n">
        <x:f>ROUND(N185*O185/1000,3)</x:f>
        <x:v>3070.907</x:v>
      </x:c>
      <x:c r="Q185" s="64" t="n">
        <x:f>ROUND(P185*'Drivers'!E185,3)</x:f>
        <x:v>3019.038</x:v>
      </x:c>
      <x:c r="R185" s="64" t="n">
        <x:f>-ROUND(Q185*'Drivers'!F185,3)</x:f>
        <x:v>-673.814</x:v>
      </x:c>
      <x:c r="S185" s="65" t="n">
        <x:f>R185/Q185</x:f>
        <x:v>-0.22318831362838096</x:v>
      </x:c>
      <x:c r="T185" s="64" t="n">
        <x:f>-ROUND(Q185*'Drivers'!G185,3)</x:f>
        <x:v>-57.919</x:v>
      </x:c>
      <x:c r="U185" s="65" t="n">
        <x:f>T185/Q185</x:f>
        <x:v>-0.019184587938277025</x:v>
      </x:c>
      <x:c r="V185" s="64" t="n">
        <x:f>-ROUND(Q185*'Drivers'!H185,3)</x:f>
        <x:v>-31.858</x:v>
      </x:c>
      <x:c r="W185" s="64" t="n">
        <x:f>-ROUND(Q185*'Drivers'!I185,3)</x:f>
        <x:v>-27.868</x:v>
      </x:c>
      <x:c r="X185" s="64" t="n">
        <x:f>-ROUND(Q185*'Drivers'!J185,3)</x:f>
        <x:v>-34.638</x:v>
      </x:c>
      <x:c r="Y185" s="64" t="n">
        <x:f>-ROUND(Q185*'Drivers'!K185,3)</x:f>
        <x:v>-29.169</x:v>
      </x:c>
      <x:c r="Z185" s="64" t="n">
        <x:f>-ROUND(Q185*'Drivers'!L185,3)</x:f>
        <x:v>-41.334</x:v>
      </x:c>
      <x:c r="AA185" s="64" t="n">
        <x:f>-ROUND(Q185*'Drivers'!M185,3)</x:f>
        <x:v>-21.058</x:v>
      </x:c>
      <x:c r="AB185" s="64" t="n">
        <x:f>-ROUND(Q185*'Drivers'!N185,3)</x:f>
        <x:v>-18.187</x:v>
      </x:c>
      <x:c r="AC185" s="64" t="n">
        <x:f>SUM(V185:AB185)</x:f>
        <x:v>-204.11200000000002</x:v>
      </x:c>
      <x:c r="AD185" s="65" t="n">
        <x:f>AC185/Q185</x:f>
        <x:v>-0.06760829111789915</x:v>
      </x:c>
      <x:c r="AE185" s="64" t="n">
        <x:f>-ROUND(Q185*'Drivers'!O185,3)</x:f>
        <x:v>-21.986</x:v>
      </x:c>
      <x:c r="AF185" s="65" t="n">
        <x:f>AE185/Q185</x:f>
        <x:v>-0.007282452224847783</x:v>
      </x:c>
      <x:c r="AG185" s="64" t="n">
        <x:f>-ROUND(Q185*'Drivers'!P185,3)</x:f>
        <x:v>-8.52</x:v>
      </x:c>
      <x:c r="AH185" s="64" t="n">
        <x:f>-ROUND(Q185*'Drivers'!Q185,3)</x:f>
        <x:v>-18.739</x:v>
      </x:c>
      <x:c r="AI185" s="64" t="n">
        <x:f>SUM(R185,T185,AC185,AE185,AG185,AH185)</x:f>
        <x:v>-985.09</x:v>
      </x:c>
      <x:c r="AJ185" s="65" t="n">
        <x:f>AI185/Q185</x:f>
        <x:v>-0.3262926799861413</x:v>
      </x:c>
      <x:c r="AK185" s="64" t="n">
        <x:f>Q185+AI185</x:f>
        <x:v>2033.9479999999999</x:v>
      </x:c>
      <x:c r="AL185" s="65" t="n">
        <x:f>AK185/Q185</x:f>
        <x:v>0.6737073200138587</x:v>
      </x:c>
      <x:c r="AM185" s="64" t="n">
        <x:f>AK185/L185</x:f>
        <x:v>338.99133333333333</x:v>
      </x:c>
      <x:c r="AN185" s="66" t="str">
        <x:f>IF(AM185&lt;=200,"≤200K",IF(AM185&lt;=350,"200–350K",IF(AM185&lt;=500,"350–500K",IF(AM185&lt;=700,"500–700K","&gt;700K"))))</x:f>
        <x:v>200–350K</x:v>
      </x:c>
      <x:c r="AO185" s="64" t="n">
        <x:f>-ROUND(Q185*'Drivers'!R185,3)</x:f>
        <x:v>-1043.148</x:v>
      </x:c>
      <x:c r="AP185" s="64" t="n">
        <x:f>-ROUND(AK185*'Drivers'!S185,3)</x:f>
        <x:v>-28.085</x:v>
      </x:c>
      <x:c r="AQ185" s="64" t="n">
        <x:f>-ROUND(AK185*'Drivers'!T185,3)</x:f>
        <x:v>-8.838</x:v>
      </x:c>
      <x:c r="AR185" s="64" t="n">
        <x:f>-ROUND(AK185*'Drivers'!U185,3)</x:f>
        <x:v>-20.503</x:v>
      </x:c>
      <x:c r="AS185" s="64" t="n">
        <x:f>-ROUND(AK185*'Drivers'!V185,3)</x:f>
        <x:v>-67.091</x:v>
      </x:c>
      <x:c r="AT185" s="64" t="n">
        <x:f>SUM(AO185:AS185)</x:f>
        <x:v>-1167.6649999999997</x:v>
      </x:c>
      <x:c r="AU185" s="65" t="n">
        <x:f>AT185/AK185</x:f>
        <x:v>-0.5740879314515415</x:v>
      </x:c>
      <x:c r="AV185" s="64" t="n">
        <x:f>AK185+AT185</x:f>
        <x:v>866.2830000000001</x:v>
      </x:c>
      <x:c r="AW185" s="65" t="n">
        <x:f>AV185/AK185</x:f>
        <x:v>0.42591206854845853</x:v>
      </x:c>
      <x:c r="AX185" s="64" t="n">
        <x:f>-ROUND(AK185*'Drivers'!W185,3)</x:f>
        <x:v>-25.758</x:v>
      </x:c>
      <x:c r="AY185" s="64" t="n">
        <x:f>-ROUND(AK185*'Drivers'!X185,3)</x:f>
        <x:v>-50.382</x:v>
      </x:c>
      <x:c r="AZ185" s="64" t="n">
        <x:f>-ROUND(AK185*'Drivers'!Y185,3)</x:f>
        <x:v>-35.798</x:v>
      </x:c>
      <x:c r="BA185" s="64" t="n">
        <x:f>-ROUND(AK185*'Drivers'!Z185,3)</x:f>
        <x:v>-16.479</x:v>
      </x:c>
      <x:c r="BB185" s="64" t="n">
        <x:f>-ROUND(AK185*'Drivers'!AA185,3)</x:f>
        <x:v>-12.286</x:v>
      </x:c>
      <x:c r="BC185" s="64" t="n">
        <x:f>SUM(BA185,BB185)</x:f>
        <x:v>-28.765</x:v>
      </x:c>
      <x:c r="BD185" s="64" t="n">
        <x:f>-ROUND(AK185*'Drivers'!AB185,3)</x:f>
        <x:v>-7.648</x:v>
      </x:c>
      <x:c r="BE185" s="64" t="n">
        <x:f>SUM(AX185:BB185,BD185)</x:f>
        <x:v>-148.351</x:v>
      </x:c>
      <x:c r="BF185" s="67" t="n">
        <x:f>'Drivers'!AF185</x:f>
        <x:v>11</x:v>
      </x:c>
      <x:c r="BG185" s="64" t="n">
        <x:f>BJ185</x:f>
        <x:v>-45.009</x:v>
      </x:c>
      <x:c r="BH185" s="64" t="n">
        <x:f>BE185/BF185</x:f>
        <x:v>-13.486454545454546</x:v>
      </x:c>
      <x:c r="BI185" s="68" t="n">
        <x:f>BF185/L185</x:f>
        <x:v>1.8333333333333333</x:v>
      </x:c>
      <x:c r="BJ185" s="64" t="n">
        <x:f>-ROUND(AK185*'Drivers'!AC185,3)</x:f>
        <x:v>-45.009</x:v>
      </x:c>
      <x:c r="BK185" s="64" t="n">
        <x:f>-ROUND(AK185*'Drivers'!AD185,3)</x:f>
        <x:v>-212.583</x:v>
      </x:c>
      <x:c r="BL185" s="64" t="n">
        <x:f>SUM(AV185,BE185,BJ185,BK185)</x:f>
        <x:v>460.34000000000015</x:v>
      </x:c>
      <x:c r="BM185" s="65" t="n">
        <x:f>BL185/AK185</x:f>
        <x:v>0.2263283033784542</x:v>
      </x:c>
      <x:c r="BN185" s="64" t="n">
        <x:f>-ROUND(AK185*'Drivers'!AE185,3)</x:f>
        <x:v>-157.406</x:v>
      </x:c>
      <x:c r="BO185" s="64" t="n">
        <x:f>BL185+BN185</x:f>
        <x:v>302.93400000000014</x:v>
      </x:c>
      <x:c r="BP185" s="65" t="n">
        <x:f>BO185/AK185</x:f>
        <x:v>0.1489389109259431</x:v>
      </x:c>
    </x:row>
    <x:row r="186">
      <x:c r="A186" s="61" t="n">
        <x:v>2025</x:v>
      </x:c>
      <x:c r="B186" s="18" t="str">
        <x:v>S1</x:v>
      </x:c>
      <x:c r="C186" s="18" t="str">
        <x:v>2025 S1</x:v>
      </x:c>
      <x:c r="D186" s="18" t="str">
        <x:v>CNCT0047</x:v>
      </x:c>
      <x:c r="E186" s="18" t="str">
        <x:v>重庆时代广场</x:v>
      </x:c>
      <x:c r="F186" s="18" t="str">
        <x:v>重庆</x:v>
      </x:c>
      <x:c r="G186" s="18" t="str">
        <x:v>重庆市</x:v>
      </x:c>
      <x:c r="H186" s="18" t="str">
        <x:v>西区</x:v>
      </x:c>
      <x:c r="I186" s="18" t="str">
        <x:v>Shopping Mall</x:v>
      </x:c>
      <x:c r="J186" s="18" t="str">
        <x:v>Core Shopping Center</x:v>
      </x:c>
      <x:c r="K186" s="18" t="str">
        <x:v>正常</x:v>
      </x:c>
      <x:c r="L186" s="62" t="n">
        <x:v>5</x:v>
      </x:c>
      <x:c r="M186" s="62" t="n">
        <x:v>42</x:v>
      </x:c>
      <x:c r="N186" s="63" t="n">
        <x:f>'Drivers'!C186</x:f>
        <x:v>1652</x:v>
      </x:c>
      <x:c r="O186" s="63" t="n">
        <x:f>'Drivers'!D186</x:f>
        <x:v>1014.885</x:v>
      </x:c>
      <x:c r="P186" s="64" t="n">
        <x:f>ROUND(N186*O186/1000,3)</x:f>
        <x:v>1676.59</x:v>
      </x:c>
      <x:c r="Q186" s="64" t="n">
        <x:f>ROUND(P186*'Drivers'!E186,3)</x:f>
        <x:v>1613.422</x:v>
      </x:c>
      <x:c r="R186" s="64" t="n">
        <x:f>-ROUND(Q186*'Drivers'!F186,3)</x:f>
        <x:v>-329.214</x:v>
      </x:c>
      <x:c r="S186" s="65" t="n">
        <x:f>R186/Q186</x:f>
        <x:v>-0.20404705030673934</x:v>
      </x:c>
      <x:c r="T186" s="64" t="n">
        <x:f>-ROUND(Q186*'Drivers'!G186,3)</x:f>
        <x:v>-31.912</x:v>
      </x:c>
      <x:c r="U186" s="65" t="n">
        <x:f>T186/Q186</x:f>
        <x:v>-0.01977907825726933</x:v>
      </x:c>
      <x:c r="V186" s="64" t="n">
        <x:f>-ROUND(Q186*'Drivers'!H186,3)</x:f>
        <x:v>-19.2</x:v>
      </x:c>
      <x:c r="W186" s="64" t="n">
        <x:f>-ROUND(Q186*'Drivers'!I186,3)</x:f>
        <x:v>-12.767</x:v>
      </x:c>
      <x:c r="X186" s="64" t="n">
        <x:f>-ROUND(Q186*'Drivers'!J186,3)</x:f>
        <x:v>-25.525</x:v>
      </x:c>
      <x:c r="Y186" s="64" t="n">
        <x:f>-ROUND(Q186*'Drivers'!K186,3)</x:f>
        <x:v>-14.919</x:v>
      </x:c>
      <x:c r="Z186" s="64" t="n">
        <x:f>-ROUND(Q186*'Drivers'!L186,3)</x:f>
        <x:v>-18.416</x:v>
      </x:c>
      <x:c r="AA186" s="64" t="n">
        <x:f>-ROUND(Q186*'Drivers'!M186,3)</x:f>
        <x:v>-11.117</x:v>
      </x:c>
      <x:c r="AB186" s="64" t="n">
        <x:f>-ROUND(Q186*'Drivers'!N186,3)</x:f>
        <x:v>-11.843</x:v>
      </x:c>
      <x:c r="AC186" s="64" t="n">
        <x:f>SUM(V186:AB186)</x:f>
        <x:v>-113.787</x:v>
      </x:c>
      <x:c r="AD186" s="65" t="n">
        <x:f>AC186/Q186</x:f>
        <x:v>-0.07052525625657764</x:v>
      </x:c>
      <x:c r="AE186" s="64" t="n">
        <x:f>-ROUND(Q186*'Drivers'!O186,3)</x:f>
        <x:v>-19.279</x:v>
      </x:c>
      <x:c r="AF186" s="65" t="n">
        <x:f>AE186/Q186</x:f>
        <x:v>-0.011949136679678347</x:v>
      </x:c>
      <x:c r="AG186" s="64" t="n">
        <x:f>-ROUND(Q186*'Drivers'!P186,3)</x:f>
        <x:v>-0.034</x:v>
      </x:c>
      <x:c r="AH186" s="64" t="n">
        <x:f>-ROUND(Q186*'Drivers'!Q186,3)</x:f>
        <x:v>-8.891</x:v>
      </x:c>
      <x:c r="AI186" s="64" t="n">
        <x:f>SUM(R186,T186,AC186,AE186,AG186,AH186)</x:f>
        <x:v>-503.117</x:v>
      </x:c>
      <x:c r="AJ186" s="65" t="n">
        <x:f>AI186/Q186</x:f>
        <x:v>-0.3118322422775938</x:v>
      </x:c>
      <x:c r="AK186" s="64" t="n">
        <x:f>Q186+AI186</x:f>
        <x:v>1110.305</x:v>
      </x:c>
      <x:c r="AL186" s="65" t="n">
        <x:f>AK186/Q186</x:f>
        <x:v>0.6881677577224062</x:v>
      </x:c>
      <x:c r="AM186" s="64" t="n">
        <x:f>AK186/L186</x:f>
        <x:v>222.061</x:v>
      </x:c>
      <x:c r="AN186" s="66" t="str">
        <x:f>IF(AM186&lt;=200,"≤200K",IF(AM186&lt;=350,"200–350K",IF(AM186&lt;=500,"350–500K",IF(AM186&lt;=700,"500–700K","&gt;700K"))))</x:f>
        <x:v>200–350K</x:v>
      </x:c>
      <x:c r="AO186" s="64" t="n">
        <x:f>-ROUND(Q186*'Drivers'!R186,3)</x:f>
        <x:v>-552.225</x:v>
      </x:c>
      <x:c r="AP186" s="64" t="n">
        <x:f>-ROUND(AK186*'Drivers'!S186,3)</x:f>
        <x:v>-17.083</x:v>
      </x:c>
      <x:c r="AQ186" s="64" t="n">
        <x:f>-ROUND(AK186*'Drivers'!T186,3)</x:f>
        <x:v>-4.087</x:v>
      </x:c>
      <x:c r="AR186" s="64" t="n">
        <x:f>-ROUND(AK186*'Drivers'!U186,3)</x:f>
        <x:v>-13.841</x:v>
      </x:c>
      <x:c r="AS186" s="64" t="n">
        <x:f>-ROUND(AK186*'Drivers'!V186,3)</x:f>
        <x:v>-34.903</x:v>
      </x:c>
      <x:c r="AT186" s="64" t="n">
        <x:f>SUM(AO186:AS186)</x:f>
        <x:v>-622.139</x:v>
      </x:c>
      <x:c r="AU186" s="65" t="n">
        <x:f>AT186/AK186</x:f>
        <x:v>-0.5603316205907386</x:v>
      </x:c>
      <x:c r="AV186" s="64" t="n">
        <x:f>AK186+AT186</x:f>
        <x:v>488.16600000000005</x:v>
      </x:c>
      <x:c r="AW186" s="65" t="n">
        <x:f>AV186/AK186</x:f>
        <x:v>0.43966837940926146</x:v>
      </x:c>
      <x:c r="AX186" s="64" t="n">
        <x:f>-ROUND(AK186*'Drivers'!W186,3)</x:f>
        <x:v>-12.679</x:v>
      </x:c>
      <x:c r="AY186" s="64" t="n">
        <x:f>-ROUND(AK186*'Drivers'!X186,3)</x:f>
        <x:v>-28.777</x:v>
      </x:c>
      <x:c r="AZ186" s="64" t="n">
        <x:f>-ROUND(AK186*'Drivers'!Y186,3)</x:f>
        <x:v>-22.978</x:v>
      </x:c>
      <x:c r="BA186" s="64" t="n">
        <x:f>-ROUND(AK186*'Drivers'!Z186,3)</x:f>
        <x:v>-8.304</x:v>
      </x:c>
      <x:c r="BB186" s="64" t="n">
        <x:f>-ROUND(AK186*'Drivers'!AA186,3)</x:f>
        <x:v>-6.177</x:v>
      </x:c>
      <x:c r="BC186" s="64" t="n">
        <x:f>SUM(BA186,BB186)</x:f>
        <x:v>-14.481</x:v>
      </x:c>
      <x:c r="BD186" s="64" t="n">
        <x:f>-ROUND(AK186*'Drivers'!AB186,3)</x:f>
        <x:v>-7.639</x:v>
      </x:c>
      <x:c r="BE186" s="64" t="n">
        <x:f>SUM(AX186:BB186,BD186)</x:f>
        <x:v>-86.55399999999999</x:v>
      </x:c>
      <x:c r="BF186" s="67" t="n">
        <x:f>'Drivers'!AF186</x:f>
        <x:v>7</x:v>
      </x:c>
      <x:c r="BG186" s="64" t="n">
        <x:f>BJ186</x:f>
        <x:v>-30.498</x:v>
      </x:c>
      <x:c r="BH186" s="64" t="n">
        <x:f>BE186/BF186</x:f>
        <x:v>-12.364857142857142</x:v>
      </x:c>
      <x:c r="BI186" s="68" t="n">
        <x:f>BF186/L186</x:f>
        <x:v>1.4</x:v>
      </x:c>
      <x:c r="BJ186" s="64" t="n">
        <x:f>-ROUND(AK186*'Drivers'!AC186,3)</x:f>
        <x:v>-30.498</x:v>
      </x:c>
      <x:c r="BK186" s="64" t="n">
        <x:f>-ROUND(AK186*'Drivers'!AD186,3)</x:f>
        <x:v>-97.28</x:v>
      </x:c>
      <x:c r="BL186" s="64" t="n">
        <x:f>SUM(AV186,BE186,BJ186,BK186)</x:f>
        <x:v>273.83400000000006</x:v>
      </x:c>
      <x:c r="BM186" s="65" t="n">
        <x:f>BL186/AK186</x:f>
        <x:v>0.24662952972381466</x:v>
      </x:c>
      <x:c r="BN186" s="64" t="n">
        <x:f>-ROUND(AK186*'Drivers'!AE186,3)</x:f>
        <x:v>-73.979</x:v>
      </x:c>
      <x:c r="BO186" s="64" t="n">
        <x:f>BL186+BN186</x:f>
        <x:v>199.85500000000008</x:v>
      </x:c>
      <x:c r="BP186" s="65" t="n">
        <x:f>BO186/AK186</x:f>
        <x:v>0.18000009006534246</x:v>
      </x:c>
    </x:row>
    <x:row r="187">
      <x:c r="A187" s="61" t="n">
        <x:v>2025</x:v>
      </x:c>
      <x:c r="B187" s="18" t="str">
        <x:v>S2</x:v>
      </x:c>
      <x:c r="C187" s="18" t="str">
        <x:v>2025 S2</x:v>
      </x:c>
      <x:c r="D187" s="18" t="str">
        <x:v>CNCT0047</x:v>
      </x:c>
      <x:c r="E187" s="18" t="str">
        <x:v>重庆时代广场</x:v>
      </x:c>
      <x:c r="F187" s="18" t="str">
        <x:v>重庆</x:v>
      </x:c>
      <x:c r="G187" s="18" t="str">
        <x:v>重庆市</x:v>
      </x:c>
      <x:c r="H187" s="18" t="str">
        <x:v>西区</x:v>
      </x:c>
      <x:c r="I187" s="18" t="str">
        <x:v>Shopping Mall</x:v>
      </x:c>
      <x:c r="J187" s="18" t="str">
        <x:v>Core Shopping Center</x:v>
      </x:c>
      <x:c r="K187" s="18" t="str">
        <x:v>正常</x:v>
      </x:c>
      <x:c r="L187" s="62" t="n">
        <x:v>5</x:v>
      </x:c>
      <x:c r="M187" s="62" t="n">
        <x:v>42</x:v>
      </x:c>
      <x:c r="N187" s="63" t="n">
        <x:f>'Drivers'!C187</x:f>
        <x:v>1740</x:v>
      </x:c>
      <x:c r="O187" s="63" t="n">
        <x:f>'Drivers'!D187</x:f>
        <x:v>1027.064</x:v>
      </x:c>
      <x:c r="P187" s="64" t="n">
        <x:f>ROUND(N187*O187/1000,3)</x:f>
        <x:v>1787.091</x:v>
      </x:c>
      <x:c r="Q187" s="64" t="n">
        <x:f>ROUND(P187*'Drivers'!E187,3)</x:f>
        <x:v>1727.296</x:v>
      </x:c>
      <x:c r="R187" s="64" t="n">
        <x:f>-ROUND(Q187*'Drivers'!F187,3)</x:f>
        <x:v>-352.449</x:v>
      </x:c>
      <x:c r="S187" s="65" t="n">
        <x:f>R187/Q187</x:f>
        <x:v>-0.20404667179221164</x:v>
      </x:c>
      <x:c r="T187" s="64" t="n">
        <x:f>-ROUND(Q187*'Drivers'!G187,3)</x:f>
        <x:v>-34.164</x:v>
      </x:c>
      <x:c r="U187" s="65" t="n">
        <x:f>T187/Q187</x:f>
        <x:v>-0.01977889140020008</x:v>
      </x:c>
      <x:c r="V187" s="64" t="n">
        <x:f>-ROUND(Q187*'Drivers'!H187,3)</x:f>
        <x:v>-20.556</x:v>
      </x:c>
      <x:c r="W187" s="64" t="n">
        <x:f>-ROUND(Q187*'Drivers'!I187,3)</x:f>
        <x:v>-13.668</x:v>
      </x:c>
      <x:c r="X187" s="64" t="n">
        <x:f>-ROUND(Q187*'Drivers'!J187,3)</x:f>
        <x:v>-27.327</x:v>
      </x:c>
      <x:c r="Y187" s="64" t="n">
        <x:f>-ROUND(Q187*'Drivers'!K187,3)</x:f>
        <x:v>-15.972</x:v>
      </x:c>
      <x:c r="Z187" s="64" t="n">
        <x:f>-ROUND(Q187*'Drivers'!L187,3)</x:f>
        <x:v>-19.716</x:v>
      </x:c>
      <x:c r="AA187" s="64" t="n">
        <x:f>-ROUND(Q187*'Drivers'!M187,3)</x:f>
        <x:v>-11.901</x:v>
      </x:c>
      <x:c r="AB187" s="64" t="n">
        <x:f>-ROUND(Q187*'Drivers'!N187,3)</x:f>
        <x:v>-12.679</x:v>
      </x:c>
      <x:c r="AC187" s="64" t="n">
        <x:f>SUM(V187:AB187)</x:f>
        <x:v>-121.819</x:v>
      </x:c>
      <x:c r="AD187" s="65" t="n">
        <x:f>AC187/Q187</x:f>
        <x:v>-0.07052583923079773</x:v>
      </x:c>
      <x:c r="AE187" s="64" t="n">
        <x:f>-ROUND(Q187*'Drivers'!O187,3)</x:f>
        <x:v>-20.639</x:v>
      </x:c>
      <x:c r="AF187" s="65" t="n">
        <x:f>AE187/Q187</x:f>
        <x:v>-0.01194873374337693</x:v>
      </x:c>
      <x:c r="AG187" s="64" t="n">
        <x:f>-ROUND(Q187*'Drivers'!P187,3)</x:f>
        <x:v>-0.036</x:v>
      </x:c>
      <x:c r="AH187" s="64" t="n">
        <x:f>-ROUND(Q187*'Drivers'!Q187,3)</x:f>
        <x:v>-9.518</x:v>
      </x:c>
      <x:c r="AI187" s="64" t="n">
        <x:f>SUM(R187,T187,AC187,AE187,AG187,AH187)</x:f>
        <x:v>-538.625</x:v>
      </x:c>
      <x:c r="AJ187" s="65" t="n">
        <x:f>AI187/Q187</x:f>
        <x:v>-0.31183132479899217</x:v>
      </x:c>
      <x:c r="AK187" s="64" t="n">
        <x:f>Q187+AI187</x:f>
        <x:v>1188.671</x:v>
      </x:c>
      <x:c r="AL187" s="65" t="n">
        <x:f>AK187/Q187</x:f>
        <x:v>0.6881686752010078</x:v>
      </x:c>
      <x:c r="AM187" s="64" t="n">
        <x:f>AK187/L187</x:f>
        <x:v>237.73420000000002</x:v>
      </x:c>
      <x:c r="AN187" s="66" t="str">
        <x:f>IF(AM187&lt;=200,"≤200K",IF(AM187&lt;=350,"200–350K",IF(AM187&lt;=500,"350–500K",IF(AM187&lt;=700,"500–700K","&gt;700K"))))</x:f>
        <x:v>200–350K</x:v>
      </x:c>
      <x:c r="AO187" s="64" t="n">
        <x:f>-ROUND(Q187*'Drivers'!R187,3)</x:f>
        <x:v>-604.13</x:v>
      </x:c>
      <x:c r="AP187" s="64" t="n">
        <x:f>-ROUND(AK187*'Drivers'!S187,3)</x:f>
        <x:v>-18.289</x:v>
      </x:c>
      <x:c r="AQ187" s="64" t="n">
        <x:f>-ROUND(AK187*'Drivers'!T187,3)</x:f>
        <x:v>-4.376</x:v>
      </x:c>
      <x:c r="AR187" s="64" t="n">
        <x:f>-ROUND(AK187*'Drivers'!U187,3)</x:f>
        <x:v>-14.818</x:v>
      </x:c>
      <x:c r="AS187" s="64" t="n">
        <x:f>-ROUND(AK187*'Drivers'!V187,3)</x:f>
        <x:v>-37.366</x:v>
      </x:c>
      <x:c r="AT187" s="64" t="n">
        <x:f>SUM(AO187:AS187)</x:f>
        <x:v>-678.9789999999999</x:v>
      </x:c>
      <x:c r="AU187" s="65" t="n">
        <x:f>AT187/AK187</x:f>
        <x:v>-0.5712085177479722</x:v>
      </x:c>
      <x:c r="AV187" s="64" t="n">
        <x:f>AK187+AT187</x:f>
        <x:v>509.6920000000001</x:v>
      </x:c>
      <x:c r="AW187" s="65" t="n">
        <x:f>AV187/AK187</x:f>
        <x:v>0.4287914822520278</x:v>
      </x:c>
      <x:c r="AX187" s="64" t="n">
        <x:f>-ROUND(AK187*'Drivers'!W187,3)</x:f>
        <x:v>-13.574</x:v>
      </x:c>
      <x:c r="AY187" s="64" t="n">
        <x:f>-ROUND(AK187*'Drivers'!X187,3)</x:f>
        <x:v>-30.808</x:v>
      </x:c>
      <x:c r="AZ187" s="64" t="n">
        <x:f>-ROUND(AK187*'Drivers'!Y187,3)</x:f>
        <x:v>-24.6</x:v>
      </x:c>
      <x:c r="BA187" s="64" t="n">
        <x:f>-ROUND(AK187*'Drivers'!Z187,3)</x:f>
        <x:v>-8.89</x:v>
      </x:c>
      <x:c r="BB187" s="64" t="n">
        <x:f>-ROUND(AK187*'Drivers'!AA187,3)</x:f>
        <x:v>-6.613</x:v>
      </x:c>
      <x:c r="BC187" s="64" t="n">
        <x:f>SUM(BA187,BB187)</x:f>
        <x:v>-15.503</x:v>
      </x:c>
      <x:c r="BD187" s="64" t="n">
        <x:f>-ROUND(AK187*'Drivers'!AB187,3)</x:f>
        <x:v>-8.178</x:v>
      </x:c>
      <x:c r="BE187" s="64" t="n">
        <x:f>SUM(AX187:BB187,BD187)</x:f>
        <x:v>-92.663</x:v>
      </x:c>
      <x:c r="BF187" s="67" t="n">
        <x:f>'Drivers'!AF187</x:f>
        <x:v>7</x:v>
      </x:c>
      <x:c r="BG187" s="64" t="n">
        <x:f>BJ187</x:f>
        <x:v>-32.651</x:v>
      </x:c>
      <x:c r="BH187" s="64" t="n">
        <x:f>BE187/BF187</x:f>
        <x:v>-13.237571428571428</x:v>
      </x:c>
      <x:c r="BI187" s="68" t="n">
        <x:f>BF187/L187</x:f>
        <x:v>1.4</x:v>
      </x:c>
      <x:c r="BJ187" s="64" t="n">
        <x:f>-ROUND(AK187*'Drivers'!AC187,3)</x:f>
        <x:v>-32.651</x:v>
      </x:c>
      <x:c r="BK187" s="64" t="n">
        <x:f>-ROUND(AK187*'Drivers'!AD187,3)</x:f>
        <x:v>-104.146</x:v>
      </x:c>
      <x:c r="BL187" s="64" t="n">
        <x:f>SUM(AV187,BE187,BJ187,BK187)</x:f>
        <x:v>280.2320000000001</x:v>
      </x:c>
      <x:c r="BM187" s="65" t="n">
        <x:f>BL187/AK187</x:f>
        <x:v>0.23575236545688427</x:v>
      </x:c>
      <x:c r="BN187" s="64" t="n">
        <x:f>-ROUND(AK187*'Drivers'!AE187,3)</x:f>
        <x:v>-77.072</x:v>
      </x:c>
      <x:c r="BO187" s="64" t="n">
        <x:f>BL187+BN187</x:f>
        <x:v>203.16000000000008</x:v>
      </x:c>
      <x:c r="BP187" s="65" t="n">
        <x:f>BO187/AK187</x:f>
        <x:v>0.17091356649569148</x:v>
      </x:c>
    </x:row>
    <x:row r="188">
      <x:c r="A188" s="61" t="n">
        <x:v>2026</x:v>
      </x:c>
      <x:c r="B188" s="18" t="str">
        <x:v>S1</x:v>
      </x:c>
      <x:c r="C188" s="18" t="str">
        <x:v>2026 S1</x:v>
      </x:c>
      <x:c r="D188" s="18" t="str">
        <x:v>CNCT0047</x:v>
      </x:c>
      <x:c r="E188" s="18" t="str">
        <x:v>重庆时代广场</x:v>
      </x:c>
      <x:c r="F188" s="18" t="str">
        <x:v>重庆</x:v>
      </x:c>
      <x:c r="G188" s="18" t="str">
        <x:v>重庆市</x:v>
      </x:c>
      <x:c r="H188" s="18" t="str">
        <x:v>西区</x:v>
      </x:c>
      <x:c r="I188" s="18" t="str">
        <x:v>Shopping Mall</x:v>
      </x:c>
      <x:c r="J188" s="18" t="str">
        <x:v>Core Shopping Center</x:v>
      </x:c>
      <x:c r="K188" s="18" t="str">
        <x:v>正常</x:v>
      </x:c>
      <x:c r="L188" s="62" t="n">
        <x:v>5</x:v>
      </x:c>
      <x:c r="M188" s="62" t="n">
        <x:v>42</x:v>
      </x:c>
      <x:c r="N188" s="63" t="n">
        <x:f>'Drivers'!C188</x:f>
        <x:v>1590</x:v>
      </x:c>
      <x:c r="O188" s="63" t="n">
        <x:f>'Drivers'!D188</x:f>
        <x:v>1056.484</x:v>
      </x:c>
      <x:c r="P188" s="64" t="n">
        <x:f>ROUND(N188*O188/1000,3)</x:f>
        <x:v>1679.81</x:v>
      </x:c>
      <x:c r="Q188" s="64" t="n">
        <x:f>ROUND(P188*'Drivers'!E188,3)</x:f>
        <x:v>1613.513</x:v>
      </x:c>
      <x:c r="R188" s="64" t="n">
        <x:f>-ROUND(Q188*'Drivers'!F188,3)</x:f>
        <x:v>-321.346</x:v>
      </x:c>
      <x:c r="S188" s="65" t="n">
        <x:f>R188/Q188</x:f>
        <x:v>-0.19915922586307022</x:v>
      </x:c>
      <x:c r="T188" s="64" t="n">
        <x:f>-ROUND(Q188*'Drivers'!G188,3)</x:f>
        <x:v>-31.661</x:v>
      </x:c>
      <x:c r="U188" s="65" t="n">
        <x:f>T188/Q188</x:f>
        <x:v>-0.01962240155486817</x:v>
      </x:c>
      <x:c r="V188" s="64" t="n">
        <x:f>-ROUND(Q188*'Drivers'!H188,3)</x:f>
        <x:v>-19.202</x:v>
      </x:c>
      <x:c r="W188" s="64" t="n">
        <x:f>-ROUND(Q188*'Drivers'!I188,3)</x:f>
        <x:v>-12.768</x:v>
      </x:c>
      <x:c r="X188" s="64" t="n">
        <x:f>-ROUND(Q188*'Drivers'!J188,3)</x:f>
        <x:v>-25.527</x:v>
      </x:c>
      <x:c r="Y188" s="64" t="n">
        <x:f>-ROUND(Q188*'Drivers'!K188,3)</x:f>
        <x:v>-14.919</x:v>
      </x:c>
      <x:c r="Z188" s="64" t="n">
        <x:f>-ROUND(Q188*'Drivers'!L188,3)</x:f>
        <x:v>-18.417</x:v>
      </x:c>
      <x:c r="AA188" s="64" t="n">
        <x:f>-ROUND(Q188*'Drivers'!M188,3)</x:f>
        <x:v>-11.117</x:v>
      </x:c>
      <x:c r="AB188" s="64" t="n">
        <x:f>-ROUND(Q188*'Drivers'!N188,3)</x:f>
        <x:v>-11.844</x:v>
      </x:c>
      <x:c r="AC188" s="64" t="n">
        <x:f>SUM(V188:AB188)</x:f>
        <x:v>-113.794</x:v>
      </x:c>
      <x:c r="AD188" s="65" t="n">
        <x:f>AC188/Q188</x:f>
        <x:v>-0.07052561708520477</x:v>
      </x:c>
      <x:c r="AE188" s="64" t="n">
        <x:f>-ROUND(Q188*'Drivers'!O188,3)</x:f>
        <x:v>-18.775</x:v>
      </x:c>
      <x:c r="AF188" s="65" t="n">
        <x:f>AE188/Q188</x:f>
        <x:v>-0.01163610085571049</x:v>
      </x:c>
      <x:c r="AG188" s="64" t="n">
        <x:f>-ROUND(Q188*'Drivers'!P188,3)</x:f>
        <x:v>-0.034</x:v>
      </x:c>
      <x:c r="AH188" s="64" t="n">
        <x:f>-ROUND(Q188*'Drivers'!Q188,3)</x:f>
        <x:v>-8.891</x:v>
      </x:c>
      <x:c r="AI188" s="64" t="n">
        <x:f>SUM(R188,T188,AC188,AE188,AG188,AH188)</x:f>
        <x:v>-494.501</x:v>
      </x:c>
      <x:c r="AJ188" s="65" t="n">
        <x:f>AI188/Q188</x:f>
        <x:v>-0.30647475415444436</x:v>
      </x:c>
      <x:c r="AK188" s="64" t="n">
        <x:f>Q188+AI188</x:f>
        <x:v>1119.012</x:v>
      </x:c>
      <x:c r="AL188" s="65" t="n">
        <x:f>AK188/Q188</x:f>
        <x:v>0.6935252458455556</x:v>
      </x:c>
      <x:c r="AM188" s="64" t="n">
        <x:f>AK188/L188</x:f>
        <x:v>223.80239999999998</x:v>
      </x:c>
      <x:c r="AN188" s="66" t="str">
        <x:f>IF(AM188&lt;=200,"≤200K",IF(AM188&lt;=350,"200–350K",IF(AM188&lt;=500,"350–500K",IF(AM188&lt;=700,"500–700K","&gt;700K"))))</x:f>
        <x:v>200–350K</x:v>
      </x:c>
      <x:c r="AO188" s="64" t="n">
        <x:f>-ROUND(Q188*'Drivers'!R188,3)</x:f>
        <x:v>-550.256</x:v>
      </x:c>
      <x:c r="AP188" s="64" t="n">
        <x:f>-ROUND(AK188*'Drivers'!S188,3)</x:f>
        <x:v>-17.217</x:v>
      </x:c>
      <x:c r="AQ188" s="64" t="n">
        <x:f>-ROUND(AK188*'Drivers'!T188,3)</x:f>
        <x:v>-4.119</x:v>
      </x:c>
      <x:c r="AR188" s="64" t="n">
        <x:f>-ROUND(AK188*'Drivers'!U188,3)</x:f>
        <x:v>-13.95</x:v>
      </x:c>
      <x:c r="AS188" s="64" t="n">
        <x:f>-ROUND(AK188*'Drivers'!V188,3)</x:f>
        <x:v>-35.176</x:v>
      </x:c>
      <x:c r="AT188" s="64" t="n">
        <x:f>SUM(AO188:AS188)</x:f>
        <x:v>-620.7180000000001</x:v>
      </x:c>
      <x:c r="AU188" s="65" t="n">
        <x:f>AT188/AK188</x:f>
        <x:v>-0.5547018262538741</x:v>
      </x:c>
      <x:c r="AV188" s="64" t="n">
        <x:f>AK188+AT188</x:f>
        <x:v>498.29399999999987</x:v>
      </x:c>
      <x:c r="AW188" s="65" t="n">
        <x:f>AV188/AK188</x:f>
        <x:v>0.44529817374612596</x:v>
      </x:c>
      <x:c r="AX188" s="64" t="n">
        <x:f>-ROUND(AK188*'Drivers'!W188,3)</x:f>
        <x:v>-15.723</x:v>
      </x:c>
      <x:c r="AY188" s="64" t="n">
        <x:f>-ROUND(AK188*'Drivers'!X188,3)</x:f>
        <x:v>-35.686</x:v>
      </x:c>
      <x:c r="AZ188" s="64" t="n">
        <x:f>-ROUND(AK188*'Drivers'!Y188,3)</x:f>
        <x:v>-28.495</x:v>
      </x:c>
      <x:c r="BA188" s="64" t="n">
        <x:f>-ROUND(AK188*'Drivers'!Z188,3)</x:f>
        <x:v>-10.298</x:v>
      </x:c>
      <x:c r="BB188" s="64" t="n">
        <x:f>-ROUND(AK188*'Drivers'!AA188,3)</x:f>
        <x:v>-7.66</x:v>
      </x:c>
      <x:c r="BC188" s="64" t="n">
        <x:f>SUM(BA188,BB188)</x:f>
        <x:v>-17.958</x:v>
      </x:c>
      <x:c r="BD188" s="64" t="n">
        <x:f>-ROUND(AK188*'Drivers'!AB188,3)</x:f>
        <x:v>-9.473</x:v>
      </x:c>
      <x:c r="BE188" s="64" t="n">
        <x:f>SUM(AX188:BB188,BD188)</x:f>
        <x:v>-107.335</x:v>
      </x:c>
      <x:c r="BF188" s="67" t="n">
        <x:f>'Drivers'!AF188</x:f>
        <x:v>7</x:v>
      </x:c>
      <x:c r="BG188" s="64" t="n">
        <x:f>BJ188</x:f>
        <x:v>-37.821</x:v>
      </x:c>
      <x:c r="BH188" s="64" t="n">
        <x:f>BE188/BF188</x:f>
        <x:v>-15.333571428571428</x:v>
      </x:c>
      <x:c r="BI188" s="68" t="n">
        <x:f>BF188/L188</x:f>
        <x:v>1.4</x:v>
      </x:c>
      <x:c r="BJ188" s="64" t="n">
        <x:f>-ROUND(AK188*'Drivers'!AC188,3)</x:f>
        <x:v>-37.821</x:v>
      </x:c>
      <x:c r="BK188" s="64" t="n">
        <x:f>-ROUND(AK188*'Drivers'!AD188,3)</x:f>
        <x:v>-98.043</x:v>
      </x:c>
      <x:c r="BL188" s="64" t="n">
        <x:f>SUM(AV188,BE188,BJ188,BK188)</x:f>
        <x:v>255.0949999999999</x:v>
      </x:c>
      <x:c r="BM188" s="65" t="n">
        <x:f>BL188/AK188</x:f>
        <x:v>0.22796449010377004</x:v>
      </x:c>
      <x:c r="BN188" s="64" t="n">
        <x:f>-ROUND(AK188*'Drivers'!AE188,3)</x:f>
        <x:v>-74.559</x:v>
      </x:c>
      <x:c r="BO188" s="64" t="n">
        <x:f>BL188+BN188</x:f>
        <x:v>180.53599999999992</x:v>
      </x:c>
      <x:c r="BP188" s="65" t="n">
        <x:f>BO188/AK188</x:f>
        <x:v>0.16133517781757473</x:v>
      </x:c>
    </x:row>
    <x:row r="189">
      <x:c r="A189" s="61" t="n">
        <x:v>2026</x:v>
      </x:c>
      <x:c r="B189" s="18" t="str">
        <x:v>S2</x:v>
      </x:c>
      <x:c r="C189" s="18" t="str">
        <x:v>2026 S2</x:v>
      </x:c>
      <x:c r="D189" s="18" t="str">
        <x:v>CNCT0047</x:v>
      </x:c>
      <x:c r="E189" s="18" t="str">
        <x:v>重庆时代广场</x:v>
      </x:c>
      <x:c r="F189" s="18" t="str">
        <x:v>重庆</x:v>
      </x:c>
      <x:c r="G189" s="18" t="str">
        <x:v>重庆市</x:v>
      </x:c>
      <x:c r="H189" s="18" t="str">
        <x:v>西区</x:v>
      </x:c>
      <x:c r="I189" s="18" t="str">
        <x:v>Shopping Mall</x:v>
      </x:c>
      <x:c r="J189" s="18" t="str">
        <x:v>Core Shopping Center</x:v>
      </x:c>
      <x:c r="K189" s="18" t="str">
        <x:v>正常</x:v>
      </x:c>
      <x:c r="L189" s="62" t="n">
        <x:v>5</x:v>
      </x:c>
      <x:c r="M189" s="62" t="n">
        <x:v>42</x:v>
      </x:c>
      <x:c r="N189" s="63" t="n">
        <x:f>'Drivers'!C189</x:f>
        <x:v>1716</x:v>
      </x:c>
      <x:c r="O189" s="63" t="n">
        <x:f>'Drivers'!D189</x:f>
        <x:v>1046.782</x:v>
      </x:c>
      <x:c r="P189" s="64" t="n">
        <x:f>ROUND(N189*O189/1000,3)</x:f>
        <x:v>1796.278</x:v>
      </x:c>
      <x:c r="Q189" s="64" t="n">
        <x:f>ROUND(P189*'Drivers'!E189,3)</x:f>
        <x:v>1736.176</x:v>
      </x:c>
      <x:c r="R189" s="64" t="n">
        <x:f>-ROUND(Q189*'Drivers'!F189,3)</x:f>
        <x:v>-347.753</x:v>
      </x:c>
      <x:c r="S189" s="65" t="n">
        <x:f>R189/Q189</x:f>
        <x:v>-0.20029824165291998</x:v>
      </x:c>
      <x:c r="T189" s="64" t="n">
        <x:f>-ROUND(Q189*'Drivers'!G189,3)</x:f>
        <x:v>-35.108</x:v>
      </x:c>
      <x:c r="U189" s="65" t="n">
        <x:f>T189/Q189</x:f>
        <x:v>-0.02022145220300246</x:v>
      </x:c>
      <x:c r="V189" s="64" t="n">
        <x:f>-ROUND(Q189*'Drivers'!H189,3)</x:f>
        <x:v>-20.661</x:v>
      </x:c>
      <x:c r="W189" s="64" t="n">
        <x:f>-ROUND(Q189*'Drivers'!I189,3)</x:f>
        <x:v>-13.739</x:v>
      </x:c>
      <x:c r="X189" s="64" t="n">
        <x:f>-ROUND(Q189*'Drivers'!J189,3)</x:f>
        <x:v>-27.467</x:v>
      </x:c>
      <x:c r="Y189" s="64" t="n">
        <x:f>-ROUND(Q189*'Drivers'!K189,3)</x:f>
        <x:v>-16.054</x:v>
      </x:c>
      <x:c r="Z189" s="64" t="n">
        <x:f>-ROUND(Q189*'Drivers'!L189,3)</x:f>
        <x:v>-19.817</x:v>
      </x:c>
      <x:c r="AA189" s="64" t="n">
        <x:f>-ROUND(Q189*'Drivers'!M189,3)</x:f>
        <x:v>-11.962</x:v>
      </x:c>
      <x:c r="AB189" s="64" t="n">
        <x:f>-ROUND(Q189*'Drivers'!N189,3)</x:f>
        <x:v>-12.744</x:v>
      </x:c>
      <x:c r="AC189" s="64" t="n">
        <x:f>SUM(V189:AB189)</x:f>
        <x:v>-122.444</x:v>
      </x:c>
      <x:c r="AD189" s="65" t="n">
        <x:f>AC189/Q189</x:f>
        <x:v>-0.0705251080535614</x:v>
      </x:c>
      <x:c r="AE189" s="64" t="n">
        <x:f>-ROUND(Q189*'Drivers'!O189,3)</x:f>
        <x:v>-20.745</x:v>
      </x:c>
      <x:c r="AF189" s="65" t="n">
        <x:f>AE189/Q189</x:f>
        <x:v>-0.011948673406382764</x:v>
      </x:c>
      <x:c r="AG189" s="64" t="n">
        <x:f>-ROUND(Q189*'Drivers'!P189,3)</x:f>
        <x:v>-0.036</x:v>
      </x:c>
      <x:c r="AH189" s="64" t="n">
        <x:f>-ROUND(Q189*'Drivers'!Q189,3)</x:f>
        <x:v>-9.567</x:v>
      </x:c>
      <x:c r="AI189" s="64" t="n">
        <x:f>SUM(R189,T189,AC189,AE189,AG189,AH189)</x:f>
        <x:v>-535.6529999999999</x:v>
      </x:c>
      <x:c r="AJ189" s="65" t="n">
        <x:f>AI189/Q189</x:f>
        <x:v>-0.308524596584678</x:v>
      </x:c>
      <x:c r="AK189" s="64" t="n">
        <x:f>Q189+AI189</x:f>
        <x:v>1200.5230000000001</x:v>
      </x:c>
      <x:c r="AL189" s="65" t="n">
        <x:f>AK189/Q189</x:f>
        <x:v>0.6914754034153221</x:v>
      </x:c>
      <x:c r="AM189" s="64" t="n">
        <x:f>AK189/L189</x:f>
        <x:v>240.10460000000003</x:v>
      </x:c>
      <x:c r="AN189" s="66" t="str">
        <x:f>IF(AM189&lt;=200,"≤200K",IF(AM189&lt;=350,"200–350K",IF(AM189&lt;=500,"350–500K",IF(AM189&lt;=700,"500–700K","&gt;700K"))))</x:f>
        <x:v>200–350K</x:v>
      </x:c>
      <x:c r="AO189" s="64" t="n">
        <x:f>-ROUND(Q189*'Drivers'!R189,3)</x:f>
        <x:v>-614.297</x:v>
      </x:c>
      <x:c r="AP189" s="64" t="n">
        <x:f>-ROUND(AK189*'Drivers'!S189,3)</x:f>
        <x:v>-18.472</x:v>
      </x:c>
      <x:c r="AQ189" s="64" t="n">
        <x:f>-ROUND(AK189*'Drivers'!T189,3)</x:f>
        <x:v>-4.419</x:v>
      </x:c>
      <x:c r="AR189" s="64" t="n">
        <x:f>-ROUND(AK189*'Drivers'!U189,3)</x:f>
        <x:v>-14.966</x:v>
      </x:c>
      <x:c r="AS189" s="64" t="n">
        <x:f>-ROUND(AK189*'Drivers'!V189,3)</x:f>
        <x:v>-37.739</x:v>
      </x:c>
      <x:c r="AT189" s="64" t="n">
        <x:f>SUM(AO189:AS189)</x:f>
        <x:v>-689.893</x:v>
      </x:c>
      <x:c r="AU189" s="65" t="n">
        <x:f>AT189/AK189</x:f>
        <x:v>-0.5746603771856099</x:v>
      </x:c>
      <x:c r="AV189" s="64" t="n">
        <x:f>AK189+AT189</x:f>
        <x:v>510.6300000000001</x:v>
      </x:c>
      <x:c r="AW189" s="65" t="n">
        <x:f>AV189/AK189</x:f>
        <x:v>0.4253396228143901</x:v>
      </x:c>
      <x:c r="AX189" s="64" t="n">
        <x:f>-ROUND(AK189*'Drivers'!W189,3)</x:f>
        <x:v>-14.531</x:v>
      </x:c>
      <x:c r="AY189" s="64" t="n">
        <x:f>-ROUND(AK189*'Drivers'!X189,3)</x:f>
        <x:v>-32.982</x:v>
      </x:c>
      <x:c r="AZ189" s="64" t="n">
        <x:f>-ROUND(AK189*'Drivers'!Y189,3)</x:f>
        <x:v>-26.336</x:v>
      </x:c>
      <x:c r="BA189" s="64" t="n">
        <x:f>-ROUND(AK189*'Drivers'!Z189,3)</x:f>
        <x:v>-9.518</x:v>
      </x:c>
      <x:c r="BB189" s="64" t="n">
        <x:f>-ROUND(AK189*'Drivers'!AA189,3)</x:f>
        <x:v>-7.079</x:v>
      </x:c>
      <x:c r="BC189" s="64" t="n">
        <x:f>SUM(BA189,BB189)</x:f>
        <x:v>-16.597</x:v>
      </x:c>
      <x:c r="BD189" s="64" t="n">
        <x:f>-ROUND(AK189*'Drivers'!AB189,3)</x:f>
        <x:v>-8.755</x:v>
      </x:c>
      <x:c r="BE189" s="64" t="n">
        <x:f>SUM(AX189:BB189,BD189)</x:f>
        <x:v>-99.20099999999998</x:v>
      </x:c>
      <x:c r="BF189" s="67" t="n">
        <x:f>'Drivers'!AF189</x:f>
        <x:v>7</x:v>
      </x:c>
      <x:c r="BG189" s="64" t="n">
        <x:f>BJ189</x:f>
        <x:v>-34.955</x:v>
      </x:c>
      <x:c r="BH189" s="64" t="n">
        <x:f>BE189/BF189</x:f>
        <x:v>-14.171571428571426</x:v>
      </x:c>
      <x:c r="BI189" s="68" t="n">
        <x:f>BF189/L189</x:f>
        <x:v>1.4</x:v>
      </x:c>
      <x:c r="BJ189" s="64" t="n">
        <x:f>-ROUND(AK189*'Drivers'!AC189,3)</x:f>
        <x:v>-34.955</x:v>
      </x:c>
      <x:c r="BK189" s="64" t="n">
        <x:f>-ROUND(AK189*'Drivers'!AD189,3)</x:f>
        <x:v>-105.184</x:v>
      </x:c>
      <x:c r="BL189" s="64" t="n">
        <x:f>SUM(AV189,BE189,BJ189,BK189)</x:f>
        <x:v>271.2900000000002</x:v>
      </x:c>
      <x:c r="BM189" s="65" t="n">
        <x:f>BL189/AK189</x:f>
        <x:v>0.22597651190356216</x:v>
      </x:c>
      <x:c r="BN189" s="64" t="n">
        <x:f>-ROUND(AK189*'Drivers'!AE189,3)</x:f>
        <x:v>-77.841</x:v>
      </x:c>
      <x:c r="BO189" s="64" t="n">
        <x:f>BL189+BN189</x:f>
        <x:v>193.44900000000018</x:v>
      </x:c>
      <x:c r="BP189" s="65" t="n">
        <x:f>BO189/AK189</x:f>
        <x:v>0.16113727100605332</x:v>
      </x:c>
    </x:row>
    <x:row r="190">
      <x:c r="A190" s="61" t="n">
        <x:v>2025</x:v>
      </x:c>
      <x:c r="B190" s="18" t="str">
        <x:v>S1</x:v>
      </x:c>
      <x:c r="C190" s="18" t="str">
        <x:v>2025 S1</x:v>
      </x:c>
      <x:c r="D190" s="18" t="str">
        <x:v>CNCT0048</x:v>
      </x:c>
      <x:c r="E190" s="18" t="str">
        <x:v>重庆万象城</x:v>
      </x:c>
      <x:c r="F190" s="18" t="str">
        <x:v>重庆</x:v>
      </x:c>
      <x:c r="G190" s="18" t="str">
        <x:v>重庆市</x:v>
      </x:c>
      <x:c r="H190" s="18" t="str">
        <x:v>西区</x:v>
      </x:c>
      <x:c r="I190" s="18" t="str">
        <x:v>Shopping Mall</x:v>
      </x:c>
      <x:c r="J190" s="18" t="str">
        <x:v>Prestige Shopping Center</x:v>
      </x:c>
      <x:c r="K190" s="18" t="str">
        <x:v>正常</x:v>
      </x:c>
      <x:c r="L190" s="62" t="n">
        <x:v>6</x:v>
      </x:c>
      <x:c r="M190" s="62" t="n">
        <x:v>42</x:v>
      </x:c>
      <x:c r="N190" s="63" t="n">
        <x:f>'Drivers'!C190</x:f>
        <x:v>2442</x:v>
      </x:c>
      <x:c r="O190" s="63" t="n">
        <x:f>'Drivers'!D190</x:f>
        <x:v>1199.97</x:v>
      </x:c>
      <x:c r="P190" s="64" t="n">
        <x:f>ROUND(N190*O190/1000,3)</x:f>
        <x:v>2930.327</x:v>
      </x:c>
      <x:c r="Q190" s="64" t="n">
        <x:f>ROUND(P190*'Drivers'!E190,3)</x:f>
        <x:v>2840.432</x:v>
      </x:c>
      <x:c r="R190" s="64" t="n">
        <x:f>-ROUND(Q190*'Drivers'!F190,3)</x:f>
        <x:v>-576.85</x:v>
      </x:c>
      <x:c r="S190" s="65" t="n">
        <x:f>R190/Q190</x:f>
        <x:v>-0.20308530533383656</x:v>
      </x:c>
      <x:c r="T190" s="64" t="n">
        <x:f>-ROUND(Q190*'Drivers'!G190,3)</x:f>
        <x:v>-45.436</x:v>
      </x:c>
      <x:c r="U190" s="65" t="n">
        <x:f>T190/Q190</x:f>
        <x:v>-0.01599615833084545</x:v>
      </x:c>
      <x:c r="V190" s="64" t="n">
        <x:f>-ROUND(Q190*'Drivers'!H190,3)</x:f>
        <x:v>-27.086</x:v>
      </x:c>
      <x:c r="W190" s="64" t="n">
        <x:f>-ROUND(Q190*'Drivers'!I190,3)</x:f>
        <x:v>-18.395</x:v>
      </x:c>
      <x:c r="X190" s="64" t="n">
        <x:f>-ROUND(Q190*'Drivers'!J190,3)</x:f>
        <x:v>-29.478</x:v>
      </x:c>
      <x:c r="Y190" s="64" t="n">
        <x:f>-ROUND(Q190*'Drivers'!K190,3)</x:f>
        <x:v>-37.444</x:v>
      </x:c>
      <x:c r="Z190" s="64" t="n">
        <x:f>-ROUND(Q190*'Drivers'!L190,3)</x:f>
        <x:v>-24.391</x:v>
      </x:c>
      <x:c r="AA190" s="64" t="n">
        <x:f>-ROUND(Q190*'Drivers'!M190,3)</x:f>
        <x:v>-26.173</x:v>
      </x:c>
      <x:c r="AB190" s="64" t="n">
        <x:f>-ROUND(Q190*'Drivers'!N190,3)</x:f>
        <x:v>-18.62</x:v>
      </x:c>
      <x:c r="AC190" s="64" t="n">
        <x:f>SUM(V190:AB190)</x:f>
        <x:v>-181.58700000000002</x:v>
      </x:c>
      <x:c r="AD190" s="65" t="n">
        <x:f>AC190/Q190</x:f>
        <x:v>-0.06392936004100785</x:v>
      </x:c>
      <x:c r="AE190" s="64" t="n">
        <x:f>-ROUND(Q190*'Drivers'!O190,3)</x:f>
        <x:v>-22.551</x:v>
      </x:c>
      <x:c r="AF190" s="65" t="n">
        <x:f>AE190/Q190</x:f>
        <x:v>-0.007939285291814766</x:v>
      </x:c>
      <x:c r="AG190" s="64" t="n">
        <x:f>-ROUND(Q190*'Drivers'!P190,3)</x:f>
        <x:v>-0.463</x:v>
      </x:c>
      <x:c r="AH190" s="64" t="n">
        <x:f>-ROUND(Q190*'Drivers'!Q190,3)</x:f>
        <x:v>-2.856</x:v>
      </x:c>
      <x:c r="AI190" s="64" t="n">
        <x:f>SUM(R190,T190,AC190,AE190,AG190,AH190)</x:f>
        <x:v>-829.743</x:v>
      </x:c>
      <x:c r="AJ190" s="65" t="n">
        <x:f>AI190/Q190</x:f>
        <x:v>-0.2921185932280724</x:v>
      </x:c>
      <x:c r="AK190" s="64" t="n">
        <x:f>Q190+AI190</x:f>
        <x:v>2010.6889999999999</x:v>
      </x:c>
      <x:c r="AL190" s="65" t="n">
        <x:f>AK190/Q190</x:f>
        <x:v>0.7078814067719277</x:v>
      </x:c>
      <x:c r="AM190" s="64" t="n">
        <x:f>AK190/L190</x:f>
        <x:v>335.1148333333333</x:v>
      </x:c>
      <x:c r="AN190" s="66" t="str">
        <x:f>IF(AM190&lt;=200,"≤200K",IF(AM190&lt;=350,"200–350K",IF(AM190&lt;=500,"350–500K",IF(AM190&lt;=700,"500–700K","&gt;700K"))))</x:f>
        <x:v>200–350K</x:v>
      </x:c>
      <x:c r="AO190" s="64" t="n">
        <x:f>-ROUND(Q190*'Drivers'!R190,3)</x:f>
        <x:v>-1001.704</x:v>
      </x:c>
      <x:c r="AP190" s="64" t="n">
        <x:f>-ROUND(AK190*'Drivers'!S190,3)</x:f>
        <x:v>-27.163</x:v>
      </x:c>
      <x:c r="AQ190" s="64" t="n">
        <x:f>-ROUND(AK190*'Drivers'!T190,3)</x:f>
        <x:v>-10.578</x:v>
      </x:c>
      <x:c r="AR190" s="64" t="n">
        <x:f>-ROUND(AK190*'Drivers'!U190,3)</x:f>
        <x:v>-25.193</x:v>
      </x:c>
      <x:c r="AS190" s="64" t="n">
        <x:f>-ROUND(AK190*'Drivers'!V190,3)</x:f>
        <x:v>-72.84</x:v>
      </x:c>
      <x:c r="AT190" s="64" t="n">
        <x:f>SUM(AO190:AS190)</x:f>
        <x:v>-1137.4779999999998</x:v>
      </x:c>
      <x:c r="AU190" s="65" t="n">
        <x:f>AT190/AK190</x:f>
        <x:v>-0.5657155333321066</x:v>
      </x:c>
      <x:c r="AV190" s="64" t="n">
        <x:f>AK190+AT190</x:f>
        <x:v>873.211</x:v>
      </x:c>
      <x:c r="AW190" s="65" t="n">
        <x:f>AV190/AK190</x:f>
        <x:v>0.4342844666678935</x:v>
      </x:c>
      <x:c r="AX190" s="64" t="n">
        <x:f>-ROUND(AK190*'Drivers'!W190,3)</x:f>
        <x:v>-25.587</x:v>
      </x:c>
      <x:c r="AY190" s="64" t="n">
        <x:f>-ROUND(AK190*'Drivers'!X190,3)</x:f>
        <x:v>-39.107</x:v>
      </x:c>
      <x:c r="AZ190" s="64" t="n">
        <x:f>-ROUND(AK190*'Drivers'!Y190,3)</x:f>
        <x:v>-33.257</x:v>
      </x:c>
      <x:c r="BA190" s="64" t="n">
        <x:f>-ROUND(AK190*'Drivers'!Z190,3)</x:f>
        <x:v>-16.185</x:v>
      </x:c>
      <x:c r="BB190" s="64" t="n">
        <x:f>-ROUND(AK190*'Drivers'!AA190,3)</x:f>
        <x:v>-17.036</x:v>
      </x:c>
      <x:c r="BC190" s="64" t="n">
        <x:f>SUM(BA190,BB190)</x:f>
        <x:v>-33.221000000000004</x:v>
      </x:c>
      <x:c r="BD190" s="64" t="n">
        <x:f>-ROUND(AK190*'Drivers'!AB190,3)</x:f>
        <x:v>-7.292</x:v>
      </x:c>
      <x:c r="BE190" s="64" t="n">
        <x:f>SUM(AX190:BB190,BD190)</x:f>
        <x:v>-138.464</x:v>
      </x:c>
      <x:c r="BF190" s="67" t="n">
        <x:f>'Drivers'!AF190</x:f>
        <x:v>10</x:v>
      </x:c>
      <x:c r="BG190" s="64" t="n">
        <x:f>BJ190</x:f>
        <x:v>-44.061</x:v>
      </x:c>
      <x:c r="BH190" s="64" t="n">
        <x:f>BE190/BF190</x:f>
        <x:v>-13.8464</x:v>
      </x:c>
      <x:c r="BI190" s="68" t="n">
        <x:f>BF190/L190</x:f>
        <x:v>1.6666666666666667</x:v>
      </x:c>
      <x:c r="BJ190" s="64" t="n">
        <x:f>-ROUND(AK190*'Drivers'!AC190,3)</x:f>
        <x:v>-44.061</x:v>
      </x:c>
      <x:c r="BK190" s="64" t="n">
        <x:f>-ROUND(AK190*'Drivers'!AD190,3)</x:f>
        <x:v>-177.325</x:v>
      </x:c>
      <x:c r="BL190" s="64" t="n">
        <x:f>SUM(AV190,BE190,BJ190,BK190)</x:f>
        <x:v>513.3610000000001</x:v>
      </x:c>
      <x:c r="BM190" s="65" t="n">
        <x:f>BL190/AK190</x:f>
        <x:v>0.25531596383130367</x:v>
      </x:c>
      <x:c r="BN190" s="64" t="n">
        <x:f>-ROUND(AK190*'Drivers'!AE190,3)</x:f>
        <x:v>-178.667</x:v>
      </x:c>
      <x:c r="BO190" s="64" t="n">
        <x:f>BL190+BN190</x:f>
        <x:v>334.6940000000001</x:v>
      </x:c>
      <x:c r="BP190" s="65" t="n">
        <x:f>BO190/AK190</x:f>
        <x:v>0.1664573685935518</x:v>
      </x:c>
    </x:row>
    <x:row r="191">
      <x:c r="A191" s="61" t="n">
        <x:v>2025</x:v>
      </x:c>
      <x:c r="B191" s="18" t="str">
        <x:v>S2</x:v>
      </x:c>
      <x:c r="C191" s="18" t="str">
        <x:v>2025 S2</x:v>
      </x:c>
      <x:c r="D191" s="18" t="str">
        <x:v>CNCT0048</x:v>
      </x:c>
      <x:c r="E191" s="18" t="str">
        <x:v>重庆万象城</x:v>
      </x:c>
      <x:c r="F191" s="18" t="str">
        <x:v>重庆</x:v>
      </x:c>
      <x:c r="G191" s="18" t="str">
        <x:v>重庆市</x:v>
      </x:c>
      <x:c r="H191" s="18" t="str">
        <x:v>西区</x:v>
      </x:c>
      <x:c r="I191" s="18" t="str">
        <x:v>Shopping Mall</x:v>
      </x:c>
      <x:c r="J191" s="18" t="str">
        <x:v>Prestige Shopping Center</x:v>
      </x:c>
      <x:c r="K191" s="18" t="str">
        <x:v>正常</x:v>
      </x:c>
      <x:c r="L191" s="62" t="n">
        <x:v>6</x:v>
      </x:c>
      <x:c r="M191" s="62" t="n">
        <x:v>42</x:v>
      </x:c>
      <x:c r="N191" s="63" t="n">
        <x:f>'Drivers'!C191</x:f>
        <x:v>2646</x:v>
      </x:c>
      <x:c r="O191" s="63" t="n">
        <x:f>'Drivers'!D191</x:f>
        <x:v>1214.37</x:v>
      </x:c>
      <x:c r="P191" s="64" t="n">
        <x:f>ROUND(N191*O191/1000,3)</x:f>
        <x:v>3213.223</x:v>
      </x:c>
      <x:c r="Q191" s="64" t="n">
        <x:f>ROUND(P191*'Drivers'!E191,3)</x:f>
        <x:v>3147.6</x:v>
      </x:c>
      <x:c r="R191" s="64" t="n">
        <x:f>-ROUND(Q191*'Drivers'!F191,3)</x:f>
        <x:v>-639.231</x:v>
      </x:c>
      <x:c r="S191" s="65" t="n">
        <x:f>R191/Q191</x:f>
        <x:v>-0.20308520777735417</x:v>
      </x:c>
      <x:c r="T191" s="64" t="n">
        <x:f>-ROUND(Q191*'Drivers'!G191,3)</x:f>
        <x:v>-50.349</x:v>
      </x:c>
      <x:c r="U191" s="65" t="n">
        <x:f>T191/Q191</x:f>
        <x:v>-0.015995996950057184</x:v>
      </x:c>
      <x:c r="V191" s="64" t="n">
        <x:f>-ROUND(Q191*'Drivers'!H191,3)</x:f>
        <x:v>-30.016</x:v>
      </x:c>
      <x:c r="W191" s="64" t="n">
        <x:f>-ROUND(Q191*'Drivers'!I191,3)</x:f>
        <x:v>-20.384</x:v>
      </x:c>
      <x:c r="X191" s="64" t="n">
        <x:f>-ROUND(Q191*'Drivers'!J191,3)</x:f>
        <x:v>-32.665</x:v>
      </x:c>
      <x:c r="Y191" s="64" t="n">
        <x:f>-ROUND(Q191*'Drivers'!K191,3)</x:f>
        <x:v>-41.493</x:v>
      </x:c>
      <x:c r="Z191" s="64" t="n">
        <x:f>-ROUND(Q191*'Drivers'!L191,3)</x:f>
        <x:v>-27.029</x:v>
      </x:c>
      <x:c r="AA191" s="64" t="n">
        <x:f>-ROUND(Q191*'Drivers'!M191,3)</x:f>
        <x:v>-29.003</x:v>
      </x:c>
      <x:c r="AB191" s="64" t="n">
        <x:f>-ROUND(Q191*'Drivers'!N191,3)</x:f>
        <x:v>-20.634</x:v>
      </x:c>
      <x:c r="AC191" s="64" t="n">
        <x:f>SUM(V191:AB191)</x:f>
        <x:v>-201.224</x:v>
      </x:c>
      <x:c r="AD191" s="65" t="n">
        <x:f>AC191/Q191</x:f>
        <x:v>-0.06392934299148557</x:v>
      </x:c>
      <x:c r="AE191" s="64" t="n">
        <x:f>-ROUND(Q191*'Drivers'!O191,3)</x:f>
        <x:v>-24.99</x:v>
      </x:c>
      <x:c r="AF191" s="65" t="n">
        <x:f>AE191/Q191</x:f>
        <x:v>-0.00793938238658025</x:v>
      </x:c>
      <x:c r="AG191" s="64" t="n">
        <x:f>-ROUND(Q191*'Drivers'!P191,3)</x:f>
        <x:v>-0.513</x:v>
      </x:c>
      <x:c r="AH191" s="64" t="n">
        <x:f>-ROUND(Q191*'Drivers'!Q191,3)</x:f>
        <x:v>-3.165</x:v>
      </x:c>
      <x:c r="AI191" s="64" t="n">
        <x:f>SUM(R191,T191,AC191,AE191,AG191,AH191)</x:f>
        <x:v>-919.4720000000001</x:v>
      </x:c>
      <x:c r="AJ191" s="65" t="n">
        <x:f>AI191/Q191</x:f>
        <x:v>-0.2921184394459271</x:v>
      </x:c>
      <x:c r="AK191" s="64" t="n">
        <x:f>Q191+AI191</x:f>
        <x:v>2228.1279999999997</x:v>
      </x:c>
      <x:c r="AL191" s="65" t="n">
        <x:f>AK191/Q191</x:f>
        <x:v>0.7078815605540729</x:v>
      </x:c>
      <x:c r="AM191" s="64" t="n">
        <x:f>AK191/L191</x:f>
        <x:v>371.3546666666666</x:v>
      </x:c>
      <x:c r="AN191" s="66" t="str">
        <x:f>IF(AM191&lt;=200,"≤200K",IF(AM191&lt;=350,"200–350K",IF(AM191&lt;=500,"350–500K",IF(AM191&lt;=700,"500–700K","&gt;700K"))))</x:f>
        <x:v>350–500K</x:v>
      </x:c>
      <x:c r="AO191" s="64" t="n">
        <x:f>-ROUND(Q191*'Drivers'!R191,3)</x:f>
        <x:v>-1110.034</x:v>
      </x:c>
      <x:c r="AP191" s="64" t="n">
        <x:f>-ROUND(AK191*'Drivers'!S191,3)</x:f>
        <x:v>-30.1</x:v>
      </x:c>
      <x:c r="AQ191" s="64" t="n">
        <x:f>-ROUND(AK191*'Drivers'!T191,3)</x:f>
        <x:v>-11.722</x:v>
      </x:c>
      <x:c r="AR191" s="64" t="n">
        <x:f>-ROUND(AK191*'Drivers'!U191,3)</x:f>
        <x:v>-27.917</x:v>
      </x:c>
      <x:c r="AS191" s="64" t="n">
        <x:f>-ROUND(AK191*'Drivers'!V191,3)</x:f>
        <x:v>-80.717</x:v>
      </x:c>
      <x:c r="AT191" s="64" t="n">
        <x:f>SUM(AO191:AS191)</x:f>
        <x:v>-1260.49</x:v>
      </x:c>
      <x:c r="AU191" s="65" t="n">
        <x:f>AT191/AK191</x:f>
        <x:v>-0.5657170503669449</x:v>
      </x:c>
      <x:c r="AV191" s="64" t="n">
        <x:f>AK191+AT191</x:f>
        <x:v>967.6379999999997</x:v>
      </x:c>
      <x:c r="AW191" s="65" t="n">
        <x:f>AV191/AK191</x:f>
        <x:v>0.43428294963305514</x:v>
      </x:c>
      <x:c r="AX191" s="64" t="n">
        <x:f>-ROUND(AK191*'Drivers'!W191,3)</x:f>
        <x:v>-28.354</x:v>
      </x:c>
      <x:c r="AY191" s="64" t="n">
        <x:f>-ROUND(AK191*'Drivers'!X191,3)</x:f>
        <x:v>-43.336</x:v>
      </x:c>
      <x:c r="AZ191" s="64" t="n">
        <x:f>-ROUND(AK191*'Drivers'!Y191,3)</x:f>
        <x:v>-36.854</x:v>
      </x:c>
      <x:c r="BA191" s="64" t="n">
        <x:f>-ROUND(AK191*'Drivers'!Z191,3)</x:f>
        <x:v>-17.936</x:v>
      </x:c>
      <x:c r="BB191" s="64" t="n">
        <x:f>-ROUND(AK191*'Drivers'!AA191,3)</x:f>
        <x:v>-18.878</x:v>
      </x:c>
      <x:c r="BC191" s="64" t="n">
        <x:f>SUM(BA191,BB191)</x:f>
        <x:v>-36.814</x:v>
      </x:c>
      <x:c r="BD191" s="64" t="n">
        <x:f>-ROUND(AK191*'Drivers'!AB191,3)</x:f>
        <x:v>-8.08</x:v>
      </x:c>
      <x:c r="BE191" s="64" t="n">
        <x:f>SUM(AX191:BB191,BD191)</x:f>
        <x:v>-153.43800000000002</x:v>
      </x:c>
      <x:c r="BF191" s="67" t="n">
        <x:f>'Drivers'!AF191</x:f>
        <x:v>10</x:v>
      </x:c>
      <x:c r="BG191" s="64" t="n">
        <x:f>BJ191</x:f>
        <x:v>-48.826</x:v>
      </x:c>
      <x:c r="BH191" s="64" t="n">
        <x:f>BE191/BF191</x:f>
        <x:v>-15.343800000000002</x:v>
      </x:c>
      <x:c r="BI191" s="68" t="n">
        <x:f>BF191/L191</x:f>
        <x:v>1.6666666666666667</x:v>
      </x:c>
      <x:c r="BJ191" s="64" t="n">
        <x:f>-ROUND(AK191*'Drivers'!AC191,3)</x:f>
        <x:v>-48.826</x:v>
      </x:c>
      <x:c r="BK191" s="64" t="n">
        <x:f>-ROUND(AK191*'Drivers'!AD191,3)</x:f>
        <x:v>-196.502</x:v>
      </x:c>
      <x:c r="BL191" s="64" t="n">
        <x:f>SUM(AV191,BE191,BJ191,BK191)</x:f>
        <x:v>568.8719999999996</x:v>
      </x:c>
      <x:c r="BM191" s="65" t="n">
        <x:f>BL191/AK191</x:f>
        <x:v>0.25531387783825693</x:v>
      </x:c>
      <x:c r="BN191" s="64" t="n">
        <x:f>-ROUND(AK191*'Drivers'!AE191,3)</x:f>
        <x:v>-197.989</x:v>
      </x:c>
      <x:c r="BO191" s="64" t="n">
        <x:f>BL191+BN191</x:f>
        <x:v>370.8829999999996</x:v>
      </x:c>
      <x:c r="BP191" s="65" t="n">
        <x:f>BO191/AK191</x:f>
        <x:v>0.1664549792471526</x:v>
      </x:c>
    </x:row>
    <x:row r="192">
      <x:c r="A192" s="61" t="n">
        <x:v>2026</x:v>
      </x:c>
      <x:c r="B192" s="18" t="str">
        <x:v>S1</x:v>
      </x:c>
      <x:c r="C192" s="18" t="str">
        <x:v>2026 S1</x:v>
      </x:c>
      <x:c r="D192" s="18" t="str">
        <x:v>CNCT0048</x:v>
      </x:c>
      <x:c r="E192" s="18" t="str">
        <x:v>重庆万象城</x:v>
      </x:c>
      <x:c r="F192" s="18" t="str">
        <x:v>重庆</x:v>
      </x:c>
      <x:c r="G192" s="18" t="str">
        <x:v>重庆市</x:v>
      </x:c>
      <x:c r="H192" s="18" t="str">
        <x:v>西区</x:v>
      </x:c>
      <x:c r="I192" s="18" t="str">
        <x:v>Shopping Mall</x:v>
      </x:c>
      <x:c r="J192" s="18" t="str">
        <x:v>Prestige Shopping Center</x:v>
      </x:c>
      <x:c r="K192" s="18" t="str">
        <x:v>正常</x:v>
      </x:c>
      <x:c r="L192" s="62" t="n">
        <x:v>6</x:v>
      </x:c>
      <x:c r="M192" s="62" t="n">
        <x:v>42</x:v>
      </x:c>
      <x:c r="N192" s="63" t="n">
        <x:f>'Drivers'!C192</x:f>
        <x:v>2432</x:v>
      </x:c>
      <x:c r="O192" s="63" t="n">
        <x:f>'Drivers'!D192</x:f>
        <x:v>1247.184</x:v>
      </x:c>
      <x:c r="P192" s="64" t="n">
        <x:f>ROUND(N192*O192/1000,3)</x:f>
        <x:v>3033.151</x:v>
      </x:c>
      <x:c r="Q192" s="64" t="n">
        <x:f>ROUND(P192*'Drivers'!E192,3)</x:f>
        <x:v>2936.276</x:v>
      </x:c>
      <x:c r="R192" s="64" t="n">
        <x:f>-ROUND(Q192*'Drivers'!F192,3)</x:f>
        <x:v>-588.476</x:v>
      </x:c>
      <x:c r="S192" s="65" t="n">
        <x:f>R192/Q192</x:f>
        <x:v>-0.2004157647305635</x:v>
      </x:c>
      <x:c r="T192" s="64" t="n">
        <x:f>-ROUND(Q192*'Drivers'!G192,3)</x:f>
        <x:v>-47.578</x:v>
      </x:c>
      <x:c r="U192" s="65" t="n">
        <x:f>T192/Q192</x:f>
        <x:v>-0.01620351765297268</x:v>
      </x:c>
      <x:c r="V192" s="64" t="n">
        <x:f>-ROUND(Q192*'Drivers'!H192,3)</x:f>
        <x:v>-28</x:v>
      </x:c>
      <x:c r="W192" s="64" t="n">
        <x:f>-ROUND(Q192*'Drivers'!I192,3)</x:f>
        <x:v>-19.015</x:v>
      </x:c>
      <x:c r="X192" s="64" t="n">
        <x:f>-ROUND(Q192*'Drivers'!J192,3)</x:f>
        <x:v>-30.472</x:v>
      </x:c>
      <x:c r="Y192" s="64" t="n">
        <x:f>-ROUND(Q192*'Drivers'!K192,3)</x:f>
        <x:v>-38.707</x:v>
      </x:c>
      <x:c r="Z192" s="64" t="n">
        <x:f>-ROUND(Q192*'Drivers'!L192,3)</x:f>
        <x:v>-25.214</x:v>
      </x:c>
      <x:c r="AA192" s="64" t="n">
        <x:f>-ROUND(Q192*'Drivers'!M192,3)</x:f>
        <x:v>-27.056</x:v>
      </x:c>
      <x:c r="AB192" s="64" t="n">
        <x:f>-ROUND(Q192*'Drivers'!N192,3)</x:f>
        <x:v>-19.249</x:v>
      </x:c>
      <x:c r="AC192" s="64" t="n">
        <x:f>SUM(V192:AB192)</x:f>
        <x:v>-187.713</x:v>
      </x:c>
      <x:c r="AD192" s="65" t="n">
        <x:f>AC192/Q192</x:f>
        <x:v>-0.06392893583573206</x:v>
      </x:c>
      <x:c r="AE192" s="64" t="n">
        <x:f>-ROUND(Q192*'Drivers'!O192,3)</x:f>
        <x:v>-18.304</x:v>
      </x:c>
      <x:c r="AF192" s="65" t="n">
        <x:f>AE192/Q192</x:f>
        <x:v>-0.00623374641893337</x:v>
      </x:c>
      <x:c r="AG192" s="64" t="n">
        <x:f>-ROUND(Q192*'Drivers'!P192,3)</x:f>
        <x:v>-0.479</x:v>
      </x:c>
      <x:c r="AH192" s="64" t="n">
        <x:f>-ROUND(Q192*'Drivers'!Q192,3)</x:f>
        <x:v>-2.952</x:v>
      </x:c>
      <x:c r="AI192" s="64" t="n">
        <x:f>SUM(R192,T192,AC192,AE192,AG192,AH192)</x:f>
        <x:v>-845.502</x:v>
      </x:c>
      <x:c r="AJ192" s="65" t="n">
        <x:f>AI192/Q192</x:f>
        <x:v>-0.28795045152431176</x:v>
      </x:c>
      <x:c r="AK192" s="64" t="n">
        <x:f>Q192+AI192</x:f>
        <x:v>2090.774</x:v>
      </x:c>
      <x:c r="AL192" s="65" t="n">
        <x:f>AK192/Q192</x:f>
        <x:v>0.7120495484756882</x:v>
      </x:c>
      <x:c r="AM192" s="64" t="n">
        <x:f>AK192/L192</x:f>
        <x:v>348.46233333333333</x:v>
      </x:c>
      <x:c r="AN192" s="66" t="str">
        <x:f>IF(AM192&lt;=200,"≤200K",IF(AM192&lt;=350,"200–350K",IF(AM192&lt;=500,"350–500K",IF(AM192&lt;=700,"500–700K","&gt;700K"))))</x:f>
        <x:v>200–350K</x:v>
      </x:c>
      <x:c r="AO192" s="64" t="n">
        <x:f>-ROUND(Q192*'Drivers'!R192,3)</x:f>
        <x:v>-1054.168</x:v>
      </x:c>
      <x:c r="AP192" s="64" t="n">
        <x:f>-ROUND(AK192*'Drivers'!S192,3)</x:f>
        <x:v>-28.245</x:v>
      </x:c>
      <x:c r="AQ192" s="64" t="n">
        <x:f>-ROUND(AK192*'Drivers'!T192,3)</x:f>
        <x:v>-10.999</x:v>
      </x:c>
      <x:c r="AR192" s="64" t="n">
        <x:f>-ROUND(AK192*'Drivers'!U192,3)</x:f>
        <x:v>-26.196</x:v>
      </x:c>
      <x:c r="AS192" s="64" t="n">
        <x:f>-ROUND(AK192*'Drivers'!V192,3)</x:f>
        <x:v>-75.741</x:v>
      </x:c>
      <x:c r="AT192" s="64" t="n">
        <x:f>SUM(AO192:AS192)</x:f>
        <x:v>-1195.3489999999997</x:v>
      </x:c>
      <x:c r="AU192" s="65" t="n">
        <x:f>AT192/AK192</x:f>
        <x:v>-0.5717255906185937</x:v>
      </x:c>
      <x:c r="AV192" s="64" t="n">
        <x:f>AK192+AT192</x:f>
        <x:v>895.4250000000002</x:v>
      </x:c>
      <x:c r="AW192" s="65" t="n">
        <x:f>AV192/AK192</x:f>
        <x:v>0.4282744093814062</x:v>
      </x:c>
      <x:c r="AX192" s="64" t="n">
        <x:f>-ROUND(AK192*'Drivers'!W192,3)</x:f>
        <x:v>-32.738</x:v>
      </x:c>
      <x:c r="AY192" s="64" t="n">
        <x:f>-ROUND(AK192*'Drivers'!X192,3)</x:f>
        <x:v>-50.036</x:v>
      </x:c>
      <x:c r="AZ192" s="64" t="n">
        <x:f>-ROUND(AK192*'Drivers'!Y192,3)</x:f>
        <x:v>-42.551</x:v>
      </x:c>
      <x:c r="BA192" s="64" t="n">
        <x:f>-ROUND(AK192*'Drivers'!Z192,3)</x:f>
        <x:v>-20.708</x:v>
      </x:c>
      <x:c r="BB192" s="64" t="n">
        <x:f>-ROUND(AK192*'Drivers'!AA192,3)</x:f>
        <x:v>-21.797</x:v>
      </x:c>
      <x:c r="BC192" s="64" t="n">
        <x:f>SUM(BA192,BB192)</x:f>
        <x:v>-42.504999999999995</x:v>
      </x:c>
      <x:c r="BD192" s="64" t="n">
        <x:f>-ROUND(AK192*'Drivers'!AB192,3)</x:f>
        <x:v>-9.33</x:v>
      </x:c>
      <x:c r="BE192" s="64" t="n">
        <x:f>SUM(AX192:BB192,BD192)</x:f>
        <x:v>-177.16000000000003</x:v>
      </x:c>
      <x:c r="BF192" s="67" t="n">
        <x:f>'Drivers'!AF192</x:f>
        <x:v>10</x:v>
      </x:c>
      <x:c r="BG192" s="64" t="n">
        <x:f>BJ192</x:f>
        <x:v>-56.374</x:v>
      </x:c>
      <x:c r="BH192" s="64" t="n">
        <x:f>BE192/BF192</x:f>
        <x:v>-17.716</x:v>
      </x:c>
      <x:c r="BI192" s="68" t="n">
        <x:f>BF192/L192</x:f>
        <x:v>1.6666666666666667</x:v>
      </x:c>
      <x:c r="BJ192" s="64" t="n">
        <x:f>-ROUND(AK192*'Drivers'!AC192,3)</x:f>
        <x:v>-56.374</x:v>
      </x:c>
      <x:c r="BK192" s="64" t="n">
        <x:f>-ROUND(AK192*'Drivers'!AD192,3)</x:f>
        <x:v>-184.388</x:v>
      </x:c>
      <x:c r="BL192" s="64" t="n">
        <x:f>SUM(AV192,BE192,BJ192,BK192)</x:f>
        <x:v>477.50300000000004</x:v>
      </x:c>
      <x:c r="BM192" s="65" t="n">
        <x:f>BL192/AK192</x:f>
        <x:v>0.2283857557057817</x:v>
      </x:c>
      <x:c r="BN192" s="64" t="n">
        <x:f>-ROUND(AK192*'Drivers'!AE192,3)</x:f>
        <x:v>-185.783</x:v>
      </x:c>
      <x:c r="BO192" s="64" t="n">
        <x:f>BL192+BN192</x:f>
        <x:v>291.72</x:v>
      </x:c>
      <x:c r="BP192" s="65" t="n">
        <x:f>BO192/AK192</x:f>
        <x:v>0.1395272755448461</x:v>
      </x:c>
    </x:row>
    <x:row r="193">
      <x:c r="A193" s="61" t="n">
        <x:v>2026</x:v>
      </x:c>
      <x:c r="B193" s="18" t="str">
        <x:v>S2</x:v>
      </x:c>
      <x:c r="C193" s="18" t="str">
        <x:v>2026 S2</x:v>
      </x:c>
      <x:c r="D193" s="18" t="str">
        <x:v>CNCT0048</x:v>
      </x:c>
      <x:c r="E193" s="18" t="str">
        <x:v>重庆万象城</x:v>
      </x:c>
      <x:c r="F193" s="18" t="str">
        <x:v>重庆</x:v>
      </x:c>
      <x:c r="G193" s="18" t="str">
        <x:v>重庆市</x:v>
      </x:c>
      <x:c r="H193" s="18" t="str">
        <x:v>西区</x:v>
      </x:c>
      <x:c r="I193" s="18" t="str">
        <x:v>Shopping Mall</x:v>
      </x:c>
      <x:c r="J193" s="18" t="str">
        <x:v>Prestige Shopping Center</x:v>
      </x:c>
      <x:c r="K193" s="18" t="str">
        <x:v>正常</x:v>
      </x:c>
      <x:c r="L193" s="62" t="n">
        <x:v>6</x:v>
      </x:c>
      <x:c r="M193" s="62" t="n">
        <x:v>42</x:v>
      </x:c>
      <x:c r="N193" s="63" t="n">
        <x:f>'Drivers'!C193</x:f>
        <x:v>2691</x:v>
      </x:c>
      <x:c r="O193" s="63" t="n">
        <x:f>'Drivers'!D193</x:f>
        <x:v>1257.631</x:v>
      </x:c>
      <x:c r="P193" s="64" t="n">
        <x:f>ROUND(N193*O193/1000,3)</x:f>
        <x:v>3384.285</x:v>
      </x:c>
      <x:c r="Q193" s="64" t="n">
        <x:f>ROUND(P193*'Drivers'!E193,3)</x:f>
        <x:v>3315.168</x:v>
      </x:c>
      <x:c r="R193" s="64" t="n">
        <x:f>-ROUND(Q193*'Drivers'!F193,3)</x:f>
        <x:v>-685.437</x:v>
      </x:c>
      <x:c r="S193" s="65" t="n">
        <x:f>R193/Q193</x:f>
        <x:v>-0.2067578475660962</x:v>
      </x:c>
      <x:c r="T193" s="64" t="n">
        <x:f>-ROUND(Q193*'Drivers'!G193,3)</x:f>
        <x:v>-51.01</x:v>
      </x:c>
      <x:c r="U193" s="65" t="n">
        <x:f>T193/Q193</x:f>
        <x:v>-0.01538685218969295</x:v>
      </x:c>
      <x:c r="V193" s="64" t="n">
        <x:f>-ROUND(Q193*'Drivers'!H193,3)</x:f>
        <x:v>-31.614</x:v>
      </x:c>
      <x:c r="W193" s="64" t="n">
        <x:f>-ROUND(Q193*'Drivers'!I193,3)</x:f>
        <x:v>-21.469</x:v>
      </x:c>
      <x:c r="X193" s="64" t="n">
        <x:f>-ROUND(Q193*'Drivers'!J193,3)</x:f>
        <x:v>-34.404</x:v>
      </x:c>
      <x:c r="Y193" s="64" t="n">
        <x:f>-ROUND(Q193*'Drivers'!K193,3)</x:f>
        <x:v>-43.702</x:v>
      </x:c>
      <x:c r="Z193" s="64" t="n">
        <x:f>-ROUND(Q193*'Drivers'!L193,3)</x:f>
        <x:v>-28.468</x:v>
      </x:c>
      <x:c r="AA193" s="64" t="n">
        <x:f>-ROUND(Q193*'Drivers'!M193,3)</x:f>
        <x:v>-30.547</x:v>
      </x:c>
      <x:c r="AB193" s="64" t="n">
        <x:f>-ROUND(Q193*'Drivers'!N193,3)</x:f>
        <x:v>-21.732</x:v>
      </x:c>
      <x:c r="AC193" s="64" t="n">
        <x:f>SUM(V193:AB193)</x:f>
        <x:v>-211.93599999999998</x:v>
      </x:c>
      <x:c r="AD193" s="65" t="n">
        <x:f>AC193/Q193</x:f>
        <x:v>-0.06392918850568055</x:v>
      </x:c>
      <x:c r="AE193" s="64" t="n">
        <x:f>-ROUND(Q193*'Drivers'!O193,3)</x:f>
        <x:v>-26.32</x:v>
      </x:c>
      <x:c r="AF193" s="65" t="n">
        <x:f>AE193/Q193</x:f>
        <x:v>-0.00793926582302918</x:v>
      </x:c>
      <x:c r="AG193" s="64" t="n">
        <x:f>-ROUND(Q193*'Drivers'!P193,3)</x:f>
        <x:v>-0.541</x:v>
      </x:c>
      <x:c r="AH193" s="64" t="n">
        <x:f>-ROUND(Q193*'Drivers'!Q193,3)</x:f>
        <x:v>-3.333</x:v>
      </x:c>
      <x:c r="AI193" s="64" t="n">
        <x:f>SUM(R193,T193,AC193,AE193,AG193,AH193)</x:f>
        <x:v>-978.5770000000001</x:v>
      </x:c>
      <x:c r="AJ193" s="65" t="n">
        <x:f>AI193/Q193</x:f>
        <x:v>-0.295181722313922</x:v>
      </x:c>
      <x:c r="AK193" s="64" t="n">
        <x:f>Q193+AI193</x:f>
        <x:v>2336.591</x:v>
      </x:c>
      <x:c r="AL193" s="65" t="n">
        <x:f>AK193/Q193</x:f>
        <x:v>0.704818277686078</x:v>
      </x:c>
      <x:c r="AM193" s="64" t="n">
        <x:f>AK193/L193</x:f>
        <x:v>389.4318333333333</x:v>
      </x:c>
      <x:c r="AN193" s="66" t="str">
        <x:f>IF(AM193&lt;=200,"≤200K",IF(AM193&lt;=350,"200–350K",IF(AM193&lt;=500,"350–500K",IF(AM193&lt;=700,"500–700K","&gt;700K"))))</x:f>
        <x:v>350–500K</x:v>
      </x:c>
      <x:c r="AO193" s="64" t="n">
        <x:f>-ROUND(Q193*'Drivers'!R193,3)</x:f>
        <x:v>-1161</x:v>
      </x:c>
      <x:c r="AP193" s="64" t="n">
        <x:f>-ROUND(AK193*'Drivers'!S193,3)</x:f>
        <x:v>-31.565</x:v>
      </x:c>
      <x:c r="AQ193" s="64" t="n">
        <x:f>-ROUND(AK193*'Drivers'!T193,3)</x:f>
        <x:v>-12.292</x:v>
      </x:c>
      <x:c r="AR193" s="64" t="n">
        <x:f>-ROUND(AK193*'Drivers'!U193,3)</x:f>
        <x:v>-29.276</x:v>
      </x:c>
      <x:c r="AS193" s="64" t="n">
        <x:f>-ROUND(AK193*'Drivers'!V193,3)</x:f>
        <x:v>-84.646</x:v>
      </x:c>
      <x:c r="AT193" s="64" t="n">
        <x:f>SUM(AO193:AS193)</x:f>
        <x:v>-1318.779</x:v>
      </x:c>
      <x:c r="AU193" s="65" t="n">
        <x:f>AT193/AK193</x:f>
        <x:v>-0.564403012765178</x:v>
      </x:c>
      <x:c r="AV193" s="64" t="n">
        <x:f>AK193+AT193</x:f>
        <x:v>1017.8119999999999</x:v>
      </x:c>
      <x:c r="AW193" s="65" t="n">
        <x:f>AV193/AK193</x:f>
        <x:v>0.435596987234822</x:v>
      </x:c>
      <x:c r="AX193" s="64" t="n">
        <x:f>-ROUND(AK193*'Drivers'!W193,3)</x:f>
        <x:v>-31.519</x:v>
      </x:c>
      <x:c r="AY193" s="64" t="n">
        <x:f>-ROUND(AK193*'Drivers'!X193,3)</x:f>
        <x:v>-48.172</x:v>
      </x:c>
      <x:c r="AZ193" s="64" t="n">
        <x:f>-ROUND(AK193*'Drivers'!Y193,3)</x:f>
        <x:v>-40.966</x:v>
      </x:c>
      <x:c r="BA193" s="64" t="n">
        <x:f>-ROUND(AK193*'Drivers'!Z193,3)</x:f>
        <x:v>-19.937</x:v>
      </x:c>
      <x:c r="BB193" s="64" t="n">
        <x:f>-ROUND(AK193*'Drivers'!AA193,3)</x:f>
        <x:v>-20.985</x:v>
      </x:c>
      <x:c r="BC193" s="64" t="n">
        <x:f>SUM(BA193,BB193)</x:f>
        <x:v>-40.922</x:v>
      </x:c>
      <x:c r="BD193" s="64" t="n">
        <x:f>-ROUND(AK193*'Drivers'!AB193,3)</x:f>
        <x:v>-8.982</x:v>
      </x:c>
      <x:c r="BE193" s="64" t="n">
        <x:f>SUM(AX193:BB193,BD193)</x:f>
        <x:v>-170.561</x:v>
      </x:c>
      <x:c r="BF193" s="67" t="n">
        <x:f>'Drivers'!AF193</x:f>
        <x:v>10</x:v>
      </x:c>
      <x:c r="BG193" s="64" t="n">
        <x:f>BJ193</x:f>
        <x:v>-54.274</x:v>
      </x:c>
      <x:c r="BH193" s="64" t="n">
        <x:f>BE193/BF193</x:f>
        <x:v>-17.0561</x:v>
      </x:c>
      <x:c r="BI193" s="68" t="n">
        <x:f>BF193/L193</x:f>
        <x:v>1.6666666666666667</x:v>
      </x:c>
      <x:c r="BJ193" s="64" t="n">
        <x:f>-ROUND(AK193*'Drivers'!AC193,3)</x:f>
        <x:v>-54.274</x:v>
      </x:c>
      <x:c r="BK193" s="64" t="n">
        <x:f>-ROUND(AK193*'Drivers'!AD193,3)</x:f>
        <x:v>-206.067</x:v>
      </x:c>
      <x:c r="BL193" s="64" t="n">
        <x:f>SUM(AV193,BE193,BJ193,BK193)</x:f>
        <x:v>586.9099999999999</x:v>
      </x:c>
      <x:c r="BM193" s="65" t="n">
        <x:f>BL193/AK193</x:f>
        <x:v>0.25118217094904494</x:v>
      </x:c>
      <x:c r="BN193" s="64" t="n">
        <x:f>-ROUND(AK193*'Drivers'!AE193,3)</x:f>
        <x:v>-207.626</x:v>
      </x:c>
      <x:c r="BO193" s="64" t="n">
        <x:f>BL193+BN193</x:f>
        <x:v>379.2839999999999</x:v>
      </x:c>
      <x:c r="BP193" s="65" t="n">
        <x:f>BO193/AK193</x:f>
        <x:v>0.16232365869764964</x:v>
      </x:c>
    </x:row>
    <x:row r="194">
      <x:c r="A194" s="61" t="n">
        <x:v>2025</x:v>
      </x:c>
      <x:c r="B194" s="18" t="str">
        <x:v>S1</x:v>
      </x:c>
      <x:c r="C194" s="18" t="str">
        <x:v>2025 S1</x:v>
      </x:c>
      <x:c r="D194" s="18" t="str">
        <x:v>CNCT0049</x:v>
      </x:c>
      <x:c r="E194" s="18" t="str">
        <x:v>重庆国金中心</x:v>
      </x:c>
      <x:c r="F194" s="18" t="str">
        <x:v>重庆</x:v>
      </x:c>
      <x:c r="G194" s="18" t="str">
        <x:v>重庆市</x:v>
      </x:c>
      <x:c r="H194" s="18" t="str">
        <x:v>西区</x:v>
      </x:c>
      <x:c r="I194" s="18" t="str">
        <x:v>Shopping Mall</x:v>
      </x:c>
      <x:c r="J194" s="18" t="str">
        <x:v>Prestige Shopping Center</x:v>
      </x:c>
      <x:c r="K194" s="18" t="str">
        <x:v>正常</x:v>
      </x:c>
      <x:c r="L194" s="62" t="n">
        <x:v>6</x:v>
      </x:c>
      <x:c r="M194" s="62" t="n">
        <x:v>42</x:v>
      </x:c>
      <x:c r="N194" s="63" t="n">
        <x:f>'Drivers'!C194</x:f>
        <x:v>2336</x:v>
      </x:c>
      <x:c r="O194" s="63" t="n">
        <x:f>'Drivers'!D194</x:f>
        <x:v>1269.869</x:v>
      </x:c>
      <x:c r="P194" s="64" t="n">
        <x:f>ROUND(N194*O194/1000,3)</x:f>
        <x:v>2966.414</x:v>
      </x:c>
      <x:c r="Q194" s="64" t="n">
        <x:f>ROUND(P194*'Drivers'!E194,3)</x:f>
        <x:v>2905.428</x:v>
      </x:c>
      <x:c r="R194" s="64" t="n">
        <x:f>-ROUND(Q194*'Drivers'!F194,3)</x:f>
        <x:v>-607.045</x:v>
      </x:c>
      <x:c r="S194" s="65" t="n">
        <x:f>R194/Q194</x:f>
        <x:v>-0.20893479377220842</x:v>
      </x:c>
      <x:c r="T194" s="64" t="n">
        <x:f>-ROUND(Q194*'Drivers'!G194,3)</x:f>
        <x:v>-26.779</x:v>
      </x:c>
      <x:c r="U194" s="65" t="n">
        <x:f>T194/Q194</x:f>
        <x:v>-0.009216886462166675</x:v>
      </x:c>
      <x:c r="V194" s="64" t="n">
        <x:f>-ROUND(Q194*'Drivers'!H194,3)</x:f>
        <x:v>-25.016</x:v>
      </x:c>
      <x:c r="W194" s="64" t="n">
        <x:f>-ROUND(Q194*'Drivers'!I194,3)</x:f>
        <x:v>-24.647</x:v>
      </x:c>
      <x:c r="X194" s="64" t="n">
        <x:f>-ROUND(Q194*'Drivers'!J194,3)</x:f>
        <x:v>-37.258</x:v>
      </x:c>
      <x:c r="Y194" s="64" t="n">
        <x:f>-ROUND(Q194*'Drivers'!K194,3)</x:f>
        <x:v>-36.528</x:v>
      </x:c>
      <x:c r="Z194" s="64" t="n">
        <x:f>-ROUND(Q194*'Drivers'!L194,3)</x:f>
        <x:v>-28.643</x:v>
      </x:c>
      <x:c r="AA194" s="64" t="n">
        <x:f>-ROUND(Q194*'Drivers'!M194,3)</x:f>
        <x:v>-22.035</x:v>
      </x:c>
      <x:c r="AB194" s="64" t="n">
        <x:f>-ROUND(Q194*'Drivers'!N194,3)</x:f>
        <x:v>-17.25</x:v>
      </x:c>
      <x:c r="AC194" s="64" t="n">
        <x:f>SUM(V194:AB194)</x:f>
        <x:v>-191.37699999999998</x:v>
      </x:c>
      <x:c r="AD194" s="65" t="n">
        <x:f>AC194/Q194</x:f>
        <x:v>-0.06586878077859785</x:v>
      </x:c>
      <x:c r="AE194" s="64" t="n">
        <x:f>-ROUND(Q194*'Drivers'!O194,3)</x:f>
        <x:v>-33.382</x:v>
      </x:c>
      <x:c r="AF194" s="65" t="n">
        <x:f>AE194/Q194</x:f>
        <x:v>-0.01148952925352134</x:v>
      </x:c>
      <x:c r="AG194" s="64" t="n">
        <x:f>-ROUND(Q194*'Drivers'!P194,3)</x:f>
        <x:v>-8.467</x:v>
      </x:c>
      <x:c r="AH194" s="64" t="n">
        <x:f>-ROUND(Q194*'Drivers'!Q194,3)</x:f>
        <x:v>-4.524</x:v>
      </x:c>
      <x:c r="AI194" s="64" t="n">
        <x:f>SUM(R194,T194,AC194,AE194,AG194,AH194)</x:f>
        <x:v>-871.5739999999998</x:v>
      </x:c>
      <x:c r="AJ194" s="65" t="n">
        <x:f>AI194/Q194</x:f>
        <x:v>-0.2999812764246782</x:v>
      </x:c>
      <x:c r="AK194" s="64" t="n">
        <x:f>Q194+AI194</x:f>
        <x:v>2033.854</x:v>
      </x:c>
      <x:c r="AL194" s="65" t="n">
        <x:f>AK194/Q194</x:f>
        <x:v>0.7000187235753218</x:v>
      </x:c>
      <x:c r="AM194" s="64" t="n">
        <x:f>AK194/L194</x:f>
        <x:v>338.97566666666665</x:v>
      </x:c>
      <x:c r="AN194" s="66" t="str">
        <x:f>IF(AM194&lt;=200,"≤200K",IF(AM194&lt;=350,"200–350K",IF(AM194&lt;=500,"350–500K",IF(AM194&lt;=700,"500–700K","&gt;700K"))))</x:f>
        <x:v>200–350K</x:v>
      </x:c>
      <x:c r="AO194" s="64" t="n">
        <x:f>-ROUND(Q194*'Drivers'!R194,3)</x:f>
        <x:v>-1051.504</x:v>
      </x:c>
      <x:c r="AP194" s="64" t="n">
        <x:f>-ROUND(AK194*'Drivers'!S194,3)</x:f>
        <x:v>-27.44</x:v>
      </x:c>
      <x:c r="AQ194" s="64" t="n">
        <x:f>-ROUND(AK194*'Drivers'!T194,3)</x:f>
        <x:v>-13.759</x:v>
      </x:c>
      <x:c r="AR194" s="64" t="n">
        <x:f>-ROUND(AK194*'Drivers'!U194,3)</x:f>
        <x:v>-10.175</x:v>
      </x:c>
      <x:c r="AS194" s="64" t="n">
        <x:f>-ROUND(AK194*'Drivers'!V194,3)</x:f>
        <x:v>-77.075</x:v>
      </x:c>
      <x:c r="AT194" s="64" t="n">
        <x:f>SUM(AO194:AS194)</x:f>
        <x:v>-1179.953</x:v>
      </x:c>
      <x:c r="AU194" s="65" t="n">
        <x:f>AT194/AK194</x:f>
        <x:v>-0.5801561960691377</x:v>
      </x:c>
      <x:c r="AV194" s="64" t="n">
        <x:f>AK194+AT194</x:f>
        <x:v>853.9010000000001</x:v>
      </x:c>
      <x:c r="AW194" s="65" t="n">
        <x:f>AV194/AK194</x:f>
        <x:v>0.4198438039308623</x:v>
      </x:c>
      <x:c r="AX194" s="64" t="n">
        <x:f>-ROUND(AK194*'Drivers'!W194,3)</x:f>
        <x:v>-27.534</x:v>
      </x:c>
      <x:c r="AY194" s="64" t="n">
        <x:f>-ROUND(AK194*'Drivers'!X194,3)</x:f>
        <x:v>-35.468</x:v>
      </x:c>
      <x:c r="AZ194" s="64" t="n">
        <x:f>-ROUND(AK194*'Drivers'!Y194,3)</x:f>
        <x:v>-27.217</x:v>
      </x:c>
      <x:c r="BA194" s="64" t="n">
        <x:f>-ROUND(AK194*'Drivers'!Z194,3)</x:f>
        <x:v>-9.419</x:v>
      </x:c>
      <x:c r="BB194" s="64" t="n">
        <x:f>-ROUND(AK194*'Drivers'!AA194,3)</x:f>
        <x:v>-14.694</x:v>
      </x:c>
      <x:c r="BC194" s="64" t="n">
        <x:f>SUM(BA194,BB194)</x:f>
        <x:v>-24.113</x:v>
      </x:c>
      <x:c r="BD194" s="64" t="n">
        <x:f>-ROUND(AK194*'Drivers'!AB194,3)</x:f>
        <x:v>-11.912</x:v>
      </x:c>
      <x:c r="BE194" s="64" t="n">
        <x:f>SUM(AX194:BB194,BD194)</x:f>
        <x:v>-126.244</x:v>
      </x:c>
      <x:c r="BF194" s="67" t="n">
        <x:f>'Drivers'!AF194</x:f>
        <x:v>13</x:v>
      </x:c>
      <x:c r="BG194" s="64" t="n">
        <x:f>BJ194</x:f>
        <x:v>-53.719</x:v>
      </x:c>
      <x:c r="BH194" s="64" t="n">
        <x:f>BE194/BF194</x:f>
        <x:v>-9.711076923076924</x:v>
      </x:c>
      <x:c r="BI194" s="68" t="n">
        <x:f>BF194/L194</x:f>
        <x:v>2.1666666666666665</x:v>
      </x:c>
      <x:c r="BJ194" s="64" t="n">
        <x:f>-ROUND(AK194*'Drivers'!AC194,3)</x:f>
        <x:v>-53.719</x:v>
      </x:c>
      <x:c r="BK194" s="64" t="n">
        <x:f>-ROUND(AK194*'Drivers'!AD194,3)</x:f>
        <x:v>-184.176</x:v>
      </x:c>
      <x:c r="BL194" s="64" t="n">
        <x:f>SUM(AV194,BE194,BJ194,BK194)</x:f>
        <x:v>489.762</x:v>
      </x:c>
      <x:c r="BM194" s="65" t="n">
        <x:f>BL194/AK194</x:f>
        <x:v>0.2408048955333077</x:v>
      </x:c>
      <x:c r="BN194" s="64" t="n">
        <x:f>-ROUND(AK194*'Drivers'!AE194,3)</x:f>
        <x:v>-150.443</x:v>
      </x:c>
      <x:c r="BO194" s="64" t="n">
        <x:f>BL194+BN194</x:f>
        <x:v>339.31899999999996</x:v>
      </x:c>
      <x:c r="BP194" s="65" t="n">
        <x:f>BO194/AK194</x:f>
        <x:v>0.16683547589945</x:v>
      </x:c>
    </x:row>
    <x:row r="195">
      <x:c r="A195" s="61" t="n">
        <x:v>2025</x:v>
      </x:c>
      <x:c r="B195" s="18" t="str">
        <x:v>S2</x:v>
      </x:c>
      <x:c r="C195" s="18" t="str">
        <x:v>2025 S2</x:v>
      </x:c>
      <x:c r="D195" s="18" t="str">
        <x:v>CNCT0049</x:v>
      </x:c>
      <x:c r="E195" s="18" t="str">
        <x:v>重庆国金中心</x:v>
      </x:c>
      <x:c r="F195" s="18" t="str">
        <x:v>重庆</x:v>
      </x:c>
      <x:c r="G195" s="18" t="str">
        <x:v>重庆市</x:v>
      </x:c>
      <x:c r="H195" s="18" t="str">
        <x:v>西区</x:v>
      </x:c>
      <x:c r="I195" s="18" t="str">
        <x:v>Shopping Mall</x:v>
      </x:c>
      <x:c r="J195" s="18" t="str">
        <x:v>Prestige Shopping Center</x:v>
      </x:c>
      <x:c r="K195" s="18" t="str">
        <x:v>正常</x:v>
      </x:c>
      <x:c r="L195" s="62" t="n">
        <x:v>6</x:v>
      </x:c>
      <x:c r="M195" s="62" t="n">
        <x:v>42</x:v>
      </x:c>
      <x:c r="N195" s="63" t="n">
        <x:f>'Drivers'!C195</x:f>
        <x:v>2482</x:v>
      </x:c>
      <x:c r="O195" s="63" t="n">
        <x:f>'Drivers'!D195</x:f>
        <x:v>1285.107</x:v>
      </x:c>
      <x:c r="P195" s="64" t="n">
        <x:f>ROUND(N195*O195/1000,3)</x:f>
        <x:v>3189.636</x:v>
      </x:c>
      <x:c r="Q195" s="64" t="n">
        <x:f>ROUND(P195*'Drivers'!E195,3)</x:f>
        <x:v>3074.878</x:v>
      </x:c>
      <x:c r="R195" s="64" t="n">
        <x:f>-ROUND(Q195*'Drivers'!F195,3)</x:f>
        <x:v>-642.449</x:v>
      </x:c>
      <x:c r="S195" s="65" t="n">
        <x:f>R195/Q195</x:f>
        <x:v>-0.20893479351050673</x:v>
      </x:c>
      <x:c r="T195" s="64" t="n">
        <x:f>-ROUND(Q195*'Drivers'!G195,3)</x:f>
        <x:v>-28.341</x:v>
      </x:c>
      <x:c r="U195" s="65" t="n">
        <x:f>T195/Q195</x:f>
        <x:v>-0.009216951046513065</x:v>
      </x:c>
      <x:c r="V195" s="64" t="n">
        <x:f>-ROUND(Q195*'Drivers'!H195,3)</x:f>
        <x:v>-26.475</x:v>
      </x:c>
      <x:c r="W195" s="64" t="n">
        <x:f>-ROUND(Q195*'Drivers'!I195,3)</x:f>
        <x:v>-26.085</x:v>
      </x:c>
      <x:c r="X195" s="64" t="n">
        <x:f>-ROUND(Q195*'Drivers'!J195,3)</x:f>
        <x:v>-39.43</x:v>
      </x:c>
      <x:c r="Y195" s="64" t="n">
        <x:f>-ROUND(Q195*'Drivers'!K195,3)</x:f>
        <x:v>-38.658</x:v>
      </x:c>
      <x:c r="Z195" s="64" t="n">
        <x:f>-ROUND(Q195*'Drivers'!L195,3)</x:f>
        <x:v>-30.314</x:v>
      </x:c>
      <x:c r="AA195" s="64" t="n">
        <x:f>-ROUND(Q195*'Drivers'!M195,3)</x:f>
        <x:v>-23.321</x:v>
      </x:c>
      <x:c r="AB195" s="64" t="n">
        <x:f>-ROUND(Q195*'Drivers'!N195,3)</x:f>
        <x:v>-18.256</x:v>
      </x:c>
      <x:c r="AC195" s="64" t="n">
        <x:f>SUM(V195:AB195)</x:f>
        <x:v>-202.53900000000002</x:v>
      </x:c>
      <x:c r="AD195" s="65" t="n">
        <x:f>AC195/Q195</x:f>
        <x:v>-0.06586895480080836</x:v>
      </x:c>
      <x:c r="AE195" s="64" t="n">
        <x:f>-ROUND(Q195*'Drivers'!O195,3)</x:f>
        <x:v>-35.329</x:v>
      </x:c>
      <x:c r="AF195" s="65" t="n">
        <x:f>AE195/Q195</x:f>
        <x:v>-0.011489561537075617</x:v>
      </x:c>
      <x:c r="AG195" s="64" t="n">
        <x:f>-ROUND(Q195*'Drivers'!P195,3)</x:f>
        <x:v>-8.96</x:v>
      </x:c>
      <x:c r="AH195" s="64" t="n">
        <x:f>-ROUND(Q195*'Drivers'!Q195,3)</x:f>
        <x:v>-4.788</x:v>
      </x:c>
      <x:c r="AI195" s="64" t="n">
        <x:f>SUM(R195,T195,AC195,AE195,AG195,AH195)</x:f>
        <x:v>-922.406</x:v>
      </x:c>
      <x:c r="AJ195" s="65" t="n">
        <x:f>AI195/Q195</x:f>
        <x:v>-0.2999813325927077</x:v>
      </x:c>
      <x:c r="AK195" s="64" t="n">
        <x:f>Q195+AI195</x:f>
        <x:v>2152.472</x:v>
      </x:c>
      <x:c r="AL195" s="65" t="n">
        <x:f>AK195/Q195</x:f>
        <x:v>0.7000186674072922</x:v>
      </x:c>
      <x:c r="AM195" s="64" t="n">
        <x:f>AK195/L195</x:f>
        <x:v>358.74533333333335</x:v>
      </x:c>
      <x:c r="AN195" s="66" t="str">
        <x:f>IF(AM195&lt;=200,"≤200K",IF(AM195&lt;=350,"200–350K",IF(AM195&lt;=500,"350–500K",IF(AM195&lt;=700,"500–700K","&gt;700K"))))</x:f>
        <x:v>350–500K</x:v>
      </x:c>
      <x:c r="AO195" s="64" t="n">
        <x:f>-ROUND(Q195*'Drivers'!R195,3)</x:f>
        <x:v>-1084.202</x:v>
      </x:c>
      <x:c r="AP195" s="64" t="n">
        <x:f>-ROUND(AK195*'Drivers'!S195,3)</x:f>
        <x:v>-29.041</x:v>
      </x:c>
      <x:c r="AQ195" s="64" t="n">
        <x:f>-ROUND(AK195*'Drivers'!T195,3)</x:f>
        <x:v>-14.562</x:v>
      </x:c>
      <x:c r="AR195" s="64" t="n">
        <x:f>-ROUND(AK195*'Drivers'!U195,3)</x:f>
        <x:v>-10.768</x:v>
      </x:c>
      <x:c r="AS195" s="64" t="n">
        <x:f>-ROUND(AK195*'Drivers'!V195,3)</x:f>
        <x:v>-81.57</x:v>
      </x:c>
      <x:c r="AT195" s="64" t="n">
        <x:f>SUM(AO195:AS195)</x:f>
        <x:v>-1220.1429999999998</x:v>
      </x:c>
      <x:c r="AU195" s="65" t="n">
        <x:f>AT195/AK195</x:f>
        <x:v>-0.566856618808514</x:v>
      </x:c>
      <x:c r="AV195" s="64" t="n">
        <x:f>AK195+AT195</x:f>
        <x:v>932.3290000000004</x:v>
      </x:c>
      <x:c r="AW195" s="65" t="n">
        <x:f>AV195/AK195</x:f>
        <x:v>0.43314338119148604</x:v>
      </x:c>
      <x:c r="AX195" s="64" t="n">
        <x:f>-ROUND(AK195*'Drivers'!W195,3)</x:f>
        <x:v>-29.14</x:v>
      </x:c>
      <x:c r="AY195" s="64" t="n">
        <x:f>-ROUND(AK195*'Drivers'!X195,3)</x:f>
        <x:v>-37.537</x:v>
      </x:c>
      <x:c r="AZ195" s="64" t="n">
        <x:f>-ROUND(AK195*'Drivers'!Y195,3)</x:f>
        <x:v>-28.805</x:v>
      </x:c>
      <x:c r="BA195" s="64" t="n">
        <x:f>-ROUND(AK195*'Drivers'!Z195,3)</x:f>
        <x:v>-9.968</x:v>
      </x:c>
      <x:c r="BB195" s="64" t="n">
        <x:f>-ROUND(AK195*'Drivers'!AA195,3)</x:f>
        <x:v>-15.551</x:v>
      </x:c>
      <x:c r="BC195" s="64" t="n">
        <x:f>SUM(BA195,BB195)</x:f>
        <x:v>-25.519</x:v>
      </x:c>
      <x:c r="BD195" s="64" t="n">
        <x:f>-ROUND(AK195*'Drivers'!AB195,3)</x:f>
        <x:v>-12.607</x:v>
      </x:c>
      <x:c r="BE195" s="64" t="n">
        <x:f>SUM(AX195:BB195,BD195)</x:f>
        <x:v>-133.608</x:v>
      </x:c>
      <x:c r="BF195" s="67" t="n">
        <x:f>'Drivers'!AF195</x:f>
        <x:v>13</x:v>
      </x:c>
      <x:c r="BG195" s="64" t="n">
        <x:f>BJ195</x:f>
        <x:v>-56.852</x:v>
      </x:c>
      <x:c r="BH195" s="64" t="n">
        <x:f>BE195/BF195</x:f>
        <x:v>-10.277538461538462</x:v>
      </x:c>
      <x:c r="BI195" s="68" t="n">
        <x:f>BF195/L195</x:f>
        <x:v>2.1666666666666665</x:v>
      </x:c>
      <x:c r="BJ195" s="64" t="n">
        <x:f>-ROUND(AK195*'Drivers'!AC195,3)</x:f>
        <x:v>-56.852</x:v>
      </x:c>
      <x:c r="BK195" s="64" t="n">
        <x:f>-ROUND(AK195*'Drivers'!AD195,3)</x:f>
        <x:v>-194.917</x:v>
      </x:c>
      <x:c r="BL195" s="64" t="n">
        <x:f>SUM(AV195,BE195,BJ195,BK195)</x:f>
        <x:v>546.9520000000005</x:v>
      </x:c>
      <x:c r="BM195" s="65" t="n">
        <x:f>BL195/AK195</x:f>
        <x:v>0.254104118427557</x:v>
      </x:c>
      <x:c r="BN195" s="64" t="n">
        <x:f>-ROUND(AK195*'Drivers'!AE195,3)</x:f>
        <x:v>-159.507</x:v>
      </x:c>
      <x:c r="BO195" s="64" t="n">
        <x:f>BL195+BN195</x:f>
        <x:v>387.44500000000045</x:v>
      </x:c>
      <x:c r="BP195" s="65" t="n">
        <x:f>BO195/AK195</x:f>
        <x:v>0.1800000185832849</x:v>
      </x:c>
    </x:row>
    <x:row r="196">
      <x:c r="A196" s="61" t="n">
        <x:v>2026</x:v>
      </x:c>
      <x:c r="B196" s="18" t="str">
        <x:v>S1</x:v>
      </x:c>
      <x:c r="C196" s="18" t="str">
        <x:v>2026 S1</x:v>
      </x:c>
      <x:c r="D196" s="18" t="str">
        <x:v>CNCT0049</x:v>
      </x:c>
      <x:c r="E196" s="18" t="str">
        <x:v>重庆国金中心</x:v>
      </x:c>
      <x:c r="F196" s="18" t="str">
        <x:v>重庆</x:v>
      </x:c>
      <x:c r="G196" s="18" t="str">
        <x:v>重庆市</x:v>
      </x:c>
      <x:c r="H196" s="18" t="str">
        <x:v>西区</x:v>
      </x:c>
      <x:c r="I196" s="18" t="str">
        <x:v>Shopping Mall</x:v>
      </x:c>
      <x:c r="J196" s="18" t="str">
        <x:v>Prestige Shopping Center</x:v>
      </x:c>
      <x:c r="K196" s="18" t="str">
        <x:v>正常</x:v>
      </x:c>
      <x:c r="L196" s="62" t="n">
        <x:v>6</x:v>
      </x:c>
      <x:c r="M196" s="62" t="n">
        <x:v>42</x:v>
      </x:c>
      <x:c r="N196" s="63" t="n">
        <x:f>'Drivers'!C196</x:f>
        <x:v>2371</x:v>
      </x:c>
      <x:c r="O196" s="63" t="n">
        <x:f>'Drivers'!D196</x:f>
        <x:v>1342.35</x:v>
      </x:c>
      <x:c r="P196" s="64" t="n">
        <x:f>ROUND(N196*O196/1000,3)</x:f>
        <x:v>3182.712</x:v>
      </x:c>
      <x:c r="Q196" s="64" t="n">
        <x:f>ROUND(P196*'Drivers'!E196,3)</x:f>
        <x:v>3128.411</x:v>
      </x:c>
      <x:c r="R196" s="64" t="n">
        <x:f>-ROUND(Q196*'Drivers'!F196,3)</x:f>
        <x:v>-661.518</x:v>
      </x:c>
      <x:c r="S196" s="65" t="n">
        <x:f>R196/Q196</x:f>
        <x:v>-0.21145495269003978</x:v>
      </x:c>
      <x:c r="T196" s="64" t="n">
        <x:f>-ROUND(Q196*'Drivers'!G196,3)</x:f>
        <x:v>-29.908</x:v>
      </x:c>
      <x:c r="U196" s="65" t="n">
        <x:f>T196/Q196</x:f>
        <x:v>-0.00956012493243375</x:v>
      </x:c>
      <x:c r="V196" s="64" t="n">
        <x:f>-ROUND(Q196*'Drivers'!H196,3)</x:f>
        <x:v>-26.936</x:v>
      </x:c>
      <x:c r="W196" s="64" t="n">
        <x:f>-ROUND(Q196*'Drivers'!I196,3)</x:f>
        <x:v>-26.539</x:v>
      </x:c>
      <x:c r="X196" s="64" t="n">
        <x:f>-ROUND(Q196*'Drivers'!J196,3)</x:f>
        <x:v>-40.117</x:v>
      </x:c>
      <x:c r="Y196" s="64" t="n">
        <x:f>-ROUND(Q196*'Drivers'!K196,3)</x:f>
        <x:v>-39.331</x:v>
      </x:c>
      <x:c r="Z196" s="64" t="n">
        <x:f>-ROUND(Q196*'Drivers'!L196,3)</x:f>
        <x:v>-30.841</x:v>
      </x:c>
      <x:c r="AA196" s="64" t="n">
        <x:f>-ROUND(Q196*'Drivers'!M196,3)</x:f>
        <x:v>-23.727</x:v>
      </x:c>
      <x:c r="AB196" s="64" t="n">
        <x:f>-ROUND(Q196*'Drivers'!N196,3)</x:f>
        <x:v>-18.574</x:v>
      </x:c>
      <x:c r="AC196" s="64" t="n">
        <x:f>SUM(V196:AB196)</x:f>
        <x:v>-206.06500000000003</x:v>
      </x:c>
      <x:c r="AD196" s="65" t="n">
        <x:f>AC196/Q196</x:f>
        <x:v>-0.06586890277524278</x:v>
      </x:c>
      <x:c r="AE196" s="64" t="n">
        <x:f>-ROUND(Q196*'Drivers'!O196,3)</x:f>
        <x:v>-32.12</x:v>
      </x:c>
      <x:c r="AF196" s="65" t="n">
        <x:f>AE196/Q196</x:f>
        <x:v>-0.010267193153329277</x:v>
      </x:c>
      <x:c r="AG196" s="64" t="n">
        <x:f>-ROUND(Q196*'Drivers'!P196,3)</x:f>
        <x:v>-9.116</x:v>
      </x:c>
      <x:c r="AH196" s="64" t="n">
        <x:f>-ROUND(Q196*'Drivers'!Q196,3)</x:f>
        <x:v>-4.871</x:v>
      </x:c>
      <x:c r="AI196" s="64" t="n">
        <x:f>SUM(R196,T196,AC196,AE196,AG196,AH196)</x:f>
        <x:v>-943.5980000000001</x:v>
      </x:c>
      <x:c r="AJ196" s="65" t="n">
        <x:f>AI196/Q196</x:f>
        <x:v>-0.3016221334089415</x:v>
      </x:c>
      <x:c r="AK196" s="64" t="n">
        <x:f>Q196+AI196</x:f>
        <x:v>2184.813</x:v>
      </x:c>
      <x:c r="AL196" s="65" t="n">
        <x:f>AK196/Q196</x:f>
        <x:v>0.6983778665910585</x:v>
      </x:c>
      <x:c r="AM196" s="64" t="n">
        <x:f>AK196/L196</x:f>
        <x:v>364.13550000000004</x:v>
      </x:c>
      <x:c r="AN196" s="66" t="str">
        <x:f>IF(AM196&lt;=200,"≤200K",IF(AM196&lt;=350,"200–350K",IF(AM196&lt;=500,"350–500K",IF(AM196&lt;=700,"500–700K","&gt;700K"))))</x:f>
        <x:v>350–500K</x:v>
      </x:c>
      <x:c r="AO196" s="64" t="n">
        <x:f>-ROUND(Q196*'Drivers'!R196,3)</x:f>
        <x:v>-1135.629</x:v>
      </x:c>
      <x:c r="AP196" s="64" t="n">
        <x:f>-ROUND(AK196*'Drivers'!S196,3)</x:f>
        <x:v>-29.477</x:v>
      </x:c>
      <x:c r="AQ196" s="64" t="n">
        <x:f>-ROUND(AK196*'Drivers'!T196,3)</x:f>
        <x:v>-14.78</x:v>
      </x:c>
      <x:c r="AR196" s="64" t="n">
        <x:f>-ROUND(AK196*'Drivers'!U196,3)</x:f>
        <x:v>-10.93</x:v>
      </x:c>
      <x:c r="AS196" s="64" t="n">
        <x:f>-ROUND(AK196*'Drivers'!V196,3)</x:f>
        <x:v>-82.796</x:v>
      </x:c>
      <x:c r="AT196" s="64" t="n">
        <x:f>SUM(AO196:AS196)</x:f>
        <x:v>-1273.612</x:v>
      </x:c>
      <x:c r="AU196" s="65" t="n">
        <x:f>AT196/AK196</x:f>
        <x:v>-0.5829386771316355</x:v>
      </x:c>
      <x:c r="AV196" s="64" t="n">
        <x:f>AK196+AT196</x:f>
        <x:v>911.201</x:v>
      </x:c>
      <x:c r="AW196" s="65" t="n">
        <x:f>AV196/AK196</x:f>
        <x:v>0.41706132286836445</x:v>
      </x:c>
      <x:c r="AX196" s="64" t="n">
        <x:f>-ROUND(AK196*'Drivers'!W196,3)</x:f>
        <x:v>-36.394</x:v>
      </x:c>
      <x:c r="AY196" s="64" t="n">
        <x:f>-ROUND(AK196*'Drivers'!X196,3)</x:f>
        <x:v>-46.881</x:v>
      </x:c>
      <x:c r="AZ196" s="64" t="n">
        <x:f>-ROUND(AK196*'Drivers'!Y196,3)</x:f>
        <x:v>-35.975</x:v>
      </x:c>
      <x:c r="BA196" s="64" t="n">
        <x:f>-ROUND(AK196*'Drivers'!Z196,3)</x:f>
        <x:v>-12.449</x:v>
      </x:c>
      <x:c r="BB196" s="64" t="n">
        <x:f>-ROUND(AK196*'Drivers'!AA196,3)</x:f>
        <x:v>-19.422</x:v>
      </x:c>
      <x:c r="BC196" s="64" t="n">
        <x:f>SUM(BA196,BB196)</x:f>
        <x:v>-31.871000000000002</x:v>
      </x:c>
      <x:c r="BD196" s="64" t="n">
        <x:f>-ROUND(AK196*'Drivers'!AB196,3)</x:f>
        <x:v>-15.745</x:v>
      </x:c>
      <x:c r="BE196" s="64" t="n">
        <x:f>SUM(AX196:BB196,BD196)</x:f>
        <x:v>-166.866</x:v>
      </x:c>
      <x:c r="BF196" s="67" t="n">
        <x:f>'Drivers'!AF196</x:f>
        <x:v>13</x:v>
      </x:c>
      <x:c r="BG196" s="64" t="n">
        <x:f>BJ196</x:f>
        <x:v>-71.005</x:v>
      </x:c>
      <x:c r="BH196" s="64" t="n">
        <x:f>BE196/BF196</x:f>
        <x:v>-12.835846153846155</x:v>
      </x:c>
      <x:c r="BI196" s="68" t="n">
        <x:f>BF196/L196</x:f>
        <x:v>2.1666666666666665</x:v>
      </x:c>
      <x:c r="BJ196" s="64" t="n">
        <x:f>-ROUND(AK196*'Drivers'!AC196,3)</x:f>
        <x:v>-71.005</x:v>
      </x:c>
      <x:c r="BK196" s="64" t="n">
        <x:f>-ROUND(AK196*'Drivers'!AD196,3)</x:f>
        <x:v>-197.846</x:v>
      </x:c>
      <x:c r="BL196" s="64" t="n">
        <x:f>SUM(AV196,BE196,BJ196,BK196)</x:f>
        <x:v>475.48400000000004</x:v>
      </x:c>
      <x:c r="BM196" s="65" t="n">
        <x:f>BL196/AK196</x:f>
        <x:v>0.21763144031090992</x:v>
      </x:c>
      <x:c r="BN196" s="64" t="n">
        <x:f>-ROUND(AK196*'Drivers'!AE196,3)</x:f>
        <x:v>-161.609</x:v>
      </x:c>
      <x:c r="BO196" s="64" t="n">
        <x:f>BL196+BN196</x:f>
        <x:v>313.875</x:v>
      </x:c>
      <x:c r="BP196" s="65" t="n">
        <x:f>BO196/AK196</x:f>
        <x:v>0.14366218069921774</x:v>
      </x:c>
    </x:row>
    <x:row r="197">
      <x:c r="A197" s="61" t="n">
        <x:v>2026</x:v>
      </x:c>
      <x:c r="B197" s="18" t="str">
        <x:v>S2</x:v>
      </x:c>
      <x:c r="C197" s="18" t="str">
        <x:v>2026 S2</x:v>
      </x:c>
      <x:c r="D197" s="18" t="str">
        <x:v>CNCT0049</x:v>
      </x:c>
      <x:c r="E197" s="18" t="str">
        <x:v>重庆国金中心</x:v>
      </x:c>
      <x:c r="F197" s="18" t="str">
        <x:v>重庆</x:v>
      </x:c>
      <x:c r="G197" s="18" t="str">
        <x:v>重庆市</x:v>
      </x:c>
      <x:c r="H197" s="18" t="str">
        <x:v>西区</x:v>
      </x:c>
      <x:c r="I197" s="18" t="str">
        <x:v>Shopping Mall</x:v>
      </x:c>
      <x:c r="J197" s="18" t="str">
        <x:v>Prestige Shopping Center</x:v>
      </x:c>
      <x:c r="K197" s="18" t="str">
        <x:v>正常</x:v>
      </x:c>
      <x:c r="L197" s="62" t="n">
        <x:v>6</x:v>
      </x:c>
      <x:c r="M197" s="62" t="n">
        <x:v>42</x:v>
      </x:c>
      <x:c r="N197" s="63" t="n">
        <x:f>'Drivers'!C197</x:f>
        <x:v>2645</x:v>
      </x:c>
      <x:c r="O197" s="63" t="n">
        <x:f>'Drivers'!D197</x:f>
        <x:v>1317.937</x:v>
      </x:c>
      <x:c r="P197" s="64" t="n">
        <x:f>ROUND(N197*O197/1000,3)</x:f>
        <x:v>3485.943</x:v>
      </x:c>
      <x:c r="Q197" s="64" t="n">
        <x:f>ROUND(P197*'Drivers'!E197,3)</x:f>
        <x:v>3360.524</x:v>
      </x:c>
      <x:c r="R197" s="64" t="n">
        <x:f>-ROUND(Q197*'Drivers'!F197,3)</x:f>
        <x:v>-685.789</x:v>
      </x:c>
      <x:c r="S197" s="65" t="n">
        <x:f>R197/Q197</x:f>
        <x:v>-0.20407204352654526</x:v>
      </x:c>
      <x:c r="T197" s="64" t="n">
        <x:f>-ROUND(Q197*'Drivers'!G197,3)</x:f>
        <x:v>-27.36</x:v>
      </x:c>
      <x:c r="U197" s="65" t="n">
        <x:f>T197/Q197</x:f>
        <x:v>-0.00814158744291069</x:v>
      </x:c>
      <x:c r="V197" s="64" t="n">
        <x:f>-ROUND(Q197*'Drivers'!H197,3)</x:f>
        <x:v>-28.934</x:v>
      </x:c>
      <x:c r="W197" s="64" t="n">
        <x:f>-ROUND(Q197*'Drivers'!I197,3)</x:f>
        <x:v>-28.508</x:v>
      </x:c>
      <x:c r="X197" s="64" t="n">
        <x:f>-ROUND(Q197*'Drivers'!J197,3)</x:f>
        <x:v>-43.093</x:v>
      </x:c>
      <x:c r="Y197" s="64" t="n">
        <x:f>-ROUND(Q197*'Drivers'!K197,3)</x:f>
        <x:v>-42.249</x:v>
      </x:c>
      <x:c r="Z197" s="64" t="n">
        <x:f>-ROUND(Q197*'Drivers'!L197,3)</x:f>
        <x:v>-33.13</x:v>
      </x:c>
      <x:c r="AA197" s="64" t="n">
        <x:f>-ROUND(Q197*'Drivers'!M197,3)</x:f>
        <x:v>-25.487</x:v>
      </x:c>
      <x:c r="AB197" s="64" t="n">
        <x:f>-ROUND(Q197*'Drivers'!N197,3)</x:f>
        <x:v>-19.952</x:v>
      </x:c>
      <x:c r="AC197" s="64" t="n">
        <x:f>SUM(V197:AB197)</x:f>
        <x:v>-221.35299999999998</x:v>
      </x:c>
      <x:c r="AD197" s="65" t="n">
        <x:f>AC197/Q197</x:f>
        <x:v>-0.06586859668313631</x:v>
      </x:c>
      <x:c r="AE197" s="64" t="n">
        <x:f>-ROUND(Q197*'Drivers'!O197,3)</x:f>
        <x:v>-38.611</x:v>
      </x:c>
      <x:c r="AF197" s="65" t="n">
        <x:f>AE197/Q197</x:f>
        <x:v>-0.011489577220695343</x:v>
      </x:c>
      <x:c r="AG197" s="64" t="n">
        <x:f>-ROUND(Q197*'Drivers'!P197,3)</x:f>
        <x:v>-9.793</x:v>
      </x:c>
      <x:c r="AH197" s="64" t="n">
        <x:f>-ROUND(Q197*'Drivers'!Q197,3)</x:f>
        <x:v>-5.233</x:v>
      </x:c>
      <x:c r="AI197" s="64" t="n">
        <x:f>SUM(R197,T197,AC197,AE197,AG197,AH197)</x:f>
        <x:v>-988.1389999999999</x:v>
      </x:c>
      <x:c r="AJ197" s="65" t="n">
        <x:f>AI197/Q197</x:f>
        <x:v>-0.2940431313687984</x:v>
      </x:c>
      <x:c r="AK197" s="64" t="n">
        <x:f>Q197+AI197</x:f>
        <x:v>2372.385</x:v>
      </x:c>
      <x:c r="AL197" s="65" t="n">
        <x:f>AK197/Q197</x:f>
        <x:v>0.7059568686312017</x:v>
      </x:c>
      <x:c r="AM197" s="64" t="n">
        <x:f>AK197/L197</x:f>
        <x:v>395.39750000000004</x:v>
      </x:c>
      <x:c r="AN197" s="66" t="str">
        <x:f>IF(AM197&lt;=200,"≤200K",IF(AM197&lt;=350,"200–350K",IF(AM197&lt;=500,"350–500K",IF(AM197&lt;=700,"500–700K","&gt;700K"))))</x:f>
        <x:v>350–500K</x:v>
      </x:c>
      <x:c r="AO197" s="64" t="n">
        <x:f>-ROUND(Q197*'Drivers'!R197,3)</x:f>
        <x:v>-1201.591</x:v>
      </x:c>
      <x:c r="AP197" s="64" t="n">
        <x:f>-ROUND(AK197*'Drivers'!S197,3)</x:f>
        <x:v>-32.008</x:v>
      </x:c>
      <x:c r="AQ197" s="64" t="n">
        <x:f>-ROUND(AK197*'Drivers'!T197,3)</x:f>
        <x:v>-16.049</x:v>
      </x:c>
      <x:c r="AR197" s="64" t="n">
        <x:f>-ROUND(AK197*'Drivers'!U197,3)</x:f>
        <x:v>-11.868</x:v>
      </x:c>
      <x:c r="AS197" s="64" t="n">
        <x:f>-ROUND(AK197*'Drivers'!V197,3)</x:f>
        <x:v>-89.904</x:v>
      </x:c>
      <x:c r="AT197" s="64" t="n">
        <x:f>SUM(AO197:AS197)</x:f>
        <x:v>-1351.4199999999998</x:v>
      </x:c>
      <x:c r="AU197" s="65" t="n">
        <x:f>AT197/AK197</x:f>
        <x:v>-0.5696461577695019</x:v>
      </x:c>
      <x:c r="AV197" s="64" t="n">
        <x:f>AK197+AT197</x:f>
        <x:v>1020.9650000000004</x:v>
      </x:c>
      <x:c r="AW197" s="65" t="n">
        <x:f>AV197/AK197</x:f>
        <x:v>0.4303538422304981</x:v>
      </x:c>
      <x:c r="AX197" s="64" t="n">
        <x:f>-ROUND(AK197*'Drivers'!W197,3)</x:f>
        <x:v>-34.044</x:v>
      </x:c>
      <x:c r="AY197" s="64" t="n">
        <x:f>-ROUND(AK197*'Drivers'!X197,3)</x:f>
        <x:v>-43.854</x:v>
      </x:c>
      <x:c r="AZ197" s="64" t="n">
        <x:f>-ROUND(AK197*'Drivers'!Y197,3)</x:f>
        <x:v>-33.652</x:v>
      </x:c>
      <x:c r="BA197" s="64" t="n">
        <x:f>-ROUND(AK197*'Drivers'!Z197,3)</x:f>
        <x:v>-11.645</x:v>
      </x:c>
      <x:c r="BB197" s="64" t="n">
        <x:f>-ROUND(AK197*'Drivers'!AA197,3)</x:f>
        <x:v>-18.168</x:v>
      </x:c>
      <x:c r="BC197" s="64" t="n">
        <x:f>SUM(BA197,BB197)</x:f>
        <x:v>-29.813</x:v>
      </x:c>
      <x:c r="BD197" s="64" t="n">
        <x:f>-ROUND(AK197*'Drivers'!AB197,3)</x:f>
        <x:v>-14.728</x:v>
      </x:c>
      <x:c r="BE197" s="64" t="n">
        <x:f>SUM(AX197:BB197,BD197)</x:f>
        <x:v>-156.091</x:v>
      </x:c>
      <x:c r="BF197" s="67" t="n">
        <x:f>'Drivers'!AF197</x:f>
        <x:v>13</x:v>
      </x:c>
      <x:c r="BG197" s="64" t="n">
        <x:f>BJ197</x:f>
        <x:v>-66.42</x:v>
      </x:c>
      <x:c r="BH197" s="64" t="n">
        <x:f>BE197/BF197</x:f>
        <x:v>-12.007000000000001</x:v>
      </x:c>
      <x:c r="BI197" s="68" t="n">
        <x:f>BF197/L197</x:f>
        <x:v>2.1666666666666665</x:v>
      </x:c>
      <x:c r="BJ197" s="64" t="n">
        <x:f>-ROUND(AK197*'Drivers'!AC197,3)</x:f>
        <x:v>-66.42</x:v>
      </x:c>
      <x:c r="BK197" s="64" t="n">
        <x:f>-ROUND(AK197*'Drivers'!AD197,3)</x:f>
        <x:v>-214.832</x:v>
      </x:c>
      <x:c r="BL197" s="64" t="n">
        <x:f>SUM(AV197,BE197,BJ197,BK197)</x:f>
        <x:v>583.6220000000004</x:v>
      </x:c>
      <x:c r="BM197" s="65" t="n">
        <x:f>BL197/AK197</x:f>
        <x:v>0.24600644499101132</x:v>
      </x:c>
      <x:c r="BN197" s="64" t="n">
        <x:f>-ROUND(AK197*'Drivers'!AE197,3)</x:f>
        <x:v>-175.803</x:v>
      </x:c>
      <x:c r="BO197" s="64" t="n">
        <x:f>BL197+BN197</x:f>
        <x:v>407.8190000000004</x:v>
      </x:c>
      <x:c r="BP197" s="65" t="n">
        <x:f>BO197/AK197</x:f>
        <x:v>0.1719025368985221</x:v>
      </x:c>
    </x:row>
    <x:row r="198">
      <x:c r="A198" s="61" t="n">
        <x:v>2025</x:v>
      </x:c>
      <x:c r="B198" s="18" t="str">
        <x:v>S1</x:v>
      </x:c>
      <x:c r="C198" s="18" t="str">
        <x:v>2025 S1</x:v>
      </x:c>
      <x:c r="D198" s="18" t="str">
        <x:v>CNCT0050</x:v>
      </x:c>
      <x:c r="E198" s="18" t="str">
        <x:v>重庆来福士广场</x:v>
      </x:c>
      <x:c r="F198" s="18" t="str">
        <x:v>重庆</x:v>
      </x:c>
      <x:c r="G198" s="18" t="str">
        <x:v>重庆市</x:v>
      </x:c>
      <x:c r="H198" s="18" t="str">
        <x:v>西区</x:v>
      </x:c>
      <x:c r="I198" s="18" t="str">
        <x:v>Shopping Mall</x:v>
      </x:c>
      <x:c r="J198" s="18" t="str">
        <x:v>Core Shopping Center</x:v>
      </x:c>
      <x:c r="K198" s="18" t="str">
        <x:v>正常</x:v>
      </x:c>
      <x:c r="L198" s="62" t="n">
        <x:v>4</x:v>
      </x:c>
      <x:c r="M198" s="62" t="n">
        <x:v>42</x:v>
      </x:c>
      <x:c r="N198" s="63" t="n">
        <x:f>'Drivers'!C198</x:f>
        <x:v>1822</x:v>
      </x:c>
      <x:c r="O198" s="63" t="n">
        <x:f>'Drivers'!D198</x:f>
        <x:v>1129.95</x:v>
      </x:c>
      <x:c r="P198" s="64" t="n">
        <x:f>ROUND(N198*O198/1000,3)</x:f>
        <x:v>2058.769</x:v>
      </x:c>
      <x:c r="Q198" s="64" t="n">
        <x:f>ROUND(P198*'Drivers'!E198,3)</x:f>
        <x:v>2015.725</x:v>
      </x:c>
      <x:c r="R198" s="64" t="n">
        <x:f>-ROUND(Q198*'Drivers'!F198,3)</x:f>
        <x:v>-326.678</x:v>
      </x:c>
      <x:c r="S198" s="65" t="n">
        <x:f>R198/Q198</x:f>
        <x:v>-0.16206476577906212</x:v>
      </x:c>
      <x:c r="T198" s="64" t="n">
        <x:f>-ROUND(Q198*'Drivers'!G198,3)</x:f>
        <x:v>-29.474</x:v>
      </x:c>
      <x:c r="U198" s="65" t="n">
        <x:f>T198/Q198</x:f>
        <x:v>-0.014622034255664836</x:v>
      </x:c>
      <x:c r="V198" s="64" t="n">
        <x:f>-ROUND(Q198*'Drivers'!H198,3)</x:f>
        <x:v>-16.452</x:v>
      </x:c>
      <x:c r="W198" s="64" t="n">
        <x:f>-ROUND(Q198*'Drivers'!I198,3)</x:f>
        <x:v>-11.697</x:v>
      </x:c>
      <x:c r="X198" s="64" t="n">
        <x:f>-ROUND(Q198*'Drivers'!J198,3)</x:f>
        <x:v>-26.408</x:v>
      </x:c>
      <x:c r="Y198" s="64" t="n">
        <x:f>-ROUND(Q198*'Drivers'!K198,3)</x:f>
        <x:v>-21.551</x:v>
      </x:c>
      <x:c r="Z198" s="64" t="n">
        <x:f>-ROUND(Q198*'Drivers'!L198,3)</x:f>
        <x:v>-21.85</x:v>
      </x:c>
      <x:c r="AA198" s="64" t="n">
        <x:f>-ROUND(Q198*'Drivers'!M198,3)</x:f>
        <x:v>-14.801</x:v>
      </x:c>
      <x:c r="AB198" s="64" t="n">
        <x:f>-ROUND(Q198*'Drivers'!N198,3)</x:f>
        <x:v>-10.763</x:v>
      </x:c>
      <x:c r="AC198" s="64" t="n">
        <x:f>SUM(V198:AB198)</x:f>
        <x:v>-123.522</x:v>
      </x:c>
      <x:c r="AD198" s="65" t="n">
        <x:f>AC198/Q198</x:f>
        <x:v>-0.06127919235014698</x:v>
      </x:c>
      <x:c r="AE198" s="64" t="n">
        <x:f>-ROUND(Q198*'Drivers'!O198,3)</x:f>
        <x:v>-21.983</x:v>
      </x:c>
      <x:c r="AF198" s="65" t="n">
        <x:f>AE198/Q198</x:f>
        <x:v>-0.010905753513004006</x:v>
      </x:c>
      <x:c r="AG198" s="64" t="n">
        <x:f>-ROUND(Q198*'Drivers'!P198,3)</x:f>
        <x:v>-2.864</x:v>
      </x:c>
      <x:c r="AH198" s="64" t="n">
        <x:f>-ROUND(Q198*'Drivers'!Q198,3)</x:f>
        <x:v>-8.118</x:v>
      </x:c>
      <x:c r="AI198" s="64" t="n">
        <x:f>SUM(R198,T198,AC198,AE198,AG198,AH198)</x:f>
        <x:v>-512.639</x:v>
      </x:c>
      <x:c r="AJ198" s="65" t="n">
        <x:f>AI198/Q198</x:f>
        <x:v>-0.25431990970990587</x:v>
      </x:c>
      <x:c r="AK198" s="64" t="n">
        <x:f>Q198+AI198</x:f>
        <x:v>1503.0859999999998</x:v>
      </x:c>
      <x:c r="AL198" s="65" t="n">
        <x:f>AK198/Q198</x:f>
        <x:v>0.7456800902900941</x:v>
      </x:c>
      <x:c r="AM198" s="64" t="n">
        <x:f>AK198/L198</x:f>
        <x:v>375.77149999999995</x:v>
      </x:c>
      <x:c r="AN198" s="66" t="str">
        <x:f>IF(AM198&lt;=200,"≤200K",IF(AM198&lt;=350,"200–350K",IF(AM198&lt;=500,"350–500K",IF(AM198&lt;=700,"500–700K","&gt;700K"))))</x:f>
        <x:v>350–500K</x:v>
      </x:c>
      <x:c r="AO198" s="64" t="n">
        <x:f>-ROUND(Q198*'Drivers'!R198,3)</x:f>
        <x:v>-806.411</x:v>
      </x:c>
      <x:c r="AP198" s="64" t="n">
        <x:f>-ROUND(AK198*'Drivers'!S198,3)</x:f>
        <x:v>-21.012</x:v>
      </x:c>
      <x:c r="AQ198" s="64" t="n">
        <x:f>-ROUND(AK198*'Drivers'!T198,3)</x:f>
        <x:v>-10.324</x:v>
      </x:c>
      <x:c r="AR198" s="64" t="n">
        <x:f>-ROUND(AK198*'Drivers'!U198,3)</x:f>
        <x:v>-18.123</x:v>
      </x:c>
      <x:c r="AS198" s="64" t="n">
        <x:f>-ROUND(AK198*'Drivers'!V198,3)</x:f>
        <x:v>-44.022</x:v>
      </x:c>
      <x:c r="AT198" s="64" t="n">
        <x:f>SUM(AO198:AS198)</x:f>
        <x:v>-899.892</x:v>
      </x:c>
      <x:c r="AU198" s="65" t="n">
        <x:f>AT198/AK198</x:f>
        <x:v>-0.5986962821821241</x:v>
      </x:c>
      <x:c r="AV198" s="64" t="n">
        <x:f>AK198+AT198</x:f>
        <x:v>603.1939999999997</x:v>
      </x:c>
      <x:c r="AW198" s="65" t="n">
        <x:f>AV198/AK198</x:f>
        <x:v>0.4013037178178759</x:v>
      </x:c>
      <x:c r="AX198" s="64" t="n">
        <x:f>-ROUND(AK198*'Drivers'!W198,3)</x:f>
        <x:v>-16.161</x:v>
      </x:c>
      <x:c r="AY198" s="64" t="n">
        <x:f>-ROUND(AK198*'Drivers'!X198,3)</x:f>
        <x:v>-37.13</x:v>
      </x:c>
      <x:c r="AZ198" s="64" t="n">
        <x:f>-ROUND(AK198*'Drivers'!Y198,3)</x:f>
        <x:v>-31.61</x:v>
      </x:c>
      <x:c r="BA198" s="64" t="n">
        <x:f>-ROUND(AK198*'Drivers'!Z198,3)</x:f>
        <x:v>-7.947</x:v>
      </x:c>
      <x:c r="BB198" s="64" t="n">
        <x:f>-ROUND(AK198*'Drivers'!AA198,3)</x:f>
        <x:v>-9.997</x:v>
      </x:c>
      <x:c r="BC198" s="64" t="n">
        <x:f>SUM(BA198,BB198)</x:f>
        <x:v>-17.944</x:v>
      </x:c>
      <x:c r="BD198" s="64" t="n">
        <x:f>-ROUND(AK198*'Drivers'!AB198,3)</x:f>
        <x:v>-10.159</x:v>
      </x:c>
      <x:c r="BE198" s="64" t="n">
        <x:f>SUM(AX198:BB198,BD198)</x:f>
        <x:v>-113.00400000000002</x:v>
      </x:c>
      <x:c r="BF198" s="67" t="n">
        <x:f>'Drivers'!AF198</x:f>
        <x:v>6</x:v>
      </x:c>
      <x:c r="BG198" s="64" t="n">
        <x:f>BJ198</x:f>
        <x:v>-35.389</x:v>
      </x:c>
      <x:c r="BH198" s="64" t="n">
        <x:f>BE198/BF198</x:f>
        <x:v>-18.834000000000003</x:v>
      </x:c>
      <x:c r="BI198" s="68" t="n">
        <x:f>BF198/L198</x:f>
        <x:v>1.5</x:v>
      </x:c>
      <x:c r="BJ198" s="64" t="n">
        <x:f>-ROUND(AK198*'Drivers'!AC198,3)</x:f>
        <x:v>-35.389</x:v>
      </x:c>
      <x:c r="BK198" s="64" t="n">
        <x:f>-ROUND(AK198*'Drivers'!AD198,3)</x:f>
        <x:v>-123.751</x:v>
      </x:c>
      <x:c r="BL198" s="64" t="n">
        <x:f>SUM(AV198,BE198,BJ198,BK198)</x:f>
        <x:v>331.0499999999997</x:v>
      </x:c>
      <x:c r="BM198" s="65" t="n">
        <x:f>BL198/AK198</x:f>
        <x:v>0.22024687875477503</x:v>
      </x:c>
      <x:c r="BN198" s="64" t="n">
        <x:f>-ROUND(AK198*'Drivers'!AE198,3)</x:f>
        <x:v>-132.306</x:v>
      </x:c>
      <x:c r="BO198" s="64" t="n">
        <x:f>BL198+BN198</x:f>
        <x:v>198.74399999999972</x:v>
      </x:c>
      <x:c r="BP198" s="65" t="n">
        <x:f>BO198/AK198</x:f>
        <x:v>0.1322239712165503</x:v>
      </x:c>
    </x:row>
    <x:row r="199">
      <x:c r="A199" s="61" t="n">
        <x:v>2025</x:v>
      </x:c>
      <x:c r="B199" s="18" t="str">
        <x:v>S2</x:v>
      </x:c>
      <x:c r="C199" s="18" t="str">
        <x:v>2025 S2</x:v>
      </x:c>
      <x:c r="D199" s="18" t="str">
        <x:v>CNCT0050</x:v>
      </x:c>
      <x:c r="E199" s="18" t="str">
        <x:v>重庆来福士广场</x:v>
      </x:c>
      <x:c r="F199" s="18" t="str">
        <x:v>重庆</x:v>
      </x:c>
      <x:c r="G199" s="18" t="str">
        <x:v>重庆市</x:v>
      </x:c>
      <x:c r="H199" s="18" t="str">
        <x:v>西区</x:v>
      </x:c>
      <x:c r="I199" s="18" t="str">
        <x:v>Shopping Mall</x:v>
      </x:c>
      <x:c r="J199" s="18" t="str">
        <x:v>Core Shopping Center</x:v>
      </x:c>
      <x:c r="K199" s="18" t="str">
        <x:v>正常</x:v>
      </x:c>
      <x:c r="L199" s="62" t="n">
        <x:v>4</x:v>
      </x:c>
      <x:c r="M199" s="62" t="n">
        <x:v>42</x:v>
      </x:c>
      <x:c r="N199" s="63" t="n">
        <x:f>'Drivers'!C199</x:f>
        <x:v>1954</x:v>
      </x:c>
      <x:c r="O199" s="63" t="n">
        <x:f>'Drivers'!D199</x:f>
        <x:v>1143.509</x:v>
      </x:c>
      <x:c r="P199" s="64" t="n">
        <x:f>ROUND(N199*O199/1000,3)</x:f>
        <x:v>2234.417</x:v>
      </x:c>
      <x:c r="Q199" s="64" t="n">
        <x:f>ROUND(P199*'Drivers'!E199,3)</x:f>
        <x:v>2188.252</x:v>
      </x:c>
      <x:c r="R199" s="64" t="n">
        <x:f>-ROUND(Q199*'Drivers'!F199,3)</x:f>
        <x:v>-354.639</x:v>
      </x:c>
      <x:c r="S199" s="65" t="n">
        <x:f>R199/Q199</x:f>
        <x:v>-0.16206497240719991</x:v>
      </x:c>
      <x:c r="T199" s="64" t="n">
        <x:f>-ROUND(Q199*'Drivers'!G199,3)</x:f>
        <x:v>-31.997</x:v>
      </x:c>
      <x:c r="U199" s="65" t="n">
        <x:f>T199/Q199</x:f>
        <x:v>-0.014622173314590824</x:v>
      </x:c>
      <x:c r="V199" s="64" t="n">
        <x:f>-ROUND(Q199*'Drivers'!H199,3)</x:f>
        <x:v>-17.861</x:v>
      </x:c>
      <x:c r="W199" s="64" t="n">
        <x:f>-ROUND(Q199*'Drivers'!I199,3)</x:f>
        <x:v>-12.698</x:v>
      </x:c>
      <x:c r="X199" s="64" t="n">
        <x:f>-ROUND(Q199*'Drivers'!J199,3)</x:f>
        <x:v>-28.669</x:v>
      </x:c>
      <x:c r="Y199" s="64" t="n">
        <x:f>-ROUND(Q199*'Drivers'!K199,3)</x:f>
        <x:v>-23.396</x:v>
      </x:c>
      <x:c r="Z199" s="64" t="n">
        <x:f>-ROUND(Q199*'Drivers'!L199,3)</x:f>
        <x:v>-23.72</x:v>
      </x:c>
      <x:c r="AA199" s="64" t="n">
        <x:f>-ROUND(Q199*'Drivers'!M199,3)</x:f>
        <x:v>-16.068</x:v>
      </x:c>
      <x:c r="AB199" s="64" t="n">
        <x:f>-ROUND(Q199*'Drivers'!N199,3)</x:f>
        <x:v>-11.684</x:v>
      </x:c>
      <x:c r="AC199" s="64" t="n">
        <x:f>SUM(V199:AB199)</x:f>
        <x:v>-134.096</x:v>
      </x:c>
      <x:c r="AD199" s="65" t="n">
        <x:f>AC199/Q199</x:f>
        <x:v>-0.06127996227125578</x:v>
      </x:c>
      <x:c r="AE199" s="64" t="n">
        <x:f>-ROUND(Q199*'Drivers'!O199,3)</x:f>
        <x:v>-23.865</x:v>
      </x:c>
      <x:c r="AF199" s="65" t="n">
        <x:f>AE199/Q199</x:f>
        <x:v>-0.010905965126502798</x:v>
      </x:c>
      <x:c r="AG199" s="64" t="n">
        <x:f>-ROUND(Q199*'Drivers'!P199,3)</x:f>
        <x:v>-3.109</x:v>
      </x:c>
      <x:c r="AH199" s="64" t="n">
        <x:f>-ROUND(Q199*'Drivers'!Q199,3)</x:f>
        <x:v>-8.812</x:v>
      </x:c>
      <x:c r="AI199" s="64" t="n">
        <x:f>SUM(R199,T199,AC199,AE199,AG199,AH199)</x:f>
        <x:v>-556.518</x:v>
      </x:c>
      <x:c r="AJ199" s="65" t="n">
        <x:f>AI199/Q199</x:f>
        <x:v>-0.254320800346578</x:v>
      </x:c>
      <x:c r="AK199" s="64" t="n">
        <x:f>Q199+AI199</x:f>
        <x:v>1631.734</x:v>
      </x:c>
      <x:c r="AL199" s="65" t="n">
        <x:f>AK199/Q199</x:f>
        <x:v>0.745679199653422</x:v>
      </x:c>
      <x:c r="AM199" s="64" t="n">
        <x:f>AK199/L199</x:f>
        <x:v>407.9335</x:v>
      </x:c>
      <x:c r="AN199" s="66" t="str">
        <x:f>IF(AM199&lt;=200,"≤200K",IF(AM199&lt;=350,"200–350K",IF(AM199&lt;=500,"350–500K",IF(AM199&lt;=700,"500–700K","&gt;700K"))))</x:f>
        <x:v>350–500K</x:v>
      </x:c>
      <x:c r="AO199" s="64" t="n">
        <x:f>-ROUND(Q199*'Drivers'!R199,3)</x:f>
        <x:v>-843.009</x:v>
      </x:c>
      <x:c r="AP199" s="64" t="n">
        <x:f>-ROUND(AK199*'Drivers'!S199,3)</x:f>
        <x:v>-22.81</x:v>
      </x:c>
      <x:c r="AQ199" s="64" t="n">
        <x:f>-ROUND(AK199*'Drivers'!T199,3)</x:f>
        <x:v>-11.208</x:v>
      </x:c>
      <x:c r="AR199" s="64" t="n">
        <x:f>-ROUND(AK199*'Drivers'!U199,3)</x:f>
        <x:v>-19.674</x:v>
      </x:c>
      <x:c r="AS199" s="64" t="n">
        <x:f>-ROUND(AK199*'Drivers'!V199,3)</x:f>
        <x:v>-47.789</x:v>
      </x:c>
      <x:c r="AT199" s="64" t="n">
        <x:f>SUM(AO199:AS199)</x:f>
        <x:v>-944.4899999999999</x:v>
      </x:c>
      <x:c r="AU199" s="65" t="n">
        <x:f>AT199/AK199</x:f>
        <x:v>-0.5788259606038729</x:v>
      </x:c>
      <x:c r="AV199" s="64" t="n">
        <x:f>AK199+AT199</x:f>
        <x:v>687.244</x:v>
      </x:c>
      <x:c r="AW199" s="65" t="n">
        <x:f>AV199/AK199</x:f>
        <x:v>0.4211740393961271</x:v>
      </x:c>
      <x:c r="AX199" s="64" t="n">
        <x:f>-ROUND(AK199*'Drivers'!W199,3)</x:f>
        <x:v>-17.545</x:v>
      </x:c>
      <x:c r="AY199" s="64" t="n">
        <x:f>-ROUND(AK199*'Drivers'!X199,3)</x:f>
        <x:v>-40.308</x:v>
      </x:c>
      <x:c r="AZ199" s="64" t="n">
        <x:f>-ROUND(AK199*'Drivers'!Y199,3)</x:f>
        <x:v>-34.315</x:v>
      </x:c>
      <x:c r="BA199" s="64" t="n">
        <x:f>-ROUND(AK199*'Drivers'!Z199,3)</x:f>
        <x:v>-8.627</x:v>
      </x:c>
      <x:c r="BB199" s="64" t="n">
        <x:f>-ROUND(AK199*'Drivers'!AA199,3)</x:f>
        <x:v>-10.853</x:v>
      </x:c>
      <x:c r="BC199" s="64" t="n">
        <x:f>SUM(BA199,BB199)</x:f>
        <x:v>-19.48</x:v>
      </x:c>
      <x:c r="BD199" s="64" t="n">
        <x:f>-ROUND(AK199*'Drivers'!AB199,3)</x:f>
        <x:v>-11.029</x:v>
      </x:c>
      <x:c r="BE199" s="64" t="n">
        <x:f>SUM(AX199:BB199,BD199)</x:f>
        <x:v>-122.67699999999999</x:v>
      </x:c>
      <x:c r="BF199" s="67" t="n">
        <x:f>'Drivers'!AF199</x:f>
        <x:v>6</x:v>
      </x:c>
      <x:c r="BG199" s="64" t="n">
        <x:f>BJ199</x:f>
        <x:v>-38.418</x:v>
      </x:c>
      <x:c r="BH199" s="64" t="n">
        <x:f>BE199/BF199</x:f>
        <x:v>-20.446166666666667</x:v>
      </x:c>
      <x:c r="BI199" s="68" t="n">
        <x:f>BF199/L199</x:f>
        <x:v>1.5</x:v>
      </x:c>
      <x:c r="BJ199" s="64" t="n">
        <x:f>-ROUND(AK199*'Drivers'!AC199,3)</x:f>
        <x:v>-38.418</x:v>
      </x:c>
      <x:c r="BK199" s="64" t="n">
        <x:f>-ROUND(AK199*'Drivers'!AD199,3)</x:f>
        <x:v>-134.343</x:v>
      </x:c>
      <x:c r="BL199" s="64" t="n">
        <x:f>SUM(AV199,BE199,BJ199,BK199)</x:f>
        <x:v>391.80600000000004</x:v>
      </x:c>
      <x:c r="BM199" s="65" t="n">
        <x:f>BL199/AK199</x:f>
        <x:v>0.2401163424920974</x:v>
      </x:c>
      <x:c r="BN199" s="64" t="n">
        <x:f>-ROUND(AK199*'Drivers'!AE199,3)</x:f>
        <x:v>-143.63</x:v>
      </x:c>
      <x:c r="BO199" s="64" t="n">
        <x:f>BL199+BN199</x:f>
        <x:v>248.17600000000004</x:v>
      </x:c>
      <x:c r="BP199" s="65" t="n">
        <x:f>BO199/AK199</x:f>
        <x:v>0.15209341718686994</x:v>
      </x:c>
    </x:row>
    <x:row r="200">
      <x:c r="A200" s="61" t="n">
        <x:v>2026</x:v>
      </x:c>
      <x:c r="B200" s="18" t="str">
        <x:v>S1</x:v>
      </x:c>
      <x:c r="C200" s="18" t="str">
        <x:v>2026 S1</x:v>
      </x:c>
      <x:c r="D200" s="18" t="str">
        <x:v>CNCT0050</x:v>
      </x:c>
      <x:c r="E200" s="18" t="str">
        <x:v>重庆来福士广场</x:v>
      </x:c>
      <x:c r="F200" s="18" t="str">
        <x:v>重庆</x:v>
      </x:c>
      <x:c r="G200" s="18" t="str">
        <x:v>重庆市</x:v>
      </x:c>
      <x:c r="H200" s="18" t="str">
        <x:v>西区</x:v>
      </x:c>
      <x:c r="I200" s="18" t="str">
        <x:v>Shopping Mall</x:v>
      </x:c>
      <x:c r="J200" s="18" t="str">
        <x:v>Core Shopping Center</x:v>
      </x:c>
      <x:c r="K200" s="18" t="str">
        <x:v>正常</x:v>
      </x:c>
      <x:c r="L200" s="62" t="n">
        <x:v>4</x:v>
      </x:c>
      <x:c r="M200" s="62" t="n">
        <x:v>42</x:v>
      </x:c>
      <x:c r="N200" s="63" t="n">
        <x:f>'Drivers'!C200</x:f>
        <x:v>1950</x:v>
      </x:c>
      <x:c r="O200" s="63" t="n">
        <x:f>'Drivers'!D200</x:f>
        <x:v>1178.325</x:v>
      </x:c>
      <x:c r="P200" s="64" t="n">
        <x:f>ROUND(N200*O200/1000,3)</x:f>
        <x:v>2297.734</x:v>
      </x:c>
      <x:c r="Q200" s="64" t="n">
        <x:f>ROUND(P200*'Drivers'!E200,3)</x:f>
        <x:v>2243.772</x:v>
      </x:c>
      <x:c r="R200" s="64" t="n">
        <x:f>-ROUND(Q200*'Drivers'!F200,3)</x:f>
        <x:v>-365.305</x:v>
      </x:c>
      <x:c r="S200" s="65" t="n">
        <x:f>R200/Q200</x:f>
        <x:v>-0.16280843151621466</x:v>
      </x:c>
      <x:c r="T200" s="64" t="n">
        <x:f>-ROUND(Q200*'Drivers'!G200,3)</x:f>
        <x:v>-32.925</x:v>
      </x:c>
      <x:c r="U200" s="65" t="n">
        <x:f>T200/Q200</x:f>
        <x:v>-0.014673950829228637</x:v>
      </x:c>
      <x:c r="V200" s="64" t="n">
        <x:f>-ROUND(Q200*'Drivers'!H200,3)</x:f>
        <x:v>-18.314</x:v>
      </x:c>
      <x:c r="W200" s="64" t="n">
        <x:f>-ROUND(Q200*'Drivers'!I200,3)</x:f>
        <x:v>-13.021</x:v>
      </x:c>
      <x:c r="X200" s="64" t="n">
        <x:f>-ROUND(Q200*'Drivers'!J200,3)</x:f>
        <x:v>-29.396</x:v>
      </x:c>
      <x:c r="Y200" s="64" t="n">
        <x:f>-ROUND(Q200*'Drivers'!K200,3)</x:f>
        <x:v>-23.989</x:v>
      </x:c>
      <x:c r="Z200" s="64" t="n">
        <x:f>-ROUND(Q200*'Drivers'!L200,3)</x:f>
        <x:v>-24.321</x:v>
      </x:c>
      <x:c r="AA200" s="64" t="n">
        <x:f>-ROUND(Q200*'Drivers'!M200,3)</x:f>
        <x:v>-16.476</x:v>
      </x:c>
      <x:c r="AB200" s="64" t="n">
        <x:f>-ROUND(Q200*'Drivers'!N200,3)</x:f>
        <x:v>-11.981</x:v>
      </x:c>
      <x:c r="AC200" s="64" t="n">
        <x:f>SUM(V200:AB200)</x:f>
        <x:v>-137.498</x:v>
      </x:c>
      <x:c r="AD200" s="65" t="n">
        <x:f>AC200/Q200</x:f>
        <x:v>-0.061279844832719185</x:v>
      </x:c>
      <x:c r="AE200" s="64" t="n">
        <x:f>-ROUND(Q200*'Drivers'!O200,3)</x:f>
        <x:v>-28.791</x:v>
      </x:c>
      <x:c r="AF200" s="65" t="n">
        <x:f>AE200/Q200</x:f>
        <x:v>-0.012831517640829817</x:v>
      </x:c>
      <x:c r="AG200" s="64" t="n">
        <x:f>-ROUND(Q200*'Drivers'!P200,3)</x:f>
        <x:v>-3.188</x:v>
      </x:c>
      <x:c r="AH200" s="64" t="n">
        <x:f>-ROUND(Q200*'Drivers'!Q200,3)</x:f>
        <x:v>-9.036</x:v>
      </x:c>
      <x:c r="AI200" s="64" t="n">
        <x:f>SUM(R200,T200,AC200,AE200,AG200,AH200)</x:f>
        <x:v>-576.743</x:v>
      </x:c>
      <x:c r="AJ200" s="65" t="n">
        <x:f>AI200/Q200</x:f>
        <x:v>-0.2570417136857043</x:v>
      </x:c>
      <x:c r="AK200" s="64" t="n">
        <x:f>Q200+AI200</x:f>
        <x:v>1667.029</x:v>
      </x:c>
      <x:c r="AL200" s="65" t="n">
        <x:f>AK200/Q200</x:f>
        <x:v>0.7429582863142957</x:v>
      </x:c>
      <x:c r="AM200" s="64" t="n">
        <x:f>AK200/L200</x:f>
        <x:v>416.75725</x:v>
      </x:c>
      <x:c r="AN200" s="66" t="str">
        <x:f>IF(AM200&lt;=200,"≤200K",IF(AM200&lt;=350,"200–350K",IF(AM200&lt;=500,"350–500K",IF(AM200&lt;=700,"500–700K","&gt;700K"))))</x:f>
        <x:v>350–500K</x:v>
      </x:c>
      <x:c r="AO200" s="64" t="n">
        <x:f>-ROUND(Q200*'Drivers'!R200,3)</x:f>
        <x:v>-894.399</x:v>
      </x:c>
      <x:c r="AP200" s="64" t="n">
        <x:f>-ROUND(AK200*'Drivers'!S200,3)</x:f>
        <x:v>-23.303</x:v>
      </x:c>
      <x:c r="AQ200" s="64" t="n">
        <x:f>-ROUND(AK200*'Drivers'!T200,3)</x:f>
        <x:v>-11.45</x:v>
      </x:c>
      <x:c r="AR200" s="64" t="n">
        <x:f>-ROUND(AK200*'Drivers'!U200,3)</x:f>
        <x:v>-20.1</x:v>
      </x:c>
      <x:c r="AS200" s="64" t="n">
        <x:f>-ROUND(AK200*'Drivers'!V200,3)</x:f>
        <x:v>-48.823</x:v>
      </x:c>
      <x:c r="AT200" s="64" t="n">
        <x:f>SUM(AO200:AS200)</x:f>
        <x:v>-998.075</x:v>
      </x:c>
      <x:c r="AU200" s="65" t="n">
        <x:f>AT200/AK200</x:f>
        <x:v>-0.5987148393939158</x:v>
      </x:c>
      <x:c r="AV200" s="64" t="n">
        <x:f>AK200+AT200</x:f>
        <x:v>668.954</x:v>
      </x:c>
      <x:c r="AW200" s="65" t="n">
        <x:f>AV200/AK200</x:f>
        <x:v>0.4012851606060842</x:v>
      </x:c>
      <x:c r="AX200" s="64" t="n">
        <x:f>-ROUND(AK200*'Drivers'!W200,3)</x:f>
        <x:v>-22.055</x:v>
      </x:c>
      <x:c r="AY200" s="64" t="n">
        <x:f>-ROUND(AK200*'Drivers'!X200,3)</x:f>
        <x:v>-50.669</x:v>
      </x:c>
      <x:c r="AZ200" s="64" t="n">
        <x:f>-ROUND(AK200*'Drivers'!Y200,3)</x:f>
        <x:v>-43.137</x:v>
      </x:c>
      <x:c r="BA200" s="64" t="n">
        <x:f>-ROUND(AK200*'Drivers'!Z200,3)</x:f>
        <x:v>-10.845</x:v>
      </x:c>
      <x:c r="BB200" s="64" t="n">
        <x:f>-ROUND(AK200*'Drivers'!AA200,3)</x:f>
        <x:v>-13.643</x:v>
      </x:c>
      <x:c r="BC200" s="64" t="n">
        <x:f>SUM(BA200,BB200)</x:f>
        <x:v>-24.488</x:v>
      </x:c>
      <x:c r="BD200" s="64" t="n">
        <x:f>-ROUND(AK200*'Drivers'!AB200,3)</x:f>
        <x:v>-13.864</x:v>
      </x:c>
      <x:c r="BE200" s="64" t="n">
        <x:f>SUM(AX200:BB200,BD200)</x:f>
        <x:v>-154.213</x:v>
      </x:c>
      <x:c r="BF200" s="67" t="n">
        <x:f>'Drivers'!AF200</x:f>
        <x:v>6</x:v>
      </x:c>
      <x:c r="BG200" s="64" t="n">
        <x:f>BJ200</x:f>
        <x:v>-48.294</x:v>
      </x:c>
      <x:c r="BH200" s="64" t="n">
        <x:f>BE200/BF200</x:f>
        <x:v>-25.702166666666667</x:v>
      </x:c>
      <x:c r="BI200" s="68" t="n">
        <x:f>BF200/L200</x:f>
        <x:v>1.5</x:v>
      </x:c>
      <x:c r="BJ200" s="64" t="n">
        <x:f>-ROUND(AK200*'Drivers'!AC200,3)</x:f>
        <x:v>-48.294</x:v>
      </x:c>
      <x:c r="BK200" s="64" t="n">
        <x:f>-ROUND(AK200*'Drivers'!AD200,3)</x:f>
        <x:v>-137.249</x:v>
      </x:c>
      <x:c r="BL200" s="64" t="n">
        <x:f>SUM(AV200,BE200,BJ200,BK200)</x:f>
        <x:v>329.198</x:v>
      </x:c>
      <x:c r="BM200" s="65" t="n">
        <x:f>BL200/AK200</x:f>
        <x:v>0.19747586874613457</x:v>
      </x:c>
      <x:c r="BN200" s="64" t="n">
        <x:f>-ROUND(AK200*'Drivers'!AE200,3)</x:f>
        <x:v>-146.737</x:v>
      </x:c>
      <x:c r="BO200" s="64" t="n">
        <x:f>BL200+BN200</x:f>
        <x:v>182.46099999999998</x:v>
      </x:c>
      <x:c r="BP200" s="65" t="n">
        <x:f>BO200/AK200</x:f>
        <x:v>0.10945280496020164</x:v>
      </x:c>
    </x:row>
    <x:row r="201">
      <x:c r="A201" s="61" t="n">
        <x:v>2026</x:v>
      </x:c>
      <x:c r="B201" s="18" t="str">
        <x:v>S2</x:v>
      </x:c>
      <x:c r="C201" s="18" t="str">
        <x:v>2026 S2</x:v>
      </x:c>
      <x:c r="D201" s="18" t="str">
        <x:v>CNCT0050</x:v>
      </x:c>
      <x:c r="E201" s="18" t="str">
        <x:v>重庆来福士广场</x:v>
      </x:c>
      <x:c r="F201" s="18" t="str">
        <x:v>重庆</x:v>
      </x:c>
      <x:c r="G201" s="18" t="str">
        <x:v>重庆市</x:v>
      </x:c>
      <x:c r="H201" s="18" t="str">
        <x:v>西区</x:v>
      </x:c>
      <x:c r="I201" s="18" t="str">
        <x:v>Shopping Mall</x:v>
      </x:c>
      <x:c r="J201" s="18" t="str">
        <x:v>Core Shopping Center</x:v>
      </x:c>
      <x:c r="K201" s="18" t="str">
        <x:v>正常</x:v>
      </x:c>
      <x:c r="L201" s="62" t="n">
        <x:v>4</x:v>
      </x:c>
      <x:c r="M201" s="62" t="n">
        <x:v>42</x:v>
      </x:c>
      <x:c r="N201" s="63" t="n">
        <x:f>'Drivers'!C201</x:f>
        <x:v>2097</x:v>
      </x:c>
      <x:c r="O201" s="63" t="n">
        <x:f>'Drivers'!D201</x:f>
        <x:v>1173.942</x:v>
      </x:c>
      <x:c r="P201" s="64" t="n">
        <x:f>ROUND(N201*O201/1000,3)</x:f>
        <x:v>2461.756</x:v>
      </x:c>
      <x:c r="Q201" s="64" t="n">
        <x:f>ROUND(P201*'Drivers'!E201,3)</x:f>
        <x:v>2410.894</x:v>
      </x:c>
      <x:c r="R201" s="64" t="n">
        <x:f>-ROUND(Q201*'Drivers'!F201,3)</x:f>
        <x:v>-397.277</x:v>
      </x:c>
      <x:c r="S201" s="65" t="n">
        <x:f>R201/Q201</x:f>
        <x:v>-0.16478410083562364</x:v>
      </x:c>
      <x:c r="T201" s="64" t="n">
        <x:f>-ROUND(Q201*'Drivers'!G201,3)</x:f>
        <x:v>-31.388</x:v>
      </x:c>
      <x:c r="U201" s="65" t="n">
        <x:f>T201/Q201</x:f>
        <x:v>-0.013019236847410133</x:v>
      </x:c>
      <x:c r="V201" s="64" t="n">
        <x:f>-ROUND(Q201*'Drivers'!H201,3)</x:f>
        <x:v>-19.678</x:v>
      </x:c>
      <x:c r="W201" s="64" t="n">
        <x:f>-ROUND(Q201*'Drivers'!I201,3)</x:f>
        <x:v>-13.99</x:v>
      </x:c>
      <x:c r="X201" s="64" t="n">
        <x:f>-ROUND(Q201*'Drivers'!J201,3)</x:f>
        <x:v>-31.586</x:v>
      </x:c>
      <x:c r="Y201" s="64" t="n">
        <x:f>-ROUND(Q201*'Drivers'!K201,3)</x:f>
        <x:v>-25.776</x:v>
      </x:c>
      <x:c r="Z201" s="64" t="n">
        <x:f>-ROUND(Q201*'Drivers'!L201,3)</x:f>
        <x:v>-26.133</x:v>
      </x:c>
      <x:c r="AA201" s="64" t="n">
        <x:f>-ROUND(Q201*'Drivers'!M201,3)</x:f>
        <x:v>-17.703</x:v>
      </x:c>
      <x:c r="AB201" s="64" t="n">
        <x:f>-ROUND(Q201*'Drivers'!N201,3)</x:f>
        <x:v>-12.873</x:v>
      </x:c>
      <x:c r="AC201" s="64" t="n">
        <x:f>SUM(V201:AB201)</x:f>
        <x:v>-147.73899999999998</x:v>
      </x:c>
      <x:c r="AD201" s="65" t="n">
        <x:f>AC201/Q201</x:f>
        <x:v>-0.06127975763347538</x:v>
      </x:c>
      <x:c r="AE201" s="64" t="n">
        <x:f>-ROUND(Q201*'Drivers'!O201,3)</x:f>
        <x:v>-26.293</x:v>
      </x:c>
      <x:c r="AF201" s="65" t="n">
        <x:f>AE201/Q201</x:f>
        <x:v>-0.010905912910314598</x:v>
      </x:c>
      <x:c r="AG201" s="64" t="n">
        <x:f>-ROUND(Q201*'Drivers'!P201,3)</x:f>
        <x:v>-3.425</x:v>
      </x:c>
      <x:c r="AH201" s="64" t="n">
        <x:f>-ROUND(Q201*'Drivers'!Q201,3)</x:f>
        <x:v>-9.709</x:v>
      </x:c>
      <x:c r="AI201" s="64" t="n">
        <x:f>SUM(R201,T201,AC201,AE201,AG201,AH201)</x:f>
        <x:v>-615.8309999999999</x:v>
      </x:c>
      <x:c r="AJ201" s="65" t="n">
        <x:f>AI201/Q201</x:f>
        <x:v>-0.255436779883313</x:v>
      </x:c>
      <x:c r="AK201" s="64" t="n">
        <x:f>Q201+AI201</x:f>
        <x:v>1795.0629999999999</x:v>
      </x:c>
      <x:c r="AL201" s="65" t="n">
        <x:f>AK201/Q201</x:f>
        <x:v>0.7445632201166871</x:v>
      </x:c>
      <x:c r="AM201" s="64" t="n">
        <x:f>AK201/L201</x:f>
        <x:v>448.76574999999997</x:v>
      </x:c>
      <x:c r="AN201" s="66" t="str">
        <x:f>IF(AM201&lt;=200,"≤200K",IF(AM201&lt;=350,"200–350K",IF(AM201&lt;=500,"350–500K",IF(AM201&lt;=700,"500–700K","&gt;700K"))))</x:f>
        <x:v>350–500K</x:v>
      </x:c>
      <x:c r="AO201" s="64" t="n">
        <x:f>-ROUND(Q201*'Drivers'!R201,3)</x:f>
        <x:v>-912.645</x:v>
      </x:c>
      <x:c r="AP201" s="64" t="n">
        <x:f>-ROUND(AK201*'Drivers'!S201,3)</x:f>
        <x:v>-25.093</x:v>
      </x:c>
      <x:c r="AQ201" s="64" t="n">
        <x:f>-ROUND(AK201*'Drivers'!T201,3)</x:f>
        <x:v>-12.33</x:v>
      </x:c>
      <x:c r="AR201" s="64" t="n">
        <x:f>-ROUND(AK201*'Drivers'!U201,3)</x:f>
        <x:v>-21.644</x:v>
      </x:c>
      <x:c r="AS201" s="64" t="n">
        <x:f>-ROUND(AK201*'Drivers'!V201,3)</x:f>
        <x:v>-52.573</x:v>
      </x:c>
      <x:c r="AT201" s="64" t="n">
        <x:f>SUM(AO201:AS201)</x:f>
        <x:v>-1024.285</x:v>
      </x:c>
      <x:c r="AU201" s="65" t="n">
        <x:f>AT201/AK201</x:f>
        <x:v>-0.5706122849170198</x:v>
      </x:c>
      <x:c r="AV201" s="64" t="n">
        <x:f>AK201+AT201</x:f>
        <x:v>770.7779999999998</x:v>
      </x:c>
      <x:c r="AW201" s="65" t="n">
        <x:f>AV201/AK201</x:f>
        <x:v>0.4293877150829803</x:v>
      </x:c>
      <x:c r="AX201" s="64" t="n">
        <x:f>-ROUND(AK201*'Drivers'!W201,3)</x:f>
        <x:v>-20.459</x:v>
      </x:c>
      <x:c r="AY201" s="64" t="n">
        <x:f>-ROUND(AK201*'Drivers'!X201,3)</x:f>
        <x:v>-47.003</x:v>
      </x:c>
      <x:c r="AZ201" s="64" t="n">
        <x:f>-ROUND(AK201*'Drivers'!Y201,3)</x:f>
        <x:v>-40.015</x:v>
      </x:c>
      <x:c r="BA201" s="64" t="n">
        <x:f>-ROUND(AK201*'Drivers'!Z201,3)</x:f>
        <x:v>-10.06</x:v>
      </x:c>
      <x:c r="BB201" s="64" t="n">
        <x:f>-ROUND(AK201*'Drivers'!AA201,3)</x:f>
        <x:v>-12.655</x:v>
      </x:c>
      <x:c r="BC201" s="64" t="n">
        <x:f>SUM(BA201,BB201)</x:f>
        <x:v>-22.715</x:v>
      </x:c>
      <x:c r="BD201" s="64" t="n">
        <x:f>-ROUND(AK201*'Drivers'!AB201,3)</x:f>
        <x:v>-12.861</x:v>
      </x:c>
      <x:c r="BE201" s="64" t="n">
        <x:f>SUM(AX201:BB201,BD201)</x:f>
        <x:v>-143.053</x:v>
      </x:c>
      <x:c r="BF201" s="67" t="n">
        <x:f>'Drivers'!AF201</x:f>
        <x:v>6</x:v>
      </x:c>
      <x:c r="BG201" s="64" t="n">
        <x:f>BJ201</x:f>
        <x:v>-44.799</x:v>
      </x:c>
      <x:c r="BH201" s="64" t="n">
        <x:f>BE201/BF201</x:f>
        <x:v>-23.842166666666667</x:v>
      </x:c>
      <x:c r="BI201" s="68" t="n">
        <x:f>BF201/L201</x:f>
        <x:v>1.5</x:v>
      </x:c>
      <x:c r="BJ201" s="64" t="n">
        <x:f>-ROUND(AK201*'Drivers'!AC201,3)</x:f>
        <x:v>-44.799</x:v>
      </x:c>
      <x:c r="BK201" s="64" t="n">
        <x:f>-ROUND(AK201*'Drivers'!AD201,3)</x:f>
        <x:v>-147.79</x:v>
      </x:c>
      <x:c r="BL201" s="64" t="n">
        <x:f>SUM(AV201,BE201,BJ201,BK201)</x:f>
        <x:v>435.13599999999985</x:v>
      </x:c>
      <x:c r="BM201" s="65" t="n">
        <x:f>BL201/AK201</x:f>
        <x:v>0.24240709100460534</x:v>
      </x:c>
      <x:c r="BN201" s="64" t="n">
        <x:f>-ROUND(AK201*'Drivers'!AE201,3)</x:f>
        <x:v>-158.007</x:v>
      </x:c>
      <x:c r="BO201" s="64" t="n">
        <x:f>BL201+BN201</x:f>
        <x:v>277.12899999999985</x:v>
      </x:c>
      <x:c r="BP201" s="65" t="n">
        <x:f>BO201/AK201</x:f>
        <x:v>0.15438399655053883</x:v>
      </x:c>
    </x:row>
    <x:row r="202">
      <x:c r="A202" s="61" t="n">
        <x:v>2025</x:v>
      </x:c>
      <x:c r="B202" s="18" t="str">
        <x:v>S1</x:v>
      </x:c>
      <x:c r="C202" s="18" t="str">
        <x:v>2025 S1</x:v>
      </x:c>
      <x:c r="D202" s="18" t="str">
        <x:v>CNCT0051</x:v>
      </x:c>
      <x:c r="E202" s="18" t="str">
        <x:v>重庆星光68广场</x:v>
      </x:c>
      <x:c r="F202" s="18" t="str">
        <x:v>重庆</x:v>
      </x:c>
      <x:c r="G202" s="18" t="str">
        <x:v>重庆市</x:v>
      </x:c>
      <x:c r="H202" s="18" t="str">
        <x:v>西区</x:v>
      </x:c>
      <x:c r="I202" s="18" t="str">
        <x:v>Shopping Mall</x:v>
      </x:c>
      <x:c r="J202" s="18" t="str">
        <x:v>Core Shopping Center</x:v>
      </x:c>
      <x:c r="K202" s="18" t="str">
        <x:v>正常</x:v>
      </x:c>
      <x:c r="L202" s="62" t="n">
        <x:v>4</x:v>
      </x:c>
      <x:c r="M202" s="62" t="n">
        <x:v>42</x:v>
      </x:c>
      <x:c r="N202" s="63" t="n">
        <x:f>'Drivers'!C202</x:f>
        <x:v>1818</x:v>
      </x:c>
      <x:c r="O202" s="63" t="n">
        <x:f>'Drivers'!D202</x:f>
        <x:v>1058.408</x:v>
      </x:c>
      <x:c r="P202" s="64" t="n">
        <x:f>ROUND(N202*O202/1000,3)</x:f>
        <x:v>1924.186</x:v>
      </x:c>
      <x:c r="Q202" s="64" t="n">
        <x:f>ROUND(P202*'Drivers'!E202,3)</x:f>
        <x:v>1891.535</x:v>
      </x:c>
      <x:c r="R202" s="64" t="n">
        <x:f>-ROUND(Q202*'Drivers'!F202,3)</x:f>
        <x:v>-312.13</x:v>
      </x:c>
      <x:c r="S202" s="65" t="n">
        <x:f>R202/Q202</x:f>
        <x:v>-0.1650141287367138</x:v>
      </x:c>
      <x:c r="T202" s="64" t="n">
        <x:f>-ROUND(Q202*'Drivers'!G202,3)</x:f>
        <x:v>-25.677</x:v>
      </x:c>
      <x:c r="U202" s="65" t="n">
        <x:f>T202/Q202</x:f>
        <x:v>-0.013574689339610422</x:v>
      </x:c>
      <x:c r="V202" s="64" t="n">
        <x:f>-ROUND(Q202*'Drivers'!H202,3)</x:f>
        <x:v>-22.76</x:v>
      </x:c>
      <x:c r="W202" s="64" t="n">
        <x:f>-ROUND(Q202*'Drivers'!I202,3)</x:f>
        <x:v>-17.636</x:v>
      </x:c>
      <x:c r="X202" s="64" t="n">
        <x:f>-ROUND(Q202*'Drivers'!J202,3)</x:f>
        <x:v>-27.183</x:v>
      </x:c>
      <x:c r="Y202" s="64" t="n">
        <x:f>-ROUND(Q202*'Drivers'!K202,3)</x:f>
        <x:v>-23.117</x:v>
      </x:c>
      <x:c r="Z202" s="64" t="n">
        <x:f>-ROUND(Q202*'Drivers'!L202,3)</x:f>
        <x:v>-20.078</x:v>
      </x:c>
      <x:c r="AA202" s="64" t="n">
        <x:f>-ROUND(Q202*'Drivers'!M202,3)</x:f>
        <x:v>-14.671</x:v>
      </x:c>
      <x:c r="AB202" s="64" t="n">
        <x:f>-ROUND(Q202*'Drivers'!N202,3)</x:f>
        <x:v>-11.21</x:v>
      </x:c>
      <x:c r="AC202" s="64" t="n">
        <x:f>SUM(V202:AB202)</x:f>
        <x:v>-136.65500000000003</x:v>
      </x:c>
      <x:c r="AD202" s="65" t="n">
        <x:f>AC202/Q202</x:f>
        <x:v>-0.07224555717975086</x:v>
      </x:c>
      <x:c r="AE202" s="64" t="n">
        <x:f>-ROUND(Q202*'Drivers'!O202,3)</x:f>
        <x:v>-27.019</x:v>
      </x:c>
      <x:c r="AF202" s="65" t="n">
        <x:f>AE202/Q202</x:f>
        <x:v>-0.014284166034464071</x:v>
      </x:c>
      <x:c r="AG202" s="64" t="n">
        <x:f>-ROUND(Q202*'Drivers'!P202,3)</x:f>
        <x:v>-1.548</x:v>
      </x:c>
      <x:c r="AH202" s="64" t="n">
        <x:f>-ROUND(Q202*'Drivers'!Q202,3)</x:f>
        <x:v>-2.099</x:v>
      </x:c>
      <x:c r="AI202" s="64" t="n">
        <x:f>SUM(R202,T202,AC202,AE202,AG202,AH202)</x:f>
        <x:v>-505.12800000000004</x:v>
      </x:c>
      <x:c r="AJ202" s="65" t="n">
        <x:f>AI202/Q202</x:f>
        <x:v>-0.2670466050059872</x:v>
      </x:c>
      <x:c r="AK202" s="64" t="n">
        <x:f>Q202+AI202</x:f>
        <x:v>1386.4070000000002</x:v>
      </x:c>
      <x:c r="AL202" s="65" t="n">
        <x:f>AK202/Q202</x:f>
        <x:v>0.7329533949940128</x:v>
      </x:c>
      <x:c r="AM202" s="64" t="n">
        <x:f>AK202/L202</x:f>
        <x:v>346.60175000000004</x:v>
      </x:c>
      <x:c r="AN202" s="66" t="str">
        <x:f>IF(AM202&lt;=200,"≤200K",IF(AM202&lt;=350,"200–350K",IF(AM202&lt;=500,"350–500K",IF(AM202&lt;=700,"500–700K","&gt;700K"))))</x:f>
        <x:v>200–350K</x:v>
      </x:c>
      <x:c r="AO202" s="64" t="n">
        <x:f>-ROUND(Q202*'Drivers'!R202,3)</x:f>
        <x:v>-725.857</x:v>
      </x:c>
      <x:c r="AP202" s="64" t="n">
        <x:f>-ROUND(AK202*'Drivers'!S202,3)</x:f>
        <x:v>-21.811</x:v>
      </x:c>
      <x:c r="AQ202" s="64" t="n">
        <x:f>-ROUND(AK202*'Drivers'!T202,3)</x:f>
        <x:v>-6.158</x:v>
      </x:c>
      <x:c r="AR202" s="64" t="n">
        <x:f>-ROUND(AK202*'Drivers'!U202,3)</x:f>
        <x:v>-12.713</x:v>
      </x:c>
      <x:c r="AS202" s="64" t="n">
        <x:f>-ROUND(AK202*'Drivers'!V202,3)</x:f>
        <x:v>-46.288</x:v>
      </x:c>
      <x:c r="AT202" s="64" t="n">
        <x:f>SUM(AO202:AS202)</x:f>
        <x:v>-812.827</x:v>
      </x:c>
      <x:c r="AU202" s="65" t="n">
        <x:f>AT202/AK202</x:f>
        <x:v>-0.5862831044563392</x:v>
      </x:c>
      <x:c r="AV202" s="64" t="n">
        <x:f>AK202+AT202</x:f>
        <x:v>573.5800000000002</x:v>
      </x:c>
      <x:c r="AW202" s="65" t="n">
        <x:f>AV202/AK202</x:f>
        <x:v>0.41371689554366076</x:v>
      </x:c>
      <x:c r="AX202" s="64" t="n">
        <x:f>-ROUND(AK202*'Drivers'!W202,3)</x:f>
        <x:v>-16.409</x:v>
      </x:c>
      <x:c r="AY202" s="64" t="n">
        <x:f>-ROUND(AK202*'Drivers'!X202,3)</x:f>
        <x:v>-30.151</x:v>
      </x:c>
      <x:c r="AZ202" s="64" t="n">
        <x:f>-ROUND(AK202*'Drivers'!Y202,3)</x:f>
        <x:v>-22.47</x:v>
      </x:c>
      <x:c r="BA202" s="64" t="n">
        <x:f>-ROUND(AK202*'Drivers'!Z202,3)</x:f>
        <x:v>-11.197</x:v>
      </x:c>
      <x:c r="BB202" s="64" t="n">
        <x:f>-ROUND(AK202*'Drivers'!AA202,3)</x:f>
        <x:v>-7.828</x:v>
      </x:c>
      <x:c r="BC202" s="64" t="n">
        <x:f>SUM(BA202,BB202)</x:f>
        <x:v>-19.025</x:v>
      </x:c>
      <x:c r="BD202" s="64" t="n">
        <x:f>-ROUND(AK202*'Drivers'!AB202,3)</x:f>
        <x:v>-7.619</x:v>
      </x:c>
      <x:c r="BE202" s="64" t="n">
        <x:f>SUM(AX202:BB202,BD202)</x:f>
        <x:v>-95.674</x:v>
      </x:c>
      <x:c r="BF202" s="67" t="n">
        <x:f>'Drivers'!AF202</x:f>
        <x:v>7</x:v>
      </x:c>
      <x:c r="BG202" s="64" t="n">
        <x:f>BJ202</x:f>
        <x:v>-24.367</x:v>
      </x:c>
      <x:c r="BH202" s="64" t="n">
        <x:f>BE202/BF202</x:f>
        <x:v>-13.667714285714286</x:v>
      </x:c>
      <x:c r="BI202" s="68" t="n">
        <x:f>BF202/L202</x:f>
        <x:v>1.75</x:v>
      </x:c>
      <x:c r="BJ202" s="64" t="n">
        <x:f>-ROUND(AK202*'Drivers'!AC202,3)</x:f>
        <x:v>-24.367</x:v>
      </x:c>
      <x:c r="BK202" s="64" t="n">
        <x:f>-ROUND(AK202*'Drivers'!AD202,3)</x:f>
        <x:v>-116.011</x:v>
      </x:c>
      <x:c r="BL202" s="64" t="n">
        <x:f>SUM(AV202,BE202,BJ202,BK202)</x:f>
        <x:v>337.52800000000013</x:v>
      </x:c>
      <x:c r="BM202" s="65" t="n">
        <x:f>BL202/AK202</x:f>
        <x:v>0.2434552047126133</x:v>
      </x:c>
      <x:c r="BN202" s="64" t="n">
        <x:f>-ROUND(AK202*'Drivers'!AE202,3)</x:f>
        <x:v>-124.735</x:v>
      </x:c>
      <x:c r="BO202" s="64" t="n">
        <x:f>BL202+BN202</x:f>
        <x:v>212.79300000000012</x:v>
      </x:c>
      <x:c r="BP202" s="65" t="n">
        <x:f>BO202/AK202</x:f>
        <x:v>0.1534852319701214</x:v>
      </x:c>
    </x:row>
    <x:row r="203">
      <x:c r="A203" s="61" t="n">
        <x:v>2025</x:v>
      </x:c>
      <x:c r="B203" s="18" t="str">
        <x:v>S2</x:v>
      </x:c>
      <x:c r="C203" s="18" t="str">
        <x:v>2025 S2</x:v>
      </x:c>
      <x:c r="D203" s="18" t="str">
        <x:v>CNCT0051</x:v>
      </x:c>
      <x:c r="E203" s="18" t="str">
        <x:v>重庆星光68广场</x:v>
      </x:c>
      <x:c r="F203" s="18" t="str">
        <x:v>重庆</x:v>
      </x:c>
      <x:c r="G203" s="18" t="str">
        <x:v>重庆市</x:v>
      </x:c>
      <x:c r="H203" s="18" t="str">
        <x:v>西区</x:v>
      </x:c>
      <x:c r="I203" s="18" t="str">
        <x:v>Shopping Mall</x:v>
      </x:c>
      <x:c r="J203" s="18" t="str">
        <x:v>Core Shopping Center</x:v>
      </x:c>
      <x:c r="K203" s="18" t="str">
        <x:v>正常</x:v>
      </x:c>
      <x:c r="L203" s="62" t="n">
        <x:v>4</x:v>
      </x:c>
      <x:c r="M203" s="62" t="n">
        <x:v>42</x:v>
      </x:c>
      <x:c r="N203" s="63" t="n">
        <x:f>'Drivers'!C203</x:f>
        <x:v>1958</x:v>
      </x:c>
      <x:c r="O203" s="63" t="n">
        <x:f>'Drivers'!D203</x:f>
        <x:v>1071.109</x:v>
      </x:c>
      <x:c r="P203" s="64" t="n">
        <x:f>ROUND(N203*O203/1000,3)</x:f>
        <x:v>2097.231</x:v>
      </x:c>
      <x:c r="Q203" s="64" t="n">
        <x:f>ROUND(P203*'Drivers'!E203,3)</x:f>
        <x:v>2029.561</x:v>
      </x:c>
      <x:c r="R203" s="64" t="n">
        <x:f>-ROUND(Q203*'Drivers'!F203,3)</x:f>
        <x:v>-334.907</x:v>
      </x:c>
      <x:c r="S203" s="65" t="n">
        <x:f>R203/Q203</x:f>
        <x:v>-0.16501450313639254</x:v>
      </x:c>
      <x:c r="T203" s="64" t="n">
        <x:f>-ROUND(Q203*'Drivers'!G203,3)</x:f>
        <x:v>-27.551</x:v>
      </x:c>
      <x:c r="U203" s="65" t="n">
        <x:f>T203/Q203</x:f>
        <x:v>-0.013574856828644224</x:v>
      </x:c>
      <x:c r="V203" s="64" t="n">
        <x:f>-ROUND(Q203*'Drivers'!H203,3)</x:f>
        <x:v>-24.421</x:v>
      </x:c>
      <x:c r="W203" s="64" t="n">
        <x:f>-ROUND(Q203*'Drivers'!I203,3)</x:f>
        <x:v>-18.923</x:v>
      </x:c>
      <x:c r="X203" s="64" t="n">
        <x:f>-ROUND(Q203*'Drivers'!J203,3)</x:f>
        <x:v>-29.166</x:v>
      </x:c>
      <x:c r="Y203" s="64" t="n">
        <x:f>-ROUND(Q203*'Drivers'!K203,3)</x:f>
        <x:v>-24.804</x:v>
      </x:c>
      <x:c r="Z203" s="64" t="n">
        <x:f>-ROUND(Q203*'Drivers'!L203,3)</x:f>
        <x:v>-21.543</x:v>
      </x:c>
      <x:c r="AA203" s="64" t="n">
        <x:f>-ROUND(Q203*'Drivers'!M203,3)</x:f>
        <x:v>-15.741</x:v>
      </x:c>
      <x:c r="AB203" s="64" t="n">
        <x:f>-ROUND(Q203*'Drivers'!N203,3)</x:f>
        <x:v>-12.028</x:v>
      </x:c>
      <x:c r="AC203" s="64" t="n">
        <x:f>SUM(V203:AB203)</x:f>
        <x:v>-146.626</x:v>
      </x:c>
      <x:c r="AD203" s="65" t="n">
        <x:f>AC203/Q203</x:f>
        <x:v>-0.07224518011530573</x:v>
      </x:c>
      <x:c r="AE203" s="64" t="n">
        <x:f>-ROUND(Q203*'Drivers'!O203,3)</x:f>
        <x:v>-28.99</x:v>
      </x:c>
      <x:c r="AF203" s="65" t="n">
        <x:f>AE203/Q203</x:f>
        <x:v>-0.014283877153729304</x:v>
      </x:c>
      <x:c r="AG203" s="64" t="n">
        <x:f>-ROUND(Q203*'Drivers'!P203,3)</x:f>
        <x:v>-1.661</x:v>
      </x:c>
      <x:c r="AH203" s="64" t="n">
        <x:f>-ROUND(Q203*'Drivers'!Q203,3)</x:f>
        <x:v>-2.252</x:v>
      </x:c>
      <x:c r="AI203" s="64" t="n">
        <x:f>SUM(R203,T203,AC203,AE203,AG203,AH203)</x:f>
        <x:v>-541.9869999999999</x:v>
      </x:c>
      <x:c r="AJ203" s="65" t="n">
        <x:f>AI203/Q203</x:f>
        <x:v>-0.2670464203835213</x:v>
      </x:c>
      <x:c r="AK203" s="64" t="n">
        <x:f>Q203+AI203</x:f>
        <x:v>1487.574</x:v>
      </x:c>
      <x:c r="AL203" s="65" t="n">
        <x:f>AK203/Q203</x:f>
        <x:v>0.7329535796164787</x:v>
      </x:c>
      <x:c r="AM203" s="64" t="n">
        <x:f>AK203/L203</x:f>
        <x:v>371.8935</x:v>
      </x:c>
      <x:c r="AN203" s="66" t="str">
        <x:f>IF(AM203&lt;=200,"≤200K",IF(AM203&lt;=350,"200–350K",IF(AM203&lt;=500,"350–500K",IF(AM203&lt;=700,"500–700K","&gt;700K"))))</x:f>
        <x:v>350–500K</x:v>
      </x:c>
      <x:c r="AO203" s="64" t="n">
        <x:f>-ROUND(Q203*'Drivers'!R203,3)</x:f>
        <x:v>-745.411</x:v>
      </x:c>
      <x:c r="AP203" s="64" t="n">
        <x:f>-ROUND(AK203*'Drivers'!S203,3)</x:f>
        <x:v>-23.403</x:v>
      </x:c>
      <x:c r="AQ203" s="64" t="n">
        <x:f>-ROUND(AK203*'Drivers'!T203,3)</x:f>
        <x:v>-6.607</x:v>
      </x:c>
      <x:c r="AR203" s="64" t="n">
        <x:f>-ROUND(AK203*'Drivers'!U203,3)</x:f>
        <x:v>-13.641</x:v>
      </x:c>
      <x:c r="AS203" s="64" t="n">
        <x:f>-ROUND(AK203*'Drivers'!V203,3)</x:f>
        <x:v>-49.666</x:v>
      </x:c>
      <x:c r="AT203" s="64" t="n">
        <x:f>SUM(AO203:AS203)</x:f>
        <x:v>-838.7279999999998</x:v>
      </x:c>
      <x:c r="AU203" s="65" t="n">
        <x:f>AT203/AK203</x:f>
        <x:v>-0.5638227073073339</x:v>
      </x:c>
      <x:c r="AV203" s="64" t="n">
        <x:f>AK203+AT203</x:f>
        <x:v>648.8460000000002</x:v>
      </x:c>
      <x:c r="AW203" s="65" t="n">
        <x:f>AV203/AK203</x:f>
        <x:v>0.4361772926926662</x:v>
      </x:c>
      <x:c r="AX203" s="64" t="n">
        <x:f>-ROUND(AK203*'Drivers'!W203,3)</x:f>
        <x:v>-17.607</x:v>
      </x:c>
      <x:c r="AY203" s="64" t="n">
        <x:f>-ROUND(AK203*'Drivers'!X203,3)</x:f>
        <x:v>-32.351</x:v>
      </x:c>
      <x:c r="AZ203" s="64" t="n">
        <x:f>-ROUND(AK203*'Drivers'!Y203,3)</x:f>
        <x:v>-24.11</x:v>
      </x:c>
      <x:c r="BA203" s="64" t="n">
        <x:f>-ROUND(AK203*'Drivers'!Z203,3)</x:f>
        <x:v>-12.014</x:v>
      </x:c>
      <x:c r="BB203" s="64" t="n">
        <x:f>-ROUND(AK203*'Drivers'!AA203,3)</x:f>
        <x:v>-8.399</x:v>
      </x:c>
      <x:c r="BC203" s="64" t="n">
        <x:f>SUM(BA203,BB203)</x:f>
        <x:v>-20.412999999999997</x:v>
      </x:c>
      <x:c r="BD203" s="64" t="n">
        <x:f>-ROUND(AK203*'Drivers'!AB203,3)</x:f>
        <x:v>-8.175</x:v>
      </x:c>
      <x:c r="BE203" s="64" t="n">
        <x:f>SUM(AX203:BB203,BD203)</x:f>
        <x:v>-102.65599999999999</x:v>
      </x:c>
      <x:c r="BF203" s="67" t="n">
        <x:f>'Drivers'!AF203</x:f>
        <x:v>7</x:v>
      </x:c>
      <x:c r="BG203" s="64" t="n">
        <x:f>BJ203</x:f>
        <x:v>-26.145</x:v>
      </x:c>
      <x:c r="BH203" s="64" t="n">
        <x:f>BE203/BF203</x:f>
        <x:v>-14.665142857142856</x:v>
      </x:c>
      <x:c r="BI203" s="68" t="n">
        <x:f>BF203/L203</x:f>
        <x:v>1.75</x:v>
      </x:c>
      <x:c r="BJ203" s="64" t="n">
        <x:f>-ROUND(AK203*'Drivers'!AC203,3)</x:f>
        <x:v>-26.145</x:v>
      </x:c>
      <x:c r="BK203" s="64" t="n">
        <x:f>-ROUND(AK203*'Drivers'!AD203,3)</x:f>
        <x:v>-124.477</x:v>
      </x:c>
      <x:c r="BL203" s="64" t="n">
        <x:f>SUM(AV203,BE203,BJ203,BK203)</x:f>
        <x:v>395.5680000000003</x:v>
      </x:c>
      <x:c r="BM203" s="65" t="n">
        <x:f>BL203/AK203</x:f>
        <x:v>0.2659148385223191</x:v>
      </x:c>
      <x:c r="BN203" s="64" t="n">
        <x:f>-ROUND(AK203*'Drivers'!AE203,3)</x:f>
        <x:v>-133.838</x:v>
      </x:c>
      <x:c r="BO203" s="64" t="n">
        <x:f>BL203+BN203</x:f>
        <x:v>261.73000000000036</x:v>
      </x:c>
      <x:c r="BP203" s="65" t="n">
        <x:f>BO203/AK203</x:f>
        <x:v>0.17594418832273243</x:v>
      </x:c>
    </x:row>
    <x:row r="204">
      <x:c r="A204" s="61" t="n">
        <x:v>2026</x:v>
      </x:c>
      <x:c r="B204" s="18" t="str">
        <x:v>S1</x:v>
      </x:c>
      <x:c r="C204" s="18" t="str">
        <x:v>2026 S1</x:v>
      </x:c>
      <x:c r="D204" s="18" t="str">
        <x:v>CNCT0051</x:v>
      </x:c>
      <x:c r="E204" s="18" t="str">
        <x:v>重庆星光68广场</x:v>
      </x:c>
      <x:c r="F204" s="18" t="str">
        <x:v>重庆</x:v>
      </x:c>
      <x:c r="G204" s="18" t="str">
        <x:v>重庆市</x:v>
      </x:c>
      <x:c r="H204" s="18" t="str">
        <x:v>西区</x:v>
      </x:c>
      <x:c r="I204" s="18" t="str">
        <x:v>Shopping Mall</x:v>
      </x:c>
      <x:c r="J204" s="18" t="str">
        <x:v>Core Shopping Center</x:v>
      </x:c>
      <x:c r="K204" s="18" t="str">
        <x:v>正常</x:v>
      </x:c>
      <x:c r="L204" s="62" t="n">
        <x:v>4</x:v>
      </x:c>
      <x:c r="M204" s="62" t="n">
        <x:v>42</x:v>
      </x:c>
      <x:c r="N204" s="63" t="n">
        <x:f>'Drivers'!C204</x:f>
        <x:v>1737</x:v>
      </x:c>
      <x:c r="O204" s="63" t="n">
        <x:f>'Drivers'!D204</x:f>
        <x:v>1096.655</x:v>
      </x:c>
      <x:c r="P204" s="64" t="n">
        <x:f>ROUND(N204*O204/1000,3)</x:f>
        <x:v>1904.89</x:v>
      </x:c>
      <x:c r="Q204" s="64" t="n">
        <x:f>ROUND(P204*'Drivers'!E204,3)</x:f>
        <x:v>1873.075</x:v>
      </x:c>
      <x:c r="R204" s="64" t="n">
        <x:f>-ROUND(Q204*'Drivers'!F204,3)</x:f>
        <x:v>-312.248</x:v>
      </x:c>
      <x:c r="S204" s="65" t="n">
        <x:f>R204/Q204</x:f>
        <x:v>-0.16670341550658677</x:v>
      </x:c>
      <x:c r="T204" s="64" t="n">
        <x:f>-ROUND(Q204*'Drivers'!G204,3)</x:f>
        <x:v>-21.756</x:v>
      </x:c>
      <x:c r="U204" s="65" t="n">
        <x:f>T204/Q204</x:f>
        <x:v>-0.011615124861524499</x:v>
      </x:c>
      <x:c r="V204" s="64" t="n">
        <x:f>-ROUND(Q204*'Drivers'!H204,3)</x:f>
        <x:v>-22.538</x:v>
      </x:c>
      <x:c r="W204" s="64" t="n">
        <x:f>-ROUND(Q204*'Drivers'!I204,3)</x:f>
        <x:v>-17.464</x:v>
      </x:c>
      <x:c r="X204" s="64" t="n">
        <x:f>-ROUND(Q204*'Drivers'!J204,3)</x:f>
        <x:v>-26.918</x:v>
      </x:c>
      <x:c r="Y204" s="64" t="n">
        <x:f>-ROUND(Q204*'Drivers'!K204,3)</x:f>
        <x:v>-22.892</x:v>
      </x:c>
      <x:c r="Z204" s="64" t="n">
        <x:f>-ROUND(Q204*'Drivers'!L204,3)</x:f>
        <x:v>-19.882</x:v>
      </x:c>
      <x:c r="AA204" s="64" t="n">
        <x:f>-ROUND(Q204*'Drivers'!M204,3)</x:f>
        <x:v>-14.528</x:v>
      </x:c>
      <x:c r="AB204" s="64" t="n">
        <x:f>-ROUND(Q204*'Drivers'!N204,3)</x:f>
        <x:v>-11.101</x:v>
      </x:c>
      <x:c r="AC204" s="64" t="n">
        <x:f>SUM(V204:AB204)</x:f>
        <x:v>-135.323</x:v>
      </x:c>
      <x:c r="AD204" s="65" t="n">
        <x:f>AC204/Q204</x:f>
        <x:v>-0.07224643967806949</x:v>
      </x:c>
      <x:c r="AE204" s="64" t="n">
        <x:f>-ROUND(Q204*'Drivers'!O204,3)</x:f>
        <x:v>-24.787</x:v>
      </x:c>
      <x:c r="AF204" s="65" t="n">
        <x:f>AE204/Q204</x:f>
        <x:v>-0.013233319541395833</x:v>
      </x:c>
      <x:c r="AG204" s="64" t="n">
        <x:f>-ROUND(Q204*'Drivers'!P204,3)</x:f>
        <x:v>-1.533</x:v>
      </x:c>
      <x:c r="AH204" s="64" t="n">
        <x:f>-ROUND(Q204*'Drivers'!Q204,3)</x:f>
        <x:v>-2.079</x:v>
      </x:c>
      <x:c r="AI204" s="64" t="n">
        <x:f>SUM(R204,T204,AC204,AE204,AG204,AH204)</x:f>
        <x:v>-497.726</x:v>
      </x:c>
      <x:c r="AJ204" s="65" t="n">
        <x:f>AI204/Q204</x:f>
        <x:v>-0.26572667939084127</x:v>
      </x:c>
      <x:c r="AK204" s="64" t="n">
        <x:f>Q204+AI204</x:f>
        <x:v>1375.3490000000002</x:v>
      </x:c>
      <x:c r="AL204" s="65" t="n">
        <x:f>AK204/Q204</x:f>
        <x:v>0.7342733206091588</x:v>
      </x:c>
      <x:c r="AM204" s="64" t="n">
        <x:f>AK204/L204</x:f>
        <x:v>343.83725000000004</x:v>
      </x:c>
      <x:c r="AN204" s="66" t="str">
        <x:f>IF(AM204&lt;=200,"≤200K",IF(AM204&lt;=350,"200–350K",IF(AM204&lt;=500,"350–500K",IF(AM204&lt;=700,"500–700K","&gt;700K"))))</x:f>
        <x:v>200–350K</x:v>
      </x:c>
      <x:c r="AO204" s="64" t="n">
        <x:f>-ROUND(Q204*'Drivers'!R204,3)</x:f>
        <x:v>-709.45</x:v>
      </x:c>
      <x:c r="AP204" s="64" t="n">
        <x:f>-ROUND(AK204*'Drivers'!S204,3)</x:f>
        <x:v>-21.637</x:v>
      </x:c>
      <x:c r="AQ204" s="64" t="n">
        <x:f>-ROUND(AK204*'Drivers'!T204,3)</x:f>
        <x:v>-6.109</x:v>
      </x:c>
      <x:c r="AR204" s="64" t="n">
        <x:f>-ROUND(AK204*'Drivers'!U204,3)</x:f>
        <x:v>-12.612</x:v>
      </x:c>
      <x:c r="AS204" s="64" t="n">
        <x:f>-ROUND(AK204*'Drivers'!V204,3)</x:f>
        <x:v>-45.919</x:v>
      </x:c>
      <x:c r="AT204" s="64" t="n">
        <x:f>SUM(AO204:AS204)</x:f>
        <x:v>-795.727</x:v>
      </x:c>
      <x:c r="AU204" s="65" t="n">
        <x:f>AT204/AK204</x:f>
        <x:v>-0.5785636954692953</x:v>
      </x:c>
      <x:c r="AV204" s="64" t="n">
        <x:f>AK204+AT204</x:f>
        <x:v>579.6220000000002</x:v>
      </x:c>
      <x:c r="AW204" s="65" t="n">
        <x:f>AV204/AK204</x:f>
        <x:v>0.42143630453070463</x:v>
      </x:c>
      <x:c r="AX204" s="64" t="n">
        <x:f>-ROUND(AK204*'Drivers'!W204,3)</x:f>
        <x:v>-20.03</x:v>
      </x:c>
      <x:c r="AY204" s="64" t="n">
        <x:f>-ROUND(AK204*'Drivers'!X204,3)</x:f>
        <x:v>-36.804</x:v>
      </x:c>
      <x:c r="AZ204" s="64" t="n">
        <x:f>-ROUND(AK204*'Drivers'!Y204,3)</x:f>
        <x:v>-27.428</x:v>
      </x:c>
      <x:c r="BA204" s="64" t="n">
        <x:f>-ROUND(AK204*'Drivers'!Z204,3)</x:f>
        <x:v>-13.668</x:v>
      </x:c>
      <x:c r="BB204" s="64" t="n">
        <x:f>-ROUND(AK204*'Drivers'!AA204,3)</x:f>
        <x:v>-9.555</x:v>
      </x:c>
      <x:c r="BC204" s="64" t="n">
        <x:f>SUM(BA204,BB204)</x:f>
        <x:v>-23.223</x:v>
      </x:c>
      <x:c r="BD204" s="64" t="n">
        <x:f>-ROUND(AK204*'Drivers'!AB204,3)</x:f>
        <x:v>-9.3</x:v>
      </x:c>
      <x:c r="BE204" s="64" t="n">
        <x:f>SUM(AX204:BB204,BD204)</x:f>
        <x:v>-116.78500000000001</x:v>
      </x:c>
      <x:c r="BF204" s="67" t="n">
        <x:f>'Drivers'!AF204</x:f>
        <x:v>7</x:v>
      </x:c>
      <x:c r="BG204" s="64" t="n">
        <x:f>BJ204</x:f>
        <x:v>-29.744</x:v>
      </x:c>
      <x:c r="BH204" s="64" t="n">
        <x:f>BE204/BF204</x:f>
        <x:v>-16.68357142857143</x:v>
      </x:c>
      <x:c r="BI204" s="68" t="n">
        <x:f>BF204/L204</x:f>
        <x:v>1.75</x:v>
      </x:c>
      <x:c r="BJ204" s="64" t="n">
        <x:f>-ROUND(AK204*'Drivers'!AC204,3)</x:f>
        <x:v>-29.744</x:v>
      </x:c>
      <x:c r="BK204" s="64" t="n">
        <x:f>-ROUND(AK204*'Drivers'!AD204,3)</x:f>
        <x:v>-115.086</x:v>
      </x:c>
      <x:c r="BL204" s="64" t="n">
        <x:f>SUM(AV204,BE204,BJ204,BK204)</x:f>
        <x:v>318.0070000000002</x:v>
      </x:c>
      <x:c r="BM204" s="65" t="n">
        <x:f>BL204/AK204</x:f>
        <x:v>0.23121913056249732</x:v>
      </x:c>
      <x:c r="BN204" s="64" t="n">
        <x:f>-ROUND(AK204*'Drivers'!AE204,3)</x:f>
        <x:v>-123.741</x:v>
      </x:c>
      <x:c r="BO204" s="64" t="n">
        <x:f>BL204+BN204</x:f>
        <x:v>194.2660000000002</x:v>
      </x:c>
      <x:c r="BP204" s="65" t="n">
        <x:f>BO204/AK204</x:f>
        <x:v>0.1412485121958137</x:v>
      </x:c>
    </x:row>
    <x:row r="205">
      <x:c r="A205" s="61" t="n">
        <x:v>2026</x:v>
      </x:c>
      <x:c r="B205" s="18" t="str">
        <x:v>S2</x:v>
      </x:c>
      <x:c r="C205" s="18" t="str">
        <x:v>2026 S2</x:v>
      </x:c>
      <x:c r="D205" s="18" t="str">
        <x:v>CNCT0051</x:v>
      </x:c>
      <x:c r="E205" s="18" t="str">
        <x:v>重庆星光68广场</x:v>
      </x:c>
      <x:c r="F205" s="18" t="str">
        <x:v>重庆</x:v>
      </x:c>
      <x:c r="G205" s="18" t="str">
        <x:v>重庆市</x:v>
      </x:c>
      <x:c r="H205" s="18" t="str">
        <x:v>西区</x:v>
      </x:c>
      <x:c r="I205" s="18" t="str">
        <x:v>Shopping Mall</x:v>
      </x:c>
      <x:c r="J205" s="18" t="str">
        <x:v>Core Shopping Center</x:v>
      </x:c>
      <x:c r="K205" s="18" t="str">
        <x:v>正常</x:v>
      </x:c>
      <x:c r="L205" s="62" t="n">
        <x:v>4</x:v>
      </x:c>
      <x:c r="M205" s="62" t="n">
        <x:v>42</x:v>
      </x:c>
      <x:c r="N205" s="63" t="n">
        <x:f>'Drivers'!C205</x:f>
        <x:v>1947</x:v>
      </x:c>
      <x:c r="O205" s="63" t="n">
        <x:f>'Drivers'!D205</x:f>
        <x:v>1097.072</x:v>
      </x:c>
      <x:c r="P205" s="64" t="n">
        <x:f>ROUND(N205*O205/1000,3)</x:f>
        <x:v>2135.999</x:v>
      </x:c>
      <x:c r="Q205" s="64" t="n">
        <x:f>ROUND(P205*'Drivers'!E205,3)</x:f>
        <x:v>2067.078</x:v>
      </x:c>
      <x:c r="R205" s="64" t="n">
        <x:f>-ROUND(Q205*'Drivers'!F205,3)</x:f>
        <x:v>-328.246</x:v>
      </x:c>
      <x:c r="S205" s="65" t="n">
        <x:f>R205/Q205</x:f>
        <x:v>-0.1587971039312498</x:v>
      </x:c>
      <x:c r="T205" s="64" t="n">
        <x:f>-ROUND(Q205*'Drivers'!G205,3)</x:f>
        <x:v>-25.061</x:v>
      </x:c>
      <x:c r="U205" s="65" t="n">
        <x:f>T205/Q205</x:f>
        <x:v>-0.012123877279909127</x:v>
      </x:c>
      <x:c r="V205" s="64" t="n">
        <x:f>-ROUND(Q205*'Drivers'!H205,3)</x:f>
        <x:v>-24.872</x:v>
      </x:c>
      <x:c r="W205" s="64" t="n">
        <x:f>-ROUND(Q205*'Drivers'!I205,3)</x:f>
        <x:v>-19.273</x:v>
      </x:c>
      <x:c r="X205" s="64" t="n">
        <x:f>-ROUND(Q205*'Drivers'!J205,3)</x:f>
        <x:v>-29.705</x:v>
      </x:c>
      <x:c r="Y205" s="64" t="n">
        <x:f>-ROUND(Q205*'Drivers'!K205,3)</x:f>
        <x:v>-25.263</x:v>
      </x:c>
      <x:c r="Z205" s="64" t="n">
        <x:f>-ROUND(Q205*'Drivers'!L205,3)</x:f>
        <x:v>-21.942</x:v>
      </x:c>
      <x:c r="AA205" s="64" t="n">
        <x:f>-ROUND(Q205*'Drivers'!M205,3)</x:f>
        <x:v>-16.032</x:v>
      </x:c>
      <x:c r="AB205" s="64" t="n">
        <x:f>-ROUND(Q205*'Drivers'!N205,3)</x:f>
        <x:v>-12.25</x:v>
      </x:c>
      <x:c r="AC205" s="64" t="n">
        <x:f>SUM(V205:AB205)</x:f>
        <x:v>-149.33700000000002</x:v>
      </x:c>
      <x:c r="AD205" s="65" t="n">
        <x:f>AC205/Q205</x:f>
        <x:v>-0.07224545953273172</x:v>
      </x:c>
      <x:c r="AE205" s="64" t="n">
        <x:f>-ROUND(Q205*'Drivers'!O205,3)</x:f>
        <x:v>-29.526</x:v>
      </x:c>
      <x:c r="AF205" s="65" t="n">
        <x:f>AE205/Q205</x:f>
        <x:v>-0.01428393123046155</x:v>
      </x:c>
      <x:c r="AG205" s="64" t="n">
        <x:f>-ROUND(Q205*'Drivers'!P205,3)</x:f>
        <x:v>-1.692</x:v>
      </x:c>
      <x:c r="AH205" s="64" t="n">
        <x:f>-ROUND(Q205*'Drivers'!Q205,3)</x:f>
        <x:v>-2.294</x:v>
      </x:c>
      <x:c r="AI205" s="64" t="n">
        <x:f>SUM(R205,T205,AC205,AE205,AG205,AH205)</x:f>
        <x:v>-536.156</x:v>
      </x:c>
      <x:c r="AJ205" s="65" t="n">
        <x:f>AI205/Q205</x:f>
        <x:v>-0.25937869785271767</x:v>
      </x:c>
      <x:c r="AK205" s="64" t="n">
        <x:f>Q205+AI205</x:f>
        <x:v>1530.922</x:v>
      </x:c>
      <x:c r="AL205" s="65" t="n">
        <x:f>AK205/Q205</x:f>
        <x:v>0.7406213021472823</x:v>
      </x:c>
      <x:c r="AM205" s="64" t="n">
        <x:f>AK205/L205</x:f>
        <x:v>382.7305</x:v>
      </x:c>
      <x:c r="AN205" s="66" t="str">
        <x:f>IF(AM205&lt;=200,"≤200K",IF(AM205&lt;=350,"200–350K",IF(AM205&lt;=500,"350–500K",IF(AM205&lt;=700,"500–700K","&gt;700K"))))</x:f>
        <x:v>350–500K</x:v>
      </x:c>
      <x:c r="AO205" s="64" t="n">
        <x:f>-ROUND(Q205*'Drivers'!R205,3)</x:f>
        <x:v>-755.291</x:v>
      </x:c>
      <x:c r="AP205" s="64" t="n">
        <x:f>-ROUND(AK205*'Drivers'!S205,3)</x:f>
        <x:v>-24.085</x:v>
      </x:c>
      <x:c r="AQ205" s="64" t="n">
        <x:f>-ROUND(AK205*'Drivers'!T205,3)</x:f>
        <x:v>-6.8</x:v>
      </x:c>
      <x:c r="AR205" s="64" t="n">
        <x:f>-ROUND(AK205*'Drivers'!U205,3)</x:f>
        <x:v>-14.039</x:v>
      </x:c>
      <x:c r="AS205" s="64" t="n">
        <x:f>-ROUND(AK205*'Drivers'!V205,3)</x:f>
        <x:v>-51.113</x:v>
      </x:c>
      <x:c r="AT205" s="64" t="n">
        <x:f>SUM(AO205:AS205)</x:f>
        <x:v>-851.328</x:v>
      </x:c>
      <x:c r="AU205" s="65" t="n">
        <x:f>AT205/AK205</x:f>
        <x:v>-0.5560884225323041</x:v>
      </x:c>
      <x:c r="AV205" s="64" t="n">
        <x:f>AK205+AT205</x:f>
        <x:v>679.594</x:v>
      </x:c>
      <x:c r="AW205" s="65" t="n">
        <x:f>AV205/AK205</x:f>
        <x:v>0.44391157746769594</x:v>
      </x:c>
      <x:c r="AX205" s="64" t="n">
        <x:f>-ROUND(AK205*'Drivers'!W205,3)</x:f>
        <x:v>-19.207</x:v>
      </x:c>
      <x:c r="AY205" s="64" t="n">
        <x:f>-ROUND(AK205*'Drivers'!X205,3)</x:f>
        <x:v>-35.292</x:v>
      </x:c>
      <x:c r="AZ205" s="64" t="n">
        <x:f>-ROUND(AK205*'Drivers'!Y205,3)</x:f>
        <x:v>-26.301</x:v>
      </x:c>
      <x:c r="BA205" s="64" t="n">
        <x:f>-ROUND(AK205*'Drivers'!Z205,3)</x:f>
        <x:v>-13.106</x:v>
      </x:c>
      <x:c r="BB205" s="64" t="n">
        <x:f>-ROUND(AK205*'Drivers'!AA205,3)</x:f>
        <x:v>-9.163</x:v>
      </x:c>
      <x:c r="BC205" s="64" t="n">
        <x:f>SUM(BA205,BB205)</x:f>
        <x:v>-22.269</x:v>
      </x:c>
      <x:c r="BD205" s="64" t="n">
        <x:f>-ROUND(AK205*'Drivers'!AB205,3)</x:f>
        <x:v>-8.918</x:v>
      </x:c>
      <x:c r="BE205" s="64" t="n">
        <x:f>SUM(AX205:BB205,BD205)</x:f>
        <x:v>-111.987</x:v>
      </x:c>
      <x:c r="BF205" s="67" t="n">
        <x:f>'Drivers'!AF205</x:f>
        <x:v>7</x:v>
      </x:c>
      <x:c r="BG205" s="64" t="n">
        <x:f>BJ205</x:f>
        <x:v>-28.522</x:v>
      </x:c>
      <x:c r="BH205" s="64" t="n">
        <x:f>BE205/BF205</x:f>
        <x:v>-15.998142857142856</x:v>
      </x:c>
      <x:c r="BI205" s="68" t="n">
        <x:f>BF205/L205</x:f>
        <x:v>1.75</x:v>
      </x:c>
      <x:c r="BJ205" s="64" t="n">
        <x:f>-ROUND(AK205*'Drivers'!AC205,3)</x:f>
        <x:v>-28.522</x:v>
      </x:c>
      <x:c r="BK205" s="64" t="n">
        <x:f>-ROUND(AK205*'Drivers'!AD205,3)</x:f>
        <x:v>-128.104</x:v>
      </x:c>
      <x:c r="BL205" s="64" t="n">
        <x:f>SUM(AV205,BE205,BJ205,BK205)</x:f>
        <x:v>410.981</x:v>
      </x:c>
      <x:c r="BM205" s="65" t="n">
        <x:f>BL205/AK205</x:f>
        <x:v>0.2684532588858217</x:v>
      </x:c>
      <x:c r="BN205" s="64" t="n">
        <x:f>-ROUND(AK205*'Drivers'!AE205,3)</x:f>
        <x:v>-137.738</x:v>
      </x:c>
      <x:c r="BO205" s="64" t="n">
        <x:f>BL205+BN205</x:f>
        <x:v>273.243</x:v>
      </x:c>
      <x:c r="BP205" s="65" t="n">
        <x:f>BO205/AK205</x:f>
        <x:v>0.1784826398732267</x:v>
      </x:c>
    </x:row>
    <x:row r="206">
      <x:c r="A206" s="61" t="n">
        <x:v>2025</x:v>
      </x:c>
      <x:c r="B206" s="18" t="str">
        <x:v>S1</x:v>
      </x:c>
      <x:c r="C206" s="18" t="str">
        <x:v>2025 S1</x:v>
      </x:c>
      <x:c r="D206" s="18" t="str">
        <x:v>CNCT0052</x:v>
      </x:c>
      <x:c r="E206" s="18" t="str">
        <x:v>重庆龙湖北城天街</x:v>
      </x:c>
      <x:c r="F206" s="18" t="str">
        <x:v>重庆</x:v>
      </x:c>
      <x:c r="G206" s="18" t="str">
        <x:v>重庆市</x:v>
      </x:c>
      <x:c r="H206" s="18" t="str">
        <x:v>西区</x:v>
      </x:c>
      <x:c r="I206" s="18" t="str">
        <x:v>Shopping Mall</x:v>
      </x:c>
      <x:c r="J206" s="18" t="str">
        <x:v>Regional Mall</x:v>
      </x:c>
      <x:c r="K206" s="18" t="str">
        <x:v>正常</x:v>
      </x:c>
      <x:c r="L206" s="62" t="n">
        <x:v>3</x:v>
      </x:c>
      <x:c r="M206" s="62" t="n">
        <x:v>42</x:v>
      </x:c>
      <x:c r="N206" s="63" t="n">
        <x:f>'Drivers'!C206</x:f>
        <x:v>1296</x:v>
      </x:c>
      <x:c r="O206" s="63" t="n">
        <x:f>'Drivers'!D206</x:f>
        <x:v>982.652</x:v>
      </x:c>
      <x:c r="P206" s="64" t="n">
        <x:f>ROUND(N206*O206/1000,3)</x:f>
        <x:v>1273.517</x:v>
      </x:c>
      <x:c r="Q206" s="64" t="n">
        <x:f>ROUND(P206*'Drivers'!E206,3)</x:f>
        <x:v>1225.944</x:v>
      </x:c>
      <x:c r="R206" s="64" t="n">
        <x:f>-ROUND(Q206*'Drivers'!F206,3)</x:f>
        <x:v>-241.481</x:v>
      </x:c>
      <x:c r="S206" s="65" t="n">
        <x:f>R206/Q206</x:f>
        <x:v>-0.19697555516402054</x:v>
      </x:c>
      <x:c r="T206" s="64" t="n">
        <x:f>-ROUND(Q206*'Drivers'!G206,3)</x:f>
        <x:v>-12.645</x:v>
      </x:c>
      <x:c r="U206" s="65" t="n">
        <x:f>T206/Q206</x:f>
        <x:v>-0.010314500499207142</x:v>
      </x:c>
      <x:c r="V206" s="64" t="n">
        <x:f>-ROUND(Q206*'Drivers'!H206,3)</x:f>
        <x:v>-15.056</x:v>
      </x:c>
      <x:c r="W206" s="64" t="n">
        <x:f>-ROUND(Q206*'Drivers'!I206,3)</x:f>
        <x:v>-10.423</x:v>
      </x:c>
      <x:c r="X206" s="64" t="n">
        <x:f>-ROUND(Q206*'Drivers'!J206,3)</x:f>
        <x:v>-17.127</x:v>
      </x:c>
      <x:c r="Y206" s="64" t="n">
        <x:f>-ROUND(Q206*'Drivers'!K206,3)</x:f>
        <x:v>-16.574</x:v>
      </x:c>
      <x:c r="Z206" s="64" t="n">
        <x:f>-ROUND(Q206*'Drivers'!L206,3)</x:f>
        <x:v>-15.692</x:v>
      </x:c>
      <x:c r="AA206" s="64" t="n">
        <x:f>-ROUND(Q206*'Drivers'!M206,3)</x:f>
        <x:v>-12.488</x:v>
      </x:c>
      <x:c r="AB206" s="64" t="n">
        <x:f>-ROUND(Q206*'Drivers'!N206,3)</x:f>
        <x:v>-9.748</x:v>
      </x:c>
      <x:c r="AC206" s="64" t="n">
        <x:f>SUM(V206:AB206)</x:f>
        <x:v>-97.10799999999999</x:v>
      </x:c>
      <x:c r="AD206" s="65" t="n">
        <x:f>AC206/Q206</x:f>
        <x:v>-0.07921079592542563</x:v>
      </x:c>
      <x:c r="AE206" s="64" t="n">
        <x:f>-ROUND(Q206*'Drivers'!O206,3)</x:f>
        <x:v>-18.02</x:v>
      </x:c>
      <x:c r="AF206" s="65" t="n">
        <x:f>AE206/Q206</x:f>
        <x:v>-0.014698876947070992</x:v>
      </x:c>
      <x:c r="AG206" s="64" t="n">
        <x:f>-ROUND(Q206*'Drivers'!P206,3)</x:f>
        <x:v>-1.631</x:v>
      </x:c>
      <x:c r="AH206" s="64" t="n">
        <x:f>-ROUND(Q206*'Drivers'!Q206,3)</x:f>
        <x:v>-5.505</x:v>
      </x:c>
      <x:c r="AI206" s="64" t="n">
        <x:f>SUM(R206,T206,AC206,AE206,AG206,AH206)</x:f>
        <x:v>-376.38999999999993</x:v>
      </x:c>
      <x:c r="AJ206" s="65" t="n">
        <x:f>AI206/Q206</x:f>
        <x:v>-0.3070205490625999</x:v>
      </x:c>
      <x:c r="AK206" s="64" t="n">
        <x:f>Q206+AI206</x:f>
        <x:v>849.5540000000001</x:v>
      </x:c>
      <x:c r="AL206" s="65" t="n">
        <x:f>AK206/Q206</x:f>
        <x:v>0.6929794509374002</x:v>
      </x:c>
      <x:c r="AM206" s="64" t="n">
        <x:f>AK206/L206</x:f>
        <x:v>283.1846666666667</x:v>
      </x:c>
      <x:c r="AN206" s="66" t="str">
        <x:f>IF(AM206&lt;=200,"≤200K",IF(AM206&lt;=350,"200–350K",IF(AM206&lt;=500,"350–500K",IF(AM206&lt;=700,"500–700K","&gt;700K"))))</x:f>
        <x:v>200–350K</x:v>
      </x:c>
      <x:c r="AO206" s="64" t="n">
        <x:f>-ROUND(Q206*'Drivers'!R206,3)</x:f>
        <x:v>-432.718</x:v>
      </x:c>
      <x:c r="AP206" s="64" t="n">
        <x:f>-ROUND(AK206*'Drivers'!S206,3)</x:f>
        <x:v>-10.62</x:v>
      </x:c>
      <x:c r="AQ206" s="64" t="n">
        <x:f>-ROUND(AK206*'Drivers'!T206,3)</x:f>
        <x:v>-4.816</x:v>
      </x:c>
      <x:c r="AR206" s="64" t="n">
        <x:f>-ROUND(AK206*'Drivers'!U206,3)</x:f>
        <x:v>-9.64</x:v>
      </x:c>
      <x:c r="AS206" s="64" t="n">
        <x:f>-ROUND(AK206*'Drivers'!V206,3)</x:f>
        <x:v>-33.525</x:v>
      </x:c>
      <x:c r="AT206" s="64" t="n">
        <x:f>SUM(AO206:AS206)</x:f>
        <x:v>-491.31899999999996</x:v>
      </x:c>
      <x:c r="AU206" s="65" t="n">
        <x:f>AT206/AK206</x:f>
        <x:v>-0.5783258038923952</x:v>
      </x:c>
      <x:c r="AV206" s="64" t="n">
        <x:f>AK206+AT206</x:f>
        <x:v>358.2350000000001</x:v>
      </x:c>
      <x:c r="AW206" s="65" t="n">
        <x:f>AV206/AK206</x:f>
        <x:v>0.4216741961076048</x:v>
      </x:c>
      <x:c r="AX206" s="64" t="n">
        <x:f>-ROUND(AK206*'Drivers'!W206,3)</x:f>
        <x:v>-11.761</x:v>
      </x:c>
      <x:c r="AY206" s="64" t="n">
        <x:f>-ROUND(AK206*'Drivers'!X206,3)</x:f>
        <x:v>-19.676</x:v>
      </x:c>
      <x:c r="AZ206" s="64" t="n">
        <x:f>-ROUND(AK206*'Drivers'!Y206,3)</x:f>
        <x:v>-15.07</x:v>
      </x:c>
      <x:c r="BA206" s="64" t="n">
        <x:f>-ROUND(AK206*'Drivers'!Z206,3)</x:f>
        <x:v>-5.01</x:v>
      </x:c>
      <x:c r="BB206" s="64" t="n">
        <x:f>-ROUND(AK206*'Drivers'!AA206,3)</x:f>
        <x:v>-6.604</x:v>
      </x:c>
      <x:c r="BC206" s="64" t="n">
        <x:f>SUM(BA206,BB206)</x:f>
        <x:v>-11.614</x:v>
      </x:c>
      <x:c r="BD206" s="64" t="n">
        <x:f>-ROUND(AK206*'Drivers'!AB206,3)</x:f>
        <x:v>-3.374</x:v>
      </x:c>
      <x:c r="BE206" s="64" t="n">
        <x:f>SUM(AX206:BB206,BD206)</x:f>
        <x:v>-61.495</x:v>
      </x:c>
      <x:c r="BF206" s="67" t="n">
        <x:f>'Drivers'!AF206</x:f>
        <x:v>4</x:v>
      </x:c>
      <x:c r="BG206" s="64" t="n">
        <x:f>BJ206</x:f>
        <x:v>-15.617</x:v>
      </x:c>
      <x:c r="BH206" s="64" t="n">
        <x:f>BE206/BF206</x:f>
        <x:v>-15.37375</x:v>
      </x:c>
      <x:c r="BI206" s="68" t="n">
        <x:f>BF206/L206</x:f>
        <x:v>1.3333333333333333</x:v>
      </x:c>
      <x:c r="BJ206" s="64" t="n">
        <x:f>-ROUND(AK206*'Drivers'!AC206,3)</x:f>
        <x:v>-15.617</x:v>
      </x:c>
      <x:c r="BK206" s="64" t="n">
        <x:f>-ROUND(AK206*'Drivers'!AD206,3)</x:f>
        <x:v>-79.436</x:v>
      </x:c>
      <x:c r="BL206" s="64" t="n">
        <x:f>SUM(AV206,BE206,BJ206,BK206)</x:f>
        <x:v>201.6870000000001</x:v>
      </x:c>
      <x:c r="BM206" s="65" t="n">
        <x:f>BL206/AK206</x:f>
        <x:v>0.23740339048488981</x:v>
      </x:c>
      <x:c r="BN206" s="64" t="n">
        <x:f>-ROUND(AK206*'Drivers'!AE206,3)</x:f>
        <x:v>-75.204</x:v>
      </x:c>
      <x:c r="BO206" s="64" t="n">
        <x:f>BL206+BN206</x:f>
        <x:v>126.4830000000001</x:v>
      </x:c>
      <x:c r="BP206" s="65" t="n">
        <x:f>BO206/AK206</x:f>
        <x:v>0.14888164848850113</x:v>
      </x:c>
    </x:row>
    <x:row r="207">
      <x:c r="A207" s="61" t="n">
        <x:v>2025</x:v>
      </x:c>
      <x:c r="B207" s="18" t="str">
        <x:v>S2</x:v>
      </x:c>
      <x:c r="C207" s="18" t="str">
        <x:v>2025 S2</x:v>
      </x:c>
      <x:c r="D207" s="18" t="str">
        <x:v>CNCT0052</x:v>
      </x:c>
      <x:c r="E207" s="18" t="str">
        <x:v>重庆龙湖北城天街</x:v>
      </x:c>
      <x:c r="F207" s="18" t="str">
        <x:v>重庆</x:v>
      </x:c>
      <x:c r="G207" s="18" t="str">
        <x:v>重庆市</x:v>
      </x:c>
      <x:c r="H207" s="18" t="str">
        <x:v>西区</x:v>
      </x:c>
      <x:c r="I207" s="18" t="str">
        <x:v>Shopping Mall</x:v>
      </x:c>
      <x:c r="J207" s="18" t="str">
        <x:v>Regional Mall</x:v>
      </x:c>
      <x:c r="K207" s="18" t="str">
        <x:v>正常</x:v>
      </x:c>
      <x:c r="L207" s="62" t="n">
        <x:v>3</x:v>
      </x:c>
      <x:c r="M207" s="62" t="n">
        <x:v>42</x:v>
      </x:c>
      <x:c r="N207" s="63" t="n">
        <x:f>'Drivers'!C207</x:f>
        <x:v>1394</x:v>
      </x:c>
      <x:c r="O207" s="63" t="n">
        <x:f>'Drivers'!D207</x:f>
        <x:v>994.444</x:v>
      </x:c>
      <x:c r="P207" s="64" t="n">
        <x:f>ROUND(N207*O207/1000,3)</x:f>
        <x:v>1386.255</x:v>
      </x:c>
      <x:c r="Q207" s="64" t="n">
        <x:f>ROUND(P207*'Drivers'!E207,3)</x:f>
        <x:v>1349.919</x:v>
      </x:c>
      <x:c r="R207" s="64" t="n">
        <x:f>-ROUND(Q207*'Drivers'!F207,3)</x:f>
        <x:v>-265.901</x:v>
      </x:c>
      <x:c r="S207" s="65" t="n">
        <x:f>R207/Q207</x:f>
        <x:v>-0.1969755222350378</x:v>
      </x:c>
      <x:c r="T207" s="64" t="n">
        <x:f>-ROUND(Q207*'Drivers'!G207,3)</x:f>
        <x:v>-13.923</x:v>
      </x:c>
      <x:c r="U207" s="65" t="n">
        <x:f>T207/Q207</x:f>
        <x:v>-0.010313952170463561</x:v>
      </x:c>
      <x:c r="V207" s="64" t="n">
        <x:f>-ROUND(Q207*'Drivers'!H207,3)</x:f>
        <x:v>-16.578</x:v>
      </x:c>
      <x:c r="W207" s="64" t="n">
        <x:f>-ROUND(Q207*'Drivers'!I207,3)</x:f>
        <x:v>-11.477</x:v>
      </x:c>
      <x:c r="X207" s="64" t="n">
        <x:f>-ROUND(Q207*'Drivers'!J207,3)</x:f>
        <x:v>-18.859</x:v>
      </x:c>
      <x:c r="Y207" s="64" t="n">
        <x:f>-ROUND(Q207*'Drivers'!K207,3)</x:f>
        <x:v>-18.25</x:v>
      </x:c>
      <x:c r="Z207" s="64" t="n">
        <x:f>-ROUND(Q207*'Drivers'!L207,3)</x:f>
        <x:v>-17.279</x:v>
      </x:c>
      <x:c r="AA207" s="64" t="n">
        <x:f>-ROUND(Q207*'Drivers'!M207,3)</x:f>
        <x:v>-13.75</x:v>
      </x:c>
      <x:c r="AB207" s="64" t="n">
        <x:f>-ROUND(Q207*'Drivers'!N207,3)</x:f>
        <x:v>-10.734</x:v>
      </x:c>
      <x:c r="AC207" s="64" t="n">
        <x:f>SUM(V207:AB207)</x:f>
        <x:v>-106.92699999999999</x:v>
      </x:c>
      <x:c r="AD207" s="65" t="n">
        <x:f>AC207/Q207</x:f>
        <x:v>-0.07920993778145206</x:v>
      </x:c>
      <x:c r="AE207" s="64" t="n">
        <x:f>-ROUND(Q207*'Drivers'!O207,3)</x:f>
        <x:v>-19.842</x:v>
      </x:c>
      <x:c r="AF207" s="65" t="n">
        <x:f>AE207/Q207</x:f>
        <x:v>-0.014698659697359617</x:v>
      </x:c>
      <x:c r="AG207" s="64" t="n">
        <x:f>-ROUND(Q207*'Drivers'!P207,3)</x:f>
        <x:v>-1.795</x:v>
      </x:c>
      <x:c r="AH207" s="64" t="n">
        <x:f>-ROUND(Q207*'Drivers'!Q207,3)</x:f>
        <x:v>-6.061</x:v>
      </x:c>
      <x:c r="AI207" s="64" t="n">
        <x:f>SUM(R207,T207,AC207,AE207,AG207,AH207)</x:f>
        <x:v>-414.44899999999996</x:v>
      </x:c>
      <x:c r="AJ207" s="65" t="n">
        <x:f>AI207/Q207</x:f>
        <x:v>-0.3070176803200784</x:v>
      </x:c>
      <x:c r="AK207" s="64" t="n">
        <x:f>Q207+AI207</x:f>
        <x:v>935.4700000000001</x:v>
      </x:c>
      <x:c r="AL207" s="65" t="n">
        <x:f>AK207/Q207</x:f>
        <x:v>0.6929823196799216</x:v>
      </x:c>
      <x:c r="AM207" s="64" t="n">
        <x:f>AK207/L207</x:f>
        <x:v>311.8233333333334</x:v>
      </x:c>
      <x:c r="AN207" s="66" t="str">
        <x:f>IF(AM207&lt;=200,"≤200K",IF(AM207&lt;=350,"200–350K",IF(AM207&lt;=500,"350–500K",IF(AM207&lt;=700,"500–700K","&gt;700K"))))</x:f>
        <x:v>200–350K</x:v>
      </x:c>
      <x:c r="AO207" s="64" t="n">
        <x:f>-ROUND(Q207*'Drivers'!R207,3)</x:f>
        <x:v>-489.145</x:v>
      </x:c>
      <x:c r="AP207" s="64" t="n">
        <x:f>-ROUND(AK207*'Drivers'!S207,3)</x:f>
        <x:v>-11.694</x:v>
      </x:c>
      <x:c r="AQ207" s="64" t="n">
        <x:f>-ROUND(AK207*'Drivers'!T207,3)</x:f>
        <x:v>-5.304</x:v>
      </x:c>
      <x:c r="AR207" s="64" t="n">
        <x:f>-ROUND(AK207*'Drivers'!U207,3)</x:f>
        <x:v>-10.615</x:v>
      </x:c>
      <x:c r="AS207" s="64" t="n">
        <x:f>-ROUND(AK207*'Drivers'!V207,3)</x:f>
        <x:v>-36.916</x:v>
      </x:c>
      <x:c r="AT207" s="64" t="n">
        <x:f>SUM(AO207:AS207)</x:f>
        <x:v>-553.674</x:v>
      </x:c>
      <x:c r="AU207" s="65" t="n">
        <x:f>AT207/AK207</x:f>
        <x:v>-0.5918671897548825</x:v>
      </x:c>
      <x:c r="AV207" s="64" t="n">
        <x:f>AK207+AT207</x:f>
        <x:v>381.79600000000016</x:v>
      </x:c>
      <x:c r="AW207" s="65" t="n">
        <x:f>AV207/AK207</x:f>
        <x:v>0.40813281024511755</x:v>
      </x:c>
      <x:c r="AX207" s="64" t="n">
        <x:f>-ROUND(AK207*'Drivers'!W207,3)</x:f>
        <x:v>-12.95</x:v>
      </x:c>
      <x:c r="AY207" s="64" t="n">
        <x:f>-ROUND(AK207*'Drivers'!X207,3)</x:f>
        <x:v>-21.666</x:v>
      </x:c>
      <x:c r="AZ207" s="64" t="n">
        <x:f>-ROUND(AK207*'Drivers'!Y207,3)</x:f>
        <x:v>-16.594</x:v>
      </x:c>
      <x:c r="BA207" s="64" t="n">
        <x:f>-ROUND(AK207*'Drivers'!Z207,3)</x:f>
        <x:v>-5.517</x:v>
      </x:c>
      <x:c r="BB207" s="64" t="n">
        <x:f>-ROUND(AK207*'Drivers'!AA207,3)</x:f>
        <x:v>-7.272</x:v>
      </x:c>
      <x:c r="BC207" s="64" t="n">
        <x:f>SUM(BA207,BB207)</x:f>
        <x:v>-12.789000000000001</x:v>
      </x:c>
      <x:c r="BD207" s="64" t="n">
        <x:f>-ROUND(AK207*'Drivers'!AB207,3)</x:f>
        <x:v>-3.715</x:v>
      </x:c>
      <x:c r="BE207" s="64" t="n">
        <x:f>SUM(AX207:BB207,BD207)</x:f>
        <x:v>-67.714</x:v>
      </x:c>
      <x:c r="BF207" s="67" t="n">
        <x:f>'Drivers'!AF207</x:f>
        <x:v>4</x:v>
      </x:c>
      <x:c r="BG207" s="64" t="n">
        <x:f>BJ207</x:f>
        <x:v>-17.196</x:v>
      </x:c>
      <x:c r="BH207" s="64" t="n">
        <x:f>BE207/BF207</x:f>
        <x:v>-16.9285</x:v>
      </x:c>
      <x:c r="BI207" s="68" t="n">
        <x:f>BF207/L207</x:f>
        <x:v>1.3333333333333333</x:v>
      </x:c>
      <x:c r="BJ207" s="64" t="n">
        <x:f>-ROUND(AK207*'Drivers'!AC207,3)</x:f>
        <x:v>-17.196</x:v>
      </x:c>
      <x:c r="BK207" s="64" t="n">
        <x:f>-ROUND(AK207*'Drivers'!AD207,3)</x:f>
        <x:v>-87.47</x:v>
      </x:c>
      <x:c r="BL207" s="64" t="n">
        <x:f>SUM(AV207,BE207,BJ207,BK207)</x:f>
        <x:v>209.41600000000014</x:v>
      </x:c>
      <x:c r="BM207" s="65" t="n">
        <x:f>BL207/AK207</x:f>
        <x:v>0.2238618020887897</x:v>
      </x:c>
      <x:c r="BN207" s="64" t="n">
        <x:f>-ROUND(AK207*'Drivers'!AE207,3)</x:f>
        <x:v>-82.809</x:v>
      </x:c>
      <x:c r="BO207" s="64" t="n">
        <x:f>BL207+BN207</x:f>
        <x:v>126.60700000000014</x:v>
      </x:c>
      <x:c r="BP207" s="65" t="n">
        <x:f>BO207/AK207</x:f>
        <x:v>0.13534052401466656</x:v>
      </x:c>
    </x:row>
    <x:row r="208">
      <x:c r="A208" s="61" t="n">
        <x:v>2026</x:v>
      </x:c>
      <x:c r="B208" s="18" t="str">
        <x:v>S1</x:v>
      </x:c>
      <x:c r="C208" s="18" t="str">
        <x:v>2026 S1</x:v>
      </x:c>
      <x:c r="D208" s="18" t="str">
        <x:v>CNCT0052</x:v>
      </x:c>
      <x:c r="E208" s="18" t="str">
        <x:v>重庆龙湖北城天街</x:v>
      </x:c>
      <x:c r="F208" s="18" t="str">
        <x:v>重庆</x:v>
      </x:c>
      <x:c r="G208" s="18" t="str">
        <x:v>重庆市</x:v>
      </x:c>
      <x:c r="H208" s="18" t="str">
        <x:v>西区</x:v>
      </x:c>
      <x:c r="I208" s="18" t="str">
        <x:v>Shopping Mall</x:v>
      </x:c>
      <x:c r="J208" s="18" t="str">
        <x:v>Regional Mall</x:v>
      </x:c>
      <x:c r="K208" s="18" t="str">
        <x:v>正常</x:v>
      </x:c>
      <x:c r="L208" s="62" t="n">
        <x:v>3</x:v>
      </x:c>
      <x:c r="M208" s="62" t="n">
        <x:v>42</x:v>
      </x:c>
      <x:c r="N208" s="63" t="n">
        <x:f>'Drivers'!C208</x:f>
        <x:v>1263</x:v>
      </x:c>
      <x:c r="O208" s="63" t="n">
        <x:f>'Drivers'!D208</x:f>
        <x:v>1019.828</x:v>
      </x:c>
      <x:c r="P208" s="64" t="n">
        <x:f>ROUND(N208*O208/1000,3)</x:f>
        <x:v>1288.043</x:v>
      </x:c>
      <x:c r="Q208" s="64" t="n">
        <x:f>ROUND(P208*'Drivers'!E208,3)</x:f>
        <x:v>1237.102</x:v>
      </x:c>
      <x:c r="R208" s="64" t="n">
        <x:f>-ROUND(Q208*'Drivers'!F208,3)</x:f>
        <x:v>-238.549</x:v>
      </x:c>
      <x:c r="S208" s="65" t="n">
        <x:f>R208/Q208</x:f>
        <x:v>-0.19282888557289535</x:v>
      </x:c>
      <x:c r="T208" s="64" t="n">
        <x:f>-ROUND(Q208*'Drivers'!G208,3)</x:f>
        <x:v>-15.185</x:v>
      </x:c>
      <x:c r="U208" s="65" t="n">
        <x:f>T208/Q208</x:f>
        <x:v>-0.012274654798068389</x:v>
      </x:c>
      <x:c r="V208" s="64" t="n">
        <x:f>-ROUND(Q208*'Drivers'!H208,3)</x:f>
        <x:v>-15.193</x:v>
      </x:c>
      <x:c r="W208" s="64" t="n">
        <x:f>-ROUND(Q208*'Drivers'!I208,3)</x:f>
        <x:v>-10.518</x:v>
      </x:c>
      <x:c r="X208" s="64" t="n">
        <x:f>-ROUND(Q208*'Drivers'!J208,3)</x:f>
        <x:v>-17.283</x:v>
      </x:c>
      <x:c r="Y208" s="64" t="n">
        <x:f>-ROUND(Q208*'Drivers'!K208,3)</x:f>
        <x:v>-16.724</x:v>
      </x:c>
      <x:c r="Z208" s="64" t="n">
        <x:f>-ROUND(Q208*'Drivers'!L208,3)</x:f>
        <x:v>-15.835</x:v>
      </x:c>
      <x:c r="AA208" s="64" t="n">
        <x:f>-ROUND(Q208*'Drivers'!M208,3)</x:f>
        <x:v>-12.601</x:v>
      </x:c>
      <x:c r="AB208" s="64" t="n">
        <x:f>-ROUND(Q208*'Drivers'!N208,3)</x:f>
        <x:v>-9.837</x:v>
      </x:c>
      <x:c r="AC208" s="64" t="n">
        <x:f>SUM(V208:AB208)</x:f>
        <x:v>-97.991</x:v>
      </x:c>
      <x:c r="AD208" s="65" t="n">
        <x:f>AC208/Q208</x:f>
        <x:v>-0.07921012171995517</x:v>
      </x:c>
      <x:c r="AE208" s="64" t="n">
        <x:f>-ROUND(Q208*'Drivers'!O208,3)</x:f>
        <x:v>-16.107</x:v>
      </x:c>
      <x:c r="AF208" s="65" t="n">
        <x:f>AE208/Q208</x:f>
        <x:v>-0.013019945000493086</x:v>
      </x:c>
      <x:c r="AG208" s="64" t="n">
        <x:f>-ROUND(Q208*'Drivers'!P208,3)</x:f>
        <x:v>-1.645</x:v>
      </x:c>
      <x:c r="AH208" s="64" t="n">
        <x:f>-ROUND(Q208*'Drivers'!Q208,3)</x:f>
        <x:v>-5.555</x:v>
      </x:c>
      <x:c r="AI208" s="64" t="n">
        <x:f>SUM(R208,T208,AC208,AE208,AG208,AH208)</x:f>
        <x:v>-375.032</x:v>
      </x:c>
      <x:c r="AJ208" s="65" t="n">
        <x:f>AI208/Q208</x:f>
        <x:v>-0.3031536607329064</x:v>
      </x:c>
      <x:c r="AK208" s="64" t="n">
        <x:f>Q208+AI208</x:f>
        <x:v>862.0700000000002</x:v>
      </x:c>
      <x:c r="AL208" s="65" t="n">
        <x:f>AK208/Q208</x:f>
        <x:v>0.6968463392670936</x:v>
      </x:c>
      <x:c r="AM208" s="64" t="n">
        <x:f>AK208/L208</x:f>
        <x:v>287.35666666666674</x:v>
      </x:c>
      <x:c r="AN208" s="66" t="str">
        <x:f>IF(AM208&lt;=200,"≤200K",IF(AM208&lt;=350,"200–350K",IF(AM208&lt;=500,"350–500K",IF(AM208&lt;=700,"500–700K","&gt;700K"))))</x:f>
        <x:v>200–350K</x:v>
      </x:c>
      <x:c r="AO208" s="64" t="n">
        <x:f>-ROUND(Q208*'Drivers'!R208,3)</x:f>
        <x:v>-438.117</x:v>
      </x:c>
      <x:c r="AP208" s="64" t="n">
        <x:f>-ROUND(AK208*'Drivers'!S208,3)</x:f>
        <x:v>-10.777</x:v>
      </x:c>
      <x:c r="AQ208" s="64" t="n">
        <x:f>-ROUND(AK208*'Drivers'!T208,3)</x:f>
        <x:v>-4.887</x:v>
      </x:c>
      <x:c r="AR208" s="64" t="n">
        <x:f>-ROUND(AK208*'Drivers'!U208,3)</x:f>
        <x:v>-9.782</x:v>
      </x:c>
      <x:c r="AS208" s="64" t="n">
        <x:f>-ROUND(AK208*'Drivers'!V208,3)</x:f>
        <x:v>-34.019</x:v>
      </x:c>
      <x:c r="AT208" s="64" t="n">
        <x:f>SUM(AO208:AS208)</x:f>
        <x:v>-497.582</x:v>
      </x:c>
      <x:c r="AU208" s="65" t="n">
        <x:f>AT208/AK208</x:f>
        <x:v>-0.577194427366687</x:v>
      </x:c>
      <x:c r="AV208" s="64" t="n">
        <x:f>AK208+AT208</x:f>
        <x:v>364.48800000000017</x:v>
      </x:c>
      <x:c r="AW208" s="65" t="n">
        <x:f>AV208/AK208</x:f>
        <x:v>0.422805572633313</x:v>
      </x:c>
      <x:c r="AX208" s="64" t="n">
        <x:f>-ROUND(AK208*'Drivers'!W208,3)</x:f>
        <x:v>-14.685</x:v>
      </x:c>
      <x:c r="AY208" s="64" t="n">
        <x:f>-ROUND(AK208*'Drivers'!X208,3)</x:f>
        <x:v>-24.567</x:v>
      </x:c>
      <x:c r="AZ208" s="64" t="n">
        <x:f>-ROUND(AK208*'Drivers'!Y208,3)</x:f>
        <x:v>-18.816</x:v>
      </x:c>
      <x:c r="BA208" s="64" t="n">
        <x:f>-ROUND(AK208*'Drivers'!Z208,3)</x:f>
        <x:v>-6.255</x:v>
      </x:c>
      <x:c r="BB208" s="64" t="n">
        <x:f>-ROUND(AK208*'Drivers'!AA208,3)</x:f>
        <x:v>-8.246</x:v>
      </x:c>
      <x:c r="BC208" s="64" t="n">
        <x:f>SUM(BA208,BB208)</x:f>
        <x:v>-14.501000000000001</x:v>
      </x:c>
      <x:c r="BD208" s="64" t="n">
        <x:f>-ROUND(AK208*'Drivers'!AB208,3)</x:f>
        <x:v>-4.213</x:v>
      </x:c>
      <x:c r="BE208" s="64" t="n">
        <x:f>SUM(AX208:BB208,BD208)</x:f>
        <x:v>-76.78199999999998</x:v>
      </x:c>
      <x:c r="BF208" s="67" t="n">
        <x:f>'Drivers'!AF208</x:f>
        <x:v>4</x:v>
      </x:c>
      <x:c r="BG208" s="64" t="n">
        <x:f>BJ208</x:f>
        <x:v>-19.499</x:v>
      </x:c>
      <x:c r="BH208" s="64" t="n">
        <x:f>BE208/BF208</x:f>
        <x:v>-19.195499999999996</x:v>
      </x:c>
      <x:c r="BI208" s="68" t="n">
        <x:f>BF208/L208</x:f>
        <x:v>1.3333333333333333</x:v>
      </x:c>
      <x:c r="BJ208" s="64" t="n">
        <x:f>-ROUND(AK208*'Drivers'!AC208,3)</x:f>
        <x:v>-19.499</x:v>
      </x:c>
      <x:c r="BK208" s="64" t="n">
        <x:f>-ROUND(AK208*'Drivers'!AD208,3)</x:f>
        <x:v>-80.607</x:v>
      </x:c>
      <x:c r="BL208" s="64" t="n">
        <x:f>SUM(AV208,BE208,BJ208,BK208)</x:f>
        <x:v>187.60000000000016</x:v>
      </x:c>
      <x:c r="BM208" s="65" t="n">
        <x:f>BL208/AK208</x:f>
        <x:v>0.21761573886111352</x:v>
      </x:c>
      <x:c r="BN208" s="64" t="n">
        <x:f>-ROUND(AK208*'Drivers'!AE208,3)</x:f>
        <x:v>-76.312</x:v>
      </x:c>
      <x:c r="BO208" s="64" t="n">
        <x:f>BL208+BN208</x:f>
        <x:v>111.28800000000017</x:v>
      </x:c>
      <x:c r="BP208" s="65" t="n">
        <x:f>BO208/AK208</x:f>
        <x:v>0.12909392508729006</x:v>
      </x:c>
    </x:row>
    <x:row r="209">
      <x:c r="A209" s="61" t="n">
        <x:v>2026</x:v>
      </x:c>
      <x:c r="B209" s="18" t="str">
        <x:v>S2</x:v>
      </x:c>
      <x:c r="C209" s="18" t="str">
        <x:v>2026 S2</x:v>
      </x:c>
      <x:c r="D209" s="18" t="str">
        <x:v>CNCT0052</x:v>
      </x:c>
      <x:c r="E209" s="18" t="str">
        <x:v>重庆龙湖北城天街</x:v>
      </x:c>
      <x:c r="F209" s="18" t="str">
        <x:v>重庆</x:v>
      </x:c>
      <x:c r="G209" s="18" t="str">
        <x:v>重庆市</x:v>
      </x:c>
      <x:c r="H209" s="18" t="str">
        <x:v>西区</x:v>
      </x:c>
      <x:c r="I209" s="18" t="str">
        <x:v>Shopping Mall</x:v>
      </x:c>
      <x:c r="J209" s="18" t="str">
        <x:v>Regional Mall</x:v>
      </x:c>
      <x:c r="K209" s="18" t="str">
        <x:v>正常</x:v>
      </x:c>
      <x:c r="L209" s="62" t="n">
        <x:v>3</x:v>
      </x:c>
      <x:c r="M209" s="62" t="n">
        <x:v>42</x:v>
      </x:c>
      <x:c r="N209" s="63" t="n">
        <x:f>'Drivers'!C209</x:f>
        <x:v>1364</x:v>
      </x:c>
      <x:c r="O209" s="63" t="n">
        <x:f>'Drivers'!D209</x:f>
        <x:v>1030.87</x:v>
      </x:c>
      <x:c r="P209" s="64" t="n">
        <x:f>ROUND(N209*O209/1000,3)</x:f>
        <x:v>1406.107</x:v>
      </x:c>
      <x:c r="Q209" s="64" t="n">
        <x:f>ROUND(P209*'Drivers'!E209,3)</x:f>
        <x:v>1369.251</x:v>
      </x:c>
      <x:c r="R209" s="64" t="n">
        <x:f>-ROUND(Q209*'Drivers'!F209,3)</x:f>
        <x:v>-274.981</x:v>
      </x:c>
      <x:c r="S209" s="65" t="n">
        <x:f>R209/Q209</x:f>
        <x:v>-0.20082585296632977</x:v>
      </x:c>
      <x:c r="T209" s="64" t="n">
        <x:f>-ROUND(Q209*'Drivers'!G209,3)</x:f>
        <x:v>-12.696</x:v>
      </x:c>
      <x:c r="U209" s="65" t="n">
        <x:f>T209/Q209</x:f>
        <x:v>-0.009272222550869052</x:v>
      </x:c>
      <x:c r="V209" s="64" t="n">
        <x:f>-ROUND(Q209*'Drivers'!H209,3)</x:f>
        <x:v>-16.816</x:v>
      </x:c>
      <x:c r="W209" s="64" t="n">
        <x:f>-ROUND(Q209*'Drivers'!I209,3)</x:f>
        <x:v>-11.641</x:v>
      </x:c>
      <x:c r="X209" s="64" t="n">
        <x:f>-ROUND(Q209*'Drivers'!J209,3)</x:f>
        <x:v>-19.129</x:v>
      </x:c>
      <x:c r="Y209" s="64" t="n">
        <x:f>-ROUND(Q209*'Drivers'!K209,3)</x:f>
        <x:v>-18.511</x:v>
      </x:c>
      <x:c r="Z209" s="64" t="n">
        <x:f>-ROUND(Q209*'Drivers'!L209,3)</x:f>
        <x:v>-17.527</x:v>
      </x:c>
      <x:c r="AA209" s="64" t="n">
        <x:f>-ROUND(Q209*'Drivers'!M209,3)</x:f>
        <x:v>-13.947</x:v>
      </x:c>
      <x:c r="AB209" s="64" t="n">
        <x:f>-ROUND(Q209*'Drivers'!N209,3)</x:f>
        <x:v>-10.888</x:v>
      </x:c>
      <x:c r="AC209" s="64" t="n">
        <x:f>SUM(V209:AB209)</x:f>
        <x:v>-108.459</x:v>
      </x:c>
      <x:c r="AD209" s="65" t="n">
        <x:f>AC209/Q209</x:f>
        <x:v>-0.07921045885670341</x:v>
      </x:c>
      <x:c r="AE209" s="64" t="n">
        <x:f>-ROUND(Q209*'Drivers'!O209,3)</x:f>
        <x:v>-20.127</x:v>
      </x:c>
      <x:c r="AF209" s="65" t="n">
        <x:f>AE209/Q209</x:f>
        <x:v>-0.014699277196072889</x:v>
      </x:c>
      <x:c r="AG209" s="64" t="n">
        <x:f>-ROUND(Q209*'Drivers'!P209,3)</x:f>
        <x:v>-1.821</x:v>
      </x:c>
      <x:c r="AH209" s="64" t="n">
        <x:f>-ROUND(Q209*'Drivers'!Q209,3)</x:f>
        <x:v>-6.148</x:v>
      </x:c>
      <x:c r="AI209" s="64" t="n">
        <x:f>SUM(R209,T209,AC209,AE209,AG209,AH209)</x:f>
        <x:v>-424.2320000000001</x:v>
      </x:c>
      <x:c r="AJ209" s="65" t="n">
        <x:f>AI209/Q209</x:f>
        <x:v>-0.3098277817580561</x:v>
      </x:c>
      <x:c r="AK209" s="64" t="n">
        <x:f>Q209+AI209</x:f>
        <x:v>945.0189999999999</x:v>
      </x:c>
      <x:c r="AL209" s="65" t="n">
        <x:f>AK209/Q209</x:f>
        <x:v>0.6901722182419439</x:v>
      </x:c>
      <x:c r="AM209" s="64" t="n">
        <x:f>AK209/L209</x:f>
        <x:v>315.0063333333333</x:v>
      </x:c>
      <x:c r="AN209" s="66" t="str">
        <x:f>IF(AM209&lt;=200,"≤200K",IF(AM209&lt;=350,"200–350K",IF(AM209&lt;=500,"350–500K",IF(AM209&lt;=700,"500–700K","&gt;700K"))))</x:f>
        <x:v>200–350K</x:v>
      </x:c>
      <x:c r="AO209" s="64" t="n">
        <x:f>-ROUND(Q209*'Drivers'!R209,3)</x:f>
        <x:v>-486.738</x:v>
      </x:c>
      <x:c r="AP209" s="64" t="n">
        <x:f>-ROUND(AK209*'Drivers'!S209,3)</x:f>
        <x:v>-11.814</x:v>
      </x:c>
      <x:c r="AQ209" s="64" t="n">
        <x:f>-ROUND(AK209*'Drivers'!T209,3)</x:f>
        <x:v>-5.358</x:v>
      </x:c>
      <x:c r="AR209" s="64" t="n">
        <x:f>-ROUND(AK209*'Drivers'!U209,3)</x:f>
        <x:v>-10.723</x:v>
      </x:c>
      <x:c r="AS209" s="64" t="n">
        <x:f>-ROUND(AK209*'Drivers'!V209,3)</x:f>
        <x:v>-37.293</x:v>
      </x:c>
      <x:c r="AT209" s="64" t="n">
        <x:f>SUM(AO209:AS209)</x:f>
        <x:v>-551.926</x:v>
      </x:c>
      <x:c r="AU209" s="65" t="n">
        <x:f>AT209/AK209</x:f>
        <x:v>-0.584036934707133</x:v>
      </x:c>
      <x:c r="AV209" s="64" t="n">
        <x:f>AK209+AT209</x:f>
        <x:v>393.09299999999985</x:v>
      </x:c>
      <x:c r="AW209" s="65" t="n">
        <x:f>AV209/AK209</x:f>
        <x:v>0.41596306529286703</x:v>
      </x:c>
      <x:c r="AX209" s="64" t="n">
        <x:f>-ROUND(AK209*'Drivers'!W209,3)</x:f>
        <x:v>-13.868</x:v>
      </x:c>
      <x:c r="AY209" s="64" t="n">
        <x:f>-ROUND(AK209*'Drivers'!X209,3)</x:f>
        <x:v>-23.2</x:v>
      </x:c>
      <x:c r="AZ209" s="64" t="n">
        <x:f>-ROUND(AK209*'Drivers'!Y209,3)</x:f>
        <x:v>-17.769</x:v>
      </x:c>
      <x:c r="BA209" s="64" t="n">
        <x:f>-ROUND(AK209*'Drivers'!Z209,3)</x:f>
        <x:v>-5.907</x:v>
      </x:c>
      <x:c r="BB209" s="64" t="n">
        <x:f>-ROUND(AK209*'Drivers'!AA209,3)</x:f>
        <x:v>-7.787</x:v>
      </x:c>
      <x:c r="BC209" s="64" t="n">
        <x:f>SUM(BA209,BB209)</x:f>
        <x:v>-13.693999999999999</x:v>
      </x:c>
      <x:c r="BD209" s="64" t="n">
        <x:f>-ROUND(AK209*'Drivers'!AB209,3)</x:f>
        <x:v>-3.978</x:v>
      </x:c>
      <x:c r="BE209" s="64" t="n">
        <x:f>SUM(AX209:BB209,BD209)</x:f>
        <x:v>-72.509</x:v>
      </x:c>
      <x:c r="BF209" s="67" t="n">
        <x:f>'Drivers'!AF209</x:f>
        <x:v>4</x:v>
      </x:c>
      <x:c r="BG209" s="64" t="n">
        <x:f>BJ209</x:f>
        <x:v>-18.414</x:v>
      </x:c>
      <x:c r="BH209" s="64" t="n">
        <x:f>BE209/BF209</x:f>
        <x:v>-18.12725</x:v>
      </x:c>
      <x:c r="BI209" s="68" t="n">
        <x:f>BF209/L209</x:f>
        <x:v>1.3333333333333333</x:v>
      </x:c>
      <x:c r="BJ209" s="64" t="n">
        <x:f>-ROUND(AK209*'Drivers'!AC209,3)</x:f>
        <x:v>-18.414</x:v>
      </x:c>
      <x:c r="BK209" s="64" t="n">
        <x:f>-ROUND(AK209*'Drivers'!AD209,3)</x:f>
        <x:v>-88.363</x:v>
      </x:c>
      <x:c r="BL209" s="64" t="n">
        <x:f>SUM(AV209,BE209,BJ209,BK209)</x:f>
        <x:v>213.80699999999985</x:v>
      </x:c>
      <x:c r="BM209" s="65" t="n">
        <x:f>BL209/AK209</x:f>
        <x:v>0.22624624478449626</x:v>
      </x:c>
      <x:c r="BN209" s="64" t="n">
        <x:f>-ROUND(AK209*'Drivers'!AE209,3)</x:f>
        <x:v>-83.655</x:v>
      </x:c>
      <x:c r="BO209" s="64" t="n">
        <x:f>BL209+BN209</x:f>
        <x:v>130.15199999999984</x:v>
      </x:c>
      <x:c r="BP209" s="65" t="n">
        <x:f>BO209/AK209</x:f>
        <x:v>0.1377242150686916</x:v>
      </x:c>
    </x:row>
    <x:row r="210">
      <x:c r="A210" s="61" t="n">
        <x:v>2025</x:v>
      </x:c>
      <x:c r="B210" s="18" t="str">
        <x:v>S1</x:v>
      </x:c>
      <x:c r="C210" s="18" t="str">
        <x:v>2025 S1</x:v>
      </x:c>
      <x:c r="D210" s="18" t="str">
        <x:v>CNCT0053</x:v>
      </x:c>
      <x:c r="E210" s="18" t="str">
        <x:v>重庆世纪新都</x:v>
      </x:c>
      <x:c r="F210" s="18" t="str">
        <x:v>重庆</x:v>
      </x:c>
      <x:c r="G210" s="18" t="str">
        <x:v>重庆市</x:v>
      </x:c>
      <x:c r="H210" s="18" t="str">
        <x:v>西区</x:v>
      </x:c>
      <x:c r="I210" s="18" t="str">
        <x:v>Shopping Mall</x:v>
      </x:c>
      <x:c r="J210" s="18" t="str">
        <x:v>Regional Mall</x:v>
      </x:c>
      <x:c r="K210" s="18" t="str">
        <x:v>正常</x:v>
      </x:c>
      <x:c r="L210" s="62" t="n">
        <x:v>4</x:v>
      </x:c>
      <x:c r="M210" s="62" t="n">
        <x:v>42</x:v>
      </x:c>
      <x:c r="N210" s="63" t="n">
        <x:f>'Drivers'!C210</x:f>
        <x:v>1230</x:v>
      </x:c>
      <x:c r="O210" s="63" t="n">
        <x:f>'Drivers'!D210</x:f>
        <x:v>938.861</x:v>
      </x:c>
      <x:c r="P210" s="64" t="n">
        <x:f>ROUND(N210*O210/1000,3)</x:f>
        <x:v>1154.799</x:v>
      </x:c>
      <x:c r="Q210" s="64" t="n">
        <x:f>ROUND(P210*'Drivers'!E210,3)</x:f>
        <x:v>1135.258</x:v>
      </x:c>
      <x:c r="R210" s="64" t="n">
        <x:f>-ROUND(Q210*'Drivers'!F210,3)</x:f>
        <x:v>-225.676</x:v>
      </x:c>
      <x:c r="S210" s="65" t="n">
        <x:f>R210/Q210</x:f>
        <x:v>-0.1987882930576133</x:v>
      </x:c>
      <x:c r="T210" s="64" t="n">
        <x:f>-ROUND(Q210*'Drivers'!G210,3)</x:f>
        <x:v>-18.59</x:v>
      </x:c>
      <x:c r="U210" s="65" t="n">
        <x:f>T210/Q210</x:f>
        <x:v>-0.01637513234877006</x:v>
      </x:c>
      <x:c r="V210" s="64" t="n">
        <x:f>-ROUND(Q210*'Drivers'!H210,3)</x:f>
        <x:v>-8.68</x:v>
      </x:c>
      <x:c r="W210" s="64" t="n">
        <x:f>-ROUND(Q210*'Drivers'!I210,3)</x:f>
        <x:v>-7.06</x:v>
      </x:c>
      <x:c r="X210" s="64" t="n">
        <x:f>-ROUND(Q210*'Drivers'!J210,3)</x:f>
        <x:v>-18.128</x:v>
      </x:c>
      <x:c r="Y210" s="64" t="n">
        <x:f>-ROUND(Q210*'Drivers'!K210,3)</x:f>
        <x:v>-11.662</x:v>
      </x:c>
      <x:c r="Z210" s="64" t="n">
        <x:f>-ROUND(Q210*'Drivers'!L210,3)</x:f>
        <x:v>-14.779</x:v>
      </x:c>
      <x:c r="AA210" s="64" t="n">
        <x:f>-ROUND(Q210*'Drivers'!M210,3)</x:f>
        <x:v>-8.807</x:v>
      </x:c>
      <x:c r="AB210" s="64" t="n">
        <x:f>-ROUND(Q210*'Drivers'!N210,3)</x:f>
        <x:v>-8.459</x:v>
      </x:c>
      <x:c r="AC210" s="64" t="n">
        <x:f>SUM(V210:AB210)</x:f>
        <x:v>-77.575</x:v>
      </x:c>
      <x:c r="AD210" s="65" t="n">
        <x:f>AC210/Q210</x:f>
        <x:v>-0.06833248477438608</x:v>
      </x:c>
      <x:c r="AE210" s="64" t="n">
        <x:f>-ROUND(Q210*'Drivers'!O210,3)</x:f>
        <x:v>-8.51</x:v>
      </x:c>
      <x:c r="AF210" s="65" t="n">
        <x:f>AE210/Q210</x:f>
        <x:v>-0.007496093399033523</x:v>
      </x:c>
      <x:c r="AG210" s="64" t="n">
        <x:f>-ROUND(Q210*'Drivers'!P210,3)</x:f>
        <x:v>-1.156</x:v>
      </x:c>
      <x:c r="AH210" s="64" t="n">
        <x:f>-ROUND(Q210*'Drivers'!Q210,3)</x:f>
        <x:v>-2.752</x:v>
      </x:c>
      <x:c r="AI210" s="64" t="n">
        <x:f>SUM(R210,T210,AC210,AE210,AG210,AH210)</x:f>
        <x:v>-334.259</x:v>
      </x:c>
      <x:c r="AJ210" s="65" t="n">
        <x:f>AI210/Q210</x:f>
        <x:v>-0.29443439288690326</x:v>
      </x:c>
      <x:c r="AK210" s="64" t="n">
        <x:f>Q210+AI210</x:f>
        <x:v>800.999</x:v>
      </x:c>
      <x:c r="AL210" s="65" t="n">
        <x:f>AK210/Q210</x:f>
        <x:v>0.7055656071130968</x:v>
      </x:c>
      <x:c r="AM210" s="64" t="n">
        <x:f>AK210/L210</x:f>
        <x:v>200.24975</x:v>
      </x:c>
      <x:c r="AN210" s="66" t="str">
        <x:f>IF(AM210&lt;=200,"≤200K",IF(AM210&lt;=350,"200–350K",IF(AM210&lt;=500,"350–500K",IF(AM210&lt;=700,"500–700K","&gt;700K"))))</x:f>
        <x:v>200–350K</x:v>
      </x:c>
      <x:c r="AO210" s="64" t="n">
        <x:f>-ROUND(Q210*'Drivers'!R210,3)</x:f>
        <x:v>-417.671</x:v>
      </x:c>
      <x:c r="AP210" s="64" t="n">
        <x:f>-ROUND(AK210*'Drivers'!S210,3)</x:f>
        <x:v>-13.493</x:v>
      </x:c>
      <x:c r="AQ210" s="64" t="n">
        <x:f>-ROUND(AK210*'Drivers'!T210,3)</x:f>
        <x:v>-2.445</x:v>
      </x:c>
      <x:c r="AR210" s="64" t="n">
        <x:f>-ROUND(AK210*'Drivers'!U210,3)</x:f>
        <x:v>-8.151</x:v>
      </x:c>
      <x:c r="AS210" s="64" t="n">
        <x:f>-ROUND(AK210*'Drivers'!V210,3)</x:f>
        <x:v>-29.093</x:v>
      </x:c>
      <x:c r="AT210" s="64" t="n">
        <x:f>SUM(AO210:AS210)</x:f>
        <x:v>-470.853</x:v>
      </x:c>
      <x:c r="AU210" s="65" t="n">
        <x:f>AT210/AK210</x:f>
        <x:v>-0.5878321945470594</x:v>
      </x:c>
      <x:c r="AV210" s="64" t="n">
        <x:f>AK210+AT210</x:f>
        <x:v>330.146</x:v>
      </x:c>
      <x:c r="AW210" s="65" t="n">
        <x:f>AV210/AK210</x:f>
        <x:v>0.4121678054529406</x:v>
      </x:c>
      <x:c r="AX210" s="64" t="n">
        <x:f>-ROUND(AK210*'Drivers'!W210,3)</x:f>
        <x:v>-9.298</x:v>
      </x:c>
      <x:c r="AY210" s="64" t="n">
        <x:f>-ROUND(AK210*'Drivers'!X210,3)</x:f>
        <x:v>-14.26</x:v>
      </x:c>
      <x:c r="AZ210" s="64" t="n">
        <x:f>-ROUND(AK210*'Drivers'!Y210,3)</x:f>
        <x:v>-16.009</x:v>
      </x:c>
      <x:c r="BA210" s="64" t="n">
        <x:f>-ROUND(AK210*'Drivers'!Z210,3)</x:f>
        <x:v>-6.015</x:v>
      </x:c>
      <x:c r="BB210" s="64" t="n">
        <x:f>-ROUND(AK210*'Drivers'!AA210,3)</x:f>
        <x:v>-4.964</x:v>
      </x:c>
      <x:c r="BC210" s="64" t="n">
        <x:f>SUM(BA210,BB210)</x:f>
        <x:v>-10.979</x:v>
      </x:c>
      <x:c r="BD210" s="64" t="n">
        <x:f>-ROUND(AK210*'Drivers'!AB210,3)</x:f>
        <x:v>-3.926</x:v>
      </x:c>
      <x:c r="BE210" s="64" t="n">
        <x:f>SUM(AX210:BB210,BD210)</x:f>
        <x:v>-54.472</x:v>
      </x:c>
      <x:c r="BF210" s="67" t="n">
        <x:f>'Drivers'!AF210</x:f>
        <x:v>8</x:v>
      </x:c>
      <x:c r="BG210" s="64" t="n">
        <x:f>BJ210</x:f>
        <x:v>-21.407</x:v>
      </x:c>
      <x:c r="BH210" s="64" t="n">
        <x:f>BE210/BF210</x:f>
        <x:v>-6.809</x:v>
      </x:c>
      <x:c r="BI210" s="68" t="n">
        <x:f>BF210/L210</x:f>
        <x:v>2</x:v>
      </x:c>
      <x:c r="BJ210" s="64" t="n">
        <x:f>-ROUND(AK210*'Drivers'!AC210,3)</x:f>
        <x:v>-21.407</x:v>
      </x:c>
      <x:c r="BK210" s="64" t="n">
        <x:f>-ROUND(AK210*'Drivers'!AD210,3)</x:f>
        <x:v>-70.363</x:v>
      </x:c>
      <x:c r="BL210" s="64" t="n">
        <x:f>SUM(AV210,BE210,BJ210,BK210)</x:f>
        <x:v>183.90400000000002</x:v>
      </x:c>
      <x:c r="BM210" s="65" t="n">
        <x:f>BL210/AK210</x:f>
        <x:v>0.22959329537240372</x:v>
      </x:c>
      <x:c r="BN210" s="64" t="n">
        <x:f>-ROUND(AK210*'Drivers'!AE210,3)</x:f>
        <x:v>-66.235</x:v>
      </x:c>
      <x:c r="BO210" s="64" t="n">
        <x:f>BL210+BN210</x:f>
        <x:v>117.66900000000003</x:v>
      </x:c>
      <x:c r="BP210" s="65" t="n">
        <x:f>BO210/AK210</x:f>
        <x:v>0.1469028051221038</x:v>
      </x:c>
    </x:row>
    <x:row r="211">
      <x:c r="A211" s="61" t="n">
        <x:v>2025</x:v>
      </x:c>
      <x:c r="B211" s="18" t="str">
        <x:v>S2</x:v>
      </x:c>
      <x:c r="C211" s="18" t="str">
        <x:v>2025 S2</x:v>
      </x:c>
      <x:c r="D211" s="18" t="str">
        <x:v>CNCT0053</x:v>
      </x:c>
      <x:c r="E211" s="18" t="str">
        <x:v>重庆世纪新都</x:v>
      </x:c>
      <x:c r="F211" s="18" t="str">
        <x:v>重庆</x:v>
      </x:c>
      <x:c r="G211" s="18" t="str">
        <x:v>重庆市</x:v>
      </x:c>
      <x:c r="H211" s="18" t="str">
        <x:v>西区</x:v>
      </x:c>
      <x:c r="I211" s="18" t="str">
        <x:v>Shopping Mall</x:v>
      </x:c>
      <x:c r="J211" s="18" t="str">
        <x:v>Regional Mall</x:v>
      </x:c>
      <x:c r="K211" s="18" t="str">
        <x:v>正常</x:v>
      </x:c>
      <x:c r="L211" s="62" t="n">
        <x:v>4</x:v>
      </x:c>
      <x:c r="M211" s="62" t="n">
        <x:v>42</x:v>
      </x:c>
      <x:c r="N211" s="63" t="n">
        <x:f>'Drivers'!C211</x:f>
        <x:v>1293</x:v>
      </x:c>
      <x:c r="O211" s="63" t="n">
        <x:f>'Drivers'!D211</x:f>
        <x:v>950.127</x:v>
      </x:c>
      <x:c r="P211" s="64" t="n">
        <x:f>ROUND(N211*O211/1000,3)</x:f>
        <x:v>1228.514</x:v>
      </x:c>
      <x:c r="Q211" s="64" t="n">
        <x:f>ROUND(P211*'Drivers'!E211,3)</x:f>
        <x:v>1188.461</x:v>
      </x:c>
      <x:c r="R211" s="64" t="n">
        <x:f>-ROUND(Q211*'Drivers'!F211,3)</x:f>
        <x:v>-236.252</x:v>
      </x:c>
      <x:c r="S211" s="65" t="n">
        <x:f>R211/Q211</x:f>
        <x:v>-0.19878818068072912</x:v>
      </x:c>
      <x:c r="T211" s="64" t="n">
        <x:f>-ROUND(Q211*'Drivers'!G211,3)</x:f>
        <x:v>-19.461</x:v>
      </x:c>
      <x:c r="U211" s="65" t="n">
        <x:f>T211/Q211</x:f>
        <x:v>-0.016374958875385898</x:v>
      </x:c>
      <x:c r="V211" s="64" t="n">
        <x:f>-ROUND(Q211*'Drivers'!H211,3)</x:f>
        <x:v>-9.087</x:v>
      </x:c>
      <x:c r="W211" s="64" t="n">
        <x:f>-ROUND(Q211*'Drivers'!I211,3)</x:f>
        <x:v>-7.391</x:v>
      </x:c>
      <x:c r="X211" s="64" t="n">
        <x:f>-ROUND(Q211*'Drivers'!J211,3)</x:f>
        <x:v>-18.977</x:v>
      </x:c>
      <x:c r="Y211" s="64" t="n">
        <x:f>-ROUND(Q211*'Drivers'!K211,3)</x:f>
        <x:v>-12.209</x:v>
      </x:c>
      <x:c r="Z211" s="64" t="n">
        <x:f>-ROUND(Q211*'Drivers'!L211,3)</x:f>
        <x:v>-15.472</x:v>
      </x:c>
      <x:c r="AA211" s="64" t="n">
        <x:f>-ROUND(Q211*'Drivers'!M211,3)</x:f>
        <x:v>-9.219</x:v>
      </x:c>
      <x:c r="AB211" s="64" t="n">
        <x:f>-ROUND(Q211*'Drivers'!N211,3)</x:f>
        <x:v>-8.856</x:v>
      </x:c>
      <x:c r="AC211" s="64" t="n">
        <x:f>SUM(V211:AB211)</x:f>
        <x:v>-81.211</x:v>
      </x:c>
      <x:c r="AD211" s="65" t="n">
        <x:f>AC211/Q211</x:f>
        <x:v>-0.06833291121879473</x:v>
      </x:c>
      <x:c r="AE211" s="64" t="n">
        <x:f>-ROUND(Q211*'Drivers'!O211,3)</x:f>
        <x:v>-8.908</x:v>
      </x:c>
      <x:c r="AF211" s="65" t="n">
        <x:f>AE211/Q211</x:f>
        <x:v>-0.007495407926722038</x:v>
      </x:c>
      <x:c r="AG211" s="64" t="n">
        <x:f>-ROUND(Q211*'Drivers'!P211,3)</x:f>
        <x:v>-1.21</x:v>
      </x:c>
      <x:c r="AH211" s="64" t="n">
        <x:f>-ROUND(Q211*'Drivers'!Q211,3)</x:f>
        <x:v>-2.881</x:v>
      </x:c>
      <x:c r="AI211" s="64" t="n">
        <x:f>SUM(R211,T211,AC211,AE211,AG211,AH211)</x:f>
        <x:v>-349.923</x:v>
      </x:c>
      <x:c r="AJ211" s="65" t="n">
        <x:f>AI211/Q211</x:f>
        <x:v>-0.2944337256334032</x:v>
      </x:c>
      <x:c r="AK211" s="64" t="n">
        <x:f>Q211+AI211</x:f>
        <x:v>838.538</x:v>
      </x:c>
      <x:c r="AL211" s="65" t="n">
        <x:f>AK211/Q211</x:f>
        <x:v>0.7055662743665968</x:v>
      </x:c>
      <x:c r="AM211" s="64" t="n">
        <x:f>AK211/L211</x:f>
        <x:v>209.6345</x:v>
      </x:c>
      <x:c r="AN211" s="66" t="str">
        <x:f>IF(AM211&lt;=200,"≤200K",IF(AM211&lt;=350,"200–350K",IF(AM211&lt;=500,"350–500K",IF(AM211&lt;=700,"500–700K","&gt;700K"))))</x:f>
        <x:v>200–350K</x:v>
      </x:c>
      <x:c r="AO211" s="64" t="n">
        <x:f>-ROUND(Q211*'Drivers'!R211,3)</x:f>
        <x:v>-416.286</x:v>
      </x:c>
      <x:c r="AP211" s="64" t="n">
        <x:f>-ROUND(AK211*'Drivers'!S211,3)</x:f>
        <x:v>-14.125</x:v>
      </x:c>
      <x:c r="AQ211" s="64" t="n">
        <x:f>-ROUND(AK211*'Drivers'!T211,3)</x:f>
        <x:v>-2.56</x:v>
      </x:c>
      <x:c r="AR211" s="64" t="n">
        <x:f>-ROUND(AK211*'Drivers'!U211,3)</x:f>
        <x:v>-8.533</x:v>
      </x:c>
      <x:c r="AS211" s="64" t="n">
        <x:f>-ROUND(AK211*'Drivers'!V211,3)</x:f>
        <x:v>-30.457</x:v>
      </x:c>
      <x:c r="AT211" s="64" t="n">
        <x:f>SUM(AO211:AS211)</x:f>
        <x:v>-471.961</x:v>
      </x:c>
      <x:c r="AU211" s="65" t="n">
        <x:f>AT211/AK211</x:f>
        <x:v>-0.5628379393658963</x:v>
      </x:c>
      <x:c r="AV211" s="64" t="n">
        <x:f>AK211+AT211</x:f>
        <x:v>366.577</x:v>
      </x:c>
      <x:c r="AW211" s="65" t="n">
        <x:f>AV211/AK211</x:f>
        <x:v>0.4371620606341036</x:v>
      </x:c>
      <x:c r="AX211" s="64" t="n">
        <x:f>-ROUND(AK211*'Drivers'!W211,3)</x:f>
        <x:v>-9.734</x:v>
      </x:c>
      <x:c r="AY211" s="64" t="n">
        <x:f>-ROUND(AK211*'Drivers'!X211,3)</x:f>
        <x:v>-14.928</x:v>
      </x:c>
      <x:c r="AZ211" s="64" t="n">
        <x:f>-ROUND(AK211*'Drivers'!Y211,3)</x:f>
        <x:v>-16.76</x:v>
      </x:c>
      <x:c r="BA211" s="64" t="n">
        <x:f>-ROUND(AK211*'Drivers'!Z211,3)</x:f>
        <x:v>-6.297</x:v>
      </x:c>
      <x:c r="BB211" s="64" t="n">
        <x:f>-ROUND(AK211*'Drivers'!AA211,3)</x:f>
        <x:v>-5.196</x:v>
      </x:c>
      <x:c r="BC211" s="64" t="n">
        <x:f>SUM(BA211,BB211)</x:f>
        <x:v>-11.492999999999999</x:v>
      </x:c>
      <x:c r="BD211" s="64" t="n">
        <x:f>-ROUND(AK211*'Drivers'!AB211,3)</x:f>
        <x:v>-4.11</x:v>
      </x:c>
      <x:c r="BE211" s="64" t="n">
        <x:f>SUM(AX211:BB211,BD211)</x:f>
        <x:v>-57.02499999999999</x:v>
      </x:c>
      <x:c r="BF211" s="67" t="n">
        <x:f>'Drivers'!AF211</x:f>
        <x:v>8</x:v>
      </x:c>
      <x:c r="BG211" s="64" t="n">
        <x:f>BJ211</x:f>
        <x:v>-22.41</x:v>
      </x:c>
      <x:c r="BH211" s="64" t="n">
        <x:f>BE211/BF211</x:f>
        <x:v>-7.128124999999999</x:v>
      </x:c>
      <x:c r="BI211" s="68" t="n">
        <x:f>BF211/L211</x:f>
        <x:v>2</x:v>
      </x:c>
      <x:c r="BJ211" s="64" t="n">
        <x:f>-ROUND(AK211*'Drivers'!AC211,3)</x:f>
        <x:v>-22.41</x:v>
      </x:c>
      <x:c r="BK211" s="64" t="n">
        <x:f>-ROUND(AK211*'Drivers'!AD211,3)</x:f>
        <x:v>-73.661</x:v>
      </x:c>
      <x:c r="BL211" s="64" t="n">
        <x:f>SUM(AV211,BE211,BJ211,BK211)</x:f>
        <x:v>213.481</x:v>
      </x:c>
      <x:c r="BM211" s="65" t="n">
        <x:f>BL211/AK211</x:f>
        <x:v>0.25458715049288166</x:v>
      </x:c>
      <x:c r="BN211" s="64" t="n">
        <x:f>-ROUND(AK211*'Drivers'!AE211,3)</x:f>
        <x:v>-69.339</x:v>
      </x:c>
      <x:c r="BO211" s="64" t="n">
        <x:f>BL211+BN211</x:f>
        <x:v>144.142</x:v>
      </x:c>
      <x:c r="BP211" s="65" t="n">
        <x:f>BO211/AK211</x:f>
        <x:v>0.1718968013375661</x:v>
      </x:c>
    </x:row>
    <x:row r="212">
      <x:c r="A212" s="61" t="n">
        <x:v>2026</x:v>
      </x:c>
      <x:c r="B212" s="18" t="str">
        <x:v>S1</x:v>
      </x:c>
      <x:c r="C212" s="18" t="str">
        <x:v>2026 S1</x:v>
      </x:c>
      <x:c r="D212" s="18" t="str">
        <x:v>CNCT0053</x:v>
      </x:c>
      <x:c r="E212" s="18" t="str">
        <x:v>重庆世纪新都</x:v>
      </x:c>
      <x:c r="F212" s="18" t="str">
        <x:v>重庆</x:v>
      </x:c>
      <x:c r="G212" s="18" t="str">
        <x:v>重庆市</x:v>
      </x:c>
      <x:c r="H212" s="18" t="str">
        <x:v>西区</x:v>
      </x:c>
      <x:c r="I212" s="18" t="str">
        <x:v>Shopping Mall</x:v>
      </x:c>
      <x:c r="J212" s="18" t="str">
        <x:v>Regional Mall</x:v>
      </x:c>
      <x:c r="K212" s="18" t="str">
        <x:v>正常</x:v>
      </x:c>
      <x:c r="L212" s="62" t="n">
        <x:v>4</x:v>
      </x:c>
      <x:c r="M212" s="62" t="n">
        <x:v>42</x:v>
      </x:c>
      <x:c r="N212" s="63" t="n">
        <x:f>'Drivers'!C212</x:f>
        <x:v>907</x:v>
      </x:c>
      <x:c r="O212" s="63" t="n">
        <x:f>'Drivers'!D212</x:f>
        <x:v>986.203</x:v>
      </x:c>
      <x:c r="P212" s="64" t="n">
        <x:f>ROUND(N212*O212/1000,3)</x:f>
        <x:v>894.486</x:v>
      </x:c>
      <x:c r="Q212" s="64" t="n">
        <x:f>ROUND(P212*'Drivers'!E212,3)</x:f>
        <x:v>880.54</x:v>
      </x:c>
      <x:c r="R212" s="64" t="n">
        <x:f>-ROUND(Q212*'Drivers'!F212,3)</x:f>
        <x:v>-185.607</x:v>
      </x:c>
      <x:c r="S212" s="65" t="n">
        <x:f>R212/Q212</x:f>
        <x:v>-0.21078769845776457</x:v>
      </x:c>
      <x:c r="T212" s="64" t="n">
        <x:f>-ROUND(Q212*'Drivers'!G212,3)</x:f>
        <x:v>-15.735</x:v>
      </x:c>
      <x:c r="U212" s="65" t="n">
        <x:f>T212/Q212</x:f>
        <x:v>-0.017869716310445864</x:v>
      </x:c>
      <x:c r="V212" s="64" t="n">
        <x:f>-ROUND(Q212*'Drivers'!H212,3)</x:f>
        <x:v>-6.733</x:v>
      </x:c>
      <x:c r="W212" s="64" t="n">
        <x:f>-ROUND(Q212*'Drivers'!I212,3)</x:f>
        <x:v>-5.476</x:v>
      </x:c>
      <x:c r="X212" s="64" t="n">
        <x:f>-ROUND(Q212*'Drivers'!J212,3)</x:f>
        <x:v>-14.06</x:v>
      </x:c>
      <x:c r="Y212" s="64" t="n">
        <x:f>-ROUND(Q212*'Drivers'!K212,3)</x:f>
        <x:v>-9.046</x:v>
      </x:c>
      <x:c r="Z212" s="64" t="n">
        <x:f>-ROUND(Q212*'Drivers'!L212,3)</x:f>
        <x:v>-11.463</x:v>
      </x:c>
      <x:c r="AA212" s="64" t="n">
        <x:f>-ROUND(Q212*'Drivers'!M212,3)</x:f>
        <x:v>-6.831</x:v>
      </x:c>
      <x:c r="AB212" s="64" t="n">
        <x:f>-ROUND(Q212*'Drivers'!N212,3)</x:f>
        <x:v>-6.561</x:v>
      </x:c>
      <x:c r="AC212" s="64" t="n">
        <x:f>SUM(V212:AB212)</x:f>
        <x:v>-60.17</x:v>
      </x:c>
      <x:c r="AD212" s="65" t="n">
        <x:f>AC212/Q212</x:f>
        <x:v>-0.06833306834442501</x:v>
      </x:c>
      <x:c r="AE212" s="64" t="n">
        <x:f>-ROUND(Q212*'Drivers'!O212,3)</x:f>
        <x:v>-6.186</x:v>
      </x:c>
      <x:c r="AF212" s="65" t="n">
        <x:f>AE212/Q212</x:f>
        <x:v>-0.007025234515183864</x:v>
      </x:c>
      <x:c r="AG212" s="64" t="n">
        <x:f>-ROUND(Q212*'Drivers'!P212,3)</x:f>
        <x:v>-0.896</x:v>
      </x:c>
      <x:c r="AH212" s="64" t="n">
        <x:f>-ROUND(Q212*'Drivers'!Q212,3)</x:f>
        <x:v>-2.134</x:v>
      </x:c>
      <x:c r="AI212" s="64" t="n">
        <x:f>SUM(R212,T212,AC212,AE212,AG212,AH212)</x:f>
        <x:v>-270.728</x:v>
      </x:c>
      <x:c r="AJ212" s="65" t="n">
        <x:f>AI212/Q212</x:f>
        <x:v>-0.30745678788016445</x:v>
      </x:c>
      <x:c r="AK212" s="64" t="n">
        <x:f>Q212+AI212</x:f>
        <x:v>609.8119999999999</x:v>
      </x:c>
      <x:c r="AL212" s="65" t="n">
        <x:f>AK212/Q212</x:f>
        <x:v>0.6925432121198355</x:v>
      </x:c>
      <x:c r="AM212" s="64" t="n">
        <x:f>AK212/L212</x:f>
        <x:v>152.45299999999997</x:v>
      </x:c>
      <x:c r="AN212" s="66" t="str">
        <x:f>IF(AM212&lt;=200,"≤200K",IF(AM212&lt;=350,"200–350K",IF(AM212&lt;=500,"350–500K",IF(AM212&lt;=700,"500–700K","&gt;700K"))))</x:f>
        <x:v>≤200K</x:v>
      </x:c>
      <x:c r="AO212" s="64" t="n">
        <x:f>-ROUND(Q212*'Drivers'!R212,3)</x:f>
        <x:v>-336.112</x:v>
      </x:c>
      <x:c r="AP212" s="64" t="n">
        <x:f>-ROUND(AK212*'Drivers'!S212,3)</x:f>
        <x:v>-10.272</x:v>
      </x:c>
      <x:c r="AQ212" s="64" t="n">
        <x:f>-ROUND(AK212*'Drivers'!T212,3)</x:f>
        <x:v>-1.861</x:v>
      </x:c>
      <x:c r="AR212" s="64" t="n">
        <x:f>-ROUND(AK212*'Drivers'!U212,3)</x:f>
        <x:v>-6.206</x:v>
      </x:c>
      <x:c r="AS212" s="64" t="n">
        <x:f>-ROUND(AK212*'Drivers'!V212,3)</x:f>
        <x:v>-22.149</x:v>
      </x:c>
      <x:c r="AT212" s="64" t="n">
        <x:f>SUM(AO212:AS212)</x:f>
        <x:v>-376.6</x:v>
      </x:c>
      <x:c r="AU212" s="65" t="n">
        <x:f>AT212/AK212</x:f>
        <x:v>-0.6175673814224714</x:v>
      </x:c>
      <x:c r="AV212" s="64" t="n">
        <x:f>AK212+AT212</x:f>
        <x:v>233.21199999999988</x:v>
      </x:c>
      <x:c r="AW212" s="65" t="n">
        <x:f>AV212/AK212</x:f>
        <x:v>0.3824326185775287</x:v>
      </x:c>
      <x:c r="AX212" s="64" t="n">
        <x:f>-ROUND(AK212*'Drivers'!W212,3)</x:f>
        <x:v>-8.71</x:v>
      </x:c>
      <x:c r="AY212" s="64" t="n">
        <x:f>-ROUND(AK212*'Drivers'!X212,3)</x:f>
        <x:v>-13.358</x:v>
      </x:c>
      <x:c r="AZ212" s="64" t="n">
        <x:f>-ROUND(AK212*'Drivers'!Y212,3)</x:f>
        <x:v>-14.997</x:v>
      </x:c>
      <x:c r="BA212" s="64" t="n">
        <x:f>-ROUND(AK212*'Drivers'!Z212,3)</x:f>
        <x:v>-5.635</x:v>
      </x:c>
      <x:c r="BB212" s="64" t="n">
        <x:f>-ROUND(AK212*'Drivers'!AA212,3)</x:f>
        <x:v>-4.65</x:v>
      </x:c>
      <x:c r="BC212" s="64" t="n">
        <x:f>SUM(BA212,BB212)</x:f>
        <x:v>-10.285</x:v>
      </x:c>
      <x:c r="BD212" s="64" t="n">
        <x:f>-ROUND(AK212*'Drivers'!AB212,3)</x:f>
        <x:v>-3.678</x:v>
      </x:c>
      <x:c r="BE212" s="64" t="n">
        <x:f>SUM(AX212:BB212,BD212)</x:f>
        <x:v>-51.02799999999999</x:v>
      </x:c>
      <x:c r="BF212" s="67" t="n">
        <x:f>'Drivers'!AF212</x:f>
        <x:v>8</x:v>
      </x:c>
      <x:c r="BG212" s="64" t="n">
        <x:f>BJ212</x:f>
        <x:v>-29.077</x:v>
      </x:c>
      <x:c r="BH212" s="64" t="n">
        <x:f>BE212/BF212</x:f>
        <x:v>-6.378499999999999</x:v>
      </x:c>
      <x:c r="BI212" s="68" t="n">
        <x:f>BF212/L212</x:f>
        <x:v>2</x:v>
      </x:c>
      <x:c r="BJ212" s="64" t="n">
        <x:f>-ROUND(AK212*'Drivers'!AC212,3)</x:f>
        <x:v>-29.077</x:v>
      </x:c>
      <x:c r="BK212" s="64" t="n">
        <x:f>-ROUND(AK212*'Drivers'!AD212,3)</x:f>
        <x:v>-58.926</x:v>
      </x:c>
      <x:c r="BL212" s="64" t="n">
        <x:f>SUM(AV212,BE212,BJ212,BK212)</x:f>
        <x:v>94.18099999999988</x:v>
      </x:c>
      <x:c r="BM212" s="65" t="n">
        <x:f>BL212/AK212</x:f>
        <x:v>0.15444268069503372</x:v>
      </x:c>
      <x:c r="BN212" s="64" t="n">
        <x:f>-ROUND(AK212*'Drivers'!AE212,3)</x:f>
        <x:v>-86.082</x:v>
      </x:c>
      <x:c r="BO212" s="64" t="n">
        <x:f>BL212+BN212</x:f>
        <x:v>8.09899999999989</x:v>
      </x:c>
      <x:c r="BP212" s="65" t="n">
        <x:f>BO212/AK212</x:f>
        <x:v>0.013281142384865977</x:v>
      </x:c>
    </x:row>
    <x:row r="213">
      <x:c r="A213" s="61" t="n">
        <x:v>2026</x:v>
      </x:c>
      <x:c r="B213" s="18" t="str">
        <x:v>S2</x:v>
      </x:c>
      <x:c r="C213" s="18" t="str">
        <x:v>2026 S2</x:v>
      </x:c>
      <x:c r="D213" s="18" t="str">
        <x:v>CNCT0053</x:v>
      </x:c>
      <x:c r="E213" s="18" t="str">
        <x:v>重庆世纪新都</x:v>
      </x:c>
      <x:c r="F213" s="18" t="str">
        <x:v>重庆</x:v>
      </x:c>
      <x:c r="G213" s="18" t="str">
        <x:v>重庆市</x:v>
      </x:c>
      <x:c r="H213" s="18" t="str">
        <x:v>西区</x:v>
      </x:c>
      <x:c r="I213" s="18" t="str">
        <x:v>Shopping Mall</x:v>
      </x:c>
      <x:c r="J213" s="18" t="str">
        <x:v>Regional Mall</x:v>
      </x:c>
      <x:c r="K213" s="18" t="str">
        <x:v>正常</x:v>
      </x:c>
      <x:c r="L213" s="62" t="n">
        <x:v>4</x:v>
      </x:c>
      <x:c r="M213" s="62" t="n">
        <x:v>42</x:v>
      </x:c>
      <x:c r="N213" s="63" t="n">
        <x:f>'Drivers'!C213</x:f>
        <x:v>1133</x:v>
      </x:c>
      <x:c r="O213" s="63" t="n">
        <x:f>'Drivers'!D213</x:f>
        <x:v>993.296</x:v>
      </x:c>
      <x:c r="P213" s="64" t="n">
        <x:f>ROUND(N213*O213/1000,3)</x:f>
        <x:v>1125.404</x:v>
      </x:c>
      <x:c r="Q213" s="64" t="n">
        <x:f>ROUND(P213*'Drivers'!E213,3)</x:f>
        <x:v>1088.712</x:v>
      </x:c>
      <x:c r="R213" s="64" t="n">
        <x:f>-ROUND(Q213*'Drivers'!F213,3)</x:f>
        <x:v>-216.407</x:v>
      </x:c>
      <x:c r="S213" s="65" t="n">
        <x:f>R213/Q213</x:f>
        <x:v>-0.19877341298708934</x:v>
      </x:c>
      <x:c r="T213" s="64" t="n">
        <x:f>-ROUND(Q213*'Drivers'!G213,3)</x:f>
        <x:v>-17.413</x:v>
      </x:c>
      <x:c r="U213" s="65" t="n">
        <x:f>T213/Q213</x:f>
        <x:v>-0.015994128842154766</x:v>
      </x:c>
      <x:c r="V213" s="64" t="n">
        <x:f>-ROUND(Q213*'Drivers'!H213,3)</x:f>
        <x:v>-8.324</x:v>
      </x:c>
      <x:c r="W213" s="64" t="n">
        <x:f>-ROUND(Q213*'Drivers'!I213,3)</x:f>
        <x:v>-6.771</x:v>
      </x:c>
      <x:c r="X213" s="64" t="n">
        <x:f>-ROUND(Q213*'Drivers'!J213,3)</x:f>
        <x:v>-17.384</x:v>
      </x:c>
      <x:c r="Y213" s="64" t="n">
        <x:f>-ROUND(Q213*'Drivers'!K213,3)</x:f>
        <x:v>-11.184</x:v>
      </x:c>
      <x:c r="Z213" s="64" t="n">
        <x:f>-ROUND(Q213*'Drivers'!L213,3)</x:f>
        <x:v>-14.173</x:v>
      </x:c>
      <x:c r="AA213" s="64" t="n">
        <x:f>-ROUND(Q213*'Drivers'!M213,3)</x:f>
        <x:v>-8.446</x:v>
      </x:c>
      <x:c r="AB213" s="64" t="n">
        <x:f>-ROUND(Q213*'Drivers'!N213,3)</x:f>
        <x:v>-8.112</x:v>
      </x:c>
      <x:c r="AC213" s="64" t="n">
        <x:f>SUM(V213:AB213)</x:f>
        <x:v>-74.39399999999999</x:v>
      </x:c>
      <x:c r="AD213" s="65" t="n">
        <x:f>AC213/Q213</x:f>
        <x:v>-0.06833212089147542</x:v>
      </x:c>
      <x:c r="AE213" s="64" t="n">
        <x:f>-ROUND(Q213*'Drivers'!O213,3)</x:f>
        <x:v>-8.161</x:v>
      </x:c>
      <x:c r="AF213" s="65" t="n">
        <x:f>AE213/Q213</x:f>
        <x:v>-0.007496013638133868</x:v>
      </x:c>
      <x:c r="AG213" s="64" t="n">
        <x:f>-ROUND(Q213*'Drivers'!P213,3)</x:f>
        <x:v>-1.108</x:v>
      </x:c>
      <x:c r="AH213" s="64" t="n">
        <x:f>-ROUND(Q213*'Drivers'!Q213,3)</x:f>
        <x:v>-2.639</x:v>
      </x:c>
      <x:c r="AI213" s="64" t="n">
        <x:f>SUM(R213,T213,AC213,AE213,AG213,AH213)</x:f>
        <x:v>-320.122</x:v>
      </x:c>
      <x:c r="AJ213" s="65" t="n">
        <x:f>AI213/Q213</x:f>
        <x:v>-0.29403735790548835</x:v>
      </x:c>
      <x:c r="AK213" s="64" t="n">
        <x:f>Q213+AI213</x:f>
        <x:v>768.5899999999999</x:v>
      </x:c>
      <x:c r="AL213" s="65" t="n">
        <x:f>AK213/Q213</x:f>
        <x:v>0.7059626420945116</x:v>
      </x:c>
      <x:c r="AM213" s="64" t="n">
        <x:f>AK213/L213</x:f>
        <x:v>192.14749999999998</x:v>
      </x:c>
      <x:c r="AN213" s="66" t="str">
        <x:f>IF(AM213&lt;=200,"≤200K",IF(AM213&lt;=350,"200–350K",IF(AM213&lt;=500,"350–500K",IF(AM213&lt;=700,"500–700K","&gt;700K"))))</x:f>
        <x:v>≤200K</x:v>
      </x:c>
      <x:c r="AO213" s="64" t="n">
        <x:f>-ROUND(Q213*'Drivers'!R213,3)</x:f>
        <x:v>-405.759</x:v>
      </x:c>
      <x:c r="AP213" s="64" t="n">
        <x:f>-ROUND(AK213*'Drivers'!S213,3)</x:f>
        <x:v>-12.947</x:v>
      </x:c>
      <x:c r="AQ213" s="64" t="n">
        <x:f>-ROUND(AK213*'Drivers'!T213,3)</x:f>
        <x:v>-2.346</x:v>
      </x:c>
      <x:c r="AR213" s="64" t="n">
        <x:f>-ROUND(AK213*'Drivers'!U213,3)</x:f>
        <x:v>-7.821</x:v>
      </x:c>
      <x:c r="AS213" s="64" t="n">
        <x:f>-ROUND(AK213*'Drivers'!V213,3)</x:f>
        <x:v>-27.916</x:v>
      </x:c>
      <x:c r="AT213" s="64" t="n">
        <x:f>SUM(AO213:AS213)</x:f>
        <x:v>-456.78900000000004</x:v>
      </x:c>
      <x:c r="AU213" s="65" t="n">
        <x:f>AT213/AK213</x:f>
        <x:v>-0.5943207692007444</x:v>
      </x:c>
      <x:c r="AV213" s="64" t="n">
        <x:f>AK213+AT213</x:f>
        <x:v>311.8009999999999</x:v>
      </x:c>
      <x:c r="AW213" s="65" t="n">
        <x:f>AV213/AK213</x:f>
        <x:v>0.40567923079925566</x:v>
      </x:c>
      <x:c r="AX213" s="64" t="n">
        <x:f>-ROUND(AK213*'Drivers'!W213,3)</x:f>
        <x:v>-9.457</x:v>
      </x:c>
      <x:c r="AY213" s="64" t="n">
        <x:f>-ROUND(AK213*'Drivers'!X213,3)</x:f>
        <x:v>-14.504</x:v>
      </x:c>
      <x:c r="AZ213" s="64" t="n">
        <x:f>-ROUND(AK213*'Drivers'!Y213,3)</x:f>
        <x:v>-16.283</x:v>
      </x:c>
      <x:c r="BA213" s="64" t="n">
        <x:f>-ROUND(AK213*'Drivers'!Z213,3)</x:f>
        <x:v>-6.118</x:v>
      </x:c>
      <x:c r="BB213" s="64" t="n">
        <x:f>-ROUND(AK213*'Drivers'!AA213,3)</x:f>
        <x:v>-5.049</x:v>
      </x:c>
      <x:c r="BC213" s="64" t="n">
        <x:f>SUM(BA213,BB213)</x:f>
        <x:v>-11.167000000000002</x:v>
      </x:c>
      <x:c r="BD213" s="64" t="n">
        <x:f>-ROUND(AK213*'Drivers'!AB213,3)</x:f>
        <x:v>-3.993</x:v>
      </x:c>
      <x:c r="BE213" s="64" t="n">
        <x:f>SUM(AX213:BB213,BD213)</x:f>
        <x:v>-55.404</x:v>
      </x:c>
      <x:c r="BF213" s="67" t="n">
        <x:f>'Drivers'!AF213</x:f>
        <x:v>8</x:v>
      </x:c>
      <x:c r="BG213" s="64" t="n">
        <x:f>BJ213</x:f>
        <x:v>-31.571</x:v>
      </x:c>
      <x:c r="BH213" s="64" t="n">
        <x:f>BE213/BF213</x:f>
        <x:v>-6.9255</x:v>
      </x:c>
      <x:c r="BI213" s="68" t="n">
        <x:f>BF213/L213</x:f>
        <x:v>2</x:v>
      </x:c>
      <x:c r="BJ213" s="64" t="n">
        <x:f>-ROUND(AK213*'Drivers'!AC213,3)</x:f>
        <x:v>-31.571</x:v>
      </x:c>
      <x:c r="BK213" s="64" t="n">
        <x:f>-ROUND(AK213*'Drivers'!AD213,3)</x:f>
        <x:v>-72.918</x:v>
      </x:c>
      <x:c r="BL213" s="64" t="n">
        <x:f>SUM(AV213,BE213,BJ213,BK213)</x:f>
        <x:v>151.90799999999987</x:v>
      </x:c>
      <x:c r="BM213" s="65" t="n">
        <x:f>BL213/AK213</x:f>
        <x:v>0.19764503831691785</x:v>
      </x:c>
      <x:c r="BN213" s="64" t="n">
        <x:f>-ROUND(AK213*'Drivers'!AE213,3)</x:f>
        <x:v>-139.414</x:v>
      </x:c>
      <x:c r="BO213" s="64" t="n">
        <x:f>BL213+BN213</x:f>
        <x:v>12.493999999999886</x:v>
      </x:c>
      <x:c r="BP213" s="65" t="n">
        <x:f>BO213/AK213</x:f>
        <x:v>0.016255741032279742</x:v>
      </x:c>
    </x:row>
    <x:row r="214">
      <x:c r="A214" s="61" t="n">
        <x:v>2025</x:v>
      </x:c>
      <x:c r="B214" s="18" t="str">
        <x:v>S1</x:v>
      </x:c>
      <x:c r="C214" s="18" t="str">
        <x:v>2025 S1</x:v>
      </x:c>
      <x:c r="D214" s="18" t="str">
        <x:v>CNCT0054</x:v>
      </x:c>
      <x:c r="E214" s="18" t="str">
        <x:v>重庆光环购物公园</x:v>
      </x:c>
      <x:c r="F214" s="18" t="str">
        <x:v>重庆</x:v>
      </x:c>
      <x:c r="G214" s="18" t="str">
        <x:v>重庆市</x:v>
      </x:c>
      <x:c r="H214" s="18" t="str">
        <x:v>西区</x:v>
      </x:c>
      <x:c r="I214" s="18" t="str">
        <x:v>Shopping Mall</x:v>
      </x:c>
      <x:c r="J214" s="18" t="str">
        <x:v>Regional Mall</x:v>
      </x:c>
      <x:c r="K214" s="18" t="str">
        <x:v>正常</x:v>
      </x:c>
      <x:c r="L214" s="62" t="n">
        <x:v>4</x:v>
      </x:c>
      <x:c r="M214" s="62" t="n">
        <x:v>42</x:v>
      </x:c>
      <x:c r="N214" s="63" t="n">
        <x:f>'Drivers'!C214</x:f>
        <x:v>1500</x:v>
      </x:c>
      <x:c r="O214" s="63" t="n">
        <x:f>'Drivers'!D214</x:f>
        <x:v>936.233</x:v>
      </x:c>
      <x:c r="P214" s="64" t="n">
        <x:f>ROUND(N214*O214/1000,3)</x:f>
        <x:v>1404.35</x:v>
      </x:c>
      <x:c r="Q214" s="64" t="n">
        <x:f>ROUND(P214*'Drivers'!E214,3)</x:f>
        <x:v>1359.827</x:v>
      </x:c>
      <x:c r="R214" s="64" t="n">
        <x:f>-ROUND(Q214*'Drivers'!F214,3)</x:f>
        <x:v>-234.063</x:v>
      </x:c>
      <x:c r="S214" s="65" t="n">
        <x:f>R214/Q214</x:f>
        <x:v>-0.17212704263115822</x:v>
      </x:c>
      <x:c r="T214" s="64" t="n">
        <x:f>-ROUND(Q214*'Drivers'!G214,3)</x:f>
        <x:v>-26.177</x:v>
      </x:c>
      <x:c r="U214" s="65" t="n">
        <x:f>T214/Q214</x:f>
        <x:v>-0.0192502428617758</x:v>
      </x:c>
      <x:c r="V214" s="64" t="n">
        <x:f>-ROUND(Q214*'Drivers'!H214,3)</x:f>
        <x:v>-14.253</x:v>
      </x:c>
      <x:c r="W214" s="64" t="n">
        <x:f>-ROUND(Q214*'Drivers'!I214,3)</x:f>
        <x:v>-9.513</x:v>
      </x:c>
      <x:c r="X214" s="64" t="n">
        <x:f>-ROUND(Q214*'Drivers'!J214,3)</x:f>
        <x:v>-15.63</x:v>
      </x:c>
      <x:c r="Y214" s="64" t="n">
        <x:f>-ROUND(Q214*'Drivers'!K214,3)</x:f>
        <x:v>-15.674</x:v>
      </x:c>
      <x:c r="Z214" s="64" t="n">
        <x:f>-ROUND(Q214*'Drivers'!L214,3)</x:f>
        <x:v>-13.296</x:v>
      </x:c>
      <x:c r="AA214" s="64" t="n">
        <x:f>-ROUND(Q214*'Drivers'!M214,3)</x:f>
        <x:v>-7.918</x:v>
      </x:c>
      <x:c r="AB214" s="64" t="n">
        <x:f>-ROUND(Q214*'Drivers'!N214,3)</x:f>
        <x:v>-9.356</x:v>
      </x:c>
      <x:c r="AC214" s="64" t="n">
        <x:f>SUM(V214:AB214)</x:f>
        <x:v>-85.64</x:v>
      </x:c>
      <x:c r="AD214" s="65" t="n">
        <x:f>AC214/Q214</x:f>
        <x:v>-0.06297859948361079</x:v>
      </x:c>
      <x:c r="AE214" s="64" t="n">
        <x:f>-ROUND(Q214*'Drivers'!O214,3)</x:f>
        <x:v>-14.52</x:v>
      </x:c>
      <x:c r="AF214" s="65" t="n">
        <x:f>AE214/Q214</x:f>
        <x:v>-0.010677828870878427</x:v>
      </x:c>
      <x:c r="AG214" s="64" t="n">
        <x:f>-ROUND(Q214*'Drivers'!P214,3)</x:f>
        <x:v>-1.217</x:v>
      </x:c>
      <x:c r="AH214" s="64" t="n">
        <x:f>-ROUND(Q214*'Drivers'!Q214,3)</x:f>
        <x:v>-1.844</x:v>
      </x:c>
      <x:c r="AI214" s="64" t="n">
        <x:f>SUM(R214,T214,AC214,AE214,AG214,AH214)</x:f>
        <x:v>-363.46099999999996</x:v>
      </x:c>
      <x:c r="AJ214" s="65" t="n">
        <x:f>AI214/Q214</x:f>
        <x:v>-0.2672847354847344</x:v>
      </x:c>
      <x:c r="AK214" s="64" t="n">
        <x:f>Q214+AI214</x:f>
        <x:v>996.366</x:v>
      </x:c>
      <x:c r="AL214" s="65" t="n">
        <x:f>AK214/Q214</x:f>
        <x:v>0.7327152645152656</x:v>
      </x:c>
      <x:c r="AM214" s="64" t="n">
        <x:f>AK214/L214</x:f>
        <x:v>249.0915</x:v>
      </x:c>
      <x:c r="AN214" s="66" t="str">
        <x:f>IF(AM214&lt;=200,"≤200K",IF(AM214&lt;=350,"200–350K",IF(AM214&lt;=500,"350–500K",IF(AM214&lt;=700,"500–700K","&gt;700K"))))</x:f>
        <x:v>200–350K</x:v>
      </x:c>
      <x:c r="AO214" s="64" t="n">
        <x:f>-ROUND(Q214*'Drivers'!R214,3)</x:f>
        <x:v>-514.606</x:v>
      </x:c>
      <x:c r="AP214" s="64" t="n">
        <x:f>-ROUND(AK214*'Drivers'!S214,3)</x:f>
        <x:v>-13.52</x:v>
      </x:c>
      <x:c r="AQ214" s="64" t="n">
        <x:f>-ROUND(AK214*'Drivers'!T214,3)</x:f>
        <x:v>-5.179</x:v>
      </x:c>
      <x:c r="AR214" s="64" t="n">
        <x:f>-ROUND(AK214*'Drivers'!U214,3)</x:f>
        <x:v>-12.283</x:v>
      </x:c>
      <x:c r="AS214" s="64" t="n">
        <x:f>-ROUND(AK214*'Drivers'!V214,3)</x:f>
        <x:v>-38.105</x:v>
      </x:c>
      <x:c r="AT214" s="64" t="n">
        <x:f>SUM(AO214:AS214)</x:f>
        <x:v>-583.693</x:v>
      </x:c>
      <x:c r="AU214" s="65" t="n">
        <x:f>AT214/AK214</x:f>
        <x:v>-0.5858218766999276</x:v>
      </x:c>
      <x:c r="AV214" s="64" t="n">
        <x:f>AK214+AT214</x:f>
        <x:v>412.673</x:v>
      </x:c>
      <x:c r="AW214" s="65" t="n">
        <x:f>AV214/AK214</x:f>
        <x:v>0.4141781233000725</x:v>
      </x:c>
      <x:c r="AX214" s="64" t="n">
        <x:f>-ROUND(AK214*'Drivers'!W214,3)</x:f>
        <x:v>-13.198</x:v>
      </x:c>
      <x:c r="AY214" s="64" t="n">
        <x:f>-ROUND(AK214*'Drivers'!X214,3)</x:f>
        <x:v>-23.896</x:v>
      </x:c>
      <x:c r="AZ214" s="64" t="n">
        <x:f>-ROUND(AK214*'Drivers'!Y214,3)</x:f>
        <x:v>-20.244</x:v>
      </x:c>
      <x:c r="BA214" s="64" t="n">
        <x:f>-ROUND(AK214*'Drivers'!Z214,3)</x:f>
        <x:v>-7.346</x:v>
      </x:c>
      <x:c r="BB214" s="64" t="n">
        <x:f>-ROUND(AK214*'Drivers'!AA214,3)</x:f>
        <x:v>-6.737</x:v>
      </x:c>
      <x:c r="BC214" s="64" t="n">
        <x:f>SUM(BA214,BB214)</x:f>
        <x:v>-14.083</x:v>
      </x:c>
      <x:c r="BD214" s="64" t="n">
        <x:f>-ROUND(AK214*'Drivers'!AB214,3)</x:f>
        <x:v>-6.019</x:v>
      </x:c>
      <x:c r="BE214" s="64" t="n">
        <x:f>SUM(AX214:BB214,BD214)</x:f>
        <x:v>-77.44</x:v>
      </x:c>
      <x:c r="BF214" s="67" t="n">
        <x:f>'Drivers'!AF214</x:f>
        <x:v>8</x:v>
      </x:c>
      <x:c r="BG214" s="64" t="n">
        <x:f>BJ214</x:f>
        <x:v>-18.811</x:v>
      </x:c>
      <x:c r="BH214" s="64" t="n">
        <x:f>BE214/BF214</x:f>
        <x:v>-9.68</x:v>
      </x:c>
      <x:c r="BI214" s="68" t="n">
        <x:f>BF214/L214</x:f>
        <x:v>2</x:v>
      </x:c>
      <x:c r="BJ214" s="64" t="n">
        <x:f>-ROUND(AK214*'Drivers'!AC214,3)</x:f>
        <x:v>-18.811</x:v>
      </x:c>
      <x:c r="BK214" s="64" t="n">
        <x:f>-ROUND(AK214*'Drivers'!AD214,3)</x:f>
        <x:v>-90.884</x:v>
      </x:c>
      <x:c r="BL214" s="64" t="n">
        <x:f>SUM(AV214,BE214,BJ214,BK214)</x:f>
        <x:v>225.538</x:v>
      </x:c>
      <x:c r="BM214" s="65" t="n">
        <x:f>BL214/AK214</x:f>
        <x:v>0.2263605944000498</x:v>
      </x:c>
      <x:c r="BN214" s="64" t="n">
        <x:f>-ROUND(AK214*'Drivers'!AE214,3)</x:f>
        <x:v>-85.527</x:v>
      </x:c>
      <x:c r="BO214" s="64" t="n">
        <x:f>BL214+BN214</x:f>
        <x:v>140.01100000000002</x:v>
      </x:c>
      <x:c r="BP214" s="65" t="n">
        <x:f>BO214/AK214</x:f>
        <x:v>0.1405216556968022</x:v>
      </x:c>
    </x:row>
    <x:row r="215">
      <x:c r="A215" s="61" t="n">
        <x:v>2025</x:v>
      </x:c>
      <x:c r="B215" s="18" t="str">
        <x:v>S2</x:v>
      </x:c>
      <x:c r="C215" s="18" t="str">
        <x:v>2025 S2</x:v>
      </x:c>
      <x:c r="D215" s="18" t="str">
        <x:v>CNCT0054</x:v>
      </x:c>
      <x:c r="E215" s="18" t="str">
        <x:v>重庆光环购物公园</x:v>
      </x:c>
      <x:c r="F215" s="18" t="str">
        <x:v>重庆</x:v>
      </x:c>
      <x:c r="G215" s="18" t="str">
        <x:v>重庆市</x:v>
      </x:c>
      <x:c r="H215" s="18" t="str">
        <x:v>西区</x:v>
      </x:c>
      <x:c r="I215" s="18" t="str">
        <x:v>Shopping Mall</x:v>
      </x:c>
      <x:c r="J215" s="18" t="str">
        <x:v>Regional Mall</x:v>
      </x:c>
      <x:c r="K215" s="18" t="str">
        <x:v>正常</x:v>
      </x:c>
      <x:c r="L215" s="62" t="n">
        <x:v>4</x:v>
      </x:c>
      <x:c r="M215" s="62" t="n">
        <x:v>42</x:v>
      </x:c>
      <x:c r="N215" s="63" t="n">
        <x:f>'Drivers'!C215</x:f>
        <x:v>1633</x:v>
      </x:c>
      <x:c r="O215" s="63" t="n">
        <x:f>'Drivers'!D215</x:f>
        <x:v>947.468</x:v>
      </x:c>
      <x:c r="P215" s="64" t="n">
        <x:f>ROUND(N215*O215/1000,3)</x:f>
        <x:v>1547.215</x:v>
      </x:c>
      <x:c r="Q215" s="64" t="n">
        <x:f>ROUND(P215*'Drivers'!E215,3)</x:f>
        <x:v>1514.604</x:v>
      </x:c>
      <x:c r="R215" s="64" t="n">
        <x:f>-ROUND(Q215*'Drivers'!F215,3)</x:f>
        <x:v>-260.704</x:v>
      </x:c>
      <x:c r="S215" s="65" t="n">
        <x:f>R215/Q215</x:f>
        <x:v>-0.1721268397548138</x:v>
      </x:c>
      <x:c r="T215" s="64" t="n">
        <x:f>-ROUND(Q215*'Drivers'!G215,3)</x:f>
        <x:v>-29.156</x:v>
      </x:c>
      <x:c r="U215" s="65" t="n">
        <x:f>T215/Q215</x:f>
        <x:v>-0.019249916149699856</x:v>
      </x:c>
      <x:c r="V215" s="64" t="n">
        <x:f>-ROUND(Q215*'Drivers'!H215,3)</x:f>
        <x:v>-15.875</x:v>
      </x:c>
      <x:c r="W215" s="64" t="n">
        <x:f>-ROUND(Q215*'Drivers'!I215,3)</x:f>
        <x:v>-10.596</x:v>
      </x:c>
      <x:c r="X215" s="64" t="n">
        <x:f>-ROUND(Q215*'Drivers'!J215,3)</x:f>
        <x:v>-17.409</x:v>
      </x:c>
      <x:c r="Y215" s="64" t="n">
        <x:f>-ROUND(Q215*'Drivers'!K215,3)</x:f>
        <x:v>-17.458</x:v>
      </x:c>
      <x:c r="Z215" s="64" t="n">
        <x:f>-ROUND(Q215*'Drivers'!L215,3)</x:f>
        <x:v>-14.809</x:v>
      </x:c>
      <x:c r="AA215" s="64" t="n">
        <x:f>-ROUND(Q215*'Drivers'!M215,3)</x:f>
        <x:v>-8.819</x:v>
      </x:c>
      <x:c r="AB215" s="64" t="n">
        <x:f>-ROUND(Q215*'Drivers'!N215,3)</x:f>
        <x:v>-10.421</x:v>
      </x:c>
      <x:c r="AC215" s="64" t="n">
        <x:f>SUM(V215:AB215)</x:f>
        <x:v>-95.387</x:v>
      </x:c>
      <x:c r="AD215" s="65" t="n">
        <x:f>AC215/Q215</x:f>
        <x:v>-0.06297817779432775</x:v>
      </x:c>
      <x:c r="AE215" s="64" t="n">
        <x:f>-ROUND(Q215*'Drivers'!O215,3)</x:f>
        <x:v>-16.173</x:v>
      </x:c>
      <x:c r="AF215" s="65" t="n">
        <x:f>AE215/Q215</x:f>
        <x:v>-0.010678038616034289</x:v>
      </x:c>
      <x:c r="AG215" s="64" t="n">
        <x:f>-ROUND(Q215*'Drivers'!P215,3)</x:f>
        <x:v>-1.355</x:v>
      </x:c>
      <x:c r="AH215" s="64" t="n">
        <x:f>-ROUND(Q215*'Drivers'!Q215,3)</x:f>
        <x:v>-2.054</x:v>
      </x:c>
      <x:c r="AI215" s="64" t="n">
        <x:f>SUM(R215,T215,AC215,AE215,AG215,AH215)</x:f>
        <x:v>-404.829</x:v>
      </x:c>
      <x:c r="AJ215" s="65" t="n">
        <x:f>AI215/Q215</x:f>
        <x:v>-0.26728372564709985</x:v>
      </x:c>
      <x:c r="AK215" s="64" t="n">
        <x:f>Q215+AI215</x:f>
        <x:v>1109.775</x:v>
      </x:c>
      <x:c r="AL215" s="65" t="n">
        <x:f>AK215/Q215</x:f>
        <x:v>0.7327162743529002</x:v>
      </x:c>
      <x:c r="AM215" s="64" t="n">
        <x:f>AK215/L215</x:f>
        <x:v>277.44375</x:v>
      </x:c>
      <x:c r="AN215" s="66" t="str">
        <x:f>IF(AM215&lt;=200,"≤200K",IF(AM215&lt;=350,"200–350K",IF(AM215&lt;=500,"350–500K",IF(AM215&lt;=700,"500–700K","&gt;700K"))))</x:f>
        <x:v>200–350K</x:v>
      </x:c>
      <x:c r="AO215" s="64" t="n">
        <x:f>-ROUND(Q215*'Drivers'!R215,3)</x:f>
        <x:v>-552.641</x:v>
      </x:c>
      <x:c r="AP215" s="64" t="n">
        <x:f>-ROUND(AK215*'Drivers'!S215,3)</x:f>
        <x:v>-15.059</x:v>
      </x:c>
      <x:c r="AQ215" s="64" t="n">
        <x:f>-ROUND(AK215*'Drivers'!T215,3)</x:f>
        <x:v>-5.769</x:v>
      </x:c>
      <x:c r="AR215" s="64" t="n">
        <x:f>-ROUND(AK215*'Drivers'!U215,3)</x:f>
        <x:v>-13.682</x:v>
      </x:c>
      <x:c r="AS215" s="64" t="n">
        <x:f>-ROUND(AK215*'Drivers'!V215,3)</x:f>
        <x:v>-42.442</x:v>
      </x:c>
      <x:c r="AT215" s="64" t="n">
        <x:f>SUM(AO215:AS215)</x:f>
        <x:v>-629.593</x:v>
      </x:c>
      <x:c r="AU215" s="65" t="n">
        <x:f>AT215/AK215</x:f>
        <x:v>-0.5673158973665833</x:v>
      </x:c>
      <x:c r="AV215" s="64" t="n">
        <x:f>AK215+AT215</x:f>
        <x:v>480.18200000000013</x:v>
      </x:c>
      <x:c r="AW215" s="65" t="n">
        <x:f>AV215/AK215</x:f>
        <x:v>0.4326841026334168</x:v>
      </x:c>
      <x:c r="AX215" s="64" t="n">
        <x:f>-ROUND(AK215*'Drivers'!W215,3)</x:f>
        <x:v>-14.701</x:v>
      </x:c>
      <x:c r="AY215" s="64" t="n">
        <x:f>-ROUND(AK215*'Drivers'!X215,3)</x:f>
        <x:v>-26.616</x:v>
      </x:c>
      <x:c r="AZ215" s="64" t="n">
        <x:f>-ROUND(AK215*'Drivers'!Y215,3)</x:f>
        <x:v>-22.548</x:v>
      </x:c>
      <x:c r="BA215" s="64" t="n">
        <x:f>-ROUND(AK215*'Drivers'!Z215,3)</x:f>
        <x:v>-8.182</x:v>
      </x:c>
      <x:c r="BB215" s="64" t="n">
        <x:f>-ROUND(AK215*'Drivers'!AA215,3)</x:f>
        <x:v>-7.503</x:v>
      </x:c>
      <x:c r="BC215" s="64" t="n">
        <x:f>SUM(BA215,BB215)</x:f>
        <x:v>-15.685</x:v>
      </x:c>
      <x:c r="BD215" s="64" t="n">
        <x:f>-ROUND(AK215*'Drivers'!AB215,3)</x:f>
        <x:v>-6.704</x:v>
      </x:c>
      <x:c r="BE215" s="64" t="n">
        <x:f>SUM(AX215:BB215,BD215)</x:f>
        <x:v>-86.25399999999999</x:v>
      </x:c>
      <x:c r="BF215" s="67" t="n">
        <x:f>'Drivers'!AF215</x:f>
        <x:v>8</x:v>
      </x:c>
      <x:c r="BG215" s="64" t="n">
        <x:f>BJ215</x:f>
        <x:v>-20.953</x:v>
      </x:c>
      <x:c r="BH215" s="64" t="n">
        <x:f>BE215/BF215</x:f>
        <x:v>-10.781749999999999</x:v>
      </x:c>
      <x:c r="BI215" s="68" t="n">
        <x:f>BF215/L215</x:f>
        <x:v>2</x:v>
      </x:c>
      <x:c r="BJ215" s="64" t="n">
        <x:f>-ROUND(AK215*'Drivers'!AC215,3)</x:f>
        <x:v>-20.953</x:v>
      </x:c>
      <x:c r="BK215" s="64" t="n">
        <x:f>-ROUND(AK215*'Drivers'!AD215,3)</x:f>
        <x:v>-101.229</x:v>
      </x:c>
      <x:c r="BL215" s="64" t="n">
        <x:f>SUM(AV215,BE215,BJ215,BK215)</x:f>
        <x:v>271.74600000000015</x:v>
      </x:c>
      <x:c r="BM215" s="65" t="n">
        <x:f>BL215/AK215</x:f>
        <x:v>0.24486585118605134</x:v>
      </x:c>
      <x:c r="BN215" s="64" t="n">
        <x:f>-ROUND(AK215*'Drivers'!AE215,3)</x:f>
        <x:v>-95.262</x:v>
      </x:c>
      <x:c r="BO215" s="64" t="n">
        <x:f>BL215+BN215</x:f>
        <x:v>176.48400000000015</x:v>
      </x:c>
      <x:c r="BP215" s="65" t="n">
        <x:f>BO215/AK215</x:f>
        <x:v>0.15902682976278987</x:v>
      </x:c>
    </x:row>
    <x:row r="216">
      <x:c r="A216" s="61" t="n">
        <x:v>2026</x:v>
      </x:c>
      <x:c r="B216" s="18" t="str">
        <x:v>S1</x:v>
      </x:c>
      <x:c r="C216" s="18" t="str">
        <x:v>2026 S1</x:v>
      </x:c>
      <x:c r="D216" s="18" t="str">
        <x:v>CNCT0054</x:v>
      </x:c>
      <x:c r="E216" s="18" t="str">
        <x:v>重庆光环购物公园</x:v>
      </x:c>
      <x:c r="F216" s="18" t="str">
        <x:v>重庆</x:v>
      </x:c>
      <x:c r="G216" s="18" t="str">
        <x:v>重庆市</x:v>
      </x:c>
      <x:c r="H216" s="18" t="str">
        <x:v>西区</x:v>
      </x:c>
      <x:c r="I216" s="18" t="str">
        <x:v>Shopping Mall</x:v>
      </x:c>
      <x:c r="J216" s="18" t="str">
        <x:v>Regional Mall</x:v>
      </x:c>
      <x:c r="K216" s="18" t="str">
        <x:v>正常</x:v>
      </x:c>
      <x:c r="L216" s="62" t="n">
        <x:v>4</x:v>
      </x:c>
      <x:c r="M216" s="62" t="n">
        <x:v>42</x:v>
      </x:c>
      <x:c r="N216" s="63" t="n">
        <x:f>'Drivers'!C216</x:f>
        <x:v>1577</x:v>
      </x:c>
      <x:c r="O216" s="63" t="n">
        <x:f>'Drivers'!D216</x:f>
        <x:v>972.003</x:v>
      </x:c>
      <x:c r="P216" s="64" t="n">
        <x:f>ROUND(N216*O216/1000,3)</x:f>
        <x:v>1532.849</x:v>
      </x:c>
      <x:c r="Q216" s="64" t="n">
        <x:f>ROUND(P216*'Drivers'!E216,3)</x:f>
        <x:v>1482.333</x:v>
      </x:c>
      <x:c r="R216" s="64" t="n">
        <x:f>-ROUND(Q216*'Drivers'!F216,3)</x:f>
        <x:v>-254.502</x:v>
      </x:c>
      <x:c r="S216" s="65" t="n">
        <x:f>R216/Q216</x:f>
        <x:v>-0.1716901667843865</x:v>
      </x:c>
      <x:c r="T216" s="64" t="n">
        <x:f>-ROUND(Q216*'Drivers'!G216,3)</x:f>
        <x:v>-28.797</x:v>
      </x:c>
      <x:c r="U216" s="65" t="n">
        <x:f>T216/Q216</x:f>
        <x:v>-0.01942680895588238</x:v>
      </x:c>
      <x:c r="V216" s="64" t="n">
        <x:f>-ROUND(Q216*'Drivers'!H216,3)</x:f>
        <x:v>-15.537</x:v>
      </x:c>
      <x:c r="W216" s="64" t="n">
        <x:f>-ROUND(Q216*'Drivers'!I216,3)</x:f>
        <x:v>-10.371</x:v>
      </x:c>
      <x:c r="X216" s="64" t="n">
        <x:f>-ROUND(Q216*'Drivers'!J216,3)</x:f>
        <x:v>-17.038</x:v>
      </x:c>
      <x:c r="Y216" s="64" t="n">
        <x:f>-ROUND(Q216*'Drivers'!K216,3)</x:f>
        <x:v>-17.087</x:v>
      </x:c>
      <x:c r="Z216" s="64" t="n">
        <x:f>-ROUND(Q216*'Drivers'!L216,3)</x:f>
        <x:v>-14.494</x:v>
      </x:c>
      <x:c r="AA216" s="64" t="n">
        <x:f>-ROUND(Q216*'Drivers'!M216,3)</x:f>
        <x:v>-8.631</x:v>
      </x:c>
      <x:c r="AB216" s="64" t="n">
        <x:f>-ROUND(Q216*'Drivers'!N216,3)</x:f>
        <x:v>-10.199</x:v>
      </x:c>
      <x:c r="AC216" s="64" t="n">
        <x:f>SUM(V216:AB216)</x:f>
        <x:v>-93.357</x:v>
      </x:c>
      <x:c r="AD216" s="65" t="n">
        <x:f>AC216/Q216</x:f>
        <x:v>-0.06297977579936491</x:v>
      </x:c>
      <x:c r="AE216" s="64" t="n">
        <x:f>-ROUND(Q216*'Drivers'!O216,3)</x:f>
        <x:v>-17.481</x:v>
      </x:c>
      <x:c r="AF216" s="65" t="n">
        <x:f>AE216/Q216</x:f>
        <x:v>-0.011792896737777545</x:v>
      </x:c>
      <x:c r="AG216" s="64" t="n">
        <x:f>-ROUND(Q216*'Drivers'!P216,3)</x:f>
        <x:v>-1.327</x:v>
      </x:c>
      <x:c r="AH216" s="64" t="n">
        <x:f>-ROUND(Q216*'Drivers'!Q216,3)</x:f>
        <x:v>-2.01</x:v>
      </x:c>
      <x:c r="AI216" s="64" t="n">
        <x:f>SUM(R216,T216,AC216,AE216,AG216,AH216)</x:f>
        <x:v>-397.47400000000005</x:v>
      </x:c>
      <x:c r="AJ216" s="65" t="n">
        <x:f>AI216/Q216</x:f>
        <x:v>-0.2681408293548076</x:v>
      </x:c>
      <x:c r="AK216" s="64" t="n">
        <x:f>Q216+AI216</x:f>
        <x:v>1084.859</x:v>
      </x:c>
      <x:c r="AL216" s="65" t="n">
        <x:f>AK216/Q216</x:f>
        <x:v>0.7318591706451923</x:v>
      </x:c>
      <x:c r="AM216" s="64" t="n">
        <x:f>AK216/L216</x:f>
        <x:v>271.21475</x:v>
      </x:c>
      <x:c r="AN216" s="66" t="str">
        <x:f>IF(AM216&lt;=200,"≤200K",IF(AM216&lt;=350,"200–350K",IF(AM216&lt;=500,"350–500K",IF(AM216&lt;=700,"500–700K","&gt;700K"))))</x:f>
        <x:v>200–350K</x:v>
      </x:c>
      <x:c r="AO216" s="64" t="n">
        <x:f>-ROUND(Q216*'Drivers'!R216,3)</x:f>
        <x:v>-552.282</x:v>
      </x:c>
      <x:c r="AP216" s="64" t="n">
        <x:f>-ROUND(AK216*'Drivers'!S216,3)</x:f>
        <x:v>-14.721</x:v>
      </x:c>
      <x:c r="AQ216" s="64" t="n">
        <x:f>-ROUND(AK216*'Drivers'!T216,3)</x:f>
        <x:v>-5.639</x:v>
      </x:c>
      <x:c r="AR216" s="64" t="n">
        <x:f>-ROUND(AK216*'Drivers'!U216,3)</x:f>
        <x:v>-13.374</x:v>
      </x:c>
      <x:c r="AS216" s="64" t="n">
        <x:f>-ROUND(AK216*'Drivers'!V216,3)</x:f>
        <x:v>-41.49</x:v>
      </x:c>
      <x:c r="AT216" s="64" t="n">
        <x:f>SUM(AO216:AS216)</x:f>
        <x:v>-627.5060000000001</x:v>
      </x:c>
      <x:c r="AU216" s="65" t="n">
        <x:f>AT216/AK216</x:f>
        <x:v>-0.5784217119459765</x:v>
      </x:c>
      <x:c r="AV216" s="64" t="n">
        <x:f>AK216+AT216</x:f>
        <x:v>457.35299999999984</x:v>
      </x:c>
      <x:c r="AW216" s="65" t="n">
        <x:f>AV216/AK216</x:f>
        <x:v>0.4215782880540235</x:v>
      </x:c>
      <x:c r="AX216" s="64" t="n">
        <x:f>-ROUND(AK216*'Drivers'!W216,3)</x:f>
        <x:v>-17.682</x:v>
      </x:c>
      <x:c r="AY216" s="64" t="n">
        <x:f>-ROUND(AK216*'Drivers'!X216,3)</x:f>
        <x:v>-32.014</x:v>
      </x:c>
      <x:c r="AZ216" s="64" t="n">
        <x:f>-ROUND(AK216*'Drivers'!Y216,3)</x:f>
        <x:v>-27.121</x:v>
      </x:c>
      <x:c r="BA216" s="64" t="n">
        <x:f>-ROUND(AK216*'Drivers'!Z216,3)</x:f>
        <x:v>-9.841</x:v>
      </x:c>
      <x:c r="BB216" s="64" t="n">
        <x:f>-ROUND(AK216*'Drivers'!AA216,3)</x:f>
        <x:v>-9.025</x:v>
      </x:c>
      <x:c r="BC216" s="64" t="n">
        <x:f>SUM(BA216,BB216)</x:f>
        <x:v>-18.866</x:v>
      </x:c>
      <x:c r="BD216" s="64" t="n">
        <x:f>-ROUND(AK216*'Drivers'!AB216,3)</x:f>
        <x:v>-8.064</x:v>
      </x:c>
      <x:c r="BE216" s="64" t="n">
        <x:f>SUM(AX216:BB216,BD216)</x:f>
        <x:v>-103.74699999999999</x:v>
      </x:c>
      <x:c r="BF216" s="67" t="n">
        <x:f>'Drivers'!AF216</x:f>
        <x:v>8</x:v>
      </x:c>
      <x:c r="BG216" s="64" t="n">
        <x:f>BJ216</x:f>
        <x:v>-25.202</x:v>
      </x:c>
      <x:c r="BH216" s="64" t="n">
        <x:f>BE216/BF216</x:f>
        <x:v>-12.968374999999998</x:v>
      </x:c>
      <x:c r="BI216" s="68" t="n">
        <x:f>BF216/L216</x:f>
        <x:v>2</x:v>
      </x:c>
      <x:c r="BJ216" s="64" t="n">
        <x:f>-ROUND(AK216*'Drivers'!AC216,3)</x:f>
        <x:v>-25.202</x:v>
      </x:c>
      <x:c r="BK216" s="64" t="n">
        <x:f>-ROUND(AK216*'Drivers'!AD216,3)</x:f>
        <x:v>-98.956</x:v>
      </x:c>
      <x:c r="BL216" s="64" t="n">
        <x:f>SUM(AV216,BE216,BJ216,BK216)</x:f>
        <x:v>229.44799999999987</x:v>
      </x:c>
      <x:c r="BM216" s="65" t="n">
        <x:f>BL216/AK216</x:f>
        <x:v>0.21150029635187603</x:v>
      </x:c>
      <x:c r="BN216" s="64" t="n">
        <x:f>-ROUND(AK216*'Drivers'!AE216,3)</x:f>
        <x:v>-93.123</x:v>
      </x:c>
      <x:c r="BO216" s="64" t="n">
        <x:f>BL216+BN216</x:f>
        <x:v>136.32499999999987</x:v>
      </x:c>
      <x:c r="BP216" s="65" t="n">
        <x:f>BO216/AK216</x:f>
        <x:v>0.12566149149336447</x:v>
      </x:c>
    </x:row>
    <x:row r="217">
      <x:c r="A217" s="61" t="n">
        <x:v>2026</x:v>
      </x:c>
      <x:c r="B217" s="18" t="str">
        <x:v>S2</x:v>
      </x:c>
      <x:c r="C217" s="18" t="str">
        <x:v>2026 S2</x:v>
      </x:c>
      <x:c r="D217" s="18" t="str">
        <x:v>CNCT0054</x:v>
      </x:c>
      <x:c r="E217" s="18" t="str">
        <x:v>重庆光环购物公园</x:v>
      </x:c>
      <x:c r="F217" s="18" t="str">
        <x:v>重庆</x:v>
      </x:c>
      <x:c r="G217" s="18" t="str">
        <x:v>重庆市</x:v>
      </x:c>
      <x:c r="H217" s="18" t="str">
        <x:v>西区</x:v>
      </x:c>
      <x:c r="I217" s="18" t="str">
        <x:v>Shopping Mall</x:v>
      </x:c>
      <x:c r="J217" s="18" t="str">
        <x:v>Regional Mall</x:v>
      </x:c>
      <x:c r="K217" s="18" t="str">
        <x:v>正常</x:v>
      </x:c>
      <x:c r="L217" s="62" t="n">
        <x:v>4</x:v>
      </x:c>
      <x:c r="M217" s="62" t="n">
        <x:v>42</x:v>
      </x:c>
      <x:c r="N217" s="63" t="n">
        <x:f>'Drivers'!C217</x:f>
        <x:v>1704</x:v>
      </x:c>
      <x:c r="O217" s="63" t="n">
        <x:f>'Drivers'!D217</x:f>
        <x:v>986.816</x:v>
      </x:c>
      <x:c r="P217" s="64" t="n">
        <x:f>ROUND(N217*O217/1000,3)</x:f>
        <x:v>1681.534</x:v>
      </x:c>
      <x:c r="Q217" s="64" t="n">
        <x:f>ROUND(P217*'Drivers'!E217,3)</x:f>
        <x:v>1646.092</x:v>
      </x:c>
      <x:c r="R217" s="64" t="n">
        <x:f>-ROUND(Q217*'Drivers'!F217,3)</x:f>
        <x:v>-272.066</x:v>
      </x:c>
      <x:c r="S217" s="65" t="n">
        <x:f>R217/Q217</x:f>
        <x:v>-0.16527994790084635</x:v>
      </x:c>
      <x:c r="T217" s="64" t="n">
        <x:f>-ROUND(Q217*'Drivers'!G217,3)</x:f>
        <x:v>-34.673</x:v>
      </x:c>
      <x:c r="U217" s="65" t="n">
        <x:f>T217/Q217</x:f>
        <x:v>-0.02106382875319241</x:v>
      </x:c>
      <x:c r="V217" s="64" t="n">
        <x:f>-ROUND(Q217*'Drivers'!H217,3)</x:f>
        <x:v>-17.253</x:v>
      </x:c>
      <x:c r="W217" s="64" t="n">
        <x:f>-ROUND(Q217*'Drivers'!I217,3)</x:f>
        <x:v>-11.516</x:v>
      </x:c>
      <x:c r="X217" s="64" t="n">
        <x:f>-ROUND(Q217*'Drivers'!J217,3)</x:f>
        <x:v>-18.92</x:v>
      </x:c>
      <x:c r="Y217" s="64" t="n">
        <x:f>-ROUND(Q217*'Drivers'!K217,3)</x:f>
        <x:v>-18.974</x:v>
      </x:c>
      <x:c r="Z217" s="64" t="n">
        <x:f>-ROUND(Q217*'Drivers'!L217,3)</x:f>
        <x:v>-16.095</x:v>
      </x:c>
      <x:c r="AA217" s="64" t="n">
        <x:f>-ROUND(Q217*'Drivers'!M217,3)</x:f>
        <x:v>-9.585</x:v>
      </x:c>
      <x:c r="AB217" s="64" t="n">
        <x:f>-ROUND(Q217*'Drivers'!N217,3)</x:f>
        <x:v>-11.326</x:v>
      </x:c>
      <x:c r="AC217" s="64" t="n">
        <x:f>SUM(V217:AB217)</x:f>
        <x:v>-103.66899999999998</x:v>
      </x:c>
      <x:c r="AD217" s="65" t="n">
        <x:f>AC217/Q217</x:f>
        <x:v>-0.0629788614488133</x:v>
      </x:c>
      <x:c r="AE217" s="64" t="n">
        <x:f>-ROUND(Q217*'Drivers'!O217,3)</x:f>
        <x:v>-17.577</x:v>
      </x:c>
      <x:c r="AF217" s="65" t="n">
        <x:f>AE217/Q217</x:f>
        <x:v>-0.010678017996563984</x:v>
      </x:c>
      <x:c r="AG217" s="64" t="n">
        <x:f>-ROUND(Q217*'Drivers'!P217,3)</x:f>
        <x:v>-1.473</x:v>
      </x:c>
      <x:c r="AH217" s="64" t="n">
        <x:f>-ROUND(Q217*'Drivers'!Q217,3)</x:f>
        <x:v>-2.232</x:v>
      </x:c>
      <x:c r="AI217" s="64" t="n">
        <x:f>SUM(R217,T217,AC217,AE217,AG217,AH217)</x:f>
        <x:v>-431.69</x:v>
      </x:c>
      <x:c r="AJ217" s="65" t="n">
        <x:f>AI217/Q217</x:f>
        <x:v>-0.26225144159621694</x:v>
      </x:c>
      <x:c r="AK217" s="64" t="n">
        <x:f>Q217+AI217</x:f>
        <x:v>1214.402</x:v>
      </x:c>
      <x:c r="AL217" s="65" t="n">
        <x:f>AK217/Q217</x:f>
        <x:v>0.737748558403783</x:v>
      </x:c>
      <x:c r="AM217" s="64" t="n">
        <x:f>AK217/L217</x:f>
        <x:v>303.6005</x:v>
      </x:c>
      <x:c r="AN217" s="66" t="str">
        <x:f>IF(AM217&lt;=200,"≤200K",IF(AM217&lt;=350,"200–350K",IF(AM217&lt;=500,"350–500K",IF(AM217&lt;=700,"500–700K","&gt;700K"))))</x:f>
        <x:v>200–350K</x:v>
      </x:c>
      <x:c r="AO217" s="64" t="n">
        <x:f>-ROUND(Q217*'Drivers'!R217,3)</x:f>
        <x:v>-604.993</x:v>
      </x:c>
      <x:c r="AP217" s="64" t="n">
        <x:f>-ROUND(AK217*'Drivers'!S217,3)</x:f>
        <x:v>-16.479</x:v>
      </x:c>
      <x:c r="AQ217" s="64" t="n">
        <x:f>-ROUND(AK217*'Drivers'!T217,3)</x:f>
        <x:v>-6.313</x:v>
      </x:c>
      <x:c r="AR217" s="64" t="n">
        <x:f>-ROUND(AK217*'Drivers'!U217,3)</x:f>
        <x:v>-14.971</x:v>
      </x:c>
      <x:c r="AS217" s="64" t="n">
        <x:f>-ROUND(AK217*'Drivers'!V217,3)</x:f>
        <x:v>-46.444</x:v>
      </x:c>
      <x:c r="AT217" s="64" t="n">
        <x:f>SUM(AO217:AS217)</x:f>
        <x:v>-689.2</x:v>
      </x:c>
      <x:c r="AU217" s="65" t="n">
        <x:f>AT217/AK217</x:f>
        <x:v>-0.5675221219991403</x:v>
      </x:c>
      <x:c r="AV217" s="64" t="n">
        <x:f>AK217+AT217</x:f>
        <x:v>525.202</x:v>
      </x:c>
      <x:c r="AW217" s="65" t="n">
        <x:f>AV217/AK217</x:f>
        <x:v>0.4324778780008597</x:v>
      </x:c>
      <x:c r="AX217" s="64" t="n">
        <x:f>-ROUND(AK217*'Drivers'!W217,3)</x:f>
        <x:v>-17.052</x:v>
      </x:c>
      <x:c r="AY217" s="64" t="n">
        <x:f>-ROUND(AK217*'Drivers'!X217,3)</x:f>
        <x:v>-30.873</x:v>
      </x:c>
      <x:c r="AZ217" s="64" t="n">
        <x:f>-ROUND(AK217*'Drivers'!Y217,3)</x:f>
        <x:v>-26.154</x:v>
      </x:c>
      <x:c r="BA217" s="64" t="n">
        <x:f>-ROUND(AK217*'Drivers'!Z217,3)</x:f>
        <x:v>-9.49</x:v>
      </x:c>
      <x:c r="BB217" s="64" t="n">
        <x:f>-ROUND(AK217*'Drivers'!AA217,3)</x:f>
        <x:v>-8.703</x:v>
      </x:c>
      <x:c r="BC217" s="64" t="n">
        <x:f>SUM(BA217,BB217)</x:f>
        <x:v>-18.192999999999998</x:v>
      </x:c>
      <x:c r="BD217" s="64" t="n">
        <x:f>-ROUND(AK217*'Drivers'!AB217,3)</x:f>
        <x:v>-7.776</x:v>
      </x:c>
      <x:c r="BE217" s="64" t="n">
        <x:f>SUM(AX217:BB217,BD217)</x:f>
        <x:v>-100.04799999999999</x:v>
      </x:c>
      <x:c r="BF217" s="67" t="n">
        <x:f>'Drivers'!AF217</x:f>
        <x:v>8</x:v>
      </x:c>
      <x:c r="BG217" s="64" t="n">
        <x:f>BJ217</x:f>
        <x:v>-24.304</x:v>
      </x:c>
      <x:c r="BH217" s="64" t="n">
        <x:f>BE217/BF217</x:f>
        <x:v>-12.505999999999998</x:v>
      </x:c>
      <x:c r="BI217" s="68" t="n">
        <x:f>BF217/L217</x:f>
        <x:v>2</x:v>
      </x:c>
      <x:c r="BJ217" s="64" t="n">
        <x:f>-ROUND(AK217*'Drivers'!AC217,3)</x:f>
        <x:v>-24.304</x:v>
      </x:c>
      <x:c r="BK217" s="64" t="n">
        <x:f>-ROUND(AK217*'Drivers'!AD217,3)</x:f>
        <x:v>-110.773</x:v>
      </x:c>
      <x:c r="BL217" s="64" t="n">
        <x:f>SUM(AV217,BE217,BJ217,BK217)</x:f>
        <x:v>290.077</x:v>
      </x:c>
      <x:c r="BM217" s="65" t="n">
        <x:f>BL217/AK217</x:f>
        <x:v>0.2388640664294031</x:v>
      </x:c>
      <x:c r="BN217" s="64" t="n">
        <x:f>-ROUND(AK217*'Drivers'!AE217,3)</x:f>
        <x:v>-104.243</x:v>
      </x:c>
      <x:c r="BO217" s="64" t="n">
        <x:f>BL217+BN217</x:f>
        <x:v>185.834</x:v>
      </x:c>
      <x:c r="BP217" s="65" t="n">
        <x:f>BO217/AK217</x:f>
        <x:v>0.15302511030120175</x:v>
      </x:c>
    </x:row>
    <x:row r="218">
      <x:c r="A218" s="61" t="n">
        <x:v>2025</x:v>
      </x:c>
      <x:c r="B218" s="18" t="str">
        <x:v>S1</x:v>
      </x:c>
      <x:c r="C218" s="18" t="str">
        <x:v>2025 S1</x:v>
      </x:c>
      <x:c r="D218" s="18" t="str">
        <x:v>CNCT0055</x:v>
      </x:c>
      <x:c r="E218" s="18" t="str">
        <x:v>武汉武商MALL</x:v>
      </x:c>
      <x:c r="F218" s="18" t="str">
        <x:v>武汉</x:v>
      </x:c>
      <x:c r="G218" s="18" t="str">
        <x:v>湖北省</x:v>
      </x:c>
      <x:c r="H218" s="18" t="str">
        <x:v>南区</x:v>
      </x:c>
      <x:c r="I218" s="18" t="str">
        <x:v>Shopping Mall</x:v>
      </x:c>
      <x:c r="J218" s="18" t="str">
        <x:v>Core Shopping Center</x:v>
      </x:c>
      <x:c r="K218" s="18" t="str">
        <x:v>正常</x:v>
      </x:c>
      <x:c r="L218" s="62" t="n">
        <x:v>6</x:v>
      </x:c>
      <x:c r="M218" s="62" t="n">
        <x:v>46</x:v>
      </x:c>
      <x:c r="N218" s="63" t="n">
        <x:f>'Drivers'!C218</x:f>
        <x:v>2261</x:v>
      </x:c>
      <x:c r="O218" s="63" t="n">
        <x:f>'Drivers'!D218</x:f>
        <x:v>1073.224</x:v>
      </x:c>
      <x:c r="P218" s="64" t="n">
        <x:f>ROUND(N218*O218/1000,3)</x:f>
        <x:v>2426.559</x:v>
      </x:c>
      <x:c r="Q218" s="64" t="n">
        <x:f>ROUND(P218*'Drivers'!E218,3)</x:f>
        <x:v>2341.345</x:v>
      </x:c>
      <x:c r="R218" s="64" t="n">
        <x:f>-ROUND(Q218*'Drivers'!F218,3)</x:f>
        <x:v>-405.346</x:v>
      </x:c>
      <x:c r="S218" s="65" t="n">
        <x:f>R218/Q218</x:f>
        <x:v>-0.17312527628350372</x:v>
      </x:c>
      <x:c r="T218" s="64" t="n">
        <x:f>-ROUND(Q218*'Drivers'!G218,3)</x:f>
        <x:v>-46.238</x:v>
      </x:c>
      <x:c r="U218" s="65" t="n">
        <x:f>T218/Q218</x:f>
        <x:v>-0.019748477904794042</x:v>
      </x:c>
      <x:c r="V218" s="64" t="n">
        <x:f>-ROUND(Q218*'Drivers'!H218,3)</x:f>
        <x:v>-23.679</x:v>
      </x:c>
      <x:c r="W218" s="64" t="n">
        <x:f>-ROUND(Q218*'Drivers'!I218,3)</x:f>
        <x:v>-13.812</x:v>
      </x:c>
      <x:c r="X218" s="64" t="n">
        <x:f>-ROUND(Q218*'Drivers'!J218,3)</x:f>
        <x:v>-29.224</x:v>
      </x:c>
      <x:c r="Y218" s="64" t="n">
        <x:f>-ROUND(Q218*'Drivers'!K218,3)</x:f>
        <x:v>-23.301</x:v>
      </x:c>
      <x:c r="Z218" s="64" t="n">
        <x:f>-ROUND(Q218*'Drivers'!L218,3)</x:f>
        <x:v>-20.388</x:v>
      </x:c>
      <x:c r="AA218" s="64" t="n">
        <x:f>-ROUND(Q218*'Drivers'!M218,3)</x:f>
        <x:v>-22.879</x:v>
      </x:c>
      <x:c r="AB218" s="64" t="n">
        <x:f>-ROUND(Q218*'Drivers'!N218,3)</x:f>
        <x:v>-20.52</x:v>
      </x:c>
      <x:c r="AC218" s="64" t="n">
        <x:f>SUM(V218:AB218)</x:f>
        <x:v>-153.80300000000003</x:v>
      </x:c>
      <x:c r="AD218" s="65" t="n">
        <x:f>AC218/Q218</x:f>
        <x:v>-0.06569002005257664</x:v>
      </x:c>
      <x:c r="AE218" s="64" t="n">
        <x:f>-ROUND(Q218*'Drivers'!O218,3)</x:f>
        <x:v>-34.012</x:v>
      </x:c>
      <x:c r="AF218" s="65" t="n">
        <x:f>AE218/Q218</x:f>
        <x:v>-0.01452669299056739</x:v>
      </x:c>
      <x:c r="AG218" s="64" t="n">
        <x:f>-ROUND(Q218*'Drivers'!P218,3)</x:f>
        <x:v>-5.094</x:v>
      </x:c>
      <x:c r="AH218" s="64" t="n">
        <x:f>-ROUND(Q218*'Drivers'!Q218,3)</x:f>
        <x:v>-13.864</x:v>
      </x:c>
      <x:c r="AI218" s="64" t="n">
        <x:f>SUM(R218,T218,AC218,AE218,AG218,AH218)</x:f>
        <x:v>-658.3570000000002</x:v>
      </x:c>
      <x:c r="AJ218" s="65" t="n">
        <x:f>AI218/Q218</x:f>
        <x:v>-0.2811875225564794</x:v>
      </x:c>
      <x:c r="AK218" s="64" t="n">
        <x:f>Q218+AI218</x:f>
        <x:v>1682.9879999999996</x:v>
      </x:c>
      <x:c r="AL218" s="65" t="n">
        <x:f>AK218/Q218</x:f>
        <x:v>0.7188124774435206</x:v>
      </x:c>
      <x:c r="AM218" s="64" t="n">
        <x:f>AK218/L218</x:f>
        <x:v>280.49799999999993</x:v>
      </x:c>
      <x:c r="AN218" s="66" t="str">
        <x:f>IF(AM218&lt;=200,"≤200K",IF(AM218&lt;=350,"200–350K",IF(AM218&lt;=500,"350–500K",IF(AM218&lt;=700,"500–700K","&gt;700K"))))</x:f>
        <x:v>200–350K</x:v>
      </x:c>
      <x:c r="AO218" s="64" t="n">
        <x:f>-ROUND(Q218*'Drivers'!R218,3)</x:f>
        <x:v>-883.695</x:v>
      </x:c>
      <x:c r="AP218" s="64" t="n">
        <x:f>-ROUND(AK218*'Drivers'!S218,3)</x:f>
        <x:v>-19.986</x:v>
      </x:c>
      <x:c r="AQ218" s="64" t="n">
        <x:f>-ROUND(AK218*'Drivers'!T218,3)</x:f>
        <x:v>-9.754</x:v>
      </x:c>
      <x:c r="AR218" s="64" t="n">
        <x:f>-ROUND(AK218*'Drivers'!U218,3)</x:f>
        <x:v>-9.934</x:v>
      </x:c>
      <x:c r="AS218" s="64" t="n">
        <x:f>-ROUND(AK218*'Drivers'!V218,3)</x:f>
        <x:v>-61.959</x:v>
      </x:c>
      <x:c r="AT218" s="64" t="n">
        <x:f>SUM(AO218:AS218)</x:f>
        <x:v>-985.328</x:v>
      </x:c>
      <x:c r="AU218" s="65" t="n">
        <x:f>AT218/AK218</x:f>
        <x:v>-0.5854634732986808</x:v>
      </x:c>
      <x:c r="AV218" s="64" t="n">
        <x:f>AK218+AT218</x:f>
        <x:v>697.6599999999996</x:v>
      </x:c>
      <x:c r="AW218" s="65" t="n">
        <x:f>AV218/AK218</x:f>
        <x:v>0.4145365267013192</x:v>
      </x:c>
      <x:c r="AX218" s="64" t="n">
        <x:f>-ROUND(AK218*'Drivers'!W218,3)</x:f>
        <x:v>-16.281</x:v>
      </x:c>
      <x:c r="AY218" s="64" t="n">
        <x:f>-ROUND(AK218*'Drivers'!X218,3)</x:f>
        <x:v>-36.344</x:v>
      </x:c>
      <x:c r="AZ218" s="64" t="n">
        <x:f>-ROUND(AK218*'Drivers'!Y218,3)</x:f>
        <x:v>-27.636</x:v>
      </x:c>
      <x:c r="BA218" s="64" t="n">
        <x:f>-ROUND(AK218*'Drivers'!Z218,3)</x:f>
        <x:v>-9.48</x:v>
      </x:c>
      <x:c r="BB218" s="64" t="n">
        <x:f>-ROUND(AK218*'Drivers'!AA218,3)</x:f>
        <x:v>-12.366</x:v>
      </x:c>
      <x:c r="BC218" s="64" t="n">
        <x:f>SUM(BA218,BB218)</x:f>
        <x:v>-21.846</x:v>
      </x:c>
      <x:c r="BD218" s="64" t="n">
        <x:f>-ROUND(AK218*'Drivers'!AB218,3)</x:f>
        <x:v>-9.707</x:v>
      </x:c>
      <x:c r="BE218" s="64" t="n">
        <x:f>SUM(AX218:BB218,BD218)</x:f>
        <x:v>-111.814</x:v>
      </x:c>
      <x:c r="BF218" s="67" t="n">
        <x:f>'Drivers'!AF218</x:f>
        <x:v>12</x:v>
      </x:c>
      <x:c r="BG218" s="64" t="n">
        <x:f>BJ218</x:f>
        <x:v>-44.806</x:v>
      </x:c>
      <x:c r="BH218" s="64" t="n">
        <x:f>BE218/BF218</x:f>
        <x:v>-9.317833333333333</x:v>
      </x:c>
      <x:c r="BI218" s="68" t="n">
        <x:f>BF218/L218</x:f>
        <x:v>2</x:v>
      </x:c>
      <x:c r="BJ218" s="64" t="n">
        <x:f>-ROUND(AK218*'Drivers'!AC218,3)</x:f>
        <x:v>-44.806</x:v>
      </x:c>
      <x:c r="BK218" s="64" t="n">
        <x:f>-ROUND(AK218*'Drivers'!AD218,3)</x:f>
        <x:v>-189.878</x:v>
      </x:c>
      <x:c r="BL218" s="64" t="n">
        <x:f>SUM(AV218,BE218,BJ218,BK218)</x:f>
        <x:v>351.16199999999964</x:v>
      </x:c>
      <x:c r="BM218" s="65" t="n">
        <x:f>BL218/AK218</x:f>
        <x:v>0.20865389414541263</x:v>
      </x:c>
      <x:c r="BN218" s="64" t="n">
        <x:f>-ROUND(AK218*'Drivers'!AE218,3)</x:f>
        <x:v>-134.257</x:v>
      </x:c>
      <x:c r="BO218" s="64" t="n">
        <x:f>BL218+BN218</x:f>
        <x:v>216.90499999999963</x:v>
      </x:c>
      <x:c r="BP218" s="65" t="n">
        <x:f>BO218/AK218</x:f>
        <x:v>0.12888089516978118</x:v>
      </x:c>
    </x:row>
    <x:row r="219">
      <x:c r="A219" s="61" t="n">
        <x:v>2025</x:v>
      </x:c>
      <x:c r="B219" s="18" t="str">
        <x:v>S2</x:v>
      </x:c>
      <x:c r="C219" s="18" t="str">
        <x:v>2025 S2</x:v>
      </x:c>
      <x:c r="D219" s="18" t="str">
        <x:v>CNCT0055</x:v>
      </x:c>
      <x:c r="E219" s="18" t="str">
        <x:v>武汉武商MALL</x:v>
      </x:c>
      <x:c r="F219" s="18" t="str">
        <x:v>武汉</x:v>
      </x:c>
      <x:c r="G219" s="18" t="str">
        <x:v>湖北省</x:v>
      </x:c>
      <x:c r="H219" s="18" t="str">
        <x:v>南区</x:v>
      </x:c>
      <x:c r="I219" s="18" t="str">
        <x:v>Shopping Mall</x:v>
      </x:c>
      <x:c r="J219" s="18" t="str">
        <x:v>Core Shopping Center</x:v>
      </x:c>
      <x:c r="K219" s="18" t="str">
        <x:v>正常</x:v>
      </x:c>
      <x:c r="L219" s="62" t="n">
        <x:v>6</x:v>
      </x:c>
      <x:c r="M219" s="62" t="n">
        <x:v>46</x:v>
      </x:c>
      <x:c r="N219" s="63" t="n">
        <x:f>'Drivers'!C219</x:f>
        <x:v>2410</x:v>
      </x:c>
      <x:c r="O219" s="63" t="n">
        <x:f>'Drivers'!D219</x:f>
        <x:v>1086.102</x:v>
      </x:c>
      <x:c r="P219" s="64" t="n">
        <x:f>ROUND(N219*O219/1000,3)</x:f>
        <x:v>2617.506</x:v>
      </x:c>
      <x:c r="Q219" s="64" t="n">
        <x:f>ROUND(P219*'Drivers'!E219,3)</x:f>
        <x:v>2516.595</x:v>
      </x:c>
      <x:c r="R219" s="64" t="n">
        <x:f>-ROUND(Q219*'Drivers'!F219,3)</x:f>
        <x:v>-435.686</x:v>
      </x:c>
      <x:c r="S219" s="65" t="n">
        <x:f>R219/Q219</x:f>
        <x:v>-0.17312519495588286</x:v>
      </x:c>
      <x:c r="T219" s="64" t="n">
        <x:f>-ROUND(Q219*'Drivers'!G219,3)</x:f>
        <x:v>-49.699</x:v>
      </x:c>
      <x:c r="U219" s="65" t="n">
        <x:f>T219/Q219</x:f>
        <x:v>-0.019748509394638392</x:v>
      </x:c>
      <x:c r="V219" s="64" t="n">
        <x:f>-ROUND(Q219*'Drivers'!H219,3)</x:f>
        <x:v>-25.451</x:v>
      </x:c>
      <x:c r="W219" s="64" t="n">
        <x:f>-ROUND(Q219*'Drivers'!I219,3)</x:f>
        <x:v>-14.846</x:v>
      </x:c>
      <x:c r="X219" s="64" t="n">
        <x:f>-ROUND(Q219*'Drivers'!J219,3)</x:f>
        <x:v>-31.411</x:v>
      </x:c>
      <x:c r="Y219" s="64" t="n">
        <x:f>-ROUND(Q219*'Drivers'!K219,3)</x:f>
        <x:v>-25.045</x:v>
      </x:c>
      <x:c r="Z219" s="64" t="n">
        <x:f>-ROUND(Q219*'Drivers'!L219,3)</x:f>
        <x:v>-21.914</x:v>
      </x:c>
      <x:c r="AA219" s="64" t="n">
        <x:f>-ROUND(Q219*'Drivers'!M219,3)</x:f>
        <x:v>-24.592</x:v>
      </x:c>
      <x:c r="AB219" s="64" t="n">
        <x:f>-ROUND(Q219*'Drivers'!N219,3)</x:f>
        <x:v>-22.056</x:v>
      </x:c>
      <x:c r="AC219" s="64" t="n">
        <x:f>SUM(V219:AB219)</x:f>
        <x:v>-165.31500000000003</x:v>
      </x:c>
      <x:c r="AD219" s="65" t="n">
        <x:f>AC219/Q219</x:f>
        <x:v>-0.06568995011116212</x:v>
      </x:c>
      <x:c r="AE219" s="64" t="n">
        <x:f>-ROUND(Q219*'Drivers'!O219,3)</x:f>
        <x:v>-36.558</x:v>
      </x:c>
      <x:c r="AF219" s="65" t="n">
        <x:f>AE219/Q219</x:f>
        <x:v>-0.014526771292162625</x:v>
      </x:c>
      <x:c r="AG219" s="64" t="n">
        <x:f>-ROUND(Q219*'Drivers'!P219,3)</x:f>
        <x:v>-5.475</x:v>
      </x:c>
      <x:c r="AH219" s="64" t="n">
        <x:f>-ROUND(Q219*'Drivers'!Q219,3)</x:f>
        <x:v>-14.902</x:v>
      </x:c>
      <x:c r="AI219" s="64" t="n">
        <x:f>SUM(R219,T219,AC219,AE219,AG219,AH219)</x:f>
        <x:v>-707.6350000000001</x:v>
      </x:c>
      <x:c r="AJ219" s="65" t="n">
        <x:f>AI219/Q219</x:f>
        <x:v>-0.2811874775241945</x:v>
      </x:c>
      <x:c r="AK219" s="64" t="n">
        <x:f>Q219+AI219</x:f>
        <x:v>1808.9599999999996</x:v>
      </x:c>
      <x:c r="AL219" s="65" t="n">
        <x:f>AK219/Q219</x:f>
        <x:v>0.7188125224758055</x:v>
      </x:c>
      <x:c r="AM219" s="64" t="n">
        <x:f>AK219/L219</x:f>
        <x:v>301.4933333333333</x:v>
      </x:c>
      <x:c r="AN219" s="66" t="str">
        <x:f>IF(AM219&lt;=200,"≤200K",IF(AM219&lt;=350,"200–350K",IF(AM219&lt;=500,"350–500K",IF(AM219&lt;=700,"500–700K","&gt;700K"))))</x:f>
        <x:v>200–350K</x:v>
      </x:c>
      <x:c r="AO219" s="64" t="n">
        <x:f>-ROUND(Q219*'Drivers'!R219,3)</x:f>
        <x:v>-930.223</x:v>
      </x:c>
      <x:c r="AP219" s="64" t="n">
        <x:f>-ROUND(AK219*'Drivers'!S219,3)</x:f>
        <x:v>-21.482</x:v>
      </x:c>
      <x:c r="AQ219" s="64" t="n">
        <x:f>-ROUND(AK219*'Drivers'!T219,3)</x:f>
        <x:v>-10.485</x:v>
      </x:c>
      <x:c r="AR219" s="64" t="n">
        <x:f>-ROUND(AK219*'Drivers'!U219,3)</x:f>
        <x:v>-10.678</x:v>
      </x:c>
      <x:c r="AS219" s="64" t="n">
        <x:f>-ROUND(AK219*'Drivers'!V219,3)</x:f>
        <x:v>-66.597</x:v>
      </x:c>
      <x:c r="AT219" s="64" t="n">
        <x:f>SUM(AO219:AS219)</x:f>
        <x:v>-1039.465</x:v>
      </x:c>
      <x:c r="AU219" s="65" t="n">
        <x:f>AT219/AK219</x:f>
        <x:v>-0.5746202237749868</x:v>
      </x:c>
      <x:c r="AV219" s="64" t="n">
        <x:f>AK219+AT219</x:f>
        <x:v>769.4949999999997</x:v>
      </x:c>
      <x:c r="AW219" s="65" t="n">
        <x:f>AV219/AK219</x:f>
        <x:v>0.42537977622501316</x:v>
      </x:c>
      <x:c r="AX219" s="64" t="n">
        <x:f>-ROUND(AK219*'Drivers'!W219,3)</x:f>
        <x:v>-17.499</x:v>
      </x:c>
      <x:c r="AY219" s="64" t="n">
        <x:f>-ROUND(AK219*'Drivers'!X219,3)</x:f>
        <x:v>-39.065</x:v>
      </x:c>
      <x:c r="AZ219" s="64" t="n">
        <x:f>-ROUND(AK219*'Drivers'!Y219,3)</x:f>
        <x:v>-29.705</x:v>
      </x:c>
      <x:c r="BA219" s="64" t="n">
        <x:f>-ROUND(AK219*'Drivers'!Z219,3)</x:f>
        <x:v>-10.189</x:v>
      </x:c>
      <x:c r="BB219" s="64" t="n">
        <x:f>-ROUND(AK219*'Drivers'!AA219,3)</x:f>
        <x:v>-13.292</x:v>
      </x:c>
      <x:c r="BC219" s="64" t="n">
        <x:f>SUM(BA219,BB219)</x:f>
        <x:v>-23.481</x:v>
      </x:c>
      <x:c r="BD219" s="64" t="n">
        <x:f>-ROUND(AK219*'Drivers'!AB219,3)</x:f>
        <x:v>-10.434</x:v>
      </x:c>
      <x:c r="BE219" s="64" t="n">
        <x:f>SUM(AX219:BB219,BD219)</x:f>
        <x:v>-120.184</x:v>
      </x:c>
      <x:c r="BF219" s="67" t="n">
        <x:f>'Drivers'!AF219</x:f>
        <x:v>12</x:v>
      </x:c>
      <x:c r="BG219" s="64" t="n">
        <x:f>BJ219</x:f>
        <x:v>-48.16</x:v>
      </x:c>
      <x:c r="BH219" s="64" t="n">
        <x:f>BE219/BF219</x:f>
        <x:v>-10.015333333333333</x:v>
      </x:c>
      <x:c r="BI219" s="68" t="n">
        <x:f>BF219/L219</x:f>
        <x:v>2</x:v>
      </x:c>
      <x:c r="BJ219" s="64" t="n">
        <x:f>-ROUND(AK219*'Drivers'!AC219,3)</x:f>
        <x:v>-48.16</x:v>
      </x:c>
      <x:c r="BK219" s="64" t="n">
        <x:f>-ROUND(AK219*'Drivers'!AD219,3)</x:f>
        <x:v>-204.091</x:v>
      </x:c>
      <x:c r="BL219" s="64" t="n">
        <x:f>SUM(AV219,BE219,BJ219,BK219)</x:f>
        <x:v>397.0599999999997</x:v>
      </x:c>
      <x:c r="BM219" s="65" t="n">
        <x:f>BL219/AK219</x:f>
        <x:v>0.2194962851583229</x:v>
      </x:c>
      <x:c r="BN219" s="64" t="n">
        <x:f>-ROUND(AK219*'Drivers'!AE219,3)</x:f>
        <x:v>-144.306</x:v>
      </x:c>
      <x:c r="BO219" s="64" t="n">
        <x:f>BL219+BN219</x:f>
        <x:v>252.7539999999997</x:v>
      </x:c>
      <x:c r="BP219" s="65" t="n">
        <x:f>BO219/AK219</x:f>
        <x:v>0.13972337696798148</x:v>
      </x:c>
    </x:row>
    <x:row r="220">
      <x:c r="A220" s="61" t="n">
        <x:v>2026</x:v>
      </x:c>
      <x:c r="B220" s="18" t="str">
        <x:v>S1</x:v>
      </x:c>
      <x:c r="C220" s="18" t="str">
        <x:v>2026 S1</x:v>
      </x:c>
      <x:c r="D220" s="18" t="str">
        <x:v>CNCT0055</x:v>
      </x:c>
      <x:c r="E220" s="18" t="str">
        <x:v>武汉武商MALL</x:v>
      </x:c>
      <x:c r="F220" s="18" t="str">
        <x:v>武汉</x:v>
      </x:c>
      <x:c r="G220" s="18" t="str">
        <x:v>湖北省</x:v>
      </x:c>
      <x:c r="H220" s="18" t="str">
        <x:v>南区</x:v>
      </x:c>
      <x:c r="I220" s="18" t="str">
        <x:v>Shopping Mall</x:v>
      </x:c>
      <x:c r="J220" s="18" t="str">
        <x:v>Core Shopping Center</x:v>
      </x:c>
      <x:c r="K220" s="18" t="str">
        <x:v>正常</x:v>
      </x:c>
      <x:c r="L220" s="62" t="n">
        <x:v>7</x:v>
      </x:c>
      <x:c r="M220" s="62" t="n">
        <x:v>50</x:v>
      </x:c>
      <x:c r="N220" s="63" t="n">
        <x:f>'Drivers'!C220</x:f>
        <x:v>2604</x:v>
      </x:c>
      <x:c r="O220" s="63" t="n">
        <x:f>'Drivers'!D220</x:f>
        <x:v>1111.438</x:v>
      </x:c>
      <x:c r="P220" s="64" t="n">
        <x:f>ROUND(N220*O220/1000,3)</x:f>
        <x:v>2894.185</x:v>
      </x:c>
      <x:c r="Q220" s="64" t="n">
        <x:f>ROUND(P220*'Drivers'!E220,3)</x:f>
        <x:v>2793.399</x:v>
      </x:c>
      <x:c r="R220" s="64" t="n">
        <x:f>-ROUND(Q220*'Drivers'!F220,3)</x:f>
        <x:v>-496.572</x:v>
      </x:c>
      <x:c r="S220" s="65" t="n">
        <x:f>R220/Q220</x:f>
        <x:v>-0.17776622673667458</x:v>
      </x:c>
      <x:c r="T220" s="64" t="n">
        <x:f>-ROUND(Q220*'Drivers'!G220,3)</x:f>
        <x:v>-49.866</x:v>
      </x:c>
      <x:c r="U220" s="65" t="n">
        <x:f>T220/Q220</x:f>
        <x:v>-0.017851370319814677</x:v>
      </x:c>
      <x:c r="V220" s="64" t="n">
        <x:f>-ROUND(Q220*'Drivers'!H220,3)</x:f>
        <x:v>-28.25</x:v>
      </x:c>
      <x:c r="W220" s="64" t="n">
        <x:f>-ROUND(Q220*'Drivers'!I220,3)</x:f>
        <x:v>-16.479</x:v>
      </x:c>
      <x:c r="X220" s="64" t="n">
        <x:f>-ROUND(Q220*'Drivers'!J220,3)</x:f>
        <x:v>-34.866</x:v>
      </x:c>
      <x:c r="Y220" s="64" t="n">
        <x:f>-ROUND(Q220*'Drivers'!K220,3)</x:f>
        <x:v>-27.799</x:v>
      </x:c>
      <x:c r="Z220" s="64" t="n">
        <x:f>-ROUND(Q220*'Drivers'!L220,3)</x:f>
        <x:v>-24.324</x:v>
      </x:c>
      <x:c r="AA220" s="64" t="n">
        <x:f>-ROUND(Q220*'Drivers'!M220,3)</x:f>
        <x:v>-27.297</x:v>
      </x:c>
      <x:c r="AB220" s="64" t="n">
        <x:f>-ROUND(Q220*'Drivers'!N220,3)</x:f>
        <x:v>-24.482</x:v>
      </x:c>
      <x:c r="AC220" s="64" t="n">
        <x:f>SUM(V220:AB220)</x:f>
        <x:v>-183.497</x:v>
      </x:c>
      <x:c r="AD220" s="65" t="n">
        <x:f>AC220/Q220</x:f>
        <x:v>-0.06568950586722484</x:v>
      </x:c>
      <x:c r="AE220" s="64" t="n">
        <x:f>-ROUND(Q220*'Drivers'!O220,3)</x:f>
        <x:v>-35.397</x:v>
      </x:c>
      <x:c r="AF220" s="65" t="n">
        <x:f>AE220/Q220</x:f>
        <x:v>-0.012671659150733568</x:v>
      </x:c>
      <x:c r="AG220" s="64" t="n">
        <x:f>-ROUND(Q220*'Drivers'!P220,3)</x:f>
        <x:v>-6.078</x:v>
      </x:c>
      <x:c r="AH220" s="64" t="n">
        <x:f>-ROUND(Q220*'Drivers'!Q220,3)</x:f>
        <x:v>-16.541</x:v>
      </x:c>
      <x:c r="AI220" s="64" t="n">
        <x:f>SUM(R220,T220,AC220,AE220,AG220,AH220)</x:f>
        <x:v>-787.951</x:v>
      </x:c>
      <x:c r="AJ220" s="65" t="n">
        <x:f>AI220/Q220</x:f>
        <x:v>-0.2820760657535855</x:v>
      </x:c>
      <x:c r="AK220" s="64" t="n">
        <x:f>Q220+AI220</x:f>
        <x:v>2005.4479999999999</x:v>
      </x:c>
      <x:c r="AL220" s="65" t="n">
        <x:f>AK220/Q220</x:f>
        <x:v>0.7179239342464144</x:v>
      </x:c>
      <x:c r="AM220" s="64" t="n">
        <x:f>AK220/L220</x:f>
        <x:v>286.4925714285714</x:v>
      </x:c>
      <x:c r="AN220" s="66" t="str">
        <x:f>IF(AM220&lt;=200,"≤200K",IF(AM220&lt;=350,"200–350K",IF(AM220&lt;=500,"350–500K",IF(AM220&lt;=700,"500–700K","&gt;700K"))))</x:f>
        <x:v>200–350K</x:v>
      </x:c>
      <x:c r="AO220" s="64" t="n">
        <x:f>-ROUND(Q220*'Drivers'!R220,3)</x:f>
        <x:v>-1041.85</x:v>
      </x:c>
      <x:c r="AP220" s="64" t="n">
        <x:f>-ROUND(AK220*'Drivers'!S220,3)</x:f>
        <x:v>-23.815</x:v>
      </x:c>
      <x:c r="AQ220" s="64" t="n">
        <x:f>-ROUND(AK220*'Drivers'!T220,3)</x:f>
        <x:v>-11.623</x:v>
      </x:c>
      <x:c r="AR220" s="64" t="n">
        <x:f>-ROUND(AK220*'Drivers'!U220,3)</x:f>
        <x:v>-11.837</x:v>
      </x:c>
      <x:c r="AS220" s="64" t="n">
        <x:f>-ROUND(AK220*'Drivers'!V220,3)</x:f>
        <x:v>-73.83</x:v>
      </x:c>
      <x:c r="AT220" s="64" t="n">
        <x:f>SUM(AO220:AS220)</x:f>
        <x:v>-1162.955</x:v>
      </x:c>
      <x:c r="AU220" s="65" t="n">
        <x:f>AT220/AK220</x:f>
        <x:v>-0.5798978582341702</x:v>
      </x:c>
      <x:c r="AV220" s="64" t="n">
        <x:f>AK220+AT220</x:f>
        <x:v>842.4929999999999</x:v>
      </x:c>
      <x:c r="AW220" s="65" t="n">
        <x:f>AV220/AK220</x:f>
        <x:v>0.4201021417658299</x:v>
      </x:c>
      <x:c r="AX220" s="64" t="n">
        <x:f>-ROUND(AK220*'Drivers'!W220,3)</x:f>
        <x:v>-18.624</x:v>
      </x:c>
      <x:c r="AY220" s="64" t="n">
        <x:f>-ROUND(AK220*'Drivers'!X220,3)</x:f>
        <x:v>-41.575</x:v>
      </x:c>
      <x:c r="AZ220" s="64" t="n">
        <x:f>-ROUND(AK220*'Drivers'!Y220,3)</x:f>
        <x:v>-31.614</x:v>
      </x:c>
      <x:c r="BA220" s="64" t="n">
        <x:f>-ROUND(AK220*'Drivers'!Z220,3)</x:f>
        <x:v>-10.844</x:v>
      </x:c>
      <x:c r="BB220" s="64" t="n">
        <x:f>-ROUND(AK220*'Drivers'!AA220,3)</x:f>
        <x:v>-14.146</x:v>
      </x:c>
      <x:c r="BC220" s="64" t="n">
        <x:f>SUM(BA220,BB220)</x:f>
        <x:v>-24.990000000000002</x:v>
      </x:c>
      <x:c r="BD220" s="64" t="n">
        <x:f>-ROUND(AK220*'Drivers'!AB220,3)</x:f>
        <x:v>-11.105</x:v>
      </x:c>
      <x:c r="BE220" s="64" t="n">
        <x:f>SUM(AX220:BB220,BD220)</x:f>
        <x:v>-127.908</x:v>
      </x:c>
      <x:c r="BF220" s="67" t="n">
        <x:f>'Drivers'!AF220</x:f>
        <x:v>12</x:v>
      </x:c>
      <x:c r="BG220" s="64" t="n">
        <x:f>BJ220</x:f>
        <x:v>-51.255</x:v>
      </x:c>
      <x:c r="BH220" s="64" t="n">
        <x:f>BE220/BF220</x:f>
        <x:v>-10.659</x:v>
      </x:c>
      <x:c r="BI220" s="68" t="n">
        <x:f>BF220/L220</x:f>
        <x:v>1.7142857142857142</x:v>
      </x:c>
      <x:c r="BJ220" s="64" t="n">
        <x:f>-ROUND(AK220*'Drivers'!AC220,3)</x:f>
        <x:v>-51.255</x:v>
      </x:c>
      <x:c r="BK220" s="64" t="n">
        <x:f>-ROUND(AK220*'Drivers'!AD220,3)</x:f>
        <x:v>-217.208</x:v>
      </x:c>
      <x:c r="BL220" s="64" t="n">
        <x:f>SUM(AV220,BE220,BJ220,BK220)</x:f>
        <x:v>446.12199999999996</x:v>
      </x:c>
      <x:c r="BM220" s="65" t="n">
        <x:f>BL220/AK220</x:f>
        <x:v>0.22245503249149318</x:v>
      </x:c>
      <x:c r="BN220" s="64" t="n">
        <x:f>-ROUND(AK220*'Drivers'!AE220,3)</x:f>
        <x:v>-159.981</x:v>
      </x:c>
      <x:c r="BO220" s="64" t="n">
        <x:f>BL220+BN220</x:f>
        <x:v>286.14099999999996</x:v>
      </x:c>
      <x:c r="BP220" s="65" t="n">
        <x:f>BO220/AK220</x:f>
        <x:v>0.14268183468232534</x:v>
      </x:c>
    </x:row>
    <x:row r="221">
      <x:c r="A221" s="61" t="n">
        <x:v>2026</x:v>
      </x:c>
      <x:c r="B221" s="18" t="str">
        <x:v>S2</x:v>
      </x:c>
      <x:c r="C221" s="18" t="str">
        <x:v>2026 S2</x:v>
      </x:c>
      <x:c r="D221" s="18" t="str">
        <x:v>CNCT0055</x:v>
      </x:c>
      <x:c r="E221" s="18" t="str">
        <x:v>武汉武商MALL</x:v>
      </x:c>
      <x:c r="F221" s="18" t="str">
        <x:v>武汉</x:v>
      </x:c>
      <x:c r="G221" s="18" t="str">
        <x:v>湖北省</x:v>
      </x:c>
      <x:c r="H221" s="18" t="str">
        <x:v>南区</x:v>
      </x:c>
      <x:c r="I221" s="18" t="str">
        <x:v>Shopping Mall</x:v>
      </x:c>
      <x:c r="J221" s="18" t="str">
        <x:v>Core Shopping Center</x:v>
      </x:c>
      <x:c r="K221" s="18" t="str">
        <x:v>正常</x:v>
      </x:c>
      <x:c r="L221" s="62" t="n">
        <x:v>7</x:v>
      </x:c>
      <x:c r="M221" s="62" t="n">
        <x:v>50</x:v>
      </x:c>
      <x:c r="N221" s="63" t="n">
        <x:f>'Drivers'!C221</x:f>
        <x:v>2635</x:v>
      </x:c>
      <x:c r="O221" s="63" t="n">
        <x:f>'Drivers'!D221</x:f>
        <x:v>1131.214</x:v>
      </x:c>
      <x:c r="P221" s="64" t="n">
        <x:f>ROUND(N221*O221/1000,3)</x:f>
        <x:v>2980.749</x:v>
      </x:c>
      <x:c r="Q221" s="64" t="n">
        <x:f>ROUND(P221*'Drivers'!E221,3)</x:f>
        <x:v>2865.834</x:v>
      </x:c>
      <x:c r="R221" s="64" t="n">
        <x:f>-ROUND(Q221*'Drivers'!F221,3)</x:f>
        <x:v>-491.217</x:v>
      </x:c>
      <x:c r="S221" s="65" t="n">
        <x:f>R221/Q221</x:f>
        <x:v>-0.17140455448570993</x:v>
      </x:c>
      <x:c r="T221" s="64" t="n">
        <x:f>-ROUND(Q221*'Drivers'!G221,3)</x:f>
        <x:v>-58.749</x:v>
      </x:c>
      <x:c r="U221" s="65" t="n">
        <x:f>T221/Q221</x:f>
        <x:v>-0.020499791683677424</x:v>
      </x:c>
      <x:c r="V221" s="64" t="n">
        <x:f>-ROUND(Q221*'Drivers'!H221,3)</x:f>
        <x:v>-28.983</x:v>
      </x:c>
      <x:c r="W221" s="64" t="n">
        <x:f>-ROUND(Q221*'Drivers'!I221,3)</x:f>
        <x:v>-16.907</x:v>
      </x:c>
      <x:c r="X221" s="64" t="n">
        <x:f>-ROUND(Q221*'Drivers'!J221,3)</x:f>
        <x:v>-35.77</x:v>
      </x:c>
      <x:c r="Y221" s="64" t="n">
        <x:f>-ROUND(Q221*'Drivers'!K221,3)</x:f>
        <x:v>-28.52</x:v>
      </x:c>
      <x:c r="Z221" s="64" t="n">
        <x:f>-ROUND(Q221*'Drivers'!L221,3)</x:f>
        <x:v>-24.955</x:v>
      </x:c>
      <x:c r="AA221" s="64" t="n">
        <x:f>-ROUND(Q221*'Drivers'!M221,3)</x:f>
        <x:v>-28.005</x:v>
      </x:c>
      <x:c r="AB221" s="64" t="n">
        <x:f>-ROUND(Q221*'Drivers'!N221,3)</x:f>
        <x:v>-25.117</x:v>
      </x:c>
      <x:c r="AC221" s="64" t="n">
        <x:f>SUM(V221:AB221)</x:f>
        <x:v>-188.25699999999998</x:v>
      </x:c>
      <x:c r="AD221" s="65" t="n">
        <x:f>AC221/Q221</x:f>
        <x:v>-0.06569012720206403</x:v>
      </x:c>
      <x:c r="AE221" s="64" t="n">
        <x:f>-ROUND(Q221*'Drivers'!O221,3)</x:f>
        <x:v>-41.631</x:v>
      </x:c>
      <x:c r="AF221" s="65" t="n">
        <x:f>AE221/Q221</x:f>
        <x:v>-0.014526661348842956</x:v>
      </x:c>
      <x:c r="AG221" s="64" t="n">
        <x:f>-ROUND(Q221*'Drivers'!P221,3)</x:f>
        <x:v>-6.235</x:v>
      </x:c>
      <x:c r="AH221" s="64" t="n">
        <x:f>-ROUND(Q221*'Drivers'!Q221,3)</x:f>
        <x:v>-16.97</x:v>
      </x:c>
      <x:c r="AI221" s="64" t="n">
        <x:f>SUM(R221,T221,AC221,AE221,AG221,AH221)</x:f>
        <x:v>-803.059</x:v>
      </x:c>
      <x:c r="AJ221" s="65" t="n">
        <x:f>AI221/Q221</x:f>
        <x:v>-0.2802182540928749</x:v>
      </x:c>
      <x:c r="AK221" s="64" t="n">
        <x:f>Q221+AI221</x:f>
        <x:v>2062.7749999999996</x:v>
      </x:c>
      <x:c r="AL221" s="65" t="n">
        <x:f>AK221/Q221</x:f>
        <x:v>0.7197817459071251</x:v>
      </x:c>
      <x:c r="AM221" s="64" t="n">
        <x:f>AK221/L221</x:f>
        <x:v>294.6821428571428</x:v>
      </x:c>
      <x:c r="AN221" s="66" t="str">
        <x:f>IF(AM221&lt;=200,"≤200K",IF(AM221&lt;=350,"200–350K",IF(AM221&lt;=500,"350–500K",IF(AM221&lt;=700,"500–700K","&gt;700K"))))</x:f>
        <x:v>200–350K</x:v>
      </x:c>
      <x:c r="AO221" s="64" t="n">
        <x:f>-ROUND(Q221*'Drivers'!R221,3)</x:f>
        <x:v>-1068.286</x:v>
      </x:c>
      <x:c r="AP221" s="64" t="n">
        <x:f>-ROUND(AK221*'Drivers'!S221,3)</x:f>
        <x:v>-24.496</x:v>
      </x:c>
      <x:c r="AQ221" s="64" t="n">
        <x:f>-ROUND(AK221*'Drivers'!T221,3)</x:f>
        <x:v>-11.956</x:v>
      </x:c>
      <x:c r="AR221" s="64" t="n">
        <x:f>-ROUND(AK221*'Drivers'!U221,3)</x:f>
        <x:v>-12.176</x:v>
      </x:c>
      <x:c r="AS221" s="64" t="n">
        <x:f>-ROUND(AK221*'Drivers'!V221,3)</x:f>
        <x:v>-75.941</x:v>
      </x:c>
      <x:c r="AT221" s="64" t="n">
        <x:f>SUM(AO221:AS221)</x:f>
        <x:v>-1192.855</x:v>
      </x:c>
      <x:c r="AU221" s="65" t="n">
        <x:f>AT221/AK221</x:f>
        <x:v>-0.5782768358158308</x:v>
      </x:c>
      <x:c r="AV221" s="64" t="n">
        <x:f>AK221+AT221</x:f>
        <x:v>869.9199999999996</x:v>
      </x:c>
      <x:c r="AW221" s="65" t="n">
        <x:f>AV221/AK221</x:f>
        <x:v>0.4217231641841693</x:v>
      </x:c>
      <x:c r="AX221" s="64" t="n">
        <x:f>-ROUND(AK221*'Drivers'!W221,3)</x:f>
        <x:v>-20.094</x:v>
      </x:c>
      <x:c r="AY221" s="64" t="n">
        <x:f>-ROUND(AK221*'Drivers'!X221,3)</x:f>
        <x:v>-44.858</x:v>
      </x:c>
      <x:c r="AZ221" s="64" t="n">
        <x:f>-ROUND(AK221*'Drivers'!Y221,3)</x:f>
        <x:v>-34.11</x:v>
      </x:c>
      <x:c r="BA221" s="64" t="n">
        <x:f>-ROUND(AK221*'Drivers'!Z221,3)</x:f>
        <x:v>-11.7</x:v>
      </x:c>
      <x:c r="BB221" s="64" t="n">
        <x:f>-ROUND(AK221*'Drivers'!AA221,3)</x:f>
        <x:v>-15.263</x:v>
      </x:c>
      <x:c r="BC221" s="64" t="n">
        <x:f>SUM(BA221,BB221)</x:f>
        <x:v>-26.963</x:v>
      </x:c>
      <x:c r="BD221" s="64" t="n">
        <x:f>-ROUND(AK221*'Drivers'!AB221,3)</x:f>
        <x:v>-11.981</x:v>
      </x:c>
      <x:c r="BE221" s="64" t="n">
        <x:f>SUM(AX221:BB221,BD221)</x:f>
        <x:v>-138.006</x:v>
      </x:c>
      <x:c r="BF221" s="67" t="n">
        <x:f>'Drivers'!AF221</x:f>
        <x:v>12</x:v>
      </x:c>
      <x:c r="BG221" s="64" t="n">
        <x:f>BJ221</x:f>
        <x:v>-55.302</x:v>
      </x:c>
      <x:c r="BH221" s="64" t="n">
        <x:f>BE221/BF221</x:f>
        <x:v>-11.5005</x:v>
      </x:c>
      <x:c r="BI221" s="68" t="n">
        <x:f>BF221/L221</x:f>
        <x:v>1.7142857142857142</x:v>
      </x:c>
      <x:c r="BJ221" s="64" t="n">
        <x:f>-ROUND(AK221*'Drivers'!AC221,3)</x:f>
        <x:v>-55.302</x:v>
      </x:c>
      <x:c r="BK221" s="64" t="n">
        <x:f>-ROUND(AK221*'Drivers'!AD221,3)</x:f>
        <x:v>-232.727</x:v>
      </x:c>
      <x:c r="BL221" s="64" t="n">
        <x:f>SUM(AV221,BE221,BJ221,BK221)</x:f>
        <x:v>443.88499999999965</x:v>
      </x:c>
      <x:c r="BM221" s="65" t="n">
        <x:f>BL221/AK221</x:f>
        <x:v>0.21518827792657935</x:v>
      </x:c>
      <x:c r="BN221" s="64" t="n">
        <x:f>-ROUND(AK221*'Drivers'!AE221,3)</x:f>
        <x:v>-164.554</x:v>
      </x:c>
      <x:c r="BO221" s="64" t="n">
        <x:f>BL221+BN221</x:f>
        <x:v>279.3309999999997</x:v>
      </x:c>
      <x:c r="BP221" s="65" t="n">
        <x:f>BO221/AK221</x:f>
        <x:v>0.13541515676697638</x:v>
      </x:c>
    </x:row>
    <x:row r="222">
      <x:c r="A222" s="61" t="n">
        <x:v>2025</x:v>
      </x:c>
      <x:c r="B222" s="18" t="str">
        <x:v>S1</x:v>
      </x:c>
      <x:c r="C222" s="18" t="str">
        <x:v>2025 S1</x:v>
      </x:c>
      <x:c r="D222" s="18" t="str">
        <x:v>CNCT0056</x:v>
      </x:c>
      <x:c r="E222" s="18" t="str">
        <x:v>武汉国际广场</x:v>
      </x:c>
      <x:c r="F222" s="18" t="str">
        <x:v>武汉</x:v>
      </x:c>
      <x:c r="G222" s="18" t="str">
        <x:v>湖北省</x:v>
      </x:c>
      <x:c r="H222" s="18" t="str">
        <x:v>南区</x:v>
      </x:c>
      <x:c r="I222" s="18" t="str">
        <x:v>Shopping Mall</x:v>
      </x:c>
      <x:c r="J222" s="18" t="str">
        <x:v>Core Shopping Center</x:v>
      </x:c>
      <x:c r="K222" s="18" t="str">
        <x:v>正常</x:v>
      </x:c>
      <x:c r="L222" s="62" t="n">
        <x:v>5</x:v>
      </x:c>
      <x:c r="M222" s="62" t="n">
        <x:v>46</x:v>
      </x:c>
      <x:c r="N222" s="63" t="n">
        <x:f>'Drivers'!C222</x:f>
        <x:v>1623</x:v>
      </x:c>
      <x:c r="O222" s="63" t="n">
        <x:f>'Drivers'!D222</x:f>
        <x:v>1049.729</x:v>
      </x:c>
      <x:c r="P222" s="64" t="n">
        <x:f>ROUND(N222*O222/1000,3)</x:f>
        <x:v>1703.71</x:v>
      </x:c>
      <x:c r="Q222" s="64" t="n">
        <x:f>ROUND(P222*'Drivers'!E222,3)</x:f>
        <x:v>1673.158</x:v>
      </x:c>
      <x:c r="R222" s="64" t="n">
        <x:f>-ROUND(Q222*'Drivers'!F222,3)</x:f>
        <x:v>-359.405</x:v>
      </x:c>
      <x:c r="S222" s="65" t="n">
        <x:f>R222/Q222</x:f>
        <x:v>-0.2148063721417822</x:v>
      </x:c>
      <x:c r="T222" s="64" t="n">
        <x:f>-ROUND(Q222*'Drivers'!G222,3)</x:f>
        <x:v>-33.65</x:v>
      </x:c>
      <x:c r="U222" s="65" t="n">
        <x:f>T222/Q222</x:f>
        <x:v>-0.020111669071301096</x:v>
      </x:c>
      <x:c r="V222" s="64" t="n">
        <x:f>-ROUND(Q222*'Drivers'!H222,3)</x:f>
        <x:v>-13.065</x:v>
      </x:c>
      <x:c r="W222" s="64" t="n">
        <x:f>-ROUND(Q222*'Drivers'!I222,3)</x:f>
        <x:v>-10.764</x:v>
      </x:c>
      <x:c r="X222" s="64" t="n">
        <x:f>-ROUND(Q222*'Drivers'!J222,3)</x:f>
        <x:v>-27.762</x:v>
      </x:c>
      <x:c r="Y222" s="64" t="n">
        <x:f>-ROUND(Q222*'Drivers'!K222,3)</x:f>
        <x:v>-22.347</x:v>
      </x:c>
      <x:c r="Z222" s="64" t="n">
        <x:f>-ROUND(Q222*'Drivers'!L222,3)</x:f>
        <x:v>-21.735</x:v>
      </x:c>
      <x:c r="AA222" s="64" t="n">
        <x:f>-ROUND(Q222*'Drivers'!M222,3)</x:f>
        <x:v>-17.089</x:v>
      </x:c>
      <x:c r="AB222" s="64" t="n">
        <x:f>-ROUND(Q222*'Drivers'!N222,3)</x:f>
        <x:v>-13.293</x:v>
      </x:c>
      <x:c r="AC222" s="64" t="n">
        <x:f>SUM(V222:AB222)</x:f>
        <x:v>-126.055</x:v>
      </x:c>
      <x:c r="AD222" s="65" t="n">
        <x:f>AC222/Q222</x:f>
        <x:v>-0.07533956745268529</x:v>
      </x:c>
      <x:c r="AE222" s="64" t="n">
        <x:f>-ROUND(Q222*'Drivers'!O222,3)</x:f>
        <x:v>-17.057</x:v>
      </x:c>
      <x:c r="AF222" s="65" t="n">
        <x:f>AE222/Q222</x:f>
        <x:v>-0.010194494482888047</x:v>
      </x:c>
      <x:c r="AG222" s="64" t="n">
        <x:f>-ROUND(Q222*'Drivers'!P222,3)</x:f>
        <x:v>-1.402</x:v>
      </x:c>
      <x:c r="AH222" s="64" t="n">
        <x:f>-ROUND(Q222*'Drivers'!Q222,3)</x:f>
        <x:v>-3.593</x:v>
      </x:c>
      <x:c r="AI222" s="64" t="n">
        <x:f>SUM(R222,T222,AC222,AE222,AG222,AH222)</x:f>
        <x:v>-541.1619999999999</x:v>
      </x:c>
      <x:c r="AJ222" s="65" t="n">
        <x:f>AI222/Q222</x:f>
        <x:v>-0.3234374757195674</x:v>
      </x:c>
      <x:c r="AK222" s="64" t="n">
        <x:f>Q222+AI222</x:f>
        <x:v>1131.996</x:v>
      </x:c>
      <x:c r="AL222" s="65" t="n">
        <x:f>AK222/Q222</x:f>
        <x:v>0.6765625242804326</x:v>
      </x:c>
      <x:c r="AM222" s="64" t="n">
        <x:f>AK222/L222</x:f>
        <x:v>226.3992</x:v>
      </x:c>
      <x:c r="AN222" s="66" t="str">
        <x:f>IF(AM222&lt;=200,"≤200K",IF(AM222&lt;=350,"200–350K",IF(AM222&lt;=500,"350–500K",IF(AM222&lt;=700,"500–700K","&gt;700K"))))</x:f>
        <x:v>200–350K</x:v>
      </x:c>
      <x:c r="AO222" s="64" t="n">
        <x:f>-ROUND(Q222*'Drivers'!R222,3)</x:f>
        <x:v>-562.222</x:v>
      </x:c>
      <x:c r="AP222" s="64" t="n">
        <x:f>-ROUND(AK222*'Drivers'!S222,3)</x:f>
        <x:v>-15.135</x:v>
      </x:c>
      <x:c r="AQ222" s="64" t="n">
        <x:f>-ROUND(AK222*'Drivers'!T222,3)</x:f>
        <x:v>-6.307</x:v>
      </x:c>
      <x:c r="AR222" s="64" t="n">
        <x:f>-ROUND(AK222*'Drivers'!U222,3)</x:f>
        <x:v>-13.778</x:v>
      </x:c>
      <x:c r="AS222" s="64" t="n">
        <x:f>-ROUND(AK222*'Drivers'!V222,3)</x:f>
        <x:v>-42.693</x:v>
      </x:c>
      <x:c r="AT222" s="64" t="n">
        <x:f>SUM(AO222:AS222)</x:f>
        <x:v>-640.135</x:v>
      </x:c>
      <x:c r="AU222" s="65" t="n">
        <x:f>AT222/AK222</x:f>
        <x:v>-0.5654922808914519</x:v>
      </x:c>
      <x:c r="AV222" s="64" t="n">
        <x:f>AK222+AT222</x:f>
        <x:v>491.8610000000001</x:v>
      </x:c>
      <x:c r="AW222" s="65" t="n">
        <x:f>AV222/AK222</x:f>
        <x:v>0.43450771910854813</x:v>
      </x:c>
      <x:c r="AX222" s="64" t="n">
        <x:f>-ROUND(AK222*'Drivers'!W222,3)</x:f>
        <x:v>-12.803</x:v>
      </x:c>
      <x:c r="AY222" s="64" t="n">
        <x:f>-ROUND(AK222*'Drivers'!X222,3)</x:f>
        <x:v>-21.216</x:v>
      </x:c>
      <x:c r="AZ222" s="64" t="n">
        <x:f>-ROUND(AK222*'Drivers'!Y222,3)</x:f>
        <x:v>-16.267</x:v>
      </x:c>
      <x:c r="BA222" s="64" t="n">
        <x:f>-ROUND(AK222*'Drivers'!Z222,3)</x:f>
        <x:v>-8.115</x:v>
      </x:c>
      <x:c r="BB222" s="64" t="n">
        <x:f>-ROUND(AK222*'Drivers'!AA222,3)</x:f>
        <x:v>-6.022</x:v>
      </x:c>
      <x:c r="BC222" s="64" t="n">
        <x:f>SUM(BA222,BB222)</x:f>
        <x:v>-14.137</x:v>
      </x:c>
      <x:c r="BD222" s="64" t="n">
        <x:f>-ROUND(AK222*'Drivers'!AB222,3)</x:f>
        <x:v>-4.974</x:v>
      </x:c>
      <x:c r="BE222" s="64" t="n">
        <x:f>SUM(AX222:BB222,BD222)</x:f>
        <x:v>-69.397</x:v>
      </x:c>
      <x:c r="BF222" s="67" t="n">
        <x:f>'Drivers'!AF222</x:f>
        <x:v>9</x:v>
      </x:c>
      <x:c r="BG222" s="64" t="n">
        <x:f>BJ222</x:f>
        <x:v>-24.338</x:v>
      </x:c>
      <x:c r="BH222" s="64" t="n">
        <x:f>BE222/BF222</x:f>
        <x:v>-7.710777777777778</x:v>
      </x:c>
      <x:c r="BI222" s="68" t="n">
        <x:f>BF222/L222</x:f>
        <x:v>1.8</x:v>
      </x:c>
      <x:c r="BJ222" s="64" t="n">
        <x:f>-ROUND(AK222*'Drivers'!AC222,3)</x:f>
        <x:v>-24.338</x:v>
      </x:c>
      <x:c r="BK222" s="64" t="n">
        <x:f>-ROUND(AK222*'Drivers'!AD222,3)</x:f>
        <x:v>-119.97</x:v>
      </x:c>
      <x:c r="BL222" s="64" t="n">
        <x:f>SUM(AV222,BE222,BJ222,BK222)</x:f>
        <x:v>278.15600000000006</x:v>
      </x:c>
      <x:c r="BM222" s="65" t="n">
        <x:f>BL222/AK222</x:f>
        <x:v>0.24572171633115314</x:v>
      </x:c>
      <x:c r="BN222" s="64" t="n">
        <x:f>-ROUND(AK222*'Drivers'!AE222,3)</x:f>
        <x:v>-101.671</x:v>
      </x:c>
      <x:c r="BO222" s="64" t="n">
        <x:f>BL222+BN222</x:f>
        <x:v>176.48500000000007</x:v>
      </x:c>
      <x:c r="BP222" s="65" t="n">
        <x:f>BO222/AK222</x:f>
        <x:v>0.15590602793649452</x:v>
      </x:c>
    </x:row>
    <x:row r="223">
      <x:c r="A223" s="61" t="n">
        <x:v>2025</x:v>
      </x:c>
      <x:c r="B223" s="18" t="str">
        <x:v>S2</x:v>
      </x:c>
      <x:c r="C223" s="18" t="str">
        <x:v>2025 S2</x:v>
      </x:c>
      <x:c r="D223" s="18" t="str">
        <x:v>CNCT0056</x:v>
      </x:c>
      <x:c r="E223" s="18" t="str">
        <x:v>武汉国际广场</x:v>
      </x:c>
      <x:c r="F223" s="18" t="str">
        <x:v>武汉</x:v>
      </x:c>
      <x:c r="G223" s="18" t="str">
        <x:v>湖北省</x:v>
      </x:c>
      <x:c r="H223" s="18" t="str">
        <x:v>南区</x:v>
      </x:c>
      <x:c r="I223" s="18" t="str">
        <x:v>Shopping Mall</x:v>
      </x:c>
      <x:c r="J223" s="18" t="str">
        <x:v>Core Shopping Center</x:v>
      </x:c>
      <x:c r="K223" s="18" t="str">
        <x:v>正常</x:v>
      </x:c>
      <x:c r="L223" s="62" t="n">
        <x:v>5</x:v>
      </x:c>
      <x:c r="M223" s="62" t="n">
        <x:v>46</x:v>
      </x:c>
      <x:c r="N223" s="63" t="n">
        <x:f>'Drivers'!C223</x:f>
        <x:v>1773</x:v>
      </x:c>
      <x:c r="O223" s="63" t="n">
        <x:f>'Drivers'!D223</x:f>
        <x:v>1062.325</x:v>
      </x:c>
      <x:c r="P223" s="64" t="n">
        <x:f>ROUND(N223*O223/1000,3)</x:f>
        <x:v>1883.502</x:v>
      </x:c>
      <x:c r="Q223" s="64" t="n">
        <x:f>ROUND(P223*'Drivers'!E223,3)</x:f>
        <x:v>1816.159</x:v>
      </x:c>
      <x:c r="R223" s="64" t="n">
        <x:f>-ROUND(Q223*'Drivers'!F223,3)</x:f>
        <x:v>-390.122</x:v>
      </x:c>
      <x:c r="S223" s="65" t="n">
        <x:f>R223/Q223</x:f>
        <x:v>-0.21480608250709327</x:v>
      </x:c>
      <x:c r="T223" s="64" t="n">
        <x:f>-ROUND(Q223*'Drivers'!G223,3)</x:f>
        <x:v>-36.526</x:v>
      </x:c>
      <x:c r="U223" s="65" t="n">
        <x:f>T223/Q223</x:f>
        <x:v>-0.02011167524429304</x:v>
      </x:c>
      <x:c r="V223" s="64" t="n">
        <x:f>-ROUND(Q223*'Drivers'!H223,3)</x:f>
        <x:v>-14.182</x:v>
      </x:c>
      <x:c r="W223" s="64" t="n">
        <x:f>-ROUND(Q223*'Drivers'!I223,3)</x:f>
        <x:v>-11.684</x:v>
      </x:c>
      <x:c r="X223" s="64" t="n">
        <x:f>-ROUND(Q223*'Drivers'!J223,3)</x:f>
        <x:v>-30.135</x:v>
      </x:c>
      <x:c r="Y223" s="64" t="n">
        <x:f>-ROUND(Q223*'Drivers'!K223,3)</x:f>
        <x:v>-24.257</x:v>
      </x:c>
      <x:c r="Z223" s="64" t="n">
        <x:f>-ROUND(Q223*'Drivers'!L223,3)</x:f>
        <x:v>-23.592</x:v>
      </x:c>
      <x:c r="AA223" s="64" t="n">
        <x:f>-ROUND(Q223*'Drivers'!M223,3)</x:f>
        <x:v>-18.55</x:v>
      </x:c>
      <x:c r="AB223" s="64" t="n">
        <x:f>-ROUND(Q223*'Drivers'!N223,3)</x:f>
        <x:v>-14.429</x:v>
      </x:c>
      <x:c r="AC223" s="64" t="n">
        <x:f>SUM(V223:AB223)</x:f>
        <x:v>-136.829</x:v>
      </x:c>
      <x:c r="AD223" s="65" t="n">
        <x:f>AC223/Q223</x:f>
        <x:v>-0.07533976926029054</x:v>
      </x:c>
      <x:c r="AE223" s="64" t="n">
        <x:f>-ROUND(Q223*'Drivers'!O223,3)</x:f>
        <x:v>-18.515</x:v>
      </x:c>
      <x:c r="AF223" s="65" t="n">
        <x:f>AE223/Q223</x:f>
        <x:v>-0.01019459199332217</x:v>
      </x:c>
      <x:c r="AG223" s="64" t="n">
        <x:f>-ROUND(Q223*'Drivers'!P223,3)</x:f>
        <x:v>-1.522</x:v>
      </x:c>
      <x:c r="AH223" s="64" t="n">
        <x:f>-ROUND(Q223*'Drivers'!Q223,3)</x:f>
        <x:v>-3.9</x:v>
      </x:c>
      <x:c r="AI223" s="64" t="n">
        <x:f>SUM(R223,T223,AC223,AE223,AG223,AH223)</x:f>
        <x:v>-587.4140000000001</x:v>
      </x:c>
      <x:c r="AJ223" s="65" t="n">
        <x:f>AI223/Q223</x:f>
        <x:v>-0.3234375404356117</x:v>
      </x:c>
      <x:c r="AK223" s="64" t="n">
        <x:f>Q223+AI223</x:f>
        <x:v>1228.745</x:v>
      </x:c>
      <x:c r="AL223" s="65" t="n">
        <x:f>AK223/Q223</x:f>
        <x:v>0.6765624595643882</x:v>
      </x:c>
      <x:c r="AM223" s="64" t="n">
        <x:f>AK223/L223</x:f>
        <x:v>245.74899999999997</x:v>
      </x:c>
      <x:c r="AN223" s="66" t="str">
        <x:f>IF(AM223&lt;=200,"≤200K",IF(AM223&lt;=350,"200–350K",IF(AM223&lt;=500,"350–500K",IF(AM223&lt;=700,"500–700K","&gt;700K"))))</x:f>
        <x:v>200–350K</x:v>
      </x:c>
      <x:c r="AO223" s="64" t="n">
        <x:f>-ROUND(Q223*'Drivers'!R223,3)</x:f>
        <x:v>-632.844</x:v>
      </x:c>
      <x:c r="AP223" s="64" t="n">
        <x:f>-ROUND(AK223*'Drivers'!S223,3)</x:f>
        <x:v>-16.428</x:v>
      </x:c>
      <x:c r="AQ223" s="64" t="n">
        <x:f>-ROUND(AK223*'Drivers'!T223,3)</x:f>
        <x:v>-6.846</x:v>
      </x:c>
      <x:c r="AR223" s="64" t="n">
        <x:f>-ROUND(AK223*'Drivers'!U223,3)</x:f>
        <x:v>-14.955</x:v>
      </x:c>
      <x:c r="AS223" s="64" t="n">
        <x:f>-ROUND(AK223*'Drivers'!V223,3)</x:f>
        <x:v>-46.342</x:v>
      </x:c>
      <x:c r="AT223" s="64" t="n">
        <x:f>SUM(AO223:AS223)</x:f>
        <x:v>-717.4150000000001</x:v>
      </x:c>
      <x:c r="AU223" s="65" t="n">
        <x:f>AT223/AK223</x:f>
        <x:v>-0.5838599546691952</x:v>
      </x:c>
      <x:c r="AV223" s="64" t="n">
        <x:f>AK223+AT223</x:f>
        <x:v>511.3299999999998</x:v>
      </x:c>
      <x:c r="AW223" s="65" t="n">
        <x:f>AV223/AK223</x:f>
        <x:v>0.4161400453308049</x:v>
      </x:c>
      <x:c r="AX223" s="64" t="n">
        <x:f>-ROUND(AK223*'Drivers'!W223,3)</x:f>
        <x:v>-13.897</x:v>
      </x:c>
      <x:c r="AY223" s="64" t="n">
        <x:f>-ROUND(AK223*'Drivers'!X223,3)</x:f>
        <x:v>-23.029</x:v>
      </x:c>
      <x:c r="AZ223" s="64" t="n">
        <x:f>-ROUND(AK223*'Drivers'!Y223,3)</x:f>
        <x:v>-17.657</x:v>
      </x:c>
      <x:c r="BA223" s="64" t="n">
        <x:f>-ROUND(AK223*'Drivers'!Z223,3)</x:f>
        <x:v>-8.808</x:v>
      </x:c>
      <x:c r="BB223" s="64" t="n">
        <x:f>-ROUND(AK223*'Drivers'!AA223,3)</x:f>
        <x:v>-6.537</x:v>
      </x:c>
      <x:c r="BC223" s="64" t="n">
        <x:f>SUM(BA223,BB223)</x:f>
        <x:v>-15.344999999999999</x:v>
      </x:c>
      <x:c r="BD223" s="64" t="n">
        <x:f>-ROUND(AK223*'Drivers'!AB223,3)</x:f>
        <x:v>-5.399</x:v>
      </x:c>
      <x:c r="BE223" s="64" t="n">
        <x:f>SUM(AX223:BB223,BD223)</x:f>
        <x:v>-75.327</x:v>
      </x:c>
      <x:c r="BF223" s="67" t="n">
        <x:f>'Drivers'!AF223</x:f>
        <x:v>9</x:v>
      </x:c>
      <x:c r="BG223" s="64" t="n">
        <x:f>BJ223</x:f>
        <x:v>-26.418</x:v>
      </x:c>
      <x:c r="BH223" s="64" t="n">
        <x:f>BE223/BF223</x:f>
        <x:v>-8.369666666666667</x:v>
      </x:c>
      <x:c r="BI223" s="68" t="n">
        <x:f>BF223/L223</x:f>
        <x:v>1.8</x:v>
      </x:c>
      <x:c r="BJ223" s="64" t="n">
        <x:f>-ROUND(AK223*'Drivers'!AC223,3)</x:f>
        <x:v>-26.418</x:v>
      </x:c>
      <x:c r="BK223" s="64" t="n">
        <x:f>-ROUND(AK223*'Drivers'!AD223,3)</x:f>
        <x:v>-130.224</x:v>
      </x:c>
      <x:c r="BL223" s="64" t="n">
        <x:f>SUM(AV223,BE223,BJ223,BK223)</x:f>
        <x:v>279.3609999999998</x:v>
      </x:c>
      <x:c r="BM223" s="65" t="n">
        <x:f>BL223/AK223</x:f>
        <x:v>0.22735473999894187</x:v>
      </x:c>
      <x:c r="BN223" s="64" t="n">
        <x:f>-ROUND(AK223*'Drivers'!AE223,3)</x:f>
        <x:v>-110.361</x:v>
      </x:c>
      <x:c r="BO223" s="64" t="n">
        <x:f>BL223+BN223</x:f>
        <x:v>168.99999999999983</x:v>
      </x:c>
      <x:c r="BP223" s="65" t="n">
        <x:f>BO223/AK223</x:f>
        <x:v>0.1375387081941329</x:v>
      </x:c>
    </x:row>
    <x:row r="224">
      <x:c r="A224" s="61" t="n">
        <x:v>2026</x:v>
      </x:c>
      <x:c r="B224" s="18" t="str">
        <x:v>S1</x:v>
      </x:c>
      <x:c r="C224" s="18" t="str">
        <x:v>2026 S1</x:v>
      </x:c>
      <x:c r="D224" s="18" t="str">
        <x:v>CNCT0056</x:v>
      </x:c>
      <x:c r="E224" s="18" t="str">
        <x:v>武汉国际广场</x:v>
      </x:c>
      <x:c r="F224" s="18" t="str">
        <x:v>武汉</x:v>
      </x:c>
      <x:c r="G224" s="18" t="str">
        <x:v>湖北省</x:v>
      </x:c>
      <x:c r="H224" s="18" t="str">
        <x:v>南区</x:v>
      </x:c>
      <x:c r="I224" s="18" t="str">
        <x:v>Shopping Mall</x:v>
      </x:c>
      <x:c r="J224" s="18" t="str">
        <x:v>Core Shopping Center</x:v>
      </x:c>
      <x:c r="K224" s="18" t="str">
        <x:v>正常</x:v>
      </x:c>
      <x:c r="L224" s="62" t="n">
        <x:v>5</x:v>
      </x:c>
      <x:c r="M224" s="62" t="n">
        <x:v>50</x:v>
      </x:c>
      <x:c r="N224" s="63" t="n">
        <x:f>'Drivers'!C224</x:f>
        <x:v>1507</x:v>
      </x:c>
      <x:c r="O224" s="63" t="n">
        <x:f>'Drivers'!D224</x:f>
        <x:v>1101.48</x:v>
      </x:c>
      <x:c r="P224" s="64" t="n">
        <x:f>ROUND(N224*O224/1000,3)</x:f>
        <x:v>1659.93</x:v>
      </x:c>
      <x:c r="Q224" s="64" t="n">
        <x:f>ROUND(P224*'Drivers'!E224,3)</x:f>
        <x:v>1631.969</x:v>
      </x:c>
      <x:c r="R224" s="64" t="n">
        <x:f>-ROUND(Q224*'Drivers'!F224,3)</x:f>
        <x:v>-352.714</x:v>
      </x:c>
      <x:c r="S224" s="65" t="n">
        <x:f>R224/Q224</x:f>
        <x:v>-0.21612787988007123</x:v>
      </x:c>
      <x:c r="T224" s="64" t="n">
        <x:f>-ROUND(Q224*'Drivers'!G224,3)</x:f>
        <x:v>-34.232</x:v>
      </x:c>
      <x:c r="U224" s="65" t="n">
        <x:f>T224/Q224</x:f>
        <x:v>-0.020975888635139515</x:v>
      </x:c>
      <x:c r="V224" s="64" t="n">
        <x:f>-ROUND(Q224*'Drivers'!H224,3)</x:f>
        <x:v>-12.743</x:v>
      </x:c>
      <x:c r="W224" s="64" t="n">
        <x:f>-ROUND(Q224*'Drivers'!I224,3)</x:f>
        <x:v>-10.499</x:v>
      </x:c>
      <x:c r="X224" s="64" t="n">
        <x:f>-ROUND(Q224*'Drivers'!J224,3)</x:f>
        <x:v>-27.078</x:v>
      </x:c>
      <x:c r="Y224" s="64" t="n">
        <x:f>-ROUND(Q224*'Drivers'!K224,3)</x:f>
        <x:v>-21.797</x:v>
      </x:c>
      <x:c r="Z224" s="64" t="n">
        <x:f>-ROUND(Q224*'Drivers'!L224,3)</x:f>
        <x:v>-21.2</x:v>
      </x:c>
      <x:c r="AA224" s="64" t="n">
        <x:f>-ROUND(Q224*'Drivers'!M224,3)</x:f>
        <x:v>-16.669</x:v>
      </x:c>
      <x:c r="AB224" s="64" t="n">
        <x:f>-ROUND(Q224*'Drivers'!N224,3)</x:f>
        <x:v>-12.965</x:v>
      </x:c>
      <x:c r="AC224" s="64" t="n">
        <x:f>SUM(V224:AB224)</x:f>
        <x:v>-122.95100000000001</x:v>
      </x:c>
      <x:c r="AD224" s="65" t="n">
        <x:f>AC224/Q224</x:f>
        <x:v>-0.07533905362172934</x:v>
      </x:c>
      <x:c r="AE224" s="64" t="n">
        <x:f>-ROUND(Q224*'Drivers'!O224,3)</x:f>
        <x:v>-15.968</x:v>
      </x:c>
      <x:c r="AF224" s="65" t="n">
        <x:f>AE224/Q224</x:f>
        <x:v>-0.00978449958301904</x:v>
      </x:c>
      <x:c r="AG224" s="64" t="n">
        <x:f>-ROUND(Q224*'Drivers'!P224,3)</x:f>
        <x:v>-1.367</x:v>
      </x:c>
      <x:c r="AH224" s="64" t="n">
        <x:f>-ROUND(Q224*'Drivers'!Q224,3)</x:f>
        <x:v>-3.505</x:v>
      </x:c>
      <x:c r="AI224" s="64" t="n">
        <x:f>SUM(R224,T224,AC224,AE224,AG224,AH224)</x:f>
        <x:v>-530.737</x:v>
      </x:c>
      <x:c r="AJ224" s="65" t="n">
        <x:f>AI224/Q224</x:f>
        <x:v>-0.32521267254463776</x:v>
      </x:c>
      <x:c r="AK224" s="64" t="n">
        <x:f>Q224+AI224</x:f>
        <x:v>1101.232</x:v>
      </x:c>
      <x:c r="AL224" s="65" t="n">
        <x:f>AK224/Q224</x:f>
        <x:v>0.6747873274553622</x:v>
      </x:c>
      <x:c r="AM224" s="64" t="n">
        <x:f>AK224/L224</x:f>
        <x:v>220.2464</x:v>
      </x:c>
      <x:c r="AN224" s="66" t="str">
        <x:f>IF(AM224&lt;=200,"≤200K",IF(AM224&lt;=350,"200–350K",IF(AM224&lt;=500,"350–500K",IF(AM224&lt;=700,"500–700K","&gt;700K"))))</x:f>
        <x:v>200–350K</x:v>
      </x:c>
      <x:c r="AO224" s="64" t="n">
        <x:f>-ROUND(Q224*'Drivers'!R224,3)</x:f>
        <x:v>-552.876</x:v>
      </x:c>
      <x:c r="AP224" s="64" t="n">
        <x:f>-ROUND(AK224*'Drivers'!S224,3)</x:f>
        <x:v>-14.723</x:v>
      </x:c>
      <x:c r="AQ224" s="64" t="n">
        <x:f>-ROUND(AK224*'Drivers'!T224,3)</x:f>
        <x:v>-6.135</x:v>
      </x:c>
      <x:c r="AR224" s="64" t="n">
        <x:f>-ROUND(AK224*'Drivers'!U224,3)</x:f>
        <x:v>-13.403</x:v>
      </x:c>
      <x:c r="AS224" s="64" t="n">
        <x:f>-ROUND(AK224*'Drivers'!V224,3)</x:f>
        <x:v>-41.533</x:v>
      </x:c>
      <x:c r="AT224" s="64" t="n">
        <x:f>SUM(AO224:AS224)</x:f>
        <x:v>-628.67</x:v>
      </x:c>
      <x:c r="AU224" s="65" t="n">
        <x:f>AT224/AK224</x:f>
        <x:v>-0.5708787975649091</x:v>
      </x:c>
      <x:c r="AV224" s="64" t="n">
        <x:f>AK224+AT224</x:f>
        <x:v>472.562</x:v>
      </x:c>
      <x:c r="AW224" s="65" t="n">
        <x:f>AV224/AK224</x:f>
        <x:v>0.4291212024350909</x:v>
      </x:c>
      <x:c r="AX224" s="64" t="n">
        <x:f>-ROUND(AK224*'Drivers'!W224,3)</x:f>
        <x:v>-15.325</x:v>
      </x:c>
      <x:c r="AY224" s="64" t="n">
        <x:f>-ROUND(AK224*'Drivers'!X224,3)</x:f>
        <x:v>-25.396</x:v>
      </x:c>
      <x:c r="AZ224" s="64" t="n">
        <x:f>-ROUND(AK224*'Drivers'!Y224,3)</x:f>
        <x:v>-19.471</x:v>
      </x:c>
      <x:c r="BA224" s="64" t="n">
        <x:f>-ROUND(AK224*'Drivers'!Z224,3)</x:f>
        <x:v>-9.713</x:v>
      </x:c>
      <x:c r="BB224" s="64" t="n">
        <x:f>-ROUND(AK224*'Drivers'!AA224,3)</x:f>
        <x:v>-7.209</x:v>
      </x:c>
      <x:c r="BC224" s="64" t="n">
        <x:f>SUM(BA224,BB224)</x:f>
        <x:v>-16.921999999999997</x:v>
      </x:c>
      <x:c r="BD224" s="64" t="n">
        <x:f>-ROUND(AK224*'Drivers'!AB224,3)</x:f>
        <x:v>-5.954</x:v>
      </x:c>
      <x:c r="BE224" s="64" t="n">
        <x:f>SUM(AX224:BB224,BD224)</x:f>
        <x:v>-83.068</x:v>
      </x:c>
      <x:c r="BF224" s="67" t="n">
        <x:f>'Drivers'!AF224</x:f>
        <x:v>9</x:v>
      </x:c>
      <x:c r="BG224" s="64" t="n">
        <x:f>BJ224</x:f>
        <x:v>-29.133</x:v>
      </x:c>
      <x:c r="BH224" s="64" t="n">
        <x:f>BE224/BF224</x:f>
        <x:v>-9.229777777777777</x:v>
      </x:c>
      <x:c r="BI224" s="68" t="n">
        <x:f>BF224/L224</x:f>
        <x:v>1.8</x:v>
      </x:c>
      <x:c r="BJ224" s="64" t="n">
        <x:f>-ROUND(AK224*'Drivers'!AC224,3)</x:f>
        <x:v>-29.133</x:v>
      </x:c>
      <x:c r="BK224" s="64" t="n">
        <x:f>-ROUND(AK224*'Drivers'!AD224,3)</x:f>
        <x:v>-116.71</x:v>
      </x:c>
      <x:c r="BL224" s="64" t="n">
        <x:f>SUM(AV224,BE224,BJ224,BK224)</x:f>
        <x:v>243.65100000000007</x:v>
      </x:c>
      <x:c r="BM224" s="65" t="n">
        <x:f>BL224/AK224</x:f>
        <x:v>0.221253105612623</x:v>
      </x:c>
      <x:c r="BN224" s="64" t="n">
        <x:f>-ROUND(AK224*'Drivers'!AE224,3)</x:f>
        <x:v>-98.908</x:v>
      </x:c>
      <x:c r="BO224" s="64" t="n">
        <x:f>BL224+BN224</x:f>
        <x:v>144.74300000000005</x:v>
      </x:c>
      <x:c r="BP224" s="65" t="n">
        <x:f>BO224/AK224</x:f>
        <x:v>0.13143733563863025</x:v>
      </x:c>
    </x:row>
    <x:row r="225">
      <x:c r="A225" s="61" t="n">
        <x:v>2026</x:v>
      </x:c>
      <x:c r="B225" s="18" t="str">
        <x:v>S2</x:v>
      </x:c>
      <x:c r="C225" s="18" t="str">
        <x:v>2026 S2</x:v>
      </x:c>
      <x:c r="D225" s="18" t="str">
        <x:v>CNCT0056</x:v>
      </x:c>
      <x:c r="E225" s="18" t="str">
        <x:v>武汉国际广场</x:v>
      </x:c>
      <x:c r="F225" s="18" t="str">
        <x:v>武汉</x:v>
      </x:c>
      <x:c r="G225" s="18" t="str">
        <x:v>湖北省</x:v>
      </x:c>
      <x:c r="H225" s="18" t="str">
        <x:v>南区</x:v>
      </x:c>
      <x:c r="I225" s="18" t="str">
        <x:v>Shopping Mall</x:v>
      </x:c>
      <x:c r="J225" s="18" t="str">
        <x:v>Core Shopping Center</x:v>
      </x:c>
      <x:c r="K225" s="18" t="str">
        <x:v>正常</x:v>
      </x:c>
      <x:c r="L225" s="62" t="n">
        <x:v>5</x:v>
      </x:c>
      <x:c r="M225" s="62" t="n">
        <x:v>50</x:v>
      </x:c>
      <x:c r="N225" s="63" t="n">
        <x:f>'Drivers'!C225</x:f>
        <x:v>1713</x:v>
      </x:c>
      <x:c r="O225" s="63" t="n">
        <x:f>'Drivers'!D225</x:f>
        <x:v>1102.062</x:v>
      </x:c>
      <x:c r="P225" s="64" t="n">
        <x:f>ROUND(N225*O225/1000,3)</x:f>
        <x:v>1887.832</x:v>
      </x:c>
      <x:c r="Q225" s="64" t="n">
        <x:f>ROUND(P225*'Drivers'!E225,3)</x:f>
        <x:v>1820.334</x:v>
      </x:c>
      <x:c r="R225" s="64" t="n">
        <x:f>-ROUND(Q225*'Drivers'!F225,3)</x:f>
        <x:v>-389.414</x:v>
      </x:c>
      <x:c r="S225" s="65" t="n">
        <x:f>R225/Q225</x:f>
        <x:v>-0.21392447759586974</x:v>
      </x:c>
      <x:c r="T225" s="64" t="n">
        <x:f>-ROUND(Q225*'Drivers'!G225,3)</x:f>
        <x:v>-33.36</x:v>
      </x:c>
      <x:c r="U225" s="65" t="n">
        <x:f>T225/Q225</x:f>
        <x:v>-0.018326307150226276</x:v>
      </x:c>
      <x:c r="V225" s="64" t="n">
        <x:f>-ROUND(Q225*'Drivers'!H225,3)</x:f>
        <x:v>-14.214</x:v>
      </x:c>
      <x:c r="W225" s="64" t="n">
        <x:f>-ROUND(Q225*'Drivers'!I225,3)</x:f>
        <x:v>-11.711</x:v>
      </x:c>
      <x:c r="X225" s="64" t="n">
        <x:f>-ROUND(Q225*'Drivers'!J225,3)</x:f>
        <x:v>-30.204</x:v>
      </x:c>
      <x:c r="Y225" s="64" t="n">
        <x:f>-ROUND(Q225*'Drivers'!K225,3)</x:f>
        <x:v>-24.313</x:v>
      </x:c>
      <x:c r="Z225" s="64" t="n">
        <x:f>-ROUND(Q225*'Drivers'!L225,3)</x:f>
        <x:v>-23.647</x:v>
      </x:c>
      <x:c r="AA225" s="64" t="n">
        <x:f>-ROUND(Q225*'Drivers'!M225,3)</x:f>
        <x:v>-18.593</x:v>
      </x:c>
      <x:c r="AB225" s="64" t="n">
        <x:f>-ROUND(Q225*'Drivers'!N225,3)</x:f>
        <x:v>-14.462</x:v>
      </x:c>
      <x:c r="AC225" s="64" t="n">
        <x:f>SUM(V225:AB225)</x:f>
        <x:v>-137.144</x:v>
      </x:c>
      <x:c r="AD225" s="65" t="n">
        <x:f>AC225/Q225</x:f>
        <x:v>-0.07534002001830434</x:v>
      </x:c>
      <x:c r="AE225" s="64" t="n">
        <x:f>-ROUND(Q225*'Drivers'!O225,3)</x:f>
        <x:v>-18.558</x:v>
      </x:c>
      <x:c r="AF225" s="65" t="n">
        <x:f>AE225/Q225</x:f>
        <x:v>-0.010194832376915444</x:v>
      </x:c>
      <x:c r="AG225" s="64" t="n">
        <x:f>-ROUND(Q225*'Drivers'!P225,3)</x:f>
        <x:v>-1.525</x:v>
      </x:c>
      <x:c r="AH225" s="64" t="n">
        <x:f>-ROUND(Q225*'Drivers'!Q225,3)</x:f>
        <x:v>-3.909</x:v>
      </x:c>
      <x:c r="AI225" s="64" t="n">
        <x:f>SUM(R225,T225,AC225,AE225,AG225,AH225)</x:f>
        <x:v>-583.91</x:v>
      </x:c>
      <x:c r="AJ225" s="65" t="n">
        <x:f>AI225/Q225</x:f>
        <x:v>-0.3207708035997789</x:v>
      </x:c>
      <x:c r="AK225" s="64" t="n">
        <x:f>Q225+AI225</x:f>
        <x:v>1236.424</x:v>
      </x:c>
      <x:c r="AL225" s="65" t="n">
        <x:f>AK225/Q225</x:f>
        <x:v>0.6792291964002211</x:v>
      </x:c>
      <x:c r="AM225" s="64" t="n">
        <x:f>AK225/L225</x:f>
        <x:v>247.2848</x:v>
      </x:c>
      <x:c r="AN225" s="66" t="str">
        <x:f>IF(AM225&lt;=200,"≤200K",IF(AM225&lt;=350,"200–350K",IF(AM225&lt;=500,"350–500K",IF(AM225&lt;=700,"500–700K","&gt;700K"))))</x:f>
        <x:v>200–350K</x:v>
      </x:c>
      <x:c r="AO225" s="64" t="n">
        <x:f>-ROUND(Q225*'Drivers'!R225,3)</x:f>
        <x:v>-630.759</x:v>
      </x:c>
      <x:c r="AP225" s="64" t="n">
        <x:f>-ROUND(AK225*'Drivers'!S225,3)</x:f>
        <x:v>-16.531</x:v>
      </x:c>
      <x:c r="AQ225" s="64" t="n">
        <x:f>-ROUND(AK225*'Drivers'!T225,3)</x:f>
        <x:v>-6.888</x:v>
      </x:c>
      <x:c r="AR225" s="64" t="n">
        <x:f>-ROUND(AK225*'Drivers'!U225,3)</x:f>
        <x:v>-15.049</x:v>
      </x:c>
      <x:c r="AS225" s="64" t="n">
        <x:f>-ROUND(AK225*'Drivers'!V225,3)</x:f>
        <x:v>-46.632</x:v>
      </x:c>
      <x:c r="AT225" s="64" t="n">
        <x:f>SUM(AO225:AS225)</x:f>
        <x:v>-715.8589999999999</x:v>
      </x:c>
      <x:c r="AU225" s="65" t="n">
        <x:f>AT225/AK225</x:f>
        <x:v>-0.5789753353218636</x:v>
      </x:c>
      <x:c r="AV225" s="64" t="n">
        <x:f>AK225+AT225</x:f>
        <x:v>520.565</x:v>
      </x:c>
      <x:c r="AW225" s="65" t="n">
        <x:f>AV225/AK225</x:f>
        <x:v>0.4210246646781364</x:v>
      </x:c>
      <x:c r="AX225" s="64" t="n">
        <x:f>-ROUND(AK225*'Drivers'!W225,3)</x:f>
        <x:v>-14.823</x:v>
      </x:c>
      <x:c r="AY225" s="64" t="n">
        <x:f>-ROUND(AK225*'Drivers'!X225,3)</x:f>
        <x:v>-24.564</x:v>
      </x:c>
      <x:c r="AZ225" s="64" t="n">
        <x:f>-ROUND(AK225*'Drivers'!Y225,3)</x:f>
        <x:v>-18.833</x:v>
      </x:c>
      <x:c r="BA225" s="64" t="n">
        <x:f>-ROUND(AK225*'Drivers'!Z225,3)</x:f>
        <x:v>-9.395</x:v>
      </x:c>
      <x:c r="BB225" s="64" t="n">
        <x:f>-ROUND(AK225*'Drivers'!AA225,3)</x:f>
        <x:v>-6.973</x:v>
      </x:c>
      <x:c r="BC225" s="64" t="n">
        <x:f>SUM(BA225,BB225)</x:f>
        <x:v>-16.368</x:v>
      </x:c>
      <x:c r="BD225" s="64" t="n">
        <x:f>-ROUND(AK225*'Drivers'!AB225,3)</x:f>
        <x:v>-5.758</x:v>
      </x:c>
      <x:c r="BE225" s="64" t="n">
        <x:f>SUM(AX225:BB225,BD225)</x:f>
        <x:v>-80.34599999999999</x:v>
      </x:c>
      <x:c r="BF225" s="67" t="n">
        <x:f>'Drivers'!AF225</x:f>
        <x:v>9</x:v>
      </x:c>
      <x:c r="BG225" s="64" t="n">
        <x:f>BJ225</x:f>
        <x:v>-28.178</x:v>
      </x:c>
      <x:c r="BH225" s="64" t="n">
        <x:f>BE225/BF225</x:f>
        <x:v>-8.927333333333332</x:v>
      </x:c>
      <x:c r="BI225" s="68" t="n">
        <x:f>BF225/L225</x:f>
        <x:v>1.8</x:v>
      </x:c>
      <x:c r="BJ225" s="64" t="n">
        <x:f>-ROUND(AK225*'Drivers'!AC225,3)</x:f>
        <x:v>-28.178</x:v>
      </x:c>
      <x:c r="BK225" s="64" t="n">
        <x:f>-ROUND(AK225*'Drivers'!AD225,3)</x:f>
        <x:v>-131.037</x:v>
      </x:c>
      <x:c r="BL225" s="64" t="n">
        <x:f>SUM(AV225,BE225,BJ225,BK225)</x:f>
        <x:v>281.004</x:v>
      </x:c>
      <x:c r="BM225" s="65" t="n">
        <x:f>BL225/AK225</x:f>
        <x:v>0.2272715508595757</x:v>
      </x:c>
      <x:c r="BN225" s="64" t="n">
        <x:f>-ROUND(AK225*'Drivers'!AE225,3)</x:f>
        <x:v>-111.05</x:v>
      </x:c>
      <x:c r="BO225" s="64" t="n">
        <x:f>BL225+BN225</x:f>
        <x:v>169.954</x:v>
      </x:c>
      <x:c r="BP225" s="65" t="n">
        <x:f>BO225/AK225</x:f>
        <x:v>0.1374560830265346</x:v>
      </x:c>
    </x:row>
    <x:row r="226">
      <x:c r="A226" s="61" t="n">
        <x:v>2025</x:v>
      </x:c>
      <x:c r="B226" s="18" t="str">
        <x:v>S1</x:v>
      </x:c>
      <x:c r="C226" s="18" t="str">
        <x:v>2025 S1</x:v>
      </x:c>
      <x:c r="D226" s="18" t="str">
        <x:v>CNCT0057</x:v>
      </x:c>
      <x:c r="E226" s="18" t="str">
        <x:v>武汉SKP</x:v>
      </x:c>
      <x:c r="F226" s="18" t="str">
        <x:v>武汉</x:v>
      </x:c>
      <x:c r="G226" s="18" t="str">
        <x:v>湖北省</x:v>
      </x:c>
      <x:c r="H226" s="18" t="str">
        <x:v>南区</x:v>
      </x:c>
      <x:c r="I226" s="18" t="str">
        <x:v>Shopping Mall</x:v>
      </x:c>
      <x:c r="J226" s="18" t="str">
        <x:v>Prestige Shopping Center</x:v>
      </x:c>
      <x:c r="K226" s="18" t="str">
        <x:v>正常</x:v>
      </x:c>
      <x:c r="L226" s="62" t="n">
        <x:v>4</x:v>
      </x:c>
      <x:c r="M226" s="62" t="n">
        <x:v>46</x:v>
      </x:c>
      <x:c r="N226" s="63" t="n">
        <x:f>'Drivers'!C226</x:f>
        <x:v>2041</x:v>
      </x:c>
      <x:c r="O226" s="63" t="n">
        <x:f>'Drivers'!D226</x:f>
        <x:v>1230.8</x:v>
      </x:c>
      <x:c r="P226" s="64" t="n">
        <x:f>ROUND(N226*O226/1000,3)</x:f>
        <x:v>2512.063</x:v>
      </x:c>
      <x:c r="Q226" s="64" t="n">
        <x:f>ROUND(P226*'Drivers'!E226,3)</x:f>
        <x:v>2464.187</x:v>
      </x:c>
      <x:c r="R226" s="64" t="n">
        <x:f>-ROUND(Q226*'Drivers'!F226,3)</x:f>
        <x:v>-415.972</x:v>
      </x:c>
      <x:c r="S226" s="65" t="n">
        <x:f>R226/Q226</x:f>
        <x:v>-0.16880699394972865</x:v>
      </x:c>
      <x:c r="T226" s="64" t="n">
        <x:f>-ROUND(Q226*'Drivers'!G226,3)</x:f>
        <x:v>-45.097</x:v>
      </x:c>
      <x:c r="U226" s="65" t="n">
        <x:f>T226/Q226</x:f>
        <x:v>-0.018300964983582822</x:v>
      </x:c>
      <x:c r="V226" s="64" t="n">
        <x:f>-ROUND(Q226*'Drivers'!H226,3)</x:f>
        <x:v>-17.965</x:v>
      </x:c>
      <x:c r="W226" s="64" t="n">
        <x:f>-ROUND(Q226*'Drivers'!I226,3)</x:f>
        <x:v>-14.904</x:v>
      </x:c>
      <x:c r="X226" s="64" t="n">
        <x:f>-ROUND(Q226*'Drivers'!J226,3)</x:f>
        <x:v>-27.864</x:v>
      </x:c>
      <x:c r="Y226" s="64" t="n">
        <x:f>-ROUND(Q226*'Drivers'!K226,3)</x:f>
        <x:v>-28.594</x:v>
      </x:c>
      <x:c r="Z226" s="64" t="n">
        <x:f>-ROUND(Q226*'Drivers'!L226,3)</x:f>
        <x:v>-28.686</x:v>
      </x:c>
      <x:c r="AA226" s="64" t="n">
        <x:f>-ROUND(Q226*'Drivers'!M226,3)</x:f>
        <x:v>-19.593</x:v>
      </x:c>
      <x:c r="AB226" s="64" t="n">
        <x:f>-ROUND(Q226*'Drivers'!N226,3)</x:f>
        <x:v>-15.177</x:v>
      </x:c>
      <x:c r="AC226" s="64" t="n">
        <x:f>SUM(V226:AB226)</x:f>
        <x:v>-152.783</x:v>
      </x:c>
      <x:c r="AD226" s="65" t="n">
        <x:f>AC226/Q226</x:f>
        <x:v>-0.06200138220029567</x:v>
      </x:c>
      <x:c r="AE226" s="64" t="n">
        <x:f>-ROUND(Q226*'Drivers'!O226,3)</x:f>
        <x:v>-22.372</x:v>
      </x:c>
      <x:c r="AF226" s="65" t="n">
        <x:f>AE226/Q226</x:f>
        <x:v>-0.009078856434191073</x:v>
      </x:c>
      <x:c r="AG226" s="64" t="n">
        <x:f>-ROUND(Q226*'Drivers'!P226,3)</x:f>
        <x:v>-4.23</x:v>
      </x:c>
      <x:c r="AH226" s="64" t="n">
        <x:f>-ROUND(Q226*'Drivers'!Q226,3)</x:f>
        <x:v>-13.735</x:v>
      </x:c>
      <x:c r="AI226" s="64" t="n">
        <x:f>SUM(R226,T226,AC226,AE226,AG226,AH226)</x:f>
        <x:v>-654.189</x:v>
      </x:c>
      <x:c r="AJ226" s="65" t="n">
        <x:f>AI226/Q226</x:f>
        <x:v>-0.2654786345354472</x:v>
      </x:c>
      <x:c r="AK226" s="64" t="n">
        <x:f>Q226+AI226</x:f>
        <x:v>1809.998</x:v>
      </x:c>
      <x:c r="AL226" s="65" t="n">
        <x:f>AK226/Q226</x:f>
        <x:v>0.7345213654645528</x:v>
      </x:c>
      <x:c r="AM226" s="64" t="n">
        <x:f>AK226/L226</x:f>
        <x:v>452.4995</x:v>
      </x:c>
      <x:c r="AN226" s="66" t="str">
        <x:f>IF(AM226&lt;=200,"≤200K",IF(AM226&lt;=350,"200–350K",IF(AM226&lt;=500,"350–500K",IF(AM226&lt;=700,"500–700K","&gt;700K"))))</x:f>
        <x:v>350–500K</x:v>
      </x:c>
      <x:c r="AO226" s="64" t="n">
        <x:f>-ROUND(Q226*'Drivers'!R226,3)</x:f>
        <x:v>-948.348</x:v>
      </x:c>
      <x:c r="AP226" s="64" t="n">
        <x:f>-ROUND(AK226*'Drivers'!S226,3)</x:f>
        <x:v>-24.667</x:v>
      </x:c>
      <x:c r="AQ226" s="64" t="n">
        <x:f>-ROUND(AK226*'Drivers'!T226,3)</x:f>
        <x:v>-6.838</x:v>
      </x:c>
      <x:c r="AR226" s="64" t="n">
        <x:f>-ROUND(AK226*'Drivers'!U226,3)</x:f>
        <x:v>-12.497</x:v>
      </x:c>
      <x:c r="AS226" s="64" t="n">
        <x:f>-ROUND(AK226*'Drivers'!V226,3)</x:f>
        <x:v>-62.552</x:v>
      </x:c>
      <x:c r="AT226" s="64" t="n">
        <x:f>SUM(AO226:AS226)</x:f>
        <x:v>-1054.9019999999998</x:v>
      </x:c>
      <x:c r="AU226" s="65" t="n">
        <x:f>AT226/AK226</x:f>
        <x:v>-0.5828194285297552</x:v>
      </x:c>
      <x:c r="AV226" s="64" t="n">
        <x:f>AK226+AT226</x:f>
        <x:v>755.0960000000002</x:v>
      </x:c>
      <x:c r="AW226" s="65" t="n">
        <x:f>AV226/AK226</x:f>
        <x:v>0.41718057147024484</x:v>
      </x:c>
      <x:c r="AX226" s="64" t="n">
        <x:f>-ROUND(AK226*'Drivers'!W226,3)</x:f>
        <x:v>-17.746</x:v>
      </x:c>
      <x:c r="AY226" s="64" t="n">
        <x:f>-ROUND(AK226*'Drivers'!X226,3)</x:f>
        <x:v>-46.194</x:v>
      </x:c>
      <x:c r="AZ226" s="64" t="n">
        <x:f>-ROUND(AK226*'Drivers'!Y226,3)</x:f>
        <x:v>-36.879</x:v>
      </x:c>
      <x:c r="BA226" s="64" t="n">
        <x:f>-ROUND(AK226*'Drivers'!Z226,3)</x:f>
        <x:v>-10.87</x:v>
      </x:c>
      <x:c r="BB226" s="64" t="n">
        <x:f>-ROUND(AK226*'Drivers'!AA226,3)</x:f>
        <x:v>-14.48</x:v>
      </x:c>
      <x:c r="BC226" s="64" t="n">
        <x:f>SUM(BA226,BB226)</x:f>
        <x:v>-25.35</x:v>
      </x:c>
      <x:c r="BD226" s="64" t="n">
        <x:f>-ROUND(AK226*'Drivers'!AB226,3)</x:f>
        <x:v>-5.795</x:v>
      </x:c>
      <x:c r="BE226" s="64" t="n">
        <x:f>SUM(AX226:BB226,BD226)</x:f>
        <x:v>-131.964</x:v>
      </x:c>
      <x:c r="BF226" s="67" t="n">
        <x:f>'Drivers'!AF226</x:f>
        <x:v>7</x:v>
      </x:c>
      <x:c r="BG226" s="64" t="n">
        <x:f>BJ226</x:f>
        <x:v>-44.782</x:v>
      </x:c>
      <x:c r="BH226" s="64" t="n">
        <x:f>BE226/BF226</x:f>
        <x:v>-18.852</x:v>
      </x:c>
      <x:c r="BI226" s="68" t="n">
        <x:f>BF226/L226</x:f>
        <x:v>1.75</x:v>
      </x:c>
      <x:c r="BJ226" s="64" t="n">
        <x:f>-ROUND(AK226*'Drivers'!AC226,3)</x:f>
        <x:v>-44.782</x:v>
      </x:c>
      <x:c r="BK226" s="64" t="n">
        <x:f>-ROUND(AK226*'Drivers'!AD226,3)</x:f>
        <x:v>-184.588</x:v>
      </x:c>
      <x:c r="BL226" s="64" t="n">
        <x:f>SUM(AV226,BE226,BJ226,BK226)</x:f>
        <x:v>393.7620000000003</x:v>
      </x:c>
      <x:c r="BM226" s="65" t="n">
        <x:f>BL226/AK226</x:f>
        <x:v>0.21754830668321196</x:v>
      </x:c>
      <x:c r="BN226" s="64" t="n">
        <x:f>-ROUND(AK226*'Drivers'!AE226,3)</x:f>
        <x:v>-132.202</x:v>
      </x:c>
      <x:c r="BO226" s="64" t="n">
        <x:f>BL226+BN226</x:f>
        <x:v>261.5600000000003</x:v>
      </x:c>
      <x:c r="BP226" s="65" t="n">
        <x:f>BO226/AK226</x:f>
        <x:v>0.1445084469706598</x:v>
      </x:c>
    </x:row>
    <x:row r="227">
      <x:c r="A227" s="61" t="n">
        <x:v>2025</x:v>
      </x:c>
      <x:c r="B227" s="18" t="str">
        <x:v>S2</x:v>
      </x:c>
      <x:c r="C227" s="18" t="str">
        <x:v>2025 S2</x:v>
      </x:c>
      <x:c r="D227" s="18" t="str">
        <x:v>CNCT0057</x:v>
      </x:c>
      <x:c r="E227" s="18" t="str">
        <x:v>武汉SKP</x:v>
      </x:c>
      <x:c r="F227" s="18" t="str">
        <x:v>武汉</x:v>
      </x:c>
      <x:c r="G227" s="18" t="str">
        <x:v>湖北省</x:v>
      </x:c>
      <x:c r="H227" s="18" t="str">
        <x:v>南区</x:v>
      </x:c>
      <x:c r="I227" s="18" t="str">
        <x:v>Shopping Mall</x:v>
      </x:c>
      <x:c r="J227" s="18" t="str">
        <x:v>Prestige Shopping Center</x:v>
      </x:c>
      <x:c r="K227" s="18" t="str">
        <x:v>正常</x:v>
      </x:c>
      <x:c r="L227" s="62" t="n">
        <x:v>4</x:v>
      </x:c>
      <x:c r="M227" s="62" t="n">
        <x:v>46</x:v>
      </x:c>
      <x:c r="N227" s="63" t="n">
        <x:f>'Drivers'!C227</x:f>
        <x:v>2227</x:v>
      </x:c>
      <x:c r="O227" s="63" t="n">
        <x:f>'Drivers'!D227</x:f>
        <x:v>1245.57</x:v>
      </x:c>
      <x:c r="P227" s="64" t="n">
        <x:f>ROUND(N227*O227/1000,3)</x:f>
        <x:v>2773.884</x:v>
      </x:c>
      <x:c r="Q227" s="64" t="n">
        <x:f>ROUND(P227*'Drivers'!E227,3)</x:f>
        <x:v>2699.949</x:v>
      </x:c>
      <x:c r="R227" s="64" t="n">
        <x:f>-ROUND(Q227*'Drivers'!F227,3)</x:f>
        <x:v>-455.77</x:v>
      </x:c>
      <x:c r="S227" s="65" t="n">
        <x:f>R227/Q227</x:f>
        <x:v>-0.16880689227833562</x:v>
      </x:c>
      <x:c r="T227" s="64" t="n">
        <x:f>-ROUND(Q227*'Drivers'!G227,3)</x:f>
        <x:v>-49.412</x:v>
      </x:c>
      <x:c r="U227" s="65" t="n">
        <x:f>T227/Q227</x:f>
        <x:v>-0.018301086427928822</x:v>
      </x:c>
      <x:c r="V227" s="64" t="n">
        <x:f>-ROUND(Q227*'Drivers'!H227,3)</x:f>
        <x:v>-19.683</x:v>
      </x:c>
      <x:c r="W227" s="64" t="n">
        <x:f>-ROUND(Q227*'Drivers'!I227,3)</x:f>
        <x:v>-16.33</x:v>
      </x:c>
      <x:c r="X227" s="64" t="n">
        <x:f>-ROUND(Q227*'Drivers'!J227,3)</x:f>
        <x:v>-30.53</x:v>
      </x:c>
      <x:c r="Y227" s="64" t="n">
        <x:f>-ROUND(Q227*'Drivers'!K227,3)</x:f>
        <x:v>-31.33</x:v>
      </x:c>
      <x:c r="Z227" s="64" t="n">
        <x:f>-ROUND(Q227*'Drivers'!L227,3)</x:f>
        <x:v>-31.43</x:v>
      </x:c>
      <x:c r="AA227" s="64" t="n">
        <x:f>-ROUND(Q227*'Drivers'!M227,3)</x:f>
        <x:v>-21.468</x:v>
      </x:c>
      <x:c r="AB227" s="64" t="n">
        <x:f>-ROUND(Q227*'Drivers'!N227,3)</x:f>
        <x:v>-16.629</x:v>
      </x:c>
      <x:c r="AC227" s="64" t="n">
        <x:f>SUM(V227:AB227)</x:f>
        <x:v>-167.39999999999998</x:v>
      </x:c>
      <x:c r="AD227" s="65" t="n">
        <x:f>AC227/Q227</x:f>
        <x:v>-0.06200117113323251</x:v>
      </x:c>
      <x:c r="AE227" s="64" t="n">
        <x:f>-ROUND(Q227*'Drivers'!O227,3)</x:f>
        <x:v>-24.513</x:v>
      </x:c>
      <x:c r="AF227" s="65" t="n">
        <x:f>AE227/Q227</x:f>
        <x:v>-0.009079060382251666</x:v>
      </x:c>
      <x:c r="AG227" s="64" t="n">
        <x:f>-ROUND(Q227*'Drivers'!P227,3)</x:f>
        <x:v>-4.635</x:v>
      </x:c>
      <x:c r="AH227" s="64" t="n">
        <x:f>-ROUND(Q227*'Drivers'!Q227,3)</x:f>
        <x:v>-15.05</x:v>
      </x:c>
      <x:c r="AI227" s="64" t="n">
        <x:f>SUM(R227,T227,AC227,AE227,AG227,AH227)</x:f>
        <x:v>-716.7799999999999</x:v>
      </x:c>
      <x:c r="AJ227" s="65" t="n">
        <x:f>AI227/Q227</x:f>
        <x:v>-0.2654790886790824</x:v>
      </x:c>
      <x:c r="AK227" s="64" t="n">
        <x:f>Q227+AI227</x:f>
        <x:v>1983.1690000000003</x:v>
      </x:c>
      <x:c r="AL227" s="65" t="n">
        <x:f>AK227/Q227</x:f>
        <x:v>0.7345209113209177</x:v>
      </x:c>
      <x:c r="AM227" s="64" t="n">
        <x:f>AK227/L227</x:f>
        <x:v>495.7922500000001</x:v>
      </x:c>
      <x:c r="AN227" s="66" t="str">
        <x:f>IF(AM227&lt;=200,"≤200K",IF(AM227&lt;=350,"200–350K",IF(AM227&lt;=500,"350–500K",IF(AM227&lt;=700,"500–700K","&gt;700K"))))</x:f>
        <x:v>350–500K</x:v>
      </x:c>
      <x:c r="AO227" s="64" t="n">
        <x:f>-ROUND(Q227*'Drivers'!R227,3)</x:f>
        <x:v>-1002.153</x:v>
      </x:c>
      <x:c r="AP227" s="64" t="n">
        <x:f>-ROUND(AK227*'Drivers'!S227,3)</x:f>
        <x:v>-27.027</x:v>
      </x:c>
      <x:c r="AQ227" s="64" t="n">
        <x:f>-ROUND(AK227*'Drivers'!T227,3)</x:f>
        <x:v>-7.492</x:v>
      </x:c>
      <x:c r="AR227" s="64" t="n">
        <x:f>-ROUND(AK227*'Drivers'!U227,3)</x:f>
        <x:v>-13.692</x:v>
      </x:c>
      <x:c r="AS227" s="64" t="n">
        <x:f>-ROUND(AK227*'Drivers'!V227,3)</x:f>
        <x:v>-68.536</x:v>
      </x:c>
      <x:c r="AT227" s="64" t="n">
        <x:f>SUM(AO227:AS227)</x:f>
        <x:v>-1118.9</x:v>
      </x:c>
      <x:c r="AU227" s="65" t="n">
        <x:f>AT227/AK227</x:f>
        <x:v>-0.5641980083391783</x:v>
      </x:c>
      <x:c r="AV227" s="64" t="n">
        <x:f>AK227+AT227</x:f>
        <x:v>864.2690000000002</x:v>
      </x:c>
      <x:c r="AW227" s="65" t="n">
        <x:f>AV227/AK227</x:f>
        <x:v>0.4358019916608217</x:v>
      </x:c>
      <x:c r="AX227" s="64" t="n">
        <x:f>-ROUND(AK227*'Drivers'!W227,3)</x:f>
        <x:v>-19.444</x:v>
      </x:c>
      <x:c r="AY227" s="64" t="n">
        <x:f>-ROUND(AK227*'Drivers'!X227,3)</x:f>
        <x:v>-50.614</x:v>
      </x:c>
      <x:c r="AZ227" s="64" t="n">
        <x:f>-ROUND(AK227*'Drivers'!Y227,3)</x:f>
        <x:v>-40.407</x:v>
      </x:c>
      <x:c r="BA227" s="64" t="n">
        <x:f>-ROUND(AK227*'Drivers'!Z227,3)</x:f>
        <x:v>-11.91</x:v>
      </x:c>
      <x:c r="BB227" s="64" t="n">
        <x:f>-ROUND(AK227*'Drivers'!AA227,3)</x:f>
        <x:v>-15.865</x:v>
      </x:c>
      <x:c r="BC227" s="64" t="n">
        <x:f>SUM(BA227,BB227)</x:f>
        <x:v>-27.775</x:v>
      </x:c>
      <x:c r="BD227" s="64" t="n">
        <x:f>-ROUND(AK227*'Drivers'!AB227,3)</x:f>
        <x:v>-6.35</x:v>
      </x:c>
      <x:c r="BE227" s="64" t="n">
        <x:f>SUM(AX227:BB227,BD227)</x:f>
        <x:v>-144.58999999999997</x:v>
      </x:c>
      <x:c r="BF227" s="67" t="n">
        <x:f>'Drivers'!AF227</x:f>
        <x:v>7</x:v>
      </x:c>
      <x:c r="BG227" s="64" t="n">
        <x:f>BJ227</x:f>
        <x:v>-49.066</x:v>
      </x:c>
      <x:c r="BH227" s="64" t="n">
        <x:f>BE227/BF227</x:f>
        <x:v>-20.655714285714282</x:v>
      </x:c>
      <x:c r="BI227" s="68" t="n">
        <x:f>BF227/L227</x:f>
        <x:v>1.75</x:v>
      </x:c>
      <x:c r="BJ227" s="64" t="n">
        <x:f>-ROUND(AK227*'Drivers'!AC227,3)</x:f>
        <x:v>-49.066</x:v>
      </x:c>
      <x:c r="BK227" s="64" t="n">
        <x:f>-ROUND(AK227*'Drivers'!AD227,3)</x:f>
        <x:v>-202.249</x:v>
      </x:c>
      <x:c r="BL227" s="64" t="n">
        <x:f>SUM(AV227,BE227,BJ227,BK227)</x:f>
        <x:v>468.36400000000026</x:v>
      </x:c>
      <x:c r="BM227" s="65" t="n">
        <x:f>BL227/AK227</x:f>
        <x:v>0.23616948429508539</x:v>
      </x:c>
      <x:c r="BN227" s="64" t="n">
        <x:f>-ROUND(AK227*'Drivers'!AE227,3)</x:f>
        <x:v>-144.85</x:v>
      </x:c>
      <x:c r="BO227" s="64" t="n">
        <x:f>BL227+BN227</x:f>
        <x:v>323.51400000000024</x:v>
      </x:c>
      <x:c r="BP227" s="65" t="n">
        <x:f>BO227/AK227</x:f>
        <x:v>0.16312981899172496</x:v>
      </x:c>
    </x:row>
    <x:row r="228">
      <x:c r="A228" s="61" t="n">
        <x:v>2026</x:v>
      </x:c>
      <x:c r="B228" s="18" t="str">
        <x:v>S1</x:v>
      </x:c>
      <x:c r="C228" s="18" t="str">
        <x:v>2026 S1</x:v>
      </x:c>
      <x:c r="D228" s="18" t="str">
        <x:v>CNCT0057</x:v>
      </x:c>
      <x:c r="E228" s="18" t="str">
        <x:v>武汉SKP</x:v>
      </x:c>
      <x:c r="F228" s="18" t="str">
        <x:v>武汉</x:v>
      </x:c>
      <x:c r="G228" s="18" t="str">
        <x:v>湖北省</x:v>
      </x:c>
      <x:c r="H228" s="18" t="str">
        <x:v>南区</x:v>
      </x:c>
      <x:c r="I228" s="18" t="str">
        <x:v>Shopping Mall</x:v>
      </x:c>
      <x:c r="J228" s="18" t="str">
        <x:v>Prestige Shopping Center</x:v>
      </x:c>
      <x:c r="K228" s="18" t="str">
        <x:v>正常</x:v>
      </x:c>
      <x:c r="L228" s="62" t="n">
        <x:v>4</x:v>
      </x:c>
      <x:c r="M228" s="62" t="n">
        <x:v>50</x:v>
      </x:c>
      <x:c r="N228" s="63" t="n">
        <x:f>'Drivers'!C228</x:f>
        <x:v>2349</x:v>
      </x:c>
      <x:c r="O228" s="63" t="n">
        <x:f>'Drivers'!D228</x:f>
        <x:v>1279.522</x:v>
      </x:c>
      <x:c r="P228" s="64" t="n">
        <x:f>ROUND(N228*O228/1000,3)</x:f>
        <x:v>3005.597</x:v>
      </x:c>
      <x:c r="Q228" s="64" t="n">
        <x:f>ROUND(P228*'Drivers'!E228,3)</x:f>
        <x:v>2944.743</x:v>
      </x:c>
      <x:c r="R228" s="64" t="n">
        <x:f>-ROUND(Q228*'Drivers'!F228,3)</x:f>
        <x:v>-504.543</x:v>
      </x:c>
      <x:c r="S228" s="65" t="n">
        <x:f>R228/Q228</x:f>
        <x:v>-0.17133685350470312</x:v>
      </x:c>
      <x:c r="T228" s="64" t="n">
        <x:f>-ROUND(Q228*'Drivers'!G228,3)</x:f>
        <x:v>-58.398</x:v>
      </x:c>
      <x:c r="U228" s="65" t="n">
        <x:f>T228/Q228</x:f>
        <x:v>-0.01983127220270156</x:v>
      </x:c>
      <x:c r="V228" s="64" t="n">
        <x:f>-ROUND(Q228*'Drivers'!H228,3)</x:f>
        <x:v>-21.468</x:v>
      </x:c>
      <x:c r="W228" s="64" t="n">
        <x:f>-ROUND(Q228*'Drivers'!I228,3)</x:f>
        <x:v>-17.811</x:v>
      </x:c>
      <x:c r="X228" s="64" t="n">
        <x:f>-ROUND(Q228*'Drivers'!J228,3)</x:f>
        <x:v>-33.298</x:v>
      </x:c>
      <x:c r="Y228" s="64" t="n">
        <x:f>-ROUND(Q228*'Drivers'!K228,3)</x:f>
        <x:v>-34.17</x:v>
      </x:c>
      <x:c r="Z228" s="64" t="n">
        <x:f>-ROUND(Q228*'Drivers'!L228,3)</x:f>
        <x:v>-34.28</x:v>
      </x:c>
      <x:c r="AA228" s="64" t="n">
        <x:f>-ROUND(Q228*'Drivers'!M228,3)</x:f>
        <x:v>-23.414</x:v>
      </x:c>
      <x:c r="AB228" s="64" t="n">
        <x:f>-ROUND(Q228*'Drivers'!N228,3)</x:f>
        <x:v>-18.137</x:v>
      </x:c>
      <x:c r="AC228" s="64" t="n">
        <x:f>SUM(V228:AB228)</x:f>
        <x:v>-182.57799999999997</x:v>
      </x:c>
      <x:c r="AD228" s="65" t="n">
        <x:f>AC228/Q228</x:f>
        <x:v>-0.06200133594001241</x:v>
      </x:c>
      <x:c r="AE228" s="64" t="n">
        <x:f>-ROUND(Q228*'Drivers'!O228,3)</x:f>
        <x:v>-20.955</x:v>
      </x:c>
      <x:c r="AF228" s="65" t="n">
        <x:f>AE228/Q228</x:f>
        <x:v>-0.007116070910093002</x:v>
      </x:c>
      <x:c r="AG228" s="64" t="n">
        <x:f>-ROUND(Q228*'Drivers'!P228,3)</x:f>
        <x:v>-5.055</x:v>
      </x:c>
      <x:c r="AH228" s="64" t="n">
        <x:f>-ROUND(Q228*'Drivers'!Q228,3)</x:f>
        <x:v>-16.414</x:v>
      </x:c>
      <x:c r="AI228" s="64" t="n">
        <x:f>SUM(R228,T228,AC228,AE228,AG228,AH228)</x:f>
        <x:v>-787.943</x:v>
      </x:c>
      <x:c r="AJ228" s="65" t="n">
        <x:f>AI228/Q228</x:f>
        <x:v>-0.26757615180679606</x:v>
      </x:c>
      <x:c r="AK228" s="64" t="n">
        <x:f>Q228+AI228</x:f>
        <x:v>2156.8</x:v>
      </x:c>
      <x:c r="AL228" s="65" t="n">
        <x:f>AK228/Q228</x:f>
        <x:v>0.732423848193204</x:v>
      </x:c>
      <x:c r="AM228" s="64" t="n">
        <x:f>AK228/L228</x:f>
        <x:v>539.2</x:v>
      </x:c>
      <x:c r="AN228" s="66" t="str">
        <x:f>IF(AM228&lt;=200,"≤200K",IF(AM228&lt;=350,"200–350K",IF(AM228&lt;=500,"350–500K",IF(AM228&lt;=700,"500–700K","&gt;700K"))))</x:f>
        <x:v>500–700K</x:v>
      </x:c>
      <x:c r="AO228" s="64" t="n">
        <x:f>-ROUND(Q228*'Drivers'!R228,3)</x:f>
        <x:v>-1112.963</x:v>
      </x:c>
      <x:c r="AP228" s="64" t="n">
        <x:f>-ROUND(AK228*'Drivers'!S228,3)</x:f>
        <x:v>-29.393</x:v>
      </x:c>
      <x:c r="AQ228" s="64" t="n">
        <x:f>-ROUND(AK228*'Drivers'!T228,3)</x:f>
        <x:v>-8.148</x:v>
      </x:c>
      <x:c r="AR228" s="64" t="n">
        <x:f>-ROUND(AK228*'Drivers'!U228,3)</x:f>
        <x:v>-14.891</x:v>
      </x:c>
      <x:c r="AS228" s="64" t="n">
        <x:f>-ROUND(AK228*'Drivers'!V228,3)</x:f>
        <x:v>-74.537</x:v>
      </x:c>
      <x:c r="AT228" s="64" t="n">
        <x:f>SUM(AO228:AS228)</x:f>
        <x:v>-1239.932</x:v>
      </x:c>
      <x:c r="AU228" s="65" t="n">
        <x:f>AT228/AK228</x:f>
        <x:v>-0.5748942878338279</x:v>
      </x:c>
      <x:c r="AV228" s="64" t="n">
        <x:f>AK228+AT228</x:f>
        <x:v>916.8680000000002</x:v>
      </x:c>
      <x:c r="AW228" s="65" t="n">
        <x:f>AV228/AK228</x:f>
        <x:v>0.42510571216617216</x:v>
      </x:c>
      <x:c r="AX228" s="64" t="n">
        <x:f>-ROUND(AK228*'Drivers'!W228,3)</x:f>
        <x:v>-20.301</x:v>
      </x:c>
      <x:c r="AY228" s="64" t="n">
        <x:f>-ROUND(AK228*'Drivers'!X228,3)</x:f>
        <x:v>-52.844</x:v>
      </x:c>
      <x:c r="AZ228" s="64" t="n">
        <x:f>-ROUND(AK228*'Drivers'!Y228,3)</x:f>
        <x:v>-42.187</x:v>
      </x:c>
      <x:c r="BA228" s="64" t="n">
        <x:f>-ROUND(AK228*'Drivers'!Z228,3)</x:f>
        <x:v>-12.435</x:v>
      </x:c>
      <x:c r="BB228" s="64" t="n">
        <x:f>-ROUND(AK228*'Drivers'!AA228,3)</x:f>
        <x:v>-16.564</x:v>
      </x:c>
      <x:c r="BC228" s="64" t="n">
        <x:f>SUM(BA228,BB228)</x:f>
        <x:v>-28.999000000000002</x:v>
      </x:c>
      <x:c r="BD228" s="64" t="n">
        <x:f>-ROUND(AK228*'Drivers'!AB228,3)</x:f>
        <x:v>-6.63</x:v>
      </x:c>
      <x:c r="BE228" s="64" t="n">
        <x:f>SUM(AX228:BB228,BD228)</x:f>
        <x:v>-150.96099999999998</x:v>
      </x:c>
      <x:c r="BF228" s="67" t="n">
        <x:f>'Drivers'!AF228</x:f>
        <x:v>7</x:v>
      </x:c>
      <x:c r="BG228" s="64" t="n">
        <x:f>BJ228</x:f>
        <x:v>-51.228</x:v>
      </x:c>
      <x:c r="BH228" s="64" t="n">
        <x:f>BE228/BF228</x:f>
        <x:v>-21.56585714285714</x:v>
      </x:c>
      <x:c r="BI228" s="68" t="n">
        <x:f>BF228/L228</x:f>
        <x:v>1.75</x:v>
      </x:c>
      <x:c r="BJ228" s="64" t="n">
        <x:f>-ROUND(AK228*'Drivers'!AC228,3)</x:f>
        <x:v>-51.228</x:v>
      </x:c>
      <x:c r="BK228" s="64" t="n">
        <x:f>-ROUND(AK228*'Drivers'!AD228,3)</x:f>
        <x:v>-211.158</x:v>
      </x:c>
      <x:c r="BL228" s="64" t="n">
        <x:f>SUM(AV228,BE228,BJ228,BK228)</x:f>
        <x:v>503.5210000000002</x:v>
      </x:c>
      <x:c r="BM228" s="65" t="n">
        <x:f>BL228/AK228</x:f>
        <x:v>0.23345743694362026</x:v>
      </x:c>
      <x:c r="BN228" s="64" t="n">
        <x:f>-ROUND(AK228*'Drivers'!AE228,3)</x:f>
        <x:v>-157.532</x:v>
      </x:c>
      <x:c r="BO228" s="64" t="n">
        <x:f>BL228+BN228</x:f>
        <x:v>345.98900000000015</x:v>
      </x:c>
      <x:c r="BP228" s="65" t="n">
        <x:f>BO228/AK228</x:f>
        <x:v>0.16041774851632054</x:v>
      </x:c>
    </x:row>
    <x:row r="229">
      <x:c r="A229" s="61" t="n">
        <x:v>2026</x:v>
      </x:c>
      <x:c r="B229" s="18" t="str">
        <x:v>S2</x:v>
      </x:c>
      <x:c r="C229" s="18" t="str">
        <x:v>2026 S2</x:v>
      </x:c>
      <x:c r="D229" s="18" t="str">
        <x:v>CNCT0057</x:v>
      </x:c>
      <x:c r="E229" s="18" t="str">
        <x:v>武汉SKP</x:v>
      </x:c>
      <x:c r="F229" s="18" t="str">
        <x:v>武汉</x:v>
      </x:c>
      <x:c r="G229" s="18" t="str">
        <x:v>湖北省</x:v>
      </x:c>
      <x:c r="H229" s="18" t="str">
        <x:v>南区</x:v>
      </x:c>
      <x:c r="I229" s="18" t="str">
        <x:v>Shopping Mall</x:v>
      </x:c>
      <x:c r="J229" s="18" t="str">
        <x:v>Prestige Shopping Center</x:v>
      </x:c>
      <x:c r="K229" s="18" t="str">
        <x:v>正常</x:v>
      </x:c>
      <x:c r="L229" s="62" t="n">
        <x:v>4</x:v>
      </x:c>
      <x:c r="M229" s="62" t="n">
        <x:v>50</x:v>
      </x:c>
      <x:c r="N229" s="63" t="n">
        <x:f>'Drivers'!C229</x:f>
        <x:v>2375</x:v>
      </x:c>
      <x:c r="O229" s="63" t="n">
        <x:f>'Drivers'!D229</x:f>
        <x:v>1287.871</x:v>
      </x:c>
      <x:c r="P229" s="64" t="n">
        <x:f>ROUND(N229*O229/1000,3)</x:f>
        <x:v>3058.694</x:v>
      </x:c>
      <x:c r="Q229" s="64" t="n">
        <x:f>ROUND(P229*'Drivers'!E229,3)</x:f>
        <x:v>2977.167</x:v>
      </x:c>
      <x:c r="R229" s="64" t="n">
        <x:f>-ROUND(Q229*'Drivers'!F229,3)</x:f>
        <x:v>-498.66</x:v>
      </x:c>
      <x:c r="S229" s="65" t="n">
        <x:f>R229/Q229</x:f>
        <x:v>-0.16749480294521604</x:v>
      </x:c>
      <x:c r="T229" s="64" t="n">
        <x:f>-ROUND(Q229*'Drivers'!G229,3)</x:f>
        <x:v>-58.717</x:v>
      </x:c>
      <x:c r="U229" s="65" t="n">
        <x:f>T229/Q229</x:f>
        <x:v>-0.019722440830494226</x:v>
      </x:c>
      <x:c r="V229" s="64" t="n">
        <x:f>-ROUND(Q229*'Drivers'!H229,3)</x:f>
        <x:v>-21.704</x:v>
      </x:c>
      <x:c r="W229" s="64" t="n">
        <x:f>-ROUND(Q229*'Drivers'!I229,3)</x:f>
        <x:v>-18.007</x:v>
      </x:c>
      <x:c r="X229" s="64" t="n">
        <x:f>-ROUND(Q229*'Drivers'!J229,3)</x:f>
        <x:v>-33.665</x:v>
      </x:c>
      <x:c r="Y229" s="64" t="n">
        <x:f>-ROUND(Q229*'Drivers'!K229,3)</x:f>
        <x:v>-34.546</x:v>
      </x:c>
      <x:c r="Z229" s="64" t="n">
        <x:f>-ROUND(Q229*'Drivers'!L229,3)</x:f>
        <x:v>-34.657</x:v>
      </x:c>
      <x:c r="AA229" s="64" t="n">
        <x:f>-ROUND(Q229*'Drivers'!M229,3)</x:f>
        <x:v>-23.672</x:v>
      </x:c>
      <x:c r="AB229" s="64" t="n">
        <x:f>-ROUND(Q229*'Drivers'!N229,3)</x:f>
        <x:v>-18.336</x:v>
      </x:c>
      <x:c r="AC229" s="64" t="n">
        <x:f>SUM(V229:AB229)</x:f>
        <x:v>-184.587</x:v>
      </x:c>
      <x:c r="AD229" s="65" t="n">
        <x:f>AC229/Q229</x:f>
        <x:v>-0.06200088876438574</x:v>
      </x:c>
      <x:c r="AE229" s="64" t="n">
        <x:f>-ROUND(Q229*'Drivers'!O229,3)</x:f>
        <x:v>-27.03</x:v>
      </x:c>
      <x:c r="AF229" s="65" t="n">
        <x:f>AE229/Q229</x:f>
        <x:v>-0.00907910103800022</x:v>
      </x:c>
      <x:c r="AG229" s="64" t="n">
        <x:f>-ROUND(Q229*'Drivers'!P229,3)</x:f>
        <x:v>-5.111</x:v>
      </x:c>
      <x:c r="AH229" s="64" t="n">
        <x:f>-ROUND(Q229*'Drivers'!Q229,3)</x:f>
        <x:v>-16.595</x:v>
      </x:c>
      <x:c r="AI229" s="64" t="n">
        <x:f>SUM(R229,T229,AC229,AE229,AG229,AH229)</x:f>
        <x:v>-790.7</x:v>
      </x:c>
      <x:c r="AJ229" s="65" t="n">
        <x:f>AI229/Q229</x:f>
        <x:v>-0.2655880573713198</x:v>
      </x:c>
      <x:c r="AK229" s="64" t="n">
        <x:f>Q229+AI229</x:f>
        <x:v>2186.4669999999996</x:v>
      </x:c>
      <x:c r="AL229" s="65" t="n">
        <x:f>AK229/Q229</x:f>
        <x:v>0.7344119426286801</x:v>
      </x:c>
      <x:c r="AM229" s="64" t="n">
        <x:f>AK229/L229</x:f>
        <x:v>546.6167499999999</x:v>
      </x:c>
      <x:c r="AN229" s="66" t="str">
        <x:f>IF(AM229&lt;=200,"≤200K",IF(AM229&lt;=350,"200–350K",IF(AM229&lt;=500,"350–500K",IF(AM229&lt;=700,"500–700K","&gt;700K"))))</x:f>
        <x:v>500–700K</x:v>
      </x:c>
      <x:c r="AO229" s="64" t="n">
        <x:f>-ROUND(Q229*'Drivers'!R229,3)</x:f>
        <x:v>-1079.583</x:v>
      </x:c>
      <x:c r="AP229" s="64" t="n">
        <x:f>-ROUND(AK229*'Drivers'!S229,3)</x:f>
        <x:v>-29.798</x:v>
      </x:c>
      <x:c r="AQ229" s="64" t="n">
        <x:f>-ROUND(AK229*'Drivers'!T229,3)</x:f>
        <x:v>-8.261</x:v>
      </x:c>
      <x:c r="AR229" s="64" t="n">
        <x:f>-ROUND(AK229*'Drivers'!U229,3)</x:f>
        <x:v>-15.096</x:v>
      </x:c>
      <x:c r="AS229" s="64" t="n">
        <x:f>-ROUND(AK229*'Drivers'!V229,3)</x:f>
        <x:v>-75.562</x:v>
      </x:c>
      <x:c r="AT229" s="64" t="n">
        <x:f>SUM(AO229:AS229)</x:f>
        <x:v>-1208.3</x:v>
      </x:c>
      <x:c r="AU229" s="65" t="n">
        <x:f>AT229/AK229</x:f>
        <x:v>-0.5526266803935299</x:v>
      </x:c>
      <x:c r="AV229" s="64" t="n">
        <x:f>AK229+AT229</x:f>
        <x:v>978.1669999999997</x:v>
      </x:c>
      <x:c r="AW229" s="65" t="n">
        <x:f>AV229/AK229</x:f>
        <x:v>0.4473733196064701</x:v>
      </x:c>
      <x:c r="AX229" s="64" t="n">
        <x:f>-ROUND(AK229*'Drivers'!W229,3)</x:f>
        <x:v>-21.588</x:v>
      </x:c>
      <x:c r="AY229" s="64" t="n">
        <x:f>-ROUND(AK229*'Drivers'!X229,3)</x:f>
        <x:v>-56.193</x:v>
      </x:c>
      <x:c r="AZ229" s="64" t="n">
        <x:f>-ROUND(AK229*'Drivers'!Y229,3)</x:f>
        <x:v>-44.861</x:v>
      </x:c>
      <x:c r="BA229" s="64" t="n">
        <x:f>-ROUND(AK229*'Drivers'!Z229,3)</x:f>
        <x:v>-13.223</x:v>
      </x:c>
      <x:c r="BB229" s="64" t="n">
        <x:f>-ROUND(AK229*'Drivers'!AA229,3)</x:f>
        <x:v>-17.614</x:v>
      </x:c>
      <x:c r="BC229" s="64" t="n">
        <x:f>SUM(BA229,BB229)</x:f>
        <x:v>-30.837000000000003</x:v>
      </x:c>
      <x:c r="BD229" s="64" t="n">
        <x:f>-ROUND(AK229*'Drivers'!AB229,3)</x:f>
        <x:v>-7.05</x:v>
      </x:c>
      <x:c r="BE229" s="64" t="n">
        <x:f>SUM(AX229:BB229,BD229)</x:f>
        <x:v>-160.52900000000002</x:v>
      </x:c>
      <x:c r="BF229" s="67" t="n">
        <x:f>'Drivers'!AF229</x:f>
        <x:v>7</x:v>
      </x:c>
      <x:c r="BG229" s="64" t="n">
        <x:f>BJ229</x:f>
        <x:v>-54.475</x:v>
      </x:c>
      <x:c r="BH229" s="64" t="n">
        <x:f>BE229/BF229</x:f>
        <x:v>-22.93271428571429</x:v>
      </x:c>
      <x:c r="BI229" s="68" t="n">
        <x:f>BF229/L229</x:f>
        <x:v>1.75</x:v>
      </x:c>
      <x:c r="BJ229" s="64" t="n">
        <x:f>-ROUND(AK229*'Drivers'!AC229,3)</x:f>
        <x:v>-54.475</x:v>
      </x:c>
      <x:c r="BK229" s="64" t="n">
        <x:f>-ROUND(AK229*'Drivers'!AD229,3)</x:f>
        <x:v>-222.982</x:v>
      </x:c>
      <x:c r="BL229" s="64" t="n">
        <x:f>SUM(AV229,BE229,BJ229,BK229)</x:f>
        <x:v>540.1809999999997</x:v>
      </x:c>
      <x:c r="BM229" s="65" t="n">
        <x:f>BL229/AK229</x:f>
        <x:v>0.24705655287731293</x:v>
      </x:c>
      <x:c r="BN229" s="64" t="n">
        <x:f>-ROUND(AK229*'Drivers'!AE229,3)</x:f>
        <x:v>-159.699</x:v>
      </x:c>
      <x:c r="BO229" s="64" t="n">
        <x:f>BL229+BN229</x:f>
        <x:v>380.4819999999997</x:v>
      </x:c>
      <x:c r="BP229" s="65" t="n">
        <x:f>BO229/AK229</x:f>
        <x:v>0.17401680427831737</x:v>
      </x:c>
    </x:row>
    <x:row r="230">
      <x:c r="A230" s="61" t="n">
        <x:v>2025</x:v>
      </x:c>
      <x:c r="B230" s="18" t="str">
        <x:v>S1</x:v>
      </x:c>
      <x:c r="C230" s="18" t="str">
        <x:v>2025 S1</x:v>
      </x:c>
      <x:c r="D230" s="18" t="str">
        <x:v>CNCT0058</x:v>
      </x:c>
      <x:c r="E230" s="18" t="str">
        <x:v>武汉恒隆广场</x:v>
      </x:c>
      <x:c r="F230" s="18" t="str">
        <x:v>武汉</x:v>
      </x:c>
      <x:c r="G230" s="18" t="str">
        <x:v>湖北省</x:v>
      </x:c>
      <x:c r="H230" s="18" t="str">
        <x:v>南区</x:v>
      </x:c>
      <x:c r="I230" s="18" t="str">
        <x:v>Shopping Mall</x:v>
      </x:c>
      <x:c r="J230" s="18" t="str">
        <x:v>Prestige Shopping Center</x:v>
      </x:c>
      <x:c r="K230" s="18" t="str">
        <x:v>正常</x:v>
      </x:c>
      <x:c r="L230" s="62" t="n">
        <x:v>6</x:v>
      </x:c>
      <x:c r="M230" s="62" t="n">
        <x:v>46</x:v>
      </x:c>
      <x:c r="N230" s="63" t="n">
        <x:f>'Drivers'!C230</x:f>
        <x:v>2445</x:v>
      </x:c>
      <x:c r="O230" s="63" t="n">
        <x:f>'Drivers'!D230</x:f>
        <x:v>1239.175</x:v>
      </x:c>
      <x:c r="P230" s="64" t="n">
        <x:f>ROUND(N230*O230/1000,3)</x:f>
        <x:v>3029.783</x:v>
      </x:c>
      <x:c r="Q230" s="64" t="n">
        <x:f>ROUND(P230*'Drivers'!E230,3)</x:f>
        <x:v>2956.353</x:v>
      </x:c>
      <x:c r="R230" s="64" t="n">
        <x:f>-ROUND(Q230*'Drivers'!F230,3)</x:f>
        <x:v>-597.295</x:v>
      </x:c>
      <x:c r="S230" s="65" t="n">
        <x:f>R230/Q230</x:f>
        <x:v>-0.2020377810092367</x:v>
      </x:c>
      <x:c r="T230" s="64" t="n">
        <x:f>-ROUND(Q230*'Drivers'!G230,3)</x:f>
        <x:v>-41.57</x:v>
      </x:c>
      <x:c r="U230" s="65" t="n">
        <x:f>T230/Q230</x:f>
        <x:v>-0.01406124370127654</x:v>
      </x:c>
      <x:c r="V230" s="64" t="n">
        <x:f>-ROUND(Q230*'Drivers'!H230,3)</x:f>
        <x:v>-24.13</x:v>
      </x:c>
      <x:c r="W230" s="64" t="n">
        <x:f>-ROUND(Q230*'Drivers'!I230,3)</x:f>
        <x:v>-17.075</x:v>
      </x:c>
      <x:c r="X230" s="64" t="n">
        <x:f>-ROUND(Q230*'Drivers'!J230,3)</x:f>
        <x:v>-34.477</x:v>
      </x:c>
      <x:c r="Y230" s="64" t="n">
        <x:f>-ROUND(Q230*'Drivers'!K230,3)</x:f>
        <x:v>-27.533</x:v>
      </x:c>
      <x:c r="Z230" s="64" t="n">
        <x:f>-ROUND(Q230*'Drivers'!L230,3)</x:f>
        <x:v>-30.347</x:v>
      </x:c>
      <x:c r="AA230" s="64" t="n">
        <x:f>-ROUND(Q230*'Drivers'!M230,3)</x:f>
        <x:v>-23.212</x:v>
      </x:c>
      <x:c r="AB230" s="64" t="n">
        <x:f>-ROUND(Q230*'Drivers'!N230,3)</x:f>
        <x:v>-21.988</x:v>
      </x:c>
      <x:c r="AC230" s="64" t="n">
        <x:f>SUM(V230:AB230)</x:f>
        <x:v>-178.76199999999997</x:v>
      </x:c>
      <x:c r="AD230" s="65" t="n">
        <x:f>AC230/Q230</x:f>
        <x:v>-0.06046706871608362</x:v>
      </x:c>
      <x:c r="AE230" s="64" t="n">
        <x:f>-ROUND(Q230*'Drivers'!O230,3)</x:f>
        <x:v>-40.532</x:v>
      </x:c>
      <x:c r="AF230" s="65" t="n">
        <x:f>AE230/Q230</x:f>
        <x:v>-0.013710135426994001</x:v>
      </x:c>
      <x:c r="AG230" s="64" t="n">
        <x:f>-ROUND(Q230*'Drivers'!P230,3)</x:f>
        <x:v>-8.137</x:v>
      </x:c>
      <x:c r="AH230" s="64" t="n">
        <x:f>-ROUND(Q230*'Drivers'!Q230,3)</x:f>
        <x:v>-10.742</x:v>
      </x:c>
      <x:c r="AI230" s="64" t="n">
        <x:f>SUM(R230,T230,AC230,AE230,AG230,AH230)</x:f>
        <x:v>-877.038</x:v>
      </x:c>
      <x:c r="AJ230" s="65" t="n">
        <x:f>AI230/Q230</x:f>
        <x:v>-0.29666213743757935</x:v>
      </x:c>
      <x:c r="AK230" s="64" t="n">
        <x:f>Q230+AI230</x:f>
        <x:v>2079.315</x:v>
      </x:c>
      <x:c r="AL230" s="65" t="n">
        <x:f>AK230/Q230</x:f>
        <x:v>0.7033378625624207</x:v>
      </x:c>
      <x:c r="AM230" s="64" t="n">
        <x:f>AK230/L230</x:f>
        <x:v>346.5525</x:v>
      </x:c>
      <x:c r="AN230" s="66" t="str">
        <x:f>IF(AM230&lt;=200,"≤200K",IF(AM230&lt;=350,"200–350K",IF(AM230&lt;=500,"350–500K",IF(AM230&lt;=700,"500–700K","&gt;700K"))))</x:f>
        <x:v>200–350K</x:v>
      </x:c>
      <x:c r="AO230" s="64" t="n">
        <x:f>-ROUND(Q230*'Drivers'!R230,3)</x:f>
        <x:v>-1076.834</x:v>
      </x:c>
      <x:c r="AP230" s="64" t="n">
        <x:f>-ROUND(AK230*'Drivers'!S230,3)</x:f>
        <x:v>-31.878</x:v>
      </x:c>
      <x:c r="AQ230" s="64" t="n">
        <x:f>-ROUND(AK230*'Drivers'!T230,3)</x:f>
        <x:v>-8.618</x:v>
      </x:c>
      <x:c r="AR230" s="64" t="n">
        <x:f>-ROUND(AK230*'Drivers'!U230,3)</x:f>
        <x:v>-17.851</x:v>
      </x:c>
      <x:c r="AS230" s="64" t="n">
        <x:f>-ROUND(AK230*'Drivers'!V230,3)</x:f>
        <x:v>-63.02</x:v>
      </x:c>
      <x:c r="AT230" s="64" t="n">
        <x:f>SUM(AO230:AS230)</x:f>
        <x:v>-1198.201</x:v>
      </x:c>
      <x:c r="AU230" s="65" t="n">
        <x:f>AT230/AK230</x:f>
        <x:v>-0.5762479470402513</x:v>
      </x:c>
      <x:c r="AV230" s="64" t="n">
        <x:f>AK230+AT230</x:f>
        <x:v>881.114</x:v>
      </x:c>
      <x:c r="AW230" s="65" t="n">
        <x:f>AV230/AK230</x:f>
        <x:v>0.42375205295974877</x:v>
      </x:c>
      <x:c r="AX230" s="64" t="n">
        <x:f>-ROUND(AK230*'Drivers'!W230,3)</x:f>
        <x:v>-30.674</x:v>
      </x:c>
      <x:c r="AY230" s="64" t="n">
        <x:f>-ROUND(AK230*'Drivers'!X230,3)</x:f>
        <x:v>-49.848</x:v>
      </x:c>
      <x:c r="AZ230" s="64" t="n">
        <x:f>-ROUND(AK230*'Drivers'!Y230,3)</x:f>
        <x:v>-33.302</x:v>
      </x:c>
      <x:c r="BA230" s="64" t="n">
        <x:f>-ROUND(AK230*'Drivers'!Z230,3)</x:f>
        <x:v>-12.465</x:v>
      </x:c>
      <x:c r="BB230" s="64" t="n">
        <x:f>-ROUND(AK230*'Drivers'!AA230,3)</x:f>
        <x:v>-11.291</x:v>
      </x:c>
      <x:c r="BC230" s="64" t="n">
        <x:f>SUM(BA230,BB230)</x:f>
        <x:v>-23.756</x:v>
      </x:c>
      <x:c r="BD230" s="64" t="n">
        <x:f>-ROUND(AK230*'Drivers'!AB230,3)</x:f>
        <x:v>-6.81</x:v>
      </x:c>
      <x:c r="BE230" s="64" t="n">
        <x:f>SUM(AX230:BB230,BD230)</x:f>
        <x:v>-144.39</x:v>
      </x:c>
      <x:c r="BF230" s="67" t="n">
        <x:f>'Drivers'!AF230</x:f>
        <x:v>8</x:v>
      </x:c>
      <x:c r="BG230" s="64" t="n">
        <x:f>BJ230</x:f>
        <x:v>-59.026</x:v>
      </x:c>
      <x:c r="BH230" s="64" t="n">
        <x:f>BE230/BF230</x:f>
        <x:v>-18.04875</x:v>
      </x:c>
      <x:c r="BI230" s="68" t="n">
        <x:f>BF230/L230</x:f>
        <x:v>1.3333333333333333</x:v>
      </x:c>
      <x:c r="BJ230" s="64" t="n">
        <x:f>-ROUND(AK230*'Drivers'!AC230,3)</x:f>
        <x:v>-59.026</x:v>
      </x:c>
      <x:c r="BK230" s="64" t="n">
        <x:f>-ROUND(AK230*'Drivers'!AD230,3)</x:f>
        <x:v>-236.607</x:v>
      </x:c>
      <x:c r="BL230" s="64" t="n">
        <x:f>SUM(AV230,BE230,BJ230,BK230)</x:f>
        <x:v>441.0910000000001</x:v>
      </x:c>
      <x:c r="BM230" s="65" t="n">
        <x:f>BL230/AK230</x:f>
        <x:v>0.21213284182531272</x:v>
      </x:c>
      <x:c r="BN230" s="64" t="n">
        <x:f>-ROUND(AK230*'Drivers'!AE230,3)</x:f>
        <x:v>-127.697</x:v>
      </x:c>
      <x:c r="BO230" s="64" t="n">
        <x:f>BL230+BN230</x:f>
        <x:v>313.3940000000001</x:v>
      </x:c>
      <x:c r="BP230" s="65" t="n">
        <x:f>BO230/AK230</x:f>
        <x:v>0.15071982840502768</x:v>
      </x:c>
    </x:row>
    <x:row r="231">
      <x:c r="A231" s="61" t="n">
        <x:v>2025</x:v>
      </x:c>
      <x:c r="B231" s="18" t="str">
        <x:v>S2</x:v>
      </x:c>
      <x:c r="C231" s="18" t="str">
        <x:v>2025 S2</x:v>
      </x:c>
      <x:c r="D231" s="18" t="str">
        <x:v>CNCT0058</x:v>
      </x:c>
      <x:c r="E231" s="18" t="str">
        <x:v>武汉恒隆广场</x:v>
      </x:c>
      <x:c r="F231" s="18" t="str">
        <x:v>武汉</x:v>
      </x:c>
      <x:c r="G231" s="18" t="str">
        <x:v>湖北省</x:v>
      </x:c>
      <x:c r="H231" s="18" t="str">
        <x:v>南区</x:v>
      </x:c>
      <x:c r="I231" s="18" t="str">
        <x:v>Shopping Mall</x:v>
      </x:c>
      <x:c r="J231" s="18" t="str">
        <x:v>Prestige Shopping Center</x:v>
      </x:c>
      <x:c r="K231" s="18" t="str">
        <x:v>正常</x:v>
      </x:c>
      <x:c r="L231" s="62" t="n">
        <x:v>6</x:v>
      </x:c>
      <x:c r="M231" s="62" t="n">
        <x:v>46</x:v>
      </x:c>
      <x:c r="N231" s="63" t="n">
        <x:f>'Drivers'!C231</x:f>
        <x:v>2600</x:v>
      </x:c>
      <x:c r="O231" s="63" t="n">
        <x:f>'Drivers'!D231</x:f>
        <x:v>1254.045</x:v>
      </x:c>
      <x:c r="P231" s="64" t="n">
        <x:f>ROUND(N231*O231/1000,3)</x:f>
        <x:v>3260.517</x:v>
      </x:c>
      <x:c r="Q231" s="64" t="n">
        <x:f>ROUND(P231*'Drivers'!E231,3)</x:f>
        <x:v>3143.254</x:v>
      </x:c>
      <x:c r="R231" s="64" t="n">
        <x:f>-ROUND(Q231*'Drivers'!F231,3)</x:f>
        <x:v>-635.056</x:v>
      </x:c>
      <x:c r="S231" s="65" t="n">
        <x:f>R231/Q231</x:f>
        <x:v>-0.20203776086819583</x:v>
      </x:c>
      <x:c r="T231" s="64" t="n">
        <x:f>-ROUND(Q231*'Drivers'!G231,3)</x:f>
        <x:v>-44.198</x:v>
      </x:c>
      <x:c r="U231" s="65" t="n">
        <x:f>T231/Q231</x:f>
        <x:v>-0.014061224450839798</x:v>
      </x:c>
      <x:c r="V231" s="64" t="n">
        <x:f>-ROUND(Q231*'Drivers'!H231,3)</x:f>
        <x:v>-25.655</x:v>
      </x:c>
      <x:c r="W231" s="64" t="n">
        <x:f>-ROUND(Q231*'Drivers'!I231,3)</x:f>
        <x:v>-18.154</x:v>
      </x:c>
      <x:c r="X231" s="64" t="n">
        <x:f>-ROUND(Q231*'Drivers'!J231,3)</x:f>
        <x:v>-36.656</x:v>
      </x:c>
      <x:c r="Y231" s="64" t="n">
        <x:f>-ROUND(Q231*'Drivers'!K231,3)</x:f>
        <x:v>-29.274</x:v>
      </x:c>
      <x:c r="Z231" s="64" t="n">
        <x:f>-ROUND(Q231*'Drivers'!L231,3)</x:f>
        <x:v>-32.265</x:v>
      </x:c>
      <x:c r="AA231" s="64" t="n">
        <x:f>-ROUND(Q231*'Drivers'!M231,3)</x:f>
        <x:v>-24.679</x:v>
      </x:c>
      <x:c r="AB231" s="64" t="n">
        <x:f>-ROUND(Q231*'Drivers'!N231,3)</x:f>
        <x:v>-23.378</x:v>
      </x:c>
      <x:c r="AC231" s="64" t="n">
        <x:f>SUM(V231:AB231)</x:f>
        <x:v>-190.06100000000004</x:v>
      </x:c>
      <x:c r="AD231" s="65" t="n">
        <x:f>AC231/Q231</x:f>
        <x:v>-0.06046631929840861</x:v>
      </x:c>
      <x:c r="AE231" s="64" t="n">
        <x:f>-ROUND(Q231*'Drivers'!O231,3)</x:f>
        <x:v>-43.094</x:v>
      </x:c>
      <x:c r="AF231" s="65" t="n">
        <x:f>AE231/Q231</x:f>
        <x:v>-0.013709996074132095</x:v>
      </x:c>
      <x:c r="AG231" s="64" t="n">
        <x:f>-ROUND(Q231*'Drivers'!P231,3)</x:f>
        <x:v>-8.651</x:v>
      </x:c>
      <x:c r="AH231" s="64" t="n">
        <x:f>-ROUND(Q231*'Drivers'!Q231,3)</x:f>
        <x:v>-11.421</x:v>
      </x:c>
      <x:c r="AI231" s="64" t="n">
        <x:f>SUM(R231,T231,AC231,AE231,AG231,AH231)</x:f>
        <x:v>-932.4810000000001</x:v>
      </x:c>
      <x:c r="AJ231" s="65" t="n">
        <x:f>AI231/Q231</x:f>
        <x:v>-0.29666103980142877</x:v>
      </x:c>
      <x:c r="AK231" s="64" t="n">
        <x:f>Q231+AI231</x:f>
        <x:v>2210.7729999999997</x:v>
      </x:c>
      <x:c r="AL231" s="65" t="n">
        <x:f>AK231/Q231</x:f>
        <x:v>0.7033389601985712</x:v>
      </x:c>
      <x:c r="AM231" s="64" t="n">
        <x:f>AK231/L231</x:f>
        <x:v>368.46216666666663</x:v>
      </x:c>
      <x:c r="AN231" s="66" t="str">
        <x:f>IF(AM231&lt;=200,"≤200K",IF(AM231&lt;=350,"200–350K",IF(AM231&lt;=500,"350–500K",IF(AM231&lt;=700,"500–700K","&gt;700K"))))</x:f>
        <x:v>350–500K</x:v>
      </x:c>
      <x:c r="AO231" s="64" t="n">
        <x:f>-ROUND(Q231*'Drivers'!R231,3)</x:f>
        <x:v>-1112.823</x:v>
      </x:c>
      <x:c r="AP231" s="64" t="n">
        <x:f>-ROUND(AK231*'Drivers'!S231,3)</x:f>
        <x:v>-33.894</x:v>
      </x:c>
      <x:c r="AQ231" s="64" t="n">
        <x:f>-ROUND(AK231*'Drivers'!T231,3)</x:f>
        <x:v>-9.163</x:v>
      </x:c>
      <x:c r="AR231" s="64" t="n">
        <x:f>-ROUND(AK231*'Drivers'!U231,3)</x:f>
        <x:v>-18.98</x:v>
      </x:c>
      <x:c r="AS231" s="64" t="n">
        <x:f>-ROUND(AK231*'Drivers'!V231,3)</x:f>
        <x:v>-67.004</x:v>
      </x:c>
      <x:c r="AT231" s="64" t="n">
        <x:f>SUM(AO231:AS231)</x:f>
        <x:v>-1241.864</x:v>
      </x:c>
      <x:c r="AU231" s="65" t="n">
        <x:f>AT231/AK231</x:f>
        <x:v>-0.5617329323272902</x:v>
      </x:c>
      <x:c r="AV231" s="64" t="n">
        <x:f>AK231+AT231</x:f>
        <x:v>968.9089999999997</x:v>
      </x:c>
      <x:c r="AW231" s="65" t="n">
        <x:f>AV231/AK231</x:f>
        <x:v>0.43826706767270984</x:v>
      </x:c>
      <x:c r="AX231" s="64" t="n">
        <x:f>-ROUND(AK231*'Drivers'!W231,3)</x:f>
        <x:v>-32.613</x:v>
      </x:c>
      <x:c r="AY231" s="64" t="n">
        <x:f>-ROUND(AK231*'Drivers'!X231,3)</x:f>
        <x:v>-52.999</x:v>
      </x:c>
      <x:c r="AZ231" s="64" t="n">
        <x:f>-ROUND(AK231*'Drivers'!Y231,3)</x:f>
        <x:v>-35.407</x:v>
      </x:c>
      <x:c r="BA231" s="64" t="n">
        <x:f>-ROUND(AK231*'Drivers'!Z231,3)</x:f>
        <x:v>-13.253</x:v>
      </x:c>
      <x:c r="BB231" s="64" t="n">
        <x:f>-ROUND(AK231*'Drivers'!AA231,3)</x:f>
        <x:v>-12.005</x:v>
      </x:c>
      <x:c r="BC231" s="64" t="n">
        <x:f>SUM(BA231,BB231)</x:f>
        <x:v>-25.258000000000003</x:v>
      </x:c>
      <x:c r="BD231" s="64" t="n">
        <x:f>-ROUND(AK231*'Drivers'!AB231,3)</x:f>
        <x:v>-7.241</x:v>
      </x:c>
      <x:c r="BE231" s="64" t="n">
        <x:f>SUM(AX231:BB231,BD231)</x:f>
        <x:v>-153.51799999999997</x:v>
      </x:c>
      <x:c r="BF231" s="67" t="n">
        <x:f>'Drivers'!AF231</x:f>
        <x:v>8</x:v>
      </x:c>
      <x:c r="BG231" s="64" t="n">
        <x:f>BJ231</x:f>
        <x:v>-62.757</x:v>
      </x:c>
      <x:c r="BH231" s="64" t="n">
        <x:f>BE231/BF231</x:f>
        <x:v>-19.189749999999997</x:v>
      </x:c>
      <x:c r="BI231" s="68" t="n">
        <x:f>BF231/L231</x:f>
        <x:v>1.3333333333333333</x:v>
      </x:c>
      <x:c r="BJ231" s="64" t="n">
        <x:f>-ROUND(AK231*'Drivers'!AC231,3)</x:f>
        <x:v>-62.757</x:v>
      </x:c>
      <x:c r="BK231" s="64" t="n">
        <x:f>-ROUND(AK231*'Drivers'!AD231,3)</x:f>
        <x:v>-251.566</x:v>
      </x:c>
      <x:c r="BL231" s="64" t="n">
        <x:f>SUM(AV231,BE231,BJ231,BK231)</x:f>
        <x:v>501.06799999999964</x:v>
      </x:c>
      <x:c r="BM231" s="65" t="n">
        <x:f>BL231/AK231</x:f>
        <x:v>0.22664832617369568</x:v>
      </x:c>
      <x:c r="BN231" s="64" t="n">
        <x:f>-ROUND(AK231*'Drivers'!AE231,3)</x:f>
        <x:v>-135.77</x:v>
      </x:c>
      <x:c r="BO231" s="64" t="n">
        <x:f>BL231+BN231</x:f>
        <x:v>365.29799999999966</x:v>
      </x:c>
      <x:c r="BP231" s="65" t="n">
        <x:f>BO231/AK231</x:f>
        <x:v>0.1652354176570818</x:v>
      </x:c>
    </x:row>
    <x:row r="232">
      <x:c r="A232" s="61" t="n">
        <x:v>2026</x:v>
      </x:c>
      <x:c r="B232" s="18" t="str">
        <x:v>S1</x:v>
      </x:c>
      <x:c r="C232" s="18" t="str">
        <x:v>2026 S1</x:v>
      </x:c>
      <x:c r="D232" s="18" t="str">
        <x:v>CNCT0058</x:v>
      </x:c>
      <x:c r="E232" s="18" t="str">
        <x:v>武汉恒隆广场</x:v>
      </x:c>
      <x:c r="F232" s="18" t="str">
        <x:v>武汉</x:v>
      </x:c>
      <x:c r="G232" s="18" t="str">
        <x:v>湖北省</x:v>
      </x:c>
      <x:c r="H232" s="18" t="str">
        <x:v>南区</x:v>
      </x:c>
      <x:c r="I232" s="18" t="str">
        <x:v>Shopping Mall</x:v>
      </x:c>
      <x:c r="J232" s="18" t="str">
        <x:v>Prestige Shopping Center</x:v>
      </x:c>
      <x:c r="K232" s="18" t="str">
        <x:v>正常</x:v>
      </x:c>
      <x:c r="L232" s="62" t="n">
        <x:v>7</x:v>
      </x:c>
      <x:c r="M232" s="62" t="n">
        <x:v>50</x:v>
      </x:c>
      <x:c r="N232" s="63" t="n">
        <x:f>'Drivers'!C232</x:f>
        <x:v>2731</x:v>
      </x:c>
      <x:c r="O232" s="63" t="n">
        <x:f>'Drivers'!D232</x:f>
        <x:v>1304.757</x:v>
      </x:c>
      <x:c r="P232" s="64" t="n">
        <x:f>ROUND(N232*O232/1000,3)</x:f>
        <x:v>3563.291</x:v>
      </x:c>
      <x:c r="Q232" s="64" t="n">
        <x:f>ROUND(P232*'Drivers'!E232,3)</x:f>
        <x:v>3468.299</x:v>
      </x:c>
      <x:c r="R232" s="64" t="n">
        <x:f>-ROUND(Q232*'Drivers'!F232,3)</x:f>
        <x:v>-702.966</x:v>
      </x:c>
      <x:c r="S232" s="65" t="n">
        <x:f>R232/Q232</x:f>
        <x:v>-0.20268321733506828</x:v>
      </x:c>
      <x:c r="T232" s="64" t="n">
        <x:f>-ROUND(Q232*'Drivers'!G232,3)</x:f>
        <x:v>-54.627</x:v>
      </x:c>
      <x:c r="U232" s="65" t="n">
        <x:f>T232/Q232</x:f>
        <x:v>-0.01575037215649516</x:v>
      </x:c>
      <x:c r="V232" s="64" t="n">
        <x:f>-ROUND(Q232*'Drivers'!H232,3)</x:f>
        <x:v>-28.308</x:v>
      </x:c>
      <x:c r="W232" s="64" t="n">
        <x:f>-ROUND(Q232*'Drivers'!I232,3)</x:f>
        <x:v>-20.031</x:v>
      </x:c>
      <x:c r="X232" s="64" t="n">
        <x:f>-ROUND(Q232*'Drivers'!J232,3)</x:f>
        <x:v>-40.447</x:v>
      </x:c>
      <x:c r="Y232" s="64" t="n">
        <x:f>-ROUND(Q232*'Drivers'!K232,3)</x:f>
        <x:v>-32.301</x:v>
      </x:c>
      <x:c r="Z232" s="64" t="n">
        <x:f>-ROUND(Q232*'Drivers'!L232,3)</x:f>
        <x:v>-35.602</x:v>
      </x:c>
      <x:c r="AA232" s="64" t="n">
        <x:f>-ROUND(Q232*'Drivers'!M232,3)</x:f>
        <x:v>-27.231</x:v>
      </x:c>
      <x:c r="AB232" s="64" t="n">
        <x:f>-ROUND(Q232*'Drivers'!N232,3)</x:f>
        <x:v>-25.796</x:v>
      </x:c>
      <x:c r="AC232" s="64" t="n">
        <x:f>SUM(V232:AB232)</x:f>
        <x:v>-209.71599999999998</x:v>
      </x:c>
      <x:c r="AD232" s="65" t="n">
        <x:f>AC232/Q232</x:f>
        <x:v>-0.06046652840484629</x:v>
      </x:c>
      <x:c r="AE232" s="64" t="n">
        <x:f>-ROUND(Q232*'Drivers'!O232,3)</x:f>
        <x:v>-48.467</x:v>
      </x:c>
      <x:c r="AF232" s="65" t="n">
        <x:f>AE232/Q232</x:f>
        <x:v>-0.01397428537735645</x:v>
      </x:c>
      <x:c r="AG232" s="64" t="n">
        <x:f>-ROUND(Q232*'Drivers'!P232,3)</x:f>
        <x:v>-9.546</x:v>
      </x:c>
      <x:c r="AH232" s="64" t="n">
        <x:f>-ROUND(Q232*'Drivers'!Q232,3)</x:f>
        <x:v>-12.602</x:v>
      </x:c>
      <x:c r="AI232" s="64" t="n">
        <x:f>SUM(R232,T232,AC232,AE232,AG232,AH232)</x:f>
        <x:v>-1037.924</x:v>
      </x:c>
      <x:c r="AJ232" s="65" t="n">
        <x:f>AI232/Q232</x:f>
        <x:v>-0.29926024255694217</x:v>
      </x:c>
      <x:c r="AK232" s="64" t="n">
        <x:f>Q232+AI232</x:f>
        <x:v>2430.375</x:v>
      </x:c>
      <x:c r="AL232" s="65" t="n">
        <x:f>AK232/Q232</x:f>
        <x:v>0.7007397574430578</x:v>
      </x:c>
      <x:c r="AM232" s="64" t="n">
        <x:f>AK232/L232</x:f>
        <x:v>347.19642857142856</x:v>
      </x:c>
      <x:c r="AN232" s="66" t="str">
        <x:f>IF(AM232&lt;=200,"≤200K",IF(AM232&lt;=350,"200–350K",IF(AM232&lt;=500,"350–500K",IF(AM232&lt;=700,"500–700K","&gt;700K"))))</x:f>
        <x:v>200–350K</x:v>
      </x:c>
      <x:c r="AO232" s="64" t="n">
        <x:f>-ROUND(Q232*'Drivers'!R232,3)</x:f>
        <x:v>-1268.516</x:v>
      </x:c>
      <x:c r="AP232" s="64" t="n">
        <x:f>-ROUND(AK232*'Drivers'!S232,3)</x:f>
        <x:v>-37.261</x:v>
      </x:c>
      <x:c r="AQ232" s="64" t="n">
        <x:f>-ROUND(AK232*'Drivers'!T232,3)</x:f>
        <x:v>-10.073</x:v>
      </x:c>
      <x:c r="AR232" s="64" t="n">
        <x:f>-ROUND(AK232*'Drivers'!U232,3)</x:f>
        <x:v>-20.865</x:v>
      </x:c>
      <x:c r="AS232" s="64" t="n">
        <x:f>-ROUND(AK232*'Drivers'!V232,3)</x:f>
        <x:v>-73.659</x:v>
      </x:c>
      <x:c r="AT232" s="64" t="n">
        <x:f>SUM(AO232:AS232)</x:f>
        <x:v>-1410.3740000000003</x:v>
      </x:c>
      <x:c r="AU232" s="65" t="n">
        <x:f>AT232/AK232</x:f>
        <x:v>-0.5803112688371137</x:v>
      </x:c>
      <x:c r="AV232" s="64" t="n">
        <x:f>AK232+AT232</x:f>
        <x:v>1020.0009999999997</x:v>
      </x:c>
      <x:c r="AW232" s="65" t="n">
        <x:f>AV232/AK232</x:f>
        <x:v>0.4196887311628863</x:v>
      </x:c>
      <x:c r="AX232" s="64" t="n">
        <x:f>-ROUND(AK232*'Drivers'!W232,3)</x:f>
        <x:v>-34.419</x:v>
      </x:c>
      <x:c r="AY232" s="64" t="n">
        <x:f>-ROUND(AK232*'Drivers'!X232,3)</x:f>
        <x:v>-55.933</x:v>
      </x:c>
      <x:c r="AZ232" s="64" t="n">
        <x:f>-ROUND(AK232*'Drivers'!Y232,3)</x:f>
        <x:v>-37.367</x:v>
      </x:c>
      <x:c r="BA232" s="64" t="n">
        <x:f>-ROUND(AK232*'Drivers'!Z232,3)</x:f>
        <x:v>-13.986</x:v>
      </x:c>
      <x:c r="BB232" s="64" t="n">
        <x:f>-ROUND(AK232*'Drivers'!AA232,3)</x:f>
        <x:v>-12.669</x:v>
      </x:c>
      <x:c r="BC232" s="64" t="n">
        <x:f>SUM(BA232,BB232)</x:f>
        <x:v>-26.655</x:v>
      </x:c>
      <x:c r="BD232" s="64" t="n">
        <x:f>-ROUND(AK232*'Drivers'!AB232,3)</x:f>
        <x:v>-7.642</x:v>
      </x:c>
      <x:c r="BE232" s="64" t="n">
        <x:f>SUM(AX232:BB232,BD232)</x:f>
        <x:v>-162.016</x:v>
      </x:c>
      <x:c r="BF232" s="67" t="n">
        <x:f>'Drivers'!AF232</x:f>
        <x:v>8</x:v>
      </x:c>
      <x:c r="BG232" s="64" t="n">
        <x:f>BJ232</x:f>
        <x:v>-66.232</x:v>
      </x:c>
      <x:c r="BH232" s="64" t="n">
        <x:f>BE232/BF232</x:f>
        <x:v>-20.252</x:v>
      </x:c>
      <x:c r="BI232" s="68" t="n">
        <x:f>BF232/L232</x:f>
        <x:v>1.1428571428571428</x:v>
      </x:c>
      <x:c r="BJ232" s="64" t="n">
        <x:f>-ROUND(AK232*'Drivers'!AC232,3)</x:f>
        <x:v>-66.232</x:v>
      </x:c>
      <x:c r="BK232" s="64" t="n">
        <x:f>-ROUND(AK232*'Drivers'!AD232,3)</x:f>
        <x:v>-265.492</x:v>
      </x:c>
      <x:c r="BL232" s="64" t="n">
        <x:f>SUM(AV232,BE232,BJ232,BK232)</x:f>
        <x:v>526.2609999999997</x:v>
      </x:c>
      <x:c r="BM232" s="65" t="n">
        <x:f>BL232/AK232</x:f>
        <x:v>0.2165348968780537</x:v>
      </x:c>
      <x:c r="BN232" s="64" t="n">
        <x:f>-ROUND(AK232*'Drivers'!AE232,3)</x:f>
        <x:v>-149.257</x:v>
      </x:c>
      <x:c r="BO232" s="64" t="n">
        <x:f>BL232+BN232</x:f>
        <x:v>377.00399999999973</x:v>
      </x:c>
      <x:c r="BP232" s="65" t="n">
        <x:f>BO232/AK232</x:f>
        <x:v>0.15512174047214924</x:v>
      </x:c>
    </x:row>
    <x:row r="233">
      <x:c r="A233" s="61" t="n">
        <x:v>2026</x:v>
      </x:c>
      <x:c r="B233" s="18" t="str">
        <x:v>S2</x:v>
      </x:c>
      <x:c r="C233" s="18" t="str">
        <x:v>2026 S2</x:v>
      </x:c>
      <x:c r="D233" s="18" t="str">
        <x:v>CNCT0058</x:v>
      </x:c>
      <x:c r="E233" s="18" t="str">
        <x:v>武汉恒隆广场</x:v>
      </x:c>
      <x:c r="F233" s="18" t="str">
        <x:v>武汉</x:v>
      </x:c>
      <x:c r="G233" s="18" t="str">
        <x:v>湖北省</x:v>
      </x:c>
      <x:c r="H233" s="18" t="str">
        <x:v>南区</x:v>
      </x:c>
      <x:c r="I233" s="18" t="str">
        <x:v>Shopping Mall</x:v>
      </x:c>
      <x:c r="J233" s="18" t="str">
        <x:v>Prestige Shopping Center</x:v>
      </x:c>
      <x:c r="K233" s="18" t="str">
        <x:v>正常</x:v>
      </x:c>
      <x:c r="L233" s="62" t="n">
        <x:v>7</x:v>
      </x:c>
      <x:c r="M233" s="62" t="n">
        <x:v>50</x:v>
      </x:c>
      <x:c r="N233" s="63" t="n">
        <x:f>'Drivers'!C233</x:f>
        <x:v>2820</x:v>
      </x:c>
      <x:c r="O233" s="63" t="n">
        <x:f>'Drivers'!D233</x:f>
        <x:v>1303.894</x:v>
      </x:c>
      <x:c r="P233" s="64" t="n">
        <x:f>ROUND(N233*O233/1000,3)</x:f>
        <x:v>3676.981</x:v>
      </x:c>
      <x:c r="Q233" s="64" t="n">
        <x:f>ROUND(P233*'Drivers'!E233,3)</x:f>
        <x:v>3544.74</x:v>
      </x:c>
      <x:c r="R233" s="64" t="n">
        <x:f>-ROUND(Q233*'Drivers'!F233,3)</x:f>
        <x:v>-694.937</x:v>
      </x:c>
      <x:c r="S233" s="65" t="n">
        <x:f>R233/Q233</x:f>
        <x:v>-0.19604738288280665</x:v>
      </x:c>
      <x:c r="T233" s="64" t="n">
        <x:f>-ROUND(Q233*'Drivers'!G233,3)</x:f>
        <x:v>-54.797</x:v>
      </x:c>
      <x:c r="U233" s="65" t="n">
        <x:f>T233/Q233</x:f>
        <x:v>-0.01545867962107235</x:v>
      </x:c>
      <x:c r="V233" s="64" t="n">
        <x:f>-ROUND(Q233*'Drivers'!H233,3)</x:f>
        <x:v>-28.932</x:v>
      </x:c>
      <x:c r="W233" s="64" t="n">
        <x:f>-ROUND(Q233*'Drivers'!I233,3)</x:f>
        <x:v>-20.473</x:v>
      </x:c>
      <x:c r="X233" s="64" t="n">
        <x:f>-ROUND(Q233*'Drivers'!J233,3)</x:f>
        <x:v>-41.338</x:v>
      </x:c>
      <x:c r="Y233" s="64" t="n">
        <x:f>-ROUND(Q233*'Drivers'!K233,3)</x:f>
        <x:v>-33.013</x:v>
      </x:c>
      <x:c r="Z233" s="64" t="n">
        <x:f>-ROUND(Q233*'Drivers'!L233,3)</x:f>
        <x:v>-36.387</x:v>
      </x:c>
      <x:c r="AA233" s="64" t="n">
        <x:f>-ROUND(Q233*'Drivers'!M233,3)</x:f>
        <x:v>-27.831</x:v>
      </x:c>
      <x:c r="AB233" s="64" t="n">
        <x:f>-ROUND(Q233*'Drivers'!N233,3)</x:f>
        <x:v>-26.365</x:v>
      </x:c>
      <x:c r="AC233" s="64" t="n">
        <x:f>SUM(V233:AB233)</x:f>
        <x:v>-214.339</x:v>
      </x:c>
      <x:c r="AD233" s="65" t="n">
        <x:f>AC233/Q233</x:f>
        <x:v>-0.060466776124624096</x:v>
      </x:c>
      <x:c r="AE233" s="64" t="n">
        <x:f>-ROUND(Q233*'Drivers'!O233,3)</x:f>
        <x:v>-48.598</x:v>
      </x:c>
      <x:c r="AF233" s="65" t="n">
        <x:f>AE233/Q233</x:f>
        <x:v>-0.013709891275523734</x:v>
      </x:c>
      <x:c r="AG233" s="64" t="n">
        <x:f>-ROUND(Q233*'Drivers'!P233,3)</x:f>
        <x:v>-9.756</x:v>
      </x:c>
      <x:c r="AH233" s="64" t="n">
        <x:f>-ROUND(Q233*'Drivers'!Q233,3)</x:f>
        <x:v>-12.879</x:v>
      </x:c>
      <x:c r="AI233" s="64" t="n">
        <x:f>SUM(R233,T233,AC233,AE233,AG233,AH233)</x:f>
        <x:v>-1035.306</x:v>
      </x:c>
      <x:c r="AJ233" s="65" t="n">
        <x:f>AI233/Q233</x:f>
        <x:v>-0.2920682476006703</x:v>
      </x:c>
      <x:c r="AK233" s="64" t="n">
        <x:f>Q233+AI233</x:f>
        <x:v>2509.4339999999997</x:v>
      </x:c>
      <x:c r="AL233" s="65" t="n">
        <x:f>AK233/Q233</x:f>
        <x:v>0.7079317523993297</x:v>
      </x:c>
      <x:c r="AM233" s="64" t="n">
        <x:f>AK233/L233</x:f>
        <x:v>358.4905714285714</x:v>
      </x:c>
      <x:c r="AN233" s="66" t="str">
        <x:f>IF(AM233&lt;=200,"≤200K",IF(AM233&lt;=350,"200–350K",IF(AM233&lt;=500,"350–500K",IF(AM233&lt;=700,"500–700K","&gt;700K"))))</x:f>
        <x:v>350–500K</x:v>
      </x:c>
      <x:c r="AO233" s="64" t="n">
        <x:f>-ROUND(Q233*'Drivers'!R233,3)</x:f>
        <x:v>-1240.476</x:v>
      </x:c>
      <x:c r="AP233" s="64" t="n">
        <x:f>-ROUND(AK233*'Drivers'!S233,3)</x:f>
        <x:v>-38.473</x:v>
      </x:c>
      <x:c r="AQ233" s="64" t="n">
        <x:f>-ROUND(AK233*'Drivers'!T233,3)</x:f>
        <x:v>-10.401</x:v>
      </x:c>
      <x:c r="AR233" s="64" t="n">
        <x:f>-ROUND(AK233*'Drivers'!U233,3)</x:f>
        <x:v>-21.544</x:v>
      </x:c>
      <x:c r="AS233" s="64" t="n">
        <x:f>-ROUND(AK233*'Drivers'!V233,3)</x:f>
        <x:v>-76.056</x:v>
      </x:c>
      <x:c r="AT233" s="64" t="n">
        <x:f>SUM(AO233:AS233)</x:f>
        <x:v>-1386.9500000000003</x:v>
      </x:c>
      <x:c r="AU233" s="65" t="n">
        <x:f>AT233/AK233</x:f>
        <x:v>-0.5526943525910626</x:v>
      </x:c>
      <x:c r="AV233" s="64" t="n">
        <x:f>AK233+AT233</x:f>
        <x:v>1122.4839999999995</x:v>
      </x:c>
      <x:c r="AW233" s="65" t="n">
        <x:f>AV233/AK233</x:f>
        <x:v>0.44730564740893747</x:v>
      </x:c>
      <x:c r="AX233" s="64" t="n">
        <x:f>-ROUND(AK233*'Drivers'!W233,3)</x:f>
        <x:v>-37.278</x:v>
      </x:c>
      <x:c r="AY233" s="64" t="n">
        <x:f>-ROUND(AK233*'Drivers'!X233,3)</x:f>
        <x:v>-60.58</x:v>
      </x:c>
      <x:c r="AZ233" s="64" t="n">
        <x:f>-ROUND(AK233*'Drivers'!Y233,3)</x:f>
        <x:v>-40.471</x:v>
      </x:c>
      <x:c r="BA233" s="64" t="n">
        <x:f>-ROUND(AK233*'Drivers'!Z233,3)</x:f>
        <x:v>-15.148</x:v>
      </x:c>
      <x:c r="BB233" s="64" t="n">
        <x:f>-ROUND(AK233*'Drivers'!AA233,3)</x:f>
        <x:v>-13.722</x:v>
      </x:c>
      <x:c r="BC233" s="64" t="n">
        <x:f>SUM(BA233,BB233)</x:f>
        <x:v>-28.869999999999997</x:v>
      </x:c>
      <x:c r="BD233" s="64" t="n">
        <x:f>-ROUND(AK233*'Drivers'!AB233,3)</x:f>
        <x:v>-8.277</x:v>
      </x:c>
      <x:c r="BE233" s="64" t="n">
        <x:f>SUM(AX233:BB233,BD233)</x:f>
        <x:v>-175.476</x:v>
      </x:c>
      <x:c r="BF233" s="67" t="n">
        <x:f>'Drivers'!AF233</x:f>
        <x:v>8</x:v>
      </x:c>
      <x:c r="BG233" s="64" t="n">
        <x:f>BJ233</x:f>
        <x:v>-71.734</x:v>
      </x:c>
      <x:c r="BH233" s="64" t="n">
        <x:f>BE233/BF233</x:f>
        <x:v>-21.9345</x:v>
      </x:c>
      <x:c r="BI233" s="68" t="n">
        <x:f>BF233/L233</x:f>
        <x:v>1.1428571428571428</x:v>
      </x:c>
      <x:c r="BJ233" s="64" t="n">
        <x:f>-ROUND(AK233*'Drivers'!AC233,3)</x:f>
        <x:v>-71.734</x:v>
      </x:c>
      <x:c r="BK233" s="64" t="n">
        <x:f>-ROUND(AK233*'Drivers'!AD233,3)</x:f>
        <x:v>-285.55</x:v>
      </x:c>
      <x:c r="BL233" s="64" t="n">
        <x:f>SUM(AV233,BE233,BJ233,BK233)</x:f>
        <x:v>589.7239999999995</x:v>
      </x:c>
      <x:c r="BM233" s="65" t="n">
        <x:f>BL233/AK233</x:f>
        <x:v>0.23500279345860442</x:v>
      </x:c>
      <x:c r="BN233" s="64" t="n">
        <x:f>-ROUND(AK233*'Drivers'!AE233,3)</x:f>
        <x:v>-154.112</x:v>
      </x:c>
      <x:c r="BO233" s="64" t="n">
        <x:f>BL233+BN233</x:f>
        <x:v>435.6119999999995</x:v>
      </x:c>
      <x:c r="BP233" s="65" t="n">
        <x:f>BO233/AK233</x:f>
        <x:v>0.17358974175053002</x:v>
      </x:c>
    </x:row>
    <x:row r="234">
      <x:c r="A234" s="61" t="n">
        <x:v>2025</x:v>
      </x:c>
      <x:c r="B234" s="18" t="str">
        <x:v>S1</x:v>
      </x:c>
      <x:c r="C234" s="18" t="str">
        <x:v>2025 S1</x:v>
      </x:c>
      <x:c r="D234" s="18" t="str">
        <x:v>CNCT0059</x:v>
      </x:c>
      <x:c r="E234" s="18" t="str">
        <x:v>武汉群光广场</x:v>
      </x:c>
      <x:c r="F234" s="18" t="str">
        <x:v>武汉</x:v>
      </x:c>
      <x:c r="G234" s="18" t="str">
        <x:v>湖北省</x:v>
      </x:c>
      <x:c r="H234" s="18" t="str">
        <x:v>南区</x:v>
      </x:c>
      <x:c r="I234" s="18" t="str">
        <x:v>Shopping Mall</x:v>
      </x:c>
      <x:c r="J234" s="18" t="str">
        <x:v>Core Shopping Center</x:v>
      </x:c>
      <x:c r="K234" s="18" t="str">
        <x:v>正常</x:v>
      </x:c>
      <x:c r="L234" s="62" t="n">
        <x:v>6</x:v>
      </x:c>
      <x:c r="M234" s="62" t="n">
        <x:v>46</x:v>
      </x:c>
      <x:c r="N234" s="63" t="n">
        <x:f>'Drivers'!C234</x:f>
        <x:v>2123</x:v>
      </x:c>
      <x:c r="O234" s="63" t="n">
        <x:f>'Drivers'!D234</x:f>
        <x:v>1009.985</x:v>
      </x:c>
      <x:c r="P234" s="64" t="n">
        <x:f>ROUND(N234*O234/1000,3)</x:f>
        <x:v>2144.198</x:v>
      </x:c>
      <x:c r="Q234" s="64" t="n">
        <x:f>ROUND(P234*'Drivers'!E234,3)</x:f>
        <x:v>2067.223</x:v>
      </x:c>
      <x:c r="R234" s="64" t="n">
        <x:f>-ROUND(Q234*'Drivers'!F234,3)</x:f>
        <x:v>-389.438</x:v>
      </x:c>
      <x:c r="S234" s="65" t="n">
        <x:f>R234/Q234</x:f>
        <x:v>-0.18838702936257964</x:v>
      </x:c>
      <x:c r="T234" s="64" t="n">
        <x:f>-ROUND(Q234*'Drivers'!G234,3)</x:f>
        <x:v>-28.601</x:v>
      </x:c>
      <x:c r="U234" s="65" t="n">
        <x:f>T234/Q234</x:f>
        <x:v>-0.013835469129358565</x:v>
      </x:c>
      <x:c r="V234" s="64" t="n">
        <x:f>-ROUND(Q234*'Drivers'!H234,3)</x:f>
        <x:v>-16.918</x:v>
      </x:c>
      <x:c r="W234" s="64" t="n">
        <x:f>-ROUND(Q234*'Drivers'!I234,3)</x:f>
        <x:v>-20.875</x:v>
      </x:c>
      <x:c r="X234" s="64" t="n">
        <x:f>-ROUND(Q234*'Drivers'!J234,3)</x:f>
        <x:v>-24.358</x:v>
      </x:c>
      <x:c r="Y234" s="64" t="n">
        <x:f>-ROUND(Q234*'Drivers'!K234,3)</x:f>
        <x:v>-28.65</x:v>
      </x:c>
      <x:c r="Z234" s="64" t="n">
        <x:f>-ROUND(Q234*'Drivers'!L234,3)</x:f>
        <x:v>-27.071</x:v>
      </x:c>
      <x:c r="AA234" s="64" t="n">
        <x:f>-ROUND(Q234*'Drivers'!M234,3)</x:f>
        <x:v>-21.138</x:v>
      </x:c>
      <x:c r="AB234" s="64" t="n">
        <x:f>-ROUND(Q234*'Drivers'!N234,3)</x:f>
        <x:v>-16.148</x:v>
      </x:c>
      <x:c r="AC234" s="64" t="n">
        <x:f>SUM(V234:AB234)</x:f>
        <x:v>-155.158</x:v>
      </x:c>
      <x:c r="AD234" s="65" t="n">
        <x:f>AC234/Q234</x:f>
        <x:v>-0.07505624695545667</x:v>
      </x:c>
      <x:c r="AE234" s="64" t="n">
        <x:f>-ROUND(Q234*'Drivers'!O234,3)</x:f>
        <x:v>-15.39</x:v>
      </x:c>
      <x:c r="AF234" s="65" t="n">
        <x:f>AE234/Q234</x:f>
        <x:v>-0.007444770109465694</x:v>
      </x:c>
      <x:c r="AG234" s="64" t="n">
        <x:f>-ROUND(Q234*'Drivers'!P234,3)</x:f>
        <x:v>-1.369</x:v>
      </x:c>
      <x:c r="AH234" s="64" t="n">
        <x:f>-ROUND(Q234*'Drivers'!Q234,3)</x:f>
        <x:v>-3.02</x:v>
      </x:c>
      <x:c r="AI234" s="64" t="n">
        <x:f>SUM(R234,T234,AC234,AE234,AG234,AH234)</x:f>
        <x:v>-592.976</x:v>
      </x:c>
      <x:c r="AJ234" s="65" t="n">
        <x:f>AI234/Q234</x:f>
        <x:v>-0.2868466536991897</x:v>
      </x:c>
      <x:c r="AK234" s="64" t="n">
        <x:f>Q234+AI234</x:f>
        <x:v>1474.2469999999998</x:v>
      </x:c>
      <x:c r="AL234" s="65" t="n">
        <x:f>AK234/Q234</x:f>
        <x:v>0.7131533463008103</x:v>
      </x:c>
      <x:c r="AM234" s="64" t="n">
        <x:f>AK234/L234</x:f>
        <x:v>245.7078333333333</x:v>
      </x:c>
      <x:c r="AN234" s="66" t="str">
        <x:f>IF(AM234&lt;=200,"≤200K",IF(AM234&lt;=350,"200–350K",IF(AM234&lt;=500,"350–500K",IF(AM234&lt;=700,"500–700K","&gt;700K"))))</x:f>
        <x:v>200–350K</x:v>
      </x:c>
      <x:c r="AO234" s="64" t="n">
        <x:f>-ROUND(Q234*'Drivers'!R234,3)</x:f>
        <x:v>-756.966</x:v>
      </x:c>
      <x:c r="AP234" s="64" t="n">
        <x:f>-ROUND(AK234*'Drivers'!S234,3)</x:f>
        <x:v>-17.673</x:v>
      </x:c>
      <x:c r="AQ234" s="64" t="n">
        <x:f>-ROUND(AK234*'Drivers'!T234,3)</x:f>
        <x:v>-7.26</x:v>
      </x:c>
      <x:c r="AR234" s="64" t="n">
        <x:f>-ROUND(AK234*'Drivers'!U234,3)</x:f>
        <x:v>-15.372</x:v>
      </x:c>
      <x:c r="AS234" s="64" t="n">
        <x:f>-ROUND(AK234*'Drivers'!V234,3)</x:f>
        <x:v>-44.559</x:v>
      </x:c>
      <x:c r="AT234" s="64" t="n">
        <x:f>SUM(AO234:AS234)</x:f>
        <x:v>-841.8299999999999</x:v>
      </x:c>
      <x:c r="AU234" s="65" t="n">
        <x:f>AT234/AK234</x:f>
        <x:v>-0.5710237158359488</x:v>
      </x:c>
      <x:c r="AV234" s="64" t="n">
        <x:f>AK234+AT234</x:f>
        <x:v>632.4169999999999</x:v>
      </x:c>
      <x:c r="AW234" s="65" t="n">
        <x:f>AV234/AK234</x:f>
        <x:v>0.4289762841640512</x:v>
      </x:c>
      <x:c r="AX234" s="64" t="n">
        <x:f>-ROUND(AK234*'Drivers'!W234,3)</x:f>
        <x:v>-18.009</x:v>
      </x:c>
      <x:c r="AY234" s="64" t="n">
        <x:f>-ROUND(AK234*'Drivers'!X234,3)</x:f>
        <x:v>-34.865</x:v>
      </x:c>
      <x:c r="AZ234" s="64" t="n">
        <x:f>-ROUND(AK234*'Drivers'!Y234,3)</x:f>
        <x:v>-21.124</x:v>
      </x:c>
      <x:c r="BA234" s="64" t="n">
        <x:f>-ROUND(AK234*'Drivers'!Z234,3)</x:f>
        <x:v>-10.892</x:v>
      </x:c>
      <x:c r="BB234" s="64" t="n">
        <x:f>-ROUND(AK234*'Drivers'!AA234,3)</x:f>
        <x:v>-9.682</x:v>
      </x:c>
      <x:c r="BC234" s="64" t="n">
        <x:f>SUM(BA234,BB234)</x:f>
        <x:v>-20.573999999999998</x:v>
      </x:c>
      <x:c r="BD234" s="64" t="n">
        <x:f>-ROUND(AK234*'Drivers'!AB234,3)</x:f>
        <x:v>-9.632</x:v>
      </x:c>
      <x:c r="BE234" s="64" t="n">
        <x:f>SUM(AX234:BB234,BD234)</x:f>
        <x:v>-104.20400000000001</x:v>
      </x:c>
      <x:c r="BF234" s="67" t="n">
        <x:f>'Drivers'!AF234</x:f>
        <x:v>13</x:v>
      </x:c>
      <x:c r="BG234" s="64" t="n">
        <x:f>BJ234</x:f>
        <x:v>-25.704</x:v>
      </x:c>
      <x:c r="BH234" s="64" t="n">
        <x:f>BE234/BF234</x:f>
        <x:v>-8.015692307692309</x:v>
      </x:c>
      <x:c r="BI234" s="68" t="n">
        <x:f>BF234/L234</x:f>
        <x:v>2.1666666666666665</x:v>
      </x:c>
      <x:c r="BJ234" s="64" t="n">
        <x:f>-ROUND(AK234*'Drivers'!AC234,3)</x:f>
        <x:v>-25.704</x:v>
      </x:c>
      <x:c r="BK234" s="64" t="n">
        <x:f>-ROUND(AK234*'Drivers'!AD234,3)</x:f>
        <x:v>-148.766</x:v>
      </x:c>
      <x:c r="BL234" s="64" t="n">
        <x:f>SUM(AV234,BE234,BJ234,BK234)</x:f>
        <x:v>353.74299999999994</x:v>
      </x:c>
      <x:c r="BM234" s="65" t="n">
        <x:f>BL234/AK234</x:f>
        <x:v>0.23994825833120229</x:v>
      </x:c>
      <x:c r="BN234" s="64" t="n">
        <x:f>-ROUND(AK234*'Drivers'!AE234,3)</x:f>
        <x:v>-118.924</x:v>
      </x:c>
      <x:c r="BO234" s="64" t="n">
        <x:f>BL234+BN234</x:f>
        <x:v>234.81899999999993</x:v>
      </x:c>
      <x:c r="BP234" s="65" t="n">
        <x:f>BO234/AK234</x:f>
        <x:v>0.15928063614848798</x:v>
      </x:c>
    </x:row>
    <x:row r="235">
      <x:c r="A235" s="61" t="n">
        <x:v>2025</x:v>
      </x:c>
      <x:c r="B235" s="18" t="str">
        <x:v>S2</x:v>
      </x:c>
      <x:c r="C235" s="18" t="str">
        <x:v>2025 S2</x:v>
      </x:c>
      <x:c r="D235" s="18" t="str">
        <x:v>CNCT0059</x:v>
      </x:c>
      <x:c r="E235" s="18" t="str">
        <x:v>武汉群光广场</x:v>
      </x:c>
      <x:c r="F235" s="18" t="str">
        <x:v>武汉</x:v>
      </x:c>
      <x:c r="G235" s="18" t="str">
        <x:v>湖北省</x:v>
      </x:c>
      <x:c r="H235" s="18" t="str">
        <x:v>南区</x:v>
      </x:c>
      <x:c r="I235" s="18" t="str">
        <x:v>Shopping Mall</x:v>
      </x:c>
      <x:c r="J235" s="18" t="str">
        <x:v>Core Shopping Center</x:v>
      </x:c>
      <x:c r="K235" s="18" t="str">
        <x:v>正常</x:v>
      </x:c>
      <x:c r="L235" s="62" t="n">
        <x:v>6</x:v>
      </x:c>
      <x:c r="M235" s="62" t="n">
        <x:v>46</x:v>
      </x:c>
      <x:c r="N235" s="63" t="n">
        <x:f>'Drivers'!C235</x:f>
        <x:v>2309</x:v>
      </x:c>
      <x:c r="O235" s="63" t="n">
        <x:f>'Drivers'!D235</x:f>
        <x:v>1022.105</x:v>
      </x:c>
      <x:c r="P235" s="64" t="n">
        <x:f>ROUND(N235*O235/1000,3)</x:f>
        <x:v>2360.04</x:v>
      </x:c>
      <x:c r="Q235" s="64" t="n">
        <x:f>ROUND(P235*'Drivers'!E235,3)</x:f>
        <x:v>2323.365</x:v>
      </x:c>
      <x:c r="R235" s="64" t="n">
        <x:f>-ROUND(Q235*'Drivers'!F235,3)</x:f>
        <x:v>-437.692</x:v>
      </x:c>
      <x:c r="S235" s="65" t="n">
        <x:f>R235/Q235</x:f>
        <x:v>-0.1883871023278736</x:v>
      </x:c>
      <x:c r="T235" s="64" t="n">
        <x:f>-ROUND(Q235*'Drivers'!G235,3)</x:f>
        <x:v>-32.145</x:v>
      </x:c>
      <x:c r="U235" s="65" t="n">
        <x:f>T235/Q235</x:f>
        <x:v>-0.01383553595754434</x:v>
      </x:c>
      <x:c r="V235" s="64" t="n">
        <x:f>-ROUND(Q235*'Drivers'!H235,3)</x:f>
        <x:v>-19.014</x:v>
      </x:c>
      <x:c r="W235" s="64" t="n">
        <x:f>-ROUND(Q235*'Drivers'!I235,3)</x:f>
        <x:v>-23.462</x:v>
      </x:c>
      <x:c r="X235" s="64" t="n">
        <x:f>-ROUND(Q235*'Drivers'!J235,3)</x:f>
        <x:v>-27.376</x:v>
      </x:c>
      <x:c r="Y235" s="64" t="n">
        <x:f>-ROUND(Q235*'Drivers'!K235,3)</x:f>
        <x:v>-32.2</x:v>
      </x:c>
      <x:c r="Z235" s="64" t="n">
        <x:f>-ROUND(Q235*'Drivers'!L235,3)</x:f>
        <x:v>-30.425</x:v>
      </x:c>
      <x:c r="AA235" s="64" t="n">
        <x:f>-ROUND(Q235*'Drivers'!M235,3)</x:f>
        <x:v>-23.757</x:v>
      </x:c>
      <x:c r="AB235" s="64" t="n">
        <x:f>-ROUND(Q235*'Drivers'!N235,3)</x:f>
        <x:v>-18.149</x:v>
      </x:c>
      <x:c r="AC235" s="64" t="n">
        <x:f>SUM(V235:AB235)</x:f>
        <x:v>-174.383</x:v>
      </x:c>
      <x:c r="AD235" s="65" t="n">
        <x:f>AC235/Q235</x:f>
        <x:v>-0.07505622233269418</x:v>
      </x:c>
      <x:c r="AE235" s="64" t="n">
        <x:f>-ROUND(Q235*'Drivers'!O235,3)</x:f>
        <x:v>-17.297</x:v>
      </x:c>
      <x:c r="AF235" s="65" t="n">
        <x:f>AE235/Q235</x:f>
        <x:v>-0.0074448052716641604</x:v>
      </x:c>
      <x:c r="AG235" s="64" t="n">
        <x:f>-ROUND(Q235*'Drivers'!P235,3)</x:f>
        <x:v>-1.539</x:v>
      </x:c>
      <x:c r="AH235" s="64" t="n">
        <x:f>-ROUND(Q235*'Drivers'!Q235,3)</x:f>
        <x:v>-3.394</x:v>
      </x:c>
      <x:c r="AI235" s="64" t="n">
        <x:f>SUM(R235,T235,AC235,AE235,AG235,AH235)</x:f>
        <x:v>-666.45</x:v>
      </x:c>
      <x:c r="AJ235" s="65" t="n">
        <x:f>AI235/Q235</x:f>
        <x:v>-0.2868468794184298</x:v>
      </x:c>
      <x:c r="AK235" s="64" t="n">
        <x:f>Q235+AI235</x:f>
        <x:v>1656.9149999999997</x:v>
      </x:c>
      <x:c r="AL235" s="65" t="n">
        <x:f>AK235/Q235</x:f>
        <x:v>0.7131531205815702</x:v>
      </x:c>
      <x:c r="AM235" s="64" t="n">
        <x:f>AK235/L235</x:f>
        <x:v>276.1525</x:v>
      </x:c>
      <x:c r="AN235" s="66" t="str">
        <x:f>IF(AM235&lt;=200,"≤200K",IF(AM235&lt;=350,"200–350K",IF(AM235&lt;=500,"350–500K",IF(AM235&lt;=700,"500–700K","&gt;700K"))))</x:f>
        <x:v>200–350K</x:v>
      </x:c>
      <x:c r="AO235" s="64" t="n">
        <x:f>-ROUND(Q235*'Drivers'!R235,3)</x:f>
        <x:v>-878.303</x:v>
      </x:c>
      <x:c r="AP235" s="64" t="n">
        <x:f>-ROUND(AK235*'Drivers'!S235,3)</x:f>
        <x:v>-19.863</x:v>
      </x:c>
      <x:c r="AQ235" s="64" t="n">
        <x:f>-ROUND(AK235*'Drivers'!T235,3)</x:f>
        <x:v>-8.16</x:v>
      </x:c>
      <x:c r="AR235" s="64" t="n">
        <x:f>-ROUND(AK235*'Drivers'!U235,3)</x:f>
        <x:v>-17.277</x:v>
      </x:c>
      <x:c r="AS235" s="64" t="n">
        <x:f>-ROUND(AK235*'Drivers'!V235,3)</x:f>
        <x:v>-50.08</x:v>
      </x:c>
      <x:c r="AT235" s="64" t="n">
        <x:f>SUM(AO235:AS235)</x:f>
        <x:v>-973.683</x:v>
      </x:c>
      <x:c r="AU235" s="65" t="n">
        <x:f>AT235/AK235</x:f>
        <x:v>-0.5876481292039726</x:v>
      </x:c>
      <x:c r="AV235" s="64" t="n">
        <x:f>AK235+AT235</x:f>
        <x:v>683.2319999999997</x:v>
      </x:c>
      <x:c r="AW235" s="65" t="n">
        <x:f>AV235/AK235</x:f>
        <x:v>0.4123518707960275</x:v>
      </x:c>
      <x:c r="AX235" s="64" t="n">
        <x:f>-ROUND(AK235*'Drivers'!W235,3)</x:f>
        <x:v>-20.24</x:v>
      </x:c>
      <x:c r="AY235" s="64" t="n">
        <x:f>-ROUND(AK235*'Drivers'!X235,3)</x:f>
        <x:v>-39.184</x:v>
      </x:c>
      <x:c r="AZ235" s="64" t="n">
        <x:f>-ROUND(AK235*'Drivers'!Y235,3)</x:f>
        <x:v>-23.741</x:v>
      </x:c>
      <x:c r="BA235" s="64" t="n">
        <x:f>-ROUND(AK235*'Drivers'!Z235,3)</x:f>
        <x:v>-12.242</x:v>
      </x:c>
      <x:c r="BB235" s="64" t="n">
        <x:f>-ROUND(AK235*'Drivers'!AA235,3)</x:f>
        <x:v>-10.881</x:v>
      </x:c>
      <x:c r="BC235" s="64" t="n">
        <x:f>SUM(BA235,BB235)</x:f>
        <x:v>-23.123</x:v>
      </x:c>
      <x:c r="BD235" s="64" t="n">
        <x:f>-ROUND(AK235*'Drivers'!AB235,3)</x:f>
        <x:v>-10.826</x:v>
      </x:c>
      <x:c r="BE235" s="64" t="n">
        <x:f>SUM(AX235:BB235,BD235)</x:f>
        <x:v>-117.114</x:v>
      </x:c>
      <x:c r="BF235" s="67" t="n">
        <x:f>'Drivers'!AF235</x:f>
        <x:v>13</x:v>
      </x:c>
      <x:c r="BG235" s="64" t="n">
        <x:f>BJ235</x:f>
        <x:v>-28.889</x:v>
      </x:c>
      <x:c r="BH235" s="64" t="n">
        <x:f>BE235/BF235</x:f>
        <x:v>-9.00876923076923</x:v>
      </x:c>
      <x:c r="BI235" s="68" t="n">
        <x:f>BF235/L235</x:f>
        <x:v>2.1666666666666665</x:v>
      </x:c>
      <x:c r="BJ235" s="64" t="n">
        <x:f>-ROUND(AK235*'Drivers'!AC235,3)</x:f>
        <x:v>-28.889</x:v>
      </x:c>
      <x:c r="BK235" s="64" t="n">
        <x:f>-ROUND(AK235*'Drivers'!AD235,3)</x:f>
        <x:v>-167.199</x:v>
      </x:c>
      <x:c r="BL235" s="64" t="n">
        <x:f>SUM(AV235,BE235,BJ235,BK235)</x:f>
        <x:v>370.0299999999997</x:v>
      </x:c>
      <x:c r="BM235" s="65" t="n">
        <x:f>BL235/AK235</x:f>
        <x:v>0.22332467265973194</x:v>
      </x:c>
      <x:c r="BN235" s="64" t="n">
        <x:f>-ROUND(AK235*'Drivers'!AE235,3)</x:f>
        <x:v>-133.66</x:v>
      </x:c>
      <x:c r="BO235" s="64" t="n">
        <x:f>BL235+BN235</x:f>
        <x:v>236.3699999999997</x:v>
      </x:c>
      <x:c r="BP235" s="65" t="n">
        <x:f>BO235/AK235</x:f>
        <x:v>0.14265668425960276</x:v>
      </x:c>
    </x:row>
    <x:row r="236">
      <x:c r="A236" s="61" t="n">
        <x:v>2026</x:v>
      </x:c>
      <x:c r="B236" s="18" t="str">
        <x:v>S1</x:v>
      </x:c>
      <x:c r="C236" s="18" t="str">
        <x:v>2026 S1</x:v>
      </x:c>
      <x:c r="D236" s="18" t="str">
        <x:v>CNCT0059</x:v>
      </x:c>
      <x:c r="E236" s="18" t="str">
        <x:v>武汉群光广场</x:v>
      </x:c>
      <x:c r="F236" s="18" t="str">
        <x:v>武汉</x:v>
      </x:c>
      <x:c r="G236" s="18" t="str">
        <x:v>湖北省</x:v>
      </x:c>
      <x:c r="H236" s="18" t="str">
        <x:v>南区</x:v>
      </x:c>
      <x:c r="I236" s="18" t="str">
        <x:v>Shopping Mall</x:v>
      </x:c>
      <x:c r="J236" s="18" t="str">
        <x:v>Core Shopping Center</x:v>
      </x:c>
      <x:c r="K236" s="18" t="str">
        <x:v>正常</x:v>
      </x:c>
      <x:c r="L236" s="62" t="n">
        <x:v>6</x:v>
      </x:c>
      <x:c r="M236" s="62" t="n">
        <x:v>50</x:v>
      </x:c>
      <x:c r="N236" s="63" t="n">
        <x:f>'Drivers'!C236</x:f>
        <x:v>2221</x:v>
      </x:c>
      <x:c r="O236" s="63" t="n">
        <x:f>'Drivers'!D236</x:f>
        <x:v>1052.382</x:v>
      </x:c>
      <x:c r="P236" s="64" t="n">
        <x:f>ROUND(N236*O236/1000,3)</x:f>
        <x:v>2337.34</x:v>
      </x:c>
      <x:c r="Q236" s="64" t="n">
        <x:f>ROUND(P236*'Drivers'!E236,3)</x:f>
        <x:v>2251.21</x:v>
      </x:c>
      <x:c r="R236" s="64" t="n">
        <x:f>-ROUND(Q236*'Drivers'!F236,3)</x:f>
        <x:v>-412.989</x:v>
      </x:c>
      <x:c r="S236" s="65" t="n">
        <x:f>R236/Q236</x:f>
        <x:v>-0.18345201025226432</x:v>
      </x:c>
      <x:c r="T236" s="64" t="n">
        <x:f>-ROUND(Q236*'Drivers'!G236,3)</x:f>
        <x:v>-34.751</x:v>
      </x:c>
      <x:c r="U236" s="65" t="n">
        <x:f>T236/Q236</x:f>
        <x:v>-0.015436587435201512</x:v>
      </x:c>
      <x:c r="V236" s="64" t="n">
        <x:f>-ROUND(Q236*'Drivers'!H236,3)</x:f>
        <x:v>-18.424</x:v>
      </x:c>
      <x:c r="W236" s="64" t="n">
        <x:f>-ROUND(Q236*'Drivers'!I236,3)</x:f>
        <x:v>-22.733</x:v>
      </x:c>
      <x:c r="X236" s="64" t="n">
        <x:f>-ROUND(Q236*'Drivers'!J236,3)</x:f>
        <x:v>-26.526</x:v>
      </x:c>
      <x:c r="Y236" s="64" t="n">
        <x:f>-ROUND(Q236*'Drivers'!K236,3)</x:f>
        <x:v>-31.2</x:v>
      </x:c>
      <x:c r="Z236" s="64" t="n">
        <x:f>-ROUND(Q236*'Drivers'!L236,3)</x:f>
        <x:v>-29.48</x:v>
      </x:c>
      <x:c r="AA236" s="64" t="n">
        <x:f>-ROUND(Q236*'Drivers'!M236,3)</x:f>
        <x:v>-23.02</x:v>
      </x:c>
      <x:c r="AB236" s="64" t="n">
        <x:f>-ROUND(Q236*'Drivers'!N236,3)</x:f>
        <x:v>-17.585</x:v>
      </x:c>
      <x:c r="AC236" s="64" t="n">
        <x:f>SUM(V236:AB236)</x:f>
        <x:v>-168.96800000000002</x:v>
      </x:c>
      <x:c r="AD236" s="65" t="n">
        <x:f>AC236/Q236</x:f>
        <x:v>-0.07505652515758193</x:v>
      </x:c>
      <x:c r="AE236" s="64" t="n">
        <x:f>-ROUND(Q236*'Drivers'!O236,3)</x:f>
        <x:v>-16.497</x:v>
      </x:c>
      <x:c r="AF236" s="65" t="n">
        <x:f>AE236/Q236</x:f>
        <x:v>-0.0073280591326442225</x:v>
      </x:c>
      <x:c r="AG236" s="64" t="n">
        <x:f>-ROUND(Q236*'Drivers'!P236,3)</x:f>
        <x:v>-1.491</x:v>
      </x:c>
      <x:c r="AH236" s="64" t="n">
        <x:f>-ROUND(Q236*'Drivers'!Q236,3)</x:f>
        <x:v>-3.288</x:v>
      </x:c>
      <x:c r="AI236" s="64" t="n">
        <x:f>SUM(R236,T236,AC236,AE236,AG236,AH236)</x:f>
        <x:v>-637.9839999999999</x:v>
      </x:c>
      <x:c r="AJ236" s="65" t="n">
        <x:f>AI236/Q236</x:f>
        <x:v>-0.28339604035163307</x:v>
      </x:c>
      <x:c r="AK236" s="64" t="n">
        <x:f>Q236+AI236</x:f>
        <x:v>1613.226</x:v>
      </x:c>
      <x:c r="AL236" s="65" t="n">
        <x:f>AK236/Q236</x:f>
        <x:v>0.7166039596483669</x:v>
      </x:c>
      <x:c r="AM236" s="64" t="n">
        <x:f>AK236/L236</x:f>
        <x:v>268.87100000000004</x:v>
      </x:c>
      <x:c r="AN236" s="66" t="str">
        <x:f>IF(AM236&lt;=200,"≤200K",IF(AM236&lt;=350,"200–350K",IF(AM236&lt;=500,"350–500K",IF(AM236&lt;=700,"500–700K","&gt;700K"))))</x:f>
        <x:v>200–350K</x:v>
      </x:c>
      <x:c r="AO236" s="64" t="n">
        <x:f>-ROUND(Q236*'Drivers'!R236,3)</x:f>
        <x:v>-834.409</x:v>
      </x:c>
      <x:c r="AP236" s="64" t="n">
        <x:f>-ROUND(AK236*'Drivers'!S236,3)</x:f>
        <x:v>-19.339</x:v>
      </x:c>
      <x:c r="AQ236" s="64" t="n">
        <x:f>-ROUND(AK236*'Drivers'!T236,3)</x:f>
        <x:v>-7.945</x:v>
      </x:c>
      <x:c r="AR236" s="64" t="n">
        <x:f>-ROUND(AK236*'Drivers'!U236,3)</x:f>
        <x:v>-16.821</x:v>
      </x:c>
      <x:c r="AS236" s="64" t="n">
        <x:f>-ROUND(AK236*'Drivers'!V236,3)</x:f>
        <x:v>-48.76</x:v>
      </x:c>
      <x:c r="AT236" s="64" t="n">
        <x:f>SUM(AO236:AS236)</x:f>
        <x:v>-927.2740000000001</x:v>
      </x:c>
      <x:c r="AU236" s="65" t="n">
        <x:f>AT236/AK236</x:f>
        <x:v>-0.574794852054207</x:v>
      </x:c>
      <x:c r="AV236" s="64" t="n">
        <x:f>AK236+AT236</x:f>
        <x:v>685.952</x:v>
      </x:c>
      <x:c r="AW236" s="65" t="n">
        <x:f>AV236/AK236</x:f>
        <x:v>0.42520514794579306</x:v>
      </x:c>
      <x:c r="AX236" s="64" t="n">
        <x:f>-ROUND(AK236*'Drivers'!W236,3)</x:f>
        <x:v>-24.248</x:v>
      </x:c>
      <x:c r="AY236" s="64" t="n">
        <x:f>-ROUND(AK236*'Drivers'!X236,3)</x:f>
        <x:v>-46.943</x:v>
      </x:c>
      <x:c r="AZ236" s="64" t="n">
        <x:f>-ROUND(AK236*'Drivers'!Y236,3)</x:f>
        <x:v>-28.442</x:v>
      </x:c>
      <x:c r="BA236" s="64" t="n">
        <x:f>-ROUND(AK236*'Drivers'!Z236,3)</x:f>
        <x:v>-14.666</x:v>
      </x:c>
      <x:c r="BB236" s="64" t="n">
        <x:f>-ROUND(AK236*'Drivers'!AA236,3)</x:f>
        <x:v>-13.036</x:v>
      </x:c>
      <x:c r="BC236" s="64" t="n">
        <x:f>SUM(BA236,BB236)</x:f>
        <x:v>-27.701999999999998</x:v>
      </x:c>
      <x:c r="BD236" s="64" t="n">
        <x:f>-ROUND(AK236*'Drivers'!AB236,3)</x:f>
        <x:v>-12.969</x:v>
      </x:c>
      <x:c r="BE236" s="64" t="n">
        <x:f>SUM(AX236:BB236,BD236)</x:f>
        <x:v>-140.304</x:v>
      </x:c>
      <x:c r="BF236" s="67" t="n">
        <x:f>'Drivers'!AF236</x:f>
        <x:v>13</x:v>
      </x:c>
      <x:c r="BG236" s="64" t="n">
        <x:f>BJ236</x:f>
        <x:v>-34.609</x:v>
      </x:c>
      <x:c r="BH236" s="64" t="n">
        <x:f>BE236/BF236</x:f>
        <x:v>-10.792615384615384</x:v>
      </x:c>
      <x:c r="BI236" s="68" t="n">
        <x:f>BF236/L236</x:f>
        <x:v>2.1666666666666665</x:v>
      </x:c>
      <x:c r="BJ236" s="64" t="n">
        <x:f>-ROUND(AK236*'Drivers'!AC236,3)</x:f>
        <x:v>-34.609</x:v>
      </x:c>
      <x:c r="BK236" s="64" t="n">
        <x:f>-ROUND(AK236*'Drivers'!AD236,3)</x:f>
        <x:v>-162.791</x:v>
      </x:c>
      <x:c r="BL236" s="64" t="n">
        <x:f>SUM(AV236,BE236,BJ236,BK236)</x:f>
        <x:v>348.24800000000005</x:v>
      </x:c>
      <x:c r="BM236" s="65" t="n">
        <x:f>BL236/AK236</x:f>
        <x:v>0.2158705599835361</x:v>
      </x:c>
      <x:c r="BN236" s="64" t="n">
        <x:f>-ROUND(AK236*'Drivers'!AE236,3)</x:f>
        <x:v>-130.135</x:v>
      </x:c>
      <x:c r="BO236" s="64" t="n">
        <x:f>BL236+BN236</x:f>
        <x:v>218.11300000000006</x:v>
      </x:c>
      <x:c r="BP236" s="65" t="n">
        <x:f>BO236/AK236</x:f>
        <x:v>0.13520300317500464</x:v>
      </x:c>
    </x:row>
    <x:row r="237">
      <x:c r="A237" s="61" t="n">
        <x:v>2026</x:v>
      </x:c>
      <x:c r="B237" s="18" t="str">
        <x:v>S2</x:v>
      </x:c>
      <x:c r="C237" s="18" t="str">
        <x:v>2026 S2</x:v>
      </x:c>
      <x:c r="D237" s="18" t="str">
        <x:v>CNCT0059</x:v>
      </x:c>
      <x:c r="E237" s="18" t="str">
        <x:v>武汉群光广场</x:v>
      </x:c>
      <x:c r="F237" s="18" t="str">
        <x:v>武汉</x:v>
      </x:c>
      <x:c r="G237" s="18" t="str">
        <x:v>湖北省</x:v>
      </x:c>
      <x:c r="H237" s="18" t="str">
        <x:v>南区</x:v>
      </x:c>
      <x:c r="I237" s="18" t="str">
        <x:v>Shopping Mall</x:v>
      </x:c>
      <x:c r="J237" s="18" t="str">
        <x:v>Core Shopping Center</x:v>
      </x:c>
      <x:c r="K237" s="18" t="str">
        <x:v>正常</x:v>
      </x:c>
      <x:c r="L237" s="62" t="n">
        <x:v>6</x:v>
      </x:c>
      <x:c r="M237" s="62" t="n">
        <x:v>50</x:v>
      </x:c>
      <x:c r="N237" s="63" t="n">
        <x:f>'Drivers'!C237</x:f>
        <x:v>2435</x:v>
      </x:c>
      <x:c r="O237" s="63" t="n">
        <x:f>'Drivers'!D237</x:f>
        <x:v>1050.565</x:v>
      </x:c>
      <x:c r="P237" s="64" t="n">
        <x:f>ROUND(N237*O237/1000,3)</x:f>
        <x:v>2558.126</x:v>
      </x:c>
      <x:c r="Q237" s="64" t="n">
        <x:f>ROUND(P237*'Drivers'!E237,3)</x:f>
        <x:v>2518.372</x:v>
      </x:c>
      <x:c r="R237" s="64" t="n">
        <x:f>-ROUND(Q237*'Drivers'!F237,3)</x:f>
        <x:v>-475.28</x:v>
      </x:c>
      <x:c r="S237" s="65" t="n">
        <x:f>R237/Q237</x:f>
        <x:v>-0.18872509700711412</x:v>
      </x:c>
      <x:c r="T237" s="64" t="n">
        <x:f>-ROUND(Q237*'Drivers'!G237,3)</x:f>
        <x:v>-31.609</x:v>
      </x:c>
      <x:c r="U237" s="65" t="n">
        <x:f>T237/Q237</x:f>
        <x:v>-0.01255136254691523</x:v>
      </x:c>
      <x:c r="V237" s="64" t="n">
        <x:f>-ROUND(Q237*'Drivers'!H237,3)</x:f>
        <x:v>-20.61</x:v>
      </x:c>
      <x:c r="W237" s="64" t="n">
        <x:f>-ROUND(Q237*'Drivers'!I237,3)</x:f>
        <x:v>-25.431</x:v>
      </x:c>
      <x:c r="X237" s="64" t="n">
        <x:f>-ROUND(Q237*'Drivers'!J237,3)</x:f>
        <x:v>-29.674</x:v>
      </x:c>
      <x:c r="Y237" s="64" t="n">
        <x:f>-ROUND(Q237*'Drivers'!K237,3)</x:f>
        <x:v>-34.903</x:v>
      </x:c>
      <x:c r="Z237" s="64" t="n">
        <x:f>-ROUND(Q237*'Drivers'!L237,3)</x:f>
        <x:v>-32.979</x:v>
      </x:c>
      <x:c r="AA237" s="64" t="n">
        <x:f>-ROUND(Q237*'Drivers'!M237,3)</x:f>
        <x:v>-25.751</x:v>
      </x:c>
      <x:c r="AB237" s="64" t="n">
        <x:f>-ROUND(Q237*'Drivers'!N237,3)</x:f>
        <x:v>-19.672</x:v>
      </x:c>
      <x:c r="AC237" s="64" t="n">
        <x:f>SUM(V237:AB237)</x:f>
        <x:v>-189.01999999999998</x:v>
      </x:c>
      <x:c r="AD237" s="65" t="n">
        <x:f>AC237/Q237</x:f>
        <x:v>-0.07505642534145074</x:v>
      </x:c>
      <x:c r="AE237" s="64" t="n">
        <x:f>-ROUND(Q237*'Drivers'!O237,3)</x:f>
        <x:v>-18.748</x:v>
      </x:c>
      <x:c r="AF237" s="65" t="n">
        <x:f>AE237/Q237</x:f>
        <x:v>-0.007444491917794512</x:v>
      </x:c>
      <x:c r="AG237" s="64" t="n">
        <x:f>-ROUND(Q237*'Drivers'!P237,3)</x:f>
        <x:v>-1.668</x:v>
      </x:c>
      <x:c r="AH237" s="64" t="n">
        <x:f>-ROUND(Q237*'Drivers'!Q237,3)</x:f>
        <x:v>-3.678</x:v>
      </x:c>
      <x:c r="AI237" s="64" t="n">
        <x:f>SUM(R237,T237,AC237,AE237,AG237,AH237)</x:f>
        <x:v>-720.0029999999999</x:v>
      </x:c>
      <x:c r="AJ237" s="65" t="n">
        <x:f>AI237/Q237</x:f>
        <x:v>-0.2859001767808727</x:v>
      </x:c>
      <x:c r="AK237" s="64" t="n">
        <x:f>Q237+AI237</x:f>
        <x:v>1798.369</x:v>
      </x:c>
      <x:c r="AL237" s="65" t="n">
        <x:f>AK237/Q237</x:f>
        <x:v>0.7140998232191272</x:v>
      </x:c>
      <x:c r="AM237" s="64" t="n">
        <x:f>AK237/L237</x:f>
        <x:v>299.72816666666665</x:v>
      </x:c>
      <x:c r="AN237" s="66" t="str">
        <x:f>IF(AM237&lt;=200,"≤200K",IF(AM237&lt;=350,"200–350K",IF(AM237&lt;=500,"350–500K",IF(AM237&lt;=700,"500–700K","&gt;700K"))))</x:f>
        <x:v>200–350K</x:v>
      </x:c>
      <x:c r="AO237" s="64" t="n">
        <x:f>-ROUND(Q237*'Drivers'!R237,3)</x:f>
        <x:v>-945.981</x:v>
      </x:c>
      <x:c r="AP237" s="64" t="n">
        <x:f>-ROUND(AK237*'Drivers'!S237,3)</x:f>
        <x:v>-21.559</x:v>
      </x:c>
      <x:c r="AQ237" s="64" t="n">
        <x:f>-ROUND(AK237*'Drivers'!T237,3)</x:f>
        <x:v>-8.856</x:v>
      </x:c>
      <x:c r="AR237" s="64" t="n">
        <x:f>-ROUND(AK237*'Drivers'!U237,3)</x:f>
        <x:v>-18.752</x:v>
      </x:c>
      <x:c r="AS237" s="64" t="n">
        <x:f>-ROUND(AK237*'Drivers'!V237,3)</x:f>
        <x:v>-54.355</x:v>
      </x:c>
      <x:c r="AT237" s="64" t="n">
        <x:f>SUM(AO237:AS237)</x:f>
        <x:v>-1049.503</x:v>
      </x:c>
      <x:c r="AU237" s="65" t="n">
        <x:f>AT237/AK237</x:f>
        <x:v>-0.5835860159956049</x:v>
      </x:c>
      <x:c r="AV237" s="64" t="n">
        <x:f>AK237+AT237</x:f>
        <x:v>748.866</x:v>
      </x:c>
      <x:c r="AW237" s="65" t="n">
        <x:f>AV237/AK237</x:f>
        <x:v>0.4164139840043951</x:v>
      </x:c>
      <x:c r="AX237" s="64" t="n">
        <x:f>-ROUND(AK237*'Drivers'!W237,3)</x:f>
        <x:v>-23.286</x:v>
      </x:c>
      <x:c r="AY237" s="64" t="n">
        <x:f>-ROUND(AK237*'Drivers'!X237,3)</x:f>
        <x:v>-45.081</x:v>
      </x:c>
      <x:c r="AZ237" s="64" t="n">
        <x:f>-ROUND(AK237*'Drivers'!Y237,3)</x:f>
        <x:v>-27.314</x:v>
      </x:c>
      <x:c r="BA237" s="64" t="n">
        <x:f>-ROUND(AK237*'Drivers'!Z237,3)</x:f>
        <x:v>-14.085</x:v>
      </x:c>
      <x:c r="BB237" s="64" t="n">
        <x:f>-ROUND(AK237*'Drivers'!AA237,3)</x:f>
        <x:v>-12.519</x:v>
      </x:c>
      <x:c r="BC237" s="64" t="n">
        <x:f>SUM(BA237,BB237)</x:f>
        <x:v>-26.604</x:v>
      </x:c>
      <x:c r="BD237" s="64" t="n">
        <x:f>-ROUND(AK237*'Drivers'!AB237,3)</x:f>
        <x:v>-12.455</x:v>
      </x:c>
      <x:c r="BE237" s="64" t="n">
        <x:f>SUM(AX237:BB237,BD237)</x:f>
        <x:v>-134.74000000000004</x:v>
      </x:c>
      <x:c r="BF237" s="67" t="n">
        <x:f>'Drivers'!AF237</x:f>
        <x:v>13</x:v>
      </x:c>
      <x:c r="BG237" s="64" t="n">
        <x:f>BJ237</x:f>
        <x:v>-33.237</x:v>
      </x:c>
      <x:c r="BH237" s="64" t="n">
        <x:f>BE237/BF237</x:f>
        <x:v>-10.364615384615387</x:v>
      </x:c>
      <x:c r="BI237" s="68" t="n">
        <x:f>BF237/L237</x:f>
        <x:v>2.1666666666666665</x:v>
      </x:c>
      <x:c r="BJ237" s="64" t="n">
        <x:f>-ROUND(AK237*'Drivers'!AC237,3)</x:f>
        <x:v>-33.237</x:v>
      </x:c>
      <x:c r="BK237" s="64" t="n">
        <x:f>-ROUND(AK237*'Drivers'!AD237,3)</x:f>
        <x:v>-181.474</x:v>
      </x:c>
      <x:c r="BL237" s="64" t="n">
        <x:f>SUM(AV237,BE237,BJ237,BK237)</x:f>
        <x:v>399.415</x:v>
      </x:c>
      <x:c r="BM237" s="65" t="n">
        <x:f>BL237/AK237</x:f>
        <x:v>0.22209846811193923</x:v>
      </x:c>
      <x:c r="BN237" s="64" t="n">
        <x:f>-ROUND(AK237*'Drivers'!AE237,3)</x:f>
        <x:v>-145.07</x:v>
      </x:c>
      <x:c r="BO237" s="64" t="n">
        <x:f>BL237+BN237</x:f>
        <x:v>254.34500000000003</x:v>
      </x:c>
      <x:c r="BP237" s="65" t="n">
        <x:f>BO237/AK237</x:f>
        <x:v>0.1414309299148284</x:v>
      </x:c>
    </x:row>
    <x:row r="238">
      <x:c r="A238" s="61" t="n">
        <x:v>2025</x:v>
      </x:c>
      <x:c r="B238" s="18" t="str">
        <x:v>S1</x:v>
      </x:c>
      <x:c r="C238" s="18" t="str">
        <x:v>2025 S1</x:v>
      </x:c>
      <x:c r="D238" s="18" t="str">
        <x:v>CNCT0060</x:v>
      </x:c>
      <x:c r="E238" s="18" t="str">
        <x:v>武汉K11</x:v>
      </x:c>
      <x:c r="F238" s="18" t="str">
        <x:v>武汉</x:v>
      </x:c>
      <x:c r="G238" s="18" t="str">
        <x:v>湖北省</x:v>
      </x:c>
      <x:c r="H238" s="18" t="str">
        <x:v>南区</x:v>
      </x:c>
      <x:c r="I238" s="18" t="str">
        <x:v>Shopping Mall</x:v>
      </x:c>
      <x:c r="J238" s="18" t="str">
        <x:v>Core Shopping Center</x:v>
      </x:c>
      <x:c r="K238" s="18" t="str">
        <x:v>正常</x:v>
      </x:c>
      <x:c r="L238" s="62" t="n">
        <x:v>6</x:v>
      </x:c>
      <x:c r="M238" s="62" t="n">
        <x:v>46</x:v>
      </x:c>
      <x:c r="N238" s="63" t="n">
        <x:f>'Drivers'!C238</x:f>
        <x:v>1996</x:v>
      </x:c>
      <x:c r="O238" s="63" t="n">
        <x:f>'Drivers'!D238</x:f>
        <x:v>1041.769</x:v>
      </x:c>
      <x:c r="P238" s="64" t="n">
        <x:f>ROUND(N238*O238/1000,3)</x:f>
        <x:v>2079.371</x:v>
      </x:c>
      <x:c r="Q238" s="64" t="n">
        <x:f>ROUND(P238*'Drivers'!E238,3)</x:f>
        <x:v>2011.342</x:v>
      </x:c>
      <x:c r="R238" s="64" t="n">
        <x:f>-ROUND(Q238*'Drivers'!F238,3)</x:f>
        <x:v>-419.576</x:v>
      </x:c>
      <x:c r="S238" s="65" t="n">
        <x:f>R238/Q238</x:f>
        <x:v>-0.20860500103910723</x:v>
      </x:c>
      <x:c r="T238" s="64" t="n">
        <x:f>-ROUND(Q238*'Drivers'!G238,3)</x:f>
        <x:v>-27.594</x:v>
      </x:c>
      <x:c r="U238" s="65" t="n">
        <x:f>T238/Q238</x:f>
        <x:v>-0.013719198425727698</x:v>
      </x:c>
      <x:c r="V238" s="64" t="n">
        <x:f>-ROUND(Q238*'Drivers'!H238,3)</x:f>
        <x:v>-15.302</x:v>
      </x:c>
      <x:c r="W238" s="64" t="n">
        <x:f>-ROUND(Q238*'Drivers'!I238,3)</x:f>
        <x:v>-16.833</x:v>
      </x:c>
      <x:c r="X238" s="64" t="n">
        <x:f>-ROUND(Q238*'Drivers'!J238,3)</x:f>
        <x:v>-21.203</x:v>
      </x:c>
      <x:c r="Y238" s="64" t="n">
        <x:f>-ROUND(Q238*'Drivers'!K238,3)</x:f>
        <x:v>-21.367</x:v>
      </x:c>
      <x:c r="Z238" s="64" t="n">
        <x:f>-ROUND(Q238*'Drivers'!L238,3)</x:f>
        <x:v>-16.901</x:v>
      </x:c>
      <x:c r="AA238" s="64" t="n">
        <x:f>-ROUND(Q238*'Drivers'!M238,3)</x:f>
        <x:v>-17.348</x:v>
      </x:c>
      <x:c r="AB238" s="64" t="n">
        <x:f>-ROUND(Q238*'Drivers'!N238,3)</x:f>
        <x:v>-11.878</x:v>
      </x:c>
      <x:c r="AC238" s="64" t="n">
        <x:f>SUM(V238:AB238)</x:f>
        <x:v>-120.832</x:v>
      </x:c>
      <x:c r="AD238" s="65" t="n">
        <x:f>AC238/Q238</x:f>
        <x:v>-0.06007531290054102</x:v>
      </x:c>
      <x:c r="AE238" s="64" t="n">
        <x:f>-ROUND(Q238*'Drivers'!O238,3)</x:f>
        <x:v>-12.362</x:v>
      </x:c>
      <x:c r="AF238" s="65" t="n">
        <x:f>AE238/Q238</x:f>
        <x:v>-0.0061461452105111905</x:v>
      </x:c>
      <x:c r="AG238" s="64" t="n">
        <x:f>-ROUND(Q238*'Drivers'!P238,3)</x:f>
        <x:v>-3.798</x:v>
      </x:c>
      <x:c r="AH238" s="64" t="n">
        <x:f>-ROUND(Q238*'Drivers'!Q238,3)</x:f>
        <x:v>-11.616</x:v>
      </x:c>
      <x:c r="AI238" s="64" t="n">
        <x:f>SUM(R238,T238,AC238,AE238,AG238,AH238)</x:f>
        <x:v>-595.7779999999999</x:v>
      </x:c>
      <x:c r="AJ238" s="65" t="n">
        <x:f>AI238/Q238</x:f>
        <x:v>-0.29620919764018244</x:v>
      </x:c>
      <x:c r="AK238" s="64" t="n">
        <x:f>Q238+AI238</x:f>
        <x:v>1415.5640000000003</x:v>
      </x:c>
      <x:c r="AL238" s="65" t="n">
        <x:f>AK238/Q238</x:f>
        <x:v>0.7037908023598176</x:v>
      </x:c>
      <x:c r="AM238" s="64" t="n">
        <x:f>AK238/L238</x:f>
        <x:v>235.9273333333334</x:v>
      </x:c>
      <x:c r="AN238" s="66" t="str">
        <x:f>IF(AM238&lt;=200,"≤200K",IF(AM238&lt;=350,"200–350K",IF(AM238&lt;=500,"350–500K",IF(AM238&lt;=700,"500–700K","&gt;700K"))))</x:f>
        <x:v>200–350K</x:v>
      </x:c>
      <x:c r="AO238" s="64" t="n">
        <x:f>-ROUND(Q238*'Drivers'!R238,3)</x:f>
        <x:v>-728.889</x:v>
      </x:c>
      <x:c r="AP238" s="64" t="n">
        <x:f>-ROUND(AK238*'Drivers'!S238,3)</x:f>
        <x:v>-17.74</x:v>
      </x:c>
      <x:c r="AQ238" s="64" t="n">
        <x:f>-ROUND(AK238*'Drivers'!T238,3)</x:f>
        <x:v>-9.188</x:v>
      </x:c>
      <x:c r="AR238" s="64" t="n">
        <x:f>-ROUND(AK238*'Drivers'!U238,3)</x:f>
        <x:v>-11.268</x:v>
      </x:c>
      <x:c r="AS238" s="64" t="n">
        <x:f>-ROUND(AK238*'Drivers'!V238,3)</x:f>
        <x:v>-41.207</x:v>
      </x:c>
      <x:c r="AT238" s="64" t="n">
        <x:f>SUM(AO238:AS238)</x:f>
        <x:v>-808.292</x:v>
      </x:c>
      <x:c r="AU238" s="65" t="n">
        <x:f>AT238/AK238</x:f>
        <x:v>-0.5710035010780155</x:v>
      </x:c>
      <x:c r="AV238" s="64" t="n">
        <x:f>AK238+AT238</x:f>
        <x:v>607.2720000000003</x:v>
      </x:c>
      <x:c r="AW238" s="65" t="n">
        <x:f>AV238/AK238</x:f>
        <x:v>0.42899649892198455</x:v>
      </x:c>
      <x:c r="AX238" s="64" t="n">
        <x:f>-ROUND(AK238*'Drivers'!W238,3)</x:f>
        <x:v>-16.824</x:v>
      </x:c>
      <x:c r="AY238" s="64" t="n">
        <x:f>-ROUND(AK238*'Drivers'!X238,3)</x:f>
        <x:v>-27.17</x:v>
      </x:c>
      <x:c r="AZ238" s="64" t="n">
        <x:f>-ROUND(AK238*'Drivers'!Y238,3)</x:f>
        <x:v>-18.74</x:v>
      </x:c>
      <x:c r="BA238" s="64" t="n">
        <x:f>-ROUND(AK238*'Drivers'!Z238,3)</x:f>
        <x:v>-7.816</x:v>
      </x:c>
      <x:c r="BB238" s="64" t="n">
        <x:f>-ROUND(AK238*'Drivers'!AA238,3)</x:f>
        <x:v>-12.904</x:v>
      </x:c>
      <x:c r="BC238" s="64" t="n">
        <x:f>SUM(BA238,BB238)</x:f>
        <x:v>-20.72</x:v>
      </x:c>
      <x:c r="BD238" s="64" t="n">
        <x:f>-ROUND(AK238*'Drivers'!AB238,3)</x:f>
        <x:v>-6.141</x:v>
      </x:c>
      <x:c r="BE238" s="64" t="n">
        <x:f>SUM(AX238:BB238,BD238)</x:f>
        <x:v>-89.595</x:v>
      </x:c>
      <x:c r="BF238" s="67" t="n">
        <x:f>'Drivers'!AF238</x:f>
        <x:v>12</x:v>
      </x:c>
      <x:c r="BG238" s="64" t="n">
        <x:f>BJ238</x:f>
        <x:v>-33.715</x:v>
      </x:c>
      <x:c r="BH238" s="64" t="n">
        <x:f>BE238/BF238</x:f>
        <x:v>-7.46625</x:v>
      </x:c>
      <x:c r="BI238" s="68" t="n">
        <x:f>BF238/L238</x:f>
        <x:v>2</x:v>
      </x:c>
      <x:c r="BJ238" s="64" t="n">
        <x:f>-ROUND(AK238*'Drivers'!AC238,3)</x:f>
        <x:v>-33.715</x:v>
      </x:c>
      <x:c r="BK238" s="64" t="n">
        <x:f>-ROUND(AK238*'Drivers'!AD238,3)</x:f>
        <x:v>-162.736</x:v>
      </x:c>
      <x:c r="BL238" s="64" t="n">
        <x:f>SUM(AV238,BE238,BJ238,BK238)</x:f>
        <x:v>321.2260000000002</x:v>
      </x:c>
      <x:c r="BM238" s="65" t="n">
        <x:f>BL238/AK238</x:f>
        <x:v>0.22692439197379996</x:v>
      </x:c>
      <x:c r="BN238" s="64" t="n">
        <x:f>-ROUND(AK238*'Drivers'!AE238,3)</x:f>
        <x:v>-97.636</x:v>
      </x:c>
      <x:c r="BO238" s="64" t="n">
        <x:f>BL238+BN238</x:f>
        <x:v>223.59000000000023</x:v>
      </x:c>
      <x:c r="BP238" s="65" t="n">
        <x:f>BO238/AK238</x:f>
        <x:v>0.15795117705734266</x:v>
      </x:c>
    </x:row>
    <x:row r="239">
      <x:c r="A239" s="61" t="n">
        <x:v>2025</x:v>
      </x:c>
      <x:c r="B239" s="18" t="str">
        <x:v>S2</x:v>
      </x:c>
      <x:c r="C239" s="18" t="str">
        <x:v>2025 S2</x:v>
      </x:c>
      <x:c r="D239" s="18" t="str">
        <x:v>CNCT0060</x:v>
      </x:c>
      <x:c r="E239" s="18" t="str">
        <x:v>武汉K11</x:v>
      </x:c>
      <x:c r="F239" s="18" t="str">
        <x:v>武汉</x:v>
      </x:c>
      <x:c r="G239" s="18" t="str">
        <x:v>湖北省</x:v>
      </x:c>
      <x:c r="H239" s="18" t="str">
        <x:v>南区</x:v>
      </x:c>
      <x:c r="I239" s="18" t="str">
        <x:v>Shopping Mall</x:v>
      </x:c>
      <x:c r="J239" s="18" t="str">
        <x:v>Core Shopping Center</x:v>
      </x:c>
      <x:c r="K239" s="18" t="str">
        <x:v>正常</x:v>
      </x:c>
      <x:c r="L239" s="62" t="n">
        <x:v>6</x:v>
      </x:c>
      <x:c r="M239" s="62" t="n">
        <x:v>46</x:v>
      </x:c>
      <x:c r="N239" s="63" t="n">
        <x:f>'Drivers'!C239</x:f>
        <x:v>2141</x:v>
      </x:c>
      <x:c r="O239" s="63" t="n">
        <x:f>'Drivers'!D239</x:f>
        <x:v>1054.27</x:v>
      </x:c>
      <x:c r="P239" s="64" t="n">
        <x:f>ROUND(N239*O239/1000,3)</x:f>
        <x:v>2257.192</x:v>
      </x:c>
      <x:c r="Q239" s="64" t="n">
        <x:f>ROUND(P239*'Drivers'!E239,3)</x:f>
        <x:v>2218.365</x:v>
      </x:c>
      <x:c r="R239" s="64" t="n">
        <x:f>-ROUND(Q239*'Drivers'!F239,3)</x:f>
        <x:v>-462.762</x:v>
      </x:c>
      <x:c r="S239" s="65" t="n">
        <x:f>R239/Q239</x:f>
        <x:v>-0.20860498610463113</x:v>
      </x:c>
      <x:c r="T239" s="64" t="n">
        <x:f>-ROUND(Q239*'Drivers'!G239,3)</x:f>
        <x:v>-30.435</x:v>
      </x:c>
      <x:c r="U239" s="65" t="n">
        <x:f>T239/Q239</x:f>
        <x:v>-0.01371956373274912</x:v>
      </x:c>
      <x:c r="V239" s="64" t="n">
        <x:f>-ROUND(Q239*'Drivers'!H239,3)</x:f>
        <x:v>-16.877</x:v>
      </x:c>
      <x:c r="W239" s="64" t="n">
        <x:f>-ROUND(Q239*'Drivers'!I239,3)</x:f>
        <x:v>-18.566</x:v>
      </x:c>
      <x:c r="X239" s="64" t="n">
        <x:f>-ROUND(Q239*'Drivers'!J239,3)</x:f>
        <x:v>-23.386</x:v>
      </x:c>
      <x:c r="Y239" s="64" t="n">
        <x:f>-ROUND(Q239*'Drivers'!K239,3)</x:f>
        <x:v>-23.566</x:v>
      </x:c>
      <x:c r="Z239" s="64" t="n">
        <x:f>-ROUND(Q239*'Drivers'!L239,3)</x:f>
        <x:v>-18.641</x:v>
      </x:c>
      <x:c r="AA239" s="64" t="n">
        <x:f>-ROUND(Q239*'Drivers'!M239,3)</x:f>
        <x:v>-19.134</x:v>
      </x:c>
      <x:c r="AB239" s="64" t="n">
        <x:f>-ROUND(Q239*'Drivers'!N239,3)</x:f>
        <x:v>-13.1</x:v>
      </x:c>
      <x:c r="AC239" s="64" t="n">
        <x:f>SUM(V239:AB239)</x:f>
        <x:v>-133.27</x:v>
      </x:c>
      <x:c r="AD239" s="65" t="n">
        <x:f>AC239/Q239</x:f>
        <x:v>-0.06007577652911041</x:v>
      </x:c>
      <x:c r="AE239" s="64" t="n">
        <x:f>-ROUND(Q239*'Drivers'!O239,3)</x:f>
        <x:v>-13.634</x:v>
      </x:c>
      <x:c r="AF239" s="65" t="n">
        <x:f>AE239/Q239</x:f>
        <x:v>-0.0061459678637194514</x:v>
      </x:c>
      <x:c r="AG239" s="64" t="n">
        <x:f>-ROUND(Q239*'Drivers'!P239,3)</x:f>
        <x:v>-4.189</x:v>
      </x:c>
      <x:c r="AH239" s="64" t="n">
        <x:f>-ROUND(Q239*'Drivers'!Q239,3)</x:f>
        <x:v>-12.812</x:v>
      </x:c>
      <x:c r="AI239" s="64" t="n">
        <x:f>SUM(R239,T239,AC239,AE239,AG239,AH239)</x:f>
        <x:v>-657.102</x:v>
      </x:c>
      <x:c r="AJ239" s="65" t="n">
        <x:f>AI239/Q239</x:f>
        <x:v>-0.29621004658836575</x:v>
      </x:c>
      <x:c r="AK239" s="64" t="n">
        <x:f>Q239+AI239</x:f>
        <x:v>1561.263</x:v>
      </x:c>
      <x:c r="AL239" s="65" t="n">
        <x:f>AK239/Q239</x:f>
        <x:v>0.7037899534116343</x:v>
      </x:c>
      <x:c r="AM239" s="64" t="n">
        <x:f>AK239/L239</x:f>
        <x:v>260.21049999999997</x:v>
      </x:c>
      <x:c r="AN239" s="66" t="str">
        <x:f>IF(AM239&lt;=200,"≤200K",IF(AM239&lt;=350,"200–350K",IF(AM239&lt;=500,"350–500K",IF(AM239&lt;=700,"500–700K","&gt;700K"))))</x:f>
        <x:v>200–350K</x:v>
      </x:c>
      <x:c r="AO239" s="64" t="n">
        <x:f>-ROUND(Q239*'Drivers'!R239,3)</x:f>
        <x:v>-847.813</x:v>
      </x:c>
      <x:c r="AP239" s="64" t="n">
        <x:f>-ROUND(AK239*'Drivers'!S239,3)</x:f>
        <x:v>-19.566</x:v>
      </x:c>
      <x:c r="AQ239" s="64" t="n">
        <x:f>-ROUND(AK239*'Drivers'!T239,3)</x:f>
        <x:v>-10.134</x:v>
      </x:c>
      <x:c r="AR239" s="64" t="n">
        <x:f>-ROUND(AK239*'Drivers'!U239,3)</x:f>
        <x:v>-12.428</x:v>
      </x:c>
      <x:c r="AS239" s="64" t="n">
        <x:f>-ROUND(AK239*'Drivers'!V239,3)</x:f>
        <x:v>-45.448</x:v>
      </x:c>
      <x:c r="AT239" s="64" t="n">
        <x:f>SUM(AO239:AS239)</x:f>
        <x:v>-935.389</x:v>
      </x:c>
      <x:c r="AU239" s="65" t="n">
        <x:f>AT239/AK239</x:f>
        <x:v>-0.5991232739134918</x:v>
      </x:c>
      <x:c r="AV239" s="64" t="n">
        <x:f>AK239+AT239</x:f>
        <x:v>625.8739999999999</x:v>
      </x:c>
      <x:c r="AW239" s="65" t="n">
        <x:f>AV239/AK239</x:f>
        <x:v>0.40087672608650815</x:v>
      </x:c>
      <x:c r="AX239" s="64" t="n">
        <x:f>-ROUND(AK239*'Drivers'!W239,3)</x:f>
        <x:v>-18.556</x:v>
      </x:c>
      <x:c r="AY239" s="64" t="n">
        <x:f>-ROUND(AK239*'Drivers'!X239,3)</x:f>
        <x:v>-29.966</x:v>
      </x:c>
      <x:c r="AZ239" s="64" t="n">
        <x:f>-ROUND(AK239*'Drivers'!Y239,3)</x:f>
        <x:v>-20.669</x:v>
      </x:c>
      <x:c r="BA239" s="64" t="n">
        <x:f>-ROUND(AK239*'Drivers'!Z239,3)</x:f>
        <x:v>-8.621</x:v>
      </x:c>
      <x:c r="BB239" s="64" t="n">
        <x:f>-ROUND(AK239*'Drivers'!AA239,3)</x:f>
        <x:v>-14.232</x:v>
      </x:c>
      <x:c r="BC239" s="64" t="n">
        <x:f>SUM(BA239,BB239)</x:f>
        <x:v>-22.853</x:v>
      </x:c>
      <x:c r="BD239" s="64" t="n">
        <x:f>-ROUND(AK239*'Drivers'!AB239,3)</x:f>
        <x:v>-6.774</x:v>
      </x:c>
      <x:c r="BE239" s="64" t="n">
        <x:f>SUM(AX239:BB239,BD239)</x:f>
        <x:v>-98.818</x:v>
      </x:c>
      <x:c r="BF239" s="67" t="n">
        <x:f>'Drivers'!AF239</x:f>
        <x:v>12</x:v>
      </x:c>
      <x:c r="BG239" s="64" t="n">
        <x:f>BJ239</x:f>
        <x:v>-37.185</x:v>
      </x:c>
      <x:c r="BH239" s="64" t="n">
        <x:f>BE239/BF239</x:f>
        <x:v>-8.234833333333333</x:v>
      </x:c>
      <x:c r="BI239" s="68" t="n">
        <x:f>BF239/L239</x:f>
        <x:v>2</x:v>
      </x:c>
      <x:c r="BJ239" s="64" t="n">
        <x:f>-ROUND(AK239*'Drivers'!AC239,3)</x:f>
        <x:v>-37.185</x:v>
      </x:c>
      <x:c r="BK239" s="64" t="n">
        <x:f>-ROUND(AK239*'Drivers'!AD239,3)</x:f>
        <x:v>-179.486</x:v>
      </x:c>
      <x:c r="BL239" s="64" t="n">
        <x:f>SUM(AV239,BE239,BJ239,BK239)</x:f>
        <x:v>310.38499999999993</x:v>
      </x:c>
      <x:c r="BM239" s="65" t="n">
        <x:f>BL239/AK239</x:f>
        <x:v>0.19880378898366255</x:v>
      </x:c>
      <x:c r="BN239" s="64" t="n">
        <x:f>-ROUND(AK239*'Drivers'!AE239,3)</x:f>
        <x:v>-107.686</x:v>
      </x:c>
      <x:c r="BO239" s="64" t="n">
        <x:f>BL239+BN239</x:f>
        <x:v>202.69899999999993</x:v>
      </x:c>
      <x:c r="BP239" s="65" t="n">
        <x:f>BO239/AK239</x:f>
        <x:v>0.12983014392834516</x:v>
      </x:c>
    </x:row>
    <x:row r="240">
      <x:c r="A240" s="61" t="n">
        <x:v>2026</x:v>
      </x:c>
      <x:c r="B240" s="18" t="str">
        <x:v>S1</x:v>
      </x:c>
      <x:c r="C240" s="18" t="str">
        <x:v>2026 S1</x:v>
      </x:c>
      <x:c r="D240" s="18" t="str">
        <x:v>CNCT0060</x:v>
      </x:c>
      <x:c r="E240" s="18" t="str">
        <x:v>武汉K11</x:v>
      </x:c>
      <x:c r="F240" s="18" t="str">
        <x:v>武汉</x:v>
      </x:c>
      <x:c r="G240" s="18" t="str">
        <x:v>湖北省</x:v>
      </x:c>
      <x:c r="H240" s="18" t="str">
        <x:v>南区</x:v>
      </x:c>
      <x:c r="I240" s="18" t="str">
        <x:v>Shopping Mall</x:v>
      </x:c>
      <x:c r="J240" s="18" t="str">
        <x:v>Core Shopping Center</x:v>
      </x:c>
      <x:c r="K240" s="18" t="str">
        <x:v>正常</x:v>
      </x:c>
      <x:c r="L240" s="62" t="n">
        <x:v>7</x:v>
      </x:c>
      <x:c r="M240" s="62" t="n">
        <x:v>50</x:v>
      </x:c>
      <x:c r="N240" s="63" t="n">
        <x:f>'Drivers'!C240</x:f>
        <x:v>2333</x:v>
      </x:c>
      <x:c r="O240" s="63" t="n">
        <x:f>'Drivers'!D240</x:f>
        <x:v>1103.253</x:v>
      </x:c>
      <x:c r="P240" s="64" t="n">
        <x:f>ROUND(N240*O240/1000,3)</x:f>
        <x:v>2573.889</x:v>
      </x:c>
      <x:c r="Q240" s="64" t="n">
        <x:f>ROUND(P240*'Drivers'!E240,3)</x:f>
        <x:v>2499.414</x:v>
      </x:c>
      <x:c r="R240" s="64" t="n">
        <x:f>-ROUND(Q240*'Drivers'!F240,3)</x:f>
        <x:v>-521.969</x:v>
      </x:c>
      <x:c r="S240" s="65" t="n">
        <x:f>R240/Q240</x:f>
        <x:v>-0.20883655128762182</x:v>
      </x:c>
      <x:c r="T240" s="64" t="n">
        <x:f>-ROUND(Q240*'Drivers'!G240,3)</x:f>
        <x:v>-34.224</x:v>
      </x:c>
      <x:c r="U240" s="65" t="n">
        <x:f>T240/Q240</x:f>
        <x:v>-0.013692809594568964</x:v>
      </x:c>
      <x:c r="V240" s="64" t="n">
        <x:f>-ROUND(Q240*'Drivers'!H240,3)</x:f>
        <x:v>-19.015</x:v>
      </x:c>
      <x:c r="W240" s="64" t="n">
        <x:f>-ROUND(Q240*'Drivers'!I240,3)</x:f>
        <x:v>-20.918</x:v>
      </x:c>
      <x:c r="X240" s="64" t="n">
        <x:f>-ROUND(Q240*'Drivers'!J240,3)</x:f>
        <x:v>-26.348</x:v>
      </x:c>
      <x:c r="Y240" s="64" t="n">
        <x:f>-ROUND(Q240*'Drivers'!K240,3)</x:f>
        <x:v>-26.552</x:v>
      </x:c>
      <x:c r="Z240" s="64" t="n">
        <x:f>-ROUND(Q240*'Drivers'!L240,3)</x:f>
        <x:v>-21.003</x:v>
      </x:c>
      <x:c r="AA240" s="64" t="n">
        <x:f>-ROUND(Q240*'Drivers'!M240,3)</x:f>
        <x:v>-21.558</x:v>
      </x:c>
      <x:c r="AB240" s="64" t="n">
        <x:f>-ROUND(Q240*'Drivers'!N240,3)</x:f>
        <x:v>-14.76</x:v>
      </x:c>
      <x:c r="AC240" s="64" t="n">
        <x:f>SUM(V240:AB240)</x:f>
        <x:v>-150.154</x:v>
      </x:c>
      <x:c r="AD240" s="65" t="n">
        <x:f>AC240/Q240</x:f>
        <x:v>-0.060075681739799804</x:v>
      </x:c>
      <x:c r="AE240" s="64" t="n">
        <x:f>-ROUND(Q240*'Drivers'!O240,3)</x:f>
        <x:v>-17.421</x:v>
      </x:c>
      <x:c r="AF240" s="65" t="n">
        <x:f>AE240/Q240</x:f>
        <x:v>-0.006970033775917074</x:v>
      </x:c>
      <x:c r="AG240" s="64" t="n">
        <x:f>-ROUND(Q240*'Drivers'!P240,3)</x:f>
        <x:v>-4.72</x:v>
      </x:c>
      <x:c r="AH240" s="64" t="n">
        <x:f>-ROUND(Q240*'Drivers'!Q240,3)</x:f>
        <x:v>-14.435</x:v>
      </x:c>
      <x:c r="AI240" s="64" t="n">
        <x:f>SUM(R240,T240,AC240,AE240,AG240,AH240)</x:f>
        <x:v>-742.9230000000001</x:v>
      </x:c>
      <x:c r="AJ240" s="65" t="n">
        <x:f>AI240/Q240</x:f>
        <x:v>-0.2972388727917824</x:v>
      </x:c>
      <x:c r="AK240" s="64" t="n">
        <x:f>Q240+AI240</x:f>
        <x:v>1756.491</x:v>
      </x:c>
      <x:c r="AL240" s="65" t="n">
        <x:f>AK240/Q240</x:f>
        <x:v>0.7027611272082176</x:v>
      </x:c>
      <x:c r="AM240" s="64" t="n">
        <x:f>AK240/L240</x:f>
        <x:v>250.92728571428572</x:v>
      </x:c>
      <x:c r="AN240" s="66" t="str">
        <x:f>IF(AM240&lt;=200,"≤200K",IF(AM240&lt;=350,"200–350K",IF(AM240&lt;=500,"350–500K",IF(AM240&lt;=700,"500–700K","&gt;700K"))))</x:f>
        <x:v>200–350K</x:v>
      </x:c>
      <x:c r="AO240" s="64" t="n">
        <x:f>-ROUND(Q240*'Drivers'!R240,3)</x:f>
        <x:v>-896.556</x:v>
      </x:c>
      <x:c r="AP240" s="64" t="n">
        <x:f>-ROUND(AK240*'Drivers'!S240,3)</x:f>
        <x:v>-22.013</x:v>
      </x:c>
      <x:c r="AQ240" s="64" t="n">
        <x:f>-ROUND(AK240*'Drivers'!T240,3)</x:f>
        <x:v>-11.401</x:v>
      </x:c>
      <x:c r="AR240" s="64" t="n">
        <x:f>-ROUND(AK240*'Drivers'!U240,3)</x:f>
        <x:v>-13.982</x:v>
      </x:c>
      <x:c r="AS240" s="64" t="n">
        <x:f>-ROUND(AK240*'Drivers'!V240,3)</x:f>
        <x:v>-51.131</x:v>
      </x:c>
      <x:c r="AT240" s="64" t="n">
        <x:f>SUM(AO240:AS240)</x:f>
        <x:v>-995.083</x:v>
      </x:c>
      <x:c r="AU240" s="65" t="n">
        <x:f>AT240/AK240</x:f>
        <x:v>-0.5665175625721964</x:v>
      </x:c>
      <x:c r="AV240" s="64" t="n">
        <x:f>AK240+AT240</x:f>
        <x:v>761.408</x:v>
      </x:c>
      <x:c r="AW240" s="65" t="n">
        <x:f>AV240/AK240</x:f>
        <x:v>0.4334824374278035</x:v>
      </x:c>
      <x:c r="AX240" s="64" t="n">
        <x:f>-ROUND(AK240*'Drivers'!W240,3)</x:f>
        <x:v>-20.041</x:v>
      </x:c>
      <x:c r="AY240" s="64" t="n">
        <x:f>-ROUND(AK240*'Drivers'!X240,3)</x:f>
        <x:v>-32.365</x:v>
      </x:c>
      <x:c r="AZ240" s="64" t="n">
        <x:f>-ROUND(AK240*'Drivers'!Y240,3)</x:f>
        <x:v>-22.323</x:v>
      </x:c>
      <x:c r="BA240" s="64" t="n">
        <x:f>-ROUND(AK240*'Drivers'!Z240,3)</x:f>
        <x:v>-9.311</x:v>
      </x:c>
      <x:c r="BB240" s="64" t="n">
        <x:f>-ROUND(AK240*'Drivers'!AA240,3)</x:f>
        <x:v>-15.371</x:v>
      </x:c>
      <x:c r="BC240" s="64" t="n">
        <x:f>SUM(BA240,BB240)</x:f>
        <x:v>-24.682000000000002</x:v>
      </x:c>
      <x:c r="BD240" s="64" t="n">
        <x:f>-ROUND(AK240*'Drivers'!AB240,3)</x:f>
        <x:v>-7.316</x:v>
      </x:c>
      <x:c r="BE240" s="64" t="n">
        <x:f>SUM(AX240:BB240,BD240)</x:f>
        <x:v>-106.72700000000002</x:v>
      </x:c>
      <x:c r="BF240" s="67" t="n">
        <x:f>'Drivers'!AF240</x:f>
        <x:v>12</x:v>
      </x:c>
      <x:c r="BG240" s="64" t="n">
        <x:f>BJ240</x:f>
        <x:v>-40.162</x:v>
      </x:c>
      <x:c r="BH240" s="64" t="n">
        <x:f>BE240/BF240</x:f>
        <x:v>-8.893916666666668</x:v>
      </x:c>
      <x:c r="BI240" s="68" t="n">
        <x:f>BF240/L240</x:f>
        <x:v>1.7142857142857142</x:v>
      </x:c>
      <x:c r="BJ240" s="64" t="n">
        <x:f>-ROUND(AK240*'Drivers'!AC240,3)</x:f>
        <x:v>-40.162</x:v>
      </x:c>
      <x:c r="BK240" s="64" t="n">
        <x:f>-ROUND(AK240*'Drivers'!AD240,3)</x:f>
        <x:v>-193.853</x:v>
      </x:c>
      <x:c r="BL240" s="64" t="n">
        <x:f>SUM(AV240,BE240,BJ240,BK240)</x:f>
        <x:v>420.666</x:v>
      </x:c>
      <x:c r="BM240" s="65" t="n">
        <x:f>BL240/AK240</x:f>
        <x:v>0.23949226042148808</x:v>
      </x:c>
      <x:c r="BN240" s="64" t="n">
        <x:f>-ROUND(AK240*'Drivers'!AE240,3)</x:f>
        <x:v>-121.151</x:v>
      </x:c>
      <x:c r="BO240" s="64" t="n">
        <x:f>BL240+BN240</x:f>
        <x:v>299.515</x:v>
      </x:c>
      <x:c r="BP240" s="65" t="n">
        <x:f>BO240/AK240</x:f>
        <x:v>0.17051894942814963</x:v>
      </x:c>
    </x:row>
    <x:row r="241">
      <x:c r="A241" s="61" t="n">
        <x:v>2026</x:v>
      </x:c>
      <x:c r="B241" s="18" t="str">
        <x:v>S2</x:v>
      </x:c>
      <x:c r="C241" s="18" t="str">
        <x:v>2026 S2</x:v>
      </x:c>
      <x:c r="D241" s="18" t="str">
        <x:v>CNCT0060</x:v>
      </x:c>
      <x:c r="E241" s="18" t="str">
        <x:v>武汉K11</x:v>
      </x:c>
      <x:c r="F241" s="18" t="str">
        <x:v>武汉</x:v>
      </x:c>
      <x:c r="G241" s="18" t="str">
        <x:v>湖北省</x:v>
      </x:c>
      <x:c r="H241" s="18" t="str">
        <x:v>南区</x:v>
      </x:c>
      <x:c r="I241" s="18" t="str">
        <x:v>Shopping Mall</x:v>
      </x:c>
      <x:c r="J241" s="18" t="str">
        <x:v>Core Shopping Center</x:v>
      </x:c>
      <x:c r="K241" s="18" t="str">
        <x:v>正常</x:v>
      </x:c>
      <x:c r="L241" s="62" t="n">
        <x:v>7</x:v>
      </x:c>
      <x:c r="M241" s="62" t="n">
        <x:v>50</x:v>
      </x:c>
      <x:c r="N241" s="63" t="n">
        <x:f>'Drivers'!C241</x:f>
        <x:v>2411</x:v>
      </x:c>
      <x:c r="O241" s="63" t="n">
        <x:f>'Drivers'!D241</x:f>
        <x:v>1098.279</x:v>
      </x:c>
      <x:c r="P241" s="64" t="n">
        <x:f>ROUND(N241*O241/1000,3)</x:f>
        <x:v>2647.951</x:v>
      </x:c>
      <x:c r="Q241" s="64" t="n">
        <x:f>ROUND(P241*'Drivers'!E241,3)</x:f>
        <x:v>2602.403</x:v>
      </x:c>
      <x:c r="R241" s="64" t="n">
        <x:f>-ROUND(Q241*'Drivers'!F241,3)</x:f>
        <x:v>-527.628</x:v>
      </x:c>
      <x:c r="S241" s="65" t="n">
        <x:f>R241/Q241</x:f>
        <x:v>-0.20274646163564986</x:v>
      </x:c>
      <x:c r="T241" s="64" t="n">
        <x:f>-ROUND(Q241*'Drivers'!G241,3)</x:f>
        <x:v>-30.62</x:v>
      </x:c>
      <x:c r="U241" s="65" t="n">
        <x:f>T241/Q241</x:f>
        <x:v>-0.011766048532836767</x:v>
      </x:c>
      <x:c r="V241" s="64" t="n">
        <x:f>-ROUND(Q241*'Drivers'!H241,3)</x:f>
        <x:v>-19.799</x:v>
      </x:c>
      <x:c r="W241" s="64" t="n">
        <x:f>-ROUND(Q241*'Drivers'!I241,3)</x:f>
        <x:v>-21.78</x:v>
      </x:c>
      <x:c r="X241" s="64" t="n">
        <x:f>-ROUND(Q241*'Drivers'!J241,3)</x:f>
        <x:v>-27.434</x:v>
      </x:c>
      <x:c r="Y241" s="64" t="n">
        <x:f>-ROUND(Q241*'Drivers'!K241,3)</x:f>
        <x:v>-27.646</x:v>
      </x:c>
      <x:c r="Z241" s="64" t="n">
        <x:f>-ROUND(Q241*'Drivers'!L241,3)</x:f>
        <x:v>-21.868</x:v>
      </x:c>
      <x:c r="AA241" s="64" t="n">
        <x:f>-ROUND(Q241*'Drivers'!M241,3)</x:f>
        <x:v>-22.446</x:v>
      </x:c>
      <x:c r="AB241" s="64" t="n">
        <x:f>-ROUND(Q241*'Drivers'!N241,3)</x:f>
        <x:v>-15.368</x:v>
      </x:c>
      <x:c r="AC241" s="64" t="n">
        <x:f>SUM(V241:AB241)</x:f>
        <x:v>-156.341</x:v>
      </x:c>
      <x:c r="AD241" s="65" t="n">
        <x:f>AC241/Q241</x:f>
        <x:v>-0.0600756301003342</x:v>
      </x:c>
      <x:c r="AE241" s="64" t="n">
        <x:f>-ROUND(Q241*'Drivers'!O241,3)</x:f>
        <x:v>-15.994</x:v>
      </x:c>
      <x:c r="AF241" s="65" t="n">
        <x:f>AE241/Q241</x:f>
        <x:v>-0.006145858270221792</x:v>
      </x:c>
      <x:c r="AG241" s="64" t="n">
        <x:f>-ROUND(Q241*'Drivers'!P241,3)</x:f>
        <x:v>-4.915</x:v>
      </x:c>
      <x:c r="AH241" s="64" t="n">
        <x:f>-ROUND(Q241*'Drivers'!Q241,3)</x:f>
        <x:v>-15.03</x:v>
      </x:c>
      <x:c r="AI241" s="64" t="n">
        <x:f>SUM(R241,T241,AC241,AE241,AG241,AH241)</x:f>
        <x:v>-750.528</x:v>
      </x:c>
      <x:c r="AJ241" s="65" t="n">
        <x:f>AI241/Q241</x:f>
        <x:v>-0.2883980690154446</x:v>
      </x:c>
      <x:c r="AK241" s="64" t="n">
        <x:f>Q241+AI241</x:f>
        <x:v>1851.8749999999998</x:v>
      </x:c>
      <x:c r="AL241" s="65" t="n">
        <x:f>AK241/Q241</x:f>
        <x:v>0.7116019309845554</x:v>
      </x:c>
      <x:c r="AM241" s="64" t="n">
        <x:f>AK241/L241</x:f>
        <x:v>264.5535714285714</x:v>
      </x:c>
      <x:c r="AN241" s="66" t="str">
        <x:f>IF(AM241&lt;=200,"≤200K",IF(AM241&lt;=350,"200–350K",IF(AM241&lt;=500,"350–500K",IF(AM241&lt;=700,"500–700K","&gt;700K"))))</x:f>
        <x:v>200–350K</x:v>
      </x:c>
      <x:c r="AO241" s="64" t="n">
        <x:f>-ROUND(Q241*'Drivers'!R241,3)</x:f>
        <x:v>-994.229</x:v>
      </x:c>
      <x:c r="AP241" s="64" t="n">
        <x:f>-ROUND(AK241*'Drivers'!S241,3)</x:f>
        <x:v>-23.208</x:v>
      </x:c>
      <x:c r="AQ241" s="64" t="n">
        <x:f>-ROUND(AK241*'Drivers'!T241,3)</x:f>
        <x:v>-12.02</x:v>
      </x:c>
      <x:c r="AR241" s="64" t="n">
        <x:f>-ROUND(AK241*'Drivers'!U241,3)</x:f>
        <x:v>-14.741</x:v>
      </x:c>
      <x:c r="AS241" s="64" t="n">
        <x:f>-ROUND(AK241*'Drivers'!V241,3)</x:f>
        <x:v>-53.908</x:v>
      </x:c>
      <x:c r="AT241" s="64" t="n">
        <x:f>SUM(AO241:AS241)</x:f>
        <x:v>-1098.106</x:v>
      </x:c>
      <x:c r="AU241" s="65" t="n">
        <x:f>AT241/AK241</x:f>
        <x:v>-0.5929698278771516</x:v>
      </x:c>
      <x:c r="AV241" s="64" t="n">
        <x:f>AK241+AT241</x:f>
        <x:v>753.7689999999998</x:v>
      </x:c>
      <x:c r="AW241" s="65" t="n">
        <x:f>AV241/AK241</x:f>
        <x:v>0.4070301721228484</x:v>
      </x:c>
      <x:c r="AX241" s="64" t="n">
        <x:f>-ROUND(AK241*'Drivers'!W241,3)</x:f>
        <x:v>-22.164</x:v>
      </x:c>
      <x:c r="AY241" s="64" t="n">
        <x:f>-ROUND(AK241*'Drivers'!X241,3)</x:f>
        <x:v>-35.793</x:v>
      </x:c>
      <x:c r="AZ241" s="64" t="n">
        <x:f>-ROUND(AK241*'Drivers'!Y241,3)</x:f>
        <x:v>-24.688</x:v>
      </x:c>
      <x:c r="BA241" s="64" t="n">
        <x:f>-ROUND(AK241*'Drivers'!Z241,3)</x:f>
        <x:v>-10.297</x:v>
      </x:c>
      <x:c r="BB241" s="64" t="n">
        <x:f>-ROUND(AK241*'Drivers'!AA241,3)</x:f>
        <x:v>-16.999</x:v>
      </x:c>
      <x:c r="BC241" s="64" t="n">
        <x:f>SUM(BA241,BB241)</x:f>
        <x:v>-27.296</x:v>
      </x:c>
      <x:c r="BD241" s="64" t="n">
        <x:f>-ROUND(AK241*'Drivers'!AB241,3)</x:f>
        <x:v>-8.091</x:v>
      </x:c>
      <x:c r="BE241" s="64" t="n">
        <x:f>SUM(AX241:BB241,BD241)</x:f>
        <x:v>-118.03199999999998</x:v>
      </x:c>
      <x:c r="BF241" s="67" t="n">
        <x:f>'Drivers'!AF241</x:f>
        <x:v>12</x:v>
      </x:c>
      <x:c r="BG241" s="64" t="n">
        <x:f>BJ241</x:f>
        <x:v>-44.415</x:v>
      </x:c>
      <x:c r="BH241" s="64" t="n">
        <x:f>BE241/BF241</x:f>
        <x:v>-9.835999999999999</x:v>
      </x:c>
      <x:c r="BI241" s="68" t="n">
        <x:f>BF241/L241</x:f>
        <x:v>1.7142857142857142</x:v>
      </x:c>
      <x:c r="BJ241" s="64" t="n">
        <x:f>-ROUND(AK241*'Drivers'!AC241,3)</x:f>
        <x:v>-44.415</x:v>
      </x:c>
      <x:c r="BK241" s="64" t="n">
        <x:f>-ROUND(AK241*'Drivers'!AD241,3)</x:f>
        <x:v>-212.896</x:v>
      </x:c>
      <x:c r="BL241" s="64" t="n">
        <x:f>SUM(AV241,BE241,BJ241,BK241)</x:f>
        <x:v>378.42599999999993</x:v>
      </x:c>
      <x:c r="BM241" s="65" t="n">
        <x:f>BL241/AK241</x:f>
        <x:v>0.2043474856564293</x:v>
      </x:c>
      <x:c r="BN241" s="64" t="n">
        <x:f>-ROUND(AK241*'Drivers'!AE241,3)</x:f>
        <x:v>-127.73</x:v>
      </x:c>
      <x:c r="BO241" s="64" t="n">
        <x:f>BL241+BN241</x:f>
        <x:v>250.6959999999999</x:v>
      </x:c>
      <x:c r="BP241" s="65" t="n">
        <x:f>BO241/AK241</x:f>
        <x:v>0.13537414782315219</x:v>
      </x:c>
    </x:row>
    <x:row r="242">
      <x:c r="A242" s="61" t="n">
        <x:v>2025</x:v>
      </x:c>
      <x:c r="B242" s="18" t="str">
        <x:v>S1</x:v>
      </x:c>
      <x:c r="C242" s="18" t="str">
        <x:v>2025 S1</x:v>
      </x:c>
      <x:c r="D242" s="18" t="str">
        <x:v>CNCT0061</x:v>
      </x:c>
      <x:c r="E242" s="18" t="str">
        <x:v>武汉万象城</x:v>
      </x:c>
      <x:c r="F242" s="18" t="str">
        <x:v>武汉</x:v>
      </x:c>
      <x:c r="G242" s="18" t="str">
        <x:v>湖北省</x:v>
      </x:c>
      <x:c r="H242" s="18" t="str">
        <x:v>南区</x:v>
      </x:c>
      <x:c r="I242" s="18" t="str">
        <x:v>Shopping Mall</x:v>
      </x:c>
      <x:c r="J242" s="18" t="str">
        <x:v>Prestige Shopping Center</x:v>
      </x:c>
      <x:c r="K242" s="18" t="str">
        <x:v>正常</x:v>
      </x:c>
      <x:c r="L242" s="62" t="n">
        <x:v>5</x:v>
      </x:c>
      <x:c r="M242" s="62" t="n">
        <x:v>46</x:v>
      </x:c>
      <x:c r="N242" s="63" t="n">
        <x:f>'Drivers'!C242</x:f>
        <x:v>2033</x:v>
      </x:c>
      <x:c r="O242" s="63" t="n">
        <x:f>'Drivers'!D242</x:f>
        <x:v>1159.009</x:v>
      </x:c>
      <x:c r="P242" s="64" t="n">
        <x:f>ROUND(N242*O242/1000,3)</x:f>
        <x:v>2356.265</x:v>
      </x:c>
      <x:c r="Q242" s="64" t="n">
        <x:f>ROUND(P242*'Drivers'!E242,3)</x:f>
        <x:v>2314.547</x:v>
      </x:c>
      <x:c r="R242" s="64" t="n">
        <x:f>-ROUND(Q242*'Drivers'!F242,3)</x:f>
        <x:v>-443.933</x:v>
      </x:c>
      <x:c r="S242" s="65" t="n">
        <x:f>R242/Q242</x:f>
        <x:v>-0.1918012466370309</x:v>
      </x:c>
      <x:c r="T242" s="64" t="n">
        <x:f>-ROUND(Q242*'Drivers'!G242,3)</x:f>
        <x:v>-26.657</x:v>
      </x:c>
      <x:c r="U242" s="65" t="n">
        <x:f>T242/Q242</x:f>
        <x:v>-0.011517156488937143</x:v>
      </x:c>
      <x:c r="V242" s="64" t="n">
        <x:f>-ROUND(Q242*'Drivers'!H242,3)</x:f>
        <x:v>-28.915</x:v>
      </x:c>
      <x:c r="W242" s="64" t="n">
        <x:f>-ROUND(Q242*'Drivers'!I242,3)</x:f>
        <x:v>-22.163</x:v>
      </x:c>
      <x:c r="X242" s="64" t="n">
        <x:f>-ROUND(Q242*'Drivers'!J242,3)</x:f>
        <x:v>-30.09</x:v>
      </x:c>
      <x:c r="Y242" s="64" t="n">
        <x:f>-ROUND(Q242*'Drivers'!K242,3)</x:f>
        <x:v>-26.771</x:v>
      </x:c>
      <x:c r="Z242" s="64" t="n">
        <x:f>-ROUND(Q242*'Drivers'!L242,3)</x:f>
        <x:v>-21.81</x:v>
      </x:c>
      <x:c r="AA242" s="64" t="n">
        <x:f>-ROUND(Q242*'Drivers'!M242,3)</x:f>
        <x:v>-18.785</x:v>
      </x:c>
      <x:c r="AB242" s="64" t="n">
        <x:f>-ROUND(Q242*'Drivers'!N242,3)</x:f>
        <x:v>-20.75</x:v>
      </x:c>
      <x:c r="AC242" s="64" t="n">
        <x:f>SUM(V242:AB242)</x:f>
        <x:v>-169.284</x:v>
      </x:c>
      <x:c r="AD242" s="65" t="n">
        <x:f>AC242/Q242</x:f>
        <x:v>-0.07313914990708764</x:v>
      </x:c>
      <x:c r="AE242" s="64" t="n">
        <x:f>-ROUND(Q242*'Drivers'!O242,3)</x:f>
        <x:v>-34.774</x:v>
      </x:c>
      <x:c r="AF242" s="65" t="n">
        <x:f>AE242/Q242</x:f>
        <x:v>-0.01502410622899427</x:v>
      </x:c>
      <x:c r="AG242" s="64" t="n">
        <x:f>-ROUND(Q242*'Drivers'!P242,3)</x:f>
        <x:v>-1.444</x:v>
      </x:c>
      <x:c r="AH242" s="64" t="n">
        <x:f>-ROUND(Q242*'Drivers'!Q242,3)</x:f>
        <x:v>-4.44</x:v>
      </x:c>
      <x:c r="AI242" s="64" t="n">
        <x:f>SUM(R242,T242,AC242,AE242,AG242,AH242)</x:f>
        <x:v>-680.532</x:v>
      </x:c>
      <x:c r="AJ242" s="65" t="n">
        <x:f>AI242/Q242</x:f>
        <x:v>-0.2940238413823526</x:v>
      </x:c>
      <x:c r="AK242" s="64" t="n">
        <x:f>Q242+AI242</x:f>
        <x:v>1634.0149999999999</x:v>
      </x:c>
      <x:c r="AL242" s="65" t="n">
        <x:f>AK242/Q242</x:f>
        <x:v>0.7059761586176474</x:v>
      </x:c>
      <x:c r="AM242" s="64" t="n">
        <x:f>AK242/L242</x:f>
        <x:v>326.803</x:v>
      </x:c>
      <x:c r="AN242" s="66" t="str">
        <x:f>IF(AM242&lt;=200,"≤200K",IF(AM242&lt;=350,"200–350K",IF(AM242&lt;=500,"350–500K",IF(AM242&lt;=700,"500–700K","&gt;700K"))))</x:f>
        <x:v>200–350K</x:v>
      </x:c>
      <x:c r="AO242" s="64" t="n">
        <x:f>-ROUND(Q242*'Drivers'!R242,3)</x:f>
        <x:v>-866.666</x:v>
      </x:c>
      <x:c r="AP242" s="64" t="n">
        <x:f>-ROUND(AK242*'Drivers'!S242,3)</x:f>
        <x:v>-22.341</x:v>
      </x:c>
      <x:c r="AQ242" s="64" t="n">
        <x:f>-ROUND(AK242*'Drivers'!T242,3)</x:f>
        <x:v>-11.327</x:v>
      </x:c>
      <x:c r="AR242" s="64" t="n">
        <x:f>-ROUND(AK242*'Drivers'!U242,3)</x:f>
        <x:v>-15.777</x:v>
      </x:c>
      <x:c r="AS242" s="64" t="n">
        <x:f>-ROUND(AK242*'Drivers'!V242,3)</x:f>
        <x:v>-46.78</x:v>
      </x:c>
      <x:c r="AT242" s="64" t="n">
        <x:f>SUM(AO242:AS242)</x:f>
        <x:v>-962.8910000000001</x:v>
      </x:c>
      <x:c r="AU242" s="65" t="n">
        <x:f>AT242/AK242</x:f>
        <x:v>-0.5892791681838907</x:v>
      </x:c>
      <x:c r="AV242" s="64" t="n">
        <x:f>AK242+AT242</x:f>
        <x:v>671.1239999999998</x:v>
      </x:c>
      <x:c r="AW242" s="65" t="n">
        <x:f>AV242/AK242</x:f>
        <x:v>0.4107208318161093</x:v>
      </x:c>
      <x:c r="AX242" s="64" t="n">
        <x:f>-ROUND(AK242*'Drivers'!W242,3)</x:f>
        <x:v>-21.424</x:v>
      </x:c>
      <x:c r="AY242" s="64" t="n">
        <x:f>-ROUND(AK242*'Drivers'!X242,3)</x:f>
        <x:v>-38.892</x:v>
      </x:c>
      <x:c r="AZ242" s="64" t="n">
        <x:f>-ROUND(AK242*'Drivers'!Y242,3)</x:f>
        <x:v>-32.745</x:v>
      </x:c>
      <x:c r="BA242" s="64" t="n">
        <x:f>-ROUND(AK242*'Drivers'!Z242,3)</x:f>
        <x:v>-9.811</x:v>
      </x:c>
      <x:c r="BB242" s="64" t="n">
        <x:f>-ROUND(AK242*'Drivers'!AA242,3)</x:f>
        <x:v>-10.469</x:v>
      </x:c>
      <x:c r="BC242" s="64" t="n">
        <x:f>SUM(BA242,BB242)</x:f>
        <x:v>-20.28</x:v>
      </x:c>
      <x:c r="BD242" s="64" t="n">
        <x:f>-ROUND(AK242*'Drivers'!AB242,3)</x:f>
        <x:v>-10.399</x:v>
      </x:c>
      <x:c r="BE242" s="64" t="n">
        <x:f>SUM(AX242:BB242,BD242)</x:f>
        <x:v>-123.74000000000001</x:v>
      </x:c>
      <x:c r="BF242" s="67" t="n">
        <x:f>'Drivers'!AF242</x:f>
        <x:v>7</x:v>
      </x:c>
      <x:c r="BG242" s="64" t="n">
        <x:f>BJ242</x:f>
        <x:v>-41.047</x:v>
      </x:c>
      <x:c r="BH242" s="64" t="n">
        <x:f>BE242/BF242</x:f>
        <x:v>-17.677142857142858</x:v>
      </x:c>
      <x:c r="BI242" s="68" t="n">
        <x:f>BF242/L242</x:f>
        <x:v>1.4</x:v>
      </x:c>
      <x:c r="BJ242" s="64" t="n">
        <x:f>-ROUND(AK242*'Drivers'!AC242,3)</x:f>
        <x:v>-41.047</x:v>
      </x:c>
      <x:c r="BK242" s="64" t="n">
        <x:f>-ROUND(AK242*'Drivers'!AD242,3)</x:f>
        <x:v>-165.002</x:v>
      </x:c>
      <x:c r="BL242" s="64" t="n">
        <x:f>SUM(AV242,BE242,BJ242,BK242)</x:f>
        <x:v>341.33499999999975</x:v>
      </x:c>
      <x:c r="BM242" s="65" t="n">
        <x:f>BL242/AK242</x:f>
        <x:v>0.20889343121085166</x:v>
      </x:c>
      <x:c r="BN242" s="64" t="n">
        <x:f>-ROUND(AK242*'Drivers'!AE242,3)</x:f>
        <x:v>-116.952</x:v>
      </x:c>
      <x:c r="BO242" s="64" t="n">
        <x:f>BL242+BN242</x:f>
        <x:v>224.38299999999975</x:v>
      </x:c>
      <x:c r="BP242" s="65" t="n">
        <x:f>BO242/AK242</x:f>
        <x:v>0.1373200368417669</x:v>
      </x:c>
    </x:row>
    <x:row r="243">
      <x:c r="A243" s="61" t="n">
        <x:v>2025</x:v>
      </x:c>
      <x:c r="B243" s="18" t="str">
        <x:v>S2</x:v>
      </x:c>
      <x:c r="C243" s="18" t="str">
        <x:v>2025 S2</x:v>
      </x:c>
      <x:c r="D243" s="18" t="str">
        <x:v>CNCT0061</x:v>
      </x:c>
      <x:c r="E243" s="18" t="str">
        <x:v>武汉万象城</x:v>
      </x:c>
      <x:c r="F243" s="18" t="str">
        <x:v>武汉</x:v>
      </x:c>
      <x:c r="G243" s="18" t="str">
        <x:v>湖北省</x:v>
      </x:c>
      <x:c r="H243" s="18" t="str">
        <x:v>南区</x:v>
      </x:c>
      <x:c r="I243" s="18" t="str">
        <x:v>Shopping Mall</x:v>
      </x:c>
      <x:c r="J243" s="18" t="str">
        <x:v>Prestige Shopping Center</x:v>
      </x:c>
      <x:c r="K243" s="18" t="str">
        <x:v>正常</x:v>
      </x:c>
      <x:c r="L243" s="62" t="n">
        <x:v>5</x:v>
      </x:c>
      <x:c r="M243" s="62" t="n">
        <x:v>46</x:v>
      </x:c>
      <x:c r="N243" s="63" t="n">
        <x:f>'Drivers'!C243</x:f>
        <x:v>2143</x:v>
      </x:c>
      <x:c r="O243" s="63" t="n">
        <x:f>'Drivers'!D243</x:f>
        <x:v>1172.918</x:v>
      </x:c>
      <x:c r="P243" s="64" t="n">
        <x:f>ROUND(N243*O243/1000,3)</x:f>
        <x:v>2513.563</x:v>
      </x:c>
      <x:c r="Q243" s="64" t="n">
        <x:f>ROUND(P243*'Drivers'!E243,3)</x:f>
        <x:v>2450.496</x:v>
      </x:c>
      <x:c r="R243" s="64" t="n">
        <x:f>-ROUND(Q243*'Drivers'!F243,3)</x:f>
        <x:v>-470.009</x:v>
      </x:c>
      <x:c r="S243" s="65" t="n">
        <x:f>R243/Q243</x:f>
        <x:v>-0.1918015781294889</x:v>
      </x:c>
      <x:c r="T243" s="64" t="n">
        <x:f>-ROUND(Q243*'Drivers'!G243,3)</x:f>
        <x:v>-28.223</x:v>
      </x:c>
      <x:c r="U243" s="65" t="n">
        <x:f>T243/Q243</x:f>
        <x:v>-0.011517260179163727</x:v>
      </x:c>
      <x:c r="V243" s="64" t="n">
        <x:f>-ROUND(Q243*'Drivers'!H243,3)</x:f>
        <x:v>-30.613</x:v>
      </x:c>
      <x:c r="W243" s="64" t="n">
        <x:f>-ROUND(Q243*'Drivers'!I243,3)</x:f>
        <x:v>-23.465</x:v>
      </x:c>
      <x:c r="X243" s="64" t="n">
        <x:f>-ROUND(Q243*'Drivers'!J243,3)</x:f>
        <x:v>-31.858</x:v>
      </x:c>
      <x:c r="Y243" s="64" t="n">
        <x:f>-ROUND(Q243*'Drivers'!K243,3)</x:f>
        <x:v>-28.343</x:v>
      </x:c>
      <x:c r="Z243" s="64" t="n">
        <x:f>-ROUND(Q243*'Drivers'!L243,3)</x:f>
        <x:v>-23.091</x:v>
      </x:c>
      <x:c r="AA243" s="64" t="n">
        <x:f>-ROUND(Q243*'Drivers'!M243,3)</x:f>
        <x:v>-19.889</x:v>
      </x:c>
      <x:c r="AB243" s="64" t="n">
        <x:f>-ROUND(Q243*'Drivers'!N243,3)</x:f>
        <x:v>-21.969</x:v>
      </x:c>
      <x:c r="AC243" s="64" t="n">
        <x:f>SUM(V243:AB243)</x:f>
        <x:v>-179.228</x:v>
      </x:c>
      <x:c r="AD243" s="65" t="n">
        <x:f>AC243/Q243</x:f>
        <x:v>-0.07313947870145472</x:v>
      </x:c>
      <x:c r="AE243" s="64" t="n">
        <x:f>-ROUND(Q243*'Drivers'!O243,3)</x:f>
        <x:v>-36.817</x:v>
      </x:c>
      <x:c r="AF243" s="65" t="n">
        <x:f>AE243/Q243</x:f>
        <x:v>-0.015024305283501788</x:v>
      </x:c>
      <x:c r="AG243" s="64" t="n">
        <x:f>-ROUND(Q243*'Drivers'!P243,3)</x:f>
        <x:v>-1.529</x:v>
      </x:c>
      <x:c r="AH243" s="64" t="n">
        <x:f>-ROUND(Q243*'Drivers'!Q243,3)</x:f>
        <x:v>-4.701</x:v>
      </x:c>
      <x:c r="AI243" s="64" t="n">
        <x:f>SUM(R243,T243,AC243,AE243,AG243,AH243)</x:f>
        <x:v>-720.5070000000001</x:v>
      </x:c>
      <x:c r="AJ243" s="65" t="n">
        <x:f>AI243/Q243</x:f>
        <x:v>-0.2940249647418319</x:v>
      </x:c>
      <x:c r="AK243" s="64" t="n">
        <x:f>Q243+AI243</x:f>
        <x:v>1729.989</x:v>
      </x:c>
      <x:c r="AL243" s="65" t="n">
        <x:f>AK243/Q243</x:f>
        <x:v>0.7059750352581682</x:v>
      </x:c>
      <x:c r="AM243" s="64" t="n">
        <x:f>AK243/L243</x:f>
        <x:v>345.9978</x:v>
      </x:c>
      <x:c r="AN243" s="66" t="str">
        <x:f>IF(AM243&lt;=200,"≤200K",IF(AM243&lt;=350,"200–350K",IF(AM243&lt;=500,"350–500K",IF(AM243&lt;=700,"500–700K","&gt;700K"))))</x:f>
        <x:v>200–350K</x:v>
      </x:c>
      <x:c r="AO243" s="64" t="n">
        <x:f>-ROUND(Q243*'Drivers'!R243,3)</x:f>
        <x:v>-872.358</x:v>
      </x:c>
      <x:c r="AP243" s="64" t="n">
        <x:f>-ROUND(AK243*'Drivers'!S243,3)</x:f>
        <x:v>-23.654</x:v>
      </x:c>
      <x:c r="AQ243" s="64" t="n">
        <x:f>-ROUND(AK243*'Drivers'!T243,3)</x:f>
        <x:v>-11.993</x:v>
      </x:c>
      <x:c r="AR243" s="64" t="n">
        <x:f>-ROUND(AK243*'Drivers'!U243,3)</x:f>
        <x:v>-16.703</x:v>
      </x:c>
      <x:c r="AS243" s="64" t="n">
        <x:f>-ROUND(AK243*'Drivers'!V243,3)</x:f>
        <x:v>-49.528</x:v>
      </x:c>
      <x:c r="AT243" s="64" t="n">
        <x:f>SUM(AO243:AS243)</x:f>
        <x:v>-974.236</x:v>
      </x:c>
      <x:c r="AU243" s="65" t="n">
        <x:f>AT243/AK243</x:f>
        <x:v>-0.5631457772274853</x:v>
      </x:c>
      <x:c r="AV243" s="64" t="n">
        <x:f>AK243+AT243</x:f>
        <x:v>755.753</x:v>
      </x:c>
      <x:c r="AW243" s="65" t="n">
        <x:f>AV243/AK243</x:f>
        <x:v>0.43685422277251473</x:v>
      </x:c>
      <x:c r="AX243" s="64" t="n">
        <x:f>-ROUND(AK243*'Drivers'!W243,3)</x:f>
        <x:v>-22.682</x:v>
      </x:c>
      <x:c r="AY243" s="64" t="n">
        <x:f>-ROUND(AK243*'Drivers'!X243,3)</x:f>
        <x:v>-41.176</x:v>
      </x:c>
      <x:c r="AZ243" s="64" t="n">
        <x:f>-ROUND(AK243*'Drivers'!Y243,3)</x:f>
        <x:v>-34.669</x:v>
      </x:c>
      <x:c r="BA243" s="64" t="n">
        <x:f>-ROUND(AK243*'Drivers'!Z243,3)</x:f>
        <x:v>-10.387</x:v>
      </x:c>
      <x:c r="BB243" s="64" t="n">
        <x:f>-ROUND(AK243*'Drivers'!AA243,3)</x:f>
        <x:v>-11.084</x:v>
      </x:c>
      <x:c r="BC243" s="64" t="n">
        <x:f>SUM(BA243,BB243)</x:f>
        <x:v>-21.471</x:v>
      </x:c>
      <x:c r="BD243" s="64" t="n">
        <x:f>-ROUND(AK243*'Drivers'!AB243,3)</x:f>
        <x:v>-11.009</x:v>
      </x:c>
      <x:c r="BE243" s="64" t="n">
        <x:f>SUM(AX243:BB243,BD243)</x:f>
        <x:v>-131.007</x:v>
      </x:c>
      <x:c r="BF243" s="67" t="n">
        <x:f>'Drivers'!AF243</x:f>
        <x:v>7</x:v>
      </x:c>
      <x:c r="BG243" s="64" t="n">
        <x:f>BJ243</x:f>
        <x:v>-43.458</x:v>
      </x:c>
      <x:c r="BH243" s="64" t="n">
        <x:f>BE243/BF243</x:f>
        <x:v>-18.715285714285717</x:v>
      </x:c>
      <x:c r="BI243" s="68" t="n">
        <x:f>BF243/L243</x:f>
        <x:v>1.4</x:v>
      </x:c>
      <x:c r="BJ243" s="64" t="n">
        <x:f>-ROUND(AK243*'Drivers'!AC243,3)</x:f>
        <x:v>-43.458</x:v>
      </x:c>
      <x:c r="BK243" s="64" t="n">
        <x:f>-ROUND(AK243*'Drivers'!AD243,3)</x:f>
        <x:v>-174.694</x:v>
      </x:c>
      <x:c r="BL243" s="64" t="n">
        <x:f>SUM(AV243,BE243,BJ243,BK243)</x:f>
        <x:v>406.59400000000016</x:v>
      </x:c>
      <x:c r="BM243" s="65" t="n">
        <x:f>BL243/AK243</x:f>
        <x:v>0.2350269279168828</x:v>
      </x:c>
      <x:c r="BN243" s="64" t="n">
        <x:f>-ROUND(AK243*'Drivers'!AE243,3)</x:f>
        <x:v>-123.821</x:v>
      </x:c>
      <x:c r="BO243" s="64" t="n">
        <x:f>BL243+BN243</x:f>
        <x:v>282.77300000000014</x:v>
      </x:c>
      <x:c r="BP243" s="65" t="n">
        <x:f>BO243/AK243</x:f>
        <x:v>0.1634536404566735</x:v>
      </x:c>
    </x:row>
    <x:row r="244">
      <x:c r="A244" s="61" t="n">
        <x:v>2026</x:v>
      </x:c>
      <x:c r="B244" s="18" t="str">
        <x:v>S1</x:v>
      </x:c>
      <x:c r="C244" s="18" t="str">
        <x:v>2026 S1</x:v>
      </x:c>
      <x:c r="D244" s="18" t="str">
        <x:v>CNCT0061</x:v>
      </x:c>
      <x:c r="E244" s="18" t="str">
        <x:v>武汉万象城</x:v>
      </x:c>
      <x:c r="F244" s="18" t="str">
        <x:v>武汉</x:v>
      </x:c>
      <x:c r="G244" s="18" t="str">
        <x:v>湖北省</x:v>
      </x:c>
      <x:c r="H244" s="18" t="str">
        <x:v>南区</x:v>
      </x:c>
      <x:c r="I244" s="18" t="str">
        <x:v>Shopping Mall</x:v>
      </x:c>
      <x:c r="J244" s="18" t="str">
        <x:v>Prestige Shopping Center</x:v>
      </x:c>
      <x:c r="K244" s="18" t="str">
        <x:v>正常</x:v>
      </x:c>
      <x:c r="L244" s="62" t="n">
        <x:v>6</x:v>
      </x:c>
      <x:c r="M244" s="62" t="n">
        <x:v>50</x:v>
      </x:c>
      <x:c r="N244" s="63" t="n">
        <x:f>'Drivers'!C244</x:f>
        <x:v>2353</x:v>
      </x:c>
      <x:c r="O244" s="63" t="n">
        <x:f>'Drivers'!D244</x:f>
        <x:v>1206.166</x:v>
      </x:c>
      <x:c r="P244" s="64" t="n">
        <x:f>ROUND(N244*O244/1000,3)</x:f>
        <x:v>2838.109</x:v>
      </x:c>
      <x:c r="Q244" s="64" t="n">
        <x:f>ROUND(P244*'Drivers'!E244,3)</x:f>
        <x:v>2791.043</x:v>
      </x:c>
      <x:c r="R244" s="64" t="n">
        <x:f>-ROUND(Q244*'Drivers'!F244,3)</x:f>
        <x:v>-539.072</x:v>
      </x:c>
      <x:c r="S244" s="65" t="n">
        <x:f>R244/Q244</x:f>
        <x:v>-0.19314356675980984</x:v>
      </x:c>
      <x:c r="T244" s="64" t="n">
        <x:f>-ROUND(Q244*'Drivers'!G244,3)</x:f>
        <x:v>-37.445</x:v>
      </x:c>
      <x:c r="U244" s="65" t="n">
        <x:f>T244/Q244</x:f>
        <x:v>-0.013416131532190654</x:v>
      </x:c>
      <x:c r="V244" s="64" t="n">
        <x:f>-ROUND(Q244*'Drivers'!H244,3)</x:f>
        <x:v>-34.868</x:v>
      </x:c>
      <x:c r="W244" s="64" t="n">
        <x:f>-ROUND(Q244*'Drivers'!I244,3)</x:f>
        <x:v>-26.726</x:v>
      </x:c>
      <x:c r="X244" s="64" t="n">
        <x:f>-ROUND(Q244*'Drivers'!J244,3)</x:f>
        <x:v>-36.285</x:v>
      </x:c>
      <x:c r="Y244" s="64" t="n">
        <x:f>-ROUND(Q244*'Drivers'!K244,3)</x:f>
        <x:v>-32.282</x:v>
      </x:c>
      <x:c r="Z244" s="64" t="n">
        <x:f>-ROUND(Q244*'Drivers'!L244,3)</x:f>
        <x:v>-26.3</x:v>
      </x:c>
      <x:c r="AA244" s="64" t="n">
        <x:f>-ROUND(Q244*'Drivers'!M244,3)</x:f>
        <x:v>-22.652</x:v>
      </x:c>
      <x:c r="AB244" s="64" t="n">
        <x:f>-ROUND(Q244*'Drivers'!N244,3)</x:f>
        <x:v>-25.022</x:v>
      </x:c>
      <x:c r="AC244" s="64" t="n">
        <x:f>SUM(V244:AB244)</x:f>
        <x:v>-204.135</x:v>
      </x:c>
      <x:c r="AD244" s="65" t="n">
        <x:f>AC244/Q244</x:f>
        <x:v>-0.07313932461807288</x:v>
      </x:c>
      <x:c r="AE244" s="64" t="n">
        <x:f>-ROUND(Q244*'Drivers'!O244,3)</x:f>
        <x:v>-47.306</x:v>
      </x:c>
      <x:c r="AF244" s="65" t="n">
        <x:f>AE244/Q244</x:f>
        <x:v>-0.016949219342016587</x:v>
      </x:c>
      <x:c r="AG244" s="64" t="n">
        <x:f>-ROUND(Q244*'Drivers'!P244,3)</x:f>
        <x:v>-1.741</x:v>
      </x:c>
      <x:c r="AH244" s="64" t="n">
        <x:f>-ROUND(Q244*'Drivers'!Q244,3)</x:f>
        <x:v>-5.354</x:v>
      </x:c>
      <x:c r="AI244" s="64" t="n">
        <x:f>SUM(R244,T244,AC244,AE244,AG244,AH244)</x:f>
        <x:v>-835.0530000000001</x:v>
      </x:c>
      <x:c r="AJ244" s="65" t="n">
        <x:f>AI244/Q244</x:f>
        <x:v>-0.2991903026932943</x:v>
      </x:c>
      <x:c r="AK244" s="64" t="n">
        <x:f>Q244+AI244</x:f>
        <x:v>1955.99</x:v>
      </x:c>
      <x:c r="AL244" s="65" t="n">
        <x:f>AK244/Q244</x:f>
        <x:v>0.7008096973067057</x:v>
      </x:c>
      <x:c r="AM244" s="64" t="n">
        <x:f>AK244/L244</x:f>
        <x:v>325.99833333333333</x:v>
      </x:c>
      <x:c r="AN244" s="66" t="str">
        <x:f>IF(AM244&lt;=200,"≤200K",IF(AM244&lt;=350,"200–350K",IF(AM244&lt;=500,"350–500K",IF(AM244&lt;=700,"500–700K","&gt;700K"))))</x:f>
        <x:v>200–350K</x:v>
      </x:c>
      <x:c r="AO244" s="64" t="n">
        <x:f>-ROUND(Q244*'Drivers'!R244,3)</x:f>
        <x:v>-1033.692</x:v>
      </x:c>
      <x:c r="AP244" s="64" t="n">
        <x:f>-ROUND(AK244*'Drivers'!S244,3)</x:f>
        <x:v>-26.744</x:v>
      </x:c>
      <x:c r="AQ244" s="64" t="n">
        <x:f>-ROUND(AK244*'Drivers'!T244,3)</x:f>
        <x:v>-13.559</x:v>
      </x:c>
      <x:c r="AR244" s="64" t="n">
        <x:f>-ROUND(AK244*'Drivers'!U244,3)</x:f>
        <x:v>-18.886</x:v>
      </x:c>
      <x:c r="AS244" s="64" t="n">
        <x:f>-ROUND(AK244*'Drivers'!V244,3)</x:f>
        <x:v>-55.998</x:v>
      </x:c>
      <x:c r="AT244" s="64" t="n">
        <x:f>SUM(AO244:AS244)</x:f>
        <x:v>-1148.879</x:v>
      </x:c>
      <x:c r="AU244" s="65" t="n">
        <x:f>AT244/AK244</x:f>
        <x:v>-0.5873644548285011</x:v>
      </x:c>
      <x:c r="AV244" s="64" t="n">
        <x:f>AK244+AT244</x:f>
        <x:v>807.1110000000001</x:v>
      </x:c>
      <x:c r="AW244" s="65" t="n">
        <x:f>AV244/AK244</x:f>
        <x:v>0.41263554517149886</x:v>
      </x:c>
      <x:c r="AX244" s="64" t="n">
        <x:f>-ROUND(AK244*'Drivers'!W244,3)</x:f>
        <x:v>-24.62</x:v>
      </x:c>
      <x:c r="AY244" s="64" t="n">
        <x:f>-ROUND(AK244*'Drivers'!X244,3)</x:f>
        <x:v>-44.693</x:v>
      </x:c>
      <x:c r="AZ244" s="64" t="n">
        <x:f>-ROUND(AK244*'Drivers'!Y244,3)</x:f>
        <x:v>-37.63</x:v>
      </x:c>
      <x:c r="BA244" s="64" t="n">
        <x:f>-ROUND(AK244*'Drivers'!Z244,3)</x:f>
        <x:v>-11.274</x:v>
      </x:c>
      <x:c r="BB244" s="64" t="n">
        <x:f>-ROUND(AK244*'Drivers'!AA244,3)</x:f>
        <x:v>-12.031</x:v>
      </x:c>
      <x:c r="BC244" s="64" t="n">
        <x:f>SUM(BA244,BB244)</x:f>
        <x:v>-23.305</x:v>
      </x:c>
      <x:c r="BD244" s="64" t="n">
        <x:f>-ROUND(AK244*'Drivers'!AB244,3)</x:f>
        <x:v>-11.95</x:v>
      </x:c>
      <x:c r="BE244" s="64" t="n">
        <x:f>SUM(AX244:BB244,BD244)</x:f>
        <x:v>-142.198</x:v>
      </x:c>
      <x:c r="BF244" s="67" t="n">
        <x:f>'Drivers'!AF244</x:f>
        <x:v>7</x:v>
      </x:c>
      <x:c r="BG244" s="64" t="n">
        <x:f>BJ244</x:f>
        <x:v>-47.17</x:v>
      </x:c>
      <x:c r="BH244" s="64" t="n">
        <x:f>BE244/BF244</x:f>
        <x:v>-20.314</x:v>
      </x:c>
      <x:c r="BI244" s="68" t="n">
        <x:f>BF244/L244</x:f>
        <x:v>1.1666666666666667</x:v>
      </x:c>
      <x:c r="BJ244" s="64" t="n">
        <x:f>-ROUND(AK244*'Drivers'!AC244,3)</x:f>
        <x:v>-47.17</x:v>
      </x:c>
      <x:c r="BK244" s="64" t="n">
        <x:f>-ROUND(AK244*'Drivers'!AD244,3)</x:f>
        <x:v>-189.614</x:v>
      </x:c>
      <x:c r="BL244" s="64" t="n">
        <x:f>SUM(AV244,BE244,BJ244,BK244)</x:f>
        <x:v>428.12900000000013</x:v>
      </x:c>
      <x:c r="BM244" s="65" t="n">
        <x:f>BL244/AK244</x:f>
        <x:v>0.21888097587410985</x:v>
      </x:c>
      <x:c r="BN244" s="64" t="n">
        <x:f>-ROUND(AK244*'Drivers'!AE244,3)</x:f>
        <x:v>-139.996</x:v>
      </x:c>
      <x:c r="BO244" s="64" t="n">
        <x:f>BL244+BN244</x:f>
        <x:v>288.13300000000015</x:v>
      </x:c>
      <x:c r="BP244" s="65" t="n">
        <x:f>BO244/AK244</x:f>
        <x:v>0.14730801282215153</x:v>
      </x:c>
    </x:row>
    <x:row r="245">
      <x:c r="A245" s="61" t="n">
        <x:v>2026</x:v>
      </x:c>
      <x:c r="B245" s="18" t="str">
        <x:v>S2</x:v>
      </x:c>
      <x:c r="C245" s="18" t="str">
        <x:v>2026 S2</x:v>
      </x:c>
      <x:c r="D245" s="18" t="str">
        <x:v>CNCT0061</x:v>
      </x:c>
      <x:c r="E245" s="18" t="str">
        <x:v>武汉万象城</x:v>
      </x:c>
      <x:c r="F245" s="18" t="str">
        <x:v>武汉</x:v>
      </x:c>
      <x:c r="G245" s="18" t="str">
        <x:v>湖北省</x:v>
      </x:c>
      <x:c r="H245" s="18" t="str">
        <x:v>南区</x:v>
      </x:c>
      <x:c r="I245" s="18" t="str">
        <x:v>Shopping Mall</x:v>
      </x:c>
      <x:c r="J245" s="18" t="str">
        <x:v>Prestige Shopping Center</x:v>
      </x:c>
      <x:c r="K245" s="18" t="str">
        <x:v>正常</x:v>
      </x:c>
      <x:c r="L245" s="62" t="n">
        <x:v>6</x:v>
      </x:c>
      <x:c r="M245" s="62" t="n">
        <x:v>50</x:v>
      </x:c>
      <x:c r="N245" s="63" t="n">
        <x:f>'Drivers'!C245</x:f>
        <x:v>2375</x:v>
      </x:c>
      <x:c r="O245" s="63" t="n">
        <x:f>'Drivers'!D245</x:f>
        <x:v>1205.808</x:v>
      </x:c>
      <x:c r="P245" s="64" t="n">
        <x:f>ROUND(N245*O245/1000,3)</x:f>
        <x:v>2863.794</x:v>
      </x:c>
      <x:c r="Q245" s="64" t="n">
        <x:f>ROUND(P245*'Drivers'!E245,3)</x:f>
        <x:v>2791.94</x:v>
      </x:c>
      <x:c r="R245" s="64" t="n">
        <x:f>-ROUND(Q245*'Drivers'!F245,3)</x:f>
        <x:v>-543.292</x:v>
      </x:c>
      <x:c r="S245" s="65" t="n">
        <x:f>R245/Q245</x:f>
        <x:v>-0.1945930070130447</x:v>
      </x:c>
      <x:c r="T245" s="64" t="n">
        <x:f>-ROUND(Q245*'Drivers'!G245,3)</x:f>
        <x:v>-27.951</x:v>
      </x:c>
      <x:c r="U245" s="65" t="n">
        <x:f>T245/Q245</x:f>
        <x:v>-0.010011318294805763</x:v>
      </x:c>
      <x:c r="V245" s="64" t="n">
        <x:f>-ROUND(Q245*'Drivers'!H245,3)</x:f>
        <x:v>-34.879</x:v>
      </x:c>
      <x:c r="W245" s="64" t="n">
        <x:f>-ROUND(Q245*'Drivers'!I245,3)</x:f>
        <x:v>-26.735</x:v>
      </x:c>
      <x:c r="X245" s="64" t="n">
        <x:f>-ROUND(Q245*'Drivers'!J245,3)</x:f>
        <x:v>-36.297</x:v>
      </x:c>
      <x:c r="Y245" s="64" t="n">
        <x:f>-ROUND(Q245*'Drivers'!K245,3)</x:f>
        <x:v>-32.292</x:v>
      </x:c>
      <x:c r="Z245" s="64" t="n">
        <x:f>-ROUND(Q245*'Drivers'!L245,3)</x:f>
        <x:v>-26.308</x:v>
      </x:c>
      <x:c r="AA245" s="64" t="n">
        <x:f>-ROUND(Q245*'Drivers'!M245,3)</x:f>
        <x:v>-22.66</x:v>
      </x:c>
      <x:c r="AB245" s="64" t="n">
        <x:f>-ROUND(Q245*'Drivers'!N245,3)</x:f>
        <x:v>-25.03</x:v>
      </x:c>
      <x:c r="AC245" s="64" t="n">
        <x:f>SUM(V245:AB245)</x:f>
        <x:v>-204.201</x:v>
      </x:c>
      <x:c r="AD245" s="65" t="n">
        <x:f>AC245/Q245</x:f>
        <x:v>-0.07313946574783126</x:v>
      </x:c>
      <x:c r="AE245" s="64" t="n">
        <x:f>-ROUND(Q245*'Drivers'!O245,3)</x:f>
        <x:v>-41.947</x:v>
      </x:c>
      <x:c r="AF245" s="65" t="n">
        <x:f>AE245/Q245</x:f>
        <x:v>-0.015024320006876939</x:v>
      </x:c>
      <x:c r="AG245" s="64" t="n">
        <x:f>-ROUND(Q245*'Drivers'!P245,3)</x:f>
        <x:v>-1.742</x:v>
      </x:c>
      <x:c r="AH245" s="64" t="n">
        <x:f>-ROUND(Q245*'Drivers'!Q245,3)</x:f>
        <x:v>-5.356</x:v>
      </x:c>
      <x:c r="AI245" s="64" t="n">
        <x:f>SUM(R245,T245,AC245,AE245,AG245,AH245)</x:f>
        <x:v>-824.489</x:v>
      </x:c>
      <x:c r="AJ245" s="65" t="n">
        <x:f>AI245/Q245</x:f>
        <x:v>-0.29531042930722007</x:v>
      </x:c>
      <x:c r="AK245" s="64" t="n">
        <x:f>Q245+AI245</x:f>
        <x:v>1967.451</x:v>
      </x:c>
      <x:c r="AL245" s="65" t="n">
        <x:f>AK245/Q245</x:f>
        <x:v>0.7046895706927799</x:v>
      </x:c>
      <x:c r="AM245" s="64" t="n">
        <x:f>AK245/L245</x:f>
        <x:v>327.9085</x:v>
      </x:c>
      <x:c r="AN245" s="66" t="str">
        <x:f>IF(AM245&lt;=200,"≤200K",IF(AM245&lt;=350,"200–350K",IF(AM245&lt;=500,"350–500K",IF(AM245&lt;=700,"500–700K","&gt;700K"))))</x:f>
        <x:v>200–350K</x:v>
      </x:c>
      <x:c r="AO245" s="64" t="n">
        <x:f>-ROUND(Q245*'Drivers'!R245,3)</x:f>
        <x:v>-988.833</x:v>
      </x:c>
      <x:c r="AP245" s="64" t="n">
        <x:f>-ROUND(AK245*'Drivers'!S245,3)</x:f>
        <x:v>-26.9</x:v>
      </x:c>
      <x:c r="AQ245" s="64" t="n">
        <x:f>-ROUND(AK245*'Drivers'!T245,3)</x:f>
        <x:v>-13.639</x:v>
      </x:c>
      <x:c r="AR245" s="64" t="n">
        <x:f>-ROUND(AK245*'Drivers'!U245,3)</x:f>
        <x:v>-18.996</x:v>
      </x:c>
      <x:c r="AS245" s="64" t="n">
        <x:f>-ROUND(AK245*'Drivers'!V245,3)</x:f>
        <x:v>-56.326</x:v>
      </x:c>
      <x:c r="AT245" s="64" t="n">
        <x:f>SUM(AO245:AS245)</x:f>
        <x:v>-1104.694</x:v>
      </x:c>
      <x:c r="AU245" s="65" t="n">
        <x:f>AT245/AK245</x:f>
        <x:v>-0.5614848857735212</x:v>
      </x:c>
      <x:c r="AV245" s="64" t="n">
        <x:f>AK245+AT245</x:f>
        <x:v>862.7570000000001</x:v>
      </x:c>
      <x:c r="AW245" s="65" t="n">
        <x:f>AV245/AK245</x:f>
        <x:v>0.4385151142264789</x:v>
      </x:c>
      <x:c r="AX245" s="64" t="n">
        <x:f>-ROUND(AK245*'Drivers'!W245,3)</x:f>
        <x:v>-25.976</x:v>
      </x:c>
      <x:c r="AY245" s="64" t="n">
        <x:f>-ROUND(AK245*'Drivers'!X245,3)</x:f>
        <x:v>-47.155</x:v>
      </x:c>
      <x:c r="AZ245" s="64" t="n">
        <x:f>-ROUND(AK245*'Drivers'!Y245,3)</x:f>
        <x:v>-39.703</x:v>
      </x:c>
      <x:c r="BA245" s="64" t="n">
        <x:f>-ROUND(AK245*'Drivers'!Z245,3)</x:f>
        <x:v>-11.896</x:v>
      </x:c>
      <x:c r="BB245" s="64" t="n">
        <x:f>-ROUND(AK245*'Drivers'!AA245,3)</x:f>
        <x:v>-12.694</x:v>
      </x:c>
      <x:c r="BC245" s="64" t="n">
        <x:f>SUM(BA245,BB245)</x:f>
        <x:v>-24.590000000000003</x:v>
      </x:c>
      <x:c r="BD245" s="64" t="n">
        <x:f>-ROUND(AK245*'Drivers'!AB245,3)</x:f>
        <x:v>-12.608</x:v>
      </x:c>
      <x:c r="BE245" s="64" t="n">
        <x:f>SUM(AX245:BB245,BD245)</x:f>
        <x:v>-150.032</x:v>
      </x:c>
      <x:c r="BF245" s="67" t="n">
        <x:f>'Drivers'!AF245</x:f>
        <x:v>7</x:v>
      </x:c>
      <x:c r="BG245" s="64" t="n">
        <x:f>BJ245</x:f>
        <x:v>-49.769</x:v>
      </x:c>
      <x:c r="BH245" s="64" t="n">
        <x:f>BE245/BF245</x:f>
        <x:v>-21.433142857142858</x:v>
      </x:c>
      <x:c r="BI245" s="68" t="n">
        <x:f>BF245/L245</x:f>
        <x:v>1.1666666666666667</x:v>
      </x:c>
      <x:c r="BJ245" s="64" t="n">
        <x:f>-ROUND(AK245*'Drivers'!AC245,3)</x:f>
        <x:v>-49.769</x:v>
      </x:c>
      <x:c r="BK245" s="64" t="n">
        <x:f>-ROUND(AK245*'Drivers'!AD245,3)</x:f>
        <x:v>-198.672</x:v>
      </x:c>
      <x:c r="BL245" s="64" t="n">
        <x:f>SUM(AV245,BE245,BJ245,BK245)</x:f>
        <x:v>464.284</x:v>
      </x:c>
      <x:c r="BM245" s="65" t="n">
        <x:f>BL245/AK245</x:f>
        <x:v>0.23598249714986547</x:v>
      </x:c>
      <x:c r="BN245" s="64" t="n">
        <x:f>-ROUND(AK245*'Drivers'!AE245,3)</x:f>
        <x:v>-140.817</x:v>
      </x:c>
      <x:c r="BO245" s="64" t="n">
        <x:f>BL245+BN245</x:f>
        <x:v>323.467</x:v>
      </x:c>
      <x:c r="BP245" s="65" t="n">
        <x:f>BO245/AK245</x:f>
        <x:v>0.16440917715358602</x:v>
      </x:c>
    </x:row>
    <x:row r="246">
      <x:c r="A246" s="61" t="n">
        <x:v>2025</x:v>
      </x:c>
      <x:c r="B246" s="18" t="str">
        <x:v>S1</x:v>
      </x:c>
      <x:c r="C246" s="18" t="str">
        <x:v>2025 S1</x:v>
      </x:c>
      <x:c r="D246" s="18" t="str">
        <x:v>CNCT0062</x:v>
      </x:c>
      <x:c r="E246" s="18" t="str">
        <x:v>武汉光谷世界城</x:v>
      </x:c>
      <x:c r="F246" s="18" t="str">
        <x:v>武汉</x:v>
      </x:c>
      <x:c r="G246" s="18" t="str">
        <x:v>湖北省</x:v>
      </x:c>
      <x:c r="H246" s="18" t="str">
        <x:v>南区</x:v>
      </x:c>
      <x:c r="I246" s="18" t="str">
        <x:v>Shopping Mall</x:v>
      </x:c>
      <x:c r="J246" s="18" t="str">
        <x:v>Regional Mall</x:v>
      </x:c>
      <x:c r="K246" s="18" t="str">
        <x:v>新开店</x:v>
      </x:c>
      <x:c r="L246" s="62" t="n">
        <x:v>3</x:v>
      </x:c>
      <x:c r="M246" s="62" t="n">
        <x:v>46</x:v>
      </x:c>
      <x:c r="N246" s="63" t="n">
        <x:f>'Drivers'!C246</x:f>
        <x:v>799</x:v>
      </x:c>
      <x:c r="O246" s="63" t="n">
        <x:f>'Drivers'!D246</x:f>
        <x:v>884.116</x:v>
      </x:c>
      <x:c r="P246" s="64" t="n">
        <x:f>ROUND(N246*O246/1000,3)</x:f>
        <x:v>706.409</x:v>
      </x:c>
      <x:c r="Q246" s="64" t="n">
        <x:f>ROUND(P246*'Drivers'!E246,3)</x:f>
        <x:v>684.227</x:v>
      </x:c>
      <x:c r="R246" s="64" t="n">
        <x:f>-ROUND(Q246*'Drivers'!F246,3)</x:f>
        <x:v>-108.371</x:v>
      </x:c>
      <x:c r="S246" s="65" t="n">
        <x:f>R246/Q246</x:f>
        <x:v>-0.1583845712022472</x:v>
      </x:c>
      <x:c r="T246" s="64" t="n">
        <x:f>-ROUND(Q246*'Drivers'!G246,3)</x:f>
        <x:v>-9.326</x:v>
      </x:c>
      <x:c r="U246" s="65" t="n">
        <x:f>T246/Q246</x:f>
        <x:v>-0.013629979524339145</x:v>
      </x:c>
      <x:c r="V246" s="64" t="n">
        <x:f>-ROUND(Q246*'Drivers'!H246,3)</x:f>
        <x:v>-7.065</x:v>
      </x:c>
      <x:c r="W246" s="64" t="n">
        <x:f>-ROUND(Q246*'Drivers'!I246,3)</x:f>
        <x:v>-4.64</x:v>
      </x:c>
      <x:c r="X246" s="64" t="n">
        <x:f>-ROUND(Q246*'Drivers'!J246,3)</x:f>
        <x:v>-12.208</x:v>
      </x:c>
      <x:c r="Y246" s="64" t="n">
        <x:f>-ROUND(Q246*'Drivers'!K246,3)</x:f>
        <x:v>-6.941</x:v>
      </x:c>
      <x:c r="Z246" s="64" t="n">
        <x:f>-ROUND(Q246*'Drivers'!L246,3)</x:f>
        <x:v>-7.091</x:v>
      </x:c>
      <x:c r="AA246" s="64" t="n">
        <x:f>-ROUND(Q246*'Drivers'!M246,3)</x:f>
        <x:v>-5.889</x:v>
      </x:c>
      <x:c r="AB246" s="64" t="n">
        <x:f>-ROUND(Q246*'Drivers'!N246,3)</x:f>
        <x:v>-4.314</x:v>
      </x:c>
      <x:c r="AC246" s="64" t="n">
        <x:f>SUM(V246:AB246)</x:f>
        <x:v>-48.148</x:v>
      </x:c>
      <x:c r="AD246" s="65" t="n">
        <x:f>AC246/Q246</x:f>
        <x:v>-0.07036845959016526</x:v>
      </x:c>
      <x:c r="AE246" s="64" t="n">
        <x:f>-ROUND(Q246*'Drivers'!O246,3)</x:f>
        <x:v>-6.191</x:v>
      </x:c>
      <x:c r="AF246" s="65" t="n">
        <x:f>AE246/Q246</x:f>
        <x:v>-0.009048166763369466</x:v>
      </x:c>
      <x:c r="AG246" s="64" t="n">
        <x:f>-ROUND(Q246*'Drivers'!P246,3)</x:f>
        <x:v>-0.34</x:v>
      </x:c>
      <x:c r="AH246" s="64" t="n">
        <x:f>-ROUND(Q246*'Drivers'!Q246,3)</x:f>
        <x:v>-4.331</x:v>
      </x:c>
      <x:c r="AI246" s="64" t="n">
        <x:f>SUM(R246,T246,AC246,AE246,AG246,AH246)</x:f>
        <x:v>-176.707</x:v>
      </x:c>
      <x:c r="AJ246" s="65" t="n">
        <x:f>AI246/Q246</x:f>
        <x:v>-0.2582578588684749</x:v>
      </x:c>
      <x:c r="AK246" s="64" t="n">
        <x:f>Q246+AI246</x:f>
        <x:v>507.52</x:v>
      </x:c>
      <x:c r="AL246" s="65" t="n">
        <x:f>AK246/Q246</x:f>
        <x:v>0.741742141131525</x:v>
      </x:c>
      <x:c r="AM246" s="64" t="n">
        <x:f>AK246/L246</x:f>
        <x:v>169.17333333333332</x:v>
      </x:c>
      <x:c r="AN246" s="66" t="str">
        <x:f>IF(AM246&lt;=200,"≤200K",IF(AM246&lt;=350,"200–350K",IF(AM246&lt;=500,"350–500K",IF(AM246&lt;=700,"500–700K","&gt;700K"))))</x:f>
        <x:v>≤200K</x:v>
      </x:c>
      <x:c r="AO246" s="64" t="n">
        <x:f>-ROUND(Q246*'Drivers'!R246,3)</x:f>
        <x:v>-264.422</x:v>
      </x:c>
      <x:c r="AP246" s="64" t="n">
        <x:f>-ROUND(AK246*'Drivers'!S246,3)</x:f>
        <x:v>-8.229</x:v>
      </x:c>
      <x:c r="AQ246" s="64" t="n">
        <x:f>-ROUND(AK246*'Drivers'!T246,3)</x:f>
        <x:v>-2.869</x:v>
      </x:c>
      <x:c r="AR246" s="64" t="n">
        <x:f>-ROUND(AK246*'Drivers'!U246,3)</x:f>
        <x:v>-4.478</x:v>
      </x:c>
      <x:c r="AS246" s="64" t="n">
        <x:f>-ROUND(AK246*'Drivers'!V246,3)</x:f>
        <x:v>-17.774</x:v>
      </x:c>
      <x:c r="AT246" s="64" t="n">
        <x:f>SUM(AO246:AS246)</x:f>
        <x:v>-297.77200000000005</x:v>
      </x:c>
      <x:c r="AU246" s="65" t="n">
        <x:f>AT246/AK246</x:f>
        <x:v>-0.58671973518285</x:v>
      </x:c>
      <x:c r="AV246" s="64" t="n">
        <x:f>AK246+AT246</x:f>
        <x:v>209.74799999999993</x:v>
      </x:c>
      <x:c r="AW246" s="65" t="n">
        <x:f>AV246/AK246</x:f>
        <x:v>0.41328026481714997</x:v>
      </x:c>
      <x:c r="AX246" s="64" t="n">
        <x:f>-ROUND(AK246*'Drivers'!W246,3)</x:f>
        <x:v>-9.896</x:v>
      </x:c>
      <x:c r="AY246" s="64" t="n">
        <x:f>-ROUND(AK246*'Drivers'!X246,3)</x:f>
        <x:v>-17.233</x:v>
      </x:c>
      <x:c r="AZ246" s="64" t="n">
        <x:f>-ROUND(AK246*'Drivers'!Y246,3)</x:f>
        <x:v>-9.137</x:v>
      </x:c>
      <x:c r="BA246" s="64" t="n">
        <x:f>-ROUND(AK246*'Drivers'!Z246,3)</x:f>
        <x:v>-3.536</x:v>
      </x:c>
      <x:c r="BB246" s="64" t="n">
        <x:f>-ROUND(AK246*'Drivers'!AA246,3)</x:f>
        <x:v>-4.58</x:v>
      </x:c>
      <x:c r="BC246" s="64" t="n">
        <x:f>SUM(BA246,BB246)</x:f>
        <x:v>-8.116</x:v>
      </x:c>
      <x:c r="BD246" s="64" t="n">
        <x:f>-ROUND(AK246*'Drivers'!AB246,3)</x:f>
        <x:v>-3.179</x:v>
      </x:c>
      <x:c r="BE246" s="64" t="n">
        <x:f>SUM(AX246:BB246,BD246)</x:f>
        <x:v>-47.56100000000001</x:v>
      </x:c>
      <x:c r="BF246" s="67" t="n">
        <x:f>'Drivers'!AF246</x:f>
        <x:v>5</x:v>
      </x:c>
      <x:c r="BG246" s="64" t="n">
        <x:f>BJ246</x:f>
        <x:v>-19.382</x:v>
      </x:c>
      <x:c r="BH246" s="64" t="n">
        <x:f>BE246/BF246</x:f>
        <x:v>-9.512200000000002</x:v>
      </x:c>
      <x:c r="BI246" s="68" t="n">
        <x:f>BF246/L246</x:f>
        <x:v>1.6666666666666667</x:v>
      </x:c>
      <x:c r="BJ246" s="64" t="n">
        <x:f>-ROUND(AK246*'Drivers'!AC246,3)</x:f>
        <x:v>-19.382</x:v>
      </x:c>
      <x:c r="BK246" s="64" t="n">
        <x:f>-ROUND(AK246*'Drivers'!AD246,3)</x:f>
        <x:v>-55.988</x:v>
      </x:c>
      <x:c r="BL246" s="64" t="n">
        <x:f>SUM(AV246,BE246,BJ246,BK246)</x:f>
        <x:v>86.81699999999992</x:v>
      </x:c>
      <x:c r="BM246" s="65" t="n">
        <x:f>BL246/AK246</x:f>
        <x:v>0.17106123896595193</x:v>
      </x:c>
      <x:c r="BN246" s="64" t="n">
        <x:f>-ROUND(AK246*'Drivers'!AE246,3)</x:f>
        <x:v>-48.542</x:v>
      </x:c>
      <x:c r="BO246" s="64" t="n">
        <x:f>BL246+BN246</x:f>
        <x:v>38.27499999999992</x:v>
      </x:c>
      <x:c r="BP246" s="65" t="n">
        <x:f>BO246/AK246</x:f>
        <x:v>0.07541574716267324</x:v>
      </x:c>
    </x:row>
    <x:row r="247">
      <x:c r="A247" s="61" t="n">
        <x:v>2025</x:v>
      </x:c>
      <x:c r="B247" s="18" t="str">
        <x:v>S2</x:v>
      </x:c>
      <x:c r="C247" s="18" t="str">
        <x:v>2025 S2</x:v>
      </x:c>
      <x:c r="D247" s="18" t="str">
        <x:v>CNCT0062</x:v>
      </x:c>
      <x:c r="E247" s="18" t="str">
        <x:v>武汉光谷世界城</x:v>
      </x:c>
      <x:c r="F247" s="18" t="str">
        <x:v>武汉</x:v>
      </x:c>
      <x:c r="G247" s="18" t="str">
        <x:v>湖北省</x:v>
      </x:c>
      <x:c r="H247" s="18" t="str">
        <x:v>南区</x:v>
      </x:c>
      <x:c r="I247" s="18" t="str">
        <x:v>Shopping Mall</x:v>
      </x:c>
      <x:c r="J247" s="18" t="str">
        <x:v>Regional Mall</x:v>
      </x:c>
      <x:c r="K247" s="18" t="str">
        <x:v>正常</x:v>
      </x:c>
      <x:c r="L247" s="62" t="n">
        <x:v>3</x:v>
      </x:c>
      <x:c r="M247" s="62" t="n">
        <x:v>46</x:v>
      </x:c>
      <x:c r="N247" s="63" t="n">
        <x:f>'Drivers'!C247</x:f>
        <x:v>1192</x:v>
      </x:c>
      <x:c r="O247" s="63" t="n">
        <x:f>'Drivers'!D247</x:f>
        <x:v>894.725</x:v>
      </x:c>
      <x:c r="P247" s="64" t="n">
        <x:f>ROUND(N247*O247/1000,3)</x:f>
        <x:v>1066.512</x:v>
      </x:c>
      <x:c r="Q247" s="64" t="n">
        <x:f>ROUND(P247*'Drivers'!E247,3)</x:f>
        <x:v>1044.027</x:v>
      </x:c>
      <x:c r="R247" s="64" t="n">
        <x:f>-ROUND(Q247*'Drivers'!F247,3)</x:f>
        <x:v>-165.357</x:v>
      </x:c>
      <x:c r="S247" s="65" t="n">
        <x:f>R247/Q247</x:f>
        <x:v>-0.15838383490082153</x:v>
      </x:c>
      <x:c r="T247" s="64" t="n">
        <x:f>-ROUND(Q247*'Drivers'!G247,3)</x:f>
        <x:v>-14.23</x:v>
      </x:c>
      <x:c r="U247" s="65" t="n">
        <x:f>T247/Q247</x:f>
        <x:v>-0.013629915701413852</x:v>
      </x:c>
      <x:c r="V247" s="64" t="n">
        <x:f>-ROUND(Q247*'Drivers'!H247,3)</x:f>
        <x:v>-10.781</x:v>
      </x:c>
      <x:c r="W247" s="64" t="n">
        <x:f>-ROUND(Q247*'Drivers'!I247,3)</x:f>
        <x:v>-7.081</x:v>
      </x:c>
      <x:c r="X247" s="64" t="n">
        <x:f>-ROUND(Q247*'Drivers'!J247,3)</x:f>
        <x:v>-18.627</x:v>
      </x:c>
      <x:c r="Y247" s="64" t="n">
        <x:f>-ROUND(Q247*'Drivers'!K247,3)</x:f>
        <x:v>-10.592</x:v>
      </x:c>
      <x:c r="Z247" s="64" t="n">
        <x:f>-ROUND(Q247*'Drivers'!L247,3)</x:f>
        <x:v>-10.82</x:v>
      </x:c>
      <x:c r="AA247" s="64" t="n">
        <x:f>-ROUND(Q247*'Drivers'!M247,3)</x:f>
        <x:v>-8.985</x:v>
      </x:c>
      <x:c r="AB247" s="64" t="n">
        <x:f>-ROUND(Q247*'Drivers'!N247,3)</x:f>
        <x:v>-6.582</x:v>
      </x:c>
      <x:c r="AC247" s="64" t="n">
        <x:f>SUM(V247:AB247)</x:f>
        <x:v>-73.46799999999999</x:v>
      </x:c>
      <x:c r="AD247" s="65" t="n">
        <x:f>AC247/Q247</x:f>
        <x:v>-0.07036982760024404</x:v>
      </x:c>
      <x:c r="AE247" s="64" t="n">
        <x:f>-ROUND(Q247*'Drivers'!O247,3)</x:f>
        <x:v>-9.447</x:v>
      </x:c>
      <x:c r="AF247" s="65" t="n">
        <x:f>AE247/Q247</x:f>
        <x:v>-0.009048616558767156</x:v>
      </x:c>
      <x:c r="AG247" s="64" t="n">
        <x:f>-ROUND(Q247*'Drivers'!P247,3)</x:f>
        <x:v>-0.519</x:v>
      </x:c>
      <x:c r="AH247" s="64" t="n">
        <x:f>-ROUND(Q247*'Drivers'!Q247,3)</x:f>
        <x:v>-6.608</x:v>
      </x:c>
      <x:c r="AI247" s="64" t="n">
        <x:f>SUM(R247,T247,AC247,AE247,AG247,AH247)</x:f>
        <x:v>-269.62899999999996</x:v>
      </x:c>
      <x:c r="AJ247" s="65" t="n">
        <x:f>AI247/Q247</x:f>
        <x:v>-0.2582586465675696</x:v>
      </x:c>
      <x:c r="AK247" s="64" t="n">
        <x:f>Q247+AI247</x:f>
        <x:v>774.3980000000001</x:v>
      </x:c>
      <x:c r="AL247" s="65" t="n">
        <x:f>AK247/Q247</x:f>
        <x:v>0.7417413534324305</x:v>
      </x:c>
      <x:c r="AM247" s="64" t="n">
        <x:f>AK247/L247</x:f>
        <x:v>258.1326666666667</x:v>
      </x:c>
      <x:c r="AN247" s="66" t="str">
        <x:f>IF(AM247&lt;=200,"≤200K",IF(AM247&lt;=350,"200–350K",IF(AM247&lt;=500,"350–500K",IF(AM247&lt;=700,"500–700K","&gt;700K"))))</x:f>
        <x:v>200–350K</x:v>
      </x:c>
      <x:c r="AO247" s="64" t="n">
        <x:f>-ROUND(Q247*'Drivers'!R247,3)</x:f>
        <x:v>-395.434</x:v>
      </x:c>
      <x:c r="AP247" s="64" t="n">
        <x:f>-ROUND(AK247*'Drivers'!S247,3)</x:f>
        <x:v>-12.556</x:v>
      </x:c>
      <x:c r="AQ247" s="64" t="n">
        <x:f>-ROUND(AK247*'Drivers'!T247,3)</x:f>
        <x:v>-4.378</x:v>
      </x:c>
      <x:c r="AR247" s="64" t="n">
        <x:f>-ROUND(AK247*'Drivers'!U247,3)</x:f>
        <x:v>-6.832</x:v>
      </x:c>
      <x:c r="AS247" s="64" t="n">
        <x:f>-ROUND(AK247*'Drivers'!V247,3)</x:f>
        <x:v>-27.12</x:v>
      </x:c>
      <x:c r="AT247" s="64" t="n">
        <x:f>SUM(AO247:AS247)</x:f>
        <x:v>-446.32</x:v>
      </x:c>
      <x:c r="AU247" s="65" t="n">
        <x:f>AT247/AK247</x:f>
        <x:v>-0.5763444636995446</x:v>
      </x:c>
      <x:c r="AV247" s="64" t="n">
        <x:f>AK247+AT247</x:f>
        <x:v>328.07800000000015</x:v>
      </x:c>
      <x:c r="AW247" s="65" t="n">
        <x:f>AV247/AK247</x:f>
        <x:v>0.42365553630045544</x:v>
      </x:c>
      <x:c r="AX247" s="64" t="n">
        <x:f>-ROUND(AK247*'Drivers'!W247,3)</x:f>
        <x:v>-11.185</x:v>
      </x:c>
      <x:c r="AY247" s="64" t="n">
        <x:f>-ROUND(AK247*'Drivers'!X247,3)</x:f>
        <x:v>-19.478</x:v>
      </x:c>
      <x:c r="AZ247" s="64" t="n">
        <x:f>-ROUND(AK247*'Drivers'!Y247,3)</x:f>
        <x:v>-10.327</x:v>
      </x:c>
      <x:c r="BA247" s="64" t="n">
        <x:f>-ROUND(AK247*'Drivers'!Z247,3)</x:f>
        <x:v>-5.395</x:v>
      </x:c>
      <x:c r="BB247" s="64" t="n">
        <x:f>-ROUND(AK247*'Drivers'!AA247,3)</x:f>
        <x:v>-6.988</x:v>
      </x:c>
      <x:c r="BC247" s="64" t="n">
        <x:f>SUM(BA247,BB247)</x:f>
        <x:v>-12.383</x:v>
      </x:c>
      <x:c r="BD247" s="64" t="n">
        <x:f>-ROUND(AK247*'Drivers'!AB247,3)</x:f>
        <x:v>-3.594</x:v>
      </x:c>
      <x:c r="BE247" s="64" t="n">
        <x:f>SUM(AX247:BB247,BD247)</x:f>
        <x:v>-56.967000000000006</x:v>
      </x:c>
      <x:c r="BF247" s="67" t="n">
        <x:f>'Drivers'!AF247</x:f>
        <x:v>5</x:v>
      </x:c>
      <x:c r="BG247" s="64" t="n">
        <x:f>BJ247</x:f>
        <x:v>-21.907</x:v>
      </x:c>
      <x:c r="BH247" s="64" t="n">
        <x:f>BE247/BF247</x:f>
        <x:v>-11.393400000000002</x:v>
      </x:c>
      <x:c r="BI247" s="68" t="n">
        <x:f>BF247/L247</x:f>
        <x:v>1.6666666666666667</x:v>
      </x:c>
      <x:c r="BJ247" s="64" t="n">
        <x:f>-ROUND(AK247*'Drivers'!AC247,3)</x:f>
        <x:v>-21.907</x:v>
      </x:c>
      <x:c r="BK247" s="64" t="n">
        <x:f>-ROUND(AK247*'Drivers'!AD247,3)</x:f>
        <x:v>-76.275</x:v>
      </x:c>
      <x:c r="BL247" s="64" t="n">
        <x:f>SUM(AV247,BE247,BJ247,BK247)</x:f>
        <x:v>172.92900000000014</x:v>
      </x:c>
      <x:c r="BM247" s="65" t="n">
        <x:f>BL247/AK247</x:f>
        <x:v>0.223307653170592</x:v>
      </x:c>
      <x:c r="BN247" s="64" t="n">
        <x:f>-ROUND(AK247*'Drivers'!AE247,3)</x:f>
        <x:v>-74.068</x:v>
      </x:c>
      <x:c r="BO247" s="64" t="n">
        <x:f>BL247+BN247</x:f>
        <x:v>98.86100000000015</x:v>
      </x:c>
      <x:c r="BP247" s="65" t="n">
        <x:f>BO247/AK247</x:f>
        <x:v>0.1276617449941763</x:v>
      </x:c>
    </x:row>
    <x:row r="248">
      <x:c r="A248" s="61" t="n">
        <x:v>2026</x:v>
      </x:c>
      <x:c r="B248" s="18" t="str">
        <x:v>S1</x:v>
      </x:c>
      <x:c r="C248" s="18" t="str">
        <x:v>2026 S1</x:v>
      </x:c>
      <x:c r="D248" s="18" t="str">
        <x:v>CNCT0062</x:v>
      </x:c>
      <x:c r="E248" s="18" t="str">
        <x:v>武汉光谷世界城</x:v>
      </x:c>
      <x:c r="F248" s="18" t="str">
        <x:v>武汉</x:v>
      </x:c>
      <x:c r="G248" s="18" t="str">
        <x:v>湖北省</x:v>
      </x:c>
      <x:c r="H248" s="18" t="str">
        <x:v>南区</x:v>
      </x:c>
      <x:c r="I248" s="18" t="str">
        <x:v>Shopping Mall</x:v>
      </x:c>
      <x:c r="J248" s="18" t="str">
        <x:v>Regional Mall</x:v>
      </x:c>
      <x:c r="K248" s="18" t="str">
        <x:v>正常</x:v>
      </x:c>
      <x:c r="L248" s="62" t="n">
        <x:v>3</x:v>
      </x:c>
      <x:c r="M248" s="62" t="n">
        <x:v>50</x:v>
      </x:c>
      <x:c r="N248" s="63" t="n">
        <x:f>'Drivers'!C248</x:f>
        <x:v>1038</x:v>
      </x:c>
      <x:c r="O248" s="63" t="n">
        <x:f>'Drivers'!D248</x:f>
        <x:v>918.136</x:v>
      </x:c>
      <x:c r="P248" s="64" t="n">
        <x:f>ROUND(N248*O248/1000,3)</x:f>
        <x:v>953.025</x:v>
      </x:c>
      <x:c r="Q248" s="64" t="n">
        <x:f>ROUND(P248*'Drivers'!E248,3)</x:f>
        <x:v>926.436</x:v>
      </x:c>
      <x:c r="R248" s="64" t="n">
        <x:f>-ROUND(Q248*'Drivers'!F248,3)</x:f>
        <x:v>-147.365</x:v>
      </x:c>
      <x:c r="S248" s="65" t="n">
        <x:f>R248/Q248</x:f>
        <x:v>-0.15906657340604208</x:v>
      </x:c>
      <x:c r="T248" s="64" t="n">
        <x:f>-ROUND(Q248*'Drivers'!G248,3)</x:f>
        <x:v>-11.538</x:v>
      </x:c>
      <x:c r="U248" s="65" t="n">
        <x:f>T248/Q248</x:f>
        <x:v>-0.01245417924173931</x:v>
      </x:c>
      <x:c r="V248" s="64" t="n">
        <x:f>-ROUND(Q248*'Drivers'!H248,3)</x:f>
        <x:v>-9.567</x:v>
      </x:c>
      <x:c r="W248" s="64" t="n">
        <x:f>-ROUND(Q248*'Drivers'!I248,3)</x:f>
        <x:v>-6.283</x:v>
      </x:c>
      <x:c r="X248" s="64" t="n">
        <x:f>-ROUND(Q248*'Drivers'!J248,3)</x:f>
        <x:v>-16.529</x:v>
      </x:c>
      <x:c r="Y248" s="64" t="n">
        <x:f>-ROUND(Q248*'Drivers'!K248,3)</x:f>
        <x:v>-9.399</x:v>
      </x:c>
      <x:c r="Z248" s="64" t="n">
        <x:f>-ROUND(Q248*'Drivers'!L248,3)</x:f>
        <x:v>-9.601</x:v>
      </x:c>
      <x:c r="AA248" s="64" t="n">
        <x:f>-ROUND(Q248*'Drivers'!M248,3)</x:f>
        <x:v>-7.973</x:v>
      </x:c>
      <x:c r="AB248" s="64" t="n">
        <x:f>-ROUND(Q248*'Drivers'!N248,3)</x:f>
        <x:v>-5.841</x:v>
      </x:c>
      <x:c r="AC248" s="64" t="n">
        <x:f>SUM(V248:AB248)</x:f>
        <x:v>-65.193</x:v>
      </x:c>
      <x:c r="AD248" s="65" t="n">
        <x:f>AC248/Q248</x:f>
        <x:v>-0.07036967475357175</x:v>
      </x:c>
      <x:c r="AE248" s="64" t="n">
        <x:f>-ROUND(Q248*'Drivers'!O248,3)</x:f>
        <x:v>-9.737</x:v>
      </x:c>
      <x:c r="AF248" s="65" t="n">
        <x:f>AE248/Q248</x:f>
        <x:v>-0.010510170157463656</x:v>
      </x:c>
      <x:c r="AG248" s="64" t="n">
        <x:f>-ROUND(Q248*'Drivers'!P248,3)</x:f>
        <x:v>-0.46</x:v>
      </x:c>
      <x:c r="AH248" s="64" t="n">
        <x:f>-ROUND(Q248*'Drivers'!Q248,3)</x:f>
        <x:v>-5.864</x:v>
      </x:c>
      <x:c r="AI248" s="64" t="n">
        <x:f>SUM(R248,T248,AC248,AE248,AG248,AH248)</x:f>
        <x:v>-240.157</x:v>
      </x:c>
      <x:c r="AJ248" s="65" t="n">
        <x:f>AI248/Q248</x:f>
        <x:v>-0.2592267571640135</x:v>
      </x:c>
      <x:c r="AK248" s="64" t="n">
        <x:f>Q248+AI248</x:f>
        <x:v>686.279</x:v>
      </x:c>
      <x:c r="AL248" s="65" t="n">
        <x:f>AK248/Q248</x:f>
        <x:v>0.7407732428359864</x:v>
      </x:c>
      <x:c r="AM248" s="64" t="n">
        <x:f>AK248/L248</x:f>
        <x:v>228.75966666666667</x:v>
      </x:c>
      <x:c r="AN248" s="66" t="str">
        <x:f>IF(AM248&lt;=200,"≤200K",IF(AM248&lt;=350,"200–350K",IF(AM248&lt;=500,"350–500K",IF(AM248&lt;=700,"500–700K","&gt;700K"))))</x:f>
        <x:v>200–350K</x:v>
      </x:c>
      <x:c r="AO248" s="64" t="n">
        <x:f>-ROUND(Q248*'Drivers'!R248,3)</x:f>
        <x:v>-357.563</x:v>
      </x:c>
      <x:c r="AP248" s="64" t="n">
        <x:f>-ROUND(AK248*'Drivers'!S248,3)</x:f>
        <x:v>-11.127</x:v>
      </x:c>
      <x:c r="AQ248" s="64" t="n">
        <x:f>-ROUND(AK248*'Drivers'!T248,3)</x:f>
        <x:v>-3.88</x:v>
      </x:c>
      <x:c r="AR248" s="64" t="n">
        <x:f>-ROUND(AK248*'Drivers'!U248,3)</x:f>
        <x:v>-6.055</x:v>
      </x:c>
      <x:c r="AS248" s="64" t="n">
        <x:f>-ROUND(AK248*'Drivers'!V248,3)</x:f>
        <x:v>-24.034</x:v>
      </x:c>
      <x:c r="AT248" s="64" t="n">
        <x:f>SUM(AO248:AS248)</x:f>
        <x:v>-402.659</x:v>
      </x:c>
      <x:c r="AU248" s="65" t="n">
        <x:f>AT248/AK248</x:f>
        <x:v>-0.5867278468378021</x:v>
      </x:c>
      <x:c r="AV248" s="64" t="n">
        <x:f>AK248+AT248</x:f>
        <x:v>283.62</x:v>
      </x:c>
      <x:c r="AW248" s="65" t="n">
        <x:f>AV248/AK248</x:f>
        <x:v>0.4132721531621979</x:v>
      </x:c>
      <x:c r="AX248" s="64" t="n">
        <x:f>-ROUND(AK248*'Drivers'!W248,3)</x:f>
        <x:v>-16.465</x:v>
      </x:c>
      <x:c r="AY248" s="64" t="n">
        <x:f>-ROUND(AK248*'Drivers'!X248,3)</x:f>
        <x:v>-28.674</x:v>
      </x:c>
      <x:c r="AZ248" s="64" t="n">
        <x:f>-ROUND(AK248*'Drivers'!Y248,3)</x:f>
        <x:v>-15.202</x:v>
      </x:c>
      <x:c r="BA248" s="64" t="n">
        <x:f>-ROUND(AK248*'Drivers'!Z248,3)</x:f>
        <x:v>-5.883</x:v>
      </x:c>
      <x:c r="BB248" s="64" t="n">
        <x:f>-ROUND(AK248*'Drivers'!AA248,3)</x:f>
        <x:v>-7.62</x:v>
      </x:c>
      <x:c r="BC248" s="64" t="n">
        <x:f>SUM(BA248,BB248)</x:f>
        <x:v>-13.503</x:v>
      </x:c>
      <x:c r="BD248" s="64" t="n">
        <x:f>-ROUND(AK248*'Drivers'!AB248,3)</x:f>
        <x:v>-5.29</x:v>
      </x:c>
      <x:c r="BE248" s="64" t="n">
        <x:f>SUM(AX248:BB248,BD248)</x:f>
        <x:v>-79.134</x:v>
      </x:c>
      <x:c r="BF248" s="67" t="n">
        <x:f>'Drivers'!AF248</x:f>
        <x:v>5</x:v>
      </x:c>
      <x:c r="BG248" s="64" t="n">
        <x:f>BJ248</x:f>
        <x:v>-32.248</x:v>
      </x:c>
      <x:c r="BH248" s="64" t="n">
        <x:f>BE248/BF248</x:f>
        <x:v>-15.8268</x:v>
      </x:c>
      <x:c r="BI248" s="68" t="n">
        <x:f>BF248/L248</x:f>
        <x:v>1.6666666666666667</x:v>
      </x:c>
      <x:c r="BJ248" s="64" t="n">
        <x:f>-ROUND(AK248*'Drivers'!AC248,3)</x:f>
        <x:v>-32.248</x:v>
      </x:c>
      <x:c r="BK248" s="64" t="n">
        <x:f>-ROUND(AK248*'Drivers'!AD248,3)</x:f>
        <x:v>-75.707</x:v>
      </x:c>
      <x:c r="BL248" s="64" t="n">
        <x:f>SUM(AV248,BE248,BJ248,BK248)</x:f>
        <x:v>96.531</x:v>
      </x:c>
      <x:c r="BM248" s="65" t="n">
        <x:f>BL248/AK248</x:f>
        <x:v>0.14065853683414473</x:v>
      </x:c>
      <x:c r="BN248" s="64" t="n">
        <x:f>-ROUND(AK248*'Drivers'!AE248,3)</x:f>
        <x:v>-65.64</x:v>
      </x:c>
      <x:c r="BO248" s="64" t="n">
        <x:f>BL248+BN248</x:f>
        <x:v>30.891000000000005</x:v>
      </x:c>
      <x:c r="BP248" s="65" t="n">
        <x:f>BO248/AK248</x:f>
        <x:v>0.04501230549091551</x:v>
      </x:c>
    </x:row>
    <x:row r="249">
      <x:c r="A249" s="61" t="n">
        <x:v>2026</x:v>
      </x:c>
      <x:c r="B249" s="18" t="str">
        <x:v>S2</x:v>
      </x:c>
      <x:c r="C249" s="18" t="str">
        <x:v>2026 S2</x:v>
      </x:c>
      <x:c r="D249" s="18" t="str">
        <x:v>CNCT0062</x:v>
      </x:c>
      <x:c r="E249" s="18" t="str">
        <x:v>武汉光谷世界城</x:v>
      </x:c>
      <x:c r="F249" s="18" t="str">
        <x:v>武汉</x:v>
      </x:c>
      <x:c r="G249" s="18" t="str">
        <x:v>湖北省</x:v>
      </x:c>
      <x:c r="H249" s="18" t="str">
        <x:v>南区</x:v>
      </x:c>
      <x:c r="I249" s="18" t="str">
        <x:v>Shopping Mall</x:v>
      </x:c>
      <x:c r="J249" s="18" t="str">
        <x:v>Regional Mall</x:v>
      </x:c>
      <x:c r="K249" s="18" t="str">
        <x:v>正常</x:v>
      </x:c>
      <x:c r="L249" s="62" t="n">
        <x:v>3</x:v>
      </x:c>
      <x:c r="M249" s="62" t="n">
        <x:v>50</x:v>
      </x:c>
      <x:c r="N249" s="63" t="n">
        <x:f>'Drivers'!C249</x:f>
        <x:v>1198</x:v>
      </x:c>
      <x:c r="O249" s="63" t="n">
        <x:f>'Drivers'!D249</x:f>
        <x:v>911.266</x:v>
      </x:c>
      <x:c r="P249" s="64" t="n">
        <x:f>ROUND(N249*O249/1000,3)</x:f>
        <x:v>1091.697</x:v>
      </x:c>
      <x:c r="Q249" s="64" t="n">
        <x:f>ROUND(P249*'Drivers'!E249,3)</x:f>
        <x:v>1068.681</x:v>
      </x:c>
      <x:c r="R249" s="64" t="n">
        <x:f>-ROUND(Q249*'Drivers'!F249,3)</x:f>
        <x:v>-163.782</x:v>
      </x:c>
      <x:c r="S249" s="65" t="n">
        <x:f>R249/Q249</x:f>
        <x:v>-0.1532562102255023</x:v>
      </x:c>
      <x:c r="T249" s="64" t="n">
        <x:f>-ROUND(Q249*'Drivers'!G249,3)</x:f>
        <x:v>-15.669</x:v>
      </x:c>
      <x:c r="U249" s="65" t="n">
        <x:f>T249/Q249</x:f>
        <x:v>-0.014661999230827534</x:v>
      </x:c>
      <x:c r="V249" s="64" t="n">
        <x:f>-ROUND(Q249*'Drivers'!H249,3)</x:f>
        <x:v>-11.035</x:v>
      </x:c>
      <x:c r="W249" s="64" t="n">
        <x:f>-ROUND(Q249*'Drivers'!I249,3)</x:f>
        <x:v>-7.248</x:v>
      </x:c>
      <x:c r="X249" s="64" t="n">
        <x:f>-ROUND(Q249*'Drivers'!J249,3)</x:f>
        <x:v>-19.067</x:v>
      </x:c>
      <x:c r="Y249" s="64" t="n">
        <x:f>-ROUND(Q249*'Drivers'!K249,3)</x:f>
        <x:v>-10.842</x:v>
      </x:c>
      <x:c r="Z249" s="64" t="n">
        <x:f>-ROUND(Q249*'Drivers'!L249,3)</x:f>
        <x:v>-11.075</x:v>
      </x:c>
      <x:c r="AA249" s="64" t="n">
        <x:f>-ROUND(Q249*'Drivers'!M249,3)</x:f>
        <x:v>-9.197</x:v>
      </x:c>
      <x:c r="AB249" s="64" t="n">
        <x:f>-ROUND(Q249*'Drivers'!N249,3)</x:f>
        <x:v>-6.738</x:v>
      </x:c>
      <x:c r="AC249" s="64" t="n">
        <x:f>SUM(V249:AB249)</x:f>
        <x:v>-75.202</x:v>
      </x:c>
      <x:c r="AD249" s="65" t="n">
        <x:f>AC249/Q249</x:f>
        <x:v>-0.07036898756504513</x:v>
      </x:c>
      <x:c r="AE249" s="64" t="n">
        <x:f>-ROUND(Q249*'Drivers'!O249,3)</x:f>
        <x:v>-9.67</x:v>
      </x:c>
      <x:c r="AF249" s="65" t="n">
        <x:f>AE249/Q249</x:f>
        <x:v>-0.009048537402648686</x:v>
      </x:c>
      <x:c r="AG249" s="64" t="n">
        <x:f>-ROUND(Q249*'Drivers'!P249,3)</x:f>
        <x:v>-0.531</x:v>
      </x:c>
      <x:c r="AH249" s="64" t="n">
        <x:f>-ROUND(Q249*'Drivers'!Q249,3)</x:f>
        <x:v>-6.764</x:v>
      </x:c>
      <x:c r="AI249" s="64" t="n">
        <x:f>SUM(R249,T249,AC249,AE249,AG249,AH249)</x:f>
        <x:v>-271.61800000000005</x:v>
      </x:c>
      <x:c r="AJ249" s="65" t="n">
        <x:f>AI249/Q249</x:f>
        <x:v>-0.25416190612540135</x:v>
      </x:c>
      <x:c r="AK249" s="64" t="n">
        <x:f>Q249+AI249</x:f>
        <x:v>797.063</x:v>
      </x:c>
      <x:c r="AL249" s="65" t="n">
        <x:f>AK249/Q249</x:f>
        <x:v>0.7458380938745987</x:v>
      </x:c>
      <x:c r="AM249" s="64" t="n">
        <x:f>AK249/L249</x:f>
        <x:v>265.68766666666664</x:v>
      </x:c>
      <x:c r="AN249" s="66" t="str">
        <x:f>IF(AM249&lt;=200,"≤200K",IF(AM249&lt;=350,"200–350K",IF(AM249&lt;=500,"350–500K",IF(AM249&lt;=700,"500–700K","&gt;700K"))))</x:f>
        <x:v>200–350K</x:v>
      </x:c>
      <x:c r="AO249" s="64" t="n">
        <x:f>-ROUND(Q249*'Drivers'!R249,3)</x:f>
        <x:v>-401.773</x:v>
      </x:c>
      <x:c r="AP249" s="64" t="n">
        <x:f>-ROUND(AK249*'Drivers'!S249,3)</x:f>
        <x:v>-12.924</x:v>
      </x:c>
      <x:c r="AQ249" s="64" t="n">
        <x:f>-ROUND(AK249*'Drivers'!T249,3)</x:f>
        <x:v>-4.507</x:v>
      </x:c>
      <x:c r="AR249" s="64" t="n">
        <x:f>-ROUND(AK249*'Drivers'!U249,3)</x:f>
        <x:v>-7.032</x:v>
      </x:c>
      <x:c r="AS249" s="64" t="n">
        <x:f>-ROUND(AK249*'Drivers'!V249,3)</x:f>
        <x:v>-27.914</x:v>
      </x:c>
      <x:c r="AT249" s="64" t="n">
        <x:f>SUM(AO249:AS249)</x:f>
        <x:v>-454.15</x:v>
      </x:c>
      <x:c r="AU249" s="65" t="n">
        <x:f>AT249/AK249</x:f>
        <x:v>-0.5697793022634347</x:v>
      </x:c>
      <x:c r="AV249" s="64" t="n">
        <x:f>AK249+AT249</x:f>
        <x:v>342.913</x:v>
      </x:c>
      <x:c r="AW249" s="65" t="n">
        <x:f>AV249/AK249</x:f>
        <x:v>0.4302206977365654</x:v>
      </x:c>
      <x:c r="AX249" s="64" t="n">
        <x:f>-ROUND(AK249*'Drivers'!W249,3)</x:f>
        <x:v>-12.203</x:v>
      </x:c>
      <x:c r="AY249" s="64" t="n">
        <x:f>-ROUND(AK249*'Drivers'!X249,3)</x:f>
        <x:v>-21.251</x:v>
      </x:c>
      <x:c r="AZ249" s="64" t="n">
        <x:f>-ROUND(AK249*'Drivers'!Y249,3)</x:f>
        <x:v>-11.267</x:v>
      </x:c>
      <x:c r="BA249" s="64" t="n">
        <x:f>-ROUND(AK249*'Drivers'!Z249,3)</x:f>
        <x:v>-5.886</x:v>
      </x:c>
      <x:c r="BB249" s="64" t="n">
        <x:f>-ROUND(AK249*'Drivers'!AA249,3)</x:f>
        <x:v>-7.624</x:v>
      </x:c>
      <x:c r="BC249" s="64" t="n">
        <x:f>SUM(BA249,BB249)</x:f>
        <x:v>-13.51</x:v>
      </x:c>
      <x:c r="BD249" s="64" t="n">
        <x:f>-ROUND(AK249*'Drivers'!AB249,3)</x:f>
        <x:v>-3.921</x:v>
      </x:c>
      <x:c r="BE249" s="64" t="n">
        <x:f>SUM(AX249:BB249,BD249)</x:f>
        <x:v>-62.15200000000001</x:v>
      </x:c>
      <x:c r="BF249" s="67" t="n">
        <x:f>'Drivers'!AF249</x:f>
        <x:v>5</x:v>
      </x:c>
      <x:c r="BG249" s="64" t="n">
        <x:f>BJ249</x:f>
        <x:v>-23.901</x:v>
      </x:c>
      <x:c r="BH249" s="64" t="n">
        <x:f>BE249/BF249</x:f>
        <x:v>-12.430400000000002</x:v>
      </x:c>
      <x:c r="BI249" s="68" t="n">
        <x:f>BF249/L249</x:f>
        <x:v>1.6666666666666667</x:v>
      </x:c>
      <x:c r="BJ249" s="64" t="n">
        <x:f>-ROUND(AK249*'Drivers'!AC249,3)</x:f>
        <x:v>-23.901</x:v>
      </x:c>
      <x:c r="BK249" s="64" t="n">
        <x:f>-ROUND(AK249*'Drivers'!AD249,3)</x:f>
        <x:v>-78.508</x:v>
      </x:c>
      <x:c r="BL249" s="64" t="n">
        <x:f>SUM(AV249,BE249,BJ249,BK249)</x:f>
        <x:v>178.35200000000003</x:v>
      </x:c>
      <x:c r="BM249" s="65" t="n">
        <x:f>BL249/AK249</x:f>
        <x:v>0.22376148434941784</x:v>
      </x:c>
      <x:c r="BN249" s="64" t="n">
        <x:f>-ROUND(AK249*'Drivers'!AE249,3)</x:f>
        <x:v>-76.236</x:v>
      </x:c>
      <x:c r="BO249" s="64" t="n">
        <x:f>BL249+BN249</x:f>
        <x:v>102.11600000000003</x:v>
      </x:c>
      <x:c r="BP249" s="65" t="n">
        <x:f>BO249/AK249</x:f>
        <x:v>0.12811534345465794</x:v>
      </x:c>
    </x:row>
    <x:row r="250">
      <x:c r="A250" s="61" t="n">
        <x:v>2025</x:v>
      </x:c>
      <x:c r="B250" s="18" t="str">
        <x:v>S1</x:v>
      </x:c>
      <x:c r="C250" s="18" t="str">
        <x:v>2025 S1</x:v>
      </x:c>
      <x:c r="D250" s="18" t="str">
        <x:v>CNCT0063</x:v>
      </x:c>
      <x:c r="E250" s="18" t="str">
        <x:v>武汉壹方购物中心</x:v>
      </x:c>
      <x:c r="F250" s="18" t="str">
        <x:v>武汉</x:v>
      </x:c>
      <x:c r="G250" s="18" t="str">
        <x:v>湖北省</x:v>
      </x:c>
      <x:c r="H250" s="18" t="str">
        <x:v>南区</x:v>
      </x:c>
      <x:c r="I250" s="18" t="str">
        <x:v>Shopping Mall</x:v>
      </x:c>
      <x:c r="J250" s="18" t="str">
        <x:v>Regional Mall</x:v>
      </x:c>
      <x:c r="K250" s="18" t="str">
        <x:v>正常</x:v>
      </x:c>
      <x:c r="L250" s="62" t="n">
        <x:v>5</x:v>
      </x:c>
      <x:c r="M250" s="62" t="n">
        <x:v>46</x:v>
      </x:c>
      <x:c r="N250" s="63" t="n">
        <x:f>'Drivers'!C250</x:f>
        <x:v>1628</x:v>
      </x:c>
      <x:c r="O250" s="63" t="n">
        <x:f>'Drivers'!D250</x:f>
        <x:v>908.208</x:v>
      </x:c>
      <x:c r="P250" s="64" t="n">
        <x:f>ROUND(N250*O250/1000,3)</x:f>
        <x:v>1478.563</x:v>
      </x:c>
      <x:c r="Q250" s="64" t="n">
        <x:f>ROUND(P250*'Drivers'!E250,3)</x:f>
        <x:v>1443.2</x:v>
      </x:c>
      <x:c r="R250" s="64" t="n">
        <x:f>-ROUND(Q250*'Drivers'!F250,3)</x:f>
        <x:v>-237.594</x:v>
      </x:c>
      <x:c r="S250" s="65" t="n">
        <x:f>R250/Q250</x:f>
        <x:v>-0.16462998891352548</x:v>
      </x:c>
      <x:c r="T250" s="64" t="n">
        <x:f>-ROUND(Q250*'Drivers'!G250,3)</x:f>
        <x:v>-24.724</x:v>
      </x:c>
      <x:c r="U250" s="65" t="n">
        <x:f>T250/Q250</x:f>
        <x:v>-0.017131374722838138</x:v>
      </x:c>
      <x:c r="V250" s="64" t="n">
        <x:f>-ROUND(Q250*'Drivers'!H250,3)</x:f>
        <x:v>-17.033</x:v>
      </x:c>
      <x:c r="W250" s="64" t="n">
        <x:f>-ROUND(Q250*'Drivers'!I250,3)</x:f>
        <x:v>-14.144</x:v>
      </x:c>
      <x:c r="X250" s="64" t="n">
        <x:f>-ROUND(Q250*'Drivers'!J250,3)</x:f>
        <x:v>-25.065</x:v>
      </x:c>
      <x:c r="Y250" s="64" t="n">
        <x:f>-ROUND(Q250*'Drivers'!K250,3)</x:f>
        <x:v>-18.417</x:v>
      </x:c>
      <x:c r="Z250" s="64" t="n">
        <x:f>-ROUND(Q250*'Drivers'!L250,3)</x:f>
        <x:v>-19.452</x:v>
      </x:c>
      <x:c r="AA250" s="64" t="n">
        <x:f>-ROUND(Q250*'Drivers'!M250,3)</x:f>
        <x:v>-13.304</x:v>
      </x:c>
      <x:c r="AB250" s="64" t="n">
        <x:f>-ROUND(Q250*'Drivers'!N250,3)</x:f>
        <x:v>-8.033</x:v>
      </x:c>
      <x:c r="AC250" s="64" t="n">
        <x:f>SUM(V250:AB250)</x:f>
        <x:v>-115.44800000000001</x:v>
      </x:c>
      <x:c r="AD250" s="65" t="n">
        <x:f>AC250/Q250</x:f>
        <x:v>-0.07999445676274945</x:v>
      </x:c>
      <x:c r="AE250" s="64" t="n">
        <x:f>-ROUND(Q250*'Drivers'!O250,3)</x:f>
        <x:v>-22.24</x:v>
      </x:c>
      <x:c r="AF250" s="65" t="n">
        <x:f>AE250/Q250</x:f>
        <x:v>-0.015410199556541018</x:v>
      </x:c>
      <x:c r="AG250" s="64" t="n">
        <x:f>-ROUND(Q250*'Drivers'!P250,3)</x:f>
        <x:v>-2.223</x:v>
      </x:c>
      <x:c r="AH250" s="64" t="n">
        <x:f>-ROUND(Q250*'Drivers'!Q250,3)</x:f>
        <x:v>-9.633</x:v>
      </x:c>
      <x:c r="AI250" s="64" t="n">
        <x:f>SUM(R250,T250,AC250,AE250,AG250,AH250)</x:f>
        <x:v>-411.86199999999997</x:v>
      </x:c>
      <x:c r="AJ250" s="65" t="n">
        <x:f>AI250/Q250</x:f>
        <x:v>-0.28538109756097557</x:v>
      </x:c>
      <x:c r="AK250" s="64" t="n">
        <x:f>Q250+AI250</x:f>
        <x:v>1031.3380000000002</x:v>
      </x:c>
      <x:c r="AL250" s="65" t="n">
        <x:f>AK250/Q250</x:f>
        <x:v>0.7146189024390245</x:v>
      </x:c>
      <x:c r="AM250" s="64" t="n">
        <x:f>AK250/L250</x:f>
        <x:v>206.26760000000004</x:v>
      </x:c>
      <x:c r="AN250" s="66" t="str">
        <x:f>IF(AM250&lt;=200,"≤200K",IF(AM250&lt;=350,"200–350K",IF(AM250&lt;=500,"350–500K",IF(AM250&lt;=700,"500–700K","&gt;700K"))))</x:f>
        <x:v>200–350K</x:v>
      </x:c>
      <x:c r="AO250" s="64" t="n">
        <x:f>-ROUND(Q250*'Drivers'!R250,3)</x:f>
        <x:v>-546.045</x:v>
      </x:c>
      <x:c r="AP250" s="64" t="n">
        <x:f>-ROUND(AK250*'Drivers'!S250,3)</x:f>
        <x:v>-13.055</x:v>
      </x:c>
      <x:c r="AQ250" s="64" t="n">
        <x:f>-ROUND(AK250*'Drivers'!T250,3)</x:f>
        <x:v>-5.426</x:v>
      </x:c>
      <x:c r="AR250" s="64" t="n">
        <x:f>-ROUND(AK250*'Drivers'!U250,3)</x:f>
        <x:v>-7.176</x:v>
      </x:c>
      <x:c r="AS250" s="64" t="n">
        <x:f>-ROUND(AK250*'Drivers'!V250,3)</x:f>
        <x:v>-31.796</x:v>
      </x:c>
      <x:c r="AT250" s="64" t="n">
        <x:f>SUM(AO250:AS250)</x:f>
        <x:v>-603.498</x:v>
      </x:c>
      <x:c r="AU250" s="65" t="n">
        <x:f>AT250/AK250</x:f>
        <x:v>-0.5851602481436735</x:v>
      </x:c>
      <x:c r="AV250" s="64" t="n">
        <x:f>AK250+AT250</x:f>
        <x:v>427.84000000000015</x:v>
      </x:c>
      <x:c r="AW250" s="65" t="n">
        <x:f>AV250/AK250</x:f>
        <x:v>0.4148397518563265</x:v>
      </x:c>
      <x:c r="AX250" s="64" t="n">
        <x:f>-ROUND(AK250*'Drivers'!W250,3)</x:f>
        <x:v>-11.864</x:v>
      </x:c>
      <x:c r="AY250" s="64" t="n">
        <x:f>-ROUND(AK250*'Drivers'!X250,3)</x:f>
        <x:v>-20.917</x:v>
      </x:c>
      <x:c r="AZ250" s="64" t="n">
        <x:f>-ROUND(AK250*'Drivers'!Y250,3)</x:f>
        <x:v>-21.536</x:v>
      </x:c>
      <x:c r="BA250" s="64" t="n">
        <x:f>-ROUND(AK250*'Drivers'!Z250,3)</x:f>
        <x:v>-5.664</x:v>
      </x:c>
      <x:c r="BB250" s="64" t="n">
        <x:f>-ROUND(AK250*'Drivers'!AA250,3)</x:f>
        <x:v>-6.01</x:v>
      </x:c>
      <x:c r="BC250" s="64" t="n">
        <x:f>SUM(BA250,BB250)</x:f>
        <x:v>-11.674</x:v>
      </x:c>
      <x:c r="BD250" s="64" t="n">
        <x:f>-ROUND(AK250*'Drivers'!AB250,3)</x:f>
        <x:v>-6.967</x:v>
      </x:c>
      <x:c r="BE250" s="64" t="n">
        <x:f>SUM(AX250:BB250,BD250)</x:f>
        <x:v>-72.95800000000001</x:v>
      </x:c>
      <x:c r="BF250" s="67" t="n">
        <x:f>'Drivers'!AF250</x:f>
        <x:v>9</x:v>
      </x:c>
      <x:c r="BG250" s="64" t="n">
        <x:f>BJ250</x:f>
        <x:v>-22.174</x:v>
      </x:c>
      <x:c r="BH250" s="64" t="n">
        <x:f>BE250/BF250</x:f>
        <x:v>-8.106444444444445</x:v>
      </x:c>
      <x:c r="BI250" s="68" t="n">
        <x:f>BF250/L250</x:f>
        <x:v>1.8</x:v>
      </x:c>
      <x:c r="BJ250" s="64" t="n">
        <x:f>-ROUND(AK250*'Drivers'!AC250,3)</x:f>
        <x:v>-22.174</x:v>
      </x:c>
      <x:c r="BK250" s="64" t="n">
        <x:f>-ROUND(AK250*'Drivers'!AD250,3)</x:f>
        <x:v>-118.01</x:v>
      </x:c>
      <x:c r="BL250" s="64" t="n">
        <x:f>SUM(AV250,BE250,BJ250,BK250)</x:f>
        <x:v>214.69800000000015</x:v>
      </x:c>
      <x:c r="BM250" s="65" t="n">
        <x:f>BL250/AK250</x:f>
        <x:v>0.2081742357985453</x:v>
      </x:c>
      <x:c r="BN250" s="64" t="n">
        <x:f>-ROUND(AK250*'Drivers'!AE250,3)</x:f>
        <x:v>-95.534</x:v>
      </x:c>
      <x:c r="BO250" s="64" t="n">
        <x:f>BL250+BN250</x:f>
        <x:v>119.16400000000014</x:v>
      </x:c>
      <x:c r="BP250" s="65" t="n">
        <x:f>BO250/AK250</x:f>
        <x:v>0.11554311001824825</x:v>
      </x:c>
    </x:row>
    <x:row r="251">
      <x:c r="A251" s="61" t="n">
        <x:v>2025</x:v>
      </x:c>
      <x:c r="B251" s="18" t="str">
        <x:v>S2</x:v>
      </x:c>
      <x:c r="C251" s="18" t="str">
        <x:v>2025 S2</x:v>
      </x:c>
      <x:c r="D251" s="18" t="str">
        <x:v>CNCT0063</x:v>
      </x:c>
      <x:c r="E251" s="18" t="str">
        <x:v>武汉壹方购物中心</x:v>
      </x:c>
      <x:c r="F251" s="18" t="str">
        <x:v>武汉</x:v>
      </x:c>
      <x:c r="G251" s="18" t="str">
        <x:v>湖北省</x:v>
      </x:c>
      <x:c r="H251" s="18" t="str">
        <x:v>南区</x:v>
      </x:c>
      <x:c r="I251" s="18" t="str">
        <x:v>Shopping Mall</x:v>
      </x:c>
      <x:c r="J251" s="18" t="str">
        <x:v>Regional Mall</x:v>
      </x:c>
      <x:c r="K251" s="18" t="str">
        <x:v>正常</x:v>
      </x:c>
      <x:c r="L251" s="62" t="n">
        <x:v>5</x:v>
      </x:c>
      <x:c r="M251" s="62" t="n">
        <x:v>46</x:v>
      </x:c>
      <x:c r="N251" s="63" t="n">
        <x:f>'Drivers'!C251</x:f>
        <x:v>1745</x:v>
      </x:c>
      <x:c r="O251" s="63" t="n">
        <x:f>'Drivers'!D251</x:f>
        <x:v>919.107</x:v>
      </x:c>
      <x:c r="P251" s="64" t="n">
        <x:f>ROUND(N251*O251/1000,3)</x:f>
        <x:v>1603.842</x:v>
      </x:c>
      <x:c r="Q251" s="64" t="n">
        <x:f>ROUND(P251*'Drivers'!E251,3)</x:f>
        <x:v>1578.97</x:v>
      </x:c>
      <x:c r="R251" s="64" t="n">
        <x:f>-ROUND(Q251*'Drivers'!F251,3)</x:f>
        <x:v>-259.946</x:v>
      </x:c>
      <x:c r="S251" s="65" t="n">
        <x:f>R251/Q251</x:f>
        <x:v>-0.1646301069684668</x:v>
      </x:c>
      <x:c r="T251" s="64" t="n">
        <x:f>-ROUND(Q251*'Drivers'!G251,3)</x:f>
        <x:v>-27.05</x:v>
      </x:c>
      <x:c r="U251" s="65" t="n">
        <x:f>T251/Q251</x:f>
        <x:v>-0.017131421116297334</x:v>
      </x:c>
      <x:c r="V251" s="64" t="n">
        <x:f>-ROUND(Q251*'Drivers'!H251,3)</x:f>
        <x:v>-18.636</x:v>
      </x:c>
      <x:c r="W251" s="64" t="n">
        <x:f>-ROUND(Q251*'Drivers'!I251,3)</x:f>
        <x:v>-15.475</x:v>
      </x:c>
      <x:c r="X251" s="64" t="n">
        <x:f>-ROUND(Q251*'Drivers'!J251,3)</x:f>
        <x:v>-27.423</x:v>
      </x:c>
      <x:c r="Y251" s="64" t="n">
        <x:f>-ROUND(Q251*'Drivers'!K251,3)</x:f>
        <x:v>-20.149</x:v>
      </x:c>
      <x:c r="Z251" s="64" t="n">
        <x:f>-ROUND(Q251*'Drivers'!L251,3)</x:f>
        <x:v>-21.282</x:v>
      </x:c>
      <x:c r="AA251" s="64" t="n">
        <x:f>-ROUND(Q251*'Drivers'!M251,3)</x:f>
        <x:v>-14.556</x:v>
      </x:c>
      <x:c r="AB251" s="64" t="n">
        <x:f>-ROUND(Q251*'Drivers'!N251,3)</x:f>
        <x:v>-8.789</x:v>
      </x:c>
      <x:c r="AC251" s="64" t="n">
        <x:f>SUM(V251:AB251)</x:f>
        <x:v>-126.30999999999999</x:v>
      </x:c>
      <x:c r="AD251" s="65" t="n">
        <x:f>AC251/Q251</x:f>
        <x:v>-0.07999518673565678</x:v>
      </x:c>
      <x:c r="AE251" s="64" t="n">
        <x:f>-ROUND(Q251*'Drivers'!O251,3)</x:f>
        <x:v>-24.332</x:v>
      </x:c>
      <x:c r="AF251" s="65" t="n">
        <x:f>AE251/Q251</x:f>
        <x:v>-0.015410045789343687</x:v>
      </x:c>
      <x:c r="AG251" s="64" t="n">
        <x:f>-ROUND(Q251*'Drivers'!P251,3)</x:f>
        <x:v>-2.432</x:v>
      </x:c>
      <x:c r="AH251" s="64" t="n">
        <x:f>-ROUND(Q251*'Drivers'!Q251,3)</x:f>
        <x:v>-10.539</x:v>
      </x:c>
      <x:c r="AI251" s="64" t="n">
        <x:f>SUM(R251,T251,AC251,AE251,AG251,AH251)</x:f>
        <x:v>-450.60900000000004</x:v>
      </x:c>
      <x:c r="AJ251" s="65" t="n">
        <x:f>AI251/Q251</x:f>
        <x:v>-0.2853816095302634</x:v>
      </x:c>
      <x:c r="AK251" s="64" t="n">
        <x:f>Q251+AI251</x:f>
        <x:v>1128.3609999999999</x:v>
      </x:c>
      <x:c r="AL251" s="65" t="n">
        <x:f>AK251/Q251</x:f>
        <x:v>0.7146183904697365</x:v>
      </x:c>
      <x:c r="AM251" s="64" t="n">
        <x:f>AK251/L251</x:f>
        <x:v>225.67219999999998</x:v>
      </x:c>
      <x:c r="AN251" s="66" t="str">
        <x:f>IF(AM251&lt;=200,"≤200K",IF(AM251&lt;=350,"200–350K",IF(AM251&lt;=500,"350–500K",IF(AM251&lt;=700,"500–700K","&gt;700K"))))</x:f>
        <x:v>200–350K</x:v>
      </x:c>
      <x:c r="AO251" s="64" t="n">
        <x:f>-ROUND(Q251*'Drivers'!R251,3)</x:f>
        <x:v>-591.425</x:v>
      </x:c>
      <x:c r="AP251" s="64" t="n">
        <x:f>-ROUND(AK251*'Drivers'!S251,3)</x:f>
        <x:v>-14.284</x:v>
      </x:c>
      <x:c r="AQ251" s="64" t="n">
        <x:f>-ROUND(AK251*'Drivers'!T251,3)</x:f>
        <x:v>-5.937</x:v>
      </x:c>
      <x:c r="AR251" s="64" t="n">
        <x:f>-ROUND(AK251*'Drivers'!U251,3)</x:f>
        <x:v>-7.852</x:v>
      </x:c>
      <x:c r="AS251" s="64" t="n">
        <x:f>-ROUND(AK251*'Drivers'!V251,3)</x:f>
        <x:v>-34.788</x:v>
      </x:c>
      <x:c r="AT251" s="64" t="n">
        <x:f>SUM(AO251:AS251)</x:f>
        <x:v>-654.286</x:v>
      </x:c>
      <x:c r="AU251" s="65" t="n">
        <x:f>AT251/AK251</x:f>
        <x:v>-0.5798552059137102</x:v>
      </x:c>
      <x:c r="AV251" s="64" t="n">
        <x:f>AK251+AT251</x:f>
        <x:v>474.07499999999993</x:v>
      </x:c>
      <x:c r="AW251" s="65" t="n">
        <x:f>AV251/AK251</x:f>
        <x:v>0.42014479408628974</x:v>
      </x:c>
      <x:c r="AX251" s="64" t="n">
        <x:f>-ROUND(AK251*'Drivers'!W251,3)</x:f>
        <x:v>-12.98</x:v>
      </x:c>
      <x:c r="AY251" s="64" t="n">
        <x:f>-ROUND(AK251*'Drivers'!X251,3)</x:f>
        <x:v>-22.884</x:v>
      </x:c>
      <x:c r="AZ251" s="64" t="n">
        <x:f>-ROUND(AK251*'Drivers'!Y251,3)</x:f>
        <x:v>-23.562</x:v>
      </x:c>
      <x:c r="BA251" s="64" t="n">
        <x:f>-ROUND(AK251*'Drivers'!Z251,3)</x:f>
        <x:v>-6.197</x:v>
      </x:c>
      <x:c r="BB251" s="64" t="n">
        <x:f>-ROUND(AK251*'Drivers'!AA251,3)</x:f>
        <x:v>-6.575</x:v>
      </x:c>
      <x:c r="BC251" s="64" t="n">
        <x:f>SUM(BA251,BB251)</x:f>
        <x:v>-12.772</x:v>
      </x:c>
      <x:c r="BD251" s="64" t="n">
        <x:f>-ROUND(AK251*'Drivers'!AB251,3)</x:f>
        <x:v>-7.622</x:v>
      </x:c>
      <x:c r="BE251" s="64" t="n">
        <x:f>SUM(AX251:BB251,BD251)</x:f>
        <x:v>-79.82000000000001</x:v>
      </x:c>
      <x:c r="BF251" s="67" t="n">
        <x:f>'Drivers'!AF251</x:f>
        <x:v>9</x:v>
      </x:c>
      <x:c r="BG251" s="64" t="n">
        <x:f>BJ251</x:f>
        <x:v>-24.26</x:v>
      </x:c>
      <x:c r="BH251" s="64" t="n">
        <x:f>BE251/BF251</x:f>
        <x:v>-8.86888888888889</x:v>
      </x:c>
      <x:c r="BI251" s="68" t="n">
        <x:f>BF251/L251</x:f>
        <x:v>1.8</x:v>
      </x:c>
      <x:c r="BJ251" s="64" t="n">
        <x:f>-ROUND(AK251*'Drivers'!AC251,3)</x:f>
        <x:v>-24.26</x:v>
      </x:c>
      <x:c r="BK251" s="64" t="n">
        <x:f>-ROUND(AK251*'Drivers'!AD251,3)</x:f>
        <x:v>-129.112</x:v>
      </x:c>
      <x:c r="BL251" s="64" t="n">
        <x:f>SUM(AV251,BE251,BJ251,BK251)</x:f>
        <x:v>240.88299999999995</x:v>
      </x:c>
      <x:c r="BM251" s="65" t="n">
        <x:f>BL251/AK251</x:f>
        <x:v>0.21348043755500232</x:v>
      </x:c>
      <x:c r="BN251" s="64" t="n">
        <x:f>-ROUND(AK251*'Drivers'!AE251,3)</x:f>
        <x:v>-104.522</x:v>
      </x:c>
      <x:c r="BO251" s="64" t="n">
        <x:f>BL251+BN251</x:f>
        <x:v>136.36099999999993</x:v>
      </x:c>
      <x:c r="BP251" s="65" t="n">
        <x:f>BO251/AK251</x:f>
        <x:v>0.12084873546675218</x:v>
      </x:c>
    </x:row>
    <x:row r="252">
      <x:c r="A252" s="61" t="n">
        <x:v>2026</x:v>
      </x:c>
      <x:c r="B252" s="18" t="str">
        <x:v>S1</x:v>
      </x:c>
      <x:c r="C252" s="18" t="str">
        <x:v>2026 S1</x:v>
      </x:c>
      <x:c r="D252" s="18" t="str">
        <x:v>CNCT0063</x:v>
      </x:c>
      <x:c r="E252" s="18" t="str">
        <x:v>武汉壹方购物中心</x:v>
      </x:c>
      <x:c r="F252" s="18" t="str">
        <x:v>武汉</x:v>
      </x:c>
      <x:c r="G252" s="18" t="str">
        <x:v>湖北省</x:v>
      </x:c>
      <x:c r="H252" s="18" t="str">
        <x:v>南区</x:v>
      </x:c>
      <x:c r="I252" s="18" t="str">
        <x:v>Shopping Mall</x:v>
      </x:c>
      <x:c r="J252" s="18" t="str">
        <x:v>Regional Mall</x:v>
      </x:c>
      <x:c r="K252" s="18" t="str">
        <x:v>正常</x:v>
      </x:c>
      <x:c r="L252" s="62" t="n">
        <x:v>5</x:v>
      </x:c>
      <x:c r="M252" s="62" t="n">
        <x:v>50</x:v>
      </x:c>
      <x:c r="N252" s="63" t="n">
        <x:f>'Drivers'!C252</x:f>
        <x:v>1640</x:v>
      </x:c>
      <x:c r="O252" s="63" t="n">
        <x:f>'Drivers'!D252</x:f>
        <x:v>941.362</x:v>
      </x:c>
      <x:c r="P252" s="64" t="n">
        <x:f>ROUND(N252*O252/1000,3)</x:f>
        <x:v>1543.834</x:v>
      </x:c>
      <x:c r="Q252" s="64" t="n">
        <x:f>ROUND(P252*'Drivers'!E252,3)</x:f>
        <x:v>1507.843</x:v>
      </x:c>
      <x:c r="R252" s="64" t="n">
        <x:f>-ROUND(Q252*'Drivers'!F252,3)</x:f>
        <x:v>-245.554</x:v>
      </x:c>
      <x:c r="S252" s="65" t="n">
        <x:f>R252/Q252</x:f>
        <x:v>-0.162851172171108</x:v>
      </x:c>
      <x:c r="T252" s="64" t="n">
        <x:f>-ROUND(Q252*'Drivers'!G252,3)</x:f>
        <x:v>-27.621</x:v>
      </x:c>
      <x:c r="U252" s="65" t="n">
        <x:f>T252/Q252</x:f>
        <x:v>-0.01831822013299793</x:v>
      </x:c>
      <x:c r="V252" s="64" t="n">
        <x:f>-ROUND(Q252*'Drivers'!H252,3)</x:f>
        <x:v>-17.796</x:v>
      </x:c>
      <x:c r="W252" s="64" t="n">
        <x:f>-ROUND(Q252*'Drivers'!I252,3)</x:f>
        <x:v>-14.778</x:v>
      </x:c>
      <x:c r="X252" s="64" t="n">
        <x:f>-ROUND(Q252*'Drivers'!J252,3)</x:f>
        <x:v>-26.187</x:v>
      </x:c>
      <x:c r="Y252" s="64" t="n">
        <x:f>-ROUND(Q252*'Drivers'!K252,3)</x:f>
        <x:v>-19.242</x:v>
      </x:c>
      <x:c r="Z252" s="64" t="n">
        <x:f>-ROUND(Q252*'Drivers'!L252,3)</x:f>
        <x:v>-20.324</x:v>
      </x:c>
      <x:c r="AA252" s="64" t="n">
        <x:f>-ROUND(Q252*'Drivers'!M252,3)</x:f>
        <x:v>-13.9</x:v>
      </x:c>
      <x:c r="AB252" s="64" t="n">
        <x:f>-ROUND(Q252*'Drivers'!N252,3)</x:f>
        <x:v>-8.393</x:v>
      </x:c>
      <x:c r="AC252" s="64" t="n">
        <x:f>SUM(V252:AB252)</x:f>
        <x:v>-120.62</x:v>
      </x:c>
      <x:c r="AD252" s="65" t="n">
        <x:f>AC252/Q252</x:f>
        <x:v>-0.07999506579929078</x:v>
      </x:c>
      <x:c r="AE252" s="64" t="n">
        <x:f>-ROUND(Q252*'Drivers'!O252,3)</x:f>
        <x:v>-22.183</x:v>
      </x:c>
      <x:c r="AF252" s="65" t="n">
        <x:f>AE252/Q252</x:f>
        <x:v>-0.014711743861927268</x:v>
      </x:c>
      <x:c r="AG252" s="64" t="n">
        <x:f>-ROUND(Q252*'Drivers'!P252,3)</x:f>
        <x:v>-2.322</x:v>
      </x:c>
      <x:c r="AH252" s="64" t="n">
        <x:f>-ROUND(Q252*'Drivers'!Q252,3)</x:f>
        <x:v>-10.064</x:v>
      </x:c>
      <x:c r="AI252" s="64" t="n">
        <x:f>SUM(R252,T252,AC252,AE252,AG252,AH252)</x:f>
        <x:v>-428.36400000000003</x:v>
      </x:c>
      <x:c r="AJ252" s="65" t="n">
        <x:f>AI252/Q252</x:f>
        <x:v>-0.2840905850277516</x:v>
      </x:c>
      <x:c r="AK252" s="64" t="n">
        <x:f>Q252+AI252</x:f>
        <x:v>1079.479</x:v>
      </x:c>
      <x:c r="AL252" s="65" t="n">
        <x:f>AK252/Q252</x:f>
        <x:v>0.7159094149722485</x:v>
      </x:c>
      <x:c r="AM252" s="64" t="n">
        <x:f>AK252/L252</x:f>
        <x:v>215.8958</x:v>
      </x:c>
      <x:c r="AN252" s="66" t="str">
        <x:f>IF(AM252&lt;=200,"≤200K",IF(AM252&lt;=350,"200–350K",IF(AM252&lt;=500,"350–500K",IF(AM252&lt;=700,"500–700K","&gt;700K"))))</x:f>
        <x:v>200–350K</x:v>
      </x:c>
      <x:c r="AO252" s="64" t="n">
        <x:f>-ROUND(Q252*'Drivers'!R252,3)</x:f>
        <x:v>-569.309</x:v>
      </x:c>
      <x:c r="AP252" s="64" t="n">
        <x:f>-ROUND(AK252*'Drivers'!S252,3)</x:f>
        <x:v>-13.665</x:v>
      </x:c>
      <x:c r="AQ252" s="64" t="n">
        <x:f>-ROUND(AK252*'Drivers'!T252,3)</x:f>
        <x:v>-5.679</x:v>
      </x:c>
      <x:c r="AR252" s="64" t="n">
        <x:f>-ROUND(AK252*'Drivers'!U252,3)</x:f>
        <x:v>-7.511</x:v>
      </x:c>
      <x:c r="AS252" s="64" t="n">
        <x:f>-ROUND(AK252*'Drivers'!V252,3)</x:f>
        <x:v>-33.28</x:v>
      </x:c>
      <x:c r="AT252" s="64" t="n">
        <x:f>SUM(AO252:AS252)</x:f>
        <x:v>-629.4439999999998</x:v>
      </x:c>
      <x:c r="AU252" s="65" t="n">
        <x:f>AT252/AK252</x:f>
        <x:v>-0.58309981018621</x:v>
      </x:c>
      <x:c r="AV252" s="64" t="n">
        <x:f>AK252+AT252</x:f>
        <x:v>450.0350000000002</x:v>
      </x:c>
      <x:c r="AW252" s="65" t="n">
        <x:f>AV252/AK252</x:f>
        <x:v>0.41690018981378996</x:v>
      </x:c>
      <x:c r="AX252" s="64" t="n">
        <x:f>-ROUND(AK252*'Drivers'!W252,3)</x:f>
        <x:v>-15.28</x:v>
      </x:c>
      <x:c r="AY252" s="64" t="n">
        <x:f>-ROUND(AK252*'Drivers'!X252,3)</x:f>
        <x:v>-26.938</x:v>
      </x:c>
      <x:c r="AZ252" s="64" t="n">
        <x:f>-ROUND(AK252*'Drivers'!Y252,3)</x:f>
        <x:v>-27.736</x:v>
      </x:c>
      <x:c r="BA252" s="64" t="n">
        <x:f>-ROUND(AK252*'Drivers'!Z252,3)</x:f>
        <x:v>-7.295</x:v>
      </x:c>
      <x:c r="BB252" s="64" t="n">
        <x:f>-ROUND(AK252*'Drivers'!AA252,3)</x:f>
        <x:v>-7.74</x:v>
      </x:c>
      <x:c r="BC252" s="64" t="n">
        <x:f>SUM(BA252,BB252)</x:f>
        <x:v>-15.035</x:v>
      </x:c>
      <x:c r="BD252" s="64" t="n">
        <x:f>-ROUND(AK252*'Drivers'!AB252,3)</x:f>
        <x:v>-8.973</x:v>
      </x:c>
      <x:c r="BE252" s="64" t="n">
        <x:f>SUM(AX252:BB252,BD252)</x:f>
        <x:v>-93.96199999999999</x:v>
      </x:c>
      <x:c r="BF252" s="67" t="n">
        <x:f>'Drivers'!AF252</x:f>
        <x:v>9</x:v>
      </x:c>
      <x:c r="BG252" s="64" t="n">
        <x:f>BJ252</x:f>
        <x:v>-28.557</x:v>
      </x:c>
      <x:c r="BH252" s="64" t="n">
        <x:f>BE252/BF252</x:f>
        <x:v>-10.440222222222221</x:v>
      </x:c>
      <x:c r="BI252" s="68" t="n">
        <x:f>BF252/L252</x:f>
        <x:v>1.8</x:v>
      </x:c>
      <x:c r="BJ252" s="64" t="n">
        <x:f>-ROUND(AK252*'Drivers'!AC252,3)</x:f>
        <x:v>-28.557</x:v>
      </x:c>
      <x:c r="BK252" s="64" t="n">
        <x:f>-ROUND(AK252*'Drivers'!AD252,3)</x:f>
        <x:v>-123.519</x:v>
      </x:c>
      <x:c r="BL252" s="64" t="n">
        <x:f>SUM(AV252,BE252,BJ252,BK252)</x:f>
        <x:v>203.99700000000018</x:v>
      </x:c>
      <x:c r="BM252" s="65" t="n">
        <x:f>BL252/AK252</x:f>
        <x:v>0.18897727514847457</x:v>
      </x:c>
      <x:c r="BN252" s="64" t="n">
        <x:f>-ROUND(AK252*'Drivers'!AE252,3)</x:f>
        <x:v>-99.994</x:v>
      </x:c>
      <x:c r="BO252" s="64" t="n">
        <x:f>BL252+BN252</x:f>
        <x:v>104.00300000000018</x:v>
      </x:c>
      <x:c r="BP252" s="65" t="n">
        <x:f>BO252/AK252</x:f>
        <x:v>0.09634555188197286</x:v>
      </x:c>
    </x:row>
    <x:row r="253">
      <x:c r="A253" s="61" t="n">
        <x:v>2026</x:v>
      </x:c>
      <x:c r="B253" s="18" t="str">
        <x:v>S2</x:v>
      </x:c>
      <x:c r="C253" s="18" t="str">
        <x:v>2026 S2</x:v>
      </x:c>
      <x:c r="D253" s="18" t="str">
        <x:v>CNCT0063</x:v>
      </x:c>
      <x:c r="E253" s="18" t="str">
        <x:v>武汉壹方购物中心</x:v>
      </x:c>
      <x:c r="F253" s="18" t="str">
        <x:v>武汉</x:v>
      </x:c>
      <x:c r="G253" s="18" t="str">
        <x:v>湖北省</x:v>
      </x:c>
      <x:c r="H253" s="18" t="str">
        <x:v>南区</x:v>
      </x:c>
      <x:c r="I253" s="18" t="str">
        <x:v>Shopping Mall</x:v>
      </x:c>
      <x:c r="J253" s="18" t="str">
        <x:v>Regional Mall</x:v>
      </x:c>
      <x:c r="K253" s="18" t="str">
        <x:v>正常</x:v>
      </x:c>
      <x:c r="L253" s="62" t="n">
        <x:v>5</x:v>
      </x:c>
      <x:c r="M253" s="62" t="n">
        <x:v>50</x:v>
      </x:c>
      <x:c r="N253" s="63" t="n">
        <x:f>'Drivers'!C253</x:f>
        <x:v>1793</x:v>
      </x:c>
      <x:c r="O253" s="63" t="n">
        <x:f>'Drivers'!D253</x:f>
        <x:v>953.423</x:v>
      </x:c>
      <x:c r="P253" s="64" t="n">
        <x:f>ROUND(N253*O253/1000,3)</x:f>
        <x:v>1709.487</x:v>
      </x:c>
      <x:c r="Q253" s="64" t="n">
        <x:f>ROUND(P253*'Drivers'!E253,3)</x:f>
        <x:v>1682.977</x:v>
      </x:c>
      <x:c r="R253" s="64" t="n">
        <x:f>-ROUND(Q253*'Drivers'!F253,3)</x:f>
        <x:v>-267.677</x:v>
      </x:c>
      <x:c r="S253" s="65" t="n">
        <x:f>R253/Q253</x:f>
        <x:v>-0.15904970775001678</x:v>
      </x:c>
      <x:c r="T253" s="64" t="n">
        <x:f>-ROUND(Q253*'Drivers'!G253,3)</x:f>
        <x:v>-27.146</x:v>
      </x:c>
      <x:c r="U253" s="65" t="n">
        <x:f>T253/Q253</x:f>
        <x:v>-0.016129751030465656</x:v>
      </x:c>
      <x:c r="V253" s="64" t="n">
        <x:f>-ROUND(Q253*'Drivers'!H253,3)</x:f>
        <x:v>-19.863</x:v>
      </x:c>
      <x:c r="W253" s="64" t="n">
        <x:f>-ROUND(Q253*'Drivers'!I253,3)</x:f>
        <x:v>-16.494</x:v>
      </x:c>
      <x:c r="X253" s="64" t="n">
        <x:f>-ROUND(Q253*'Drivers'!J253,3)</x:f>
        <x:v>-29.229</x:v>
      </x:c>
      <x:c r="Y253" s="64" t="n">
        <x:f>-ROUND(Q253*'Drivers'!K253,3)</x:f>
        <x:v>-21.477</x:v>
      </x:c>
      <x:c r="Z253" s="64" t="n">
        <x:f>-ROUND(Q253*'Drivers'!L253,3)</x:f>
        <x:v>-22.684</x:v>
      </x:c>
      <x:c r="AA253" s="64" t="n">
        <x:f>-ROUND(Q253*'Drivers'!M253,3)</x:f>
        <x:v>-15.515</x:v>
      </x:c>
      <x:c r="AB253" s="64" t="n">
        <x:f>-ROUND(Q253*'Drivers'!N253,3)</x:f>
        <x:v>-9.368</x:v>
      </x:c>
      <x:c r="AC253" s="64" t="n">
        <x:f>SUM(V253:AB253)</x:f>
        <x:v>-134.63</x:v>
      </x:c>
      <x:c r="AD253" s="65" t="n">
        <x:f>AC253/Q253</x:f>
        <x:v>-0.07999515144889086</x:v>
      </x:c>
      <x:c r="AE253" s="64" t="n">
        <x:f>-ROUND(Q253*'Drivers'!O253,3)</x:f>
        <x:v>-25.935</x:v>
      </x:c>
      <x:c r="AF253" s="65" t="n">
        <x:f>AE253/Q253</x:f>
        <x:v>-0.01541019277149955</x:v>
      </x:c>
      <x:c r="AG253" s="64" t="n">
        <x:f>-ROUND(Q253*'Drivers'!P253,3)</x:f>
        <x:v>-2.592</x:v>
      </x:c>
      <x:c r="AH253" s="64" t="n">
        <x:f>-ROUND(Q253*'Drivers'!Q253,3)</x:f>
        <x:v>-11.233</x:v>
      </x:c>
      <x:c r="AI253" s="64" t="n">
        <x:f>SUM(R253,T253,AC253,AE253,AG253,AH253)</x:f>
        <x:v>-469.213</x:v>
      </x:c>
      <x:c r="AJ253" s="65" t="n">
        <x:f>AI253/Q253</x:f>
        <x:v>-0.27879941318271134</x:v>
      </x:c>
      <x:c r="AK253" s="64" t="n">
        <x:f>Q253+AI253</x:f>
        <x:v>1213.7640000000001</x:v>
      </x:c>
      <x:c r="AL253" s="65" t="n">
        <x:f>AK253/Q253</x:f>
        <x:v>0.7212005868172887</x:v>
      </x:c>
      <x:c r="AM253" s="64" t="n">
        <x:f>AK253/L253</x:f>
        <x:v>242.75280000000004</x:v>
      </x:c>
      <x:c r="AN253" s="66" t="str">
        <x:f>IF(AM253&lt;=200,"≤200K",IF(AM253&lt;=350,"200–350K",IF(AM253&lt;=500,"350–500K",IF(AM253&lt;=700,"500–700K","&gt;700K"))))</x:f>
        <x:v>200–350K</x:v>
      </x:c>
      <x:c r="AO253" s="64" t="n">
        <x:f>-ROUND(Q253*'Drivers'!R253,3)</x:f>
        <x:v>-636.228</x:v>
      </x:c>
      <x:c r="AP253" s="64" t="n">
        <x:f>-ROUND(AK253*'Drivers'!S253,3)</x:f>
        <x:v>-15.365</x:v>
      </x:c>
      <x:c r="AQ253" s="64" t="n">
        <x:f>-ROUND(AK253*'Drivers'!T253,3)</x:f>
        <x:v>-6.386</x:v>
      </x:c>
      <x:c r="AR253" s="64" t="n">
        <x:f>-ROUND(AK253*'Drivers'!U253,3)</x:f>
        <x:v>-8.446</x:v>
      </x:c>
      <x:c r="AS253" s="64" t="n">
        <x:f>-ROUND(AK253*'Drivers'!V253,3)</x:f>
        <x:v>-37.421</x:v>
      </x:c>
      <x:c r="AT253" s="64" t="n">
        <x:f>SUM(AO253:AS253)</x:f>
        <x:v>-703.846</x:v>
      </x:c>
      <x:c r="AU253" s="65" t="n">
        <x:f>AT253/AK253</x:f>
        <x:v>-0.5798870291094479</x:v>
      </x:c>
      <x:c r="AV253" s="64" t="n">
        <x:f>AK253+AT253</x:f>
        <x:v>509.9180000000001</x:v>
      </x:c>
      <x:c r="AW253" s="65" t="n">
        <x:f>AV253/AK253</x:f>
        <x:v>0.4201129708905521</x:v>
      </x:c>
      <x:c r="AX253" s="64" t="n">
        <x:f>-ROUND(AK253*'Drivers'!W253,3)</x:f>
        <x:v>-14.801</x:v>
      </x:c>
      <x:c r="AY253" s="64" t="n">
        <x:f>-ROUND(AK253*'Drivers'!X253,3)</x:f>
        <x:v>-26.093</x:v>
      </x:c>
      <x:c r="AZ253" s="64" t="n">
        <x:f>-ROUND(AK253*'Drivers'!Y253,3)</x:f>
        <x:v>-26.866</x:v>
      </x:c>
      <x:c r="BA253" s="64" t="n">
        <x:f>-ROUND(AK253*'Drivers'!Z253,3)</x:f>
        <x:v>-7.066</x:v>
      </x:c>
      <x:c r="BB253" s="64" t="n">
        <x:f>-ROUND(AK253*'Drivers'!AA253,3)</x:f>
        <x:v>-7.497</x:v>
      </x:c>
      <x:c r="BC253" s="64" t="n">
        <x:f>SUM(BA253,BB253)</x:f>
        <x:v>-14.562999999999999</x:v>
      </x:c>
      <x:c r="BD253" s="64" t="n">
        <x:f>-ROUND(AK253*'Drivers'!AB253,3)</x:f>
        <x:v>-8.691</x:v>
      </x:c>
      <x:c r="BE253" s="64" t="n">
        <x:f>SUM(AX253:BB253,BD253)</x:f>
        <x:v>-91.014</x:v>
      </x:c>
      <x:c r="BF253" s="67" t="n">
        <x:f>'Drivers'!AF253</x:f>
        <x:v>9</x:v>
      </x:c>
      <x:c r="BG253" s="64" t="n">
        <x:f>BJ253</x:f>
        <x:v>-27.662</x:v>
      </x:c>
      <x:c r="BH253" s="64" t="n">
        <x:f>BE253/BF253</x:f>
        <x:v>-10.112666666666666</x:v>
      </x:c>
      <x:c r="BI253" s="68" t="n">
        <x:f>BF253/L253</x:f>
        <x:v>1.8</x:v>
      </x:c>
      <x:c r="BJ253" s="64" t="n">
        <x:f>-ROUND(AK253*'Drivers'!AC253,3)</x:f>
        <x:v>-27.662</x:v>
      </x:c>
      <x:c r="BK253" s="64" t="n">
        <x:f>-ROUND(AK253*'Drivers'!AD253,3)</x:f>
        <x:v>-138.884</x:v>
      </x:c>
      <x:c r="BL253" s="64" t="n">
        <x:f>SUM(AV253,BE253,BJ253,BK253)</x:f>
        <x:v>252.35800000000015</x:v>
      </x:c>
      <x:c r="BM253" s="65" t="n">
        <x:f>BL253/AK253</x:f>
        <x:v>0.20791356474570025</x:v>
      </x:c>
      <x:c r="BN253" s="64" t="n">
        <x:f>-ROUND(AK253*'Drivers'!AE253,3)</x:f>
        <x:v>-112.433</x:v>
      </x:c>
      <x:c r="BO253" s="64" t="n">
        <x:f>BL253+BN253</x:f>
        <x:v>139.92500000000013</x:v>
      </x:c>
      <x:c r="BP253" s="65" t="n">
        <x:f>BO253/AK253</x:f>
        <x:v>0.11528188346334223</x:v>
      </x:c>
    </x:row>
    <x:row r="254">
      <x:c r="A254" s="61" t="n">
        <x:v>2025</x:v>
      </x:c>
      <x:c r="B254" s="18" t="str">
        <x:v>S1</x:v>
      </x:c>
      <x:c r="C254" s="18" t="str">
        <x:v>2025 S1</x:v>
      </x:c>
      <x:c r="D254" s="18" t="str">
        <x:v>CNCT0064</x:v>
      </x:c>
      <x:c r="E254" s="18" t="str">
        <x:v>南京德基广场</x:v>
      </x:c>
      <x:c r="F254" s="18" t="str">
        <x:v>南京</x:v>
      </x:c>
      <x:c r="G254" s="18" t="str">
        <x:v>江苏省</x:v>
      </x:c>
      <x:c r="H254" s="18" t="str">
        <x:v>东区</x:v>
      </x:c>
      <x:c r="I254" s="18" t="str">
        <x:v>Shopping Mall</x:v>
      </x:c>
      <x:c r="J254" s="18" t="str">
        <x:v>Prestige Shopping Center</x:v>
      </x:c>
      <x:c r="K254" s="18" t="str">
        <x:v>正常</x:v>
      </x:c>
      <x:c r="L254" s="62" t="n">
        <x:v>6</x:v>
      </x:c>
      <x:c r="M254" s="62" t="n">
        <x:v>47</x:v>
      </x:c>
      <x:c r="N254" s="63" t="n">
        <x:f>'Drivers'!C254</x:f>
        <x:v>2172</x:v>
      </x:c>
      <x:c r="O254" s="63" t="n">
        <x:f>'Drivers'!D254</x:f>
        <x:v>1242.603</x:v>
      </x:c>
      <x:c r="P254" s="64" t="n">
        <x:f>ROUND(N254*O254/1000,3)</x:f>
        <x:v>2698.934</x:v>
      </x:c>
      <x:c r="Q254" s="64" t="n">
        <x:f>ROUND(P254*'Drivers'!E254,3)</x:f>
        <x:v>2647.985</x:v>
      </x:c>
      <x:c r="R254" s="64" t="n">
        <x:f>-ROUND(Q254*'Drivers'!F254,3)</x:f>
        <x:v>-573.912</x:v>
      </x:c>
      <x:c r="S254" s="65" t="n">
        <x:f>R254/Q254</x:f>
        <x:v>-0.21673536670336124</x:v>
      </x:c>
      <x:c r="T254" s="64" t="n">
        <x:f>-ROUND(Q254*'Drivers'!G254,3)</x:f>
        <x:v>-47.357</x:v>
      </x:c>
      <x:c r="U254" s="65" t="n">
        <x:f>T254/Q254</x:f>
        <x:v>-0.017884164751688546</x:v>
      </x:c>
      <x:c r="V254" s="64" t="n">
        <x:f>-ROUND(Q254*'Drivers'!H254,3)</x:f>
        <x:v>-30.965</x:v>
      </x:c>
      <x:c r="W254" s="64" t="n">
        <x:f>-ROUND(Q254*'Drivers'!I254,3)</x:f>
        <x:v>-18.877</x:v>
      </x:c>
      <x:c r="X254" s="64" t="n">
        <x:f>-ROUND(Q254*'Drivers'!J254,3)</x:f>
        <x:v>-43.42</x:v>
      </x:c>
      <x:c r="Y254" s="64" t="n">
        <x:f>-ROUND(Q254*'Drivers'!K254,3)</x:f>
        <x:v>-21.572</x:v>
      </x:c>
      <x:c r="Z254" s="64" t="n">
        <x:f>-ROUND(Q254*'Drivers'!L254,3)</x:f>
        <x:v>-28.388</x:v>
      </x:c>
      <x:c r="AA254" s="64" t="n">
        <x:f>-ROUND(Q254*'Drivers'!M254,3)</x:f>
        <x:v>-21.723</x:v>
      </x:c>
      <x:c r="AB254" s="64" t="n">
        <x:f>-ROUND(Q254*'Drivers'!N254,3)</x:f>
        <x:v>-22.838</x:v>
      </x:c>
      <x:c r="AC254" s="64" t="n">
        <x:f>SUM(V254:AB254)</x:f>
        <x:v>-187.783</x:v>
      </x:c>
      <x:c r="AD254" s="65" t="n">
        <x:f>AC254/Q254</x:f>
        <x:v>-0.07091543192276391</x:v>
      </x:c>
      <x:c r="AE254" s="64" t="n">
        <x:f>-ROUND(Q254*'Drivers'!O254,3)</x:f>
        <x:v>-22.425</x:v>
      </x:c>
      <x:c r="AF254" s="65" t="n">
        <x:f>AE254/Q254</x:f>
        <x:v>-0.008468703561387243</x:v>
      </x:c>
      <x:c r="AG254" s="64" t="n">
        <x:f>-ROUND(Q254*'Drivers'!P254,3)</x:f>
        <x:v>-6.531</x:v>
      </x:c>
      <x:c r="AH254" s="64" t="n">
        <x:f>-ROUND(Q254*'Drivers'!Q254,3)</x:f>
        <x:v>-17.166</x:v>
      </x:c>
      <x:c r="AI254" s="64" t="n">
        <x:f>SUM(R254,T254,AC254,AE254,AG254,AH254)</x:f>
        <x:v>-855.174</x:v>
      </x:c>
      <x:c r="AJ254" s="65" t="n">
        <x:f>AI254/Q254</x:f>
        <x:v>-0.3229527357594548</x:v>
      </x:c>
      <x:c r="AK254" s="64" t="n">
        <x:f>Q254+AI254</x:f>
        <x:v>1792.8110000000001</x:v>
      </x:c>
      <x:c r="AL254" s="65" t="n">
        <x:f>AK254/Q254</x:f>
        <x:v>0.6770472642405452</x:v>
      </x:c>
      <x:c r="AM254" s="64" t="n">
        <x:f>AK254/L254</x:f>
        <x:v>298.8018333333334</x:v>
      </x:c>
      <x:c r="AN254" s="66" t="str">
        <x:f>IF(AM254&lt;=200,"≤200K",IF(AM254&lt;=350,"200–350K",IF(AM254&lt;=500,"350–500K",IF(AM254&lt;=700,"500–700K","&gt;700K"))))</x:f>
        <x:v>200–350K</x:v>
      </x:c>
      <x:c r="AO254" s="64" t="n">
        <x:f>-ROUND(Q254*'Drivers'!R254,3)</x:f>
        <x:v>-929.052</x:v>
      </x:c>
      <x:c r="AP254" s="64" t="n">
        <x:f>-ROUND(AK254*'Drivers'!S254,3)</x:f>
        <x:v>-22.871</x:v>
      </x:c>
      <x:c r="AQ254" s="64" t="n">
        <x:f>-ROUND(AK254*'Drivers'!T254,3)</x:f>
        <x:v>-12.395</x:v>
      </x:c>
      <x:c r="AR254" s="64" t="n">
        <x:f>-ROUND(AK254*'Drivers'!U254,3)</x:f>
        <x:v>-17.592</x:v>
      </x:c>
      <x:c r="AS254" s="64" t="n">
        <x:f>-ROUND(AK254*'Drivers'!V254,3)</x:f>
        <x:v>-63</x:v>
      </x:c>
      <x:c r="AT254" s="64" t="n">
        <x:f>SUM(AO254:AS254)</x:f>
        <x:v>-1044.9099999999999</x:v>
      </x:c>
      <x:c r="AU254" s="65" t="n">
        <x:f>AT254/AK254</x:f>
        <x:v>-0.5828333271047532</x:v>
      </x:c>
      <x:c r="AV254" s="64" t="n">
        <x:f>AK254+AT254</x:f>
        <x:v>747.9010000000003</x:v>
      </x:c>
      <x:c r="AW254" s="65" t="n">
        <x:f>AV254/AK254</x:f>
        <x:v>0.4171666728952468</x:v>
      </x:c>
      <x:c r="AX254" s="64" t="n">
        <x:f>-ROUND(AK254*'Drivers'!W254,3)</x:f>
        <x:v>-22.615</x:v>
      </x:c>
      <x:c r="AY254" s="64" t="n">
        <x:f>-ROUND(AK254*'Drivers'!X254,3)</x:f>
        <x:v>-34.359</x:v>
      </x:c>
      <x:c r="AZ254" s="64" t="n">
        <x:f>-ROUND(AK254*'Drivers'!Y254,3)</x:f>
        <x:v>-28.27</x:v>
      </x:c>
      <x:c r="BA254" s="64" t="n">
        <x:f>-ROUND(AK254*'Drivers'!Z254,3)</x:f>
        <x:v>-11.261</x:v>
      </x:c>
      <x:c r="BB254" s="64" t="n">
        <x:f>-ROUND(AK254*'Drivers'!AA254,3)</x:f>
        <x:v>-12.657</x:v>
      </x:c>
      <x:c r="BC254" s="64" t="n">
        <x:f>SUM(BA254,BB254)</x:f>
        <x:v>-23.918</x:v>
      </x:c>
      <x:c r="BD254" s="64" t="n">
        <x:f>-ROUND(AK254*'Drivers'!AB254,3)</x:f>
        <x:v>-11.329</x:v>
      </x:c>
      <x:c r="BE254" s="64" t="n">
        <x:f>SUM(AX254:BB254,BD254)</x:f>
        <x:v>-120.49099999999999</x:v>
      </x:c>
      <x:c r="BF254" s="67" t="n">
        <x:f>'Drivers'!AF254</x:f>
        <x:v>10</x:v>
      </x:c>
      <x:c r="BG254" s="64" t="n">
        <x:f>BJ254</x:f>
        <x:v>-38.535</x:v>
      </x:c>
      <x:c r="BH254" s="64" t="n">
        <x:f>BE254/BF254</x:f>
        <x:v>-12.0491</x:v>
      </x:c>
      <x:c r="BI254" s="68" t="n">
        <x:f>BF254/L254</x:f>
        <x:v>1.6666666666666667</x:v>
      </x:c>
      <x:c r="BJ254" s="64" t="n">
        <x:f>-ROUND(AK254*'Drivers'!AC254,3)</x:f>
        <x:v>-38.535</x:v>
      </x:c>
      <x:c r="BK254" s="64" t="n">
        <x:f>-ROUND(AK254*'Drivers'!AD254,3)</x:f>
        <x:v>-179.762</x:v>
      </x:c>
      <x:c r="BL254" s="64" t="n">
        <x:f>SUM(AV254,BE254,BJ254,BK254)</x:f>
        <x:v>409.11300000000034</x:v>
      </x:c>
      <x:c r="BM254" s="65" t="n">
        <x:f>BL254/AK254</x:f>
        <x:v>0.22819639103062192</x:v>
      </x:c>
      <x:c r="BN254" s="64" t="n">
        <x:f>-ROUND(AK254*'Drivers'!AE254,3)</x:f>
        <x:v>-111.951</x:v>
      </x:c>
      <x:c r="BO254" s="64" t="n">
        <x:f>BL254+BN254</x:f>
        <x:v>297.1620000000004</x:v>
      </x:c>
      <x:c r="BP254" s="65" t="n">
        <x:f>BO254/AK254</x:f>
        <x:v>0.16575199505134694</x:v>
      </x:c>
    </x:row>
    <x:row r="255">
      <x:c r="A255" s="61" t="n">
        <x:v>2025</x:v>
      </x:c>
      <x:c r="B255" s="18" t="str">
        <x:v>S2</x:v>
      </x:c>
      <x:c r="C255" s="18" t="str">
        <x:v>2025 S2</x:v>
      </x:c>
      <x:c r="D255" s="18" t="str">
        <x:v>CNCT0064</x:v>
      </x:c>
      <x:c r="E255" s="18" t="str">
        <x:v>南京德基广场</x:v>
      </x:c>
      <x:c r="F255" s="18" t="str">
        <x:v>南京</x:v>
      </x:c>
      <x:c r="G255" s="18" t="str">
        <x:v>江苏省</x:v>
      </x:c>
      <x:c r="H255" s="18" t="str">
        <x:v>东区</x:v>
      </x:c>
      <x:c r="I255" s="18" t="str">
        <x:v>Shopping Mall</x:v>
      </x:c>
      <x:c r="J255" s="18" t="str">
        <x:v>Prestige Shopping Center</x:v>
      </x:c>
      <x:c r="K255" s="18" t="str">
        <x:v>正常</x:v>
      </x:c>
      <x:c r="L255" s="62" t="n">
        <x:v>6</x:v>
      </x:c>
      <x:c r="M255" s="62" t="n">
        <x:v>47</x:v>
      </x:c>
      <x:c r="N255" s="63" t="n">
        <x:f>'Drivers'!C255</x:f>
        <x:v>2339</x:v>
      </x:c>
      <x:c r="O255" s="63" t="n">
        <x:f>'Drivers'!D255</x:f>
        <x:v>1257.514</x:v>
      </x:c>
      <x:c r="P255" s="64" t="n">
        <x:f>ROUND(N255*O255/1000,3)</x:f>
        <x:v>2941.325</x:v>
      </x:c>
      <x:c r="Q255" s="64" t="n">
        <x:f>ROUND(P255*'Drivers'!E255,3)</x:f>
        <x:v>2873.851</x:v>
      </x:c>
      <x:c r="R255" s="64" t="n">
        <x:f>-ROUND(Q255*'Drivers'!F255,3)</x:f>
        <x:v>-622.865</x:v>
      </x:c>
      <x:c r="S255" s="65" t="n">
        <x:f>R255/Q255</x:f>
        <x:v>-0.2167353143917343</x:v>
      </x:c>
      <x:c r="T255" s="64" t="n">
        <x:f>-ROUND(Q255*'Drivers'!G255,3)</x:f>
        <x:v>-51.396</x:v>
      </x:c>
      <x:c r="U255" s="65" t="n">
        <x:f>T255/Q255</x:f>
        <x:v>-0.017884016951470343</x:v>
      </x:c>
      <x:c r="V255" s="64" t="n">
        <x:f>-ROUND(Q255*'Drivers'!H255,3)</x:f>
        <x:v>-33.606</x:v>
      </x:c>
      <x:c r="W255" s="64" t="n">
        <x:f>-ROUND(Q255*'Drivers'!I255,3)</x:f>
        <x:v>-20.488</x:v>
      </x:c>
      <x:c r="X255" s="64" t="n">
        <x:f>-ROUND(Q255*'Drivers'!J255,3)</x:f>
        <x:v>-47.123</x:v>
      </x:c>
      <x:c r="Y255" s="64" t="n">
        <x:f>-ROUND(Q255*'Drivers'!K255,3)</x:f>
        <x:v>-23.412</x:v>
      </x:c>
      <x:c r="Z255" s="64" t="n">
        <x:f>-ROUND(Q255*'Drivers'!L255,3)</x:f>
        <x:v>-30.81</x:v>
      </x:c>
      <x:c r="AA255" s="64" t="n">
        <x:f>-ROUND(Q255*'Drivers'!M255,3)</x:f>
        <x:v>-23.576</x:v>
      </x:c>
      <x:c r="AB255" s="64" t="n">
        <x:f>-ROUND(Q255*'Drivers'!N255,3)</x:f>
        <x:v>-24.786</x:v>
      </x:c>
      <x:c r="AC255" s="64" t="n">
        <x:f>SUM(V255:AB255)</x:f>
        <x:v>-203.801</x:v>
      </x:c>
      <x:c r="AD255" s="65" t="n">
        <x:f>AC255/Q255</x:f>
        <x:v>-0.0709156459398904</x:v>
      </x:c>
      <x:c r="AE255" s="64" t="n">
        <x:f>-ROUND(Q255*'Drivers'!O255,3)</x:f>
        <x:v>-24.338</x:v>
      </x:c>
      <x:c r="AF255" s="65" t="n">
        <x:f>AE255/Q255</x:f>
        <x:v>-0.008468775869034268</x:v>
      </x:c>
      <x:c r="AG255" s="64" t="n">
        <x:f>-ROUND(Q255*'Drivers'!P255,3)</x:f>
        <x:v>-7.088</x:v>
      </x:c>
      <x:c r="AH255" s="64" t="n">
        <x:f>-ROUND(Q255*'Drivers'!Q255,3)</x:f>
        <x:v>-18.63</x:v>
      </x:c>
      <x:c r="AI255" s="64" t="n">
        <x:f>SUM(R255,T255,AC255,AE255,AG255,AH255)</x:f>
        <x:v>-928.1179999999998</x:v>
      </x:c>
      <x:c r="AJ255" s="65" t="n">
        <x:f>AI255/Q255</x:f>
        <x:v>-0.32295272093090416</x:v>
      </x:c>
      <x:c r="AK255" s="64" t="n">
        <x:f>Q255+AI255</x:f>
        <x:v>1945.7330000000002</x:v>
      </x:c>
      <x:c r="AL255" s="65" t="n">
        <x:f>AK255/Q255</x:f>
        <x:v>0.6770472790690958</x:v>
      </x:c>
      <x:c r="AM255" s="64" t="n">
        <x:f>AK255/L255</x:f>
        <x:v>324.28883333333334</x:v>
      </x:c>
      <x:c r="AN255" s="66" t="str">
        <x:f>IF(AM255&lt;=200,"≤200K",IF(AM255&lt;=350,"200–350K",IF(AM255&lt;=500,"350–500K",IF(AM255&lt;=700,"500–700K","&gt;700K"))))</x:f>
        <x:v>200–350K</x:v>
      </x:c>
      <x:c r="AO255" s="64" t="n">
        <x:f>-ROUND(Q255*'Drivers'!R255,3)</x:f>
        <x:v>-963.969</x:v>
      </x:c>
      <x:c r="AP255" s="64" t="n">
        <x:f>-ROUND(AK255*'Drivers'!S255,3)</x:f>
        <x:v>-24.822</x:v>
      </x:c>
      <x:c r="AQ255" s="64" t="n">
        <x:f>-ROUND(AK255*'Drivers'!T255,3)</x:f>
        <x:v>-13.452</x:v>
      </x:c>
      <x:c r="AR255" s="64" t="n">
        <x:f>-ROUND(AK255*'Drivers'!U255,3)</x:f>
        <x:v>-19.092</x:v>
      </x:c>
      <x:c r="AS255" s="64" t="n">
        <x:f>-ROUND(AK255*'Drivers'!V255,3)</x:f>
        <x:v>-68.374</x:v>
      </x:c>
      <x:c r="AT255" s="64" t="n">
        <x:f>SUM(AO255:AS255)</x:f>
        <x:v>-1089.709</x:v>
      </x:c>
      <x:c r="AU255" s="65" t="n">
        <x:f>AT255/AK255</x:f>
        <x:v>-0.5600506338742263</x:v>
      </x:c>
      <x:c r="AV255" s="64" t="n">
        <x:f>AK255+AT255</x:f>
        <x:v>856.0240000000001</x:v>
      </x:c>
      <x:c r="AW255" s="65" t="n">
        <x:f>AV255/AK255</x:f>
        <x:v>0.4399493661257737</x:v>
      </x:c>
      <x:c r="AX255" s="64" t="n">
        <x:f>-ROUND(AK255*'Drivers'!W255,3)</x:f>
        <x:v>-24.544</x:v>
      </x:c>
      <x:c r="AY255" s="64" t="n">
        <x:f>-ROUND(AK255*'Drivers'!X255,3)</x:f>
        <x:v>-37.289</x:v>
      </x:c>
      <x:c r="AZ255" s="64" t="n">
        <x:f>-ROUND(AK255*'Drivers'!Y255,3)</x:f>
        <x:v>-30.682</x:v>
      </x:c>
      <x:c r="BA255" s="64" t="n">
        <x:f>-ROUND(AK255*'Drivers'!Z255,3)</x:f>
        <x:v>-12.222</x:v>
      </x:c>
      <x:c r="BB255" s="64" t="n">
        <x:f>-ROUND(AK255*'Drivers'!AA255,3)</x:f>
        <x:v>-13.737</x:v>
      </x:c>
      <x:c r="BC255" s="64" t="n">
        <x:f>SUM(BA255,BB255)</x:f>
        <x:v>-25.959</x:v>
      </x:c>
      <x:c r="BD255" s="64" t="n">
        <x:f>-ROUND(AK255*'Drivers'!AB255,3)</x:f>
        <x:v>-12.295</x:v>
      </x:c>
      <x:c r="BE255" s="64" t="n">
        <x:f>SUM(AX255:BB255,BD255)</x:f>
        <x:v>-130.76899999999998</x:v>
      </x:c>
      <x:c r="BF255" s="67" t="n">
        <x:f>'Drivers'!AF255</x:f>
        <x:v>10</x:v>
      </x:c>
      <x:c r="BG255" s="64" t="n">
        <x:f>BJ255</x:f>
        <x:v>-41.822</x:v>
      </x:c>
      <x:c r="BH255" s="64" t="n">
        <x:f>BE255/BF255</x:f>
        <x:v>-13.076899999999998</x:v>
      </x:c>
      <x:c r="BI255" s="68" t="n">
        <x:f>BF255/L255</x:f>
        <x:v>1.6666666666666667</x:v>
      </x:c>
      <x:c r="BJ255" s="64" t="n">
        <x:f>-ROUND(AK255*'Drivers'!AC255,3)</x:f>
        <x:v>-41.822</x:v>
      </x:c>
      <x:c r="BK255" s="64" t="n">
        <x:f>-ROUND(AK255*'Drivers'!AD255,3)</x:f>
        <x:v>-195.096</x:v>
      </x:c>
      <x:c r="BL255" s="64" t="n">
        <x:f>SUM(AV255,BE255,BJ255,BK255)</x:f>
        <x:v>488.3370000000001</x:v>
      </x:c>
      <x:c r="BM255" s="65" t="n">
        <x:f>BL255/AK255</x:f>
        <x:v>0.2509784230415993</x:v>
      </x:c>
      <x:c r="BN255" s="64" t="n">
        <x:f>-ROUND(AK255*'Drivers'!AE255,3)</x:f>
        <x:v>-138.105</x:v>
      </x:c>
      <x:c r="BO255" s="64" t="n">
        <x:f>BL255+BN255</x:f>
        <x:v>350.2320000000001</x:v>
      </x:c>
      <x:c r="BP255" s="65" t="n">
        <x:f>BO255/AK255</x:f>
        <x:v>0.18000003083670785</x:v>
      </x:c>
    </x:row>
    <x:row r="256">
      <x:c r="A256" s="61" t="n">
        <x:v>2026</x:v>
      </x:c>
      <x:c r="B256" s="18" t="str">
        <x:v>S1</x:v>
      </x:c>
      <x:c r="C256" s="18" t="str">
        <x:v>2026 S1</x:v>
      </x:c>
      <x:c r="D256" s="18" t="str">
        <x:v>CNCT0064</x:v>
      </x:c>
      <x:c r="E256" s="18" t="str">
        <x:v>南京德基广场</x:v>
      </x:c>
      <x:c r="F256" s="18" t="str">
        <x:v>南京</x:v>
      </x:c>
      <x:c r="G256" s="18" t="str">
        <x:v>江苏省</x:v>
      </x:c>
      <x:c r="H256" s="18" t="str">
        <x:v>东区</x:v>
      </x:c>
      <x:c r="I256" s="18" t="str">
        <x:v>Shopping Mall</x:v>
      </x:c>
      <x:c r="J256" s="18" t="str">
        <x:v>Prestige Shopping Center</x:v>
      </x:c>
      <x:c r="K256" s="18" t="str">
        <x:v>正常</x:v>
      </x:c>
      <x:c r="L256" s="62" t="n">
        <x:v>6</x:v>
      </x:c>
      <x:c r="M256" s="62" t="n">
        <x:v>47</x:v>
      </x:c>
      <x:c r="N256" s="63" t="n">
        <x:f>'Drivers'!C256</x:f>
        <x:v>2225</x:v>
      </x:c>
      <x:c r="O256" s="63" t="n">
        <x:f>'Drivers'!D256</x:f>
        <x:v>1305.088</x:v>
      </x:c>
      <x:c r="P256" s="64" t="n">
        <x:f>ROUND(N256*O256/1000,3)</x:f>
        <x:v>2903.821</x:v>
      </x:c>
      <x:c r="Q256" s="64" t="n">
        <x:f>ROUND(P256*'Drivers'!E256,3)</x:f>
        <x:v>2847.88</x:v>
      </x:c>
      <x:c r="R256" s="64" t="n">
        <x:f>-ROUND(Q256*'Drivers'!F256,3)</x:f>
        <x:v>-612.952</x:v>
      </x:c>
      <x:c r="S256" s="65" t="n">
        <x:f>R256/Q256</x:f>
        <x:v>-0.2152309788333778</x:v>
      </x:c>
      <x:c r="T256" s="64" t="n">
        <x:f>-ROUND(Q256*'Drivers'!G256,3)</x:f>
        <x:v>-50.507</x:v>
      </x:c>
      <x:c r="U256" s="65" t="n">
        <x:f>T256/Q256</x:f>
        <x:v>-0.017734946697192295</x:v>
      </x:c>
      <x:c r="V256" s="64" t="n">
        <x:f>-ROUND(Q256*'Drivers'!H256,3)</x:f>
        <x:v>-33.303</x:v>
      </x:c>
      <x:c r="W256" s="64" t="n">
        <x:f>-ROUND(Q256*'Drivers'!I256,3)</x:f>
        <x:v>-20.302</x:v>
      </x:c>
      <x:c r="X256" s="64" t="n">
        <x:f>-ROUND(Q256*'Drivers'!J256,3)</x:f>
        <x:v>-46.697</x:v>
      </x:c>
      <x:c r="Y256" s="64" t="n">
        <x:f>-ROUND(Q256*'Drivers'!K256,3)</x:f>
        <x:v>-23.2</x:v>
      </x:c>
      <x:c r="Z256" s="64" t="n">
        <x:f>-ROUND(Q256*'Drivers'!L256,3)</x:f>
        <x:v>-30.531</x:v>
      </x:c>
      <x:c r="AA256" s="64" t="n">
        <x:f>-ROUND(Q256*'Drivers'!M256,3)</x:f>
        <x:v>-23.363</x:v>
      </x:c>
      <x:c r="AB256" s="64" t="n">
        <x:f>-ROUND(Q256*'Drivers'!N256,3)</x:f>
        <x:v>-24.562</x:v>
      </x:c>
      <x:c r="AC256" s="64" t="n">
        <x:f>SUM(V256:AB256)</x:f>
        <x:v>-201.958</x:v>
      </x:c>
      <x:c r="AD256" s="65" t="n">
        <x:f>AC256/Q256</x:f>
        <x:v>-0.07091520710142281</x:v>
      </x:c>
      <x:c r="AE256" s="64" t="n">
        <x:f>-ROUND(Q256*'Drivers'!O256,3)</x:f>
        <x:v>-21.092</x:v>
      </x:c>
      <x:c r="AF256" s="65" t="n">
        <x:f>AE256/Q256</x:f>
        <x:v>-0.007406210935854038</x:v>
      </x:c>
      <x:c r="AG256" s="64" t="n">
        <x:f>-ROUND(Q256*'Drivers'!P256,3)</x:f>
        <x:v>-7.024</x:v>
      </x:c>
      <x:c r="AH256" s="64" t="n">
        <x:f>-ROUND(Q256*'Drivers'!Q256,3)</x:f>
        <x:v>-18.462</x:v>
      </x:c>
      <x:c r="AI256" s="64" t="n">
        <x:f>SUM(R256,T256,AC256,AE256,AG256,AH256)</x:f>
        <x:v>-911.9949999999999</x:v>
      </x:c>
      <x:c r="AJ256" s="65" t="n">
        <x:f>AI256/Q256</x:f>
        <x:v>-0.3202364565922721</x:v>
      </x:c>
      <x:c r="AK256" s="64" t="n">
        <x:f>Q256+AI256</x:f>
        <x:v>1935.8850000000002</x:v>
      </x:c>
      <x:c r="AL256" s="65" t="n">
        <x:f>AK256/Q256</x:f>
        <x:v>0.6797635434077279</x:v>
      </x:c>
      <x:c r="AM256" s="64" t="n">
        <x:f>AK256/L256</x:f>
        <x:v>322.64750000000004</x:v>
      </x:c>
      <x:c r="AN256" s="66" t="str">
        <x:f>IF(AM256&lt;=200,"≤200K",IF(AM256&lt;=350,"200–350K",IF(AM256&lt;=500,"350–500K",IF(AM256&lt;=700,"500–700K","&gt;700K"))))</x:f>
        <x:v>200–350K</x:v>
      </x:c>
      <x:c r="AO256" s="64" t="n">
        <x:f>-ROUND(Q256*'Drivers'!R256,3)</x:f>
        <x:v>-1007.489</x:v>
      </x:c>
      <x:c r="AP256" s="64" t="n">
        <x:f>-ROUND(AK256*'Drivers'!S256,3)</x:f>
        <x:v>-24.697</x:v>
      </x:c>
      <x:c r="AQ256" s="64" t="n">
        <x:f>-ROUND(AK256*'Drivers'!T256,3)</x:f>
        <x:v>-13.384</x:v>
      </x:c>
      <x:c r="AR256" s="64" t="n">
        <x:f>-ROUND(AK256*'Drivers'!U256,3)</x:f>
        <x:v>-18.995</x:v>
      </x:c>
      <x:c r="AS256" s="64" t="n">
        <x:f>-ROUND(AK256*'Drivers'!V256,3)</x:f>
        <x:v>-68.028</x:v>
      </x:c>
      <x:c r="AT256" s="64" t="n">
        <x:f>SUM(AO256:AS256)</x:f>
        <x:v>-1132.5929999999998</x:v>
      </x:c>
      <x:c r="AU256" s="65" t="n">
        <x:f>AT256/AK256</x:f>
        <x:v>-0.5850517980148613</x:v>
      </x:c>
      <x:c r="AV256" s="64" t="n">
        <x:f>AK256+AT256</x:f>
        <x:v>803.2920000000004</x:v>
      </x:c>
      <x:c r="AW256" s="65" t="n">
        <x:f>AV256/AK256</x:f>
        <x:v>0.4149482019851387</x:v>
      </x:c>
      <x:c r="AX256" s="64" t="n">
        <x:f>-ROUND(AK256*'Drivers'!W256,3)</x:f>
        <x:v>-30.048</x:v>
      </x:c>
      <x:c r="AY256" s="64" t="n">
        <x:f>-ROUND(AK256*'Drivers'!X256,3)</x:f>
        <x:v>-45.65</x:v>
      </x:c>
      <x:c r="AZ256" s="64" t="n">
        <x:f>-ROUND(AK256*'Drivers'!Y256,3)</x:f>
        <x:v>-37.561</x:v>
      </x:c>
      <x:c r="BA256" s="64" t="n">
        <x:f>-ROUND(AK256*'Drivers'!Z256,3)</x:f>
        <x:v>-14.962</x:v>
      </x:c>
      <x:c r="BB256" s="64" t="n">
        <x:f>-ROUND(AK256*'Drivers'!AA256,3)</x:f>
        <x:v>-16.817</x:v>
      </x:c>
      <x:c r="BC256" s="64" t="n">
        <x:f>SUM(BA256,BB256)</x:f>
        <x:v>-31.779</x:v>
      </x:c>
      <x:c r="BD256" s="64" t="n">
        <x:f>-ROUND(AK256*'Drivers'!AB256,3)</x:f>
        <x:v>-15.052</x:v>
      </x:c>
      <x:c r="BE256" s="64" t="n">
        <x:f>SUM(AX256:BB256,BD256)</x:f>
        <x:v>-160.08999999999997</x:v>
      </x:c>
      <x:c r="BF256" s="67" t="n">
        <x:f>'Drivers'!AF256</x:f>
        <x:v>10</x:v>
      </x:c>
      <x:c r="BG256" s="64" t="n">
        <x:f>BJ256</x:f>
        <x:v>-51.199</x:v>
      </x:c>
      <x:c r="BH256" s="64" t="n">
        <x:f>BE256/BF256</x:f>
        <x:v>-16.008999999999997</x:v>
      </x:c>
      <x:c r="BI256" s="68" t="n">
        <x:f>BF256/L256</x:f>
        <x:v>1.6666666666666667</x:v>
      </x:c>
      <x:c r="BJ256" s="64" t="n">
        <x:f>-ROUND(AK256*'Drivers'!AC256,3)</x:f>
        <x:v>-51.199</x:v>
      </x:c>
      <x:c r="BK256" s="64" t="n">
        <x:f>-ROUND(AK256*'Drivers'!AD256,3)</x:f>
        <x:v>-194.108</x:v>
      </x:c>
      <x:c r="BL256" s="64" t="n">
        <x:f>SUM(AV256,BE256,BJ256,BK256)</x:f>
        <x:v>397.8950000000005</x:v>
      </x:c>
      <x:c r="BM256" s="65" t="n">
        <x:f>BL256/AK256</x:f>
        <x:v>0.20553648589663148</x:v>
      </x:c>
      <x:c r="BN256" s="64" t="n">
        <x:f>-ROUND(AK256*'Drivers'!AE256,3)</x:f>
        <x:v>-120.885</x:v>
      </x:c>
      <x:c r="BO256" s="64" t="n">
        <x:f>BL256+BN256</x:f>
        <x:v>277.0100000000005</x:v>
      </x:c>
      <x:c r="BP256" s="65" t="n">
        <x:f>BO256/AK256</x:f>
        <x:v>0.14309217747955094</x:v>
      </x:c>
    </x:row>
    <x:row r="257">
      <x:c r="A257" s="61" t="n">
        <x:v>2026</x:v>
      </x:c>
      <x:c r="B257" s="18" t="str">
        <x:v>S2</x:v>
      </x:c>
      <x:c r="C257" s="18" t="str">
        <x:v>2026 S2</x:v>
      </x:c>
      <x:c r="D257" s="18" t="str">
        <x:v>CNCT0064</x:v>
      </x:c>
      <x:c r="E257" s="18" t="str">
        <x:v>南京德基广场</x:v>
      </x:c>
      <x:c r="F257" s="18" t="str">
        <x:v>南京</x:v>
      </x:c>
      <x:c r="G257" s="18" t="str">
        <x:v>江苏省</x:v>
      </x:c>
      <x:c r="H257" s="18" t="str">
        <x:v>东区</x:v>
      </x:c>
      <x:c r="I257" s="18" t="str">
        <x:v>Shopping Mall</x:v>
      </x:c>
      <x:c r="J257" s="18" t="str">
        <x:v>Prestige Shopping Center</x:v>
      </x:c>
      <x:c r="K257" s="18" t="str">
        <x:v>正常</x:v>
      </x:c>
      <x:c r="L257" s="62" t="n">
        <x:v>6</x:v>
      </x:c>
      <x:c r="M257" s="62" t="n">
        <x:v>46</x:v>
      </x:c>
      <x:c r="N257" s="63" t="n">
        <x:f>'Drivers'!C257</x:f>
        <x:v>2471</x:v>
      </x:c>
      <x:c r="O257" s="63" t="n">
        <x:f>'Drivers'!D257</x:f>
        <x:v>1281.145</x:v>
      </x:c>
      <x:c r="P257" s="64" t="n">
        <x:f>ROUND(N257*O257/1000,3)</x:f>
        <x:v>3165.709</x:v>
      </x:c>
      <x:c r="Q257" s="64" t="n">
        <x:f>ROUND(P257*'Drivers'!E257,3)</x:f>
        <x:v>3093.088</x:v>
      </x:c>
      <x:c r="R257" s="64" t="n">
        <x:f>-ROUND(Q257*'Drivers'!F257,3)</x:f>
        <x:v>-651.568</x:v>
      </x:c>
      <x:c r="S257" s="65" t="n">
        <x:f>R257/Q257</x:f>
        <x:v>-0.21065291385178822</x:v>
      </x:c>
      <x:c r="T257" s="64" t="n">
        <x:f>-ROUND(Q257*'Drivers'!G257,3)</x:f>
        <x:v>-58.165</x:v>
      </x:c>
      <x:c r="U257" s="65" t="n">
        <x:f>T257/Q257</x:f>
        <x:v>-0.018804831934946562</x:v>
      </x:c>
      <x:c r="V257" s="64" t="n">
        <x:f>-ROUND(Q257*'Drivers'!H257,3)</x:f>
        <x:v>-36.17</x:v>
      </x:c>
      <x:c r="W257" s="64" t="n">
        <x:f>-ROUND(Q257*'Drivers'!I257,3)</x:f>
        <x:v>-22.051</x:v>
      </x:c>
      <x:c r="X257" s="64" t="n">
        <x:f>-ROUND(Q257*'Drivers'!J257,3)</x:f>
        <x:v>-50.718</x:v>
      </x:c>
      <x:c r="Y257" s="64" t="n">
        <x:f>-ROUND(Q257*'Drivers'!K257,3)</x:f>
        <x:v>-25.198</x:v>
      </x:c>
      <x:c r="Z257" s="64" t="n">
        <x:f>-ROUND(Q257*'Drivers'!L257,3)</x:f>
        <x:v>-33.16</x:v>
      </x:c>
      <x:c r="AA257" s="64" t="n">
        <x:f>-ROUND(Q257*'Drivers'!M257,3)</x:f>
        <x:v>-25.375</x:v>
      </x:c>
      <x:c r="AB257" s="64" t="n">
        <x:f>-ROUND(Q257*'Drivers'!N257,3)</x:f>
        <x:v>-26.677</x:v>
      </x:c>
      <x:c r="AC257" s="64" t="n">
        <x:f>SUM(V257:AB257)</x:f>
        <x:v>-219.349</x:v>
      </x:c>
      <x:c r="AD257" s="65" t="n">
        <x:f>AC257/Q257</x:f>
        <x:v>-0.0709158614303893</x:v>
      </x:c>
      <x:c r="AE257" s="64" t="n">
        <x:f>-ROUND(Q257*'Drivers'!O257,3)</x:f>
        <x:v>-26.194</x:v>
      </x:c>
      <x:c r="AF257" s="65" t="n">
        <x:f>AE257/Q257</x:f>
        <x:v>-0.0084685595754146</x:v>
      </x:c>
      <x:c r="AG257" s="64" t="n">
        <x:f>-ROUND(Q257*'Drivers'!P257,3)</x:f>
        <x:v>-7.628</x:v>
      </x:c>
      <x:c r="AH257" s="64" t="n">
        <x:f>-ROUND(Q257*'Drivers'!Q257,3)</x:f>
        <x:v>-20.051</x:v>
      </x:c>
      <x:c r="AI257" s="64" t="n">
        <x:f>SUM(R257,T257,AC257,AE257,AG257,AH257)</x:f>
        <x:v>-982.9549999999999</x:v>
      </x:c>
      <x:c r="AJ257" s="65" t="n">
        <x:f>AI257/Q257</x:f>
        <x:v>-0.3177908291002389</x:v>
      </x:c>
      <x:c r="AK257" s="64" t="n">
        <x:f>Q257+AI257</x:f>
        <x:v>2110.1330000000003</x:v>
      </x:c>
      <x:c r="AL257" s="65" t="n">
        <x:f>AK257/Q257</x:f>
        <x:v>0.6822091708997611</x:v>
      </x:c>
      <x:c r="AM257" s="64" t="n">
        <x:f>AK257/L257</x:f>
        <x:v>351.6888333333334</x:v>
      </x:c>
      <x:c r="AN257" s="66" t="str">
        <x:f>IF(AM257&lt;=200,"≤200K",IF(AM257&lt;=350,"200–350K",IF(AM257&lt;=500,"350–500K",IF(AM257&lt;=700,"500–700K","&gt;700K"))))</x:f>
        <x:v>350–500K</x:v>
      </x:c>
      <x:c r="AO257" s="64" t="n">
        <x:f>-ROUND(Q257*'Drivers'!R257,3)</x:f>
        <x:v>-1051.595</x:v>
      </x:c>
      <x:c r="AP257" s="64" t="n">
        <x:f>-ROUND(AK257*'Drivers'!S257,3)</x:f>
        <x:v>-26.92</x:v>
      </x:c>
      <x:c r="AQ257" s="64" t="n">
        <x:f>-ROUND(AK257*'Drivers'!T257,3)</x:f>
        <x:v>-14.588</x:v>
      </x:c>
      <x:c r="AR257" s="64" t="n">
        <x:f>-ROUND(AK257*'Drivers'!U257,3)</x:f>
        <x:v>-20.705</x:v>
      </x:c>
      <x:c r="AS257" s="64" t="n">
        <x:f>-ROUND(AK257*'Drivers'!V257,3)</x:f>
        <x:v>-74.151</x:v>
      </x:c>
      <x:c r="AT257" s="64" t="n">
        <x:f>SUM(AO257:AS257)</x:f>
        <x:v>-1187.959</x:v>
      </x:c>
      <x:c r="AU257" s="65" t="n">
        <x:f>AT257/AK257</x:f>
        <x:v>-0.5629782577685861</x:v>
      </x:c>
      <x:c r="AV257" s="64" t="n">
        <x:f>AK257+AT257</x:f>
        <x:v>922.1740000000002</x:v>
      </x:c>
      <x:c r="AW257" s="65" t="n">
        <x:f>AV257/AK257</x:f>
        <x:v>0.4370217422314139</x:v>
      </x:c>
      <x:c r="AX257" s="64" t="n">
        <x:f>-ROUND(AK257*'Drivers'!W257,3)</x:f>
        <x:v>-28.215</x:v>
      </x:c>
      <x:c r="AY257" s="64" t="n">
        <x:f>-ROUND(AK257*'Drivers'!X257,3)</x:f>
        <x:v>-42.866</x:v>
      </x:c>
      <x:c r="AZ257" s="64" t="n">
        <x:f>-ROUND(AK257*'Drivers'!Y257,3)</x:f>
        <x:v>-35.27</x:v>
      </x:c>
      <x:c r="BA257" s="64" t="n">
        <x:f>-ROUND(AK257*'Drivers'!Z257,3)</x:f>
        <x:v>-14.05</x:v>
      </x:c>
      <x:c r="BB257" s="64" t="n">
        <x:f>-ROUND(AK257*'Drivers'!AA257,3)</x:f>
        <x:v>-15.791</x:v>
      </x:c>
      <x:c r="BC257" s="64" t="n">
        <x:f>SUM(BA257,BB257)</x:f>
        <x:v>-29.841</x:v>
      </x:c>
      <x:c r="BD257" s="64" t="n">
        <x:f>-ROUND(AK257*'Drivers'!AB257,3)</x:f>
        <x:v>-14.134</x:v>
      </x:c>
      <x:c r="BE257" s="64" t="n">
        <x:f>SUM(AX257:BB257,BD257)</x:f>
        <x:v>-150.32600000000002</x:v>
      </x:c>
      <x:c r="BF257" s="67" t="n">
        <x:f>'Drivers'!AF257</x:f>
        <x:v>10</x:v>
      </x:c>
      <x:c r="BG257" s="64" t="n">
        <x:f>BJ257</x:f>
        <x:v>-48.077</x:v>
      </x:c>
      <x:c r="BH257" s="64" t="n">
        <x:f>BE257/BF257</x:f>
        <x:v>-15.032600000000002</x:v>
      </x:c>
      <x:c r="BI257" s="68" t="n">
        <x:f>BF257/L257</x:f>
        <x:v>1.6666666666666667</x:v>
      </x:c>
      <x:c r="BJ257" s="64" t="n">
        <x:f>-ROUND(AK257*'Drivers'!AC257,3)</x:f>
        <x:v>-48.077</x:v>
      </x:c>
      <x:c r="BK257" s="64" t="n">
        <x:f>-ROUND(AK257*'Drivers'!AD257,3)</x:f>
        <x:v>-211.58</x:v>
      </x:c>
      <x:c r="BL257" s="64" t="n">
        <x:f>SUM(AV257,BE257,BJ257,BK257)</x:f>
        <x:v>512.1910000000001</x:v>
      </x:c>
      <x:c r="BM257" s="65" t="n">
        <x:f>BL257/AK257</x:f>
        <x:v>0.24272924976766871</x:v>
      </x:c>
      <x:c r="BN257" s="64" t="n">
        <x:f>-ROUND(AK257*'Drivers'!AE257,3)</x:f>
        <x:v>-149.774</x:v>
      </x:c>
      <x:c r="BO257" s="64" t="n">
        <x:f>BL257+BN257</x:f>
        <x:v>362.41700000000014</x:v>
      </x:c>
      <x:c r="BP257" s="65" t="n">
        <x:f>BO257/AK257</x:f>
        <x:v>0.17175078537703553</x:v>
      </x:c>
    </x:row>
    <x:row r="258">
      <x:c r="A258" s="61" t="n">
        <x:v>2025</x:v>
      </x:c>
      <x:c r="B258" s="18" t="str">
        <x:v>S1</x:v>
      </x:c>
      <x:c r="C258" s="18" t="str">
        <x:v>2025 S1</x:v>
      </x:c>
      <x:c r="D258" s="18" t="str">
        <x:v>CNCT0065</x:v>
      </x:c>
      <x:c r="E258" s="18" t="str">
        <x:v>南京金鹰国际新街口店</x:v>
      </x:c>
      <x:c r="F258" s="18" t="str">
        <x:v>南京</x:v>
      </x:c>
      <x:c r="G258" s="18" t="str">
        <x:v>江苏省</x:v>
      </x:c>
      <x:c r="H258" s="18" t="str">
        <x:v>东区</x:v>
      </x:c>
      <x:c r="I258" s="18" t="str">
        <x:v>Department Store</x:v>
      </x:c>
      <x:c r="J258" s="18" t="str">
        <x:v>Core Shopping Center</x:v>
      </x:c>
      <x:c r="K258" s="18" t="str">
        <x:v>正常</x:v>
      </x:c>
      <x:c r="L258" s="62" t="n">
        <x:v>5</x:v>
      </x:c>
      <x:c r="M258" s="62" t="n">
        <x:v>47</x:v>
      </x:c>
      <x:c r="N258" s="63" t="n">
        <x:f>'Drivers'!C258</x:f>
        <x:v>1786</x:v>
      </x:c>
      <x:c r="O258" s="63" t="n">
        <x:f>'Drivers'!D258</x:f>
        <x:v>1136.93</x:v>
      </x:c>
      <x:c r="P258" s="64" t="n">
        <x:f>ROUND(N258*O258/1000,3)</x:f>
        <x:v>2030.557</x:v>
      </x:c>
      <x:c r="Q258" s="64" t="n">
        <x:f>ROUND(P258*'Drivers'!E258,3)</x:f>
        <x:v>1962.246</x:v>
      </x:c>
      <x:c r="R258" s="64" t="n">
        <x:f>-ROUND(Q258*'Drivers'!F258,3)</x:f>
        <x:v>-372.865</x:v>
      </x:c>
      <x:c r="S258" s="65" t="n">
        <x:f>R258/Q258</x:f>
        <x:v>-0.19001949806497248</x:v>
      </x:c>
      <x:c r="T258" s="64" t="n">
        <x:f>-ROUND(Q258*'Drivers'!G258,3)</x:f>
        <x:v>-37.027</x:v>
      </x:c>
      <x:c r="U258" s="65" t="n">
        <x:f>T258/Q258</x:f>
        <x:v>-0.018869703390910212</x:v>
      </x:c>
      <x:c r="V258" s="64" t="n">
        <x:f>-ROUND(Q258*'Drivers'!H258,3)</x:f>
        <x:v>-16.886</x:v>
      </x:c>
      <x:c r="W258" s="64" t="n">
        <x:f>-ROUND(Q258*'Drivers'!I258,3)</x:f>
        <x:v>-11.451</x:v>
      </x:c>
      <x:c r="X258" s="64" t="n">
        <x:f>-ROUND(Q258*'Drivers'!J258,3)</x:f>
        <x:v>-30.285</x:v>
      </x:c>
      <x:c r="Y258" s="64" t="n">
        <x:f>-ROUND(Q258*'Drivers'!K258,3)</x:f>
        <x:v>-26.061</x:v>
      </x:c>
      <x:c r="Z258" s="64" t="n">
        <x:f>-ROUND(Q258*'Drivers'!L258,3)</x:f>
        <x:v>-18.409</x:v>
      </x:c>
      <x:c r="AA258" s="64" t="n">
        <x:f>-ROUND(Q258*'Drivers'!M258,3)</x:f>
        <x:v>-16.689</x:v>
      </x:c>
      <x:c r="AB258" s="64" t="n">
        <x:f>-ROUND(Q258*'Drivers'!N258,3)</x:f>
        <x:v>-14.154</x:v>
      </x:c>
      <x:c r="AC258" s="64" t="n">
        <x:f>SUM(V258:AB258)</x:f>
        <x:v>-133.93499999999997</x:v>
      </x:c>
      <x:c r="AD258" s="65" t="n">
        <x:f>AC258/Q258</x:f>
        <x:v>-0.06825596790616466</x:v>
      </x:c>
      <x:c r="AE258" s="64" t="n">
        <x:f>-ROUND(Q258*'Drivers'!O258,3)</x:f>
        <x:v>-19.457</x:v>
      </x:c>
      <x:c r="AF258" s="65" t="n">
        <x:f>AE258/Q258</x:f>
        <x:v>-0.00991567825848543</x:v>
      </x:c>
      <x:c r="AG258" s="64" t="n">
        <x:f>-ROUND(Q258*'Drivers'!P258,3)</x:f>
        <x:v>-2.692</x:v>
      </x:c>
      <x:c r="AH258" s="64" t="n">
        <x:f>-ROUND(Q258*'Drivers'!Q258,3)</x:f>
        <x:v>-5.559</x:v>
      </x:c>
      <x:c r="AI258" s="64" t="n">
        <x:f>SUM(R258,T258,AC258,AE258,AG258,AH258)</x:f>
        <x:v>-571.535</x:v>
      </x:c>
      <x:c r="AJ258" s="65" t="n">
        <x:f>AI258/Q258</x:f>
        <x:v>-0.29126572305409204</x:v>
      </x:c>
      <x:c r="AK258" s="64" t="n">
        <x:f>Q258+AI258</x:f>
        <x:v>1390.7110000000002</x:v>
      </x:c>
      <x:c r="AL258" s="65" t="n">
        <x:f>AK258/Q258</x:f>
        <x:v>0.708734276945908</x:v>
      </x:c>
      <x:c r="AM258" s="64" t="n">
        <x:f>AK258/L258</x:f>
        <x:v>278.14220000000006</x:v>
      </x:c>
      <x:c r="AN258" s="66" t="str">
        <x:f>IF(AM258&lt;=200,"≤200K",IF(AM258&lt;=350,"200–350K",IF(AM258&lt;=500,"350–500K",IF(AM258&lt;=700,"500–700K","&gt;700K"))))</x:f>
        <x:v>200–350K</x:v>
      </x:c>
      <x:c r="AO258" s="64" t="n">
        <x:f>-ROUND(Q258*'Drivers'!R258,3)</x:f>
        <x:v>-747.716</x:v>
      </x:c>
      <x:c r="AP258" s="64" t="n">
        <x:f>-ROUND(AK258*'Drivers'!S258,3)</x:f>
        <x:v>-16.644</x:v>
      </x:c>
      <x:c r="AQ258" s="64" t="n">
        <x:f>-ROUND(AK258*'Drivers'!T258,3)</x:f>
        <x:v>-9.568</x:v>
      </x:c>
      <x:c r="AR258" s="64" t="n">
        <x:f>-ROUND(AK258*'Drivers'!U258,3)</x:f>
        <x:v>-9.983</x:v>
      </x:c>
      <x:c r="AS258" s="64" t="n">
        <x:f>-ROUND(AK258*'Drivers'!V258,3)</x:f>
        <x:v>-44.244</x:v>
      </x:c>
      <x:c r="AT258" s="64" t="n">
        <x:f>SUM(AO258:AS258)</x:f>
        <x:v>-828.155</x:v>
      </x:c>
      <x:c r="AU258" s="65" t="n">
        <x:f>AT258/AK258</x:f>
        <x:v>-0.595490364281292</x:v>
      </x:c>
      <x:c r="AV258" s="64" t="n">
        <x:f>AK258+AT258</x:f>
        <x:v>562.5560000000003</x:v>
      </x:c>
      <x:c r="AW258" s="65" t="n">
        <x:f>AV258/AK258</x:f>
        <x:v>0.404509635718708</x:v>
      </x:c>
      <x:c r="AX258" s="64" t="n">
        <x:f>-ROUND(AK258*'Drivers'!W258,3)</x:f>
        <x:v>-19.458</x:v>
      </x:c>
      <x:c r="AY258" s="64" t="n">
        <x:f>-ROUND(AK258*'Drivers'!X258,3)</x:f>
        <x:v>-37.27</x:v>
      </x:c>
      <x:c r="AZ258" s="64" t="n">
        <x:f>-ROUND(AK258*'Drivers'!Y258,3)</x:f>
        <x:v>-20.909</x:v>
      </x:c>
      <x:c r="BA258" s="64" t="n">
        <x:f>-ROUND(AK258*'Drivers'!Z258,3)</x:f>
        <x:v>-6.514</x:v>
      </x:c>
      <x:c r="BB258" s="64" t="n">
        <x:f>-ROUND(AK258*'Drivers'!AA258,3)</x:f>
        <x:v>-6.982</x:v>
      </x:c>
      <x:c r="BC258" s="64" t="n">
        <x:f>SUM(BA258,BB258)</x:f>
        <x:v>-13.496</x:v>
      </x:c>
      <x:c r="BD258" s="64" t="n">
        <x:f>-ROUND(AK258*'Drivers'!AB258,3)</x:f>
        <x:v>-9.584</x:v>
      </x:c>
      <x:c r="BE258" s="64" t="n">
        <x:f>SUM(AX258:BB258,BD258)</x:f>
        <x:v>-100.717</x:v>
      </x:c>
      <x:c r="BF258" s="67" t="n">
        <x:f>'Drivers'!AF258</x:f>
        <x:v>9</x:v>
      </x:c>
      <x:c r="BG258" s="64" t="n">
        <x:f>BJ258</x:f>
        <x:v>-31.005</x:v>
      </x:c>
      <x:c r="BH258" s="64" t="n">
        <x:f>BE258/BF258</x:f>
        <x:v>-11.190777777777777</x:v>
      </x:c>
      <x:c r="BI258" s="68" t="n">
        <x:f>BF258/L258</x:f>
        <x:v>1.8</x:v>
      </x:c>
      <x:c r="BJ258" s="64" t="n">
        <x:f>-ROUND(AK258*'Drivers'!AC258,3)</x:f>
        <x:v>-31.005</x:v>
      </x:c>
      <x:c r="BK258" s="64" t="n">
        <x:f>-ROUND(AK258*'Drivers'!AD258,3)</x:f>
        <x:v>-125.275</x:v>
      </x:c>
      <x:c r="BL258" s="64" t="n">
        <x:f>SUM(AV258,BE258,BJ258,BK258)</x:f>
        <x:v>305.5590000000003</x:v>
      </x:c>
      <x:c r="BM258" s="65" t="n">
        <x:f>BL258/AK258</x:f>
        <x:v>0.21971423250409342</x:v>
      </x:c>
      <x:c r="BN258" s="64" t="n">
        <x:f>-ROUND(AK258*'Drivers'!AE258,3)</x:f>
        <x:v>-111.266</x:v>
      </x:c>
      <x:c r="BO258" s="64" t="n">
        <x:f>BL258+BN258</x:f>
        <x:v>194.2930000000003</x:v>
      </x:c>
      <x:c r="BP258" s="65" t="n">
        <x:f>BO258/AK258</x:f>
        <x:v>0.13970767470739806</x:v>
      </x:c>
    </x:row>
    <x:row r="259">
      <x:c r="A259" s="61" t="n">
        <x:v>2025</x:v>
      </x:c>
      <x:c r="B259" s="18" t="str">
        <x:v>S2</x:v>
      </x:c>
      <x:c r="C259" s="18" t="str">
        <x:v>2025 S2</x:v>
      </x:c>
      <x:c r="D259" s="18" t="str">
        <x:v>CNCT0065</x:v>
      </x:c>
      <x:c r="E259" s="18" t="str">
        <x:v>南京金鹰国际新街口店</x:v>
      </x:c>
      <x:c r="F259" s="18" t="str">
        <x:v>南京</x:v>
      </x:c>
      <x:c r="G259" s="18" t="str">
        <x:v>江苏省</x:v>
      </x:c>
      <x:c r="H259" s="18" t="str">
        <x:v>东区</x:v>
      </x:c>
      <x:c r="I259" s="18" t="str">
        <x:v>Department Store</x:v>
      </x:c>
      <x:c r="J259" s="18" t="str">
        <x:v>Core Shopping Center</x:v>
      </x:c>
      <x:c r="K259" s="18" t="str">
        <x:v>正常</x:v>
      </x:c>
      <x:c r="L259" s="62" t="n">
        <x:v>5</x:v>
      </x:c>
      <x:c r="M259" s="62" t="n">
        <x:v>47</x:v>
      </x:c>
      <x:c r="N259" s="63" t="n">
        <x:f>'Drivers'!C259</x:f>
        <x:v>1932</x:v>
      </x:c>
      <x:c r="O259" s="63" t="n">
        <x:f>'Drivers'!D259</x:f>
        <x:v>1150.573</x:v>
      </x:c>
      <x:c r="P259" s="64" t="n">
        <x:f>ROUND(N259*O259/1000,3)</x:f>
        <x:v>2222.907</x:v>
      </x:c>
      <x:c r="Q259" s="64" t="n">
        <x:f>ROUND(P259*'Drivers'!E259,3)</x:f>
        <x:v>2146.833</x:v>
      </x:c>
      <x:c r="R259" s="64" t="n">
        <x:f>-ROUND(Q259*'Drivers'!F259,3)</x:f>
        <x:v>-407.94</x:v>
      </x:c>
      <x:c r="S259" s="65" t="n">
        <x:f>R259/Q259</x:f>
        <x:v>-0.19001943793485565</x:v>
      </x:c>
      <x:c r="T259" s="64" t="n">
        <x:f>-ROUND(Q259*'Drivers'!G259,3)</x:f>
        <x:v>-40.511</x:v>
      </x:c>
      <x:c r="U259" s="65" t="n">
        <x:f>T259/Q259</x:f>
        <x:v>-0.018870121709513504</x:v>
      </x:c>
      <x:c r="V259" s="64" t="n">
        <x:f>-ROUND(Q259*'Drivers'!H259,3)</x:f>
        <x:v>-18.475</x:v>
      </x:c>
      <x:c r="W259" s="64" t="n">
        <x:f>-ROUND(Q259*'Drivers'!I259,3)</x:f>
        <x:v>-12.528</x:v>
      </x:c>
      <x:c r="X259" s="64" t="n">
        <x:f>-ROUND(Q259*'Drivers'!J259,3)</x:f>
        <x:v>-33.134</x:v>
      </x:c>
      <x:c r="Y259" s="64" t="n">
        <x:f>-ROUND(Q259*'Drivers'!K259,3)</x:f>
        <x:v>-28.513</x:v>
      </x:c>
      <x:c r="Z259" s="64" t="n">
        <x:f>-ROUND(Q259*'Drivers'!L259,3)</x:f>
        <x:v>-20.14</x:v>
      </x:c>
      <x:c r="AA259" s="64" t="n">
        <x:f>-ROUND(Q259*'Drivers'!M259,3)</x:f>
        <x:v>-18.258</x:v>
      </x:c>
      <x:c r="AB259" s="64" t="n">
        <x:f>-ROUND(Q259*'Drivers'!N259,3)</x:f>
        <x:v>-15.486</x:v>
      </x:c>
      <x:c r="AC259" s="64" t="n">
        <x:f>SUM(V259:AB259)</x:f>
        <x:v>-146.534</x:v>
      </x:c>
      <x:c r="AD259" s="65" t="n">
        <x:f>AC259/Q259</x:f>
        <x:v>-0.06825589135251786</x:v>
      </x:c>
      <x:c r="AE259" s="64" t="n">
        <x:f>-ROUND(Q259*'Drivers'!O259,3)</x:f>
        <x:v>-21.287</x:v>
      </x:c>
      <x:c r="AF259" s="65" t="n">
        <x:f>AE259/Q259</x:f>
        <x:v>-0.009915536047750336</x:v>
      </x:c>
      <x:c r="AG259" s="64" t="n">
        <x:f>-ROUND(Q259*'Drivers'!P259,3)</x:f>
        <x:v>-2.945</x:v>
      </x:c>
      <x:c r="AH259" s="64" t="n">
        <x:f>-ROUND(Q259*'Drivers'!Q259,3)</x:f>
        <x:v>-6.082</x:v>
      </x:c>
      <x:c r="AI259" s="64" t="n">
        <x:f>SUM(R259,T259,AC259,AE259,AG259,AH259)</x:f>
        <x:v>-625.2990000000001</x:v>
      </x:c>
      <x:c r="AJ259" s="65" t="n">
        <x:f>AI259/Q259</x:f>
        <x:v>-0.2912657854616545</x:v>
      </x:c>
      <x:c r="AK259" s="64" t="n">
        <x:f>Q259+AI259</x:f>
        <x:v>1521.534</x:v>
      </x:c>
      <x:c r="AL259" s="65" t="n">
        <x:f>AK259/Q259</x:f>
        <x:v>0.7087342145383456</x:v>
      </x:c>
      <x:c r="AM259" s="64" t="n">
        <x:f>AK259/L259</x:f>
        <x:v>304.3068</x:v>
      </x:c>
      <x:c r="AN259" s="66" t="str">
        <x:f>IF(AM259&lt;=200,"≤200K",IF(AM259&lt;=350,"200–350K",IF(AM259&lt;=500,"350–500K",IF(AM259&lt;=700,"500–700K","&gt;700K"))))</x:f>
        <x:v>200–350K</x:v>
      </x:c>
      <x:c r="AO259" s="64" t="n">
        <x:f>-ROUND(Q259*'Drivers'!R259,3)</x:f>
        <x:v>-766.538</x:v>
      </x:c>
      <x:c r="AP259" s="64" t="n">
        <x:f>-ROUND(AK259*'Drivers'!S259,3)</x:f>
        <x:v>-18.209</x:v>
      </x:c>
      <x:c r="AQ259" s="64" t="n">
        <x:f>-ROUND(AK259*'Drivers'!T259,3)</x:f>
        <x:v>-10.469</x:v>
      </x:c>
      <x:c r="AR259" s="64" t="n">
        <x:f>-ROUND(AK259*'Drivers'!U259,3)</x:f>
        <x:v>-10.923</x:v>
      </x:c>
      <x:c r="AS259" s="64" t="n">
        <x:f>-ROUND(AK259*'Drivers'!V259,3)</x:f>
        <x:v>-48.405</x:v>
      </x:c>
      <x:c r="AT259" s="64" t="n">
        <x:f>SUM(AO259:AS259)</x:f>
        <x:v>-854.544</x:v>
      </x:c>
      <x:c r="AU259" s="65" t="n">
        <x:f>AT259/AK259</x:f>
        <x:v>-0.5616331938688192</x:v>
      </x:c>
      <x:c r="AV259" s="64" t="n">
        <x:f>AK259+AT259</x:f>
        <x:v>666.9900000000001</x:v>
      </x:c>
      <x:c r="AW259" s="65" t="n">
        <x:f>AV259/AK259</x:f>
        <x:v>0.43836680613118084</x:v>
      </x:c>
      <x:c r="AX259" s="64" t="n">
        <x:f>-ROUND(AK259*'Drivers'!W259,3)</x:f>
        <x:v>-21.289</x:v>
      </x:c>
      <x:c r="AY259" s="64" t="n">
        <x:f>-ROUND(AK259*'Drivers'!X259,3)</x:f>
        <x:v>-40.776</x:v>
      </x:c>
      <x:c r="AZ259" s="64" t="n">
        <x:f>-ROUND(AK259*'Drivers'!Y259,3)</x:f>
        <x:v>-22.876</x:v>
      </x:c>
      <x:c r="BA259" s="64" t="n">
        <x:f>-ROUND(AK259*'Drivers'!Z259,3)</x:f>
        <x:v>-7.127</x:v>
      </x:c>
      <x:c r="BB259" s="64" t="n">
        <x:f>-ROUND(AK259*'Drivers'!AA259,3)</x:f>
        <x:v>-7.638</x:v>
      </x:c>
      <x:c r="BC259" s="64" t="n">
        <x:f>SUM(BA259,BB259)</x:f>
        <x:v>-14.765</x:v>
      </x:c>
      <x:c r="BD259" s="64" t="n">
        <x:f>-ROUND(AK259*'Drivers'!AB259,3)</x:f>
        <x:v>-10.485</x:v>
      </x:c>
      <x:c r="BE259" s="64" t="n">
        <x:f>SUM(AX259:BB259,BD259)</x:f>
        <x:v>-110.191</x:v>
      </x:c>
      <x:c r="BF259" s="67" t="n">
        <x:f>'Drivers'!AF259</x:f>
        <x:v>9</x:v>
      </x:c>
      <x:c r="BG259" s="64" t="n">
        <x:f>BJ259</x:f>
        <x:v>-33.921</x:v>
      </x:c>
      <x:c r="BH259" s="64" t="n">
        <x:f>BE259/BF259</x:f>
        <x:v>-12.243444444444444</x:v>
      </x:c>
      <x:c r="BI259" s="68" t="n">
        <x:f>BF259/L259</x:f>
        <x:v>1.8</x:v>
      </x:c>
      <x:c r="BJ259" s="64" t="n">
        <x:f>-ROUND(AK259*'Drivers'!AC259,3)</x:f>
        <x:v>-33.921</x:v>
      </x:c>
      <x:c r="BK259" s="64" t="n">
        <x:f>-ROUND(AK259*'Drivers'!AD259,3)</x:f>
        <x:v>-137.059</x:v>
      </x:c>
      <x:c r="BL259" s="64" t="n">
        <x:f>SUM(AV259,BE259,BJ259,BK259)</x:f>
        <x:v>385.8190000000001</x:v>
      </x:c>
      <x:c r="BM259" s="65" t="n">
        <x:f>BL259/AK259</x:f>
        <x:v>0.25357238155703393</x:v>
      </x:c>
      <x:c r="BN259" s="64" t="n">
        <x:f>-ROUND(AK259*'Drivers'!AE259,3)</x:f>
        <x:v>-121.732</x:v>
      </x:c>
      <x:c r="BO259" s="64" t="n">
        <x:f>BL259+BN259</x:f>
        <x:v>264.0870000000001</x:v>
      </x:c>
      <x:c r="BP259" s="65" t="n">
        <x:f>BO259/AK259</x:f>
        <x:v>0.17356628244915992</x:v>
      </x:c>
    </x:row>
    <x:row r="260">
      <x:c r="A260" s="61" t="n">
        <x:v>2026</x:v>
      </x:c>
      <x:c r="B260" s="18" t="str">
        <x:v>S1</x:v>
      </x:c>
      <x:c r="C260" s="18" t="str">
        <x:v>2026 S1</x:v>
      </x:c>
      <x:c r="D260" s="18" t="str">
        <x:v>CNCT0065</x:v>
      </x:c>
      <x:c r="E260" s="18" t="str">
        <x:v>南京金鹰国际新街口店</x:v>
      </x:c>
      <x:c r="F260" s="18" t="str">
        <x:v>南京</x:v>
      </x:c>
      <x:c r="G260" s="18" t="str">
        <x:v>江苏省</x:v>
      </x:c>
      <x:c r="H260" s="18" t="str">
        <x:v>东区</x:v>
      </x:c>
      <x:c r="I260" s="18" t="str">
        <x:v>Department Store</x:v>
      </x:c>
      <x:c r="J260" s="18" t="str">
        <x:v>Core Shopping Center</x:v>
      </x:c>
      <x:c r="K260" s="18" t="str">
        <x:v>正常</x:v>
      </x:c>
      <x:c r="L260" s="62" t="n">
        <x:v>5</x:v>
      </x:c>
      <x:c r="M260" s="62" t="n">
        <x:v>47</x:v>
      </x:c>
      <x:c r="N260" s="63" t="n">
        <x:f>'Drivers'!C260</x:f>
        <x:v>1877</x:v>
      </x:c>
      <x:c r="O260" s="63" t="n">
        <x:f>'Drivers'!D260</x:f>
        <x:v>1191.671</x:v>
      </x:c>
      <x:c r="P260" s="64" t="n">
        <x:f>ROUND(N260*O260/1000,3)</x:f>
        <x:v>2236.766</x:v>
      </x:c>
      <x:c r="Q260" s="64" t="n">
        <x:f>ROUND(P260*'Drivers'!E260,3)</x:f>
        <x:v>2154.655</x:v>
      </x:c>
      <x:c r="R260" s="64" t="n">
        <x:f>-ROUND(Q260*'Drivers'!F260,3)</x:f>
        <x:v>-411.203</x:v>
      </x:c>
      <x:c r="S260" s="65" t="n">
        <x:f>R260/Q260</x:f>
        <x:v>-0.19084400982987992</x:v>
      </x:c>
      <x:c r="T260" s="64" t="n">
        <x:f>-ROUND(Q260*'Drivers'!G260,3)</x:f>
        <x:v>-38.654</x:v>
      </x:c>
      <x:c r="U260" s="65" t="n">
        <x:f>T260/Q260</x:f>
        <x:v>-0.017939762978295828</x:v>
      </x:c>
      <x:c r="V260" s="64" t="n">
        <x:f>-ROUND(Q260*'Drivers'!H260,3)</x:f>
        <x:v>-18.542</x:v>
      </x:c>
      <x:c r="W260" s="64" t="n">
        <x:f>-ROUND(Q260*'Drivers'!I260,3)</x:f>
        <x:v>-12.574</x:v>
      </x:c>
      <x:c r="X260" s="64" t="n">
        <x:f>-ROUND(Q260*'Drivers'!J260,3)</x:f>
        <x:v>-33.255</x:v>
      </x:c>
      <x:c r="Y260" s="64" t="n">
        <x:f>-ROUND(Q260*'Drivers'!K260,3)</x:f>
        <x:v>-28.616</x:v>
      </x:c>
      <x:c r="Z260" s="64" t="n">
        <x:f>-ROUND(Q260*'Drivers'!L260,3)</x:f>
        <x:v>-20.214</x:v>
      </x:c>
      <x:c r="AA260" s="64" t="n">
        <x:f>-ROUND(Q260*'Drivers'!M260,3)</x:f>
        <x:v>-18.325</x:v>
      </x:c>
      <x:c r="AB260" s="64" t="n">
        <x:f>-ROUND(Q260*'Drivers'!N260,3)</x:f>
        <x:v>-15.542</x:v>
      </x:c>
      <x:c r="AC260" s="64" t="n">
        <x:f>SUM(V260:AB260)</x:f>
        <x:v>-147.068</x:v>
      </x:c>
      <x:c r="AD260" s="65" t="n">
        <x:f>AC260/Q260</x:f>
        <x:v>-0.06825593888580771</x:v>
      </x:c>
      <x:c r="AE260" s="64" t="n">
        <x:f>-ROUND(Q260*'Drivers'!O260,3)</x:f>
        <x:v>-25.575</x:v>
      </x:c>
      <x:c r="AF260" s="65" t="n">
        <x:f>AE260/Q260</x:f>
        <x:v>-0.011869649665491689</x:v>
      </x:c>
      <x:c r="AG260" s="64" t="n">
        <x:f>-ROUND(Q260*'Drivers'!P260,3)</x:f>
        <x:v>-2.956</x:v>
      </x:c>
      <x:c r="AH260" s="64" t="n">
        <x:f>-ROUND(Q260*'Drivers'!Q260,3)</x:f>
        <x:v>-6.104</x:v>
      </x:c>
      <x:c r="AI260" s="64" t="n">
        <x:f>SUM(R260,T260,AC260,AE260,AG260,AH260)</x:f>
        <x:v>-631.5600000000001</x:v>
      </x:c>
      <x:c r="AJ260" s="65" t="n">
        <x:f>AI260/Q260</x:f>
        <x:v>-0.2931142108597432</x:v>
      </x:c>
      <x:c r="AK260" s="64" t="n">
        <x:f>Q260+AI260</x:f>
        <x:v>1523.0950000000003</x:v>
      </x:c>
      <x:c r="AL260" s="65" t="n">
        <x:f>AK260/Q260</x:f>
        <x:v>0.7068857891402568</x:v>
      </x:c>
      <x:c r="AM260" s="64" t="n">
        <x:f>AK260/L260</x:f>
        <x:v>304.619</x:v>
      </x:c>
      <x:c r="AN260" s="66" t="str">
        <x:f>IF(AM260&lt;=200,"≤200K",IF(AM260&lt;=350,"200–350K",IF(AM260&lt;=500,"350–500K",IF(AM260&lt;=700,"500–700K","&gt;700K"))))</x:f>
        <x:v>200–350K</x:v>
      </x:c>
      <x:c r="AO260" s="64" t="n">
        <x:f>-ROUND(Q260*'Drivers'!R260,3)</x:f>
        <x:v>-816.68</x:v>
      </x:c>
      <x:c r="AP260" s="64" t="n">
        <x:f>-ROUND(AK260*'Drivers'!S260,3)</x:f>
        <x:v>-18.228</x:v>
      </x:c>
      <x:c r="AQ260" s="64" t="n">
        <x:f>-ROUND(AK260*'Drivers'!T260,3)</x:f>
        <x:v>-10.479</x:v>
      </x:c>
      <x:c r="AR260" s="64" t="n">
        <x:f>-ROUND(AK260*'Drivers'!U260,3)</x:f>
        <x:v>-10.934</x:v>
      </x:c>
      <x:c r="AS260" s="64" t="n">
        <x:f>-ROUND(AK260*'Drivers'!V260,3)</x:f>
        <x:v>-48.455</x:v>
      </x:c>
      <x:c r="AT260" s="64" t="n">
        <x:f>SUM(AO260:AS260)</x:f>
        <x:v>-904.776</x:v>
      </x:c>
      <x:c r="AU260" s="65" t="n">
        <x:f>AT260/AK260</x:f>
        <x:v>-0.5940377980362354</x:v>
      </x:c>
      <x:c r="AV260" s="64" t="n">
        <x:f>AK260+AT260</x:f>
        <x:v>618.3190000000003</x:v>
      </x:c>
      <x:c r="AW260" s="65" t="n">
        <x:f>AV260/AK260</x:f>
        <x:v>0.4059622019637647</x:v>
      </x:c>
      <x:c r="AX260" s="64" t="n">
        <x:f>-ROUND(AK260*'Drivers'!W260,3)</x:f>
        <x:v>-26.221</x:v>
      </x:c>
      <x:c r="AY260" s="64" t="n">
        <x:f>-ROUND(AK260*'Drivers'!X260,3)</x:f>
        <x:v>-50.224</x:v>
      </x:c>
      <x:c r="AZ260" s="64" t="n">
        <x:f>-ROUND(AK260*'Drivers'!Y260,3)</x:f>
        <x:v>-28.177</x:v>
      </x:c>
      <x:c r="BA260" s="64" t="n">
        <x:f>-ROUND(AK260*'Drivers'!Z260,3)</x:f>
        <x:v>-8.778</x:v>
      </x:c>
      <x:c r="BB260" s="64" t="n">
        <x:f>-ROUND(AK260*'Drivers'!AA260,3)</x:f>
        <x:v>-9.408</x:v>
      </x:c>
      <x:c r="BC260" s="64" t="n">
        <x:f>SUM(BA260,BB260)</x:f>
        <x:v>-18.186</x:v>
      </x:c>
      <x:c r="BD260" s="64" t="n">
        <x:f>-ROUND(AK260*'Drivers'!AB260,3)</x:f>
        <x:v>-12.915</x:v>
      </x:c>
      <x:c r="BE260" s="64" t="n">
        <x:f>SUM(AX260:BB260,BD260)</x:f>
        <x:v>-135.72299999999998</x:v>
      </x:c>
      <x:c r="BF260" s="67" t="n">
        <x:f>'Drivers'!AF260</x:f>
        <x:v>9</x:v>
      </x:c>
      <x:c r="BG260" s="64" t="n">
        <x:f>BJ260</x:f>
        <x:v>-41.782</x:v>
      </x:c>
      <x:c r="BH260" s="64" t="n">
        <x:f>BE260/BF260</x:f>
        <x:v>-15.080333333333332</x:v>
      </x:c>
      <x:c r="BI260" s="68" t="n">
        <x:f>BF260/L260</x:f>
        <x:v>1.8</x:v>
      </x:c>
      <x:c r="BJ260" s="64" t="n">
        <x:f>-ROUND(AK260*'Drivers'!AC260,3)</x:f>
        <x:v>-41.782</x:v>
      </x:c>
      <x:c r="BK260" s="64" t="n">
        <x:f>-ROUND(AK260*'Drivers'!AD260,3)</x:f>
        <x:v>-137.2</x:v>
      </x:c>
      <x:c r="BL260" s="64" t="n">
        <x:f>SUM(AV260,BE260,BJ260,BK260)</x:f>
        <x:v>303.6140000000004</x:v>
      </x:c>
      <x:c r="BM260" s="65" t="n">
        <x:f>BL260/AK260</x:f>
        <x:v>0.19934015934659383</x:v>
      </x:c>
      <x:c r="BN260" s="64" t="n">
        <x:f>-ROUND(AK260*'Drivers'!AE260,3)</x:f>
        <x:v>-121.857</x:v>
      </x:c>
      <x:c r="BO260" s="64" t="n">
        <x:f>BL260+BN260</x:f>
        <x:v>181.75700000000037</x:v>
      </x:c>
      <x:c r="BP260" s="65" t="n">
        <x:f>BO260/AK260</x:f>
        <x:v>0.11933398770267144</x:v>
      </x:c>
    </x:row>
    <x:row r="261">
      <x:c r="A261" s="61" t="n">
        <x:v>2026</x:v>
      </x:c>
      <x:c r="B261" s="18" t="str">
        <x:v>S2</x:v>
      </x:c>
      <x:c r="C261" s="18" t="str">
        <x:v>2026 S2</x:v>
      </x:c>
      <x:c r="D261" s="18" t="str">
        <x:v>CNCT0065</x:v>
      </x:c>
      <x:c r="E261" s="18" t="str">
        <x:v>南京金鹰国际新街口店</x:v>
      </x:c>
      <x:c r="F261" s="18" t="str">
        <x:v>南京</x:v>
      </x:c>
      <x:c r="G261" s="18" t="str">
        <x:v>江苏省</x:v>
      </x:c>
      <x:c r="H261" s="18" t="str">
        <x:v>东区</x:v>
      </x:c>
      <x:c r="I261" s="18" t="str">
        <x:v>Department Store</x:v>
      </x:c>
      <x:c r="J261" s="18" t="str">
        <x:v>Core Shopping Center</x:v>
      </x:c>
      <x:c r="K261" s="18" t="str">
        <x:v>正常</x:v>
      </x:c>
      <x:c r="L261" s="62" t="n">
        <x:v>5</x:v>
      </x:c>
      <x:c r="M261" s="62" t="n">
        <x:v>46</x:v>
      </x:c>
      <x:c r="N261" s="63" t="n">
        <x:f>'Drivers'!C261</x:f>
        <x:v>2029</x:v>
      </x:c>
      <x:c r="O261" s="63" t="n">
        <x:f>'Drivers'!D261</x:f>
        <x:v>1196.039</x:v>
      </x:c>
      <x:c r="P261" s="64" t="n">
        <x:f>ROUND(N261*O261/1000,3)</x:f>
        <x:v>2426.763</x:v>
      </x:c>
      <x:c r="Q261" s="64" t="n">
        <x:f>ROUND(P261*'Drivers'!E261,3)</x:f>
        <x:v>2343.712</x:v>
      </x:c>
      <x:c r="R261" s="64" t="n">
        <x:f>-ROUND(Q261*'Drivers'!F261,3)</x:f>
        <x:v>-449.033</x:v>
      </x:c>
      <x:c r="S261" s="65" t="n">
        <x:f>R261/Q261</x:f>
        <x:v>-0.191590519654292</x:v>
      </x:c>
      <x:c r="T261" s="64" t="n">
        <x:f>-ROUND(Q261*'Drivers'!G261,3)</x:f>
        <x:v>-45.686</x:v>
      </x:c>
      <x:c r="U261" s="65" t="n">
        <x:f>T261/Q261</x:f>
        <x:v>-0.01949300937999208</x:v>
      </x:c>
      <x:c r="V261" s="64" t="n">
        <x:f>-ROUND(Q261*'Drivers'!H261,3)</x:f>
        <x:v>-20.169</x:v>
      </x:c>
      <x:c r="W261" s="64" t="n">
        <x:f>-ROUND(Q261*'Drivers'!I261,3)</x:f>
        <x:v>-13.677</x:v>
      </x:c>
      <x:c r="X261" s="64" t="n">
        <x:f>-ROUND(Q261*'Drivers'!J261,3)</x:f>
        <x:v>-36.173</x:v>
      </x:c>
      <x:c r="Y261" s="64" t="n">
        <x:f>-ROUND(Q261*'Drivers'!K261,3)</x:f>
        <x:v>-31.127</x:v>
      </x:c>
      <x:c r="Z261" s="64" t="n">
        <x:f>-ROUND(Q261*'Drivers'!L261,3)</x:f>
        <x:v>-21.988</x:v>
      </x:c>
      <x:c r="AA261" s="64" t="n">
        <x:f>-ROUND(Q261*'Drivers'!M261,3)</x:f>
        <x:v>-19.933</x:v>
      </x:c>
      <x:c r="AB261" s="64" t="n">
        <x:f>-ROUND(Q261*'Drivers'!N261,3)</x:f>
        <x:v>-16.906</x:v>
      </x:c>
      <x:c r="AC261" s="64" t="n">
        <x:f>SUM(V261:AB261)</x:f>
        <x:v>-159.973</x:v>
      </x:c>
      <x:c r="AD261" s="65" t="n">
        <x:f>AC261/Q261</x:f>
        <x:v>-0.06825625332805396</x:v>
      </x:c>
      <x:c r="AE261" s="64" t="n">
        <x:f>-ROUND(Q261*'Drivers'!O261,3)</x:f>
        <x:v>-23.239</x:v>
      </x:c>
      <x:c r="AF261" s="65" t="n">
        <x:f>AE261/Q261</x:f>
        <x:v>-0.009915467429445256</x:v>
      </x:c>
      <x:c r="AG261" s="64" t="n">
        <x:f>-ROUND(Q261*'Drivers'!P261,3)</x:f>
        <x:v>-3.215</x:v>
      </x:c>
      <x:c r="AH261" s="64" t="n">
        <x:f>-ROUND(Q261*'Drivers'!Q261,3)</x:f>
        <x:v>-6.639</x:v>
      </x:c>
      <x:c r="AI261" s="64" t="n">
        <x:f>SUM(R261,T261,AC261,AE261,AG261,AH261)</x:f>
        <x:v>-687.7850000000001</x:v>
      </x:c>
      <x:c r="AJ261" s="65" t="n">
        <x:f>AI261/Q261</x:f>
        <x:v>-0.2934596912931282</x:v>
      </x:c>
      <x:c r="AK261" s="64" t="n">
        <x:f>Q261+AI261</x:f>
        <x:v>1655.927</x:v>
      </x:c>
      <x:c r="AL261" s="65" t="n">
        <x:f>AK261/Q261</x:f>
        <x:v>0.7065403087068718</x:v>
      </x:c>
      <x:c r="AM261" s="64" t="n">
        <x:f>AK261/L261</x:f>
        <x:v>331.18539999999996</x:v>
      </x:c>
      <x:c r="AN261" s="66" t="str">
        <x:f>IF(AM261&lt;=200,"≤200K",IF(AM261&lt;=350,"200–350K",IF(AM261&lt;=500,"350–500K",IF(AM261&lt;=700,"500–700K","&gt;700K"))))</x:f>
        <x:v>200–350K</x:v>
      </x:c>
      <x:c r="AO261" s="64" t="n">
        <x:f>-ROUND(Q261*'Drivers'!R261,3)</x:f>
        <x:v>-823.872</x:v>
      </x:c>
      <x:c r="AP261" s="64" t="n">
        <x:f>-ROUND(AK261*'Drivers'!S261,3)</x:f>
        <x:v>-19.818</x:v>
      </x:c>
      <x:c r="AQ261" s="64" t="n">
        <x:f>-ROUND(AK261*'Drivers'!T261,3)</x:f>
        <x:v>-11.393</x:v>
      </x:c>
      <x:c r="AR261" s="64" t="n">
        <x:f>-ROUND(AK261*'Drivers'!U261,3)</x:f>
        <x:v>-11.887</x:v>
      </x:c>
      <x:c r="AS261" s="64" t="n">
        <x:f>-ROUND(AK261*'Drivers'!V261,3)</x:f>
        <x:v>-52.681</x:v>
      </x:c>
      <x:c r="AT261" s="64" t="n">
        <x:f>SUM(AO261:AS261)</x:f>
        <x:v>-919.6510000000001</x:v>
      </x:c>
      <x:c r="AU261" s="65" t="n">
        <x:f>AT261/AK261</x:f>
        <x:v>-0.5553692886220226</x:v>
      </x:c>
      <x:c r="AV261" s="64" t="n">
        <x:f>AK261+AT261</x:f>
        <x:v>736.2759999999998</x:v>
      </x:c>
      <x:c r="AW261" s="65" t="n">
        <x:f>AV261/AK261</x:f>
        <x:v>0.44463071137797733</x:v>
      </x:c>
      <x:c r="AX261" s="64" t="n">
        <x:f>-ROUND(AK261*'Drivers'!W261,3)</x:f>
        <x:v>-24.559</x:v>
      </x:c>
      <x:c r="AY261" s="64" t="n">
        <x:f>-ROUND(AK261*'Drivers'!X261,3)</x:f>
        <x:v>-47.04</x:v>
      </x:c>
      <x:c r="AZ261" s="64" t="n">
        <x:f>-ROUND(AK261*'Drivers'!Y261,3)</x:f>
        <x:v>-26.391</x:v>
      </x:c>
      <x:c r="BA261" s="64" t="n">
        <x:f>-ROUND(AK261*'Drivers'!Z261,3)</x:f>
        <x:v>-8.222</x:v>
      </x:c>
      <x:c r="BB261" s="64" t="n">
        <x:f>-ROUND(AK261*'Drivers'!AA261,3)</x:f>
        <x:v>-8.812</x:v>
      </x:c>
      <x:c r="BC261" s="64" t="n">
        <x:f>SUM(BA261,BB261)</x:f>
        <x:v>-17.034</x:v>
      </x:c>
      <x:c r="BD261" s="64" t="n">
        <x:f>-ROUND(AK261*'Drivers'!AB261,3)</x:f>
        <x:v>-12.096</x:v>
      </x:c>
      <x:c r="BE261" s="64" t="n">
        <x:f>SUM(AX261:BB261,BD261)</x:f>
        <x:v>-127.12</x:v>
      </x:c>
      <x:c r="BF261" s="67" t="n">
        <x:f>'Drivers'!AF261</x:f>
        <x:v>9</x:v>
      </x:c>
      <x:c r="BG261" s="64" t="n">
        <x:f>BJ261</x:f>
        <x:v>-39.133</x:v>
      </x:c>
      <x:c r="BH261" s="64" t="n">
        <x:f>BE261/BF261</x:f>
        <x:v>-14.124444444444444</x:v>
      </x:c>
      <x:c r="BI261" s="68" t="n">
        <x:f>BF261/L261</x:f>
        <x:v>1.8</x:v>
      </x:c>
      <x:c r="BJ261" s="64" t="n">
        <x:f>-ROUND(AK261*'Drivers'!AC261,3)</x:f>
        <x:v>-39.133</x:v>
      </x:c>
      <x:c r="BK261" s="64" t="n">
        <x:f>-ROUND(AK261*'Drivers'!AD261,3)</x:f>
        <x:v>-149.165</x:v>
      </x:c>
      <x:c r="BL261" s="64" t="n">
        <x:f>SUM(AV261,BE261,BJ261,BK261)</x:f>
        <x:v>420.85799999999983</x:v>
      </x:c>
      <x:c r="BM261" s="65" t="n">
        <x:f>BL261/AK261</x:f>
        <x:v>0.2541525079306031</x:v>
      </x:c>
      <x:c r="BN261" s="64" t="n">
        <x:f>-ROUND(AK261*'Drivers'!AE261,3)</x:f>
        <x:v>-132.485</x:v>
      </x:c>
      <x:c r="BO261" s="64" t="n">
        <x:f>BL261+BN261</x:f>
        <x:v>288.3729999999998</x:v>
      </x:c>
      <x:c r="BP261" s="65" t="n">
        <x:f>BO261/AK261</x:f>
        <x:v>0.17414596174831368</x:v>
      </x:c>
    </x:row>
    <x:row r="262">
      <x:c r="A262" s="61" t="n">
        <x:v>2025</x:v>
      </x:c>
      <x:c r="B262" s="18" t="str">
        <x:v>S1</x:v>
      </x:c>
      <x:c r="C262" s="18" t="str">
        <x:v>2025 S1</x:v>
      </x:c>
      <x:c r="D262" s="18" t="str">
        <x:v>CNCT0066</x:v>
      </x:c>
      <x:c r="E262" s="18" t="str">
        <x:v>南京中央商场</x:v>
      </x:c>
      <x:c r="F262" s="18" t="str">
        <x:v>南京</x:v>
      </x:c>
      <x:c r="G262" s="18" t="str">
        <x:v>江苏省</x:v>
      </x:c>
      <x:c r="H262" s="18" t="str">
        <x:v>东区</x:v>
      </x:c>
      <x:c r="I262" s="18" t="str">
        <x:v>Shopping Mall</x:v>
      </x:c>
      <x:c r="J262" s="18" t="str">
        <x:v>Core Shopping Center</x:v>
      </x:c>
      <x:c r="K262" s="18" t="str">
        <x:v>正常</x:v>
      </x:c>
      <x:c r="L262" s="62" t="n">
        <x:v>4</x:v>
      </x:c>
      <x:c r="M262" s="62" t="n">
        <x:v>47</x:v>
      </x:c>
      <x:c r="N262" s="63" t="n">
        <x:f>'Drivers'!C262</x:f>
        <x:v>1951</x:v>
      </x:c>
      <x:c r="O262" s="63" t="n">
        <x:f>'Drivers'!D262</x:f>
        <x:v>1108.769</x:v>
      </x:c>
      <x:c r="P262" s="64" t="n">
        <x:f>ROUND(N262*O262/1000,3)</x:f>
        <x:v>2163.208</x:v>
      </x:c>
      <x:c r="Q262" s="64" t="n">
        <x:f>ROUND(P262*'Drivers'!E262,3)</x:f>
        <x:v>2105.891</x:v>
      </x:c>
      <x:c r="R262" s="64" t="n">
        <x:f>-ROUND(Q262*'Drivers'!F262,3)</x:f>
        <x:v>-454.613</x:v>
      </x:c>
      <x:c r="S262" s="65" t="n">
        <x:f>R262/Q262</x:f>
        <x:v>-0.21587679514276853</x:v>
      </x:c>
      <x:c r="T262" s="64" t="n">
        <x:f>-ROUND(Q262*'Drivers'!G262,3)</x:f>
        <x:v>-39.285</x:v>
      </x:c>
      <x:c r="U262" s="65" t="n">
        <x:f>T262/Q262</x:f>
        <x:v>-0.018654811668790072</x:v>
      </x:c>
      <x:c r="V262" s="64" t="n">
        <x:f>-ROUND(Q262*'Drivers'!H262,3)</x:f>
        <x:v>-21.224</x:v>
      </x:c>
      <x:c r="W262" s="64" t="n">
        <x:f>-ROUND(Q262*'Drivers'!I262,3)</x:f>
        <x:v>-14.532</x:v>
      </x:c>
      <x:c r="X262" s="64" t="n">
        <x:f>-ROUND(Q262*'Drivers'!J262,3)</x:f>
        <x:v>-27.448</x:v>
      </x:c>
      <x:c r="Y262" s="64" t="n">
        <x:f>-ROUND(Q262*'Drivers'!K262,3)</x:f>
        <x:v>-25.117</x:v>
      </x:c>
      <x:c r="Z262" s="64" t="n">
        <x:f>-ROUND(Q262*'Drivers'!L262,3)</x:f>
        <x:v>-17.963</x:v>
      </x:c>
      <x:c r="AA262" s="64" t="n">
        <x:f>-ROUND(Q262*'Drivers'!M262,3)</x:f>
        <x:v>-12.906</x:v>
      </x:c>
      <x:c r="AB262" s="64" t="n">
        <x:f>-ROUND(Q262*'Drivers'!N262,3)</x:f>
        <x:v>-18.714</x:v>
      </x:c>
      <x:c r="AC262" s="64" t="n">
        <x:f>SUM(V262:AB262)</x:f>
        <x:v>-137.904</x:v>
      </x:c>
      <x:c r="AD262" s="65" t="n">
        <x:f>AC262/Q262</x:f>
        <x:v>-0.0654848707744133</x:v>
      </x:c>
      <x:c r="AE262" s="64" t="n">
        <x:f>-ROUND(Q262*'Drivers'!O262,3)</x:f>
        <x:v>-16.877</x:v>
      </x:c>
      <x:c r="AF262" s="65" t="n">
        <x:f>AE262/Q262</x:f>
        <x:v>-0.008014184969687414</x:v>
      </x:c>
      <x:c r="AG262" s="64" t="n">
        <x:f>-ROUND(Q262*'Drivers'!P262,3)</x:f>
        <x:v>-3.418</x:v>
      </x:c>
      <x:c r="AH262" s="64" t="n">
        <x:f>-ROUND(Q262*'Drivers'!Q262,3)</x:f>
        <x:v>-10.349</x:v>
      </x:c>
      <x:c r="AI262" s="64" t="n">
        <x:f>SUM(R262,T262,AC262,AE262,AG262,AH262)</x:f>
        <x:v>-662.446</x:v>
      </x:c>
      <x:c r="AJ262" s="65" t="n">
        <x:f>AI262/Q262</x:f>
        <x:v>-0.3145680379468833</x:v>
      </x:c>
      <x:c r="AK262" s="64" t="n">
        <x:f>Q262+AI262</x:f>
        <x:v>1443.4450000000002</x:v>
      </x:c>
      <x:c r="AL262" s="65" t="n">
        <x:f>AK262/Q262</x:f>
        <x:v>0.6854319620531167</x:v>
      </x:c>
      <x:c r="AM262" s="64" t="n">
        <x:f>AK262/L262</x:f>
        <x:v>360.86125000000004</x:v>
      </x:c>
      <x:c r="AN262" s="66" t="str">
        <x:f>IF(AM262&lt;=200,"≤200K",IF(AM262&lt;=350,"200–350K",IF(AM262&lt;=500,"350–500K",IF(AM262&lt;=700,"500–700K","&gt;700K"))))</x:f>
        <x:v>350–500K</x:v>
      </x:c>
      <x:c r="AO262" s="64" t="n">
        <x:f>-ROUND(Q262*'Drivers'!R262,3)</x:f>
        <x:v>-760.353</x:v>
      </x:c>
      <x:c r="AP262" s="64" t="n">
        <x:f>-ROUND(AK262*'Drivers'!S262,3)</x:f>
        <x:v>-22.882</x:v>
      </x:c>
      <x:c r="AQ262" s="64" t="n">
        <x:f>-ROUND(AK262*'Drivers'!T262,3)</x:f>
        <x:v>-4.383</x:v>
      </x:c>
      <x:c r="AR262" s="64" t="n">
        <x:f>-ROUND(AK262*'Drivers'!U262,3)</x:f>
        <x:v>-14.94</x:v>
      </x:c>
      <x:c r="AS262" s="64" t="n">
        <x:f>-ROUND(AK262*'Drivers'!V262,3)</x:f>
        <x:v>-51.247</x:v>
      </x:c>
      <x:c r="AT262" s="64" t="n">
        <x:f>SUM(AO262:AS262)</x:f>
        <x:v>-853.805</x:v>
      </x:c>
      <x:c r="AU262" s="65" t="n">
        <x:f>AT262/AK262</x:f>
        <x:v>-0.5915050452216745</x:v>
      </x:c>
      <x:c r="AV262" s="64" t="n">
        <x:f>AK262+AT262</x:f>
        <x:v>589.6400000000002</x:v>
      </x:c>
      <x:c r="AW262" s="65" t="n">
        <x:f>AV262/AK262</x:f>
        <x:v>0.4084949547783256</x:v>
      </x:c>
      <x:c r="AX262" s="64" t="n">
        <x:f>-ROUND(AK262*'Drivers'!W262,3)</x:f>
        <x:v>-15.159</x:v>
      </x:c>
      <x:c r="AY262" s="64" t="n">
        <x:f>-ROUND(AK262*'Drivers'!X262,3)</x:f>
        <x:v>-32.399</x:v>
      </x:c>
      <x:c r="AZ262" s="64" t="n">
        <x:f>-ROUND(AK262*'Drivers'!Y262,3)</x:f>
        <x:v>-25.697</x:v>
      </x:c>
      <x:c r="BA262" s="64" t="n">
        <x:f>-ROUND(AK262*'Drivers'!Z262,3)</x:f>
        <x:v>-7.638</x:v>
      </x:c>
      <x:c r="BB262" s="64" t="n">
        <x:f>-ROUND(AK262*'Drivers'!AA262,3)</x:f>
        <x:v>-10.173</x:v>
      </x:c>
      <x:c r="BC262" s="64" t="n">
        <x:f>SUM(BA262,BB262)</x:f>
        <x:v>-17.811</x:v>
      </x:c>
      <x:c r="BD262" s="64" t="n">
        <x:f>-ROUND(AK262*'Drivers'!AB262,3)</x:f>
        <x:v>-9.171</x:v>
      </x:c>
      <x:c r="BE262" s="64" t="n">
        <x:f>SUM(AX262:BB262,BD262)</x:f>
        <x:v>-100.237</x:v>
      </x:c>
      <x:c r="BF262" s="67" t="n">
        <x:f>'Drivers'!AF262</x:f>
        <x:v>9</x:v>
      </x:c>
      <x:c r="BG262" s="64" t="n">
        <x:f>BJ262</x:f>
        <x:v>-38.221</x:v>
      </x:c>
      <x:c r="BH262" s="64" t="n">
        <x:f>BE262/BF262</x:f>
        <x:v>-11.137444444444444</x:v>
      </x:c>
      <x:c r="BI262" s="68" t="n">
        <x:f>BF262/L262</x:f>
        <x:v>2.25</x:v>
      </x:c>
      <x:c r="BJ262" s="64" t="n">
        <x:f>-ROUND(AK262*'Drivers'!AC262,3)</x:f>
        <x:v>-38.221</x:v>
      </x:c>
      <x:c r="BK262" s="64" t="n">
        <x:f>-ROUND(AK262*'Drivers'!AD262,3)</x:f>
        <x:v>-157.927</x:v>
      </x:c>
      <x:c r="BL262" s="64" t="n">
        <x:f>SUM(AV262,BE262,BJ262,BK262)</x:f>
        <x:v>293.2550000000002</x:v>
      </x:c>
      <x:c r="BM262" s="65" t="n">
        <x:f>BL262/AK262</x:f>
        <x:v>0.20316326565958537</x:v>
      </x:c>
      <x:c r="BN262" s="64" t="n">
        <x:f>-ROUND(AK262*'Drivers'!AE262,3)</x:f>
        <x:v>-119.64</x:v>
      </x:c>
      <x:c r="BO262" s="64" t="n">
        <x:f>BL262+BN262</x:f>
        <x:v>173.61500000000024</x:v>
      </x:c>
      <x:c r="BP262" s="65" t="n">
        <x:f>BO262/AK262</x:f>
        <x:v>0.12027822327833775</x:v>
      </x:c>
    </x:row>
    <x:row r="263">
      <x:c r="A263" s="61" t="n">
        <x:v>2025</x:v>
      </x:c>
      <x:c r="B263" s="18" t="str">
        <x:v>S2</x:v>
      </x:c>
      <x:c r="C263" s="18" t="str">
        <x:v>2025 S2</x:v>
      </x:c>
      <x:c r="D263" s="18" t="str">
        <x:v>CNCT0066</x:v>
      </x:c>
      <x:c r="E263" s="18" t="str">
        <x:v>南京中央商场</x:v>
      </x:c>
      <x:c r="F263" s="18" t="str">
        <x:v>南京</x:v>
      </x:c>
      <x:c r="G263" s="18" t="str">
        <x:v>江苏省</x:v>
      </x:c>
      <x:c r="H263" s="18" t="str">
        <x:v>东区</x:v>
      </x:c>
      <x:c r="I263" s="18" t="str">
        <x:v>Shopping Mall</x:v>
      </x:c>
      <x:c r="J263" s="18" t="str">
        <x:v>Core Shopping Center</x:v>
      </x:c>
      <x:c r="K263" s="18" t="str">
        <x:v>正常</x:v>
      </x:c>
      <x:c r="L263" s="62" t="n">
        <x:v>4</x:v>
      </x:c>
      <x:c r="M263" s="62" t="n">
        <x:v>47</x:v>
      </x:c>
      <x:c r="N263" s="63" t="n">
        <x:f>'Drivers'!C263</x:f>
        <x:v>2137</x:v>
      </x:c>
      <x:c r="O263" s="63" t="n">
        <x:f>'Drivers'!D263</x:f>
        <x:v>1122.075</x:v>
      </x:c>
      <x:c r="P263" s="64" t="n">
        <x:f>ROUND(N263*O263/1000,3)</x:f>
        <x:v>2397.874</x:v>
      </x:c>
      <x:c r="Q263" s="64" t="n">
        <x:f>ROUND(P263*'Drivers'!E263,3)</x:f>
        <x:v>2311.967</x:v>
      </x:c>
      <x:c r="R263" s="64" t="n">
        <x:f>-ROUND(Q263*'Drivers'!F263,3)</x:f>
        <x:v>-499.1</x:v>
      </x:c>
      <x:c r="S263" s="65" t="n">
        <x:f>R263/Q263</x:f>
        <x:v>-0.21587678370841798</x:v>
      </x:c>
      <x:c r="T263" s="64" t="n">
        <x:f>-ROUND(Q263*'Drivers'!G263,3)</x:f>
        <x:v>-43.129</x:v>
      </x:c>
      <x:c r="U263" s="65" t="n">
        <x:f>T263/Q263</x:f>
        <x:v>-0.01865467802957395</x:v>
      </x:c>
      <x:c r="V263" s="64" t="n">
        <x:f>-ROUND(Q263*'Drivers'!H263,3)</x:f>
        <x:v>-23.301</x:v>
      </x:c>
      <x:c r="W263" s="64" t="n">
        <x:f>-ROUND(Q263*'Drivers'!I263,3)</x:f>
        <x:v>-15.954</x:v>
      </x:c>
      <x:c r="X263" s="64" t="n">
        <x:f>-ROUND(Q263*'Drivers'!J263,3)</x:f>
        <x:v>-30.134</x:v>
      </x:c>
      <x:c r="Y263" s="64" t="n">
        <x:f>-ROUND(Q263*'Drivers'!K263,3)</x:f>
        <x:v>-27.575</x:v>
      </x:c>
      <x:c r="Z263" s="64" t="n">
        <x:f>-ROUND(Q263*'Drivers'!L263,3)</x:f>
        <x:v>-19.721</x:v>
      </x:c>
      <x:c r="AA263" s="64" t="n">
        <x:f>-ROUND(Q263*'Drivers'!M263,3)</x:f>
        <x:v>-14.169</x:v>
      </x:c>
      <x:c r="AB263" s="64" t="n">
        <x:f>-ROUND(Q263*'Drivers'!N263,3)</x:f>
        <x:v>-20.546</x:v>
      </x:c>
      <x:c r="AC263" s="64" t="n">
        <x:f>SUM(V263:AB263)</x:f>
        <x:v>-151.4</x:v>
      </x:c>
      <x:c r="AD263" s="65" t="n">
        <x:f>AC263/Q263</x:f>
        <x:v>-0.06548536376167999</x:v>
      </x:c>
      <x:c r="AE263" s="64" t="n">
        <x:f>-ROUND(Q263*'Drivers'!O263,3)</x:f>
        <x:v>-18.528</x:v>
      </x:c>
      <x:c r="AF263" s="65" t="n">
        <x:f>AE263/Q263</x:f>
        <x:v>-0.008013955216488816</x:v>
      </x:c>
      <x:c r="AG263" s="64" t="n">
        <x:f>-ROUND(Q263*'Drivers'!P263,3)</x:f>
        <x:v>-3.753</x:v>
      </x:c>
      <x:c r="AH263" s="64" t="n">
        <x:f>-ROUND(Q263*'Drivers'!Q263,3)</x:f>
        <x:v>-11.362</x:v>
      </x:c>
      <x:c r="AI263" s="64" t="n">
        <x:f>SUM(R263,T263,AC263,AE263,AG263,AH263)</x:f>
        <x:v>-727.272</x:v>
      </x:c>
      <x:c r="AJ263" s="65" t="n">
        <x:f>AI263/Q263</x:f>
        <x:v>-0.3145685037891977</x:v>
      </x:c>
      <x:c r="AK263" s="64" t="n">
        <x:f>Q263+AI263</x:f>
        <x:v>1584.6950000000002</x:v>
      </x:c>
      <x:c r="AL263" s="65" t="n">
        <x:f>AK263/Q263</x:f>
        <x:v>0.6854314962108023</x:v>
      </x:c>
      <x:c r="AM263" s="64" t="n">
        <x:f>AK263/L263</x:f>
        <x:v>396.17375000000004</x:v>
      </x:c>
      <x:c r="AN263" s="66" t="str">
        <x:f>IF(AM263&lt;=200,"≤200K",IF(AM263&lt;=350,"200–350K",IF(AM263&lt;=500,"350–500K",IF(AM263&lt;=700,"500–700K","&gt;700K"))))</x:f>
        <x:v>350–500K</x:v>
      </x:c>
      <x:c r="AO263" s="64" t="n">
        <x:f>-ROUND(Q263*'Drivers'!R263,3)</x:f>
        <x:v>-834.866</x:v>
      </x:c>
      <x:c r="AP263" s="64" t="n">
        <x:f>-ROUND(AK263*'Drivers'!S263,3)</x:f>
        <x:v>-25.121</x:v>
      </x:c>
      <x:c r="AQ263" s="64" t="n">
        <x:f>-ROUND(AK263*'Drivers'!T263,3)</x:f>
        <x:v>-4.812</x:v>
      </x:c>
      <x:c r="AR263" s="64" t="n">
        <x:f>-ROUND(AK263*'Drivers'!U263,3)</x:f>
        <x:v>-16.402</x:v>
      </x:c>
      <x:c r="AS263" s="64" t="n">
        <x:f>-ROUND(AK263*'Drivers'!V263,3)</x:f>
        <x:v>-56.261</x:v>
      </x:c>
      <x:c r="AT263" s="64" t="n">
        <x:f>SUM(AO263:AS263)</x:f>
        <x:v>-937.462</x:v>
      </x:c>
      <x:c r="AU263" s="65" t="n">
        <x:f>AT263/AK263</x:f>
        <x:v>-0.5915725107986078</x:v>
      </x:c>
      <x:c r="AV263" s="64" t="n">
        <x:f>AK263+AT263</x:f>
        <x:v>647.2330000000002</x:v>
      </x:c>
      <x:c r="AW263" s="65" t="n">
        <x:f>AV263/AK263</x:f>
        <x:v>0.40842748920139216</x:v>
      </x:c>
      <x:c r="AX263" s="64" t="n">
        <x:f>-ROUND(AK263*'Drivers'!W263,3)</x:f>
        <x:v>-16.642</x:v>
      </x:c>
      <x:c r="AY263" s="64" t="n">
        <x:f>-ROUND(AK263*'Drivers'!X263,3)</x:f>
        <x:v>-35.569</x:v>
      </x:c>
      <x:c r="AZ263" s="64" t="n">
        <x:f>-ROUND(AK263*'Drivers'!Y263,3)</x:f>
        <x:v>-28.212</x:v>
      </x:c>
      <x:c r="BA263" s="64" t="n">
        <x:f>-ROUND(AK263*'Drivers'!Z263,3)</x:f>
        <x:v>-8.386</x:v>
      </x:c>
      <x:c r="BB263" s="64" t="n">
        <x:f>-ROUND(AK263*'Drivers'!AA263,3)</x:f>
        <x:v>-11.169</x:v>
      </x:c>
      <x:c r="BC263" s="64" t="n">
        <x:f>SUM(BA263,BB263)</x:f>
        <x:v>-19.555</x:v>
      </x:c>
      <x:c r="BD263" s="64" t="n">
        <x:f>-ROUND(AK263*'Drivers'!AB263,3)</x:f>
        <x:v>-10.068</x:v>
      </x:c>
      <x:c r="BE263" s="64" t="n">
        <x:f>SUM(AX263:BB263,BD263)</x:f>
        <x:v>-110.04599999999999</x:v>
      </x:c>
      <x:c r="BF263" s="67" t="n">
        <x:f>'Drivers'!AF263</x:f>
        <x:v>9</x:v>
      </x:c>
      <x:c r="BG263" s="64" t="n">
        <x:f>BJ263</x:f>
        <x:v>-41.961</x:v>
      </x:c>
      <x:c r="BH263" s="64" t="n">
        <x:f>BE263/BF263</x:f>
        <x:v>-12.227333333333332</x:v>
      </x:c>
      <x:c r="BI263" s="68" t="n">
        <x:f>BF263/L263</x:f>
        <x:v>2.25</x:v>
      </x:c>
      <x:c r="BJ263" s="64" t="n">
        <x:f>-ROUND(AK263*'Drivers'!AC263,3)</x:f>
        <x:v>-41.961</x:v>
      </x:c>
      <x:c r="BK263" s="64" t="n">
        <x:f>-ROUND(AK263*'Drivers'!AD263,3)</x:f>
        <x:v>-173.381</x:v>
      </x:c>
      <x:c r="BL263" s="64" t="n">
        <x:f>SUM(AV263,BE263,BJ263,BK263)</x:f>
        <x:v>321.84500000000014</x:v>
      </x:c>
      <x:c r="BM263" s="65" t="n">
        <x:f>BL263/AK263</x:f>
        <x:v>0.20309586387285888</x:v>
      </x:c>
      <x:c r="BN263" s="64" t="n">
        <x:f>-ROUND(AK263*'Drivers'!AE263,3)</x:f>
        <x:v>-131.347</x:v>
      </x:c>
      <x:c r="BO263" s="64" t="n">
        <x:f>BL263+BN263</x:f>
        <x:v>190.49800000000013</x:v>
      </x:c>
      <x:c r="BP263" s="65" t="n">
        <x:f>BO263/AK263</x:f>
        <x:v>0.12021114473132061</x:v>
      </x:c>
    </x:row>
    <x:row r="264">
      <x:c r="A264" s="61" t="n">
        <x:v>2026</x:v>
      </x:c>
      <x:c r="B264" s="18" t="str">
        <x:v>S1</x:v>
      </x:c>
      <x:c r="C264" s="18" t="str">
        <x:v>2026 S1</x:v>
      </x:c>
      <x:c r="D264" s="18" t="str">
        <x:v>CNCT0066</x:v>
      </x:c>
      <x:c r="E264" s="18" t="str">
        <x:v>南京中央商场</x:v>
      </x:c>
      <x:c r="F264" s="18" t="str">
        <x:v>南京</x:v>
      </x:c>
      <x:c r="G264" s="18" t="str">
        <x:v>江苏省</x:v>
      </x:c>
      <x:c r="H264" s="18" t="str">
        <x:v>东区</x:v>
      </x:c>
      <x:c r="I264" s="18" t="str">
        <x:v>Shopping Mall</x:v>
      </x:c>
      <x:c r="J264" s="18" t="str">
        <x:v>Core Shopping Center</x:v>
      </x:c>
      <x:c r="K264" s="18" t="str">
        <x:v>正常</x:v>
      </x:c>
      <x:c r="L264" s="62" t="n">
        <x:v>4</x:v>
      </x:c>
      <x:c r="M264" s="62" t="n">
        <x:v>47</x:v>
      </x:c>
      <x:c r="N264" s="63" t="n">
        <x:f>'Drivers'!C264</x:f>
        <x:v>1865</x:v>
      </x:c>
      <x:c r="O264" s="63" t="n">
        <x:f>'Drivers'!D264</x:f>
        <x:v>1154.361</x:v>
      </x:c>
      <x:c r="P264" s="64" t="n">
        <x:f>ROUND(N264*O264/1000,3)</x:f>
        <x:v>2152.883</x:v>
      </x:c>
      <x:c r="Q264" s="64" t="n">
        <x:f>ROUND(P264*'Drivers'!E264,3)</x:f>
        <x:v>2094.524</x:v>
      </x:c>
      <x:c r="R264" s="64" t="n">
        <x:f>-ROUND(Q264*'Drivers'!F264,3)</x:f>
        <x:v>-462.859</x:v>
      </x:c>
      <x:c r="S264" s="65" t="n">
        <x:f>R264/Q264</x:f>
        <x:v>-0.22098529307852285</x:v>
      </x:c>
      <x:c r="T264" s="64" t="n">
        <x:f>-ROUND(Q264*'Drivers'!G264,3)</x:f>
        <x:v>-35.005</x:v>
      </x:c>
      <x:c r="U264" s="65" t="n">
        <x:f>T264/Q264</x:f>
        <x:v>-0.016712627785597112</x:v>
      </x:c>
      <x:c r="V264" s="64" t="n">
        <x:f>-ROUND(Q264*'Drivers'!H264,3)</x:f>
        <x:v>-21.109</x:v>
      </x:c>
      <x:c r="W264" s="64" t="n">
        <x:f>-ROUND(Q264*'Drivers'!I264,3)</x:f>
        <x:v>-14.453</x:v>
      </x:c>
      <x:c r="X264" s="64" t="n">
        <x:f>-ROUND(Q264*'Drivers'!J264,3)</x:f>
        <x:v>-27.3</x:v>
      </x:c>
      <x:c r="Y264" s="64" t="n">
        <x:f>-ROUND(Q264*'Drivers'!K264,3)</x:f>
        <x:v>-24.982</x:v>
      </x:c>
      <x:c r="Z264" s="64" t="n">
        <x:f>-ROUND(Q264*'Drivers'!L264,3)</x:f>
        <x:v>-17.866</x:v>
      </x:c>
      <x:c r="AA264" s="64" t="n">
        <x:f>-ROUND(Q264*'Drivers'!M264,3)</x:f>
        <x:v>-12.836</x:v>
      </x:c>
      <x:c r="AB264" s="64" t="n">
        <x:f>-ROUND(Q264*'Drivers'!N264,3)</x:f>
        <x:v>-18.613</x:v>
      </x:c>
      <x:c r="AC264" s="64" t="n">
        <x:f>SUM(V264:AB264)</x:f>
        <x:v>-137.159</x:v>
      </x:c>
      <x:c r="AD264" s="65" t="n">
        <x:f>AC264/Q264</x:f>
        <x:v>-0.06548456833151589</x:v>
      </x:c>
      <x:c r="AE264" s="64" t="n">
        <x:f>-ROUND(Q264*'Drivers'!O264,3)</x:f>
        <x:v>-20.067</x:v>
      </x:c>
      <x:c r="AF264" s="65" t="n">
        <x:f>AE264/Q264</x:f>
        <x:v>-0.009580697093945928</x:v>
      </x:c>
      <x:c r="AG264" s="64" t="n">
        <x:f>-ROUND(Q264*'Drivers'!P264,3)</x:f>
        <x:v>-3.4</x:v>
      </x:c>
      <x:c r="AH264" s="64" t="n">
        <x:f>-ROUND(Q264*'Drivers'!Q264,3)</x:f>
        <x:v>-10.293</x:v>
      </x:c>
      <x:c r="AI264" s="64" t="n">
        <x:f>SUM(R264,T264,AC264,AE264,AG264,AH264)</x:f>
        <x:v>-668.7829999999999</x:v>
      </x:c>
      <x:c r="AJ264" s="65" t="n">
        <x:f>AI264/Q264</x:f>
        <x:v>-0.319300709851021</x:v>
      </x:c>
      <x:c r="AK264" s="64" t="n">
        <x:f>Q264+AI264</x:f>
        <x:v>1425.741</x:v>
      </x:c>
      <x:c r="AL264" s="65" t="n">
        <x:f>AK264/Q264</x:f>
        <x:v>0.680699290148979</x:v>
      </x:c>
      <x:c r="AM264" s="64" t="n">
        <x:f>AK264/L264</x:f>
        <x:v>356.43525</x:v>
      </x:c>
      <x:c r="AN264" s="66" t="str">
        <x:f>IF(AM264&lt;=200,"≤200K",IF(AM264&lt;=350,"200–350K",IF(AM264&lt;=500,"350–500K",IF(AM264&lt;=700,"500–700K","&gt;700K"))))</x:f>
        <x:v>350–500K</x:v>
      </x:c>
      <x:c r="AO264" s="64" t="n">
        <x:f>-ROUND(Q264*'Drivers'!R264,3)</x:f>
        <x:v>-744.59</x:v>
      </x:c>
      <x:c r="AP264" s="64" t="n">
        <x:f>-ROUND(AK264*'Drivers'!S264,3)</x:f>
        <x:v>-22.602</x:v>
      </x:c>
      <x:c r="AQ264" s="64" t="n">
        <x:f>-ROUND(AK264*'Drivers'!T264,3)</x:f>
        <x:v>-4.33</x:v>
      </x:c>
      <x:c r="AR264" s="64" t="n">
        <x:f>-ROUND(AK264*'Drivers'!U264,3)</x:f>
        <x:v>-14.757</x:v>
      </x:c>
      <x:c r="AS264" s="64" t="n">
        <x:f>-ROUND(AK264*'Drivers'!V264,3)</x:f>
        <x:v>-50.618</x:v>
      </x:c>
      <x:c r="AT264" s="64" t="n">
        <x:f>SUM(AO264:AS264)</x:f>
        <x:v>-836.897</x:v>
      </x:c>
      <x:c r="AU264" s="65" t="n">
        <x:f>AT264/AK264</x:f>
        <x:v>-0.5869909050802355</x:v>
      </x:c>
      <x:c r="AV264" s="64" t="n">
        <x:f>AK264+AT264</x:f>
        <x:v>588.8439999999999</x:v>
      </x:c>
      <x:c r="AW264" s="65" t="n">
        <x:f>AV264/AK264</x:f>
        <x:v>0.4130090949197645</x:v>
      </x:c>
      <x:c r="AX264" s="64" t="n">
        <x:f>-ROUND(AK264*'Drivers'!W264,3)</x:f>
        <x:v>-18.423</x:v>
      </x:c>
      <x:c r="AY264" s="64" t="n">
        <x:f>-ROUND(AK264*'Drivers'!X264,3)</x:f>
        <x:v>-39.376</x:v>
      </x:c>
      <x:c r="AZ264" s="64" t="n">
        <x:f>-ROUND(AK264*'Drivers'!Y264,3)</x:f>
        <x:v>-31.231</x:v>
      </x:c>
      <x:c r="BA264" s="64" t="n">
        <x:f>-ROUND(AK264*'Drivers'!Z264,3)</x:f>
        <x:v>-9.283</x:v>
      </x:c>
      <x:c r="BB264" s="64" t="n">
        <x:f>-ROUND(AK264*'Drivers'!AA264,3)</x:f>
        <x:v>-12.364</x:v>
      </x:c>
      <x:c r="BC264" s="64" t="n">
        <x:f>SUM(BA264,BB264)</x:f>
        <x:v>-21.647</x:v>
      </x:c>
      <x:c r="BD264" s="64" t="n">
        <x:f>-ROUND(AK264*'Drivers'!AB264,3)</x:f>
        <x:v>-11.146</x:v>
      </x:c>
      <x:c r="BE264" s="64" t="n">
        <x:f>SUM(AX264:BB264,BD264)</x:f>
        <x:v>-121.82300000000001</x:v>
      </x:c>
      <x:c r="BF264" s="67" t="n">
        <x:f>'Drivers'!AF264</x:f>
        <x:v>9</x:v>
      </x:c>
      <x:c r="BG264" s="64" t="n">
        <x:f>BJ264</x:f>
        <x:v>-46.452</x:v>
      </x:c>
      <x:c r="BH264" s="64" t="n">
        <x:f>BE264/BF264</x:f>
        <x:v>-13.53588888888889</x:v>
      </x:c>
      <x:c r="BI264" s="68" t="n">
        <x:f>BF264/L264</x:f>
        <x:v>2.25</x:v>
      </x:c>
      <x:c r="BJ264" s="64" t="n">
        <x:f>-ROUND(AK264*'Drivers'!AC264,3)</x:f>
        <x:v>-46.452</x:v>
      </x:c>
      <x:c r="BK264" s="64" t="n">
        <x:f>-ROUND(AK264*'Drivers'!AD264,3)</x:f>
        <x:v>-155.99</x:v>
      </x:c>
      <x:c r="BL264" s="64" t="n">
        <x:f>SUM(AV264,BE264,BJ264,BK264)</x:f>
        <x:v>264.57899999999995</x:v>
      </x:c>
      <x:c r="BM264" s="65" t="n">
        <x:f>BL264/AK264</x:f>
        <x:v>0.18557297573682735</x:v>
      </x:c>
      <x:c r="BN264" s="64" t="n">
        <x:f>-ROUND(AK264*'Drivers'!AE264,3)</x:f>
        <x:v>-118.173</x:v>
      </x:c>
      <x:c r="BO264" s="64" t="n">
        <x:f>BL264+BN264</x:f>
        <x:v>146.40599999999995</x:v>
      </x:c>
      <x:c r="BP264" s="65" t="n">
        <x:f>BO264/AK264</x:f>
        <x:v>0.10268765505095241</x:v>
      </x:c>
    </x:row>
    <x:row r="265">
      <x:c r="A265" s="61" t="n">
        <x:v>2026</x:v>
      </x:c>
      <x:c r="B265" s="18" t="str">
        <x:v>S2</x:v>
      </x:c>
      <x:c r="C265" s="18" t="str">
        <x:v>2026 S2</x:v>
      </x:c>
      <x:c r="D265" s="18" t="str">
        <x:v>CNCT0066</x:v>
      </x:c>
      <x:c r="E265" s="18" t="str">
        <x:v>南京中央商场</x:v>
      </x:c>
      <x:c r="F265" s="18" t="str">
        <x:v>南京</x:v>
      </x:c>
      <x:c r="G265" s="18" t="str">
        <x:v>江苏省</x:v>
      </x:c>
      <x:c r="H265" s="18" t="str">
        <x:v>东区</x:v>
      </x:c>
      <x:c r="I265" s="18" t="str">
        <x:v>Shopping Mall</x:v>
      </x:c>
      <x:c r="J265" s="18" t="str">
        <x:v>Core Shopping Center</x:v>
      </x:c>
      <x:c r="K265" s="18" t="str">
        <x:v>装修</x:v>
      </x:c>
      <x:c r="L265" s="62" t="n">
        <x:v>3</x:v>
      </x:c>
      <x:c r="M265" s="62" t="n">
        <x:v>46</x:v>
      </x:c>
      <x:c r="N265" s="63" t="n">
        <x:f>'Drivers'!C265</x:f>
        <x:v>1346</x:v>
      </x:c>
      <x:c r="O265" s="63" t="n">
        <x:f>'Drivers'!D265</x:f>
        <x:v>1163.286</x:v>
      </x:c>
      <x:c r="P265" s="64" t="n">
        <x:f>ROUND(N265*O265/1000,3)</x:f>
        <x:v>1565.783</x:v>
      </x:c>
      <x:c r="Q265" s="64" t="n">
        <x:f>ROUND(P265*'Drivers'!E265,3)</x:f>
        <x:v>1509.687</x:v>
      </x:c>
      <x:c r="R265" s="64" t="n">
        <x:f>-ROUND(Q265*'Drivers'!F265,3)</x:f>
        <x:v>-326.869</x:v>
      </x:c>
      <x:c r="S265" s="65" t="n">
        <x:f>R265/Q265</x:f>
        <x:v>-0.2165144165644932</x:v>
      </x:c>
      <x:c r="T265" s="64" t="n">
        <x:f>-ROUND(Q265*'Drivers'!G265,3)</x:f>
        <x:v>-27.658</x:v>
      </x:c>
      <x:c r="U265" s="65" t="n">
        <x:f>T265/Q265</x:f>
        <x:v>-0.01832035382168622</x:v>
      </x:c>
      <x:c r="V265" s="64" t="n">
        <x:f>-ROUND(Q265*'Drivers'!H265,3)</x:f>
        <x:v>-15.215</x:v>
      </x:c>
      <x:c r="W265" s="64" t="n">
        <x:f>-ROUND(Q265*'Drivers'!I265,3)</x:f>
        <x:v>-10.418</x:v>
      </x:c>
      <x:c r="X265" s="64" t="n">
        <x:f>-ROUND(Q265*'Drivers'!J265,3)</x:f>
        <x:v>-19.677</x:v>
      </x:c>
      <x:c r="Y265" s="64" t="n">
        <x:f>-ROUND(Q265*'Drivers'!K265,3)</x:f>
        <x:v>-18.006</x:v>
      </x:c>
      <x:c r="Z265" s="64" t="n">
        <x:f>-ROUND(Q265*'Drivers'!L265,3)</x:f>
        <x:v>-12.878</x:v>
      </x:c>
      <x:c r="AA265" s="64" t="n">
        <x:f>-ROUND(Q265*'Drivers'!M265,3)</x:f>
        <x:v>-9.252</x:v>
      </x:c>
      <x:c r="AB265" s="64" t="n">
        <x:f>-ROUND(Q265*'Drivers'!N265,3)</x:f>
        <x:v>-13.416</x:v>
      </x:c>
      <x:c r="AC265" s="64" t="n">
        <x:f>SUM(V265:AB265)</x:f>
        <x:v>-98.862</x:v>
      </x:c>
      <x:c r="AD265" s="65" t="n">
        <x:f>AC265/Q265</x:f>
        <x:v>-0.0654850972420111</x:v>
      </x:c>
      <x:c r="AE265" s="64" t="n">
        <x:f>-ROUND(Q265*'Drivers'!O265,3)</x:f>
        <x:v>-12.099</x:v>
      </x:c>
      <x:c r="AF265" s="65" t="n">
        <x:f>AE265/Q265</x:f>
        <x:v>-0.00801424401216941</x:v>
      </x:c>
      <x:c r="AG265" s="64" t="n">
        <x:f>-ROUND(Q265*'Drivers'!P265,3)</x:f>
        <x:v>-2.451</x:v>
      </x:c>
      <x:c r="AH265" s="64" t="n">
        <x:f>-ROUND(Q265*'Drivers'!Q265,3)</x:f>
        <x:v>-7.419</x:v>
      </x:c>
      <x:c r="AI265" s="64" t="n">
        <x:f>SUM(R265,T265,AC265,AE265,AG265,AH265)</x:f>
        <x:v>-475.358</x:v>
      </x:c>
      <x:c r="AJ265" s="65" t="n">
        <x:f>AI265/Q265</x:f>
        <x:v>-0.3148718906634289</x:v>
      </x:c>
      <x:c r="AK265" s="64" t="n">
        <x:f>Q265+AI265</x:f>
        <x:v>1034.329</x:v>
      </x:c>
      <x:c r="AL265" s="65" t="n">
        <x:f>AK265/Q265</x:f>
        <x:v>0.6851281093365711</x:v>
      </x:c>
      <x:c r="AM265" s="64" t="n">
        <x:f>AK265/L265</x:f>
        <x:v>344.7763333333333</x:v>
      </x:c>
      <x:c r="AN265" s="66" t="str">
        <x:f>IF(AM265&lt;=200,"≤200K",IF(AM265&lt;=350,"200–350K",IF(AM265&lt;=500,"350–500K",IF(AM265&lt;=700,"500–700K","&gt;700K"))))</x:f>
        <x:v>200–350K</x:v>
      </x:c>
      <x:c r="AO265" s="64" t="n">
        <x:f>-ROUND(Q265*'Drivers'!R265,3)</x:f>
        <x:v>-548.751</x:v>
      </x:c>
      <x:c r="AP265" s="64" t="n">
        <x:f>-ROUND(AK265*'Drivers'!S265,3)</x:f>
        <x:v>-16.397</x:v>
      </x:c>
      <x:c r="AQ265" s="64" t="n">
        <x:f>-ROUND(AK265*'Drivers'!T265,3)</x:f>
        <x:v>-3.141</x:v>
      </x:c>
      <x:c r="AR265" s="64" t="n">
        <x:f>-ROUND(AK265*'Drivers'!U265,3)</x:f>
        <x:v>-10.706</x:v>
      </x:c>
      <x:c r="AS265" s="64" t="n">
        <x:f>-ROUND(AK265*'Drivers'!V265,3)</x:f>
        <x:v>-36.722</x:v>
      </x:c>
      <x:c r="AT265" s="64" t="n">
        <x:f>SUM(AO265:AS265)</x:f>
        <x:v>-615.717</x:v>
      </x:c>
      <x:c r="AU265" s="65" t="n">
        <x:f>AT265/AK265</x:f>
        <x:v>-0.595281578685312</x:v>
      </x:c>
      <x:c r="AV265" s="64" t="n">
        <x:f>AK265+AT265</x:f>
        <x:v>418.61199999999997</x:v>
      </x:c>
      <x:c r="AW265" s="65" t="n">
        <x:f>AV265/AK265</x:f>
        <x:v>0.40471842131468805</x:v>
      </x:c>
      <x:c r="AX265" s="64" t="n">
        <x:f>-ROUND(AK265*'Drivers'!W265,3)</x:f>
        <x:v>-11.514</x:v>
      </x:c>
      <x:c r="AY265" s="64" t="n">
        <x:f>-ROUND(AK265*'Drivers'!X265,3)</x:f>
        <x:v>-24.609</x:v>
      </x:c>
      <x:c r="AZ265" s="64" t="n">
        <x:f>-ROUND(AK265*'Drivers'!Y265,3)</x:f>
        <x:v>-19.519</x:v>
      </x:c>
      <x:c r="BA265" s="64" t="n">
        <x:f>-ROUND(AK265*'Drivers'!Z265,3)</x:f>
        <x:v>-5.802</x:v>
      </x:c>
      <x:c r="BB265" s="64" t="n">
        <x:f>-ROUND(AK265*'Drivers'!AA265,3)</x:f>
        <x:v>-11.204</x:v>
      </x:c>
      <x:c r="BC265" s="64" t="n">
        <x:f>SUM(BA265,BB265)</x:f>
        <x:v>-17.006</x:v>
      </x:c>
      <x:c r="BD265" s="64" t="n">
        <x:f>-ROUND(AK265*'Drivers'!AB265,3)</x:f>
        <x:v>-12.538</x:v>
      </x:c>
      <x:c r="BE265" s="64" t="n">
        <x:f>SUM(AX265:BB265,BD265)</x:f>
        <x:v>-85.18599999999999</x:v>
      </x:c>
      <x:c r="BF265" s="67" t="n">
        <x:f>'Drivers'!AF265</x:f>
        <x:v>9</x:v>
      </x:c>
      <x:c r="BG265" s="64" t="n">
        <x:f>BJ265</x:f>
        <x:v>-29.031</x:v>
      </x:c>
      <x:c r="BH265" s="64" t="n">
        <x:f>BE265/BF265</x:f>
        <x:v>-9.46511111111111</x:v>
      </x:c>
      <x:c r="BI265" s="68" t="n">
        <x:f>BF265/L265</x:f>
        <x:v>3</x:v>
      </x:c>
      <x:c r="BJ265" s="64" t="n">
        <x:f>-ROUND(AK265*'Drivers'!AC265,3)</x:f>
        <x:v>-29.031</x:v>
      </x:c>
      <x:c r="BK265" s="64" t="n">
        <x:f>-ROUND(AK265*'Drivers'!AD265,3)</x:f>
        <x:v>-113.166</x:v>
      </x:c>
      <x:c r="BL265" s="64" t="n">
        <x:f>SUM(AV265,BE265,BJ265,BK265)</x:f>
        <x:v>191.22899999999998</x:v>
      </x:c>
      <x:c r="BM265" s="65" t="n">
        <x:f>BL265/AK265</x:f>
        <x:v>0.184882179654636</x:v>
      </x:c>
      <x:c r="BN265" s="64" t="n">
        <x:f>-ROUND(AK265*'Drivers'!AE265,3)</x:f>
        <x:v>-85.73</x:v>
      </x:c>
      <x:c r="BO265" s="64" t="n">
        <x:f>BL265+BN265</x:f>
        <x:v>105.49899999999998</x:v>
      </x:c>
      <x:c r="BP265" s="65" t="n">
        <x:f>BO265/AK265</x:f>
        <x:v>0.10199752689908143</x:v>
      </x:c>
    </x:row>
    <x:row r="266">
      <x:c r="A266" s="61" t="n">
        <x:v>2025</x:v>
      </x:c>
      <x:c r="B266" s="18" t="str">
        <x:v>S1</x:v>
      </x:c>
      <x:c r="C266" s="18" t="str">
        <x:v>2025 S1</x:v>
      </x:c>
      <x:c r="D266" s="18" t="str">
        <x:v>CNCT0067</x:v>
      </x:c>
      <x:c r="E266" s="18" t="str">
        <x:v>南京新街口百货</x:v>
      </x:c>
      <x:c r="F266" s="18" t="str">
        <x:v>南京</x:v>
      </x:c>
      <x:c r="G266" s="18" t="str">
        <x:v>江苏省</x:v>
      </x:c>
      <x:c r="H266" s="18" t="str">
        <x:v>东区</x:v>
      </x:c>
      <x:c r="I266" s="18" t="str">
        <x:v>Department Store</x:v>
      </x:c>
      <x:c r="J266" s="18" t="str">
        <x:v>Core Shopping Center</x:v>
      </x:c>
      <x:c r="K266" s="18" t="str">
        <x:v>正常</x:v>
      </x:c>
      <x:c r="L266" s="62" t="n">
        <x:v>5</x:v>
      </x:c>
      <x:c r="M266" s="62" t="n">
        <x:v>47</x:v>
      </x:c>
      <x:c r="N266" s="63" t="n">
        <x:f>'Drivers'!C266</x:f>
        <x:v>1897</x:v>
      </x:c>
      <x:c r="O266" s="63" t="n">
        <x:f>'Drivers'!D266</x:f>
        <x:v>1153.774</x:v>
      </x:c>
      <x:c r="P266" s="64" t="n">
        <x:f>ROUND(N266*O266/1000,3)</x:f>
        <x:v>2188.709</x:v>
      </x:c>
      <x:c r="Q266" s="64" t="n">
        <x:f>ROUND(P266*'Drivers'!E266,3)</x:f>
        <x:v>2113.053</x:v>
      </x:c>
      <x:c r="R266" s="64" t="n">
        <x:f>-ROUND(Q266*'Drivers'!F266,3)</x:f>
        <x:v>-449.697</x:v>
      </x:c>
      <x:c r="S266" s="65" t="n">
        <x:f>R266/Q266</x:f>
        <x:v>-0.2128186089037994</x:v>
      </x:c>
      <x:c r="T266" s="64" t="n">
        <x:f>-ROUND(Q266*'Drivers'!G266,3)</x:f>
        <x:v>-24.72</x:v>
      </x:c>
      <x:c r="U266" s="65" t="n">
        <x:f>T266/Q266</x:f>
        <x:v>-0.01169871271567727</x:v>
      </x:c>
      <x:c r="V266" s="64" t="n">
        <x:f>-ROUND(Q266*'Drivers'!H266,3)</x:f>
        <x:v>-17.898</x:v>
      </x:c>
      <x:c r="W266" s="64" t="n">
        <x:f>-ROUND(Q266*'Drivers'!I266,3)</x:f>
        <x:v>-12.901</x:v>
      </x:c>
      <x:c r="X266" s="64" t="n">
        <x:f>-ROUND(Q266*'Drivers'!J266,3)</x:f>
        <x:v>-29.66</x:v>
      </x:c>
      <x:c r="Y266" s="64" t="n">
        <x:f>-ROUND(Q266*'Drivers'!K266,3)</x:f>
        <x:v>-26.325</x:v>
      </x:c>
      <x:c r="Z266" s="64" t="n">
        <x:f>-ROUND(Q266*'Drivers'!L266,3)</x:f>
        <x:v>-23.168</x:v>
      </x:c>
      <x:c r="AA266" s="64" t="n">
        <x:f>-ROUND(Q266*'Drivers'!M266,3)</x:f>
        <x:v>-20.231</x:v>
      </x:c>
      <x:c r="AB266" s="64" t="n">
        <x:f>-ROUND(Q266*'Drivers'!N266,3)</x:f>
        <x:v>-10.768</x:v>
      </x:c>
      <x:c r="AC266" s="64" t="n">
        <x:f>SUM(V266:AB266)</x:f>
        <x:v>-140.951</x:v>
      </x:c>
      <x:c r="AD266" s="65" t="n">
        <x:f>AC266/Q266</x:f>
        <x:v>-0.0667049051774849</x:v>
      </x:c>
      <x:c r="AE266" s="64" t="n">
        <x:f>-ROUND(Q266*'Drivers'!O266,3)</x:f>
        <x:v>-23.913</x:v>
      </x:c>
      <x:c r="AF266" s="65" t="n">
        <x:f>AE266/Q266</x:f>
        <x:v>-0.011316800856391203</x:v>
      </x:c>
      <x:c r="AG266" s="64" t="n">
        <x:f>-ROUND(Q266*'Drivers'!P266,3)</x:f>
        <x:v>-2.455</x:v>
      </x:c>
      <x:c r="AH266" s="64" t="n">
        <x:f>-ROUND(Q266*'Drivers'!Q266,3)</x:f>
        <x:v>-11.456</x:v>
      </x:c>
      <x:c r="AI266" s="64" t="n">
        <x:f>SUM(R266,T266,AC266,AE266,AG266,AH266)</x:f>
        <x:v>-653.1920000000001</x:v>
      </x:c>
      <x:c r="AJ266" s="65" t="n">
        <x:f>AI266/Q266</x:f>
        <x:v>-0.3091223930492989</x:v>
      </x:c>
      <x:c r="AK266" s="64" t="n">
        <x:f>Q266+AI266</x:f>
        <x:v>1459.8609999999999</x:v>
      </x:c>
      <x:c r="AL266" s="65" t="n">
        <x:f>AK266/Q266</x:f>
        <x:v>0.6908776069507012</x:v>
      </x:c>
      <x:c r="AM266" s="64" t="n">
        <x:f>AK266/L266</x:f>
        <x:v>291.9722</x:v>
      </x:c>
      <x:c r="AN266" s="66" t="str">
        <x:f>IF(AM266&lt;=200,"≤200K",IF(AM266&lt;=350,"200–350K",IF(AM266&lt;=500,"350–500K",IF(AM266&lt;=700,"500–700K","&gt;700K"))))</x:f>
        <x:v>200–350K</x:v>
      </x:c>
      <x:c r="AO266" s="64" t="n">
        <x:f>-ROUND(Q266*'Drivers'!R266,3)</x:f>
        <x:v>-744.482</x:v>
      </x:c>
      <x:c r="AP266" s="64" t="n">
        <x:f>-ROUND(AK266*'Drivers'!S266,3)</x:f>
        <x:v>-16.886</x:v>
      </x:c>
      <x:c r="AQ266" s="64" t="n">
        <x:f>-ROUND(AK266*'Drivers'!T266,3)</x:f>
        <x:v>-8.104</x:v>
      </x:c>
      <x:c r="AR266" s="64" t="n">
        <x:f>-ROUND(AK266*'Drivers'!U266,3)</x:f>
        <x:v>-14.624</x:v>
      </x:c>
      <x:c r="AS266" s="64" t="n">
        <x:f>-ROUND(AK266*'Drivers'!V266,3)</x:f>
        <x:v>-51.049</x:v>
      </x:c>
      <x:c r="AT266" s="64" t="n">
        <x:f>SUM(AO266:AS266)</x:f>
        <x:v>-835.145</x:v>
      </x:c>
      <x:c r="AU266" s="65" t="n">
        <x:f>AT266/AK266</x:f>
        <x:v>-0.5720715876374531</x:v>
      </x:c>
      <x:c r="AV266" s="64" t="n">
        <x:f>AK266+AT266</x:f>
        <x:v>624.7159999999999</x:v>
      </x:c>
      <x:c r="AW266" s="65" t="n">
        <x:f>AV266/AK266</x:f>
        <x:v>0.4279284123625468</x:v>
      </x:c>
      <x:c r="AX266" s="64" t="n">
        <x:f>-ROUND(AK266*'Drivers'!W266,3)</x:f>
        <x:v>-20.727</x:v>
      </x:c>
      <x:c r="AY266" s="64" t="n">
        <x:f>-ROUND(AK266*'Drivers'!X266,3)</x:f>
        <x:v>-29.914</x:v>
      </x:c>
      <x:c r="AZ266" s="64" t="n">
        <x:f>-ROUND(AK266*'Drivers'!Y266,3)</x:f>
        <x:v>-19.866</x:v>
      </x:c>
      <x:c r="BA266" s="64" t="n">
        <x:f>-ROUND(AK266*'Drivers'!Z266,3)</x:f>
        <x:v>-11.034</x:v>
      </x:c>
      <x:c r="BB266" s="64" t="n">
        <x:f>-ROUND(AK266*'Drivers'!AA266,3)</x:f>
        <x:v>-13.043</x:v>
      </x:c>
      <x:c r="BC266" s="64" t="n">
        <x:f>SUM(BA266,BB266)</x:f>
        <x:v>-24.076999999999998</x:v>
      </x:c>
      <x:c r="BD266" s="64" t="n">
        <x:f>-ROUND(AK266*'Drivers'!AB266,3)</x:f>
        <x:v>-6.38</x:v>
      </x:c>
      <x:c r="BE266" s="64" t="n">
        <x:f>SUM(AX266:BB266,BD266)</x:f>
        <x:v>-100.964</x:v>
      </x:c>
      <x:c r="BF266" s="67" t="n">
        <x:f>'Drivers'!AF266</x:f>
        <x:v>10</x:v>
      </x:c>
      <x:c r="BG266" s="64" t="n">
        <x:f>BJ266</x:f>
        <x:v>-36.661</x:v>
      </x:c>
      <x:c r="BH266" s="64" t="n">
        <x:f>BE266/BF266</x:f>
        <x:v>-10.0964</x:v>
      </x:c>
      <x:c r="BI266" s="68" t="n">
        <x:f>BF266/L266</x:f>
        <x:v>2</x:v>
      </x:c>
      <x:c r="BJ266" s="64" t="n">
        <x:f>-ROUND(AK266*'Drivers'!AC266,3)</x:f>
        <x:v>-36.661</x:v>
      </x:c>
      <x:c r="BK266" s="64" t="n">
        <x:f>-ROUND(AK266*'Drivers'!AD266,3)</x:f>
        <x:v>-162.317</x:v>
      </x:c>
      <x:c r="BL266" s="64" t="n">
        <x:f>SUM(AV266,BE266,BJ266,BK266)</x:f>
        <x:v>324.77399999999994</x:v>
      </x:c>
      <x:c r="BM266" s="65" t="n">
        <x:f>BL266/AK266</x:f>
        <x:v>0.22246912548523454</x:v>
      </x:c>
      <x:c r="BN266" s="64" t="n">
        <x:f>-ROUND(AK266*'Drivers'!AE266,3)</x:f>
        <x:v>-131.508</x:v>
      </x:c>
      <x:c r="BO266" s="64" t="n">
        <x:f>BL266+BN266</x:f>
        <x:v>193.26599999999993</x:v>
      </x:c>
      <x:c r="BP266" s="65" t="n">
        <x:f>BO266/AK266</x:f>
        <x:v>0.13238657653023128</x:v>
      </x:c>
    </x:row>
    <x:row r="267">
      <x:c r="A267" s="61" t="n">
        <x:v>2025</x:v>
      </x:c>
      <x:c r="B267" s="18" t="str">
        <x:v>S2</x:v>
      </x:c>
      <x:c r="C267" s="18" t="str">
        <x:v>2025 S2</x:v>
      </x:c>
      <x:c r="D267" s="18" t="str">
        <x:v>CNCT0067</x:v>
      </x:c>
      <x:c r="E267" s="18" t="str">
        <x:v>南京新街口百货</x:v>
      </x:c>
      <x:c r="F267" s="18" t="str">
        <x:v>南京</x:v>
      </x:c>
      <x:c r="G267" s="18" t="str">
        <x:v>江苏省</x:v>
      </x:c>
      <x:c r="H267" s="18" t="str">
        <x:v>东区</x:v>
      </x:c>
      <x:c r="I267" s="18" t="str">
        <x:v>Department Store</x:v>
      </x:c>
      <x:c r="J267" s="18" t="str">
        <x:v>Core Shopping Center</x:v>
      </x:c>
      <x:c r="K267" s="18" t="str">
        <x:v>正常</x:v>
      </x:c>
      <x:c r="L267" s="62" t="n">
        <x:v>5</x:v>
      </x:c>
      <x:c r="M267" s="62" t="n">
        <x:v>47</x:v>
      </x:c>
      <x:c r="N267" s="63" t="n">
        <x:f>'Drivers'!C267</x:f>
        <x:v>2018</x:v>
      </x:c>
      <x:c r="O267" s="63" t="n">
        <x:f>'Drivers'!D267</x:f>
        <x:v>1167.619</x:v>
      </x:c>
      <x:c r="P267" s="64" t="n">
        <x:f>ROUND(N267*O267/1000,3)</x:f>
        <x:v>2356.255</x:v>
      </x:c>
      <x:c r="Q267" s="64" t="n">
        <x:f>ROUND(P267*'Drivers'!E267,3)</x:f>
        <x:v>2290.138</x:v>
      </x:c>
      <x:c r="R267" s="64" t="n">
        <x:f>-ROUND(Q267*'Drivers'!F267,3)</x:f>
        <x:v>-487.384</x:v>
      </x:c>
      <x:c r="S267" s="65" t="n">
        <x:f>R267/Q267</x:f>
        <x:v>-0.2128186161707286</x:v>
      </x:c>
      <x:c r="T267" s="64" t="n">
        <x:f>-ROUND(Q267*'Drivers'!G267,3)</x:f>
        <x:v>-26.791</x:v>
      </x:c>
      <x:c r="U267" s="65" t="n">
        <x:f>T267/Q267</x:f>
        <x:v>-0.01169842166716591</x:v>
      </x:c>
      <x:c r="V267" s="64" t="n">
        <x:f>-ROUND(Q267*'Drivers'!H267,3)</x:f>
        <x:v>-19.398</x:v>
      </x:c>
      <x:c r="W267" s="64" t="n">
        <x:f>-ROUND(Q267*'Drivers'!I267,3)</x:f>
        <x:v>-13.982</x:v>
      </x:c>
      <x:c r="X267" s="64" t="n">
        <x:f>-ROUND(Q267*'Drivers'!J267,3)</x:f>
        <x:v>-32.146</x:v>
      </x:c>
      <x:c r="Y267" s="64" t="n">
        <x:f>-ROUND(Q267*'Drivers'!K267,3)</x:f>
        <x:v>-28.532</x:v>
      </x:c>
      <x:c r="Z267" s="64" t="n">
        <x:f>-ROUND(Q267*'Drivers'!L267,3)</x:f>
        <x:v>-25.11</x:v>
      </x:c>
      <x:c r="AA267" s="64" t="n">
        <x:f>-ROUND(Q267*'Drivers'!M267,3)</x:f>
        <x:v>-21.927</x:v>
      </x:c>
      <x:c r="AB267" s="64" t="n">
        <x:f>-ROUND(Q267*'Drivers'!N267,3)</x:f>
        <x:v>-11.67</x:v>
      </x:c>
      <x:c r="AC267" s="64" t="n">
        <x:f>SUM(V267:AB267)</x:f>
        <x:v>-152.765</x:v>
      </x:c>
      <x:c r="AD267" s="65" t="n">
        <x:f>AC267/Q267</x:f>
        <x:v>-0.06670558717422269</x:v>
      </x:c>
      <x:c r="AE267" s="64" t="n">
        <x:f>-ROUND(Q267*'Drivers'!O267,3)</x:f>
        <x:v>-25.917</x:v>
      </x:c>
      <x:c r="AF267" s="65" t="n">
        <x:f>AE267/Q267</x:f>
        <x:v>-0.011316785276695118</x:v>
      </x:c>
      <x:c r="AG267" s="64" t="n">
        <x:f>-ROUND(Q267*'Drivers'!P267,3)</x:f>
        <x:v>-2.661</x:v>
      </x:c>
      <x:c r="AH267" s="64" t="n">
        <x:f>-ROUND(Q267*'Drivers'!Q267,3)</x:f>
        <x:v>-12.416</x:v>
      </x:c>
      <x:c r="AI267" s="64" t="n">
        <x:f>SUM(R267,T267,AC267,AE267,AG267,AH267)</x:f>
        <x:v>-707.9340000000001</x:v>
      </x:c>
      <x:c r="AJ267" s="65" t="n">
        <x:f>AI267/Q267</x:f>
        <x:v>-0.309122856351888</x:v>
      </x:c>
      <x:c r="AK267" s="64" t="n">
        <x:f>Q267+AI267</x:f>
        <x:v>1582.2039999999997</x:v>
      </x:c>
      <x:c r="AL267" s="65" t="n">
        <x:f>AK267/Q267</x:f>
        <x:v>0.6908771436481119</x:v>
      </x:c>
      <x:c r="AM267" s="64" t="n">
        <x:f>AK267/L267</x:f>
        <x:v>316.44079999999997</x:v>
      </x:c>
      <x:c r="AN267" s="66" t="str">
        <x:f>IF(AM267&lt;=200,"≤200K",IF(AM267&lt;=350,"200–350K",IF(AM267&lt;=500,"350–500K",IF(AM267&lt;=700,"500–700K","&gt;700K"))))</x:f>
        <x:v>200–350K</x:v>
      </x:c>
      <x:c r="AO267" s="64" t="n">
        <x:f>-ROUND(Q267*'Drivers'!R267,3)</x:f>
        <x:v>-807.737</x:v>
      </x:c>
      <x:c r="AP267" s="64" t="n">
        <x:f>-ROUND(AK267*'Drivers'!S267,3)</x:f>
        <x:v>-18.301</x:v>
      </x:c>
      <x:c r="AQ267" s="64" t="n">
        <x:f>-ROUND(AK267*'Drivers'!T267,3)</x:f>
        <x:v>-8.783</x:v>
      </x:c>
      <x:c r="AR267" s="64" t="n">
        <x:f>-ROUND(AK267*'Drivers'!U267,3)</x:f>
        <x:v>-15.85</x:v>
      </x:c>
      <x:c r="AS267" s="64" t="n">
        <x:f>-ROUND(AK267*'Drivers'!V267,3)</x:f>
        <x:v>-55.327</x:v>
      </x:c>
      <x:c r="AT267" s="64" t="n">
        <x:f>SUM(AO267:AS267)</x:f>
        <x:v>-905.998</x:v>
      </x:c>
      <x:c r="AU267" s="65" t="n">
        <x:f>AT267/AK267</x:f>
        <x:v>-0.572617690259916</x:v>
      </x:c>
      <x:c r="AV267" s="64" t="n">
        <x:f>AK267+AT267</x:f>
        <x:v>676.2059999999997</x:v>
      </x:c>
      <x:c r="AW267" s="65" t="n">
        <x:f>AV267/AK267</x:f>
        <x:v>0.42738230974008395</x:v>
      </x:c>
      <x:c r="AX267" s="64" t="n">
        <x:f>-ROUND(AK267*'Drivers'!W267,3)</x:f>
        <x:v>-22.464</x:v>
      </x:c>
      <x:c r="AY267" s="64" t="n">
        <x:f>-ROUND(AK267*'Drivers'!X267,3)</x:f>
        <x:v>-32.421</x:v>
      </x:c>
      <x:c r="AZ267" s="64" t="n">
        <x:f>-ROUND(AK267*'Drivers'!Y267,3)</x:f>
        <x:v>-21.531</x:v>
      </x:c>
      <x:c r="BA267" s="64" t="n">
        <x:f>-ROUND(AK267*'Drivers'!Z267,3)</x:f>
        <x:v>-11.959</x:v>
      </x:c>
      <x:c r="BB267" s="64" t="n">
        <x:f>-ROUND(AK267*'Drivers'!AA267,3)</x:f>
        <x:v>-14.136</x:v>
      </x:c>
      <x:c r="BC267" s="64" t="n">
        <x:f>SUM(BA267,BB267)</x:f>
        <x:v>-26.095</x:v>
      </x:c>
      <x:c r="BD267" s="64" t="n">
        <x:f>-ROUND(AK267*'Drivers'!AB267,3)</x:f>
        <x:v>-6.915</x:v>
      </x:c>
      <x:c r="BE267" s="64" t="n">
        <x:f>SUM(AX267:BB267,BD267)</x:f>
        <x:v>-109.426</x:v>
      </x:c>
      <x:c r="BF267" s="67" t="n">
        <x:f>'Drivers'!AF267</x:f>
        <x:v>10</x:v>
      </x:c>
      <x:c r="BG267" s="64" t="n">
        <x:f>BJ267</x:f>
        <x:v>-39.733</x:v>
      </x:c>
      <x:c r="BH267" s="64" t="n">
        <x:f>BE267/BF267</x:f>
        <x:v>-10.9426</x:v>
      </x:c>
      <x:c r="BI267" s="68" t="n">
        <x:f>BF267/L267</x:f>
        <x:v>2</x:v>
      </x:c>
      <x:c r="BJ267" s="64" t="n">
        <x:f>-ROUND(AK267*'Drivers'!AC267,3)</x:f>
        <x:v>-39.733</x:v>
      </x:c>
      <x:c r="BK267" s="64" t="n">
        <x:f>-ROUND(AK267*'Drivers'!AD267,3)</x:f>
        <x:v>-175.92</x:v>
      </x:c>
      <x:c r="BL267" s="64" t="n">
        <x:f>SUM(AV267,BE267,BJ267,BK267)</x:f>
        <x:v>351.1269999999997</x:v>
      </x:c>
      <x:c r="BM267" s="65" t="n">
        <x:f>BL267/AK267</x:f>
        <x:v>0.22192271034582126</x:v>
      </x:c>
      <x:c r="BN267" s="64" t="n">
        <x:f>-ROUND(AK267*'Drivers'!AE267,3)</x:f>
        <x:v>-142.529</x:v>
      </x:c>
      <x:c r="BO267" s="64" t="n">
        <x:f>BL267+BN267</x:f>
        <x:v>208.59799999999973</x:v>
      </x:c>
      <x:c r="BP267" s="65" t="n">
        <x:f>BO267/AK267</x:f>
        <x:v>0.1318401419791631</x:v>
      </x:c>
    </x:row>
    <x:row r="268">
      <x:c r="A268" s="61" t="n">
        <x:v>2026</x:v>
      </x:c>
      <x:c r="B268" s="18" t="str">
        <x:v>S1</x:v>
      </x:c>
      <x:c r="C268" s="18" t="str">
        <x:v>2026 S1</x:v>
      </x:c>
      <x:c r="D268" s="18" t="str">
        <x:v>CNCT0067</x:v>
      </x:c>
      <x:c r="E268" s="18" t="str">
        <x:v>南京新街口百货</x:v>
      </x:c>
      <x:c r="F268" s="18" t="str">
        <x:v>南京</x:v>
      </x:c>
      <x:c r="G268" s="18" t="str">
        <x:v>江苏省</x:v>
      </x:c>
      <x:c r="H268" s="18" t="str">
        <x:v>东区</x:v>
      </x:c>
      <x:c r="I268" s="18" t="str">
        <x:v>Department Store</x:v>
      </x:c>
      <x:c r="J268" s="18" t="str">
        <x:v>Core Shopping Center</x:v>
      </x:c>
      <x:c r="K268" s="18" t="str">
        <x:v>正常</x:v>
      </x:c>
      <x:c r="L268" s="62" t="n">
        <x:v>5</x:v>
      </x:c>
      <x:c r="M268" s="62" t="n">
        <x:v>47</x:v>
      </x:c>
      <x:c r="N268" s="63" t="n">
        <x:f>'Drivers'!C268</x:f>
        <x:v>1834</x:v>
      </x:c>
      <x:c r="O268" s="63" t="n">
        <x:f>'Drivers'!D268</x:f>
        <x:v>1218.25</x:v>
      </x:c>
      <x:c r="P268" s="64" t="n">
        <x:f>ROUND(N268*O268/1000,3)</x:f>
        <x:v>2234.271</x:v>
      </x:c>
      <x:c r="Q268" s="64" t="n">
        <x:f>ROUND(P268*'Drivers'!E268,3)</x:f>
        <x:v>2150.937</x:v>
      </x:c>
      <x:c r="R268" s="64" t="n">
        <x:f>-ROUND(Q268*'Drivers'!F268,3)</x:f>
        <x:v>-468.942</x:v>
      </x:c>
      <x:c r="S268" s="65" t="n">
        <x:f>R268/Q268</x:f>
        <x:v>-0.2180175430521675</x:v>
      </x:c>
      <x:c r="T268" s="64" t="n">
        <x:f>-ROUND(Q268*'Drivers'!G268,3)</x:f>
        <x:v>-21.464</x:v>
      </x:c>
      <x:c r="U268" s="65" t="n">
        <x:f>T268/Q268</x:f>
        <x:v>-0.009978906867100245</x:v>
      </x:c>
      <x:c r="V268" s="64" t="n">
        <x:f>-ROUND(Q268*'Drivers'!H268,3)</x:f>
        <x:v>-18.219</x:v>
      </x:c>
      <x:c r="W268" s="64" t="n">
        <x:f>-ROUND(Q268*'Drivers'!I268,3)</x:f>
        <x:v>-13.132</x:v>
      </x:c>
      <x:c r="X268" s="64" t="n">
        <x:f>-ROUND(Q268*'Drivers'!J268,3)</x:f>
        <x:v>-30.192</x:v>
      </x:c>
      <x:c r="Y268" s="64" t="n">
        <x:f>-ROUND(Q268*'Drivers'!K268,3)</x:f>
        <x:v>-26.797</x:v>
      </x:c>
      <x:c r="Z268" s="64" t="n">
        <x:f>-ROUND(Q268*'Drivers'!L268,3)</x:f>
        <x:v>-23.584</x:v>
      </x:c>
      <x:c r="AA268" s="64" t="n">
        <x:f>-ROUND(Q268*'Drivers'!M268,3)</x:f>
        <x:v>-20.594</x:v>
      </x:c>
      <x:c r="AB268" s="64" t="n">
        <x:f>-ROUND(Q268*'Drivers'!N268,3)</x:f>
        <x:v>-10.961</x:v>
      </x:c>
      <x:c r="AC268" s="64" t="n">
        <x:f>SUM(V268:AB268)</x:f>
        <x:v>-143.479</x:v>
      </x:c>
      <x:c r="AD268" s="65" t="n">
        <x:f>AC268/Q268</x:f>
        <x:v>-0.0667053474834456</x:v>
      </x:c>
      <x:c r="AE268" s="64" t="n">
        <x:f>-ROUND(Q268*'Drivers'!O268,3)</x:f>
        <x:v>-25.438</x:v>
      </x:c>
      <x:c r="AF268" s="65" t="n">
        <x:f>AE268/Q268</x:f>
        <x:v>-0.011826473764689528</x:v>
      </x:c>
      <x:c r="AG268" s="64" t="n">
        <x:f>-ROUND(Q268*'Drivers'!P268,3)</x:f>
        <x:v>-2.499</x:v>
      </x:c>
      <x:c r="AH268" s="64" t="n">
        <x:f>-ROUND(Q268*'Drivers'!Q268,3)</x:f>
        <x:v>-11.662</x:v>
      </x:c>
      <x:c r="AI268" s="64" t="n">
        <x:f>SUM(R268,T268,AC268,AE268,AG268,AH268)</x:f>
        <x:v>-673.484</x:v>
      </x:c>
      <x:c r="AJ268" s="65" t="n">
        <x:f>AI268/Q268</x:f>
        <x:v>-0.31311191355209383</x:v>
      </x:c>
      <x:c r="AK268" s="64" t="n">
        <x:f>Q268+AI268</x:f>
        <x:v>1477.453</x:v>
      </x:c>
      <x:c r="AL268" s="65" t="n">
        <x:f>AK268/Q268</x:f>
        <x:v>0.6868880864479062</x:v>
      </x:c>
      <x:c r="AM268" s="64" t="n">
        <x:f>AK268/L268</x:f>
        <x:v>295.4906</x:v>
      </x:c>
      <x:c r="AN268" s="66" t="str">
        <x:f>IF(AM268&lt;=200,"≤200K",IF(AM268&lt;=350,"200–350K",IF(AM268&lt;=500,"350–500K",IF(AM268&lt;=700,"500–700K","&gt;700K"))))</x:f>
        <x:v>200–350K</x:v>
      </x:c>
      <x:c r="AO268" s="64" t="n">
        <x:f>-ROUND(Q268*'Drivers'!R268,3)</x:f>
        <x:v>-750.826</x:v>
      </x:c>
      <x:c r="AP268" s="64" t="n">
        <x:f>-ROUND(AK268*'Drivers'!S268,3)</x:f>
        <x:v>-17.089</x:v>
      </x:c>
      <x:c r="AQ268" s="64" t="n">
        <x:f>-ROUND(AK268*'Drivers'!T268,3)</x:f>
        <x:v>-8.201</x:v>
      </x:c>
      <x:c r="AR268" s="64" t="n">
        <x:f>-ROUND(AK268*'Drivers'!U268,3)</x:f>
        <x:v>-14.8</x:v>
      </x:c>
      <x:c r="AS268" s="64" t="n">
        <x:f>-ROUND(AK268*'Drivers'!V268,3)</x:f>
        <x:v>-51.664</x:v>
      </x:c>
      <x:c r="AT268" s="64" t="n">
        <x:f>SUM(AO268:AS268)</x:f>
        <x:v>-842.5799999999999</x:v>
      </x:c>
      <x:c r="AU268" s="65" t="n">
        <x:f>AT268/AK268</x:f>
        <x:v>-0.5702922529515321</x:v>
      </x:c>
      <x:c r="AV268" s="64" t="n">
        <x:f>AK268+AT268</x:f>
        <x:v>634.873</x:v>
      </x:c>
      <x:c r="AW268" s="65" t="n">
        <x:f>AV268/AK268</x:f>
        <x:v>0.4297077470484679</x:v>
      </x:c>
      <x:c r="AX268" s="64" t="n">
        <x:f>-ROUND(AK268*'Drivers'!W268,3)</x:f>
        <x:v>-25.811</x:v>
      </x:c>
      <x:c r="AY268" s="64" t="n">
        <x:f>-ROUND(AK268*'Drivers'!X268,3)</x:f>
        <x:v>-37.251</x:v>
      </x:c>
      <x:c r="AZ268" s="64" t="n">
        <x:f>-ROUND(AK268*'Drivers'!Y268,3)</x:f>
        <x:v>-24.738</x:v>
      </x:c>
      <x:c r="BA268" s="64" t="n">
        <x:f>-ROUND(AK268*'Drivers'!Z268,3)</x:f>
        <x:v>-13.741</x:v>
      </x:c>
      <x:c r="BB268" s="64" t="n">
        <x:f>-ROUND(AK268*'Drivers'!AA268,3)</x:f>
        <x:v>-16.242</x:v>
      </x:c>
      <x:c r="BC268" s="64" t="n">
        <x:f>SUM(BA268,BB268)</x:f>
        <x:v>-29.983</x:v>
      </x:c>
      <x:c r="BD268" s="64" t="n">
        <x:f>-ROUND(AK268*'Drivers'!AB268,3)</x:f>
        <x:v>-7.945</x:v>
      </x:c>
      <x:c r="BE268" s="64" t="n">
        <x:f>SUM(AX268:BB268,BD268)</x:f>
        <x:v>-125.72800000000001</x:v>
      </x:c>
      <x:c r="BF268" s="67" t="n">
        <x:f>'Drivers'!AF268</x:f>
        <x:v>10</x:v>
      </x:c>
      <x:c r="BG268" s="64" t="n">
        <x:f>BJ268</x:f>
        <x:v>-45.653</x:v>
      </x:c>
      <x:c r="BH268" s="64" t="n">
        <x:f>BE268/BF268</x:f>
        <x:v>-12.5728</x:v>
      </x:c>
      <x:c r="BI268" s="68" t="n">
        <x:f>BF268/L268</x:f>
        <x:v>2</x:v>
      </x:c>
      <x:c r="BJ268" s="64" t="n">
        <x:f>-ROUND(AK268*'Drivers'!AC268,3)</x:f>
        <x:v>-45.653</x:v>
      </x:c>
      <x:c r="BK268" s="64" t="n">
        <x:f>-ROUND(AK268*'Drivers'!AD268,3)</x:f>
        <x:v>-164.273</x:v>
      </x:c>
      <x:c r="BL268" s="64" t="n">
        <x:f>SUM(AV268,BE268,BJ268,BK268)</x:f>
        <x:v>299.21900000000005</x:v>
      </x:c>
      <x:c r="BM268" s="65" t="n">
        <x:f>BL268/AK268</x:f>
        <x:v>0.20252353205144263</x:v>
      </x:c>
      <x:c r="BN268" s="64" t="n">
        <x:f>-ROUND(AK268*'Drivers'!AE268,3)</x:f>
        <x:v>-133.093</x:v>
      </x:c>
      <x:c r="BO268" s="64" t="n">
        <x:f>BL268+BN268</x:f>
        <x:v>166.12600000000006</x:v>
      </x:c>
      <x:c r="BP268" s="65" t="n">
        <x:f>BO268/AK268</x:f>
        <x:v>0.11244080183938174</x:v>
      </x:c>
    </x:row>
    <x:row r="269">
      <x:c r="A269" s="61" t="n">
        <x:v>2026</x:v>
      </x:c>
      <x:c r="B269" s="18" t="str">
        <x:v>S2</x:v>
      </x:c>
      <x:c r="C269" s="18" t="str">
        <x:v>2026 S2</x:v>
      </x:c>
      <x:c r="D269" s="18" t="str">
        <x:v>CNCT0067</x:v>
      </x:c>
      <x:c r="E269" s="18" t="str">
        <x:v>南京新街口百货</x:v>
      </x:c>
      <x:c r="F269" s="18" t="str">
        <x:v>南京</x:v>
      </x:c>
      <x:c r="G269" s="18" t="str">
        <x:v>江苏省</x:v>
      </x:c>
      <x:c r="H269" s="18" t="str">
        <x:v>东区</x:v>
      </x:c>
      <x:c r="I269" s="18" t="str">
        <x:v>Department Store</x:v>
      </x:c>
      <x:c r="J269" s="18" t="str">
        <x:v>Core Shopping Center</x:v>
      </x:c>
      <x:c r="K269" s="18" t="str">
        <x:v>正常</x:v>
      </x:c>
      <x:c r="L269" s="62" t="n">
        <x:v>5</x:v>
      </x:c>
      <x:c r="M269" s="62" t="n">
        <x:v>46</x:v>
      </x:c>
      <x:c r="N269" s="63" t="n">
        <x:f>'Drivers'!C269</x:f>
        <x:v>2023</x:v>
      </x:c>
      <x:c r="O269" s="63" t="n">
        <x:f>'Drivers'!D269</x:f>
        <x:v>1203.252</x:v>
      </x:c>
      <x:c r="P269" s="64" t="n">
        <x:f>ROUND(N269*O269/1000,3)</x:f>
        <x:v>2434.179</x:v>
      </x:c>
      <x:c r="Q269" s="64" t="n">
        <x:f>ROUND(P269*'Drivers'!E269,3)</x:f>
        <x:v>2365.875</x:v>
      </x:c>
      <x:c r="R269" s="64" t="n">
        <x:f>-ROUND(Q269*'Drivers'!F269,3)</x:f>
        <x:v>-496.959</x:v>
      </x:c>
      <x:c r="S269" s="65" t="n">
        <x:f>R269/Q269</x:f>
        <x:v>-0.21005294024409574</x:v>
      </x:c>
      <x:c r="T269" s="64" t="n">
        <x:f>-ROUND(Q269*'Drivers'!G269,3)</x:f>
        <x:v>-29.797</x:v>
      </x:c>
      <x:c r="U269" s="65" t="n">
        <x:f>T269/Q269</x:f>
        <x:v>-0.012594494637290643</x:v>
      </x:c>
      <x:c r="V269" s="64" t="n">
        <x:f>-ROUND(Q269*'Drivers'!H269,3)</x:f>
        <x:v>-20.04</x:v>
      </x:c>
      <x:c r="W269" s="64" t="n">
        <x:f>-ROUND(Q269*'Drivers'!I269,3)</x:f>
        <x:v>-14.445</x:v>
      </x:c>
      <x:c r="X269" s="64" t="n">
        <x:f>-ROUND(Q269*'Drivers'!J269,3)</x:f>
        <x:v>-33.209</x:v>
      </x:c>
      <x:c r="Y269" s="64" t="n">
        <x:f>-ROUND(Q269*'Drivers'!K269,3)</x:f>
        <x:v>-29.475</x:v>
      </x:c>
      <x:c r="Z269" s="64" t="n">
        <x:f>-ROUND(Q269*'Drivers'!L269,3)</x:f>
        <x:v>-25.94</x:v>
      </x:c>
      <x:c r="AA269" s="64" t="n">
        <x:f>-ROUND(Q269*'Drivers'!M269,3)</x:f>
        <x:v>-22.652</x:v>
      </x:c>
      <x:c r="AB269" s="64" t="n">
        <x:f>-ROUND(Q269*'Drivers'!N269,3)</x:f>
        <x:v>-12.056</x:v>
      </x:c>
      <x:c r="AC269" s="64" t="n">
        <x:f>SUM(V269:AB269)</x:f>
        <x:v>-157.81700000000004</x:v>
      </x:c>
      <x:c r="AD269" s="65" t="n">
        <x:f>AC269/Q269</x:f>
        <x:v>-0.06670555291382682</x:v>
      </x:c>
      <x:c r="AE269" s="64" t="n">
        <x:f>-ROUND(Q269*'Drivers'!O269,3)</x:f>
        <x:v>-26.774</x:v>
      </x:c>
      <x:c r="AF269" s="65" t="n">
        <x:f>AE269/Q269</x:f>
        <x:v>-0.011316743276800338</x:v>
      </x:c>
      <x:c r="AG269" s="64" t="n">
        <x:f>-ROUND(Q269*'Drivers'!P269,3)</x:f>
        <x:v>-2.749</x:v>
      </x:c>
      <x:c r="AH269" s="64" t="n">
        <x:f>-ROUND(Q269*'Drivers'!Q269,3)</x:f>
        <x:v>-12.827</x:v>
      </x:c>
      <x:c r="AI269" s="64" t="n">
        <x:f>SUM(R269,T269,AC269,AE269,AG269,AH269)</x:f>
        <x:v>-726.923</x:v>
      </x:c>
      <x:c r="AJ269" s="65" t="n">
        <x:f>AI269/Q269</x:f>
        <x:v>-0.3072533417868653</x:v>
      </x:c>
      <x:c r="AK269" s="64" t="n">
        <x:f>Q269+AI269</x:f>
        <x:v>1638.952</x:v>
      </x:c>
      <x:c r="AL269" s="65" t="n">
        <x:f>AK269/Q269</x:f>
        <x:v>0.6927466582131346</x:v>
      </x:c>
      <x:c r="AM269" s="64" t="n">
        <x:f>AK269/L269</x:f>
        <x:v>327.7904</x:v>
      </x:c>
      <x:c r="AN269" s="66" t="str">
        <x:f>IF(AM269&lt;=200,"≤200K",IF(AM269&lt;=350,"200–350K",IF(AM269&lt;=500,"350–500K",IF(AM269&lt;=700,"500–700K","&gt;700K"))))</x:f>
        <x:v>200–350K</x:v>
      </x:c>
      <x:c r="AO269" s="64" t="n">
        <x:f>-ROUND(Q269*'Drivers'!R269,3)</x:f>
        <x:v>-833.585</x:v>
      </x:c>
      <x:c r="AP269" s="64" t="n">
        <x:f>-ROUND(AK269*'Drivers'!S269,3)</x:f>
        <x:v>-18.958</x:v>
      </x:c>
      <x:c r="AQ269" s="64" t="n">
        <x:f>-ROUND(AK269*'Drivers'!T269,3)</x:f>
        <x:v>-9.098</x:v>
      </x:c>
      <x:c r="AR269" s="64" t="n">
        <x:f>-ROUND(AK269*'Drivers'!U269,3)</x:f>
        <x:v>-16.418</x:v>
      </x:c>
      <x:c r="AS269" s="64" t="n">
        <x:f>-ROUND(AK269*'Drivers'!V269,3)</x:f>
        <x:v>-57.311</x:v>
      </x:c>
      <x:c r="AT269" s="64" t="n">
        <x:f>SUM(AO269:AS269)</x:f>
        <x:v>-935.37</x:v>
      </x:c>
      <x:c r="AU269" s="65" t="n">
        <x:f>AT269/AK269</x:f>
        <x:v>-0.5707122600295799</x:v>
      </x:c>
      <x:c r="AV269" s="64" t="n">
        <x:f>AK269+AT269</x:f>
        <x:v>703.582</x:v>
      </x:c>
      <x:c r="AW269" s="65" t="n">
        <x:f>AV269/AK269</x:f>
        <x:v>0.42928773997042013</x:v>
      </x:c>
      <x:c r="AX269" s="64" t="n">
        <x:f>-ROUND(AK269*'Drivers'!W269,3)</x:f>
        <x:v>-24.666</x:v>
      </x:c>
      <x:c r="AY269" s="64" t="n">
        <x:f>-ROUND(AK269*'Drivers'!X269,3)</x:f>
        <x:v>-35.599</x:v>
      </x:c>
      <x:c r="AZ269" s="64" t="n">
        <x:f>-ROUND(AK269*'Drivers'!Y269,3)</x:f>
        <x:v>-23.641</x:v>
      </x:c>
      <x:c r="BA269" s="64" t="n">
        <x:f>-ROUND(AK269*'Drivers'!Z269,3)</x:f>
        <x:v>-13.131</x:v>
      </x:c>
      <x:c r="BB269" s="64" t="n">
        <x:f>-ROUND(AK269*'Drivers'!AA269,3)</x:f>
        <x:v>-15.522</x:v>
      </x:c>
      <x:c r="BC269" s="64" t="n">
        <x:f>SUM(BA269,BB269)</x:f>
        <x:v>-28.653</x:v>
      </x:c>
      <x:c r="BD269" s="64" t="n">
        <x:f>-ROUND(AK269*'Drivers'!AB269,3)</x:f>
        <x:v>-7.593</x:v>
      </x:c>
      <x:c r="BE269" s="64" t="n">
        <x:f>SUM(AX269:BB269,BD269)</x:f>
        <x:v>-120.15200000000002</x:v>
      </x:c>
      <x:c r="BF269" s="67" t="n">
        <x:f>'Drivers'!AF269</x:f>
        <x:v>10</x:v>
      </x:c>
      <x:c r="BG269" s="64" t="n">
        <x:f>BJ269</x:f>
        <x:v>-43.628</x:v>
      </x:c>
      <x:c r="BH269" s="64" t="n">
        <x:f>BE269/BF269</x:f>
        <x:v>-12.015200000000002</x:v>
      </x:c>
      <x:c r="BI269" s="68" t="n">
        <x:f>BF269/L269</x:f>
        <x:v>2</x:v>
      </x:c>
      <x:c r="BJ269" s="64" t="n">
        <x:f>-ROUND(AK269*'Drivers'!AC269,3)</x:f>
        <x:v>-43.628</x:v>
      </x:c>
      <x:c r="BK269" s="64" t="n">
        <x:f>-ROUND(AK269*'Drivers'!AD269,3)</x:f>
        <x:v>-182.23</x:v>
      </x:c>
      <x:c r="BL269" s="64" t="n">
        <x:f>SUM(AV269,BE269,BJ269,BK269)</x:f>
        <x:v>357.5719999999999</x:v>
      </x:c>
      <x:c r="BM269" s="65" t="n">
        <x:f>BL269/AK269</x:f>
        <x:v>0.21817112398654742</x:v>
      </x:c>
      <x:c r="BN269" s="64" t="n">
        <x:f>-ROUND(AK269*'Drivers'!AE269,3)</x:f>
        <x:v>-147.641</x:v>
      </x:c>
      <x:c r="BO269" s="64" t="n">
        <x:f>BL269+BN269</x:f>
        <x:v>209.9309999999999</x:v>
      </x:c>
      <x:c r="BP269" s="65" t="n">
        <x:f>BO269/AK269</x:f>
        <x:v>0.12808855903040473</x:v>
      </x:c>
    </x:row>
    <x:row r="270">
      <x:c r="A270" s="61" t="n">
        <x:v>2025</x:v>
      </x:c>
      <x:c r="B270" s="18" t="str">
        <x:v>S1</x:v>
      </x:c>
      <x:c r="C270" s="18" t="str">
        <x:v>2025 S1</x:v>
      </x:c>
      <x:c r="D270" s="18" t="str">
        <x:v>CNCT0068</x:v>
      </x:c>
      <x:c r="E270" s="18" t="str">
        <x:v>南京国金中心</x:v>
      </x:c>
      <x:c r="F270" s="18" t="str">
        <x:v>南京</x:v>
      </x:c>
      <x:c r="G270" s="18" t="str">
        <x:v>江苏省</x:v>
      </x:c>
      <x:c r="H270" s="18" t="str">
        <x:v>东区</x:v>
      </x:c>
      <x:c r="I270" s="18" t="str">
        <x:v>Shopping Mall</x:v>
      </x:c>
      <x:c r="J270" s="18" t="str">
        <x:v>Prestige Shopping Center</x:v>
      </x:c>
      <x:c r="K270" s="18" t="str">
        <x:v>正常</x:v>
      </x:c>
      <x:c r="L270" s="62" t="n">
        <x:v>6</x:v>
      </x:c>
      <x:c r="M270" s="62" t="n">
        <x:v>47</x:v>
      </x:c>
      <x:c r="N270" s="63" t="n">
        <x:f>'Drivers'!C270</x:f>
        <x:v>2256</x:v>
      </x:c>
      <x:c r="O270" s="63" t="n">
        <x:f>'Drivers'!D270</x:f>
        <x:v>1286.12</x:v>
      </x:c>
      <x:c r="P270" s="64" t="n">
        <x:f>ROUND(N270*O270/1000,3)</x:f>
        <x:v>2901.487</x:v>
      </x:c>
      <x:c r="Q270" s="64" t="n">
        <x:f>ROUND(P270*'Drivers'!E270,3)</x:f>
        <x:v>2849.737</x:v>
      </x:c>
      <x:c r="R270" s="64" t="n">
        <x:f>-ROUND(Q270*'Drivers'!F270,3)</x:f>
        <x:v>-491.395</x:v>
      </x:c>
      <x:c r="S270" s="65" t="n">
        <x:f>R270/Q270</x:f>
        <x:v>-0.17243521068786347</x:v>
      </x:c>
      <x:c r="T270" s="64" t="n">
        <x:f>-ROUND(Q270*'Drivers'!G270,3)</x:f>
        <x:v>-34.766</x:v>
      </x:c>
      <x:c r="U270" s="65" t="n">
        <x:f>T270/Q270</x:f>
        <x:v>-0.012199722290162213</x:v>
      </x:c>
      <x:c r="V270" s="64" t="n">
        <x:f>-ROUND(Q270*'Drivers'!H270,3)</x:f>
        <x:v>-26.953</x:v>
      </x:c>
      <x:c r="W270" s="64" t="n">
        <x:f>-ROUND(Q270*'Drivers'!I270,3)</x:f>
        <x:v>-25.063</x:v>
      </x:c>
      <x:c r="X270" s="64" t="n">
        <x:f>-ROUND(Q270*'Drivers'!J270,3)</x:f>
        <x:v>-31.004</x:v>
      </x:c>
      <x:c r="Y270" s="64" t="n">
        <x:f>-ROUND(Q270*'Drivers'!K270,3)</x:f>
        <x:v>-29.175</x:v>
      </x:c>
      <x:c r="Z270" s="64" t="n">
        <x:f>-ROUND(Q270*'Drivers'!L270,3)</x:f>
        <x:v>-35.005</x:v>
      </x:c>
      <x:c r="AA270" s="64" t="n">
        <x:f>-ROUND(Q270*'Drivers'!M270,3)</x:f>
        <x:v>-22.707</x:v>
      </x:c>
      <x:c r="AB270" s="64" t="n">
        <x:f>-ROUND(Q270*'Drivers'!N270,3)</x:f>
        <x:v>-20.017</x:v>
      </x:c>
      <x:c r="AC270" s="64" t="n">
        <x:f>SUM(V270:AB270)</x:f>
        <x:v>-189.92399999999998</x:v>
      </x:c>
      <x:c r="AD270" s="65" t="n">
        <x:f>AC270/Q270</x:f>
        <x:v>-0.06664615015350539</x:v>
      </x:c>
      <x:c r="AE270" s="64" t="n">
        <x:f>-ROUND(Q270*'Drivers'!O270,3)</x:f>
        <x:v>-23.274</x:v>
      </x:c>
      <x:c r="AF270" s="65" t="n">
        <x:f>AE270/Q270</x:f>
        <x:v>-0.008167069452374026</x:v>
      </x:c>
      <x:c r="AG270" s="64" t="n">
        <x:f>-ROUND(Q270*'Drivers'!P270,3)</x:f>
        <x:v>-5.475</x:v>
      </x:c>
      <x:c r="AH270" s="64" t="n">
        <x:f>-ROUND(Q270*'Drivers'!Q270,3)</x:f>
        <x:v>-14.877</x:v>
      </x:c>
      <x:c r="AI270" s="64" t="n">
        <x:f>SUM(R270,T270,AC270,AE270,AG270,AH270)</x:f>
        <x:v>-759.7109999999999</x:v>
      </x:c>
      <x:c r="AJ270" s="65" t="n">
        <x:f>AI270/Q270</x:f>
        <x:v>-0.266589864257649</x:v>
      </x:c>
      <x:c r="AK270" s="64" t="n">
        <x:f>Q270+AI270</x:f>
        <x:v>2090.0260000000003</x:v>
      </x:c>
      <x:c r="AL270" s="65" t="n">
        <x:f>AK270/Q270</x:f>
        <x:v>0.733410135742351</x:v>
      </x:c>
      <x:c r="AM270" s="64" t="n">
        <x:f>AK270/L270</x:f>
        <x:v>348.33766666666673</x:v>
      </x:c>
      <x:c r="AN270" s="66" t="str">
        <x:f>IF(AM270&lt;=200,"≤200K",IF(AM270&lt;=350,"200–350K",IF(AM270&lt;=500,"350–500K",IF(AM270&lt;=700,"500–700K","&gt;700K"))))</x:f>
        <x:v>200–350K</x:v>
      </x:c>
      <x:c r="AO270" s="64" t="n">
        <x:f>-ROUND(Q270*'Drivers'!R270,3)</x:f>
        <x:v>-1040.867</x:v>
      </x:c>
      <x:c r="AP270" s="64" t="n">
        <x:f>-ROUND(AK270*'Drivers'!S270,3)</x:f>
        <x:v>-24.188</x:v>
      </x:c>
      <x:c r="AQ270" s="64" t="n">
        <x:f>-ROUND(AK270*'Drivers'!T270,3)</x:f>
        <x:v>-9.869</x:v>
      </x:c>
      <x:c r="AR270" s="64" t="n">
        <x:f>-ROUND(AK270*'Drivers'!U270,3)</x:f>
        <x:v>-19.145</x:v>
      </x:c>
      <x:c r="AS270" s="64" t="n">
        <x:f>-ROUND(AK270*'Drivers'!V270,3)</x:f>
        <x:v>-80.784</x:v>
      </x:c>
      <x:c r="AT270" s="64" t="n">
        <x:f>SUM(AO270:AS270)</x:f>
        <x:v>-1174.853</x:v>
      </x:c>
      <x:c r="AU270" s="65" t="n">
        <x:f>AT270/AK270</x:f>
        <x:v>-0.56212362908404</x:v>
      </x:c>
      <x:c r="AV270" s="64" t="n">
        <x:f>AK270+AT270</x:f>
        <x:v>915.1730000000002</x:v>
      </x:c>
      <x:c r="AW270" s="65" t="n">
        <x:f>AV270/AK270</x:f>
        <x:v>0.43787637091595993</x:v>
      </x:c>
      <x:c r="AX270" s="64" t="n">
        <x:f>-ROUND(AK270*'Drivers'!W270,3)</x:f>
        <x:v>-20.521</x:v>
      </x:c>
      <x:c r="AY270" s="64" t="n">
        <x:f>-ROUND(AK270*'Drivers'!X270,3)</x:f>
        <x:v>-54.363</x:v>
      </x:c>
      <x:c r="AZ270" s="64" t="n">
        <x:f>-ROUND(AK270*'Drivers'!Y270,3)</x:f>
        <x:v>-43.54</x:v>
      </x:c>
      <x:c r="BA270" s="64" t="n">
        <x:f>-ROUND(AK270*'Drivers'!Z270,3)</x:f>
        <x:v>-12.333</x:v>
      </x:c>
      <x:c r="BB270" s="64" t="n">
        <x:f>-ROUND(AK270*'Drivers'!AA270,3)</x:f>
        <x:v>-14.358</x:v>
      </x:c>
      <x:c r="BC270" s="64" t="n">
        <x:f>SUM(BA270,BB270)</x:f>
        <x:v>-26.691000000000003</x:v>
      </x:c>
      <x:c r="BD270" s="64" t="n">
        <x:f>-ROUND(AK270*'Drivers'!AB270,3)</x:f>
        <x:v>-14.189</x:v>
      </x:c>
      <x:c r="BE270" s="64" t="n">
        <x:f>SUM(AX270:BB270,BD270)</x:f>
        <x:v>-159.304</x:v>
      </x:c>
      <x:c r="BF270" s="67" t="n">
        <x:f>'Drivers'!AF270</x:f>
        <x:v>8</x:v>
      </x:c>
      <x:c r="BG270" s="64" t="n">
        <x:f>BJ270</x:f>
        <x:v>-34.033</x:v>
      </x:c>
      <x:c r="BH270" s="64" t="n">
        <x:f>BE270/BF270</x:f>
        <x:v>-19.913</x:v>
      </x:c>
      <x:c r="BI270" s="68" t="n">
        <x:f>BF270/L270</x:f>
        <x:v>1.3333333333333333</x:v>
      </x:c>
      <x:c r="BJ270" s="64" t="n">
        <x:f>-ROUND(AK270*'Drivers'!AC270,3)</x:f>
        <x:v>-34.033</x:v>
      </x:c>
      <x:c r="BK270" s="64" t="n">
        <x:f>-ROUND(AK270*'Drivers'!AD270,3)</x:f>
        <x:v>-212.06</x:v>
      </x:c>
      <x:c r="BL270" s="64" t="n">
        <x:f>SUM(AV270,BE270,BJ270,BK270)</x:f>
        <x:v>509.77600000000024</x:v>
      </x:c>
      <x:c r="BM270" s="65" t="n">
        <x:f>BL270/AK270</x:f>
        <x:v>0.2439089274487495</x:v>
      </x:c>
      <x:c r="BN270" s="64" t="n">
        <x:f>-ROUND(AK270*'Drivers'!AE270,3)</x:f>
        <x:v>-160.69</x:v>
      </x:c>
      <x:c r="BO270" s="64" t="n">
        <x:f>BL270+BN270</x:f>
        <x:v>349.08600000000024</x:v>
      </x:c>
      <x:c r="BP270" s="65" t="n">
        <x:f>BO270/AK270</x:f>
        <x:v>0.16702471643893435</x:v>
      </x:c>
    </x:row>
    <x:row r="271">
      <x:c r="A271" s="61" t="n">
        <x:v>2025</x:v>
      </x:c>
      <x:c r="B271" s="18" t="str">
        <x:v>S2</x:v>
      </x:c>
      <x:c r="C271" s="18" t="str">
        <x:v>2025 S2</x:v>
      </x:c>
      <x:c r="D271" s="18" t="str">
        <x:v>CNCT0068</x:v>
      </x:c>
      <x:c r="E271" s="18" t="str">
        <x:v>南京国金中心</x:v>
      </x:c>
      <x:c r="F271" s="18" t="str">
        <x:v>南京</x:v>
      </x:c>
      <x:c r="G271" s="18" t="str">
        <x:v>江苏省</x:v>
      </x:c>
      <x:c r="H271" s="18" t="str">
        <x:v>东区</x:v>
      </x:c>
      <x:c r="I271" s="18" t="str">
        <x:v>Shopping Mall</x:v>
      </x:c>
      <x:c r="J271" s="18" t="str">
        <x:v>Prestige Shopping Center</x:v>
      </x:c>
      <x:c r="K271" s="18" t="str">
        <x:v>正常</x:v>
      </x:c>
      <x:c r="L271" s="62" t="n">
        <x:v>6</x:v>
      </x:c>
      <x:c r="M271" s="62" t="n">
        <x:v>47</x:v>
      </x:c>
      <x:c r="N271" s="63" t="n">
        <x:f>'Drivers'!C271</x:f>
        <x:v>2423</x:v>
      </x:c>
      <x:c r="O271" s="63" t="n">
        <x:f>'Drivers'!D271</x:f>
        <x:v>1301.553</x:v>
      </x:c>
      <x:c r="P271" s="64" t="n">
        <x:f>ROUND(N271*O271/1000,3)</x:f>
        <x:v>3153.663</x:v>
      </x:c>
      <x:c r="Q271" s="64" t="n">
        <x:f>ROUND(P271*'Drivers'!E271,3)</x:f>
        <x:v>3100.202</x:v>
      </x:c>
      <x:c r="R271" s="64" t="n">
        <x:f>-ROUND(Q271*'Drivers'!F271,3)</x:f>
        <x:v>-534.584</x:v>
      </x:c>
      <x:c r="S271" s="65" t="n">
        <x:f>R271/Q271</x:f>
        <x:v>-0.17243521551176338</x:v>
      </x:c>
      <x:c r="T271" s="64" t="n">
        <x:f>-ROUND(Q271*'Drivers'!G271,3)</x:f>
        <x:v>-37.822</x:v>
      </x:c>
      <x:c r="U271" s="65" t="n">
        <x:f>T271/Q271</x:f>
        <x:v>-0.012199850203309333</x:v>
      </x:c>
      <x:c r="V271" s="64" t="n">
        <x:f>-ROUND(Q271*'Drivers'!H271,3)</x:f>
        <x:v>-29.322</x:v>
      </x:c>
      <x:c r="W271" s="64" t="n">
        <x:f>-ROUND(Q271*'Drivers'!I271,3)</x:f>
        <x:v>-27.266</x:v>
      </x:c>
      <x:c r="X271" s="64" t="n">
        <x:f>-ROUND(Q271*'Drivers'!J271,3)</x:f>
        <x:v>-33.729</x:v>
      </x:c>
      <x:c r="Y271" s="64" t="n">
        <x:f>-ROUND(Q271*'Drivers'!K271,3)</x:f>
        <x:v>-31.739</x:v>
      </x:c>
      <x:c r="Z271" s="64" t="n">
        <x:f>-ROUND(Q271*'Drivers'!L271,3)</x:f>
        <x:v>-38.081</x:v>
      </x:c>
      <x:c r="AA271" s="64" t="n">
        <x:f>-ROUND(Q271*'Drivers'!M271,3)</x:f>
        <x:v>-24.703</x:v>
      </x:c>
      <x:c r="AB271" s="64" t="n">
        <x:f>-ROUND(Q271*'Drivers'!N271,3)</x:f>
        <x:v>-21.777</x:v>
      </x:c>
      <x:c r="AC271" s="64" t="n">
        <x:f>SUM(V271:AB271)</x:f>
        <x:v>-206.61700000000002</x:v>
      </x:c>
      <x:c r="AD271" s="65" t="n">
        <x:f>AC271/Q271</x:f>
        <x:v>-0.06664630240223056</x:v>
      </x:c>
      <x:c r="AE271" s="64" t="n">
        <x:f>-ROUND(Q271*'Drivers'!O271,3)</x:f>
        <x:v>-25.32</x:v>
      </x:c>
      <x:c r="AF271" s="65" t="n">
        <x:f>AE271/Q271</x:f>
        <x:v>-0.008167209749558254</x:v>
      </x:c>
      <x:c r="AG271" s="64" t="n">
        <x:f>-ROUND(Q271*'Drivers'!P271,3)</x:f>
        <x:v>-5.956</x:v>
      </x:c>
      <x:c r="AH271" s="64" t="n">
        <x:f>-ROUND(Q271*'Drivers'!Q271,3)</x:f>
        <x:v>-16.184</x:v>
      </x:c>
      <x:c r="AI271" s="64" t="n">
        <x:f>SUM(R271,T271,AC271,AE271,AG271,AH271)</x:f>
        <x:v>-826.483</x:v>
      </x:c>
      <x:c r="AJ271" s="65" t="n">
        <x:f>AI271/Q271</x:f>
        <x:v>-0.26659004800332364</x:v>
      </x:c>
      <x:c r="AK271" s="64" t="n">
        <x:f>Q271+AI271</x:f>
        <x:v>2273.719</x:v>
      </x:c>
      <x:c r="AL271" s="65" t="n">
        <x:f>AK271/Q271</x:f>
        <x:v>0.7334099519966764</x:v>
      </x:c>
      <x:c r="AM271" s="64" t="n">
        <x:f>AK271/L271</x:f>
        <x:v>378.9531666666667</x:v>
      </x:c>
      <x:c r="AN271" s="66" t="str">
        <x:f>IF(AM271&lt;=200,"≤200K",IF(AM271&lt;=350,"200–350K",IF(AM271&lt;=500,"350–500K",IF(AM271&lt;=700,"500–700K","&gt;700K"))))</x:f>
        <x:v>350–500K</x:v>
      </x:c>
      <x:c r="AO271" s="64" t="n">
        <x:f>-ROUND(Q271*'Drivers'!R271,3)</x:f>
        <x:v>-1191.804</x:v>
      </x:c>
      <x:c r="AP271" s="64" t="n">
        <x:f>-ROUND(AK271*'Drivers'!S271,3)</x:f>
        <x:v>-26.313</x:v>
      </x:c>
      <x:c r="AQ271" s="64" t="n">
        <x:f>-ROUND(AK271*'Drivers'!T271,3)</x:f>
        <x:v>-10.737</x:v>
      </x:c>
      <x:c r="AR271" s="64" t="n">
        <x:f>-ROUND(AK271*'Drivers'!U271,3)</x:f>
        <x:v>-20.827</x:v>
      </x:c>
      <x:c r="AS271" s="64" t="n">
        <x:f>-ROUND(AK271*'Drivers'!V271,3)</x:f>
        <x:v>-87.884</x:v>
      </x:c>
      <x:c r="AT271" s="64" t="n">
        <x:f>SUM(AO271:AS271)</x:f>
        <x:v>-1337.5650000000003</x:v>
      </x:c>
      <x:c r="AU271" s="65" t="n">
        <x:f>AT271/AK271</x:f>
        <x:v>-0.588271901672986</x:v>
      </x:c>
      <x:c r="AV271" s="64" t="n">
        <x:f>AK271+AT271</x:f>
        <x:v>936.1539999999998</x:v>
      </x:c>
      <x:c r="AW271" s="65" t="n">
        <x:f>AV271/AK271</x:f>
        <x:v>0.4117280983270139</x:v>
      </x:c>
      <x:c r="AX271" s="64" t="n">
        <x:f>-ROUND(AK271*'Drivers'!W271,3)</x:f>
        <x:v>-22.324</x:v>
      </x:c>
      <x:c r="AY271" s="64" t="n">
        <x:f>-ROUND(AK271*'Drivers'!X271,3)</x:f>
        <x:v>-59.141</x:v>
      </x:c>
      <x:c r="AZ271" s="64" t="n">
        <x:f>-ROUND(AK271*'Drivers'!Y271,3)</x:f>
        <x:v>-47.367</x:v>
      </x:c>
      <x:c r="BA271" s="64" t="n">
        <x:f>-ROUND(AK271*'Drivers'!Z271,3)</x:f>
        <x:v>-13.417</x:v>
      </x:c>
      <x:c r="BB271" s="64" t="n">
        <x:f>-ROUND(AK271*'Drivers'!AA271,3)</x:f>
        <x:v>-15.619</x:v>
      </x:c>
      <x:c r="BC271" s="64" t="n">
        <x:f>SUM(BA271,BB271)</x:f>
        <x:v>-29.036</x:v>
      </x:c>
      <x:c r="BD271" s="64" t="n">
        <x:f>-ROUND(AK271*'Drivers'!AB271,3)</x:f>
        <x:v>-15.436</x:v>
      </x:c>
      <x:c r="BE271" s="64" t="n">
        <x:f>SUM(AX271:BB271,BD271)</x:f>
        <x:v>-173.304</x:v>
      </x:c>
      <x:c r="BF271" s="67" t="n">
        <x:f>'Drivers'!AF271</x:f>
        <x:v>8</x:v>
      </x:c>
      <x:c r="BG271" s="64" t="n">
        <x:f>BJ271</x:f>
        <x:v>-37.024</x:v>
      </x:c>
      <x:c r="BH271" s="64" t="n">
        <x:f>BE271/BF271</x:f>
        <x:v>-21.663</x:v>
      </x:c>
      <x:c r="BI271" s="68" t="n">
        <x:f>BF271/L271</x:f>
        <x:v>1.3333333333333333</x:v>
      </x:c>
      <x:c r="BJ271" s="64" t="n">
        <x:f>-ROUND(AK271*'Drivers'!AC271,3)</x:f>
        <x:v>-37.024</x:v>
      </x:c>
      <x:c r="BK271" s="64" t="n">
        <x:f>-ROUND(AK271*'Drivers'!AD271,3)</x:f>
        <x:v>-230.698</x:v>
      </x:c>
      <x:c r="BL271" s="64" t="n">
        <x:f>SUM(AV271,BE271,BJ271,BK271)</x:f>
        <x:v>495.1279999999998</x:v>
      </x:c>
      <x:c r="BM271" s="65" t="n">
        <x:f>BL271/AK271</x:f>
        <x:v>0.2177612976801442</x:v>
      </x:c>
      <x:c r="BN271" s="64" t="n">
        <x:f>-ROUND(AK271*'Drivers'!AE271,3)</x:f>
        <x:v>-174.813</x:v>
      </x:c>
      <x:c r="BO271" s="64" t="n">
        <x:f>BL271+BN271</x:f>
        <x:v>320.3149999999998</x:v>
      </x:c>
      <x:c r="BP271" s="65" t="n">
        <x:f>BO271/AK271</x:f>
        <x:v>0.14087712685692463</x:v>
      </x:c>
    </x:row>
    <x:row r="272">
      <x:c r="A272" s="61" t="n">
        <x:v>2026</x:v>
      </x:c>
      <x:c r="B272" s="18" t="str">
        <x:v>S1</x:v>
      </x:c>
      <x:c r="C272" s="18" t="str">
        <x:v>2026 S1</x:v>
      </x:c>
      <x:c r="D272" s="18" t="str">
        <x:v>CNCT0068</x:v>
      </x:c>
      <x:c r="E272" s="18" t="str">
        <x:v>南京国金中心</x:v>
      </x:c>
      <x:c r="F272" s="18" t="str">
        <x:v>南京</x:v>
      </x:c>
      <x:c r="G272" s="18" t="str">
        <x:v>江苏省</x:v>
      </x:c>
      <x:c r="H272" s="18" t="str">
        <x:v>东区</x:v>
      </x:c>
      <x:c r="I272" s="18" t="str">
        <x:v>Shopping Mall</x:v>
      </x:c>
      <x:c r="J272" s="18" t="str">
        <x:v>Prestige Shopping Center</x:v>
      </x:c>
      <x:c r="K272" s="18" t="str">
        <x:v>正常</x:v>
      </x:c>
      <x:c r="L272" s="62" t="n">
        <x:v>6</x:v>
      </x:c>
      <x:c r="M272" s="62" t="n">
        <x:v>47</x:v>
      </x:c>
      <x:c r="N272" s="63" t="n">
        <x:f>'Drivers'!C272</x:f>
        <x:v>2388</x:v>
      </x:c>
      <x:c r="O272" s="63" t="n">
        <x:f>'Drivers'!D272</x:f>
        <x:v>1357.883</x:v>
      </x:c>
      <x:c r="P272" s="64" t="n">
        <x:f>ROUND(N272*O272/1000,3)</x:f>
        <x:v>3242.625</x:v>
      </x:c>
      <x:c r="Q272" s="64" t="n">
        <x:f>ROUND(P272*'Drivers'!E272,3)</x:f>
        <x:v>3186.556</x:v>
      </x:c>
      <x:c r="R272" s="64" t="n">
        <x:f>-ROUND(Q272*'Drivers'!F272,3)</x:f>
        <x:v>-690.436</x:v>
      </x:c>
      <x:c r="S272" s="65" t="n">
        <x:f>R272/Q272</x:f>
        <x:v>-0.216671541312941</x:v>
      </x:c>
      <x:c r="T272" s="64" t="n">
        <x:f>-ROUND(Q272*'Drivers'!G272,3)</x:f>
        <x:v>-38</x:v>
      </x:c>
      <x:c r="U272" s="65" t="n">
        <x:f>T272/Q272</x:f>
        <x:v>-0.011925100327751967</x:v>
      </x:c>
      <x:c r="V272" s="64" t="n">
        <x:f>-ROUND(Q272*'Drivers'!H272,3)</x:f>
        <x:v>-30.139</x:v>
      </x:c>
      <x:c r="W272" s="64" t="n">
        <x:f>-ROUND(Q272*'Drivers'!I272,3)</x:f>
        <x:v>-28.026</x:v>
      </x:c>
      <x:c r="X272" s="64" t="n">
        <x:f>-ROUND(Q272*'Drivers'!J272,3)</x:f>
        <x:v>-34.669</x:v>
      </x:c>
      <x:c r="Y272" s="64" t="n">
        <x:f>-ROUND(Q272*'Drivers'!K272,3)</x:f>
        <x:v>-32.624</x:v>
      </x:c>
      <x:c r="Z272" s="64" t="n">
        <x:f>-ROUND(Q272*'Drivers'!L272,3)</x:f>
        <x:v>-39.142</x:v>
      </x:c>
      <x:c r="AA272" s="64" t="n">
        <x:f>-ROUND(Q272*'Drivers'!M272,3)</x:f>
        <x:v>-25.391</x:v>
      </x:c>
      <x:c r="AB272" s="64" t="n">
        <x:f>-ROUND(Q272*'Drivers'!N272,3)</x:f>
        <x:v>-22.383</x:v>
      </x:c>
      <x:c r="AC272" s="64" t="n">
        <x:f>SUM(V272:AB272)</x:f>
        <x:v>-212.374</x:v>
      </x:c>
      <x:c r="AD272" s="65" t="n">
        <x:f>AC272/Q272</x:f>
        <x:v>-0.06664687518436832</x:v>
      </x:c>
      <x:c r="AE272" s="64" t="n">
        <x:f>-ROUND(Q272*'Drivers'!O272,3)</x:f>
        <x:v>-24.466</x:v>
      </x:c>
      <x:c r="AF272" s="65" t="n">
        <x:f>AE272/Q272</x:f>
        <x:v>-0.007677881700494202</x:v>
      </x:c>
      <x:c r="AG272" s="64" t="n">
        <x:f>-ROUND(Q272*'Drivers'!P272,3)</x:f>
        <x:v>-6.122</x:v>
      </x:c>
      <x:c r="AH272" s="64" t="n">
        <x:f>-ROUND(Q272*'Drivers'!Q272,3)</x:f>
        <x:v>-16.635</x:v>
      </x:c>
      <x:c r="AI272" s="64" t="n">
        <x:f>SUM(R272,T272,AC272,AE272,AG272,AH272)</x:f>
        <x:v>-988.033</x:v>
      </x:c>
      <x:c r="AJ272" s="65" t="n">
        <x:f>AI272/Q272</x:f>
        <x:v>-0.31006296452973053</x:v>
      </x:c>
      <x:c r="AK272" s="64" t="n">
        <x:f>Q272+AI272</x:f>
        <x:v>2198.523</x:v>
      </x:c>
      <x:c r="AL272" s="65" t="n">
        <x:f>AK272/Q272</x:f>
        <x:v>0.6899370354702695</x:v>
      </x:c>
      <x:c r="AM272" s="64" t="n">
        <x:f>AK272/L272</x:f>
        <x:v>366.4205</x:v>
      </x:c>
      <x:c r="AN272" s="66" t="str">
        <x:f>IF(AM272&lt;=200,"≤200K",IF(AM272&lt;=350,"200–350K",IF(AM272&lt;=500,"350–500K",IF(AM272&lt;=700,"500–700K","&gt;700K"))))</x:f>
        <x:v>350–500K</x:v>
      </x:c>
      <x:c r="AO272" s="64" t="n">
        <x:f>-ROUND(Q272*'Drivers'!R272,3)</x:f>
        <x:v>-1169.366</x:v>
      </x:c>
      <x:c r="AP272" s="64" t="n">
        <x:f>-ROUND(AK272*'Drivers'!S272,3)</x:f>
        <x:v>-25.443</x:v>
      </x:c>
      <x:c r="AQ272" s="64" t="n">
        <x:f>-ROUND(AK272*'Drivers'!T272,3)</x:f>
        <x:v>-10.382</x:v>
      </x:c>
      <x:c r="AR272" s="64" t="n">
        <x:f>-ROUND(AK272*'Drivers'!U272,3)</x:f>
        <x:v>-20.138</x:v>
      </x:c>
      <x:c r="AS272" s="64" t="n">
        <x:f>-ROUND(AK272*'Drivers'!V272,3)</x:f>
        <x:v>-84.978</x:v>
      </x:c>
      <x:c r="AT272" s="64" t="n">
        <x:f>SUM(AO272:AS272)</x:f>
        <x:v>-1310.307</x:v>
      </x:c>
      <x:c r="AU272" s="65" t="n">
        <x:f>AT272/AK272</x:f>
        <x:v>-0.5959942197557178</x:v>
      </x:c>
      <x:c r="AV272" s="64" t="n">
        <x:f>AK272+AT272</x:f>
        <x:v>888.2160000000001</x:v>
      </x:c>
      <x:c r="AW272" s="65" t="n">
        <x:f>AV272/AK272</x:f>
        <x:v>0.4040057802442822</x:v>
      </x:c>
      <x:c r="AX272" s="64" t="n">
        <x:f>-ROUND(AK272*'Drivers'!W272,3)</x:f>
        <x:v>-26.56</x:v>
      </x:c>
      <x:c r="AY272" s="64" t="n">
        <x:f>-ROUND(AK272*'Drivers'!X272,3)</x:f>
        <x:v>-70.364</x:v>
      </x:c>
      <x:c r="AZ272" s="64" t="n">
        <x:f>-ROUND(AK272*'Drivers'!Y272,3)</x:f>
        <x:v>-56.356</x:v>
      </x:c>
      <x:c r="BA272" s="64" t="n">
        <x:f>-ROUND(AK272*'Drivers'!Z272,3)</x:f>
        <x:v>-15.963</x:v>
      </x:c>
      <x:c r="BB272" s="64" t="n">
        <x:f>-ROUND(AK272*'Drivers'!AA272,3)</x:f>
        <x:v>-18.583</x:v>
      </x:c>
      <x:c r="BC272" s="64" t="n">
        <x:f>SUM(BA272,BB272)</x:f>
        <x:v>-34.546</x:v>
      </x:c>
      <x:c r="BD272" s="64" t="n">
        <x:f>-ROUND(AK272*'Drivers'!AB272,3)</x:f>
        <x:v>-18.365</x:v>
      </x:c>
      <x:c r="BE272" s="64" t="n">
        <x:f>SUM(AX272:BB272,BD272)</x:f>
        <x:v>-206.191</x:v>
      </x:c>
      <x:c r="BF272" s="67" t="n">
        <x:f>'Drivers'!AF272</x:f>
        <x:v>8</x:v>
      </x:c>
      <x:c r="BG272" s="64" t="n">
        <x:f>BJ272</x:f>
        <x:v>-44.05</x:v>
      </x:c>
      <x:c r="BH272" s="64" t="n">
        <x:f>BE272/BF272</x:f>
        <x:v>-25.773875</x:v>
      </x:c>
      <x:c r="BI272" s="68" t="n">
        <x:f>BF272/L272</x:f>
        <x:v>1.3333333333333333</x:v>
      </x:c>
      <x:c r="BJ272" s="64" t="n">
        <x:f>-ROUND(AK272*'Drivers'!AC272,3)</x:f>
        <x:v>-44.05</x:v>
      </x:c>
      <x:c r="BK272" s="64" t="n">
        <x:f>-ROUND(AK272*'Drivers'!AD272,3)</x:f>
        <x:v>-223.068</x:v>
      </x:c>
      <x:c r="BL272" s="64" t="n">
        <x:f>SUM(AV272,BE272,BJ272,BK272)</x:f>
        <x:v>414.90700000000015</x:v>
      </x:c>
      <x:c r="BM272" s="65" t="n">
        <x:f>BL272/AK272</x:f>
        <x:v>0.18872079118571883</x:v>
      </x:c>
      <x:c r="BN272" s="64" t="n">
        <x:f>-ROUND(AK272*'Drivers'!AE272,3)</x:f>
        <x:v>-169.032</x:v>
      </x:c>
      <x:c r="BO272" s="64" t="n">
        <x:f>BL272+BN272</x:f>
        <x:v>245.87500000000014</x:v>
      </x:c>
      <x:c r="BP272" s="65" t="n">
        <x:f>BO272/AK272</x:f>
        <x:v>0.11183644655980407</x:v>
      </x:c>
    </x:row>
    <x:row r="273">
      <x:c r="A273" s="61" t="n">
        <x:v>2026</x:v>
      </x:c>
      <x:c r="B273" s="18" t="str">
        <x:v>S2</x:v>
      </x:c>
      <x:c r="C273" s="18" t="str">
        <x:v>2026 S2</x:v>
      </x:c>
      <x:c r="D273" s="18" t="str">
        <x:v>CNCT0068</x:v>
      </x:c>
      <x:c r="E273" s="18" t="str">
        <x:v>南京国金中心</x:v>
      </x:c>
      <x:c r="F273" s="18" t="str">
        <x:v>南京</x:v>
      </x:c>
      <x:c r="G273" s="18" t="str">
        <x:v>江苏省</x:v>
      </x:c>
      <x:c r="H273" s="18" t="str">
        <x:v>东区</x:v>
      </x:c>
      <x:c r="I273" s="18" t="str">
        <x:v>Shopping Mall</x:v>
      </x:c>
      <x:c r="J273" s="18" t="str">
        <x:v>Prestige Shopping Center</x:v>
      </x:c>
      <x:c r="K273" s="18" t="str">
        <x:v>正常</x:v>
      </x:c>
      <x:c r="L273" s="62" t="n">
        <x:v>6</x:v>
      </x:c>
      <x:c r="M273" s="62" t="n">
        <x:v>46</x:v>
      </x:c>
      <x:c r="N273" s="63" t="n">
        <x:f>'Drivers'!C273</x:f>
        <x:v>2522</x:v>
      </x:c>
      <x:c r="O273" s="63" t="n">
        <x:f>'Drivers'!D273</x:f>
        <x:v>1336.677</x:v>
      </x:c>
      <x:c r="P273" s="64" t="n">
        <x:f>ROUND(N273*O273/1000,3)</x:f>
        <x:v>3371.099</x:v>
      </x:c>
      <x:c r="Q273" s="64" t="n">
        <x:f>ROUND(P273*'Drivers'!E273,3)</x:f>
        <x:v>3313.952</x:v>
      </x:c>
      <x:c r="R273" s="64" t="n">
        <x:f>-ROUND(Q273*'Drivers'!F273,3)</x:f>
        <x:v>-698.095</x:v>
      </x:c>
      <x:c r="S273" s="65" t="n">
        <x:f>R273/Q273</x:f>
        <x:v>-0.21065332267938702</x:v>
      </x:c>
      <x:c r="T273" s="64" t="n">
        <x:f>-ROUND(Q273*'Drivers'!G273,3)</x:f>
        <x:v>-42.769</x:v>
      </x:c>
      <x:c r="U273" s="65" t="n">
        <x:f>T273/Q273</x:f>
        <x:v>-0.012905739129595117</x:v>
      </x:c>
      <x:c r="V273" s="64" t="n">
        <x:f>-ROUND(Q273*'Drivers'!H273,3)</x:f>
        <x:v>-31.344</x:v>
      </x:c>
      <x:c r="W273" s="64" t="n">
        <x:f>-ROUND(Q273*'Drivers'!I273,3)</x:f>
        <x:v>-29.146</x:v>
      </x:c>
      <x:c r="X273" s="64" t="n">
        <x:f>-ROUND(Q273*'Drivers'!J273,3)</x:f>
        <x:v>-36.055</x:v>
      </x:c>
      <x:c r="Y273" s="64" t="n">
        <x:f>-ROUND(Q273*'Drivers'!K273,3)</x:f>
        <x:v>-33.928</x:v>
      </x:c>
      <x:c r="Z273" s="64" t="n">
        <x:f>-ROUND(Q273*'Drivers'!L273,3)</x:f>
        <x:v>-40.707</x:v>
      </x:c>
      <x:c r="AA273" s="64" t="n">
        <x:f>-ROUND(Q273*'Drivers'!M273,3)</x:f>
        <x:v>-26.406</x:v>
      </x:c>
      <x:c r="AB273" s="64" t="n">
        <x:f>-ROUND(Q273*'Drivers'!N273,3)</x:f>
        <x:v>-23.278</x:v>
      </x:c>
      <x:c r="AC273" s="64" t="n">
        <x:f>SUM(V273:AB273)</x:f>
        <x:v>-220.864</x:v>
      </x:c>
      <x:c r="AD273" s="65" t="n">
        <x:f>AC273/Q273</x:f>
        <x:v>-0.06664671063431214</x:v>
      </x:c>
      <x:c r="AE273" s="64" t="n">
        <x:f>-ROUND(Q273*'Drivers'!O273,3)</x:f>
        <x:v>-27.066</x:v>
      </x:c>
      <x:c r="AF273" s="65" t="n">
        <x:f>AE273/Q273</x:f>
        <x:v>-0.008167287878641573</x:v>
      </x:c>
      <x:c r="AG273" s="64" t="n">
        <x:f>-ROUND(Q273*'Drivers'!P273,3)</x:f>
        <x:v>-6.367</x:v>
      </x:c>
      <x:c r="AH273" s="64" t="n">
        <x:f>-ROUND(Q273*'Drivers'!Q273,3)</x:f>
        <x:v>-17.3</x:v>
      </x:c>
      <x:c r="AI273" s="64" t="n">
        <x:f>SUM(R273,T273,AC273,AE273,AG273,AH273)</x:f>
        <x:v>-1012.461</x:v>
      </x:c>
      <x:c r="AJ273" s="65" t="n">
        <x:f>AI273/Q273</x:f>
        <x:v>-0.30551468458203374</x:v>
      </x:c>
      <x:c r="AK273" s="64" t="n">
        <x:f>Q273+AI273</x:f>
        <x:v>2301.491</x:v>
      </x:c>
      <x:c r="AL273" s="65" t="n">
        <x:f>AK273/Q273</x:f>
        <x:v>0.6944853154179662</x:v>
      </x:c>
      <x:c r="AM273" s="64" t="n">
        <x:f>AK273/L273</x:f>
        <x:v>383.58183333333335</x:v>
      </x:c>
      <x:c r="AN273" s="66" t="str">
        <x:f>IF(AM273&lt;=200,"≤200K",IF(AM273&lt;=350,"200–350K",IF(AM273&lt;=500,"350–500K",IF(AM273&lt;=700,"500–700K","&gt;700K"))))</x:f>
        <x:v>350–500K</x:v>
      </x:c>
      <x:c r="AO273" s="64" t="n">
        <x:f>-ROUND(Q273*'Drivers'!R273,3)</x:f>
        <x:v>-1273.976</x:v>
      </x:c>
      <x:c r="AP273" s="64" t="n">
        <x:f>-ROUND(AK273*'Drivers'!S273,3)</x:f>
        <x:v>-26.635</x:v>
      </x:c>
      <x:c r="AQ273" s="64" t="n">
        <x:f>-ROUND(AK273*'Drivers'!T273,3)</x:f>
        <x:v>-10.868</x:v>
      </x:c>
      <x:c r="AR273" s="64" t="n">
        <x:f>-ROUND(AK273*'Drivers'!U273,3)</x:f>
        <x:v>-21.082</x:v>
      </x:c>
      <x:c r="AS273" s="64" t="n">
        <x:f>-ROUND(AK273*'Drivers'!V273,3)</x:f>
        <x:v>-88.958</x:v>
      </x:c>
      <x:c r="AT273" s="64" t="n">
        <x:f>SUM(AO273:AS273)</x:f>
        <x:v>-1421.5190000000002</x:v>
      </x:c>
      <x:c r="AU273" s="65" t="n">
        <x:f>AT273/AK273</x:f>
        <x:v>-0.6176513399357201</x:v>
      </x:c>
      <x:c r="AV273" s="64" t="n">
        <x:f>AK273+AT273</x:f>
        <x:v>879.9719999999998</x:v>
      </x:c>
      <x:c r="AW273" s="65" t="n">
        <x:f>AV273/AK273</x:f>
        <x:v>0.38234866006428</x:v>
      </x:c>
      <x:c r="AX273" s="64" t="n">
        <x:f>-ROUND(AK273*'Drivers'!W273,3)</x:f>
        <x:v>-23.953</x:v>
      </x:c>
      <x:c r="AY273" s="64" t="n">
        <x:f>-ROUND(AK273*'Drivers'!X273,3)</x:f>
        <x:v>-63.456</x:v>
      </x:c>
      <x:c r="AZ273" s="64" t="n">
        <x:f>-ROUND(AK273*'Drivers'!Y273,3)</x:f>
        <x:v>-50.823</x:v>
      </x:c>
      <x:c r="BA273" s="64" t="n">
        <x:f>-ROUND(AK273*'Drivers'!Z273,3)</x:f>
        <x:v>-14.395</x:v>
      </x:c>
      <x:c r="BB273" s="64" t="n">
        <x:f>-ROUND(AK273*'Drivers'!AA273,3)</x:f>
        <x:v>-16.759</x:v>
      </x:c>
      <x:c r="BC273" s="64" t="n">
        <x:f>SUM(BA273,BB273)</x:f>
        <x:v>-31.154</x:v>
      </x:c>
      <x:c r="BD273" s="64" t="n">
        <x:f>-ROUND(AK273*'Drivers'!AB273,3)</x:f>
        <x:v>-16.562</x:v>
      </x:c>
      <x:c r="BE273" s="64" t="n">
        <x:f>SUM(AX273:BB273,BD273)</x:f>
        <x:v>-185.94800000000004</x:v>
      </x:c>
      <x:c r="BF273" s="67" t="n">
        <x:f>'Drivers'!AF273</x:f>
        <x:v>8</x:v>
      </x:c>
      <x:c r="BG273" s="64" t="n">
        <x:f>BJ273</x:f>
        <x:v>-39.725</x:v>
      </x:c>
      <x:c r="BH273" s="64" t="n">
        <x:f>BE273/BF273</x:f>
        <x:v>-23.243500000000004</x:v>
      </x:c>
      <x:c r="BI273" s="68" t="n">
        <x:f>BF273/L273</x:f>
        <x:v>1.3333333333333333</x:v>
      </x:c>
      <x:c r="BJ273" s="64" t="n">
        <x:f>-ROUND(AK273*'Drivers'!AC273,3)</x:f>
        <x:v>-39.725</x:v>
      </x:c>
      <x:c r="BK273" s="64" t="n">
        <x:f>-ROUND(AK273*'Drivers'!AD273,3)</x:f>
        <x:v>-233.516</x:v>
      </x:c>
      <x:c r="BL273" s="64" t="n">
        <x:f>SUM(AV273,BE273,BJ273,BK273)</x:f>
        <x:v>420.7829999999997</x:v>
      </x:c>
      <x:c r="BM273" s="65" t="n">
        <x:f>BL273/AK273</x:f>
        <x:v>0.18283060850552954</x:v>
      </x:c>
      <x:c r="BN273" s="64" t="n">
        <x:f>-ROUND(AK273*'Drivers'!AE273,3)</x:f>
        <x:v>-176.948</x:v>
      </x:c>
      <x:c r="BO273" s="64" t="n">
        <x:f>BL273+BN273</x:f>
        <x:v>243.83499999999967</x:v>
      </x:c>
      <x:c r="BP273" s="65" t="n">
        <x:f>BO273/AK273</x:f>
        <x:v>0.10594653639749174</x:v>
      </x:c>
    </x:row>
    <x:row r="274">
      <x:c r="A274" s="61" t="n">
        <x:v>2025</x:v>
      </x:c>
      <x:c r="B274" s="18" t="str">
        <x:v>S1</x:v>
      </x:c>
      <x:c r="C274" s="18" t="str">
        <x:v>2025 S1</x:v>
      </x:c>
      <x:c r="D274" s="18" t="str">
        <x:v>CNCT0069</x:v>
      </x:c>
      <x:c r="E274" s="18" t="str">
        <x:v>南京万象天地</x:v>
      </x:c>
      <x:c r="F274" s="18" t="str">
        <x:v>南京</x:v>
      </x:c>
      <x:c r="G274" s="18" t="str">
        <x:v>江苏省</x:v>
      </x:c>
      <x:c r="H274" s="18" t="str">
        <x:v>东区</x:v>
      </x:c>
      <x:c r="I274" s="18" t="str">
        <x:v>Shopping Mall</x:v>
      </x:c>
      <x:c r="J274" s="18" t="str">
        <x:v>Prestige Shopping Center</x:v>
      </x:c>
      <x:c r="K274" s="18" t="str">
        <x:v>正常</x:v>
      </x:c>
      <x:c r="L274" s="62" t="n">
        <x:v>6</x:v>
      </x:c>
      <x:c r="M274" s="62" t="n">
        <x:v>47</x:v>
      </x:c>
      <x:c r="N274" s="63" t="n">
        <x:f>'Drivers'!C274</x:f>
        <x:v>2770</x:v>
      </x:c>
      <x:c r="O274" s="63" t="n">
        <x:f>'Drivers'!D274</x:f>
        <x:v>1206.259</x:v>
      </x:c>
      <x:c r="P274" s="64" t="n">
        <x:f>ROUND(N274*O274/1000,3)</x:f>
        <x:v>3341.337</x:v>
      </x:c>
      <x:c r="Q274" s="64" t="n">
        <x:f>ROUND(P274*'Drivers'!E274,3)</x:f>
        <x:v>3268.413</x:v>
      </x:c>
      <x:c r="R274" s="64" t="n">
        <x:f>-ROUND(Q274*'Drivers'!F274,3)</x:f>
        <x:v>-623.709</x:v>
      </x:c>
      <x:c r="S274" s="65" t="n">
        <x:f>R274/Q274</x:f>
        <x:v>-0.1908293107388815</x:v>
      </x:c>
      <x:c r="T274" s="64" t="n">
        <x:f>-ROUND(Q274*'Drivers'!G274,3)</x:f>
        <x:v>-39.387</x:v>
      </x:c>
      <x:c r="U274" s="65" t="n">
        <x:f>T274/Q274</x:f>
        <x:v>-0.012050802637243212</x:v>
      </x:c>
      <x:c r="V274" s="64" t="n">
        <x:f>-ROUND(Q274*'Drivers'!H274,3)</x:f>
        <x:v>-24.831</x:v>
      </x:c>
      <x:c r="W274" s="64" t="n">
        <x:f>-ROUND(Q274*'Drivers'!I274,3)</x:f>
        <x:v>-24.445</x:v>
      </x:c>
      <x:c r="X274" s="64" t="n">
        <x:f>-ROUND(Q274*'Drivers'!J274,3)</x:f>
        <x:v>-34.259</x:v>
      </x:c>
      <x:c r="Y274" s="64" t="n">
        <x:f>-ROUND(Q274*'Drivers'!K274,3)</x:f>
        <x:v>-43.064</x:v>
      </x:c>
      <x:c r="Z274" s="64" t="n">
        <x:f>-ROUND(Q274*'Drivers'!L274,3)</x:f>
        <x:v>-27.328</x:v>
      </x:c>
      <x:c r="AA274" s="64" t="n">
        <x:f>-ROUND(Q274*'Drivers'!M274,3)</x:f>
        <x:v>-26.353</x:v>
      </x:c>
      <x:c r="AB274" s="64" t="n">
        <x:f>-ROUND(Q274*'Drivers'!N274,3)</x:f>
        <x:v>-25.058</x:v>
      </x:c>
      <x:c r="AC274" s="64" t="n">
        <x:f>SUM(V274:AB274)</x:f>
        <x:v>-205.338</x:v>
      </x:c>
      <x:c r="AD274" s="65" t="n">
        <x:f>AC274/Q274</x:f>
        <x:v>-0.06282498570407105</x:v>
      </x:c>
      <x:c r="AE274" s="64" t="n">
        <x:f>-ROUND(Q274*'Drivers'!O274,3)</x:f>
        <x:v>-21.791</x:v>
      </x:c>
      <x:c r="AF274" s="65" t="n">
        <x:f>AE274/Q274</x:f>
        <x:v>-0.006667150081706321</x:v>
      </x:c>
      <x:c r="AG274" s="64" t="n">
        <x:f>-ROUND(Q274*'Drivers'!P274,3)</x:f>
        <x:v>-3.131</x:v>
      </x:c>
      <x:c r="AH274" s="64" t="n">
        <x:f>-ROUND(Q274*'Drivers'!Q274,3)</x:f>
        <x:v>-7.976</x:v>
      </x:c>
      <x:c r="AI274" s="64" t="n">
        <x:f>SUM(R274,T274,AC274,AE274,AG274,AH274)</x:f>
        <x:v>-901.332</x:v>
      </x:c>
      <x:c r="AJ274" s="65" t="n">
        <x:f>AI274/Q274</x:f>
        <x:v>-0.275770534507114</x:v>
      </x:c>
      <x:c r="AK274" s="64" t="n">
        <x:f>Q274+AI274</x:f>
        <x:v>2367.081</x:v>
      </x:c>
      <x:c r="AL274" s="65" t="n">
        <x:f>AK274/Q274</x:f>
        <x:v>0.724229465492886</x:v>
      </x:c>
      <x:c r="AM274" s="64" t="n">
        <x:f>AK274/L274</x:f>
        <x:v>394.5135</x:v>
      </x:c>
      <x:c r="AN274" s="66" t="str">
        <x:f>IF(AM274&lt;=200,"≤200K",IF(AM274&lt;=350,"200–350K",IF(AM274&lt;=500,"350–500K",IF(AM274&lt;=700,"500–700K","&gt;700K"))))</x:f>
        <x:v>350–500K</x:v>
      </x:c>
      <x:c r="AO274" s="64" t="n">
        <x:f>-ROUND(Q274*'Drivers'!R274,3)</x:f>
        <x:v>-1228.746</x:v>
      </x:c>
      <x:c r="AP274" s="64" t="n">
        <x:f>-ROUND(AK274*'Drivers'!S274,3)</x:f>
        <x:v>-32.196</x:v>
      </x:c>
      <x:c r="AQ274" s="64" t="n">
        <x:f>-ROUND(AK274*'Drivers'!T274,3)</x:f>
        <x:v>-12.55</x:v>
      </x:c>
      <x:c r="AR274" s="64" t="n">
        <x:f>-ROUND(AK274*'Drivers'!U274,3)</x:f>
        <x:v>-18.869</x:v>
      </x:c>
      <x:c r="AS274" s="64" t="n">
        <x:f>-ROUND(AK274*'Drivers'!V274,3)</x:f>
        <x:v>-88.768</x:v>
      </x:c>
      <x:c r="AT274" s="64" t="n">
        <x:f>SUM(AO274:AS274)</x:f>
        <x:v>-1381.129</x:v>
      </x:c>
      <x:c r="AU274" s="65" t="n">
        <x:f>AT274/AK274</x:f>
        <x:v>-0.5834734848532854</x:v>
      </x:c>
      <x:c r="AV274" s="64" t="n">
        <x:f>AK274+AT274</x:f>
        <x:v>985.9520000000002</x:v>
      </x:c>
      <x:c r="AW274" s="65" t="n">
        <x:f>AV274/AK274</x:f>
        <x:v>0.4165265151467145</x:v>
      </x:c>
      <x:c r="AX274" s="64" t="n">
        <x:f>-ROUND(AK274*'Drivers'!W274,3)</x:f>
        <x:v>-32.744</x:v>
      </x:c>
      <x:c r="AY274" s="64" t="n">
        <x:f>-ROUND(AK274*'Drivers'!X274,3)</x:f>
        <x:v>-60.67</x:v>
      </x:c>
      <x:c r="AZ274" s="64" t="n">
        <x:f>-ROUND(AK274*'Drivers'!Y274,3)</x:f>
        <x:v>-40.271</x:v>
      </x:c>
      <x:c r="BA274" s="64" t="n">
        <x:f>-ROUND(AK274*'Drivers'!Z274,3)</x:f>
        <x:v>-18.479</x:v>
      </x:c>
      <x:c r="BB274" s="64" t="n">
        <x:f>-ROUND(AK274*'Drivers'!AA274,3)</x:f>
        <x:v>-14.215</x:v>
      </x:c>
      <x:c r="BC274" s="64" t="n">
        <x:f>SUM(BA274,BB274)</x:f>
        <x:v>-32.694</x:v>
      </x:c>
      <x:c r="BD274" s="64" t="n">
        <x:f>-ROUND(AK274*'Drivers'!AB274,3)</x:f>
        <x:v>-16.465</x:v>
      </x:c>
      <x:c r="BE274" s="64" t="n">
        <x:f>SUM(AX274:BB274,BD274)</x:f>
        <x:v>-182.844</x:v>
      </x:c>
      <x:c r="BF274" s="67" t="n">
        <x:f>'Drivers'!AF274</x:f>
        <x:v>11</x:v>
      </x:c>
      <x:c r="BG274" s="64" t="n">
        <x:f>BJ274</x:f>
        <x:v>-57.704</x:v>
      </x:c>
      <x:c r="BH274" s="64" t="n">
        <x:f>BE274/BF274</x:f>
        <x:v>-16.62218181818182</x:v>
      </x:c>
      <x:c r="BI274" s="68" t="n">
        <x:f>BF274/L274</x:f>
        <x:v>1.8333333333333333</x:v>
      </x:c>
      <x:c r="BJ274" s="64" t="n">
        <x:f>-ROUND(AK274*'Drivers'!AC274,3)</x:f>
        <x:v>-57.704</x:v>
      </x:c>
      <x:c r="BK274" s="64" t="n">
        <x:f>-ROUND(AK274*'Drivers'!AD274,3)</x:f>
        <x:v>-226.072</x:v>
      </x:c>
      <x:c r="BL274" s="64" t="n">
        <x:f>SUM(AV274,BE274,BJ274,BK274)</x:f>
        <x:v>519.3320000000002</x:v>
      </x:c>
      <x:c r="BM274" s="65" t="n">
        <x:f>BL274/AK274</x:f>
        <x:v>0.21939764629938738</x:v>
      </x:c>
      <x:c r="BN274" s="64" t="n">
        <x:f>-ROUND(AK274*'Drivers'!AE274,3)</x:f>
        <x:v>-218.277</x:v>
      </x:c>
      <x:c r="BO274" s="64" t="n">
        <x:f>BL274+BN274</x:f>
        <x:v>301.05500000000023</x:v>
      </x:c>
      <x:c r="BP274" s="65" t="n">
        <x:f>BO274/AK274</x:f>
        <x:v>0.12718407185896902</x:v>
      </x:c>
    </x:row>
    <x:row r="275">
      <x:c r="A275" s="61" t="n">
        <x:v>2025</x:v>
      </x:c>
      <x:c r="B275" s="18" t="str">
        <x:v>S2</x:v>
      </x:c>
      <x:c r="C275" s="18" t="str">
        <x:v>2025 S2</x:v>
      </x:c>
      <x:c r="D275" s="18" t="str">
        <x:v>CNCT0069</x:v>
      </x:c>
      <x:c r="E275" s="18" t="str">
        <x:v>南京万象天地</x:v>
      </x:c>
      <x:c r="F275" s="18" t="str">
        <x:v>南京</x:v>
      </x:c>
      <x:c r="G275" s="18" t="str">
        <x:v>江苏省</x:v>
      </x:c>
      <x:c r="H275" s="18" t="str">
        <x:v>东区</x:v>
      </x:c>
      <x:c r="I275" s="18" t="str">
        <x:v>Shopping Mall</x:v>
      </x:c>
      <x:c r="J275" s="18" t="str">
        <x:v>Prestige Shopping Center</x:v>
      </x:c>
      <x:c r="K275" s="18" t="str">
        <x:v>正常</x:v>
      </x:c>
      <x:c r="L275" s="62" t="n">
        <x:v>6</x:v>
      </x:c>
      <x:c r="M275" s="62" t="n">
        <x:v>47</x:v>
      </x:c>
      <x:c r="N275" s="63" t="n">
        <x:f>'Drivers'!C275</x:f>
        <x:v>2924</x:v>
      </x:c>
      <x:c r="O275" s="63" t="n">
        <x:f>'Drivers'!D275</x:f>
        <x:v>1220.735</x:v>
      </x:c>
      <x:c r="P275" s="64" t="n">
        <x:f>ROUND(N275*O275/1000,3)</x:f>
        <x:v>3569.429</x:v>
      </x:c>
      <x:c r="Q275" s="64" t="n">
        <x:f>ROUND(P275*'Drivers'!E275,3)</x:f>
        <x:v>3430.417</x:v>
      </x:c>
      <x:c r="R275" s="64" t="n">
        <x:f>-ROUND(Q275*'Drivers'!F275,3)</x:f>
        <x:v>-654.624</x:v>
      </x:c>
      <x:c r="S275" s="65" t="n">
        <x:f>R275/Q275</x:f>
        <x:v>-0.19082927818979442</x:v>
      </x:c>
      <x:c r="T275" s="64" t="n">
        <x:f>-ROUND(Q275*'Drivers'!G275,3)</x:f>
        <x:v>-41.34</x:v>
      </x:c>
      <x:c r="U275" s="65" t="n">
        <x:f>T275/Q275</x:f>
        <x:v>-0.012051013040105621</x:v>
      </x:c>
      <x:c r="V275" s="64" t="n">
        <x:f>-ROUND(Q275*'Drivers'!H275,3)</x:f>
        <x:v>-26.061</x:v>
      </x:c>
      <x:c r="W275" s="64" t="n">
        <x:f>-ROUND(Q275*'Drivers'!I275,3)</x:f>
        <x:v>-25.656</x:v>
      </x:c>
      <x:c r="X275" s="64" t="n">
        <x:f>-ROUND(Q275*'Drivers'!J275,3)</x:f>
        <x:v>-35.957</x:v>
      </x:c>
      <x:c r="Y275" s="64" t="n">
        <x:f>-ROUND(Q275*'Drivers'!K275,3)</x:f>
        <x:v>-45.199</x:v>
      </x:c>
      <x:c r="Z275" s="64" t="n">
        <x:f>-ROUND(Q275*'Drivers'!L275,3)</x:f>
        <x:v>-28.683</x:v>
      </x:c>
      <x:c r="AA275" s="64" t="n">
        <x:f>-ROUND(Q275*'Drivers'!M275,3)</x:f>
        <x:v>-27.659</x:v>
      </x:c>
      <x:c r="AB275" s="64" t="n">
        <x:f>-ROUND(Q275*'Drivers'!N275,3)</x:f>
        <x:v>-26.3</x:v>
      </x:c>
      <x:c r="AC275" s="64" t="n">
        <x:f>SUM(V275:AB275)</x:f>
        <x:v>-215.515</x:v>
      </x:c>
      <x:c r="AD275" s="65" t="n">
        <x:f>AC275/Q275</x:f>
        <x:v>-0.06282472364146982</x:v>
      </x:c>
      <x:c r="AE275" s="64" t="n">
        <x:f>-ROUND(Q275*'Drivers'!O275,3)</x:f>
        <x:v>-22.871</x:v>
      </x:c>
      <x:c r="AF275" s="65" t="n">
        <x:f>AE275/Q275</x:f>
        <x:v>-0.0066671194784773975</x:v>
      </x:c>
      <x:c r="AG275" s="64" t="n">
        <x:f>-ROUND(Q275*'Drivers'!P275,3)</x:f>
        <x:v>-3.286</x:v>
      </x:c>
      <x:c r="AH275" s="64" t="n">
        <x:f>-ROUND(Q275*'Drivers'!Q275,3)</x:f>
        <x:v>-8.372</x:v>
      </x:c>
      <x:c r="AI275" s="64" t="n">
        <x:f>SUM(R275,T275,AC275,AE275,AG275,AH275)</x:f>
        <x:v>-946.0079999999999</x:v>
      </x:c>
      <x:c r="AJ275" s="65" t="n">
        <x:f>AI275/Q275</x:f>
        <x:v>-0.275770555008327</x:v>
      </x:c>
      <x:c r="AK275" s="64" t="n">
        <x:f>Q275+AI275</x:f>
        <x:v>2484.409</x:v>
      </x:c>
      <x:c r="AL275" s="65" t="n">
        <x:f>AK275/Q275</x:f>
        <x:v>0.7242294449916731</x:v>
      </x:c>
      <x:c r="AM275" s="64" t="n">
        <x:f>AK275/L275</x:f>
        <x:v>414.0681666666667</x:v>
      </x:c>
      <x:c r="AN275" s="66" t="str">
        <x:f>IF(AM275&lt;=200,"≤200K",IF(AM275&lt;=350,"200–350K",IF(AM275&lt;=500,"350–500K",IF(AM275&lt;=700,"500–700K","&gt;700K"))))</x:f>
        <x:v>350–500K</x:v>
      </x:c>
      <x:c r="AO275" s="64" t="n">
        <x:f>-ROUND(Q275*'Drivers'!R275,3)</x:f>
        <x:v>-1250.135</x:v>
      </x:c>
      <x:c r="AP275" s="64" t="n">
        <x:f>-ROUND(AK275*'Drivers'!S275,3)</x:f>
        <x:v>-33.792</x:v>
      </x:c>
      <x:c r="AQ275" s="64" t="n">
        <x:f>-ROUND(AK275*'Drivers'!T275,3)</x:f>
        <x:v>-13.173</x:v>
      </x:c>
      <x:c r="AR275" s="64" t="n">
        <x:f>-ROUND(AK275*'Drivers'!U275,3)</x:f>
        <x:v>-19.805</x:v>
      </x:c>
      <x:c r="AS275" s="64" t="n">
        <x:f>-ROUND(AK275*'Drivers'!V275,3)</x:f>
        <x:v>-93.168</x:v>
      </x:c>
      <x:c r="AT275" s="64" t="n">
        <x:f>SUM(AO275:AS275)</x:f>
        <x:v>-1410.0729999999999</x:v>
      </x:c>
      <x:c r="AU275" s="65" t="n">
        <x:f>AT275/AK275</x:f>
        <x:v>-0.567568785976866</x:v>
      </x:c>
      <x:c r="AV275" s="64" t="n">
        <x:f>AK275+AT275</x:f>
        <x:v>1074.3360000000002</x:v>
      </x:c>
      <x:c r="AW275" s="65" t="n">
        <x:f>AV275/AK275</x:f>
        <x:v>0.43243121402313395</x:v>
      </x:c>
      <x:c r="AX275" s="64" t="n">
        <x:f>-ROUND(AK275*'Drivers'!W275,3)</x:f>
        <x:v>-34.367</x:v>
      </x:c>
      <x:c r="AY275" s="64" t="n">
        <x:f>-ROUND(AK275*'Drivers'!X275,3)</x:f>
        <x:v>-63.678</x:v>
      </x:c>
      <x:c r="AZ275" s="64" t="n">
        <x:f>-ROUND(AK275*'Drivers'!Y275,3)</x:f>
        <x:v>-42.267</x:v>
      </x:c>
      <x:c r="BA275" s="64" t="n">
        <x:f>-ROUND(AK275*'Drivers'!Z275,3)</x:f>
        <x:v>-19.395</x:v>
      </x:c>
      <x:c r="BB275" s="64" t="n">
        <x:f>-ROUND(AK275*'Drivers'!AA275,3)</x:f>
        <x:v>-14.92</x:v>
      </x:c>
      <x:c r="BC275" s="64" t="n">
        <x:f>SUM(BA275,BB275)</x:f>
        <x:v>-34.315</x:v>
      </x:c>
      <x:c r="BD275" s="64" t="n">
        <x:f>-ROUND(AK275*'Drivers'!AB275,3)</x:f>
        <x:v>-17.281</x:v>
      </x:c>
      <x:c r="BE275" s="64" t="n">
        <x:f>SUM(AX275:BB275,BD275)</x:f>
        <x:v>-191.908</x:v>
      </x:c>
      <x:c r="BF275" s="67" t="n">
        <x:f>'Drivers'!AF275</x:f>
        <x:v>11</x:v>
      </x:c>
      <x:c r="BG275" s="64" t="n">
        <x:f>BJ275</x:f>
        <x:v>-60.564</x:v>
      </x:c>
      <x:c r="BH275" s="64" t="n">
        <x:f>BE275/BF275</x:f>
        <x:v>-17.446181818181817</x:v>
      </x:c>
      <x:c r="BI275" s="68" t="n">
        <x:f>BF275/L275</x:f>
        <x:v>1.8333333333333333</x:v>
      </x:c>
      <x:c r="BJ275" s="64" t="n">
        <x:f>-ROUND(AK275*'Drivers'!AC275,3)</x:f>
        <x:v>-60.564</x:v>
      </x:c>
      <x:c r="BK275" s="64" t="n">
        <x:f>-ROUND(AK275*'Drivers'!AD275,3)</x:f>
        <x:v>-237.277</x:v>
      </x:c>
      <x:c r="BL275" s="64" t="n">
        <x:f>SUM(AV275,BE275,BJ275,BK275)</x:f>
        <x:v>584.5870000000002</x:v>
      </x:c>
      <x:c r="BM275" s="65" t="n">
        <x:f>BL275/AK275</x:f>
        <x:v>0.23530223888256732</x:v>
      </x:c>
      <x:c r="BN275" s="64" t="n">
        <x:f>-ROUND(AK275*'Drivers'!AE275,3)</x:f>
        <x:v>-229.096</x:v>
      </x:c>
      <x:c r="BO275" s="64" t="n">
        <x:f>BL275+BN275</x:f>
        <x:v>355.4910000000002</x:v>
      </x:c>
      <x:c r="BP275" s="65" t="n">
        <x:f>BO275/AK275</x:f>
        <x:v>0.14308875873497487</x:v>
      </x:c>
    </x:row>
    <x:row r="276">
      <x:c r="A276" s="61" t="n">
        <x:v>2026</x:v>
      </x:c>
      <x:c r="B276" s="18" t="str">
        <x:v>S1</x:v>
      </x:c>
      <x:c r="C276" s="18" t="str">
        <x:v>2026 S1</x:v>
      </x:c>
      <x:c r="D276" s="18" t="str">
        <x:v>CNCT0069</x:v>
      </x:c>
      <x:c r="E276" s="18" t="str">
        <x:v>南京万象天地</x:v>
      </x:c>
      <x:c r="F276" s="18" t="str">
        <x:v>南京</x:v>
      </x:c>
      <x:c r="G276" s="18" t="str">
        <x:v>江苏省</x:v>
      </x:c>
      <x:c r="H276" s="18" t="str">
        <x:v>东区</x:v>
      </x:c>
      <x:c r="I276" s="18" t="str">
        <x:v>Shopping Mall</x:v>
      </x:c>
      <x:c r="J276" s="18" t="str">
        <x:v>Prestige Shopping Center</x:v>
      </x:c>
      <x:c r="K276" s="18" t="str">
        <x:v>正常</x:v>
      </x:c>
      <x:c r="L276" s="62" t="n">
        <x:v>6</x:v>
      </x:c>
      <x:c r="M276" s="62" t="n">
        <x:v>47</x:v>
      </x:c>
      <x:c r="N276" s="63" t="n">
        <x:f>'Drivers'!C276</x:f>
        <x:v>2877</x:v>
      </x:c>
      <x:c r="O276" s="63" t="n">
        <x:f>'Drivers'!D276</x:f>
        <x:v>1249.898</x:v>
      </x:c>
      <x:c r="P276" s="64" t="n">
        <x:f>ROUND(N276*O276/1000,3)</x:f>
        <x:v>3595.957</x:v>
      </x:c>
      <x:c r="Q276" s="64" t="n">
        <x:f>ROUND(P276*'Drivers'!E276,3)</x:f>
        <x:v>3503.42</x:v>
      </x:c>
      <x:c r="R276" s="64" t="n">
        <x:f>-ROUND(Q276*'Drivers'!F276,3)</x:f>
        <x:v>-675.001</x:v>
      </x:c>
      <x:c r="S276" s="65" t="n">
        <x:f>R276/Q276</x:f>
        <x:v>-0.19266916327474296</x:v>
      </x:c>
      <x:c r="T276" s="64" t="n">
        <x:f>-ROUND(Q276*'Drivers'!G276,3)</x:f>
        <x:v>-47.606</x:v>
      </x:c>
      <x:c r="U276" s="65" t="n">
        <x:f>T276/Q276</x:f>
        <x:v>-0.013588436442105143</x:v>
      </x:c>
      <x:c r="V276" s="64" t="n">
        <x:f>-ROUND(Q276*'Drivers'!H276,3)</x:f>
        <x:v>-26.616</x:v>
      </x:c>
      <x:c r="W276" s="64" t="n">
        <x:f>-ROUND(Q276*'Drivers'!I276,3)</x:f>
        <x:v>-26.202</x:v>
      </x:c>
      <x:c r="X276" s="64" t="n">
        <x:f>-ROUND(Q276*'Drivers'!J276,3)</x:f>
        <x:v>-36.722</x:v>
      </x:c>
      <x:c r="Y276" s="64" t="n">
        <x:f>-ROUND(Q276*'Drivers'!K276,3)</x:f>
        <x:v>-46.16</x:v>
      </x:c>
      <x:c r="Z276" s="64" t="n">
        <x:f>-ROUND(Q276*'Drivers'!L276,3)</x:f>
        <x:v>-29.293</x:v>
      </x:c>
      <x:c r="AA276" s="64" t="n">
        <x:f>-ROUND(Q276*'Drivers'!M276,3)</x:f>
        <x:v>-28.247</x:v>
      </x:c>
      <x:c r="AB276" s="64" t="n">
        <x:f>-ROUND(Q276*'Drivers'!N276,3)</x:f>
        <x:v>-26.859</x:v>
      </x:c>
      <x:c r="AC276" s="64" t="n">
        <x:f>SUM(V276:AB276)</x:f>
        <x:v>-220.09900000000002</x:v>
      </x:c>
      <x:c r="AD276" s="65" t="n">
        <x:f>AC276/Q276</x:f>
        <x:v>-0.06282404050898836</x:v>
      </x:c>
      <x:c r="AE276" s="64" t="n">
        <x:f>-ROUND(Q276*'Drivers'!O276,3)</x:f>
        <x:v>-23.123</x:v>
      </x:c>
      <x:c r="AF276" s="65" t="n">
        <x:f>AE276/Q276</x:f>
        <x:v>-0.006600122166340319</x:v>
      </x:c>
      <x:c r="AG276" s="64" t="n">
        <x:f>-ROUND(Q276*'Drivers'!P276,3)</x:f>
        <x:v>-3.356</x:v>
      </x:c>
      <x:c r="AH276" s="64" t="n">
        <x:f>-ROUND(Q276*'Drivers'!Q276,3)</x:f>
        <x:v>-8.55</x:v>
      </x:c>
      <x:c r="AI276" s="64" t="n">
        <x:f>SUM(R276,T276,AC276,AE276,AG276,AH276)</x:f>
        <x:v>-977.735</x:v>
      </x:c>
      <x:c r="AJ276" s="65" t="n">
        <x:f>AI276/Q276</x:f>
        <x:v>-0.2790801559618887</x:v>
      </x:c>
      <x:c r="AK276" s="64" t="n">
        <x:f>Q276+AI276</x:f>
        <x:v>2525.685</x:v>
      </x:c>
      <x:c r="AL276" s="65" t="n">
        <x:f>AK276/Q276</x:f>
        <x:v>0.7209198440381113</x:v>
      </x:c>
      <x:c r="AM276" s="64" t="n">
        <x:f>AK276/L276</x:f>
        <x:v>420.9475</x:v>
      </x:c>
      <x:c r="AN276" s="66" t="str">
        <x:f>IF(AM276&lt;=200,"≤200K",IF(AM276&lt;=350,"200–350K",IF(AM276&lt;=500,"350–500K",IF(AM276&lt;=700,"500–700K","&gt;700K"))))</x:f>
        <x:v>350–500K</x:v>
      </x:c>
      <x:c r="AO276" s="64" t="n">
        <x:f>-ROUND(Q276*'Drivers'!R276,3)</x:f>
        <x:v>-1323.442</x:v>
      </x:c>
      <x:c r="AP276" s="64" t="n">
        <x:f>-ROUND(AK276*'Drivers'!S276,3)</x:f>
        <x:v>-34.353</x:v>
      </x:c>
      <x:c r="AQ276" s="64" t="n">
        <x:f>-ROUND(AK276*'Drivers'!T276,3)</x:f>
        <x:v>-13.391</x:v>
      </x:c>
      <x:c r="AR276" s="64" t="n">
        <x:f>-ROUND(AK276*'Drivers'!U276,3)</x:f>
        <x:v>-20.134</x:v>
      </x:c>
      <x:c r="AS276" s="64" t="n">
        <x:f>-ROUND(AK276*'Drivers'!V276,3)</x:f>
        <x:v>-94.716</x:v>
      </x:c>
      <x:c r="AT276" s="64" t="n">
        <x:f>SUM(AO276:AS276)</x:f>
        <x:v>-1486.036</x:v>
      </x:c>
      <x:c r="AU276" s="65" t="n">
        <x:f>AT276/AK276</x:f>
        <x:v>-0.5883694918408274</x:v>
      </x:c>
      <x:c r="AV276" s="64" t="n">
        <x:f>AK276+AT276</x:f>
        <x:v>1039.649</x:v>
      </x:c>
      <x:c r="AW276" s="65" t="n">
        <x:f>AV276/AK276</x:f>
        <x:v>0.4116305081591726</x:v>
      </x:c>
      <x:c r="AX276" s="64" t="n">
        <x:f>-ROUND(AK276*'Drivers'!W276,3)</x:f>
        <x:v>-42.989</x:v>
      </x:c>
      <x:c r="AY276" s="64" t="n">
        <x:f>-ROUND(AK276*'Drivers'!X276,3)</x:f>
        <x:v>-79.654</x:v>
      </x:c>
      <x:c r="AZ276" s="64" t="n">
        <x:f>-ROUND(AK276*'Drivers'!Y276,3)</x:f>
        <x:v>-52.871</x:v>
      </x:c>
      <x:c r="BA276" s="64" t="n">
        <x:f>-ROUND(AK276*'Drivers'!Z276,3)</x:f>
        <x:v>-24.261</x:v>
      </x:c>
      <x:c r="BB276" s="64" t="n">
        <x:f>-ROUND(AK276*'Drivers'!AA276,3)</x:f>
        <x:v>-18.663</x:v>
      </x:c>
      <x:c r="BC276" s="64" t="n">
        <x:f>SUM(BA276,BB276)</x:f>
        <x:v>-42.924</x:v>
      </x:c>
      <x:c r="BD276" s="64" t="n">
        <x:f>-ROUND(AK276*'Drivers'!AB276,3)</x:f>
        <x:v>-21.617</x:v>
      </x:c>
      <x:c r="BE276" s="64" t="n">
        <x:f>SUM(AX276:BB276,BD276)</x:f>
        <x:v>-240.055</x:v>
      </x:c>
      <x:c r="BF276" s="67" t="n">
        <x:f>'Drivers'!AF276</x:f>
        <x:v>11</x:v>
      </x:c>
      <x:c r="BG276" s="64" t="n">
        <x:f>BJ276</x:f>
        <x:v>-75.759</x:v>
      </x:c>
      <x:c r="BH276" s="64" t="n">
        <x:f>BE276/BF276</x:f>
        <x:v>-21.82318181818182</x:v>
      </x:c>
      <x:c r="BI276" s="68" t="n">
        <x:f>BF276/L276</x:f>
        <x:v>1.8333333333333333</x:v>
      </x:c>
      <x:c r="BJ276" s="64" t="n">
        <x:f>-ROUND(AK276*'Drivers'!AC276,3)</x:f>
        <x:v>-75.759</x:v>
      </x:c>
      <x:c r="BK276" s="64" t="n">
        <x:f>-ROUND(AK276*'Drivers'!AD276,3)</x:f>
        <x:v>-241.22</x:v>
      </x:c>
      <x:c r="BL276" s="64" t="n">
        <x:f>SUM(AV276,BE276,BJ276,BK276)</x:f>
        <x:v>482.6149999999998</x:v>
      </x:c>
      <x:c r="BM276" s="65" t="n">
        <x:f>BL276/AK276</x:f>
        <x:v>0.19108281515707612</x:v>
      </x:c>
      <x:c r="BN276" s="64" t="n">
        <x:f>-ROUND(AK276*'Drivers'!AE276,3)</x:f>
        <x:v>-232.902</x:v>
      </x:c>
      <x:c r="BO276" s="64" t="n">
        <x:f>BL276+BN276</x:f>
        <x:v>249.7129999999998</x:v>
      </x:c>
      <x:c r="BP276" s="65" t="n">
        <x:f>BO276/AK276</x:f>
        <x:v>0.09886941562388017</x:v>
      </x:c>
    </x:row>
    <x:row r="277">
      <x:c r="A277" s="61" t="n">
        <x:v>2026</x:v>
      </x:c>
      <x:c r="B277" s="18" t="str">
        <x:v>S2</x:v>
      </x:c>
      <x:c r="C277" s="18" t="str">
        <x:v>2026 S2</x:v>
      </x:c>
      <x:c r="D277" s="18" t="str">
        <x:v>CNCT0069</x:v>
      </x:c>
      <x:c r="E277" s="18" t="str">
        <x:v>南京万象天地</x:v>
      </x:c>
      <x:c r="F277" s="18" t="str">
        <x:v>南京</x:v>
      </x:c>
      <x:c r="G277" s="18" t="str">
        <x:v>江苏省</x:v>
      </x:c>
      <x:c r="H277" s="18" t="str">
        <x:v>东区</x:v>
      </x:c>
      <x:c r="I277" s="18" t="str">
        <x:v>Shopping Mall</x:v>
      </x:c>
      <x:c r="J277" s="18" t="str">
        <x:v>Prestige Shopping Center</x:v>
      </x:c>
      <x:c r="K277" s="18" t="str">
        <x:v>正常</x:v>
      </x:c>
      <x:c r="L277" s="62" t="n">
        <x:v>6</x:v>
      </x:c>
      <x:c r="M277" s="62" t="n">
        <x:v>46</x:v>
      </x:c>
      <x:c r="N277" s="63" t="n">
        <x:f>'Drivers'!C277</x:f>
        <x:v>2967</x:v>
      </x:c>
      <x:c r="O277" s="63" t="n">
        <x:f>'Drivers'!D277</x:f>
        <x:v>1268.59</x:v>
      </x:c>
      <x:c r="P277" s="64" t="n">
        <x:f>ROUND(N277*O277/1000,3)</x:f>
        <x:v>3763.907</x:v>
      </x:c>
      <x:c r="Q277" s="64" t="n">
        <x:f>ROUND(P277*'Drivers'!E277,3)</x:f>
        <x:v>3617.321</x:v>
      </x:c>
      <x:c r="R277" s="64" t="n">
        <x:f>-ROUND(Q277*'Drivers'!F277,3)</x:f>
        <x:v>-680.525</x:v>
      </x:c>
      <x:c r="S277" s="65" t="n">
        <x:f>R277/Q277</x:f>
        <x:v>-0.1881295577583521</x:v>
      </x:c>
      <x:c r="T277" s="64" t="n">
        <x:f>-ROUND(Q277*'Drivers'!G277,3)</x:f>
        <x:v>-43.04</x:v>
      </x:c>
      <x:c r="U277" s="65" t="n">
        <x:f>T277/Q277</x:f>
        <x:v>-0.011898308167840233</x:v>
      </x:c>
      <x:c r="V277" s="64" t="n">
        <x:f>-ROUND(Q277*'Drivers'!H277,3)</x:f>
        <x:v>-27.481</x:v>
      </x:c>
      <x:c r="W277" s="64" t="n">
        <x:f>-ROUND(Q277*'Drivers'!I277,3)</x:f>
        <x:v>-27.054</x:v>
      </x:c>
      <x:c r="X277" s="64" t="n">
        <x:f>-ROUND(Q277*'Drivers'!J277,3)</x:f>
        <x:v>-37.916</x:v>
      </x:c>
      <x:c r="Y277" s="64" t="n">
        <x:f>-ROUND(Q277*'Drivers'!K277,3)</x:f>
        <x:v>-47.661</x:v>
      </x:c>
      <x:c r="Z277" s="64" t="n">
        <x:f>-ROUND(Q277*'Drivers'!L277,3)</x:f>
        <x:v>-30.246</x:v>
      </x:c>
      <x:c r="AA277" s="64" t="n">
        <x:f>-ROUND(Q277*'Drivers'!M277,3)</x:f>
        <x:v>-29.166</x:v>
      </x:c>
      <x:c r="AB277" s="64" t="n">
        <x:f>-ROUND(Q277*'Drivers'!N277,3)</x:f>
        <x:v>-27.733</x:v>
      </x:c>
      <x:c r="AC277" s="64" t="n">
        <x:f>SUM(V277:AB277)</x:f>
        <x:v>-227.257</x:v>
      </x:c>
      <x:c r="AD277" s="65" t="n">
        <x:f>AC277/Q277</x:f>
        <x:v>-0.06282467052274321</x:v>
      </x:c>
      <x:c r="AE277" s="64" t="n">
        <x:f>-ROUND(Q277*'Drivers'!O277,3)</x:f>
        <x:v>-24.118</x:v>
      </x:c>
      <x:c r="AF277" s="65" t="n">
        <x:f>AE277/Q277</x:f>
        <x:v>-0.006667365157806011</x:v>
      </x:c>
      <x:c r="AG277" s="64" t="n">
        <x:f>-ROUND(Q277*'Drivers'!P277,3)</x:f>
        <x:v>-3.465</x:v>
      </x:c>
      <x:c r="AH277" s="64" t="n">
        <x:f>-ROUND(Q277*'Drivers'!Q277,3)</x:f>
        <x:v>-8.828</x:v>
      </x:c>
      <x:c r="AI277" s="64" t="n">
        <x:f>SUM(R277,T277,AC277,AE277,AG277,AH277)</x:f>
        <x:v>-987.233</x:v>
      </x:c>
      <x:c r="AJ277" s="65" t="n">
        <x:f>AI277/Q277</x:f>
        <x:v>-0.2729182729428768</x:v>
      </x:c>
      <x:c r="AK277" s="64" t="n">
        <x:f>Q277+AI277</x:f>
        <x:v>2630.0879999999997</x:v>
      </x:c>
      <x:c r="AL277" s="65" t="n">
        <x:f>AK277/Q277</x:f>
        <x:v>0.7270817270571232</x:v>
      </x:c>
      <x:c r="AM277" s="64" t="n">
        <x:f>AK277/L277</x:f>
        <x:v>438.34799999999996</x:v>
      </x:c>
      <x:c r="AN277" s="66" t="str">
        <x:f>IF(AM277&lt;=200,"≤200K",IF(AM277&lt;=350,"200–350K",IF(AM277&lt;=500,"350–500K",IF(AM277&lt;=700,"500–700K","&gt;700K"))))</x:f>
        <x:v>350–500K</x:v>
      </x:c>
      <x:c r="AO277" s="64" t="n">
        <x:f>-ROUND(Q277*'Drivers'!R277,3)</x:f>
        <x:v>-1293.073</x:v>
      </x:c>
      <x:c r="AP277" s="64" t="n">
        <x:f>-ROUND(AK277*'Drivers'!S277,3)</x:f>
        <x:v>-35.773</x:v>
      </x:c>
      <x:c r="AQ277" s="64" t="n">
        <x:f>-ROUND(AK277*'Drivers'!T277,3)</x:f>
        <x:v>-13.945</x:v>
      </x:c>
      <x:c r="AR277" s="64" t="n">
        <x:f>-ROUND(AK277*'Drivers'!U277,3)</x:f>
        <x:v>-20.966</x:v>
      </x:c>
      <x:c r="AS277" s="64" t="n">
        <x:f>-ROUND(AK277*'Drivers'!V277,3)</x:f>
        <x:v>-98.631</x:v>
      </x:c>
      <x:c r="AT277" s="64" t="n">
        <x:f>SUM(AO277:AS277)</x:f>
        <x:v>-1462.388</x:v>
      </x:c>
      <x:c r="AU277" s="65" t="n">
        <x:f>AT277/AK277</x:f>
        <x:v>-0.5560224600849858</x:v>
      </x:c>
      <x:c r="AV277" s="64" t="n">
        <x:f>AK277+AT277</x:f>
        <x:v>1167.6999999999998</x:v>
      </x:c>
      <x:c r="AW277" s="65" t="n">
        <x:f>AV277/AK277</x:f>
        <x:v>0.4439775399150142</x:v>
      </x:c>
      <x:c r="AX277" s="64" t="n">
        <x:f>-ROUND(AK277*'Drivers'!W277,3)</x:f>
        <x:v>-38.565</x:v>
      </x:c>
      <x:c r="AY277" s="64" t="n">
        <x:f>-ROUND(AK277*'Drivers'!X277,3)</x:f>
        <x:v>-71.456</x:v>
      </x:c>
      <x:c r="AZ277" s="64" t="n">
        <x:f>-ROUND(AK277*'Drivers'!Y277,3)</x:f>
        <x:v>-47.43</x:v>
      </x:c>
      <x:c r="BA277" s="64" t="n">
        <x:f>-ROUND(AK277*'Drivers'!Z277,3)</x:f>
        <x:v>-21.764</x:v>
      </x:c>
      <x:c r="BB277" s="64" t="n">
        <x:f>-ROUND(AK277*'Drivers'!AA277,3)</x:f>
        <x:v>-16.742</x:v>
      </x:c>
      <x:c r="BC277" s="64" t="n">
        <x:f>SUM(BA277,BB277)</x:f>
        <x:v>-38.506</x:v>
      </x:c>
      <x:c r="BD277" s="64" t="n">
        <x:f>-ROUND(AK277*'Drivers'!AB277,3)</x:f>
        <x:v>-19.392</x:v>
      </x:c>
      <x:c r="BE277" s="64" t="n">
        <x:f>SUM(AX277:BB277,BD277)</x:f>
        <x:v>-215.349</x:v>
      </x:c>
      <x:c r="BF277" s="67" t="n">
        <x:f>'Drivers'!AF277</x:f>
        <x:v>11</x:v>
      </x:c>
      <x:c r="BG277" s="64" t="n">
        <x:f>BJ277</x:f>
        <x:v>-67.962</x:v>
      </x:c>
      <x:c r="BH277" s="64" t="n">
        <x:f>BE277/BF277</x:f>
        <x:v>-19.577181818181817</x:v>
      </x:c>
      <x:c r="BI277" s="68" t="n">
        <x:f>BF277/L277</x:f>
        <x:v>1.8333333333333333</x:v>
      </x:c>
      <x:c r="BJ277" s="64" t="n">
        <x:f>-ROUND(AK277*'Drivers'!AC277,3)</x:f>
        <x:v>-67.962</x:v>
      </x:c>
      <x:c r="BK277" s="64" t="n">
        <x:f>-ROUND(AK277*'Drivers'!AD277,3)</x:f>
        <x:v>-251.191</x:v>
      </x:c>
      <x:c r="BL277" s="64" t="n">
        <x:f>SUM(AV277,BE277,BJ277,BK277)</x:f>
        <x:v>633.1979999999999</x:v>
      </x:c>
      <x:c r="BM277" s="65" t="n">
        <x:f>BL277/AK277</x:f>
        <x:v>0.24075164024929963</x:v>
      </x:c>
      <x:c r="BN277" s="64" t="n">
        <x:f>-ROUND(AK277*'Drivers'!AE277,3)</x:f>
        <x:v>-242.53</x:v>
      </x:c>
      <x:c r="BO277" s="64" t="n">
        <x:f>BL277+BN277</x:f>
        <x:v>390.6679999999999</x:v>
      </x:c>
      <x:c r="BP277" s="65" t="n">
        <x:f>BO277/AK277</x:f>
        <x:v>0.14853799568683632</x:v>
      </x:c>
    </x:row>
    <x:row r="278">
      <x:c r="A278" s="61" t="n">
        <x:v>2025</x:v>
      </x:c>
      <x:c r="B278" s="18" t="str">
        <x:v>S1</x:v>
      </x:c>
      <x:c r="C278" s="18" t="str">
        <x:v>2025 S1</x:v>
      </x:c>
      <x:c r="D278" s="18" t="str">
        <x:v>CNCT0070</x:v>
      </x:c>
      <x:c r="E278" s="18" t="str">
        <x:v>南京景枫中心</x:v>
      </x:c>
      <x:c r="F278" s="18" t="str">
        <x:v>南京</x:v>
      </x:c>
      <x:c r="G278" s="18" t="str">
        <x:v>江苏省</x:v>
      </x:c>
      <x:c r="H278" s="18" t="str">
        <x:v>东区</x:v>
      </x:c>
      <x:c r="I278" s="18" t="str">
        <x:v>Shopping Mall</x:v>
      </x:c>
      <x:c r="J278" s="18" t="str">
        <x:v>Regional Mall</x:v>
      </x:c>
      <x:c r="K278" s="18" t="str">
        <x:v>正常</x:v>
      </x:c>
      <x:c r="L278" s="62" t="n">
        <x:v>5</x:v>
      </x:c>
      <x:c r="M278" s="62" t="n">
        <x:v>47</x:v>
      </x:c>
      <x:c r="N278" s="63" t="n">
        <x:f>'Drivers'!C278</x:f>
        <x:v>1657</x:v>
      </x:c>
      <x:c r="O278" s="63" t="n">
        <x:f>'Drivers'!D278</x:f>
        <x:v>966.884</x:v>
      </x:c>
      <x:c r="P278" s="64" t="n">
        <x:f>ROUND(N278*O278/1000,3)</x:f>
        <x:v>1602.127</x:v>
      </x:c>
      <x:c r="Q278" s="64" t="n">
        <x:f>ROUND(P278*'Drivers'!E278,3)</x:f>
        <x:v>1575.092</x:v>
      </x:c>
      <x:c r="R278" s="64" t="n">
        <x:f>-ROUND(Q278*'Drivers'!F278,3)</x:f>
        <x:v>-258.027</x:v>
      </x:c>
      <x:c r="S278" s="65" t="n">
        <x:f>R278/Q278</x:f>
        <x:v>-0.16381709766794572</x:v>
      </x:c>
      <x:c r="T278" s="64" t="n">
        <x:f>-ROUND(Q278*'Drivers'!G278,3)</x:f>
        <x:v>-23.738</x:v>
      </x:c>
      <x:c r="U278" s="65" t="n">
        <x:f>T278/Q278</x:f>
        <x:v>-0.015070865701812972</x:v>
      </x:c>
      <x:c r="V278" s="64" t="n">
        <x:f>-ROUND(Q278*'Drivers'!H278,3)</x:f>
        <x:v>-17.116</x:v>
      </x:c>
      <x:c r="W278" s="64" t="n">
        <x:f>-ROUND(Q278*'Drivers'!I278,3)</x:f>
        <x:v>-14.438</x:v>
      </x:c>
      <x:c r="X278" s="64" t="n">
        <x:f>-ROUND(Q278*'Drivers'!J278,3)</x:f>
        <x:v>-19.378</x:v>
      </x:c>
      <x:c r="Y278" s="64" t="n">
        <x:f>-ROUND(Q278*'Drivers'!K278,3)</x:f>
        <x:v>-17.786</x:v>
      </x:c>
      <x:c r="Z278" s="64" t="n">
        <x:f>-ROUND(Q278*'Drivers'!L278,3)</x:f>
        <x:v>-14.814</x:v>
      </x:c>
      <x:c r="AA278" s="64" t="n">
        <x:f>-ROUND(Q278*'Drivers'!M278,3)</x:f>
        <x:v>-10.989</x:v>
      </x:c>
      <x:c r="AB278" s="64" t="n">
        <x:f>-ROUND(Q278*'Drivers'!N278,3)</x:f>
        <x:v>-11.539</x:v>
      </x:c>
      <x:c r="AC278" s="64" t="n">
        <x:f>SUM(V278:AB278)</x:f>
        <x:v>-106.06000000000002</x:v>
      </x:c>
      <x:c r="AD278" s="65" t="n">
        <x:f>AC278/Q278</x:f>
        <x:v>-0.06733574927686764</x:v>
      </x:c>
      <x:c r="AE278" s="64" t="n">
        <x:f>-ROUND(Q278*'Drivers'!O278,3)</x:f>
        <x:v>-15.941</x:v>
      </x:c>
      <x:c r="AF278" s="65" t="n">
        <x:f>AE278/Q278</x:f>
        <x:v>-0.010120678665119244</x:v>
      </x:c>
      <x:c r="AG278" s="64" t="n">
        <x:f>-ROUND(Q278*'Drivers'!P278,3)</x:f>
        <x:v>-1.712</x:v>
      </x:c>
      <x:c r="AH278" s="64" t="n">
        <x:f>-ROUND(Q278*'Drivers'!Q278,3)</x:f>
        <x:v>-1.922</x:v>
      </x:c>
      <x:c r="AI278" s="64" t="n">
        <x:f>SUM(R278,T278,AC278,AE278,AG278,AH278)</x:f>
        <x:v>-407.4</x:v>
      </x:c>
      <x:c r="AJ278" s="65" t="n">
        <x:f>AI278/Q278</x:f>
        <x:v>-0.25865155813120755</x:v>
      </x:c>
      <x:c r="AK278" s="64" t="n">
        <x:f>Q278+AI278</x:f>
        <x:v>1167.692</x:v>
      </x:c>
      <x:c r="AL278" s="65" t="n">
        <x:f>AK278/Q278</x:f>
        <x:v>0.7413484418687923</x:v>
      </x:c>
      <x:c r="AM278" s="64" t="n">
        <x:f>AK278/L278</x:f>
        <x:v>233.5384</x:v>
      </x:c>
      <x:c r="AN278" s="66" t="str">
        <x:f>IF(AM278&lt;=200,"≤200K",IF(AM278&lt;=350,"200–350K",IF(AM278&lt;=500,"350–500K",IF(AM278&lt;=700,"500–700K","&gt;700K"))))</x:f>
        <x:v>200–350K</x:v>
      </x:c>
      <x:c r="AO278" s="64" t="n">
        <x:f>-ROUND(Q278*'Drivers'!R278,3)</x:f>
        <x:v>-599.294</x:v>
      </x:c>
      <x:c r="AP278" s="64" t="n">
        <x:f>-ROUND(AK278*'Drivers'!S278,3)</x:f>
        <x:v>-17.598</x:v>
      </x:c>
      <x:c r="AQ278" s="64" t="n">
        <x:f>-ROUND(AK278*'Drivers'!T278,3)</x:f>
        <x:v>-4.72</x:v>
      </x:c>
      <x:c r="AR278" s="64" t="n">
        <x:f>-ROUND(AK278*'Drivers'!U278,3)</x:f>
        <x:v>-14.576</x:v>
      </x:c>
      <x:c r="AS278" s="64" t="n">
        <x:f>-ROUND(AK278*'Drivers'!V278,3)</x:f>
        <x:v>-43.041</x:v>
      </x:c>
      <x:c r="AT278" s="64" t="n">
        <x:f>SUM(AO278:AS278)</x:f>
        <x:v>-679.229</x:v>
      </x:c>
      <x:c r="AU278" s="65" t="n">
        <x:f>AT278/AK278</x:f>
        <x:v>-0.581685067637699</x:v>
      </x:c>
      <x:c r="AV278" s="64" t="n">
        <x:f>AK278+AT278</x:f>
        <x:v>488.46299999999997</x:v>
      </x:c>
      <x:c r="AW278" s="65" t="n">
        <x:f>AV278/AK278</x:f>
        <x:v>0.418314932362301</x:v>
      </x:c>
      <x:c r="AX278" s="64" t="n">
        <x:f>-ROUND(AK278*'Drivers'!W278,3)</x:f>
        <x:v>-14.191</x:v>
      </x:c>
      <x:c r="AY278" s="64" t="n">
        <x:f>-ROUND(AK278*'Drivers'!X278,3)</x:f>
        <x:v>-20.399</x:v>
      </x:c>
      <x:c r="AZ278" s="64" t="n">
        <x:f>-ROUND(AK278*'Drivers'!Y278,3)</x:f>
        <x:v>-20.978</x:v>
      </x:c>
      <x:c r="BA278" s="64" t="n">
        <x:f>-ROUND(AK278*'Drivers'!Z278,3)</x:f>
        <x:v>-7.827</x:v>
      </x:c>
      <x:c r="BB278" s="64" t="n">
        <x:f>-ROUND(AK278*'Drivers'!AA278,3)</x:f>
        <x:v>-9.977</x:v>
      </x:c>
      <x:c r="BC278" s="64" t="n">
        <x:f>SUM(BA278,BB278)</x:f>
        <x:v>-17.804000000000002</x:v>
      </x:c>
      <x:c r="BD278" s="64" t="n">
        <x:f>-ROUND(AK278*'Drivers'!AB278,3)</x:f>
        <x:v>-3.775</x:v>
      </x:c>
      <x:c r="BE278" s="64" t="n">
        <x:f>SUM(AX278:BB278,BD278)</x:f>
        <x:v>-77.147</x:v>
      </x:c>
      <x:c r="BF278" s="67" t="n">
        <x:f>'Drivers'!AF278</x:f>
        <x:v>8</x:v>
      </x:c>
      <x:c r="BG278" s="64" t="n">
        <x:f>BJ278</x:f>
        <x:v>-31.007</x:v>
      </x:c>
      <x:c r="BH278" s="64" t="n">
        <x:f>BE278/BF278</x:f>
        <x:v>-9.643375</x:v>
      </x:c>
      <x:c r="BI278" s="68" t="n">
        <x:f>BF278/L278</x:f>
        <x:v>1.6</x:v>
      </x:c>
      <x:c r="BJ278" s="64" t="n">
        <x:f>-ROUND(AK278*'Drivers'!AC278,3)</x:f>
        <x:v>-31.007</x:v>
      </x:c>
      <x:c r="BK278" s="64" t="n">
        <x:f>-ROUND(AK278*'Drivers'!AD278,3)</x:f>
        <x:v>-111.442</x:v>
      </x:c>
      <x:c r="BL278" s="64" t="n">
        <x:f>SUM(AV278,BE278,BJ278,BK278)</x:f>
        <x:v>268.86699999999996</x:v>
      </x:c>
      <x:c r="BM278" s="65" t="n">
        <x:f>BL278/AK278</x:f>
        <x:v>0.23025506726088726</x:v>
      </x:c>
      <x:c r="BN278" s="64" t="n">
        <x:f>-ROUND(AK278*'Drivers'!AE278,3)</x:f>
        <x:v>-81.137</x:v>
      </x:c>
      <x:c r="BO278" s="64" t="n">
        <x:f>BL278+BN278</x:f>
        <x:v>187.72999999999996</x:v>
      </x:c>
      <x:c r="BP278" s="65" t="n">
        <x:f>BO278/AK278</x:f>
        <x:v>0.16077013459028577</x:v>
      </x:c>
    </x:row>
    <x:row r="279">
      <x:c r="A279" s="61" t="n">
        <x:v>2025</x:v>
      </x:c>
      <x:c r="B279" s="18" t="str">
        <x:v>S2</x:v>
      </x:c>
      <x:c r="C279" s="18" t="str">
        <x:v>2025 S2</x:v>
      </x:c>
      <x:c r="D279" s="18" t="str">
        <x:v>CNCT0070</x:v>
      </x:c>
      <x:c r="E279" s="18" t="str">
        <x:v>南京景枫中心</x:v>
      </x:c>
      <x:c r="F279" s="18" t="str">
        <x:v>南京</x:v>
      </x:c>
      <x:c r="G279" s="18" t="str">
        <x:v>江苏省</x:v>
      </x:c>
      <x:c r="H279" s="18" t="str">
        <x:v>东区</x:v>
      </x:c>
      <x:c r="I279" s="18" t="str">
        <x:v>Shopping Mall</x:v>
      </x:c>
      <x:c r="J279" s="18" t="str">
        <x:v>Regional Mall</x:v>
      </x:c>
      <x:c r="K279" s="18" t="str">
        <x:v>正常</x:v>
      </x:c>
      <x:c r="L279" s="62" t="n">
        <x:v>5</x:v>
      </x:c>
      <x:c r="M279" s="62" t="n">
        <x:v>47</x:v>
      </x:c>
      <x:c r="N279" s="63" t="n">
        <x:f>'Drivers'!C279</x:f>
        <x:v>1801</x:v>
      </x:c>
      <x:c r="O279" s="63" t="n">
        <x:f>'Drivers'!D279</x:f>
        <x:v>978.487</x:v>
      </x:c>
      <x:c r="P279" s="64" t="n">
        <x:f>ROUND(N279*O279/1000,3)</x:f>
        <x:v>1762.255</x:v>
      </x:c>
      <x:c r="Q279" s="64" t="n">
        <x:f>ROUND(P279*'Drivers'!E279,3)</x:f>
        <x:v>1724.511</x:v>
      </x:c>
      <x:c r="R279" s="64" t="n">
        <x:f>-ROUND(Q279*'Drivers'!F279,3)</x:f>
        <x:v>-282.505</x:v>
      </x:c>
      <x:c r="S279" s="65" t="n">
        <x:f>R279/Q279</x:f>
        <x:v>-0.16381745317948102</x:v>
      </x:c>
      <x:c r="T279" s="64" t="n">
        <x:f>-ROUND(Q279*'Drivers'!G279,3)</x:f>
        <x:v>-25.99</x:v>
      </x:c>
      <x:c r="U279" s="65" t="n">
        <x:f>T279/Q279</x:f>
        <x:v>-0.01507093895022995</x:v>
      </x:c>
      <x:c r="V279" s="64" t="n">
        <x:f>-ROUND(Q279*'Drivers'!H279,3)</x:f>
        <x:v>-18.74</x:v>
      </x:c>
      <x:c r="W279" s="64" t="n">
        <x:f>-ROUND(Q279*'Drivers'!I279,3)</x:f>
        <x:v>-15.807</x:v>
      </x:c>
      <x:c r="X279" s="64" t="n">
        <x:f>-ROUND(Q279*'Drivers'!J279,3)</x:f>
        <x:v>-21.216</x:v>
      </x:c>
      <x:c r="Y279" s="64" t="n">
        <x:f>-ROUND(Q279*'Drivers'!K279,3)</x:f>
        <x:v>-19.473</x:v>
      </x:c>
      <x:c r="Z279" s="64" t="n">
        <x:f>-ROUND(Q279*'Drivers'!L279,3)</x:f>
        <x:v>-16.219</x:v>
      </x:c>
      <x:c r="AA279" s="64" t="n">
        <x:f>-ROUND(Q279*'Drivers'!M279,3)</x:f>
        <x:v>-12.032</x:v>
      </x:c>
      <x:c r="AB279" s="64" t="n">
        <x:f>-ROUND(Q279*'Drivers'!N279,3)</x:f>
        <x:v>-12.634</x:v>
      </x:c>
      <x:c r="AC279" s="64" t="n">
        <x:f>SUM(V279:AB279)</x:f>
        <x:v>-116.12099999999998</x:v>
      </x:c>
      <x:c r="AD279" s="65" t="n">
        <x:f>AC279/Q279</x:f>
        <x:v>-0.06733560992072535</x:v>
      </x:c>
      <x:c r="AE279" s="64" t="n">
        <x:f>-ROUND(Q279*'Drivers'!O279,3)</x:f>
        <x:v>-17.453</x:v>
      </x:c>
      <x:c r="AF279" s="65" t="n">
        <x:f>AE279/Q279</x:f>
        <x:v>-0.010120550115366037</x:v>
      </x:c>
      <x:c r="AG279" s="64" t="n">
        <x:f>-ROUND(Q279*'Drivers'!P279,3)</x:f>
        <x:v>-1.875</x:v>
      </x:c>
      <x:c r="AH279" s="64" t="n">
        <x:f>-ROUND(Q279*'Drivers'!Q279,3)</x:f>
        <x:v>-2.105</x:v>
      </x:c>
      <x:c r="AI279" s="64" t="n">
        <x:f>SUM(R279,T279,AC279,AE279,AG279,AH279)</x:f>
        <x:v>-446.049</x:v>
      </x:c>
      <x:c r="AJ279" s="65" t="n">
        <x:f>AI279/Q279</x:f>
        <x:v>-0.25865245278226695</x:v>
      </x:c>
      <x:c r="AK279" s="64" t="n">
        <x:f>Q279+AI279</x:f>
        <x:v>1278.462</x:v>
      </x:c>
      <x:c r="AL279" s="65" t="n">
        <x:f>AK279/Q279</x:f>
        <x:v>0.741347547217733</x:v>
      </x:c>
      <x:c r="AM279" s="64" t="n">
        <x:f>AK279/L279</x:f>
        <x:v>255.6924</x:v>
      </x:c>
      <x:c r="AN279" s="66" t="str">
        <x:f>IF(AM279&lt;=200,"≤200K",IF(AM279&lt;=350,"200–350K",IF(AM279&lt;=500,"350–500K",IF(AM279&lt;=700,"500–700K","&gt;700K"))))</x:f>
        <x:v>200–350K</x:v>
      </x:c>
      <x:c r="AO279" s="64" t="n">
        <x:f>-ROUND(Q279*'Drivers'!R279,3)</x:f>
        <x:v>-667.237</x:v>
      </x:c>
      <x:c r="AP279" s="64" t="n">
        <x:f>-ROUND(AK279*'Drivers'!S279,3)</x:f>
        <x:v>-19.267</x:v>
      </x:c>
      <x:c r="AQ279" s="64" t="n">
        <x:f>-ROUND(AK279*'Drivers'!T279,3)</x:f>
        <x:v>-5.168</x:v>
      </x:c>
      <x:c r="AR279" s="64" t="n">
        <x:f>-ROUND(AK279*'Drivers'!U279,3)</x:f>
        <x:v>-15.958</x:v>
      </x:c>
      <x:c r="AS279" s="64" t="n">
        <x:f>-ROUND(AK279*'Drivers'!V279,3)</x:f>
        <x:v>-47.124</x:v>
      </x:c>
      <x:c r="AT279" s="64" t="n">
        <x:f>SUM(AO279:AS279)</x:f>
        <x:v>-754.754</x:v>
      </x:c>
      <x:c r="AU279" s="65" t="n">
        <x:f>AT279/AK279</x:f>
        <x:v>-0.5903609180405831</x:v>
      </x:c>
      <x:c r="AV279" s="64" t="n">
        <x:f>AK279+AT279</x:f>
        <x:v>523.708</x:v>
      </x:c>
      <x:c r="AW279" s="65" t="n">
        <x:f>AV279/AK279</x:f>
        <x:v>0.40963908195941684</x:v>
      </x:c>
      <x:c r="AX279" s="64" t="n">
        <x:f>-ROUND(AK279*'Drivers'!W279,3)</x:f>
        <x:v>-15.537</x:v>
      </x:c>
      <x:c r="AY279" s="64" t="n">
        <x:f>-ROUND(AK279*'Drivers'!X279,3)</x:f>
        <x:v>-22.334</x:v>
      </x:c>
      <x:c r="AZ279" s="64" t="n">
        <x:f>-ROUND(AK279*'Drivers'!Y279,3)</x:f>
        <x:v>-22.968</x:v>
      </x:c>
      <x:c r="BA279" s="64" t="n">
        <x:f>-ROUND(AK279*'Drivers'!Z279,3)</x:f>
        <x:v>-8.569</x:v>
      </x:c>
      <x:c r="BB279" s="64" t="n">
        <x:f>-ROUND(AK279*'Drivers'!AA279,3)</x:f>
        <x:v>-10.924</x:v>
      </x:c>
      <x:c r="BC279" s="64" t="n">
        <x:f>SUM(BA279,BB279)</x:f>
        <x:v>-19.493000000000002</x:v>
      </x:c>
      <x:c r="BD279" s="64" t="n">
        <x:f>-ROUND(AK279*'Drivers'!AB279,3)</x:f>
        <x:v>-4.133</x:v>
      </x:c>
      <x:c r="BE279" s="64" t="n">
        <x:f>SUM(AX279:BB279,BD279)</x:f>
        <x:v>-84.46499999999999</x:v>
      </x:c>
      <x:c r="BF279" s="67" t="n">
        <x:f>'Drivers'!AF279</x:f>
        <x:v>8</x:v>
      </x:c>
      <x:c r="BG279" s="64" t="n">
        <x:f>BJ279</x:f>
        <x:v>-33.948</x:v>
      </x:c>
      <x:c r="BH279" s="64" t="n">
        <x:f>BE279/BF279</x:f>
        <x:v>-10.558124999999999</x:v>
      </x:c>
      <x:c r="BI279" s="68" t="n">
        <x:f>BF279/L279</x:f>
        <x:v>1.6</x:v>
      </x:c>
      <x:c r="BJ279" s="64" t="n">
        <x:f>-ROUND(AK279*'Drivers'!AC279,3)</x:f>
        <x:v>-33.948</x:v>
      </x:c>
      <x:c r="BK279" s="64" t="n">
        <x:f>-ROUND(AK279*'Drivers'!AD279,3)</x:f>
        <x:v>-122.014</x:v>
      </x:c>
      <x:c r="BL279" s="64" t="n">
        <x:f>SUM(AV279,BE279,BJ279,BK279)</x:f>
        <x:v>283.281</x:v>
      </x:c>
      <x:c r="BM279" s="65" t="n">
        <x:f>BL279/AK279</x:f>
        <x:v>0.2215795228954791</x:v>
      </x:c>
      <x:c r="BN279" s="64" t="n">
        <x:f>-ROUND(AK279*'Drivers'!AE279,3)</x:f>
        <x:v>-88.834</x:v>
      </x:c>
      <x:c r="BO279" s="64" t="n">
        <x:f>BL279+BN279</x:f>
        <x:v>194.447</x:v>
      </x:c>
      <x:c r="BP279" s="65" t="n">
        <x:f>BO279/AK279</x:f>
        <x:v>0.1520944697613226</x:v>
      </x:c>
    </x:row>
    <x:row r="280">
      <x:c r="A280" s="61" t="n">
        <x:v>2026</x:v>
      </x:c>
      <x:c r="B280" s="18" t="str">
        <x:v>S1</x:v>
      </x:c>
      <x:c r="C280" s="18" t="str">
        <x:v>2026 S1</x:v>
      </x:c>
      <x:c r="D280" s="18" t="str">
        <x:v>CNCT0070</x:v>
      </x:c>
      <x:c r="E280" s="18" t="str">
        <x:v>南京景枫中心</x:v>
      </x:c>
      <x:c r="F280" s="18" t="str">
        <x:v>南京</x:v>
      </x:c>
      <x:c r="G280" s="18" t="str">
        <x:v>江苏省</x:v>
      </x:c>
      <x:c r="H280" s="18" t="str">
        <x:v>东区</x:v>
      </x:c>
      <x:c r="I280" s="18" t="str">
        <x:v>Shopping Mall</x:v>
      </x:c>
      <x:c r="J280" s="18" t="str">
        <x:v>Regional Mall</x:v>
      </x:c>
      <x:c r="K280" s="18" t="str">
        <x:v>正常</x:v>
      </x:c>
      <x:c r="L280" s="62" t="n">
        <x:v>5</x:v>
      </x:c>
      <x:c r="M280" s="62" t="n">
        <x:v>47</x:v>
      </x:c>
      <x:c r="N280" s="63" t="n">
        <x:f>'Drivers'!C280</x:f>
        <x:v>1713</x:v>
      </x:c>
      <x:c r="O280" s="63" t="n">
        <x:f>'Drivers'!D280</x:f>
        <x:v>1020.089</x:v>
      </x:c>
      <x:c r="P280" s="64" t="n">
        <x:f>ROUND(N280*O280/1000,3)</x:f>
        <x:v>1747.412</x:v>
      </x:c>
      <x:c r="Q280" s="64" t="n">
        <x:f>ROUND(P280*'Drivers'!E280,3)</x:f>
        <x:v>1720.325</x:v>
      </x:c>
      <x:c r="R280" s="64" t="n">
        <x:f>-ROUND(Q280*'Drivers'!F280,3)</x:f>
        <x:v>-288.393</x:v>
      </x:c>
      <x:c r="S280" s="65" t="n">
        <x:f>R280/Q280</x:f>
        <x:v>-0.167638672925174</x:v>
      </x:c>
      <x:c r="T280" s="64" t="n">
        <x:f>-ROUND(Q280*'Drivers'!G280,3)</x:f>
        <x:v>-24.624</x:v>
      </x:c>
      <x:c r="U280" s="65" t="n">
        <x:f>T280/Q280</x:f>
        <x:v>-0.014313574469940272</x:v>
      </x:c>
      <x:c r="V280" s="64" t="n">
        <x:f>-ROUND(Q280*'Drivers'!H280,3)</x:f>
        <x:v>-18.694</x:v>
      </x:c>
      <x:c r="W280" s="64" t="n">
        <x:f>-ROUND(Q280*'Drivers'!I280,3)</x:f>
        <x:v>-15.769</x:v>
      </x:c>
      <x:c r="X280" s="64" t="n">
        <x:f>-ROUND(Q280*'Drivers'!J280,3)</x:f>
        <x:v>-21.165</x:v>
      </x:c>
      <x:c r="Y280" s="64" t="n">
        <x:f>-ROUND(Q280*'Drivers'!K280,3)</x:f>
        <x:v>-19.426</x:v>
      </x:c>
      <x:c r="Z280" s="64" t="n">
        <x:f>-ROUND(Q280*'Drivers'!L280,3)</x:f>
        <x:v>-16.18</x:v>
      </x:c>
      <x:c r="AA280" s="64" t="n">
        <x:f>-ROUND(Q280*'Drivers'!M280,3)</x:f>
        <x:v>-12.002</x:v>
      </x:c>
      <x:c r="AB280" s="64" t="n">
        <x:f>-ROUND(Q280*'Drivers'!N280,3)</x:f>
        <x:v>-12.603</x:v>
      </x:c>
      <x:c r="AC280" s="64" t="n">
        <x:f>SUM(V280:AB280)</x:f>
        <x:v>-115.839</x:v>
      </x:c>
      <x:c r="AD280" s="65" t="n">
        <x:f>AC280/Q280</x:f>
        <x:v>-0.06733553253019052</x:v>
      </x:c>
      <x:c r="AE280" s="64" t="n">
        <x:f>-ROUND(Q280*'Drivers'!O280,3)</x:f>
        <x:v>-16.181</x:v>
      </x:c>
      <x:c r="AF280" s="65" t="n">
        <x:f>AE280/Q280</x:f>
        <x:v>-0.009405780884425908</x:v>
      </x:c>
      <x:c r="AG280" s="64" t="n">
        <x:f>-ROUND(Q280*'Drivers'!P280,3)</x:f>
        <x:v>-1.87</x:v>
      </x:c>
      <x:c r="AH280" s="64" t="n">
        <x:f>-ROUND(Q280*'Drivers'!Q280,3)</x:f>
        <x:v>-2.1</x:v>
      </x:c>
      <x:c r="AI280" s="64" t="n">
        <x:f>SUM(R280,T280,AC280,AE280,AG280,AH280)</x:f>
        <x:v>-449.007</x:v>
      </x:c>
      <x:c r="AJ280" s="65" t="n">
        <x:f>AI280/Q280</x:f>
        <x:v>-0.2610012642959906</x:v>
      </x:c>
      <x:c r="AK280" s="64" t="n">
        <x:f>Q280+AI280</x:f>
        <x:v>1271.318</x:v>
      </x:c>
      <x:c r="AL280" s="65" t="n">
        <x:f>AK280/Q280</x:f>
        <x:v>0.7389987357040094</x:v>
      </x:c>
      <x:c r="AM280" s="64" t="n">
        <x:f>AK280/L280</x:f>
        <x:v>254.2636</x:v>
      </x:c>
      <x:c r="AN280" s="66" t="str">
        <x:f>IF(AM280&lt;=200,"≤200K",IF(AM280&lt;=350,"200–350K",IF(AM280&lt;=500,"350–500K",IF(AM280&lt;=700,"500–700K","&gt;700K"))))</x:f>
        <x:v>200–350K</x:v>
      </x:c>
      <x:c r="AO280" s="64" t="n">
        <x:f>-ROUND(Q280*'Drivers'!R280,3)</x:f>
        <x:v>-648.066</x:v>
      </x:c>
      <x:c r="AP280" s="64" t="n">
        <x:f>-ROUND(AK280*'Drivers'!S280,3)</x:f>
        <x:v>-19.16</x:v>
      </x:c>
      <x:c r="AQ280" s="64" t="n">
        <x:f>-ROUND(AK280*'Drivers'!T280,3)</x:f>
        <x:v>-5.139</x:v>
      </x:c>
      <x:c r="AR280" s="64" t="n">
        <x:f>-ROUND(AK280*'Drivers'!U280,3)</x:f>
        <x:v>-15.869</x:v>
      </x:c>
      <x:c r="AS280" s="64" t="n">
        <x:f>-ROUND(AK280*'Drivers'!V280,3)</x:f>
        <x:v>-46.861</x:v>
      </x:c>
      <x:c r="AT280" s="64" t="n">
        <x:f>SUM(AO280:AS280)</x:f>
        <x:v>-735.095</x:v>
      </x:c>
      <x:c r="AU280" s="65" t="n">
        <x:f>AT280/AK280</x:f>
        <x:v>-0.5782148919467828</x:v>
      </x:c>
      <x:c r="AV280" s="64" t="n">
        <x:f>AK280+AT280</x:f>
        <x:v>536.223</x:v>
      </x:c>
      <x:c r="AW280" s="65" t="n">
        <x:f>AV280/AK280</x:f>
        <x:v>0.4217851080532172</x:v>
      </x:c>
      <x:c r="AX280" s="64" t="n">
        <x:f>-ROUND(AK280*'Drivers'!W280,3)</x:f>
        <x:v>-19.011</x:v>
      </x:c>
      <x:c r="AY280" s="64" t="n">
        <x:f>-ROUND(AK280*'Drivers'!X280,3)</x:f>
        <x:v>-27.327</x:v>
      </x:c>
      <x:c r="AZ280" s="64" t="n">
        <x:f>-ROUND(AK280*'Drivers'!Y280,3)</x:f>
        <x:v>-28.103</x:v>
      </x:c>
      <x:c r="BA280" s="64" t="n">
        <x:f>-ROUND(AK280*'Drivers'!Z280,3)</x:f>
        <x:v>-10.485</x:v>
      </x:c>
      <x:c r="BB280" s="64" t="n">
        <x:f>-ROUND(AK280*'Drivers'!AA280,3)</x:f>
        <x:v>-13.366</x:v>
      </x:c>
      <x:c r="BC280" s="64" t="n">
        <x:f>SUM(BA280,BB280)</x:f>
        <x:v>-23.851</x:v>
      </x:c>
      <x:c r="BD280" s="64" t="n">
        <x:f>-ROUND(AK280*'Drivers'!AB280,3)</x:f>
        <x:v>-5.057</x:v>
      </x:c>
      <x:c r="BE280" s="64" t="n">
        <x:f>SUM(AX280:BB280,BD280)</x:f>
        <x:v>-103.349</x:v>
      </x:c>
      <x:c r="BF280" s="67" t="n">
        <x:f>'Drivers'!AF280</x:f>
        <x:v>8</x:v>
      </x:c>
      <x:c r="BG280" s="64" t="n">
        <x:f>BJ280</x:f>
        <x:v>-41.538</x:v>
      </x:c>
      <x:c r="BH280" s="64" t="n">
        <x:f>BE280/BF280</x:f>
        <x:v>-12.918625</x:v>
      </x:c>
      <x:c r="BI280" s="68" t="n">
        <x:f>BF280/L280</x:f>
        <x:v>1.6</x:v>
      </x:c>
      <x:c r="BJ280" s="64" t="n">
        <x:f>-ROUND(AK280*'Drivers'!AC280,3)</x:f>
        <x:v>-41.538</x:v>
      </x:c>
      <x:c r="BK280" s="64" t="n">
        <x:f>-ROUND(AK280*'Drivers'!AD280,3)</x:f>
        <x:v>-121.332</x:v>
      </x:c>
      <x:c r="BL280" s="64" t="n">
        <x:f>SUM(AV280,BE280,BJ280,BK280)</x:f>
        <x:v>270.00399999999996</x:v>
      </x:c>
      <x:c r="BM280" s="65" t="n">
        <x:f>BL280/AK280</x:f>
        <x:v>0.21238116663179468</x:v>
      </x:c>
      <x:c r="BN280" s="64" t="n">
        <x:f>-ROUND(AK280*'Drivers'!AE280,3)</x:f>
        <x:v>-88.337</x:v>
      </x:c>
      <x:c r="BO280" s="64" t="n">
        <x:f>BL280+BN280</x:f>
        <x:v>181.66699999999997</x:v>
      </x:c>
      <x:c r="BP280" s="65" t="n">
        <x:f>BO280/AK280</x:f>
        <x:v>0.14289658448948256</x:v>
      </x:c>
    </x:row>
    <x:row r="281">
      <x:c r="A281" s="61" t="n">
        <x:v>2026</x:v>
      </x:c>
      <x:c r="B281" s="18" t="str">
        <x:v>S2</x:v>
      </x:c>
      <x:c r="C281" s="18" t="str">
        <x:v>2026 S2</x:v>
      </x:c>
      <x:c r="D281" s="18" t="str">
        <x:v>CNCT0070</x:v>
      </x:c>
      <x:c r="E281" s="18" t="str">
        <x:v>南京景枫中心</x:v>
      </x:c>
      <x:c r="F281" s="18" t="str">
        <x:v>南京</x:v>
      </x:c>
      <x:c r="G281" s="18" t="str">
        <x:v>江苏省</x:v>
      </x:c>
      <x:c r="H281" s="18" t="str">
        <x:v>东区</x:v>
      </x:c>
      <x:c r="I281" s="18" t="str">
        <x:v>Shopping Mall</x:v>
      </x:c>
      <x:c r="J281" s="18" t="str">
        <x:v>Regional Mall</x:v>
      </x:c>
      <x:c r="K281" s="18" t="str">
        <x:v>正常</x:v>
      </x:c>
      <x:c r="L281" s="62" t="n">
        <x:v>5</x:v>
      </x:c>
      <x:c r="M281" s="62" t="n">
        <x:v>46</x:v>
      </x:c>
      <x:c r="N281" s="63" t="n">
        <x:f>'Drivers'!C281</x:f>
        <x:v>1936</x:v>
      </x:c>
      <x:c r="O281" s="63" t="n">
        <x:f>'Drivers'!D281</x:f>
        <x:v>1021.027</x:v>
      </x:c>
      <x:c r="P281" s="64" t="n">
        <x:f>ROUND(N281*O281/1000,3)</x:f>
        <x:v>1976.708</x:v>
      </x:c>
      <x:c r="Q281" s="64" t="n">
        <x:f>ROUND(P281*'Drivers'!E281,3)</x:f>
        <x:v>1934.37</x:v>
      </x:c>
      <x:c r="R281" s="64" t="n">
        <x:f>-ROUND(Q281*'Drivers'!F281,3)</x:f>
        <x:v>-325.61</x:v>
      </x:c>
      <x:c r="S281" s="65" t="n">
        <x:f>R281/Q281</x:f>
        <x:v>-0.16832870650392637</x:v>
      </x:c>
      <x:c r="T281" s="64" t="n">
        <x:f>-ROUND(Q281*'Drivers'!G281,3)</x:f>
        <x:v>-29.239</x:v>
      </x:c>
      <x:c r="U281" s="65" t="n">
        <x:f>T281/Q281</x:f>
        <x:v>-0.015115515645920896</x:v>
      </x:c>
      <x:c r="V281" s="64" t="n">
        <x:f>-ROUND(Q281*'Drivers'!H281,3)</x:f>
        <x:v>-21.02</x:v>
      </x:c>
      <x:c r="W281" s="64" t="n">
        <x:f>-ROUND(Q281*'Drivers'!I281,3)</x:f>
        <x:v>-17.731</x:v>
      </x:c>
      <x:c r="X281" s="64" t="n">
        <x:f>-ROUND(Q281*'Drivers'!J281,3)</x:f>
        <x:v>-23.798</x:v>
      </x:c>
      <x:c r="Y281" s="64" t="n">
        <x:f>-ROUND(Q281*'Drivers'!K281,3)</x:f>
        <x:v>-21.843</x:v>
      </x:c>
      <x:c r="Z281" s="64" t="n">
        <x:f>-ROUND(Q281*'Drivers'!L281,3)</x:f>
        <x:v>-18.193</x:v>
      </x:c>
      <x:c r="AA281" s="64" t="n">
        <x:f>-ROUND(Q281*'Drivers'!M281,3)</x:f>
        <x:v>-13.496</x:v>
      </x:c>
      <x:c r="AB281" s="64" t="n">
        <x:f>-ROUND(Q281*'Drivers'!N281,3)</x:f>
        <x:v>-14.172</x:v>
      </x:c>
      <x:c r="AC281" s="64" t="n">
        <x:f>SUM(V281:AB281)</x:f>
        <x:v>-130.25300000000001</x:v>
      </x:c>
      <x:c r="AD281" s="65" t="n">
        <x:f>AC281/Q281</x:f>
        <x:v>-0.06733613527918651</x:v>
      </x:c>
      <x:c r="AE281" s="64" t="n">
        <x:f>-ROUND(Q281*'Drivers'!O281,3)</x:f>
        <x:v>-19.577</x:v>
      </x:c>
      <x:c r="AF281" s="65" t="n">
        <x:f>AE281/Q281</x:f>
        <x:v>-0.010120607743089483</x:v>
      </x:c>
      <x:c r="AG281" s="64" t="n">
        <x:f>-ROUND(Q281*'Drivers'!P281,3)</x:f>
        <x:v>-2.103</x:v>
      </x:c>
      <x:c r="AH281" s="64" t="n">
        <x:f>-ROUND(Q281*'Drivers'!Q281,3)</x:f>
        <x:v>-2.361</x:v>
      </x:c>
      <x:c r="AI281" s="64" t="n">
        <x:f>SUM(R281,T281,AC281,AE281,AG281,AH281)</x:f>
        <x:v>-509.143</x:v>
      </x:c>
      <x:c r="AJ281" s="65" t="n">
        <x:f>AI281/Q281</x:f>
        <x:v>-0.26320869326964336</x:v>
      </x:c>
      <x:c r="AK281" s="64" t="n">
        <x:f>Q281+AI281</x:f>
        <x:v>1425.2269999999999</x:v>
      </x:c>
      <x:c r="AL281" s="65" t="n">
        <x:f>AK281/Q281</x:f>
        <x:v>0.7367913067303566</x:v>
      </x:c>
      <x:c r="AM281" s="64" t="n">
        <x:f>AK281/L281</x:f>
        <x:v>285.0454</x:v>
      </x:c>
      <x:c r="AN281" s="66" t="str">
        <x:f>IF(AM281&lt;=200,"≤200K",IF(AM281&lt;=350,"200–350K",IF(AM281&lt;=500,"350–500K",IF(AM281&lt;=700,"500–700K","&gt;700K"))))</x:f>
        <x:v>200–350K</x:v>
      </x:c>
      <x:c r="AO281" s="64" t="n">
        <x:f>-ROUND(Q281*'Drivers'!R281,3)</x:f>
        <x:v>-748.912</x:v>
      </x:c>
      <x:c r="AP281" s="64" t="n">
        <x:f>-ROUND(AK281*'Drivers'!S281,3)</x:f>
        <x:v>-21.479</x:v>
      </x:c>
      <x:c r="AQ281" s="64" t="n">
        <x:f>-ROUND(AK281*'Drivers'!T281,3)</x:f>
        <x:v>-5.761</x:v>
      </x:c>
      <x:c r="AR281" s="64" t="n">
        <x:f>-ROUND(AK281*'Drivers'!U281,3)</x:f>
        <x:v>-17.79</x:v>
      </x:c>
      <x:c r="AS281" s="64" t="n">
        <x:f>-ROUND(AK281*'Drivers'!V281,3)</x:f>
        <x:v>-52.534</x:v>
      </x:c>
      <x:c r="AT281" s="64" t="n">
        <x:f>SUM(AO281:AS281)</x:f>
        <x:v>-846.476</x:v>
      </x:c>
      <x:c r="AU281" s="65" t="n">
        <x:f>AT281/AK281</x:f>
        <x:v>-0.5939236346210113</x:v>
      </x:c>
      <x:c r="AV281" s="64" t="n">
        <x:f>AK281+AT281</x:f>
        <x:v>578.7509999999999</x:v>
      </x:c>
      <x:c r="AW281" s="65" t="n">
        <x:f>AV281/AK281</x:f>
        <x:v>0.40607636537898867</x:v>
      </x:c>
      <x:c r="AX281" s="64" t="n">
        <x:f>-ROUND(AK281*'Drivers'!W281,3)</x:f>
        <x:v>-18.36</x:v>
      </x:c>
      <x:c r="AY281" s="64" t="n">
        <x:f>-ROUND(AK281*'Drivers'!X281,3)</x:f>
        <x:v>-26.391</x:v>
      </x:c>
      <x:c r="AZ281" s="64" t="n">
        <x:f>-ROUND(AK281*'Drivers'!Y281,3)</x:f>
        <x:v>-27.141</x:v>
      </x:c>
      <x:c r="BA281" s="64" t="n">
        <x:f>-ROUND(AK281*'Drivers'!Z281,3)</x:f>
        <x:v>-10.126</x:v>
      </x:c>
      <x:c r="BB281" s="64" t="n">
        <x:f>-ROUND(AK281*'Drivers'!AA281,3)</x:f>
        <x:v>-12.908</x:v>
      </x:c>
      <x:c r="BC281" s="64" t="n">
        <x:f>SUM(BA281,BB281)</x:f>
        <x:v>-23.034</x:v>
      </x:c>
      <x:c r="BD281" s="64" t="n">
        <x:f>-ROUND(AK281*'Drivers'!AB281,3)</x:f>
        <x:v>-4.883</x:v>
      </x:c>
      <x:c r="BE281" s="64" t="n">
        <x:f>SUM(AX281:BB281,BD281)</x:f>
        <x:v>-99.809</x:v>
      </x:c>
      <x:c r="BF281" s="67" t="n">
        <x:f>'Drivers'!AF281</x:f>
        <x:v>8</x:v>
      </x:c>
      <x:c r="BG281" s="64" t="n">
        <x:f>BJ281</x:f>
        <x:v>-40.116</x:v>
      </x:c>
      <x:c r="BH281" s="64" t="n">
        <x:f>BE281/BF281</x:f>
        <x:v>-12.476125</x:v>
      </x:c>
      <x:c r="BI281" s="68" t="n">
        <x:f>BF281/L281</x:f>
        <x:v>1.6</x:v>
      </x:c>
      <x:c r="BJ281" s="64" t="n">
        <x:f>-ROUND(AK281*'Drivers'!AC281,3)</x:f>
        <x:v>-40.116</x:v>
      </x:c>
      <x:c r="BK281" s="64" t="n">
        <x:f>-ROUND(AK281*'Drivers'!AD281,3)</x:f>
        <x:v>-136.021</x:v>
      </x:c>
      <x:c r="BL281" s="64" t="n">
        <x:f>SUM(AV281,BE281,BJ281,BK281)</x:f>
        <x:v>302.80499999999995</x:v>
      </x:c>
      <x:c r="BM281" s="65" t="n">
        <x:f>BL281/AK281</x:f>
        <x:v>0.21246089219471703</x:v>
      </x:c>
      <x:c r="BN281" s="64" t="n">
        <x:f>-ROUND(AK281*'Drivers'!AE281,3)</x:f>
        <x:v>-99.031</x:v>
      </x:c>
      <x:c r="BO281" s="64" t="n">
        <x:f>BL281+BN281</x:f>
        <x:v>203.77399999999994</x:v>
      </x:c>
      <x:c r="BP281" s="65" t="n">
        <x:f>BO281/AK281</x:f>
        <x:v>0.1429765223364418</x:v>
      </x:c>
    </x:row>
    <x:row r="282">
      <x:c r="A282" s="61" t="n">
        <x:v>2025</x:v>
      </x:c>
      <x:c r="B282" s="18" t="str">
        <x:v>S1</x:v>
      </x:c>
      <x:c r="C282" s="18" t="str">
        <x:v>2025 S1</x:v>
      </x:c>
      <x:c r="D282" s="18" t="str">
        <x:v>CNCT0071</x:v>
      </x:c>
      <x:c r="E282" s="18" t="str">
        <x:v>南京河西金鹰世界</x:v>
      </x:c>
      <x:c r="F282" s="18" t="str">
        <x:v>南京</x:v>
      </x:c>
      <x:c r="G282" s="18" t="str">
        <x:v>江苏省</x:v>
      </x:c>
      <x:c r="H282" s="18" t="str">
        <x:v>东区</x:v>
      </x:c>
      <x:c r="I282" s="18" t="str">
        <x:v>Department Store</x:v>
      </x:c>
      <x:c r="J282" s="18" t="str">
        <x:v>Regional Mall</x:v>
      </x:c>
      <x:c r="K282" s="18" t="str">
        <x:v>正常</x:v>
      </x:c>
      <x:c r="L282" s="62" t="n">
        <x:v>5</x:v>
      </x:c>
      <x:c r="M282" s="62" t="n">
        <x:v>47</x:v>
      </x:c>
      <x:c r="N282" s="63" t="n">
        <x:f>'Drivers'!C282</x:f>
        <x:v>1771</x:v>
      </x:c>
      <x:c r="O282" s="63" t="n">
        <x:f>'Drivers'!D282</x:f>
        <x:v>1001.872</x:v>
      </x:c>
      <x:c r="P282" s="64" t="n">
        <x:f>ROUND(N282*O282/1000,3)</x:f>
        <x:v>1774.315</x:v>
      </x:c>
      <x:c r="Q282" s="64" t="n">
        <x:f>ROUND(P282*'Drivers'!E282,3)</x:f>
        <x:v>1745.589</x:v>
      </x:c>
      <x:c r="R282" s="64" t="n">
        <x:f>-ROUND(Q282*'Drivers'!F282,3)</x:f>
        <x:v>-341.123</x:v>
      </x:c>
      <x:c r="S282" s="65" t="n">
        <x:f>R282/Q282</x:f>
        <x:v>-0.19541999863656337</x:v>
      </x:c>
      <x:c r="T282" s="64" t="n">
        <x:f>-ROUND(Q282*'Drivers'!G282,3)</x:f>
        <x:v>-25.566</x:v>
      </x:c>
      <x:c r="U282" s="65" t="n">
        <x:f>T282/Q282</x:f>
        <x:v>-0.014646059295744874</x:v>
      </x:c>
      <x:c r="V282" s="64" t="n">
        <x:f>-ROUND(Q282*'Drivers'!H282,3)</x:f>
        <x:v>-19.865</x:v>
      </x:c>
      <x:c r="W282" s="64" t="n">
        <x:f>-ROUND(Q282*'Drivers'!I282,3)</x:f>
        <x:v>-13.6</x:v>
      </x:c>
      <x:c r="X282" s="64" t="n">
        <x:f>-ROUND(Q282*'Drivers'!J282,3)</x:f>
        <x:v>-28.258</x:v>
      </x:c>
      <x:c r="Y282" s="64" t="n">
        <x:f>-ROUND(Q282*'Drivers'!K282,3)</x:f>
        <x:v>-20.357</x:v>
      </x:c>
      <x:c r="Z282" s="64" t="n">
        <x:f>-ROUND(Q282*'Drivers'!L282,3)</x:f>
        <x:v>-20.578</x:v>
      </x:c>
      <x:c r="AA282" s="64" t="n">
        <x:f>-ROUND(Q282*'Drivers'!M282,3)</x:f>
        <x:v>-15.145</x:v>
      </x:c>
      <x:c r="AB282" s="64" t="n">
        <x:f>-ROUND(Q282*'Drivers'!N282,3)</x:f>
        <x:v>-11.921</x:v>
      </x:c>
      <x:c r="AC282" s="64" t="n">
        <x:f>SUM(V282:AB282)</x:f>
        <x:v>-129.724</x:v>
      </x:c>
      <x:c r="AD282" s="65" t="n">
        <x:f>AC282/Q282</x:f>
        <x:v>-0.07431531706489901</x:v>
      </x:c>
      <x:c r="AE282" s="64" t="n">
        <x:f>-ROUND(Q282*'Drivers'!O282,3)</x:f>
        <x:v>-27.059</x:v>
      </x:c>
      <x:c r="AF282" s="65" t="n">
        <x:f>AE282/Q282</x:f>
        <x:v>-0.015501357994350332</x:v>
      </x:c>
      <x:c r="AG282" s="64" t="n">
        <x:f>-ROUND(Q282*'Drivers'!P282,3)</x:f>
        <x:v>-3.813</x:v>
      </x:c>
      <x:c r="AH282" s="64" t="n">
        <x:f>-ROUND(Q282*'Drivers'!Q282,3)</x:f>
        <x:v>-1.772</x:v>
      </x:c>
      <x:c r="AI282" s="64" t="n">
        <x:f>SUM(R282,T282,AC282,AE282,AG282,AH282)</x:f>
        <x:v>-529.057</x:v>
      </x:c>
      <x:c r="AJ282" s="65" t="n">
        <x:f>AI282/Q282</x:f>
        <x:v>-0.30308222611393637</x:v>
      </x:c>
      <x:c r="AK282" s="64" t="n">
        <x:f>Q282+AI282</x:f>
        <x:v>1216.532</x:v>
      </x:c>
      <x:c r="AL282" s="65" t="n">
        <x:f>AK282/Q282</x:f>
        <x:v>0.6969177738860637</x:v>
      </x:c>
      <x:c r="AM282" s="64" t="n">
        <x:f>AK282/L282</x:f>
        <x:v>243.3064</x:v>
      </x:c>
      <x:c r="AN282" s="66" t="str">
        <x:f>IF(AM282&lt;=200,"≤200K",IF(AM282&lt;=350,"200–350K",IF(AM282&lt;=500,"350–500K",IF(AM282&lt;=700,"500–700K","&gt;700K"))))</x:f>
        <x:v>200–350K</x:v>
      </x:c>
      <x:c r="AO282" s="64" t="n">
        <x:f>-ROUND(Q282*'Drivers'!R282,3)</x:f>
        <x:v>-615.361</x:v>
      </x:c>
      <x:c r="AP282" s="64" t="n">
        <x:f>-ROUND(AK282*'Drivers'!S282,3)</x:f>
        <x:v>-15.938</x:v>
      </x:c>
      <x:c r="AQ282" s="64" t="n">
        <x:f>-ROUND(AK282*'Drivers'!T282,3)</x:f>
        <x:v>-4.175</x:v>
      </x:c>
      <x:c r="AR282" s="64" t="n">
        <x:f>-ROUND(AK282*'Drivers'!U282,3)</x:f>
        <x:v>-8.682</x:v>
      </x:c>
      <x:c r="AS282" s="64" t="n">
        <x:f>-ROUND(AK282*'Drivers'!V282,3)</x:f>
        <x:v>-37.156</x:v>
      </x:c>
      <x:c r="AT282" s="64" t="n">
        <x:f>SUM(AO282:AS282)</x:f>
        <x:v>-681.3119999999999</x:v>
      </x:c>
      <x:c r="AU282" s="65" t="n">
        <x:f>AT282/AK282</x:f>
        <x:v>-0.5600444542354824</x:v>
      </x:c>
      <x:c r="AV282" s="64" t="n">
        <x:f>AK282+AT282</x:f>
        <x:v>535.22</x:v>
      </x:c>
      <x:c r="AW282" s="65" t="n">
        <x:f>AV282/AK282</x:f>
        <x:v>0.43995554576451756</x:v>
      </x:c>
      <x:c r="AX282" s="64" t="n">
        <x:f>-ROUND(AK282*'Drivers'!W282,3)</x:f>
        <x:v>-13.041</x:v>
      </x:c>
      <x:c r="AY282" s="64" t="n">
        <x:f>-ROUND(AK282*'Drivers'!X282,3)</x:f>
        <x:v>-32.002</x:v>
      </x:c>
      <x:c r="AZ282" s="64" t="n">
        <x:f>-ROUND(AK282*'Drivers'!Y282,3)</x:f>
        <x:v>-16.493</x:v>
      </x:c>
      <x:c r="BA282" s="64" t="n">
        <x:f>-ROUND(AK282*'Drivers'!Z282,3)</x:f>
        <x:v>-7.702</x:v>
      </x:c>
      <x:c r="BB282" s="64" t="n">
        <x:f>-ROUND(AK282*'Drivers'!AA282,3)</x:f>
        <x:v>-7.519</x:v>
      </x:c>
      <x:c r="BC282" s="64" t="n">
        <x:f>SUM(BA282,BB282)</x:f>
        <x:v>-15.221</x:v>
      </x:c>
      <x:c r="BD282" s="64" t="n">
        <x:f>-ROUND(AK282*'Drivers'!AB282,3)</x:f>
        <x:v>-5.651</x:v>
      </x:c>
      <x:c r="BE282" s="64" t="n">
        <x:f>SUM(AX282:BB282,BD282)</x:f>
        <x:v>-82.408</x:v>
      </x:c>
      <x:c r="BF282" s="67" t="n">
        <x:f>'Drivers'!AF282</x:f>
        <x:v>11</x:v>
      </x:c>
      <x:c r="BG282" s="64" t="n">
        <x:f>BJ282</x:f>
        <x:v>-22.63</x:v>
      </x:c>
      <x:c r="BH282" s="64" t="n">
        <x:f>BE282/BF282</x:f>
        <x:v>-7.491636363636363</x:v>
      </x:c>
      <x:c r="BI282" s="68" t="n">
        <x:f>BF282/L282</x:f>
        <x:v>2.2</x:v>
      </x:c>
      <x:c r="BJ282" s="64" t="n">
        <x:f>-ROUND(AK282*'Drivers'!AC282,3)</x:f>
        <x:v>-22.63</x:v>
      </x:c>
      <x:c r="BK282" s="64" t="n">
        <x:f>-ROUND(AK282*'Drivers'!AD282,3)</x:f>
        <x:v>-128.491</x:v>
      </x:c>
      <x:c r="BL282" s="64" t="n">
        <x:f>SUM(AV282,BE282,BJ282,BK282)</x:f>
        <x:v>301.69100000000003</x:v>
      </x:c>
      <x:c r="BM282" s="65" t="n">
        <x:f>BL282/AK282</x:f>
        <x:v>0.2479926545294329</x:v>
      </x:c>
      <x:c r="BN282" s="64" t="n">
        <x:f>-ROUND(AK282*'Drivers'!AE282,3)</x:f>
        <x:v>-87.857</x:v>
      </x:c>
      <x:c r="BO282" s="64" t="n">
        <x:f>BL282+BN282</x:f>
        <x:v>213.83400000000003</x:v>
      </x:c>
      <x:c r="BP282" s="65" t="n">
        <x:f>BO282/AK282</x:f>
        <x:v>0.1757734280725867</x:v>
      </x:c>
    </x:row>
    <x:row r="283">
      <x:c r="A283" s="61" t="n">
        <x:v>2025</x:v>
      </x:c>
      <x:c r="B283" s="18" t="str">
        <x:v>S2</x:v>
      </x:c>
      <x:c r="C283" s="18" t="str">
        <x:v>2025 S2</x:v>
      </x:c>
      <x:c r="D283" s="18" t="str">
        <x:v>CNCT0071</x:v>
      </x:c>
      <x:c r="E283" s="18" t="str">
        <x:v>南京河西金鹰世界</x:v>
      </x:c>
      <x:c r="F283" s="18" t="str">
        <x:v>南京</x:v>
      </x:c>
      <x:c r="G283" s="18" t="str">
        <x:v>江苏省</x:v>
      </x:c>
      <x:c r="H283" s="18" t="str">
        <x:v>东区</x:v>
      </x:c>
      <x:c r="I283" s="18" t="str">
        <x:v>Department Store</x:v>
      </x:c>
      <x:c r="J283" s="18" t="str">
        <x:v>Regional Mall</x:v>
      </x:c>
      <x:c r="K283" s="18" t="str">
        <x:v>正常</x:v>
      </x:c>
      <x:c r="L283" s="62" t="n">
        <x:v>5</x:v>
      </x:c>
      <x:c r="M283" s="62" t="n">
        <x:v>47</x:v>
      </x:c>
      <x:c r="N283" s="63" t="n">
        <x:f>'Drivers'!C283</x:f>
        <x:v>1871</x:v>
      </x:c>
      <x:c r="O283" s="63" t="n">
        <x:f>'Drivers'!D283</x:f>
        <x:v>1013.894</x:v>
      </x:c>
      <x:c r="P283" s="64" t="n">
        <x:f>ROUND(N283*O283/1000,3)</x:f>
        <x:v>1896.996</x:v>
      </x:c>
      <x:c r="Q283" s="64" t="n">
        <x:f>ROUND(P283*'Drivers'!E283,3)</x:f>
        <x:v>1841.122</x:v>
      </x:c>
      <x:c r="R283" s="64" t="n">
        <x:f>-ROUND(Q283*'Drivers'!F283,3)</x:f>
        <x:v>-359.792</x:v>
      </x:c>
      <x:c r="S283" s="65" t="n">
        <x:f>R283/Q283</x:f>
        <x:v>-0.19541996673767406</x:v>
      </x:c>
      <x:c r="T283" s="64" t="n">
        <x:f>-ROUND(Q283*'Drivers'!G283,3)</x:f>
        <x:v>-26.965</x:v>
      </x:c>
      <x:c r="U283" s="65" t="n">
        <x:f>T283/Q283</x:f>
        <x:v>-0.014645960452376322</x:v>
      </x:c>
      <x:c r="V283" s="64" t="n">
        <x:f>-ROUND(Q283*'Drivers'!H283,3)</x:f>
        <x:v>-20.953</x:v>
      </x:c>
      <x:c r="W283" s="64" t="n">
        <x:f>-ROUND(Q283*'Drivers'!I283,3)</x:f>
        <x:v>-14.345</x:v>
      </x:c>
      <x:c r="X283" s="64" t="n">
        <x:f>-ROUND(Q283*'Drivers'!J283,3)</x:f>
        <x:v>-29.804</x:v>
      </x:c>
      <x:c r="Y283" s="64" t="n">
        <x:f>-ROUND(Q283*'Drivers'!K283,3)</x:f>
        <x:v>-21.471</x:v>
      </x:c>
      <x:c r="Z283" s="64" t="n">
        <x:f>-ROUND(Q283*'Drivers'!L283,3)</x:f>
        <x:v>-21.705</x:v>
      </x:c>
      <x:c r="AA283" s="64" t="n">
        <x:f>-ROUND(Q283*'Drivers'!M283,3)</x:f>
        <x:v>-15.974</x:v>
      </x:c>
      <x:c r="AB283" s="64" t="n">
        <x:f>-ROUND(Q283*'Drivers'!N283,3)</x:f>
        <x:v>-12.573</x:v>
      </x:c>
      <x:c r="AC283" s="64" t="n">
        <x:f>SUM(V283:AB283)</x:f>
        <x:v>-136.82500000000002</x:v>
      </x:c>
      <x:c r="AD283" s="65" t="n">
        <x:f>AC283/Q283</x:f>
        <x:v>-0.07431609638035938</x:v>
      </x:c>
      <x:c r="AE283" s="64" t="n">
        <x:f>-ROUND(Q283*'Drivers'!O283,3)</x:f>
        <x:v>-28.54</x:v>
      </x:c>
      <x:c r="AF283" s="65" t="n">
        <x:f>AE283/Q283</x:f>
        <x:v>-0.015501417070677552</x:v>
      </x:c>
      <x:c r="AG283" s="64" t="n">
        <x:f>-ROUND(Q283*'Drivers'!P283,3)</x:f>
        <x:v>-4.022</x:v>
      </x:c>
      <x:c r="AH283" s="64" t="n">
        <x:f>-ROUND(Q283*'Drivers'!Q283,3)</x:f>
        <x:v>-1.869</x:v>
      </x:c>
      <x:c r="AI283" s="64" t="n">
        <x:f>SUM(R283,T283,AC283,AE283,AG283,AH283)</x:f>
        <x:v>-558.013</x:v>
      </x:c>
      <x:c r="AJ283" s="65" t="n">
        <x:f>AI283/Q283</x:f>
        <x:v>-0.30308311996706355</x:v>
      </x:c>
      <x:c r="AK283" s="64" t="n">
        <x:f>Q283+AI283</x:f>
        <x:v>1283.109</x:v>
      </x:c>
      <x:c r="AL283" s="65" t="n">
        <x:f>AK283/Q283</x:f>
        <x:v>0.6969168800329364</x:v>
      </x:c>
      <x:c r="AM283" s="64" t="n">
        <x:f>AK283/L283</x:f>
        <x:v>256.6218</x:v>
      </x:c>
      <x:c r="AN283" s="66" t="str">
        <x:f>IF(AM283&lt;=200,"≤200K",IF(AM283&lt;=350,"200–350K",IF(AM283&lt;=500,"350–500K",IF(AM283&lt;=700,"500–700K","&gt;700K"))))</x:f>
        <x:v>200–350K</x:v>
      </x:c>
      <x:c r="AO283" s="64" t="n">
        <x:f>-ROUND(Q283*'Drivers'!R283,3)</x:f>
        <x:v>-693.123</x:v>
      </x:c>
      <x:c r="AP283" s="64" t="n">
        <x:f>-ROUND(AK283*'Drivers'!S283,3)</x:f>
        <x:v>-16.81</x:v>
      </x:c>
      <x:c r="AQ283" s="64" t="n">
        <x:f>-ROUND(AK283*'Drivers'!T283,3)</x:f>
        <x:v>-4.403</x:v>
      </x:c>
      <x:c r="AR283" s="64" t="n">
        <x:f>-ROUND(AK283*'Drivers'!U283,3)</x:f>
        <x:v>-9.157</x:v>
      </x:c>
      <x:c r="AS283" s="64" t="n">
        <x:f>-ROUND(AK283*'Drivers'!V283,3)</x:f>
        <x:v>-39.19</x:v>
      </x:c>
      <x:c r="AT283" s="64" t="n">
        <x:f>SUM(AO283:AS283)</x:f>
        <x:v>-762.683</x:v>
      </x:c>
      <x:c r="AU283" s="65" t="n">
        <x:f>AT283/AK283</x:f>
        <x:v>-0.5944023461763576</x:v>
      </x:c>
      <x:c r="AV283" s="64" t="n">
        <x:f>AK283+AT283</x:f>
        <x:v>520.4259999999999</x:v>
      </x:c>
      <x:c r="AW283" s="65" t="n">
        <x:f>AV283/AK283</x:f>
        <x:v>0.4055976538236424</x:v>
      </x:c>
      <x:c r="AX283" s="64" t="n">
        <x:f>-ROUND(AK283*'Drivers'!W283,3)</x:f>
        <x:v>-13.755</x:v>
      </x:c>
      <x:c r="AY283" s="64" t="n">
        <x:f>-ROUND(AK283*'Drivers'!X283,3)</x:f>
        <x:v>-33.753</x:v>
      </x:c>
      <x:c r="AZ283" s="64" t="n">
        <x:f>-ROUND(AK283*'Drivers'!Y283,3)</x:f>
        <x:v>-17.396</x:v>
      </x:c>
      <x:c r="BA283" s="64" t="n">
        <x:f>-ROUND(AK283*'Drivers'!Z283,3)</x:f>
        <x:v>-8.123</x:v>
      </x:c>
      <x:c r="BB283" s="64" t="n">
        <x:f>-ROUND(AK283*'Drivers'!AA283,3)</x:f>
        <x:v>-7.931</x:v>
      </x:c>
      <x:c r="BC283" s="64" t="n">
        <x:f>SUM(BA283,BB283)</x:f>
        <x:v>-16.054</x:v>
      </x:c>
      <x:c r="BD283" s="64" t="n">
        <x:f>-ROUND(AK283*'Drivers'!AB283,3)</x:f>
        <x:v>-5.96</x:v>
      </x:c>
      <x:c r="BE283" s="64" t="n">
        <x:f>SUM(AX283:BB283,BD283)</x:f>
        <x:v>-86.91799999999999</x:v>
      </x:c>
      <x:c r="BF283" s="67" t="n">
        <x:f>'Drivers'!AF283</x:f>
        <x:v>11</x:v>
      </x:c>
      <x:c r="BG283" s="64" t="n">
        <x:f>BJ283</x:f>
        <x:v>-23.869</x:v>
      </x:c>
      <x:c r="BH283" s="64" t="n">
        <x:f>BE283/BF283</x:f>
        <x:v>-7.901636363636363</x:v>
      </x:c>
      <x:c r="BI283" s="68" t="n">
        <x:f>BF283/L283</x:f>
        <x:v>2.2</x:v>
      </x:c>
      <x:c r="BJ283" s="64" t="n">
        <x:f>-ROUND(AK283*'Drivers'!AC283,3)</x:f>
        <x:v>-23.869</x:v>
      </x:c>
      <x:c r="BK283" s="64" t="n">
        <x:f>-ROUND(AK283*'Drivers'!AD283,3)</x:f>
        <x:v>-135.523</x:v>
      </x:c>
      <x:c r="BL283" s="64" t="n">
        <x:f>SUM(AV283,BE283,BJ283,BK283)</x:f>
        <x:v>274.1159999999999</x:v>
      </x:c>
      <x:c r="BM283" s="65" t="n">
        <x:f>BL283/AK283</x:f>
        <x:v>0.21363422748963642</x:v>
      </x:c>
      <x:c r="BN283" s="64" t="n">
        <x:f>-ROUND(AK283*'Drivers'!AE283,3)</x:f>
        <x:v>-92.665</x:v>
      </x:c>
      <x:c r="BO283" s="64" t="n">
        <x:f>BL283+BN283</x:f>
        <x:v>181.45099999999985</x:v>
      </x:c>
      <x:c r="BP283" s="65" t="n">
        <x:f>BO283/AK283</x:f>
        <x:v>0.1414151097061901</x:v>
      </x:c>
    </x:row>
    <x:row r="284">
      <x:c r="A284" s="61" t="n">
        <x:v>2026</x:v>
      </x:c>
      <x:c r="B284" s="18" t="str">
        <x:v>S1</x:v>
      </x:c>
      <x:c r="C284" s="18" t="str">
        <x:v>2026 S1</x:v>
      </x:c>
      <x:c r="D284" s="18" t="str">
        <x:v>CNCT0071</x:v>
      </x:c>
      <x:c r="E284" s="18" t="str">
        <x:v>南京河西金鹰世界</x:v>
      </x:c>
      <x:c r="F284" s="18" t="str">
        <x:v>南京</x:v>
      </x:c>
      <x:c r="G284" s="18" t="str">
        <x:v>江苏省</x:v>
      </x:c>
      <x:c r="H284" s="18" t="str">
        <x:v>东区</x:v>
      </x:c>
      <x:c r="I284" s="18" t="str">
        <x:v>Department Store</x:v>
      </x:c>
      <x:c r="J284" s="18" t="str">
        <x:v>Regional Mall</x:v>
      </x:c>
      <x:c r="K284" s="18" t="str">
        <x:v>正常</x:v>
      </x:c>
      <x:c r="L284" s="62" t="n">
        <x:v>5</x:v>
      </x:c>
      <x:c r="M284" s="62" t="n">
        <x:v>47</x:v>
      </x:c>
      <x:c r="N284" s="63" t="n">
        <x:f>'Drivers'!C284</x:f>
        <x:v>1693</x:v>
      </x:c>
      <x:c r="O284" s="63" t="n">
        <x:f>'Drivers'!D284</x:f>
        <x:v>1046.041</x:v>
      </x:c>
      <x:c r="P284" s="64" t="n">
        <x:f>ROUND(N284*O284/1000,3)</x:f>
        <x:v>1770.947</x:v>
      </x:c>
      <x:c r="Q284" s="64" t="n">
        <x:f>ROUND(P284*'Drivers'!E284,3)</x:f>
        <x:v>1740.832</x:v>
      </x:c>
      <x:c r="R284" s="64" t="n">
        <x:f>-ROUND(Q284*'Drivers'!F284,3)</x:f>
        <x:v>-349.357</x:v>
      </x:c>
      <x:c r="S284" s="65" t="n">
        <x:f>R284/Q284</x:f>
        <x:v>-0.20068392584695136</x:v>
      </x:c>
      <x:c r="T284" s="64" t="n">
        <x:f>-ROUND(Q284*'Drivers'!G284,3)</x:f>
        <x:v>-25.131</x:v>
      </x:c>
      <x:c r="U284" s="65" t="n">
        <x:f>T284/Q284</x:f>
        <x:v>-0.014436200621312107</x:v>
      </x:c>
      <x:c r="V284" s="64" t="n">
        <x:f>-ROUND(Q284*'Drivers'!H284,3)</x:f>
        <x:v>-19.811</x:v>
      </x:c>
      <x:c r="W284" s="64" t="n">
        <x:f>-ROUND(Q284*'Drivers'!I284,3)</x:f>
        <x:v>-13.563</x:v>
      </x:c>
      <x:c r="X284" s="64" t="n">
        <x:f>-ROUND(Q284*'Drivers'!J284,3)</x:f>
        <x:v>-28.181</x:v>
      </x:c>
      <x:c r="Y284" s="64" t="n">
        <x:f>-ROUND(Q284*'Drivers'!K284,3)</x:f>
        <x:v>-20.301</x:v>
      </x:c>
      <x:c r="Z284" s="64" t="n">
        <x:f>-ROUND(Q284*'Drivers'!L284,3)</x:f>
        <x:v>-20.522</x:v>
      </x:c>
      <x:c r="AA284" s="64" t="n">
        <x:f>-ROUND(Q284*'Drivers'!M284,3)</x:f>
        <x:v>-15.104</x:v>
      </x:c>
      <x:c r="AB284" s="64" t="n">
        <x:f>-ROUND(Q284*'Drivers'!N284,3)</x:f>
        <x:v>-11.888</x:v>
      </x:c>
      <x:c r="AC284" s="64" t="n">
        <x:f>SUM(V284:AB284)</x:f>
        <x:v>-129.37</x:v>
      </x:c>
      <x:c r="AD284" s="65" t="n">
        <x:f>AC284/Q284</x:f>
        <x:v>-0.07431504016470285</x:v>
      </x:c>
      <x:c r="AE284" s="64" t="n">
        <x:f>-ROUND(Q284*'Drivers'!O284,3)</x:f>
        <x:v>-28.733</x:v>
      </x:c>
      <x:c r="AF284" s="65" t="n">
        <x:f>AE284/Q284</x:f>
        <x:v>-0.016505326188856823</x:v>
      </x:c>
      <x:c r="AG284" s="64" t="n">
        <x:f>-ROUND(Q284*'Drivers'!P284,3)</x:f>
        <x:v>-3.803</x:v>
      </x:c>
      <x:c r="AH284" s="64" t="n">
        <x:f>-ROUND(Q284*'Drivers'!Q284,3)</x:f>
        <x:v>-1.767</x:v>
      </x:c>
      <x:c r="AI284" s="64" t="n">
        <x:f>SUM(R284,T284,AC284,AE284,AG284,AH284)</x:f>
        <x:v>-538.1610000000001</x:v>
      </x:c>
      <x:c r="AJ284" s="65" t="n">
        <x:f>AI284/Q284</x:f>
        <x:v>-0.30914011231411187</x:v>
      </x:c>
      <x:c r="AK284" s="64" t="n">
        <x:f>Q284+AI284</x:f>
        <x:v>1202.671</x:v>
      </x:c>
      <x:c r="AL284" s="65" t="n">
        <x:f>AK284/Q284</x:f>
        <x:v>0.6908598876858881</x:v>
      </x:c>
      <x:c r="AM284" s="64" t="n">
        <x:f>AK284/L284</x:f>
        <x:v>240.5342</x:v>
      </x:c>
      <x:c r="AN284" s="66" t="str">
        <x:f>IF(AM284&lt;=200,"≤200K",IF(AM284&lt;=350,"200–350K",IF(AM284&lt;=500,"350–500K",IF(AM284&lt;=700,"500–700K","&gt;700K"))))</x:f>
        <x:v>200–350K</x:v>
      </x:c>
      <x:c r="AO284" s="64" t="n">
        <x:f>-ROUND(Q284*'Drivers'!R284,3)</x:f>
        <x:v>-601.18</x:v>
      </x:c>
      <x:c r="AP284" s="64" t="n">
        <x:f>-ROUND(AK284*'Drivers'!S284,3)</x:f>
        <x:v>-15.756</x:v>
      </x:c>
      <x:c r="AQ284" s="64" t="n">
        <x:f>-ROUND(AK284*'Drivers'!T284,3)</x:f>
        <x:v>-4.127</x:v>
      </x:c>
      <x:c r="AR284" s="64" t="n">
        <x:f>-ROUND(AK284*'Drivers'!U284,3)</x:f>
        <x:v>-8.583</x:v>
      </x:c>
      <x:c r="AS284" s="64" t="n">
        <x:f>-ROUND(AK284*'Drivers'!V284,3)</x:f>
        <x:v>-36.733</x:v>
      </x:c>
      <x:c r="AT284" s="64" t="n">
        <x:f>SUM(AO284:AS284)</x:f>
        <x:v>-666.3789999999998</x:v>
      </x:c>
      <x:c r="AU284" s="65" t="n">
        <x:f>AT284/AK284</x:f>
        <x:v>-0.554082537950944</x:v>
      </x:c>
      <x:c r="AV284" s="64" t="n">
        <x:f>AK284+AT284</x:f>
        <x:v>536.2920000000003</x:v>
      </x:c>
      <x:c r="AW284" s="65" t="n">
        <x:f>AV284/AK284</x:f>
        <x:v>0.445917462049056</x:v>
      </x:c>
      <x:c r="AX284" s="64" t="n">
        <x:f>-ROUND(AK284*'Drivers'!W284,3)</x:f>
        <x:v>-15.864</x:v>
      </x:c>
      <x:c r="AY284" s="64" t="n">
        <x:f>-ROUND(AK284*'Drivers'!X284,3)</x:f>
        <x:v>-38.928</x:v>
      </x:c>
      <x:c r="AZ284" s="64" t="n">
        <x:f>-ROUND(AK284*'Drivers'!Y284,3)</x:f>
        <x:v>-20.063</x:v>
      </x:c>
      <x:c r="BA284" s="64" t="n">
        <x:f>-ROUND(AK284*'Drivers'!Z284,3)</x:f>
        <x:v>-9.369</x:v>
      </x:c>
      <x:c r="BB284" s="64" t="n">
        <x:f>-ROUND(AK284*'Drivers'!AA284,3)</x:f>
        <x:v>-9.147</x:v>
      </x:c>
      <x:c r="BC284" s="64" t="n">
        <x:f>SUM(BA284,BB284)</x:f>
        <x:v>-18.516</x:v>
      </x:c>
      <x:c r="BD284" s="64" t="n">
        <x:f>-ROUND(AK284*'Drivers'!AB284,3)</x:f>
        <x:v>-6.873</x:v>
      </x:c>
      <x:c r="BE284" s="64" t="n">
        <x:f>SUM(AX284:BB284,BD284)</x:f>
        <x:v>-100.24400000000001</x:v>
      </x:c>
      <x:c r="BF284" s="67" t="n">
        <x:f>'Drivers'!AF284</x:f>
        <x:v>11</x:v>
      </x:c>
      <x:c r="BG284" s="64" t="n">
        <x:f>BJ284</x:f>
        <x:v>-27.528</x:v>
      </x:c>
      <x:c r="BH284" s="64" t="n">
        <x:f>BE284/BF284</x:f>
        <x:v>-9.11309090909091</x:v>
      </x:c>
      <x:c r="BI284" s="68" t="n">
        <x:f>BF284/L284</x:f>
        <x:v>2.2</x:v>
      </x:c>
      <x:c r="BJ284" s="64" t="n">
        <x:f>-ROUND(AK284*'Drivers'!AC284,3)</x:f>
        <x:v>-27.528</x:v>
      </x:c>
      <x:c r="BK284" s="64" t="n">
        <x:f>-ROUND(AK284*'Drivers'!AD284,3)</x:f>
        <x:v>-127.027</x:v>
      </x:c>
      <x:c r="BL284" s="64" t="n">
        <x:f>SUM(AV284,BE284,BJ284,BK284)</x:f>
        <x:v>281.4930000000002</x:v>
      </x:c>
      <x:c r="BM284" s="65" t="n">
        <x:f>BL284/AK284</x:f>
        <x:v>0.2340565291754771</x:v>
      </x:c>
      <x:c r="BN284" s="64" t="n">
        <x:f>-ROUND(AK284*'Drivers'!AE284,3)</x:f>
        <x:v>-86.856</x:v>
      </x:c>
      <x:c r="BO284" s="64" t="n">
        <x:f>BL284+BN284</x:f>
        <x:v>194.63700000000023</x:v>
      </x:c>
      <x:c r="BP284" s="65" t="n">
        <x:f>BO284/AK284</x:f>
        <x:v>0.16183727719384622</x:v>
      </x:c>
    </x:row>
    <x:row r="285">
      <x:c r="A285" s="61" t="n">
        <x:v>2026</x:v>
      </x:c>
      <x:c r="B285" s="18" t="str">
        <x:v>S2</x:v>
      </x:c>
      <x:c r="C285" s="18" t="str">
        <x:v>2026 S2</x:v>
      </x:c>
      <x:c r="D285" s="18" t="str">
        <x:v>CNCT0071</x:v>
      </x:c>
      <x:c r="E285" s="18" t="str">
        <x:v>南京河西金鹰世界</x:v>
      </x:c>
      <x:c r="F285" s="18" t="str">
        <x:v>南京</x:v>
      </x:c>
      <x:c r="G285" s="18" t="str">
        <x:v>江苏省</x:v>
      </x:c>
      <x:c r="H285" s="18" t="str">
        <x:v>东区</x:v>
      </x:c>
      <x:c r="I285" s="18" t="str">
        <x:v>Department Store</x:v>
      </x:c>
      <x:c r="J285" s="18" t="str">
        <x:v>Regional Mall</x:v>
      </x:c>
      <x:c r="K285" s="18" t="str">
        <x:v>正常</x:v>
      </x:c>
      <x:c r="L285" s="62" t="n">
        <x:v>5</x:v>
      </x:c>
      <x:c r="M285" s="62" t="n">
        <x:v>46</x:v>
      </x:c>
      <x:c r="N285" s="63" t="n">
        <x:f>'Drivers'!C285</x:f>
        <x:v>1841</x:v>
      </x:c>
      <x:c r="O285" s="63" t="n">
        <x:f>'Drivers'!D285</x:f>
        <x:v>1044.737</x:v>
      </x:c>
      <x:c r="P285" s="64" t="n">
        <x:f>ROUND(N285*O285/1000,3)</x:f>
        <x:v>1923.361</x:v>
      </x:c>
      <x:c r="Q285" s="64" t="n">
        <x:f>ROUND(P285*'Drivers'!E285,3)</x:f>
        <x:v>1866.711</x:v>
      </x:c>
      <x:c r="R285" s="64" t="n">
        <x:f>-ROUND(Q285*'Drivers'!F285,3)</x:f>
        <x:v>-361.829</x:v>
      </x:c>
      <x:c r="S285" s="65" t="n">
        <x:f>R285/Q285</x:f>
        <x:v>-0.19383236076714608</x:v>
      </x:c>
      <x:c r="T285" s="64" t="n">
        <x:f>-ROUND(Q285*'Drivers'!G285,3)</x:f>
        <x:v>-27.432</x:v>
      </x:c>
      <x:c r="U285" s="65" t="n">
        <x:f>T285/Q285</x:f>
        <x:v>-0.014695365270789103</x:v>
      </x:c>
      <x:c r="V285" s="64" t="n">
        <x:f>-ROUND(Q285*'Drivers'!H285,3)</x:f>
        <x:v>-21.244</x:v>
      </x:c>
      <x:c r="W285" s="64" t="n">
        <x:f>-ROUND(Q285*'Drivers'!I285,3)</x:f>
        <x:v>-14.544</x:v>
      </x:c>
      <x:c r="X285" s="64" t="n">
        <x:f>-ROUND(Q285*'Drivers'!J285,3)</x:f>
        <x:v>-30.218</x:v>
      </x:c>
      <x:c r="Y285" s="64" t="n">
        <x:f>-ROUND(Q285*'Drivers'!K285,3)</x:f>
        <x:v>-21.769</x:v>
      </x:c>
      <x:c r="Z285" s="64" t="n">
        <x:f>-ROUND(Q285*'Drivers'!L285,3)</x:f>
        <x:v>-22.006</x:v>
      </x:c>
      <x:c r="AA285" s="64" t="n">
        <x:f>-ROUND(Q285*'Drivers'!M285,3)</x:f>
        <x:v>-16.196</x:v>
      </x:c>
      <x:c r="AB285" s="64" t="n">
        <x:f>-ROUND(Q285*'Drivers'!N285,3)</x:f>
        <x:v>-12.748</x:v>
      </x:c>
      <x:c r="AC285" s="64" t="n">
        <x:f>SUM(V285:AB285)</x:f>
        <x:v>-138.725</x:v>
      </x:c>
      <x:c r="AD285" s="65" t="n">
        <x:f>AC285/Q285</x:f>
        <x:v>-0.07431519929973092</x:v>
      </x:c>
      <x:c r="AE285" s="64" t="n">
        <x:f>-ROUND(Q285*'Drivers'!O285,3)</x:f>
        <x:v>-28.937</x:v>
      </x:c>
      <x:c r="AF285" s="65" t="n">
        <x:f>AE285/Q285</x:f>
        <x:v>-0.01550159612280637</x:v>
      </x:c>
      <x:c r="AG285" s="64" t="n">
        <x:f>-ROUND(Q285*'Drivers'!P285,3)</x:f>
        <x:v>-4.078</x:v>
      </x:c>
      <x:c r="AH285" s="64" t="n">
        <x:f>-ROUND(Q285*'Drivers'!Q285,3)</x:f>
        <x:v>-1.895</x:v>
      </x:c>
      <x:c r="AI285" s="64" t="n">
        <x:f>SUM(R285,T285,AC285,AE285,AG285,AH285)</x:f>
        <x:v>-562.896</x:v>
      </x:c>
      <x:c r="AJ285" s="65" t="n">
        <x:f>AI285/Q285</x:f>
        <x:v>-0.3015442668950898</x:v>
      </x:c>
      <x:c r="AK285" s="64" t="n">
        <x:f>Q285+AI285</x:f>
        <x:v>1303.815</x:v>
      </x:c>
      <x:c r="AL285" s="65" t="n">
        <x:f>AK285/Q285</x:f>
        <x:v>0.6984557331049102</x:v>
      </x:c>
      <x:c r="AM285" s="64" t="n">
        <x:f>AK285/L285</x:f>
        <x:v>260.76300000000003</x:v>
      </x:c>
      <x:c r="AN285" s="66" t="str">
        <x:f>IF(AM285&lt;=200,"≤200K",IF(AM285&lt;=350,"200–350K",IF(AM285&lt;=500,"350–500K",IF(AM285&lt;=700,"500–700K","&gt;700K"))))</x:f>
        <x:v>200–350K</x:v>
      </x:c>
      <x:c r="AO285" s="64" t="n">
        <x:f>-ROUND(Q285*'Drivers'!R285,3)</x:f>
        <x:v>-704.905</x:v>
      </x:c>
      <x:c r="AP285" s="64" t="n">
        <x:f>-ROUND(AK285*'Drivers'!S285,3)</x:f>
        <x:v>-17.081</x:v>
      </x:c>
      <x:c r="AQ285" s="64" t="n">
        <x:f>-ROUND(AK285*'Drivers'!T285,3)</x:f>
        <x:v>-4.474</x:v>
      </x:c>
      <x:c r="AR285" s="64" t="n">
        <x:f>-ROUND(AK285*'Drivers'!U285,3)</x:f>
        <x:v>-9.305</x:v>
      </x:c>
      <x:c r="AS285" s="64" t="n">
        <x:f>-ROUND(AK285*'Drivers'!V285,3)</x:f>
        <x:v>-39.822</x:v>
      </x:c>
      <x:c r="AT285" s="64" t="n">
        <x:f>SUM(AO285:AS285)</x:f>
        <x:v>-775.587</x:v>
      </x:c>
      <x:c r="AU285" s="65" t="n">
        <x:f>AT285/AK285</x:f>
        <x:v>-0.5948597001875265</x:v>
      </x:c>
      <x:c r="AV285" s="64" t="n">
        <x:f>AK285+AT285</x:f>
        <x:v>528.2280000000001</x:v>
      </x:c>
      <x:c r="AW285" s="65" t="n">
        <x:f>AV285/AK285</x:f>
        <x:v>0.4051402998124734</x:v>
      </x:c>
      <x:c r="AX285" s="64" t="n">
        <x:f>-ROUND(AK285*'Drivers'!W285,3)</x:f>
        <x:v>-14.815</x:v>
      </x:c>
      <x:c r="AY285" s="64" t="n">
        <x:f>-ROUND(AK285*'Drivers'!X285,3)</x:f>
        <x:v>-36.355</x:v>
      </x:c>
      <x:c r="AZ285" s="64" t="n">
        <x:f>-ROUND(AK285*'Drivers'!Y285,3)</x:f>
        <x:v>-18.737</x:v>
      </x:c>
      <x:c r="BA285" s="64" t="n">
        <x:f>-ROUND(AK285*'Drivers'!Z285,3)</x:f>
        <x:v>-8.75</x:v>
      </x:c>
      <x:c r="BB285" s="64" t="n">
        <x:f>-ROUND(AK285*'Drivers'!AA285,3)</x:f>
        <x:v>-8.542</x:v>
      </x:c>
      <x:c r="BC285" s="64" t="n">
        <x:f>SUM(BA285,BB285)</x:f>
        <x:v>-17.292</x:v>
      </x:c>
      <x:c r="BD285" s="64" t="n">
        <x:f>-ROUND(AK285*'Drivers'!AB285,3)</x:f>
        <x:v>-6.419</x:v>
      </x:c>
      <x:c r="BE285" s="64" t="n">
        <x:f>SUM(AX285:BB285,BD285)</x:f>
        <x:v>-93.618</x:v>
      </x:c>
      <x:c r="BF285" s="67" t="n">
        <x:f>'Drivers'!AF285</x:f>
        <x:v>11</x:v>
      </x:c>
      <x:c r="BG285" s="64" t="n">
        <x:f>BJ285</x:f>
        <x:v>-25.709</x:v>
      </x:c>
      <x:c r="BH285" s="64" t="n">
        <x:f>BE285/BF285</x:f>
        <x:v>-8.510727272727273</x:v>
      </x:c>
      <x:c r="BI285" s="68" t="n">
        <x:f>BF285/L285</x:f>
        <x:v>2.2</x:v>
      </x:c>
      <x:c r="BJ285" s="64" t="n">
        <x:f>-ROUND(AK285*'Drivers'!AC285,3)</x:f>
        <x:v>-25.709</x:v>
      </x:c>
      <x:c r="BK285" s="64" t="n">
        <x:f>-ROUND(AK285*'Drivers'!AD285,3)</x:f>
        <x:v>-137.71</x:v>
      </x:c>
      <x:c r="BL285" s="64" t="n">
        <x:f>SUM(AV285,BE285,BJ285,BK285)</x:f>
        <x:v>271.19100000000003</x:v>
      </x:c>
      <x:c r="BM285" s="65" t="n">
        <x:f>BL285/AK285</x:f>
        <x:v>0.2079980672104555</x:v>
      </x:c>
      <x:c r="BN285" s="64" t="n">
        <x:f>-ROUND(AK285*'Drivers'!AE285,3)</x:f>
        <x:v>-94.161</x:v>
      </x:c>
      <x:c r="BO285" s="64" t="n">
        <x:f>BL285+BN285</x:f>
        <x:v>177.03000000000003</x:v>
      </x:c>
      <x:c r="BP285" s="65" t="n">
        <x:f>BO285/AK285</x:f>
        <x:v>0.13577846550315806</x:v>
      </x:c>
    </x:row>
    <x:row r="286">
      <x:c r="A286" s="61" t="n">
        <x:v>2025</x:v>
      </x:c>
      <x:c r="B286" s="18" t="str">
        <x:v>S1</x:v>
      </x:c>
      <x:c r="C286" s="18" t="str">
        <x:v>2025 S1</x:v>
      </x:c>
      <x:c r="D286" s="18" t="str">
        <x:v>CNCT0072</x:v>
      </x:c>
      <x:c r="E286" s="18" t="str">
        <x:v>南京水游城</x:v>
      </x:c>
      <x:c r="F286" s="18" t="str">
        <x:v>南京</x:v>
      </x:c>
      <x:c r="G286" s="18" t="str">
        <x:v>江苏省</x:v>
      </x:c>
      <x:c r="H286" s="18" t="str">
        <x:v>东区</x:v>
      </x:c>
      <x:c r="I286" s="18" t="str">
        <x:v>Shopping Mall</x:v>
      </x:c>
      <x:c r="J286" s="18" t="str">
        <x:v>Regional Mall</x:v>
      </x:c>
      <x:c r="K286" s="18" t="str">
        <x:v>正常</x:v>
      </x:c>
      <x:c r="L286" s="62" t="n">
        <x:v>5</x:v>
      </x:c>
      <x:c r="M286" s="62" t="n">
        <x:v>47</x:v>
      </x:c>
      <x:c r="N286" s="63" t="n">
        <x:f>'Drivers'!C286</x:f>
        <x:v>1610</x:v>
      </x:c>
      <x:c r="O286" s="63" t="n">
        <x:f>'Drivers'!D286</x:f>
        <x:v>884.194</x:v>
      </x:c>
      <x:c r="P286" s="64" t="n">
        <x:f>ROUND(N286*O286/1000,3)</x:f>
        <x:v>1423.552</x:v>
      </x:c>
      <x:c r="Q286" s="64" t="n">
        <x:f>ROUND(P286*'Drivers'!E286,3)</x:f>
        <x:v>1389.158</x:v>
      </x:c>
      <x:c r="R286" s="64" t="n">
        <x:f>-ROUND(Q286*'Drivers'!F286,3)</x:f>
        <x:v>-298.664</x:v>
      </x:c>
      <x:c r="S286" s="65" t="n">
        <x:f>R286/Q286</x:f>
        <x:v>-0.21499642229321647</x:v>
      </x:c>
      <x:c r="T286" s="64" t="n">
        <x:f>-ROUND(Q286*'Drivers'!G286,3)</x:f>
        <x:v>-25.888</x:v>
      </x:c>
      <x:c r="U286" s="65" t="n">
        <x:f>T286/Q286</x:f>
        <x:v>-0.01863574913724717</x:v>
      </x:c>
      <x:c r="V286" s="64" t="n">
        <x:f>-ROUND(Q286*'Drivers'!H286,3)</x:f>
        <x:v>-10.943</x:v>
      </x:c>
      <x:c r="W286" s="64" t="n">
        <x:f>-ROUND(Q286*'Drivers'!I286,3)</x:f>
        <x:v>-12.911</x:v>
      </x:c>
      <x:c r="X286" s="64" t="n">
        <x:f>-ROUND(Q286*'Drivers'!J286,3)</x:f>
        <x:v>-21.423</x:v>
      </x:c>
      <x:c r="Y286" s="64" t="n">
        <x:f>-ROUND(Q286*'Drivers'!K286,3)</x:f>
        <x:v>-16.174</x:v>
      </x:c>
      <x:c r="Z286" s="64" t="n">
        <x:f>-ROUND(Q286*'Drivers'!L286,3)</x:f>
        <x:v>-16.797</x:v>
      </x:c>
      <x:c r="AA286" s="64" t="n">
        <x:f>-ROUND(Q286*'Drivers'!M286,3)</x:f>
        <x:v>-11.363</x:v>
      </x:c>
      <x:c r="AB286" s="64" t="n">
        <x:f>-ROUND(Q286*'Drivers'!N286,3)</x:f>
        <x:v>-10.465</x:v>
      </x:c>
      <x:c r="AC286" s="64" t="n">
        <x:f>SUM(V286:AB286)</x:f>
        <x:v>-100.07600000000001</x:v>
      </x:c>
      <x:c r="AD286" s="65" t="n">
        <x:f>AC286/Q286</x:f>
        <x:v>-0.07204076138207462</x:v>
      </x:c>
      <x:c r="AE286" s="64" t="n">
        <x:f>-ROUND(Q286*'Drivers'!O286,3)</x:f>
        <x:v>-16.811</x:v>
      </x:c>
      <x:c r="AF286" s="65" t="n">
        <x:f>AE286/Q286</x:f>
        <x:v>-0.012101575198789483</x:v>
      </x:c>
      <x:c r="AG286" s="64" t="n">
        <x:f>-ROUND(Q286*'Drivers'!P286,3)</x:f>
        <x:v>-3.692</x:v>
      </x:c>
      <x:c r="AH286" s="64" t="n">
        <x:f>-ROUND(Q286*'Drivers'!Q286,3)</x:f>
        <x:v>-9.696</x:v>
      </x:c>
      <x:c r="AI286" s="64" t="n">
        <x:f>SUM(R286,T286,AC286,AE286,AG286,AH286)</x:f>
        <x:v>-454.827</x:v>
      </x:c>
      <x:c r="AJ286" s="65" t="n">
        <x:f>AI286/Q286</x:f>
        <x:v>-0.32741200065075393</x:v>
      </x:c>
      <x:c r="AK286" s="64" t="n">
        <x:f>Q286+AI286</x:f>
        <x:v>934.3309999999999</x:v>
      </x:c>
      <x:c r="AL286" s="65" t="n">
        <x:f>AK286/Q286</x:f>
        <x:v>0.6725879993492461</x:v>
      </x:c>
      <x:c r="AM286" s="64" t="n">
        <x:f>AK286/L286</x:f>
        <x:v>186.8662</x:v>
      </x:c>
      <x:c r="AN286" s="66" t="str">
        <x:f>IF(AM286&lt;=200,"≤200K",IF(AM286&lt;=350,"200–350K",IF(AM286&lt;=500,"350–500K",IF(AM286&lt;=700,"500–700K","&gt;700K"))))</x:f>
        <x:v>≤200K</x:v>
      </x:c>
      <x:c r="AO286" s="64" t="n">
        <x:f>-ROUND(Q286*'Drivers'!R286,3)</x:f>
        <x:v>-472.193</x:v>
      </x:c>
      <x:c r="AP286" s="64" t="n">
        <x:f>-ROUND(AK286*'Drivers'!S286,3)</x:f>
        <x:v>-14.336</x:v>
      </x:c>
      <x:c r="AQ286" s="64" t="n">
        <x:f>-ROUND(AK286*'Drivers'!T286,3)</x:f>
        <x:v>-4.264</x:v>
      </x:c>
      <x:c r="AR286" s="64" t="n">
        <x:f>-ROUND(AK286*'Drivers'!U286,3)</x:f>
        <x:v>-9.338</x:v>
      </x:c>
      <x:c r="AS286" s="64" t="n">
        <x:f>-ROUND(AK286*'Drivers'!V286,3)</x:f>
        <x:v>-34.65</x:v>
      </x:c>
      <x:c r="AT286" s="64" t="n">
        <x:f>SUM(AO286:AS286)</x:f>
        <x:v>-534.7810000000001</x:v>
      </x:c>
      <x:c r="AU286" s="65" t="n">
        <x:f>AT286/AK286</x:f>
        <x:v>-0.5723678225382655</x:v>
      </x:c>
      <x:c r="AV286" s="64" t="n">
        <x:f>AK286+AT286</x:f>
        <x:v>399.54999999999984</x:v>
      </x:c>
      <x:c r="AW286" s="65" t="n">
        <x:f>AV286/AK286</x:f>
        <x:v>0.42763217746173454</x:v>
      </x:c>
      <x:c r="AX286" s="64" t="n">
        <x:f>-ROUND(AK286*'Drivers'!W286,3)</x:f>
        <x:v>-8.567</x:v>
      </x:c>
      <x:c r="AY286" s="64" t="n">
        <x:f>-ROUND(AK286*'Drivers'!X286,3)</x:f>
        <x:v>-25.152</x:v>
      </x:c>
      <x:c r="AZ286" s="64" t="n">
        <x:f>-ROUND(AK286*'Drivers'!Y286,3)</x:f>
        <x:v>-18.849</x:v>
      </x:c>
      <x:c r="BA286" s="64" t="n">
        <x:f>-ROUND(AK286*'Drivers'!Z286,3)</x:f>
        <x:v>-6.532</x:v>
      </x:c>
      <x:c r="BB286" s="64" t="n">
        <x:f>-ROUND(AK286*'Drivers'!AA286,3)</x:f>
        <x:v>-5.386</x:v>
      </x:c>
      <x:c r="BC286" s="64" t="n">
        <x:f>SUM(BA286,BB286)</x:f>
        <x:v>-11.918</x:v>
      </x:c>
      <x:c r="BD286" s="64" t="n">
        <x:f>-ROUND(AK286*'Drivers'!AB286,3)</x:f>
        <x:v>-4.442</x:v>
      </x:c>
      <x:c r="BE286" s="64" t="n">
        <x:f>SUM(AX286:BB286,BD286)</x:f>
        <x:v>-68.928</x:v>
      </x:c>
      <x:c r="BF286" s="67" t="n">
        <x:f>'Drivers'!AF286</x:f>
        <x:v>11</x:v>
      </x:c>
      <x:c r="BG286" s="64" t="n">
        <x:f>BJ286</x:f>
        <x:v>-17.387</x:v>
      </x:c>
      <x:c r="BH286" s="64" t="n">
        <x:f>BE286/BF286</x:f>
        <x:v>-6.266181818181818</x:v>
      </x:c>
      <x:c r="BI286" s="68" t="n">
        <x:f>BF286/L286</x:f>
        <x:v>2.2</x:v>
      </x:c>
      <x:c r="BJ286" s="64" t="n">
        <x:f>-ROUND(AK286*'Drivers'!AC286,3)</x:f>
        <x:v>-17.387</x:v>
      </x:c>
      <x:c r="BK286" s="64" t="n">
        <x:f>-ROUND(AK286*'Drivers'!AD286,3)</x:f>
        <x:v>-101.59</x:v>
      </x:c>
      <x:c r="BL286" s="64" t="n">
        <x:f>SUM(AV286,BE286,BJ286,BK286)</x:f>
        <x:v>211.64499999999984</x:v>
      </x:c>
      <x:c r="BM286" s="65" t="n">
        <x:f>BL286/AK286</x:f>
        <x:v>0.2265203659088694</x:v>
      </x:c>
      <x:c r="BN286" s="64" t="n">
        <x:f>-ROUND(AK286*'Drivers'!AE286,3)</x:f>
        <x:v>-58.337</x:v>
      </x:c>
      <x:c r="BO286" s="64" t="n">
        <x:f>BL286+BN286</x:f>
        <x:v>153.30799999999982</x:v>
      </x:c>
      <x:c r="BP286" s="65" t="n">
        <x:f>BO286/AK286</x:f>
        <x:v>0.16408317823126906</x:v>
      </x:c>
    </x:row>
    <x:row r="287">
      <x:c r="A287" s="61" t="n">
        <x:v>2025</x:v>
      </x:c>
      <x:c r="B287" s="18" t="str">
        <x:v>S2</x:v>
      </x:c>
      <x:c r="C287" s="18" t="str">
        <x:v>2025 S2</x:v>
      </x:c>
      <x:c r="D287" s="18" t="str">
        <x:v>CNCT0072</x:v>
      </x:c>
      <x:c r="E287" s="18" t="str">
        <x:v>南京水游城</x:v>
      </x:c>
      <x:c r="F287" s="18" t="str">
        <x:v>南京</x:v>
      </x:c>
      <x:c r="G287" s="18" t="str">
        <x:v>江苏省</x:v>
      </x:c>
      <x:c r="H287" s="18" t="str">
        <x:v>东区</x:v>
      </x:c>
      <x:c r="I287" s="18" t="str">
        <x:v>Shopping Mall</x:v>
      </x:c>
      <x:c r="J287" s="18" t="str">
        <x:v>Regional Mall</x:v>
      </x:c>
      <x:c r="K287" s="18" t="str">
        <x:v>正常</x:v>
      </x:c>
      <x:c r="L287" s="62" t="n">
        <x:v>5</x:v>
      </x:c>
      <x:c r="M287" s="62" t="n">
        <x:v>47</x:v>
      </x:c>
      <x:c r="N287" s="63" t="n">
        <x:f>'Drivers'!C287</x:f>
        <x:v>1732</x:v>
      </x:c>
      <x:c r="O287" s="63" t="n">
        <x:f>'Drivers'!D287</x:f>
        <x:v>894.805</x:v>
      </x:c>
      <x:c r="P287" s="64" t="n">
        <x:f>ROUND(N287*O287/1000,3)</x:f>
        <x:v>1549.802</x:v>
      </x:c>
      <x:c r="Q287" s="64" t="n">
        <x:f>ROUND(P287*'Drivers'!E287,3)</x:f>
        <x:v>1498.423</x:v>
      </x:c>
      <x:c r="R287" s="64" t="n">
        <x:f>-ROUND(Q287*'Drivers'!F287,3)</x:f>
        <x:v>-322.156</x:v>
      </x:c>
      <x:c r="S287" s="65" t="n">
        <x:f>R287/Q287</x:f>
        <x:v>-0.21499669986379014</x:v>
      </x:c>
      <x:c r="T287" s="64" t="n">
        <x:f>-ROUND(Q287*'Drivers'!G287,3)</x:f>
        <x:v>-27.924</x:v>
      </x:c>
      <x:c r="U287" s="65" t="n">
        <x:f>T287/Q287</x:f>
        <x:v>-0.018635592219286543</x:v>
      </x:c>
      <x:c r="V287" s="64" t="n">
        <x:f>-ROUND(Q287*'Drivers'!H287,3)</x:f>
        <x:v>-11.803</x:v>
      </x:c>
      <x:c r="W287" s="64" t="n">
        <x:f>-ROUND(Q287*'Drivers'!I287,3)</x:f>
        <x:v>-13.927</x:v>
      </x:c>
      <x:c r="X287" s="64" t="n">
        <x:f>-ROUND(Q287*'Drivers'!J287,3)</x:f>
        <x:v>-23.108</x:v>
      </x:c>
      <x:c r="Y287" s="64" t="n">
        <x:f>-ROUND(Q287*'Drivers'!K287,3)</x:f>
        <x:v>-17.446</x:v>
      </x:c>
      <x:c r="Z287" s="64" t="n">
        <x:f>-ROUND(Q287*'Drivers'!L287,3)</x:f>
        <x:v>-18.118</x:v>
      </x:c>
      <x:c r="AA287" s="64" t="n">
        <x:f>-ROUND(Q287*'Drivers'!M287,3)</x:f>
        <x:v>-12.257</x:v>
      </x:c>
      <x:c r="AB287" s="64" t="n">
        <x:f>-ROUND(Q287*'Drivers'!N287,3)</x:f>
        <x:v>-11.289</x:v>
      </x:c>
      <x:c r="AC287" s="64" t="n">
        <x:f>SUM(V287:AB287)</x:f>
        <x:v>-107.94800000000001</x:v>
      </x:c>
      <x:c r="AD287" s="65" t="n">
        <x:f>AC287/Q287</x:f>
        <x:v>-0.07204107251423664</x:v>
      </x:c>
      <x:c r="AE287" s="64" t="n">
        <x:f>-ROUND(Q287*'Drivers'!O287,3)</x:f>
        <x:v>-18.133</x:v>
      </x:c>
      <x:c r="AF287" s="65" t="n">
        <x:f>AE287/Q287</x:f>
        <x:v>-0.012101389260575952</x:v>
      </x:c>
      <x:c r="AG287" s="64" t="n">
        <x:f>-ROUND(Q287*'Drivers'!P287,3)</x:f>
        <x:v>-3.982</x:v>
      </x:c>
      <x:c r="AH287" s="64" t="n">
        <x:f>-ROUND(Q287*'Drivers'!Q287,3)</x:f>
        <x:v>-10.458</x:v>
      </x:c>
      <x:c r="AI287" s="64" t="n">
        <x:f>SUM(R287,T287,AC287,AE287,AG287,AH287)</x:f>
        <x:v>-490.60100000000006</x:v>
      </x:c>
      <x:c r="AJ287" s="65" t="n">
        <x:f>AI287/Q287</x:f>
        <x:v>-0.32741155201168165</x:v>
      </x:c>
      <x:c r="AK287" s="64" t="n">
        <x:f>Q287+AI287</x:f>
        <x:v>1007.8219999999999</x:v>
      </x:c>
      <x:c r="AL287" s="65" t="n">
        <x:f>AK287/Q287</x:f>
        <x:v>0.6725884479883183</x:v>
      </x:c>
      <x:c r="AM287" s="64" t="n">
        <x:f>AK287/L287</x:f>
        <x:v>201.56439999999998</x:v>
      </x:c>
      <x:c r="AN287" s="66" t="str">
        <x:f>IF(AM287&lt;=200,"≤200K",IF(AM287&lt;=350,"200–350K",IF(AM287&lt;=500,"350–500K",IF(AM287&lt;=700,"500–700K","&gt;700K"))))</x:f>
        <x:v>200–350K</x:v>
      </x:c>
      <x:c r="AO287" s="64" t="n">
        <x:f>-ROUND(Q287*'Drivers'!R287,3)</x:f>
        <x:v>-512.145</x:v>
      </x:c>
      <x:c r="AP287" s="64" t="n">
        <x:f>-ROUND(AK287*'Drivers'!S287,3)</x:f>
        <x:v>-15.464</x:v>
      </x:c>
      <x:c r="AQ287" s="64" t="n">
        <x:f>-ROUND(AK287*'Drivers'!T287,3)</x:f>
        <x:v>-4.6</x:v>
      </x:c>
      <x:c r="AR287" s="64" t="n">
        <x:f>-ROUND(AK287*'Drivers'!U287,3)</x:f>
        <x:v>-10.073</x:v>
      </x:c>
      <x:c r="AS287" s="64" t="n">
        <x:f>-ROUND(AK287*'Drivers'!V287,3)</x:f>
        <x:v>-37.375</x:v>
      </x:c>
      <x:c r="AT287" s="64" t="n">
        <x:f>SUM(AO287:AS287)</x:f>
        <x:v>-579.657</x:v>
      </x:c>
      <x:c r="AU287" s="65" t="n">
        <x:f>AT287/AK287</x:f>
        <x:v>-0.5751581132382505</x:v>
      </x:c>
      <x:c r="AV287" s="64" t="n">
        <x:f>AK287+AT287</x:f>
        <x:v>428.16499999999985</x:v>
      </x:c>
      <x:c r="AW287" s="65" t="n">
        <x:f>AV287/AK287</x:f>
        <x:v>0.4248418867617495</x:v>
      </x:c>
      <x:c r="AX287" s="64" t="n">
        <x:f>-ROUND(AK287*'Drivers'!W287,3)</x:f>
        <x:v>-9.241</x:v>
      </x:c>
      <x:c r="AY287" s="64" t="n">
        <x:f>-ROUND(AK287*'Drivers'!X287,3)</x:f>
        <x:v>-27.131</x:v>
      </x:c>
      <x:c r="AZ287" s="64" t="n">
        <x:f>-ROUND(AK287*'Drivers'!Y287,3)</x:f>
        <x:v>-20.331</x:v>
      </x:c>
      <x:c r="BA287" s="64" t="n">
        <x:f>-ROUND(AK287*'Drivers'!Z287,3)</x:f>
        <x:v>-7.045</x:v>
      </x:c>
      <x:c r="BB287" s="64" t="n">
        <x:f>-ROUND(AK287*'Drivers'!AA287,3)</x:f>
        <x:v>-5.809</x:v>
      </x:c>
      <x:c r="BC287" s="64" t="n">
        <x:f>SUM(BA287,BB287)</x:f>
        <x:v>-12.854</x:v>
      </x:c>
      <x:c r="BD287" s="64" t="n">
        <x:f>-ROUND(AK287*'Drivers'!AB287,3)</x:f>
        <x:v>-4.792</x:v>
      </x:c>
      <x:c r="BE287" s="64" t="n">
        <x:f>SUM(AX287:BB287,BD287)</x:f>
        <x:v>-74.349</x:v>
      </x:c>
      <x:c r="BF287" s="67" t="n">
        <x:f>'Drivers'!AF287</x:f>
        <x:v>11</x:v>
      </x:c>
      <x:c r="BG287" s="64" t="n">
        <x:f>BJ287</x:f>
        <x:v>-18.754</x:v>
      </x:c>
      <x:c r="BH287" s="64" t="n">
        <x:f>BE287/BF287</x:f>
        <x:v>-6.759</x:v>
      </x:c>
      <x:c r="BI287" s="68" t="n">
        <x:f>BF287/L287</x:f>
        <x:v>2.2</x:v>
      </x:c>
      <x:c r="BJ287" s="64" t="n">
        <x:f>-ROUND(AK287*'Drivers'!AC287,3)</x:f>
        <x:v>-18.754</x:v>
      </x:c>
      <x:c r="BK287" s="64" t="n">
        <x:f>-ROUND(AK287*'Drivers'!AD287,3)</x:f>
        <x:v>-109.581</x:v>
      </x:c>
      <x:c r="BL287" s="64" t="n">
        <x:f>SUM(AV287,BE287,BJ287,BK287)</x:f>
        <x:v>225.48099999999982</x:v>
      </x:c>
      <x:c r="BM287" s="65" t="n">
        <x:f>BL287/AK287</x:f>
        <x:v>0.223730976303355</x:v>
      </x:c>
      <x:c r="BN287" s="64" t="n">
        <x:f>-ROUND(AK287*'Drivers'!AE287,3)</x:f>
        <x:v>-62.926</x:v>
      </x:c>
      <x:c r="BO287" s="64" t="n">
        <x:f>BL287+BN287</x:f>
        <x:v>162.55499999999984</x:v>
      </x:c>
      <x:c r="BP287" s="65" t="n">
        <x:f>BO287/AK287</x:f>
        <x:v>0.16129336331217203</x:v>
      </x:c>
    </x:row>
    <x:row r="288">
      <x:c r="A288" s="61" t="n">
        <x:v>2026</x:v>
      </x:c>
      <x:c r="B288" s="18" t="str">
        <x:v>S1</x:v>
      </x:c>
      <x:c r="C288" s="18" t="str">
        <x:v>2026 S1</x:v>
      </x:c>
      <x:c r="D288" s="18" t="str">
        <x:v>CNCT0072</x:v>
      </x:c>
      <x:c r="E288" s="18" t="str">
        <x:v>南京水游城</x:v>
      </x:c>
      <x:c r="F288" s="18" t="str">
        <x:v>南京</x:v>
      </x:c>
      <x:c r="G288" s="18" t="str">
        <x:v>江苏省</x:v>
      </x:c>
      <x:c r="H288" s="18" t="str">
        <x:v>东区</x:v>
      </x:c>
      <x:c r="I288" s="18" t="str">
        <x:v>Shopping Mall</x:v>
      </x:c>
      <x:c r="J288" s="18" t="str">
        <x:v>Regional Mall</x:v>
      </x:c>
      <x:c r="K288" s="18" t="str">
        <x:v>正常</x:v>
      </x:c>
      <x:c r="L288" s="62" t="n">
        <x:v>5</x:v>
      </x:c>
      <x:c r="M288" s="62" t="n">
        <x:v>47</x:v>
      </x:c>
      <x:c r="N288" s="63" t="n">
        <x:f>'Drivers'!C288</x:f>
        <x:v>1232</x:v>
      </x:c>
      <x:c r="O288" s="63" t="n">
        <x:f>'Drivers'!D288</x:f>
        <x:v>921.279</x:v>
      </x:c>
      <x:c r="P288" s="64" t="n">
        <x:f>ROUND(N288*O288/1000,3)</x:f>
        <x:v>1135.016</x:v>
      </x:c>
      <x:c r="Q288" s="64" t="n">
        <x:f>ROUND(P288*'Drivers'!E288,3)</x:f>
        <x:v>1104.482</x:v>
      </x:c>
      <x:c r="R288" s="64" t="n">
        <x:f>-ROUND(Q288*'Drivers'!F288,3)</x:f>
        <x:v>-250.714</x:v>
      </x:c>
      <x:c r="S288" s="65" t="n">
        <x:f>R288/Q288</x:f>
        <x:v>-0.22699690895822658</x:v>
      </x:c>
      <x:c r="T288" s="64" t="n">
        <x:f>-ROUND(Q288*'Drivers'!G288,3)</x:f>
        <x:v>-20.742</x:v>
      </x:c>
      <x:c r="U288" s="65" t="n">
        <x:f>T288/Q288</x:f>
        <x:v>-0.01877984430710505</x:v>
      </x:c>
      <x:c r="V288" s="64" t="n">
        <x:f>-ROUND(Q288*'Drivers'!H288,3)</x:f>
        <x:v>-8.7</x:v>
      </x:c>
      <x:c r="W288" s="64" t="n">
        <x:f>-ROUND(Q288*'Drivers'!I288,3)</x:f>
        <x:v>-10.265</x:v>
      </x:c>
      <x:c r="X288" s="64" t="n">
        <x:f>-ROUND(Q288*'Drivers'!J288,3)</x:f>
        <x:v>-17.033</x:v>
      </x:c>
      <x:c r="Y288" s="64" t="n">
        <x:f>-ROUND(Q288*'Drivers'!K288,3)</x:f>
        <x:v>-12.859</x:v>
      </x:c>
      <x:c r="Z288" s="64" t="n">
        <x:f>-ROUND(Q288*'Drivers'!L288,3)</x:f>
        <x:v>-13.355</x:v>
      </x:c>
      <x:c r="AA288" s="64" t="n">
        <x:f>-ROUND(Q288*'Drivers'!M288,3)</x:f>
        <x:v>-9.035</x:v>
      </x:c>
      <x:c r="AB288" s="64" t="n">
        <x:f>-ROUND(Q288*'Drivers'!N288,3)</x:f>
        <x:v>-8.321</x:v>
      </x:c>
      <x:c r="AC288" s="64" t="n">
        <x:f>SUM(V288:AB288)</x:f>
        <x:v>-79.568</x:v>
      </x:c>
      <x:c r="AD288" s="65" t="n">
        <x:f>AC288/Q288</x:f>
        <x:v>-0.07204101108030733</x:v>
      </x:c>
      <x:c r="AE288" s="64" t="n">
        <x:f>-ROUND(Q288*'Drivers'!O288,3)</x:f>
        <x:v>-12.663</x:v>
      </x:c>
      <x:c r="AF288" s="65" t="n">
        <x:f>AE288/Q288</x:f>
        <x:v>-0.011465103098103908</x:v>
      </x:c>
      <x:c r="AG288" s="64" t="n">
        <x:f>-ROUND(Q288*'Drivers'!P288,3)</x:f>
        <x:v>-2.935</x:v>
      </x:c>
      <x:c r="AH288" s="64" t="n">
        <x:f>-ROUND(Q288*'Drivers'!Q288,3)</x:f>
        <x:v>-7.709</x:v>
      </x:c>
      <x:c r="AI288" s="64" t="n">
        <x:f>SUM(R288,T288,AC288,AE288,AG288,AH288)</x:f>
        <x:v>-374.331</x:v>
      </x:c>
      <x:c r="AJ288" s="65" t="n">
        <x:f>AI288/Q288</x:f>
        <x:v>-0.3389199642909527</x:v>
      </x:c>
      <x:c r="AK288" s="64" t="n">
        <x:f>Q288+AI288</x:f>
        <x:v>730.151</x:v>
      </x:c>
      <x:c r="AL288" s="65" t="n">
        <x:f>AK288/Q288</x:f>
        <x:v>0.6610800357090473</x:v>
      </x:c>
      <x:c r="AM288" s="64" t="n">
        <x:f>AK288/L288</x:f>
        <x:v>146.03019999999998</x:v>
      </x:c>
      <x:c r="AN288" s="66" t="str">
        <x:f>IF(AM288&lt;=200,"≤200K",IF(AM288&lt;=350,"200–350K",IF(AM288&lt;=500,"350–500K",IF(AM288&lt;=700,"500–700K","&gt;700K"))))</x:f>
        <x:v>≤200K</x:v>
      </x:c>
      <x:c r="AO288" s="64" t="n">
        <x:f>-ROUND(Q288*'Drivers'!R288,3)</x:f>
        <x:v>-390.02</x:v>
      </x:c>
      <x:c r="AP288" s="64" t="n">
        <x:f>-ROUND(AK288*'Drivers'!S288,3)</x:f>
        <x:v>-11.203</x:v>
      </x:c>
      <x:c r="AQ288" s="64" t="n">
        <x:f>-ROUND(AK288*'Drivers'!T288,3)</x:f>
        <x:v>-3.332</x:v>
      </x:c>
      <x:c r="AR288" s="64" t="n">
        <x:f>-ROUND(AK288*'Drivers'!U288,3)</x:f>
        <x:v>-7.297</x:v>
      </x:c>
      <x:c r="AS288" s="64" t="n">
        <x:f>-ROUND(AK288*'Drivers'!V288,3)</x:f>
        <x:v>-27.078</x:v>
      </x:c>
      <x:c r="AT288" s="64" t="n">
        <x:f>SUM(AO288:AS288)</x:f>
        <x:v>-438.92999999999995</x:v>
      </x:c>
      <x:c r="AU288" s="65" t="n">
        <x:f>AT288/AK288</x:f>
        <x:v>-0.6011496252145104</x:v>
      </x:c>
      <x:c r="AV288" s="64" t="n">
        <x:f>AK288+AT288</x:f>
        <x:v>291.221</x:v>
      </x:c>
      <x:c r="AW288" s="65" t="n">
        <x:f>AV288/AK288</x:f>
        <x:v>0.3988503747854896</x:v>
      </x:c>
      <x:c r="AX288" s="64" t="n">
        <x:f>-ROUND(AK288*'Drivers'!W288,3)</x:f>
        <x:v>-8.238</x:v>
      </x:c>
      <x:c r="AY288" s="64" t="n">
        <x:f>-ROUND(AK288*'Drivers'!X288,3)</x:f>
        <x:v>-24.185</x:v>
      </x:c>
      <x:c r="AZ288" s="64" t="n">
        <x:f>-ROUND(AK288*'Drivers'!Y288,3)</x:f>
        <x:v>-18.124</x:v>
      </x:c>
      <x:c r="BA288" s="64" t="n">
        <x:f>-ROUND(AK288*'Drivers'!Z288,3)</x:f>
        <x:v>-6.281</x:v>
      </x:c>
      <x:c r="BB288" s="64" t="n">
        <x:f>-ROUND(AK288*'Drivers'!AA288,3)</x:f>
        <x:v>-5.179</x:v>
      </x:c>
      <x:c r="BC288" s="64" t="n">
        <x:f>SUM(BA288,BB288)</x:f>
        <x:v>-11.46</x:v>
      </x:c>
      <x:c r="BD288" s="64" t="n">
        <x:f>-ROUND(AK288*'Drivers'!AB288,3)</x:f>
        <x:v>-4.271</x:v>
      </x:c>
      <x:c r="BE288" s="64" t="n">
        <x:f>SUM(AX288:BB288,BD288)</x:f>
        <x:v>-66.27799999999999</x:v>
      </x:c>
      <x:c r="BF288" s="67" t="n">
        <x:f>'Drivers'!AF288</x:f>
        <x:v>11</x:v>
      </x:c>
      <x:c r="BG288" s="64" t="n">
        <x:f>BJ288</x:f>
        <x:v>-24.242</x:v>
      </x:c>
      <x:c r="BH288" s="64" t="n">
        <x:f>BE288/BF288</x:f>
        <x:v>-6.025272727272727</x:v>
      </x:c>
      <x:c r="BI288" s="68" t="n">
        <x:f>BF288/L288</x:f>
        <x:v>2.2</x:v>
      </x:c>
      <x:c r="BJ288" s="64" t="n">
        <x:f>-ROUND(AK288*'Drivers'!AC288,3)</x:f>
        <x:v>-24.242</x:v>
      </x:c>
      <x:c r="BK288" s="64" t="n">
        <x:f>-ROUND(AK288*'Drivers'!AD288,3)</x:f>
        <x:v>-87.328</x:v>
      </x:c>
      <x:c r="BL288" s="64" t="n">
        <x:f>SUM(AV288,BE288,BJ288,BK288)</x:f>
        <x:v>113.37300000000002</x:v>
      </x:c>
      <x:c r="BM288" s="65" t="n">
        <x:f>BL288/AK288</x:f>
        <x:v>0.15527336126362906</x:v>
      </x:c>
      <x:c r="BN288" s="64" t="n">
        <x:f>-ROUND(AK288*'Drivers'!AE288,3)</x:f>
        <x:v>-102.199</x:v>
      </x:c>
      <x:c r="BO288" s="64" t="n">
        <x:f>BL288+BN288</x:f>
        <x:v>11.17400000000002</x:v>
      </x:c>
      <x:c r="BP288" s="65" t="n">
        <x:f>BO288/AK288</x:f>
        <x:v>0.015303683758565039</x:v>
      </x:c>
    </x:row>
    <x:row r="289">
      <x:c r="A289" s="61" t="n">
        <x:v>2026</x:v>
      </x:c>
      <x:c r="B289" s="18" t="str">
        <x:v>S2</x:v>
      </x:c>
      <x:c r="C289" s="18" t="str">
        <x:v>2026 S2</x:v>
      </x:c>
      <x:c r="D289" s="18" t="str">
        <x:v>CNCT0072</x:v>
      </x:c>
      <x:c r="E289" s="18" t="str">
        <x:v>南京水游城</x:v>
      </x:c>
      <x:c r="F289" s="18" t="str">
        <x:v>南京</x:v>
      </x:c>
      <x:c r="G289" s="18" t="str">
        <x:v>江苏省</x:v>
      </x:c>
      <x:c r="H289" s="18" t="str">
        <x:v>东区</x:v>
      </x:c>
      <x:c r="I289" s="18" t="str">
        <x:v>Shopping Mall</x:v>
      </x:c>
      <x:c r="J289" s="18" t="str">
        <x:v>Regional Mall</x:v>
      </x:c>
      <x:c r="K289" s="18" t="str">
        <x:v>正常</x:v>
      </x:c>
      <x:c r="L289" s="62" t="n">
        <x:v>5</x:v>
      </x:c>
      <x:c r="M289" s="62" t="n">
        <x:v>46</x:v>
      </x:c>
      <x:c r="N289" s="63" t="n">
        <x:f>'Drivers'!C289</x:f>
        <x:v>1461</x:v>
      </x:c>
      <x:c r="O289" s="63" t="n">
        <x:f>'Drivers'!D289</x:f>
        <x:v>926.268</x:v>
      </x:c>
      <x:c r="P289" s="64" t="n">
        <x:f>ROUND(N289*O289/1000,3)</x:f>
        <x:v>1353.278</x:v>
      </x:c>
      <x:c r="Q289" s="64" t="n">
        <x:f>ROUND(P289*'Drivers'!E289,3)</x:f>
        <x:v>1308.414</x:v>
      </x:c>
      <x:c r="R289" s="64" t="n">
        <x:f>-ROUND(Q289*'Drivers'!F289,3)</x:f>
        <x:v>-280.596</x:v>
      </x:c>
      <x:c r="S289" s="65" t="n">
        <x:f>R289/Q289</x:f>
        <x:v>-0.21445505780280555</x:v>
      </x:c>
      <x:c r="T289" s="64" t="n">
        <x:f>-ROUND(Q289*'Drivers'!G289,3)</x:f>
        <x:v>-25.731</x:v>
      </x:c>
      <x:c r="U289" s="65" t="n">
        <x:f>T289/Q289</x:f>
        <x:v>-0.0196657938542388</x:v>
      </x:c>
      <x:c r="V289" s="64" t="n">
        <x:f>-ROUND(Q289*'Drivers'!H289,3)</x:f>
        <x:v>-10.307</x:v>
      </x:c>
      <x:c r="W289" s="64" t="n">
        <x:f>-ROUND(Q289*'Drivers'!I289,3)</x:f>
        <x:v>-12.161</x:v>
      </x:c>
      <x:c r="X289" s="64" t="n">
        <x:f>-ROUND(Q289*'Drivers'!J289,3)</x:f>
        <x:v>-20.178</x:v>
      </x:c>
      <x:c r="Y289" s="64" t="n">
        <x:f>-ROUND(Q289*'Drivers'!K289,3)</x:f>
        <x:v>-15.234</x:v>
      </x:c>
      <x:c r="Z289" s="64" t="n">
        <x:f>-ROUND(Q289*'Drivers'!L289,3)</x:f>
        <x:v>-15.82</x:v>
      </x:c>
      <x:c r="AA289" s="64" t="n">
        <x:f>-ROUND(Q289*'Drivers'!M289,3)</x:f>
        <x:v>-10.703</x:v>
      </x:c>
      <x:c r="AB289" s="64" t="n">
        <x:f>-ROUND(Q289*'Drivers'!N289,3)</x:f>
        <x:v>-9.857</x:v>
      </x:c>
      <x:c r="AC289" s="64" t="n">
        <x:f>SUM(V289:AB289)</x:f>
        <x:v>-94.26</x:v>
      </x:c>
      <x:c r="AD289" s="65" t="n">
        <x:f>AC289/Q289</x:f>
        <x:v>-0.07204141808326722</x:v>
      </x:c>
      <x:c r="AE289" s="64" t="n">
        <x:f>-ROUND(Q289*'Drivers'!O289,3)</x:f>
        <x:v>-15.834</x:v>
      </x:c>
      <x:c r="AF289" s="65" t="n">
        <x:f>AE289/Q289</x:f>
        <x:v>-0.012101674240721973</x:v>
      </x:c>
      <x:c r="AG289" s="64" t="n">
        <x:f>-ROUND(Q289*'Drivers'!P289,3)</x:f>
        <x:v>-3.477</x:v>
      </x:c>
      <x:c r="AH289" s="64" t="n">
        <x:f>-ROUND(Q289*'Drivers'!Q289,3)</x:f>
        <x:v>-9.132</x:v>
      </x:c>
      <x:c r="AI289" s="64" t="n">
        <x:f>SUM(R289,T289,AC289,AE289,AG289,AH289)</x:f>
        <x:v>-429.03</x:v>
      </x:c>
      <x:c r="AJ289" s="65" t="n">
        <x:f>AI289/Q289</x:f>
        <x:v>-0.32790080203972133</x:v>
      </x:c>
      <x:c r="AK289" s="64" t="n">
        <x:f>Q289+AI289</x:f>
        <x:v>879.384</x:v>
      </x:c>
      <x:c r="AL289" s="65" t="n">
        <x:f>AK289/Q289</x:f>
        <x:v>0.6720991979602786</x:v>
      </x:c>
      <x:c r="AM289" s="64" t="n">
        <x:f>AK289/L289</x:f>
        <x:v>175.8768</x:v>
      </x:c>
      <x:c r="AN289" s="66" t="str">
        <x:f>IF(AM289&lt;=200,"≤200K",IF(AM289&lt;=350,"200–350K",IF(AM289&lt;=500,"350–500K",IF(AM289&lt;=700,"500–700K","&gt;700K"))))</x:f>
        <x:v>≤200K</x:v>
      </x:c>
      <x:c r="AO289" s="64" t="n">
        <x:f>-ROUND(Q289*'Drivers'!R289,3)</x:f>
        <x:v>-464.533</x:v>
      </x:c>
      <x:c r="AP289" s="64" t="n">
        <x:f>-ROUND(AK289*'Drivers'!S289,3)</x:f>
        <x:v>-13.493</x:v>
      </x:c>
      <x:c r="AQ289" s="64" t="n">
        <x:f>-ROUND(AK289*'Drivers'!T289,3)</x:f>
        <x:v>-4.014</x:v>
      </x:c>
      <x:c r="AR289" s="64" t="n">
        <x:f>-ROUND(AK289*'Drivers'!U289,3)</x:f>
        <x:v>-8.789</x:v>
      </x:c>
      <x:c r="AS289" s="64" t="n">
        <x:f>-ROUND(AK289*'Drivers'!V289,3)</x:f>
        <x:v>-32.612</x:v>
      </x:c>
      <x:c r="AT289" s="64" t="n">
        <x:f>SUM(AO289:AS289)</x:f>
        <x:v>-523.441</x:v>
      </x:c>
      <x:c r="AU289" s="65" t="n">
        <x:f>AT289/AK289</x:f>
        <x:v>-0.5952359833701774</x:v>
      </x:c>
      <x:c r="AV289" s="64" t="n">
        <x:f>AK289+AT289</x:f>
        <x:v>355.943</x:v>
      </x:c>
      <x:c r="AW289" s="65" t="n">
        <x:f>AV289/AK289</x:f>
        <x:v>0.40476401662982264</x:v>
      </x:c>
      <x:c r="AX289" s="64" t="n">
        <x:f>-ROUND(AK289*'Drivers'!W289,3)</x:f>
        <x:v>-8.547</x:v>
      </x:c>
      <x:c r="AY289" s="64" t="n">
        <x:f>-ROUND(AK289*'Drivers'!X289,3)</x:f>
        <x:v>-25.093</x:v>
      </x:c>
      <x:c r="AZ289" s="64" t="n">
        <x:f>-ROUND(AK289*'Drivers'!Y289,3)</x:f>
        <x:v>-18.805</x:v>
      </x:c>
      <x:c r="BA289" s="64" t="n">
        <x:f>-ROUND(AK289*'Drivers'!Z289,3)</x:f>
        <x:v>-6.516</x:v>
      </x:c>
      <x:c r="BB289" s="64" t="n">
        <x:f>-ROUND(AK289*'Drivers'!AA289,3)</x:f>
        <x:v>-5.373</x:v>
      </x:c>
      <x:c r="BC289" s="64" t="n">
        <x:f>SUM(BA289,BB289)</x:f>
        <x:v>-11.889</x:v>
      </x:c>
      <x:c r="BD289" s="64" t="n">
        <x:f>-ROUND(AK289*'Drivers'!AB289,3)</x:f>
        <x:v>-4.432</x:v>
      </x:c>
      <x:c r="BE289" s="64" t="n">
        <x:f>SUM(AX289:BB289,BD289)</x:f>
        <x:v>-68.766</x:v>
      </x:c>
      <x:c r="BF289" s="67" t="n">
        <x:f>'Drivers'!AF289</x:f>
        <x:v>11</x:v>
      </x:c>
      <x:c r="BG289" s="64" t="n">
        <x:f>BJ289</x:f>
        <x:v>-25.152</x:v>
      </x:c>
      <x:c r="BH289" s="64" t="n">
        <x:f>BE289/BF289</x:f>
        <x:v>-6.251454545454546</x:v>
      </x:c>
      <x:c r="BI289" s="68" t="n">
        <x:f>BF289/L289</x:f>
        <x:v>2.2</x:v>
      </x:c>
      <x:c r="BJ289" s="64" t="n">
        <x:f>-ROUND(AK289*'Drivers'!AC289,3)</x:f>
        <x:v>-25.152</x:v>
      </x:c>
      <x:c r="BK289" s="64" t="n">
        <x:f>-ROUND(AK289*'Drivers'!AD289,3)</x:f>
        <x:v>-103.265</x:v>
      </x:c>
      <x:c r="BL289" s="64" t="n">
        <x:f>SUM(AV289,BE289,BJ289,BK289)</x:f>
        <x:v>158.76</x:v>
      </x:c>
      <x:c r="BM289" s="65" t="n">
        <x:f>BL289/AK289</x:f>
        <x:v>0.18053546573510548</x:v>
      </x:c>
      <x:c r="BN289" s="64" t="n">
        <x:f>-ROUND(AK289*'Drivers'!AE289,3)</x:f>
        <x:v>-134.192</x:v>
      </x:c>
      <x:c r="BO289" s="64" t="n">
        <x:f>BL289+BN289</x:f>
        <x:v>24.567999999999984</x:v>
      </x:c>
      <x:c r="BP289" s="65" t="n">
        <x:f>BO289/AK289</x:f>
        <x:v>0.02793773823494626</x:v>
      </x:c>
    </x:row>
    <x:row r="290">
      <x:c r="A290" s="61" t="n">
        <x:v>2025</x:v>
      </x:c>
      <x:c r="B290" s="18" t="str">
        <x:v>S1</x:v>
      </x:c>
      <x:c r="C290" s="18" t="str">
        <x:v>2025 S1</x:v>
      </x:c>
      <x:c r="D290" s="18" t="str">
        <x:v>CNCT0073</x:v>
      </x:c>
      <x:c r="E290" s="18" t="str">
        <x:v>杭州大厦</x:v>
      </x:c>
      <x:c r="F290" s="18" t="str">
        <x:v>杭州</x:v>
      </x:c>
      <x:c r="G290" s="18" t="str">
        <x:v>浙江省</x:v>
      </x:c>
      <x:c r="H290" s="18" t="str">
        <x:v>东区</x:v>
      </x:c>
      <x:c r="I290" s="18" t="str">
        <x:v>Department Store</x:v>
      </x:c>
      <x:c r="J290" s="18" t="str">
        <x:v>Core Shopping Center</x:v>
      </x:c>
      <x:c r="K290" s="18" t="str">
        <x:v>正常</x:v>
      </x:c>
      <x:c r="L290" s="62" t="n">
        <x:v>5</x:v>
      </x:c>
      <x:c r="M290" s="62" t="n">
        <x:v>45</x:v>
      </x:c>
      <x:c r="N290" s="63" t="n">
        <x:f>'Drivers'!C290</x:f>
        <x:v>1919</x:v>
      </x:c>
      <x:c r="O290" s="63" t="n">
        <x:f>'Drivers'!D290</x:f>
        <x:v>1029.272</x:v>
      </x:c>
      <x:c r="P290" s="64" t="n">
        <x:f>ROUND(N290*O290/1000,3)</x:f>
        <x:v>1975.173</x:v>
      </x:c>
      <x:c r="Q290" s="64" t="n">
        <x:f>ROUND(P290*'Drivers'!E290,3)</x:f>
        <x:v>1908.5</x:v>
      </x:c>
      <x:c r="R290" s="64" t="n">
        <x:f>-ROUND(Q290*'Drivers'!F290,3)</x:f>
        <x:v>-299.848</x:v>
      </x:c>
      <x:c r="S290" s="65" t="n">
        <x:f>R290/Q290</x:f>
        <x:v>-0.1571118679591302</x:v>
      </x:c>
      <x:c r="T290" s="64" t="n">
        <x:f>-ROUND(Q290*'Drivers'!G290,3)</x:f>
        <x:v>-39.663</x:v>
      </x:c>
      <x:c r="U290" s="65" t="n">
        <x:f>T290/Q290</x:f>
        <x:v>-0.020782289756353156</x:v>
      </x:c>
      <x:c r="V290" s="64" t="n">
        <x:f>-ROUND(Q290*'Drivers'!H290,3)</x:f>
        <x:v>-22.798</x:v>
      </x:c>
      <x:c r="W290" s="64" t="n">
        <x:f>-ROUND(Q290*'Drivers'!I290,3)</x:f>
        <x:v>-14.159</x:v>
      </x:c>
      <x:c r="X290" s="64" t="n">
        <x:f>-ROUND(Q290*'Drivers'!J290,3)</x:f>
        <x:v>-30.7</x:v>
      </x:c>
      <x:c r="Y290" s="64" t="n">
        <x:f>-ROUND(Q290*'Drivers'!K290,3)</x:f>
        <x:v>-16.448</x:v>
      </x:c>
      <x:c r="Z290" s="64" t="n">
        <x:f>-ROUND(Q290*'Drivers'!L290,3)</x:f>
        <x:v>-16.104</x:v>
      </x:c>
      <x:c r="AA290" s="64" t="n">
        <x:f>-ROUND(Q290*'Drivers'!M290,3)</x:f>
        <x:v>-13.689</x:v>
      </x:c>
      <x:c r="AB290" s="64" t="n">
        <x:f>-ROUND(Q290*'Drivers'!N290,3)</x:f>
        <x:v>-11.889</x:v>
      </x:c>
      <x:c r="AC290" s="64" t="n">
        <x:f>SUM(V290:AB290)</x:f>
        <x:v>-125.78699999999999</x:v>
      </x:c>
      <x:c r="AD290" s="65" t="n">
        <x:f>AC290/Q290</x:f>
        <x:v>-0.06590882892323814</x:v>
      </x:c>
      <x:c r="AE290" s="64" t="n">
        <x:f>-ROUND(Q290*'Drivers'!O290,3)</x:f>
        <x:v>-14.762</x:v>
      </x:c>
      <x:c r="AF290" s="65" t="n">
        <x:f>AE290/Q290</x:f>
        <x:v>-0.007734870317002882</x:v>
      </x:c>
      <x:c r="AG290" s="64" t="n">
        <x:f>-ROUND(Q290*'Drivers'!P290,3)</x:f>
        <x:v>-0.188</x:v>
      </x:c>
      <x:c r="AH290" s="64" t="n">
        <x:f>-ROUND(Q290*'Drivers'!Q290,3)</x:f>
        <x:v>-13.089</x:v>
      </x:c>
      <x:c r="AI290" s="64" t="n">
        <x:f>SUM(R290,T290,AC290,AE290,AG290,AH290)</x:f>
        <x:v>-493.337</x:v>
      </x:c>
      <x:c r="AJ290" s="65" t="n">
        <x:f>AI290/Q290</x:f>
        <x:v>-0.2584946292900183</x:v>
      </x:c>
      <x:c r="AK290" s="64" t="n">
        <x:f>Q290+AI290</x:f>
        <x:v>1415.163</x:v>
      </x:c>
      <x:c r="AL290" s="65" t="n">
        <x:f>AK290/Q290</x:f>
        <x:v>0.7415053707099817</x:v>
      </x:c>
      <x:c r="AM290" s="64" t="n">
        <x:f>AK290/L290</x:f>
        <x:v>283.0326</x:v>
      </x:c>
      <x:c r="AN290" s="66" t="str">
        <x:f>IF(AM290&lt;=200,"≤200K",IF(AM290&lt;=350,"200–350K",IF(AM290&lt;=500,"350–500K",IF(AM290&lt;=700,"500–700K","&gt;700K"))))</x:f>
        <x:v>200–350K</x:v>
      </x:c>
      <x:c r="AO290" s="64" t="n">
        <x:f>-ROUND(Q290*'Drivers'!R290,3)</x:f>
        <x:v>-730.899</x:v>
      </x:c>
      <x:c r="AP290" s="64" t="n">
        <x:f>-ROUND(AK290*'Drivers'!S290,3)</x:f>
        <x:v>-19.848</x:v>
      </x:c>
      <x:c r="AQ290" s="64" t="n">
        <x:f>-ROUND(AK290*'Drivers'!T290,3)</x:f>
        <x:v>-6.702</x:v>
      </x:c>
      <x:c r="AR290" s="64" t="n">
        <x:f>-ROUND(AK290*'Drivers'!U290,3)</x:f>
        <x:v>-14.024</x:v>
      </x:c>
      <x:c r="AS290" s="64" t="n">
        <x:f>-ROUND(AK290*'Drivers'!V290,3)</x:f>
        <x:v>-40.635</x:v>
      </x:c>
      <x:c r="AT290" s="64" t="n">
        <x:f>SUM(AO290:AS290)</x:f>
        <x:v>-812.108</x:v>
      </x:c>
      <x:c r="AU290" s="65" t="n">
        <x:f>AT290/AK290</x:f>
        <x:v>-0.5738618095583335</x:v>
      </x:c>
      <x:c r="AV290" s="64" t="n">
        <x:f>AK290+AT290</x:f>
        <x:v>603.0550000000001</x:v>
      </x:c>
      <x:c r="AW290" s="65" t="n">
        <x:f>AV290/AK290</x:f>
        <x:v>0.42613819044166645</x:v>
      </x:c>
      <x:c r="AX290" s="64" t="n">
        <x:f>-ROUND(AK290*'Drivers'!W290,3)</x:f>
        <x:v>-12.771</x:v>
      </x:c>
      <x:c r="AY290" s="64" t="n">
        <x:f>-ROUND(AK290*'Drivers'!X290,3)</x:f>
        <x:v>-37.074</x:v>
      </x:c>
      <x:c r="AZ290" s="64" t="n">
        <x:f>-ROUND(AK290*'Drivers'!Y290,3)</x:f>
        <x:v>-22.17</x:v>
      </x:c>
      <x:c r="BA290" s="64" t="n">
        <x:f>-ROUND(AK290*'Drivers'!Z290,3)</x:f>
        <x:v>-8.127</x:v>
      </x:c>
      <x:c r="BB290" s="64" t="n">
        <x:f>-ROUND(AK290*'Drivers'!AA290,3)</x:f>
        <x:v>-8.539</x:v>
      </x:c>
      <x:c r="BC290" s="64" t="n">
        <x:f>SUM(BA290,BB290)</x:f>
        <x:v>-16.666</x:v>
      </x:c>
      <x:c r="BD290" s="64" t="n">
        <x:f>-ROUND(AK290*'Drivers'!AB290,3)</x:f>
        <x:v>-8.059</x:v>
      </x:c>
      <x:c r="BE290" s="64" t="n">
        <x:f>SUM(AX290:BB290,BD290)</x:f>
        <x:v>-96.74</x:v>
      </x:c>
      <x:c r="BF290" s="67" t="n">
        <x:f>'Drivers'!AF290</x:f>
        <x:v>9</x:v>
      </x:c>
      <x:c r="BG290" s="64" t="n">
        <x:f>BJ290</x:f>
        <x:v>-32.467</x:v>
      </x:c>
      <x:c r="BH290" s="64" t="n">
        <x:f>BE290/BF290</x:f>
        <x:v>-10.748888888888889</x:v>
      </x:c>
      <x:c r="BI290" s="68" t="n">
        <x:f>BF290/L290</x:f>
        <x:v>1.8</x:v>
      </x:c>
      <x:c r="BJ290" s="64" t="n">
        <x:f>-ROUND(AK290*'Drivers'!AC290,3)</x:f>
        <x:v>-32.467</x:v>
      </x:c>
      <x:c r="BK290" s="64" t="n">
        <x:f>-ROUND(AK290*'Drivers'!AD290,3)</x:f>
        <x:v>-127.483</x:v>
      </x:c>
      <x:c r="BL290" s="64" t="n">
        <x:f>SUM(AV290,BE290,BJ290,BK290)</x:f>
        <x:v>346.36500000000007</x:v>
      </x:c>
      <x:c r="BM290" s="65" t="n">
        <x:f>BL290/AK290</x:f>
        <x:v>0.24475272459780256</x:v>
      </x:c>
      <x:c r="BN290" s="64" t="n">
        <x:f>-ROUND(AK290*'Drivers'!AE290,3)</x:f>
        <x:v>-101.444</x:v>
      </x:c>
      <x:c r="BO290" s="64" t="n">
        <x:f>BL290+BN290</x:f>
        <x:v>244.92100000000005</x:v>
      </x:c>
      <x:c r="BP290" s="65" t="n">
        <x:f>BO290/AK290</x:f>
        <x:v>0.17306910935348088</x:v>
      </x:c>
    </x:row>
    <x:row r="291">
      <x:c r="A291" s="61" t="n">
        <x:v>2025</x:v>
      </x:c>
      <x:c r="B291" s="18" t="str">
        <x:v>S2</x:v>
      </x:c>
      <x:c r="C291" s="18" t="str">
        <x:v>2025 S2</x:v>
      </x:c>
      <x:c r="D291" s="18" t="str">
        <x:v>CNCT0073</x:v>
      </x:c>
      <x:c r="E291" s="18" t="str">
        <x:v>杭州大厦</x:v>
      </x:c>
      <x:c r="F291" s="18" t="str">
        <x:v>杭州</x:v>
      </x:c>
      <x:c r="G291" s="18" t="str">
        <x:v>浙江省</x:v>
      </x:c>
      <x:c r="H291" s="18" t="str">
        <x:v>东区</x:v>
      </x:c>
      <x:c r="I291" s="18" t="str">
        <x:v>Department Store</x:v>
      </x:c>
      <x:c r="J291" s="18" t="str">
        <x:v>Core Shopping Center</x:v>
      </x:c>
      <x:c r="K291" s="18" t="str">
        <x:v>正常</x:v>
      </x:c>
      <x:c r="L291" s="62" t="n">
        <x:v>5</x:v>
      </x:c>
      <x:c r="M291" s="62" t="n">
        <x:v>45</x:v>
      </x:c>
      <x:c r="N291" s="63" t="n">
        <x:f>'Drivers'!C291</x:f>
        <x:v>2091</x:v>
      </x:c>
      <x:c r="O291" s="63" t="n">
        <x:f>'Drivers'!D291</x:f>
        <x:v>1041.623</x:v>
      </x:c>
      <x:c r="P291" s="64" t="n">
        <x:f>ROUND(N291*O291/1000,3)</x:f>
        <x:v>2178.034</x:v>
      </x:c>
      <x:c r="Q291" s="64" t="n">
        <x:f>ROUND(P291*'Drivers'!E291,3)</x:f>
        <x:v>2118.747</x:v>
      </x:c>
      <x:c r="R291" s="64" t="n">
        <x:f>-ROUND(Q291*'Drivers'!F291,3)</x:f>
        <x:v>-332.881</x:v>
      </x:c>
      <x:c r="S291" s="65" t="n">
        <x:f>R291/Q291</x:f>
        <x:v>-0.15711219886093053</x:v>
      </x:c>
      <x:c r="T291" s="64" t="n">
        <x:f>-ROUND(Q291*'Drivers'!G291,3)</x:f>
        <x:v>-44.032</x:v>
      </x:c>
      <x:c r="U291" s="65" t="n">
        <x:f>T291/Q291</x:f>
        <x:v>-0.020782094322729424</x:v>
      </x:c>
      <x:c r="V291" s="64" t="n">
        <x:f>-ROUND(Q291*'Drivers'!H291,3)</x:f>
        <x:v>-25.31</x:v>
      </x:c>
      <x:c r="W291" s="64" t="n">
        <x:f>-ROUND(Q291*'Drivers'!I291,3)</x:f>
        <x:v>-15.719</x:v>
      </x:c>
      <x:c r="X291" s="64" t="n">
        <x:f>-ROUND(Q291*'Drivers'!J291,3)</x:f>
        <x:v>-34.082</x:v>
      </x:c>
      <x:c r="Y291" s="64" t="n">
        <x:f>-ROUND(Q291*'Drivers'!K291,3)</x:f>
        <x:v>-18.26</x:v>
      </x:c>
      <x:c r="Z291" s="64" t="n">
        <x:f>-ROUND(Q291*'Drivers'!L291,3)</x:f>
        <x:v>-17.878</x:v>
      </x:c>
      <x:c r="AA291" s="64" t="n">
        <x:f>-ROUND(Q291*'Drivers'!M291,3)</x:f>
        <x:v>-15.197</x:v>
      </x:c>
      <x:c r="AB291" s="64" t="n">
        <x:f>-ROUND(Q291*'Drivers'!N291,3)</x:f>
        <x:v>-13.199</x:v>
      </x:c>
      <x:c r="AC291" s="64" t="n">
        <x:f>SUM(V291:AB291)</x:f>
        <x:v>-139.645</x:v>
      </x:c>
      <x:c r="AD291" s="65" t="n">
        <x:f>AC291/Q291</x:f>
        <x:v>-0.06590923786558754</x:v>
      </x:c>
      <x:c r="AE291" s="64" t="n">
        <x:f>-ROUND(Q291*'Drivers'!O291,3)</x:f>
        <x:v>-16.388</x:v>
      </x:c>
      <x:c r="AF291" s="65" t="n">
        <x:f>AE291/Q291</x:f>
        <x:v>-0.0077347602144097445</x:v>
      </x:c>
      <x:c r="AG291" s="64" t="n">
        <x:f>-ROUND(Q291*'Drivers'!P291,3)</x:f>
        <x:v>-0.209</x:v>
      </x:c>
      <x:c r="AH291" s="64" t="n">
        <x:f>-ROUND(Q291*'Drivers'!Q291,3)</x:f>
        <x:v>-14.531</x:v>
      </x:c>
      <x:c r="AI291" s="64" t="n">
        <x:f>SUM(R291,T291,AC291,AE291,AG291,AH291)</x:f>
        <x:v>-547.6859999999999</x:v>
      </x:c>
      <x:c r="AJ291" s="65" t="n">
        <x:f>AI291/Q291</x:f>
        <x:v>-0.2584952332675869</x:v>
      </x:c>
      <x:c r="AK291" s="64" t="n">
        <x:f>Q291+AI291</x:f>
        <x:v>1571.061</x:v>
      </x:c>
      <x:c r="AL291" s="65" t="n">
        <x:f>AK291/Q291</x:f>
        <x:v>0.7415047667324131</x:v>
      </x:c>
      <x:c r="AM291" s="64" t="n">
        <x:f>AK291/L291</x:f>
        <x:v>314.2122</x:v>
      </x:c>
      <x:c r="AN291" s="66" t="str">
        <x:f>IF(AM291&lt;=200,"≤200K",IF(AM291&lt;=350,"200–350K",IF(AM291&lt;=500,"350–500K",IF(AM291&lt;=700,"500–700K","&gt;700K"))))</x:f>
        <x:v>200–350K</x:v>
      </x:c>
      <x:c r="AO291" s="64" t="n">
        <x:f>-ROUND(Q291*'Drivers'!R291,3)</x:f>
        <x:v>-787.673</x:v>
      </x:c>
      <x:c r="AP291" s="64" t="n">
        <x:f>-ROUND(AK291*'Drivers'!S291,3)</x:f>
        <x:v>-22.035</x:v>
      </x:c>
      <x:c r="AQ291" s="64" t="n">
        <x:f>-ROUND(AK291*'Drivers'!T291,3)</x:f>
        <x:v>-7.44</x:v>
      </x:c>
      <x:c r="AR291" s="64" t="n">
        <x:f>-ROUND(AK291*'Drivers'!U291,3)</x:f>
        <x:v>-15.569</x:v>
      </x:c>
      <x:c r="AS291" s="64" t="n">
        <x:f>-ROUND(AK291*'Drivers'!V291,3)</x:f>
        <x:v>-45.111</x:v>
      </x:c>
      <x:c r="AT291" s="64" t="n">
        <x:f>SUM(AO291:AS291)</x:f>
        <x:v>-877.828</x:v>
      </x:c>
      <x:c r="AU291" s="65" t="n">
        <x:f>AT291/AK291</x:f>
        <x:v>-0.5587485145389008</x:v>
      </x:c>
      <x:c r="AV291" s="64" t="n">
        <x:f>AK291+AT291</x:f>
        <x:v>693.233</x:v>
      </x:c>
      <x:c r="AW291" s="65" t="n">
        <x:f>AV291/AK291</x:f>
        <x:v>0.4412514854610992</x:v>
      </x:c>
      <x:c r="AX291" s="64" t="n">
        <x:f>-ROUND(AK291*'Drivers'!W291,3)</x:f>
        <x:v>-14.178</x:v>
      </x:c>
      <x:c r="AY291" s="64" t="n">
        <x:f>-ROUND(AK291*'Drivers'!X291,3)</x:f>
        <x:v>-41.158</x:v>
      </x:c>
      <x:c r="AZ291" s="64" t="n">
        <x:f>-ROUND(AK291*'Drivers'!Y291,3)</x:f>
        <x:v>-24.612</x:v>
      </x:c>
      <x:c r="BA291" s="64" t="n">
        <x:f>-ROUND(AK291*'Drivers'!Z291,3)</x:f>
        <x:v>-9.023</x:v>
      </x:c>
      <x:c r="BB291" s="64" t="n">
        <x:f>-ROUND(AK291*'Drivers'!AA291,3)</x:f>
        <x:v>-9.479</x:v>
      </x:c>
      <x:c r="BC291" s="64" t="n">
        <x:f>SUM(BA291,BB291)</x:f>
        <x:v>-18.502</x:v>
      </x:c>
      <x:c r="BD291" s="64" t="n">
        <x:f>-ROUND(AK291*'Drivers'!AB291,3)</x:f>
        <x:v>-8.947</x:v>
      </x:c>
      <x:c r="BE291" s="64" t="n">
        <x:f>SUM(AX291:BB291,BD291)</x:f>
        <x:v>-107.39699999999999</x:v>
      </x:c>
      <x:c r="BF291" s="67" t="n">
        <x:f>'Drivers'!AF291</x:f>
        <x:v>9</x:v>
      </x:c>
      <x:c r="BG291" s="64" t="n">
        <x:f>BJ291</x:f>
        <x:v>-36.044</x:v>
      </x:c>
      <x:c r="BH291" s="64" t="n">
        <x:f>BE291/BF291</x:f>
        <x:v>-11.933</x:v>
      </x:c>
      <x:c r="BI291" s="68" t="n">
        <x:f>BF291/L291</x:f>
        <x:v>1.8</x:v>
      </x:c>
      <x:c r="BJ291" s="64" t="n">
        <x:f>-ROUND(AK291*'Drivers'!AC291,3)</x:f>
        <x:v>-36.044</x:v>
      </x:c>
      <x:c r="BK291" s="64" t="n">
        <x:f>-ROUND(AK291*'Drivers'!AD291,3)</x:f>
        <x:v>-141.527</x:v>
      </x:c>
      <x:c r="BL291" s="64" t="n">
        <x:f>SUM(AV291,BE291,BJ291,BK291)</x:f>
        <x:v>408.26500000000004</x:v>
      </x:c>
      <x:c r="BM291" s="65" t="n">
        <x:f>BL291/AK291</x:f>
        <x:v>0.2598657849695206</x:v>
      </x:c>
      <x:c r="BN291" s="64" t="n">
        <x:f>-ROUND(AK291*'Drivers'!AE291,3)</x:f>
        <x:v>-125.474</x:v>
      </x:c>
      <x:c r="BO291" s="64" t="n">
        <x:f>BL291+BN291</x:f>
        <x:v>282.79100000000005</x:v>
      </x:c>
      <x:c r="BP291" s="65" t="n">
        <x:f>BO291/AK291</x:f>
        <x:v>0.18000001273025049</x:v>
      </x:c>
    </x:row>
    <x:row r="292">
      <x:c r="A292" s="61" t="n">
        <x:v>2026</x:v>
      </x:c>
      <x:c r="B292" s="18" t="str">
        <x:v>S1</x:v>
      </x:c>
      <x:c r="C292" s="18" t="str">
        <x:v>2026 S1</x:v>
      </x:c>
      <x:c r="D292" s="18" t="str">
        <x:v>CNCT0073</x:v>
      </x:c>
      <x:c r="E292" s="18" t="str">
        <x:v>杭州大厦</x:v>
      </x:c>
      <x:c r="F292" s="18" t="str">
        <x:v>杭州</x:v>
      </x:c>
      <x:c r="G292" s="18" t="str">
        <x:v>浙江省</x:v>
      </x:c>
      <x:c r="H292" s="18" t="str">
        <x:v>东区</x:v>
      </x:c>
      <x:c r="I292" s="18" t="str">
        <x:v>Department Store</x:v>
      </x:c>
      <x:c r="J292" s="18" t="str">
        <x:v>Core Shopping Center</x:v>
      </x:c>
      <x:c r="K292" s="18" t="str">
        <x:v>正常</x:v>
      </x:c>
      <x:c r="L292" s="62" t="n">
        <x:v>5</x:v>
      </x:c>
      <x:c r="M292" s="62" t="n">
        <x:v>47</x:v>
      </x:c>
      <x:c r="N292" s="63" t="n">
        <x:f>'Drivers'!C292</x:f>
        <x:v>2153</x:v>
      </x:c>
      <x:c r="O292" s="63" t="n">
        <x:f>'Drivers'!D292</x:f>
        <x:v>1074.341</x:v>
      </x:c>
      <x:c r="P292" s="64" t="n">
        <x:f>ROUND(N292*O292/1000,3)</x:f>
        <x:v>2313.056</x:v>
      </x:c>
      <x:c r="Q292" s="64" t="n">
        <x:f>ROUND(P292*'Drivers'!E292,3)</x:f>
        <x:v>2240.249</x:v>
      </x:c>
      <x:c r="R292" s="64" t="n">
        <x:f>-ROUND(Q292*'Drivers'!F292,3)</x:f>
        <x:v>-353.103</x:v>
      </x:c>
      <x:c r="S292" s="65" t="n">
        <x:f>R292/Q292</x:f>
        <x:v>-0.15761774695580716</x:v>
      </x:c>
      <x:c r="T292" s="64" t="n">
        <x:f>-ROUND(Q292*'Drivers'!G292,3)</x:f>
        <x:v>-46.034</x:v>
      </x:c>
      <x:c r="U292" s="65" t="n">
        <x:f>T292/Q292</x:f>
        <x:v>-0.020548608659126732</x:v>
      </x:c>
      <x:c r="V292" s="64" t="n">
        <x:f>-ROUND(Q292*'Drivers'!H292,3)</x:f>
        <x:v>-26.761</x:v>
      </x:c>
      <x:c r="W292" s="64" t="n">
        <x:f>-ROUND(Q292*'Drivers'!I292,3)</x:f>
        <x:v>-16.62</x:v>
      </x:c>
      <x:c r="X292" s="64" t="n">
        <x:f>-ROUND(Q292*'Drivers'!J292,3)</x:f>
        <x:v>-36.037</x:v>
      </x:c>
      <x:c r="Y292" s="64" t="n">
        <x:f>-ROUND(Q292*'Drivers'!K292,3)</x:f>
        <x:v>-19.307</x:v>
      </x:c>
      <x:c r="Z292" s="64" t="n">
        <x:f>-ROUND(Q292*'Drivers'!L292,3)</x:f>
        <x:v>-18.904</x:v>
      </x:c>
      <x:c r="AA292" s="64" t="n">
        <x:f>-ROUND(Q292*'Drivers'!M292,3)</x:f>
        <x:v>-16.068</x:v>
      </x:c>
      <x:c r="AB292" s="64" t="n">
        <x:f>-ROUND(Q292*'Drivers'!N292,3)</x:f>
        <x:v>-13.956</x:v>
      </x:c>
      <x:c r="AC292" s="64" t="n">
        <x:f>SUM(V292:AB292)</x:f>
        <x:v>-147.653</x:v>
      </x:c>
      <x:c r="AD292" s="65" t="n">
        <x:f>AC292/Q292</x:f>
        <x:v>-0.06590919134435502</x:v>
      </x:c>
      <x:c r="AE292" s="64" t="n">
        <x:f>-ROUND(Q292*'Drivers'!O292,3)</x:f>
        <x:v>-13.557</x:v>
      </x:c>
      <x:c r="AF292" s="65" t="n">
        <x:f>AE292/Q292</x:f>
        <x:v>-0.006051559447186452</x:v>
      </x:c>
      <x:c r="AG292" s="64" t="n">
        <x:f>-ROUND(Q292*'Drivers'!P292,3)</x:f>
        <x:v>-0.221</x:v>
      </x:c>
      <x:c r="AH292" s="64" t="n">
        <x:f>-ROUND(Q292*'Drivers'!Q292,3)</x:f>
        <x:v>-15.364</x:v>
      </x:c>
      <x:c r="AI292" s="64" t="n">
        <x:f>SUM(R292,T292,AC292,AE292,AG292,AH292)</x:f>
        <x:v>-575.932</x:v>
      </x:c>
      <x:c r="AJ292" s="65" t="n">
        <x:f>AI292/Q292</x:f>
        <x:v>-0.2570839223675583</x:v>
      </x:c>
      <x:c r="AK292" s="64" t="n">
        <x:f>Q292+AI292</x:f>
        <x:v>1664.3169999999998</x:v>
      </x:c>
      <x:c r="AL292" s="65" t="n">
        <x:f>AK292/Q292</x:f>
        <x:v>0.7429160776324417</x:v>
      </x:c>
      <x:c r="AM292" s="64" t="n">
        <x:f>AK292/L292</x:f>
        <x:v>332.86339999999996</x:v>
      </x:c>
      <x:c r="AN292" s="66" t="str">
        <x:f>IF(AM292&lt;=200,"≤200K",IF(AM292&lt;=350,"200–350K",IF(AM292&lt;=500,"350–500K",IF(AM292&lt;=700,"500–700K","&gt;700K"))))</x:f>
        <x:v>200–350K</x:v>
      </x:c>
      <x:c r="AO292" s="64" t="n">
        <x:f>-ROUND(Q292*'Drivers'!R292,3)</x:f>
        <x:v>-804.699</x:v>
      </x:c>
      <x:c r="AP292" s="64" t="n">
        <x:f>-ROUND(AK292*'Drivers'!S292,3)</x:f>
        <x:v>-23.342</x:v>
      </x:c>
      <x:c r="AQ292" s="64" t="n">
        <x:f>-ROUND(AK292*'Drivers'!T292,3)</x:f>
        <x:v>-7.881</x:v>
      </x:c>
      <x:c r="AR292" s="64" t="n">
        <x:f>-ROUND(AK292*'Drivers'!U292,3)</x:f>
        <x:v>-16.493</x:v>
      </x:c>
      <x:c r="AS292" s="64" t="n">
        <x:f>-ROUND(AK292*'Drivers'!V292,3)</x:f>
        <x:v>-47.789</x:v>
      </x:c>
      <x:c r="AT292" s="64" t="n">
        <x:f>SUM(AO292:AS292)</x:f>
        <x:v>-900.204</x:v>
      </x:c>
      <x:c r="AU292" s="65" t="n">
        <x:f>AT292/AK292</x:f>
        <x:v>-0.540884939587831</x:v>
      </x:c>
      <x:c r="AV292" s="64" t="n">
        <x:f>AK292+AT292</x:f>
        <x:v>764.1129999999998</x:v>
      </x:c>
      <x:c r="AW292" s="65" t="n">
        <x:f>AV292/AK292</x:f>
        <x:v>0.45911506041216904</x:v>
      </x:c>
      <x:c r="AX292" s="64" t="n">
        <x:f>-ROUND(AK292*'Drivers'!W292,3)</x:f>
        <x:v>-13.217</x:v>
      </x:c>
      <x:c r="AY292" s="64" t="n">
        <x:f>-ROUND(AK292*'Drivers'!X292,3)</x:f>
        <x:v>-38.369</x:v>
      </x:c>
      <x:c r="AZ292" s="64" t="n">
        <x:f>-ROUND(AK292*'Drivers'!Y292,3)</x:f>
        <x:v>-22.945</x:v>
      </x:c>
      <x:c r="BA292" s="64" t="n">
        <x:f>-ROUND(AK292*'Drivers'!Z292,3)</x:f>
        <x:v>-8.411</x:v>
      </x:c>
      <x:c r="BB292" s="64" t="n">
        <x:f>-ROUND(AK292*'Drivers'!AA292,3)</x:f>
        <x:v>-8.837</x:v>
      </x:c>
      <x:c r="BC292" s="64" t="n">
        <x:f>SUM(BA292,BB292)</x:f>
        <x:v>-17.247999999999998</x:v>
      </x:c>
      <x:c r="BD292" s="64" t="n">
        <x:f>-ROUND(AK292*'Drivers'!AB292,3)</x:f>
        <x:v>-8.341</x:v>
      </x:c>
      <x:c r="BE292" s="64" t="n">
        <x:f>SUM(AX292:BB292,BD292)</x:f>
        <x:v>-100.12</x:v>
      </x:c>
      <x:c r="BF292" s="67" t="n">
        <x:f>'Drivers'!AF292</x:f>
        <x:v>9</x:v>
      </x:c>
      <x:c r="BG292" s="64" t="n">
        <x:f>BJ292</x:f>
        <x:v>-33.601</x:v>
      </x:c>
      <x:c r="BH292" s="64" t="n">
        <x:f>BE292/BF292</x:f>
        <x:v>-11.124444444444444</x:v>
      </x:c>
      <x:c r="BI292" s="68" t="n">
        <x:f>BF292/L292</x:f>
        <x:v>1.8</x:v>
      </x:c>
      <x:c r="BJ292" s="64" t="n">
        <x:f>-ROUND(AK292*'Drivers'!AC292,3)</x:f>
        <x:v>-33.601</x:v>
      </x:c>
      <x:c r="BK292" s="64" t="n">
        <x:f>-ROUND(AK292*'Drivers'!AD292,3)</x:f>
        <x:v>-137.933</x:v>
      </x:c>
      <x:c r="BL292" s="64" t="n">
        <x:f>SUM(AV292,BE292,BJ292,BK292)</x:f>
        <x:v>492.45899999999983</x:v>
      </x:c>
      <x:c r="BM292" s="65" t="n">
        <x:f>BL292/AK292</x:f>
        <x:v>0.29589254931602565</x:v>
      </x:c>
      <x:c r="BN292" s="64" t="n">
        <x:f>-ROUND(AK292*'Drivers'!AE292,3)</x:f>
        <x:v>-192.882</x:v>
      </x:c>
      <x:c r="BO292" s="64" t="n">
        <x:f>BL292+BN292</x:f>
        <x:v>299.5769999999998</x:v>
      </x:c>
      <x:c r="BP292" s="65" t="n">
        <x:f>BO292/AK292</x:f>
        <x:v>0.17999996394917547</x:v>
      </x:c>
    </x:row>
    <x:row r="293">
      <x:c r="A293" s="61" t="n">
        <x:v>2026</x:v>
      </x:c>
      <x:c r="B293" s="18" t="str">
        <x:v>S2</x:v>
      </x:c>
      <x:c r="C293" s="18" t="str">
        <x:v>2026 S2</x:v>
      </x:c>
      <x:c r="D293" s="18" t="str">
        <x:v>CNCT0073</x:v>
      </x:c>
      <x:c r="E293" s="18" t="str">
        <x:v>杭州大厦</x:v>
      </x:c>
      <x:c r="F293" s="18" t="str">
        <x:v>杭州</x:v>
      </x:c>
      <x:c r="G293" s="18" t="str">
        <x:v>浙江省</x:v>
      </x:c>
      <x:c r="H293" s="18" t="str">
        <x:v>东区</x:v>
      </x:c>
      <x:c r="I293" s="18" t="str">
        <x:v>Department Store</x:v>
      </x:c>
      <x:c r="J293" s="18" t="str">
        <x:v>Core Shopping Center</x:v>
      </x:c>
      <x:c r="K293" s="18" t="str">
        <x:v>正常</x:v>
      </x:c>
      <x:c r="L293" s="62" t="n">
        <x:v>5</x:v>
      </x:c>
      <x:c r="M293" s="62" t="n">
        <x:v>47</x:v>
      </x:c>
      <x:c r="N293" s="63" t="n">
        <x:f>'Drivers'!C293</x:f>
        <x:v>2389</x:v>
      </x:c>
      <x:c r="O293" s="63" t="n">
        <x:f>'Drivers'!D293</x:f>
        <x:v>1064.879</x:v>
      </x:c>
      <x:c r="P293" s="64" t="n">
        <x:f>ROUND(N293*O293/1000,3)</x:f>
        <x:v>2543.996</x:v>
      </x:c>
      <x:c r="Q293" s="64" t="n">
        <x:f>ROUND(P293*'Drivers'!E293,3)</x:f>
        <x:v>2474.748</x:v>
      </x:c>
      <x:c r="R293" s="64" t="n">
        <x:f>-ROUND(Q293*'Drivers'!F293,3)</x:f>
        <x:v>-393.797</x:v>
      </x:c>
      <x:c r="S293" s="65" t="n">
        <x:f>R293/Q293</x:f>
        <x:v>-0.1591261009201745</x:v>
      </x:c>
      <x:c r="T293" s="64" t="n">
        <x:f>-ROUND(Q293*'Drivers'!G293,3)</x:f>
        <x:v>-50.358</x:v>
      </x:c>
      <x:c r="U293" s="65" t="n">
        <x:f>T293/Q293</x:f>
        <x:v>-0.02034873853822692</x:v>
      </x:c>
      <x:c r="V293" s="64" t="n">
        <x:f>-ROUND(Q293*'Drivers'!H293,3)</x:f>
        <x:v>-29.562</x:v>
      </x:c>
      <x:c r="W293" s="64" t="n">
        <x:f>-ROUND(Q293*'Drivers'!I293,3)</x:f>
        <x:v>-18.36</x:v>
      </x:c>
      <x:c r="X293" s="64" t="n">
        <x:f>-ROUND(Q293*'Drivers'!J293,3)</x:f>
        <x:v>-39.809</x:v>
      </x:c>
      <x:c r="Y293" s="64" t="n">
        <x:f>-ROUND(Q293*'Drivers'!K293,3)</x:f>
        <x:v>-21.328</x:v>
      </x:c>
      <x:c r="Z293" s="64" t="n">
        <x:f>-ROUND(Q293*'Drivers'!L293,3)</x:f>
        <x:v>-20.882</x:v>
      </x:c>
      <x:c r="AA293" s="64" t="n">
        <x:f>-ROUND(Q293*'Drivers'!M293,3)</x:f>
        <x:v>-17.75</x:v>
      </x:c>
      <x:c r="AB293" s="64" t="n">
        <x:f>-ROUND(Q293*'Drivers'!N293,3)</x:f>
        <x:v>-15.417</x:v>
      </x:c>
      <x:c r="AC293" s="64" t="n">
        <x:f>SUM(V293:AB293)</x:f>
        <x:v>-163.108</x:v>
      </x:c>
      <x:c r="AD293" s="65" t="n">
        <x:f>AC293/Q293</x:f>
        <x:v>-0.06590893294994077</x:v>
      </x:c>
      <x:c r="AE293" s="64" t="n">
        <x:f>-ROUND(Q293*'Drivers'!O293,3)</x:f>
        <x:v>-19.142</x:v>
      </x:c>
      <x:c r="AF293" s="65" t="n">
        <x:f>AE293/Q293</x:f>
        <x:v>-0.0077349289705456875</x:v>
      </x:c>
      <x:c r="AG293" s="64" t="n">
        <x:f>-ROUND(Q293*'Drivers'!P293,3)</x:f>
        <x:v>-0.244</x:v>
      </x:c>
      <x:c r="AH293" s="64" t="n">
        <x:f>-ROUND(Q293*'Drivers'!Q293,3)</x:f>
        <x:v>-16.973</x:v>
      </x:c>
      <x:c r="AI293" s="64" t="n">
        <x:f>SUM(R293,T293,AC293,AE293,AG293,AH293)</x:f>
        <x:v>-643.6220000000001</x:v>
      </x:c>
      <x:c r="AJ293" s="65" t="n">
        <x:f>AI293/Q293</x:f>
        <x:v>-0.2600757733716726</x:v>
      </x:c>
      <x:c r="AK293" s="64" t="n">
        <x:f>Q293+AI293</x:f>
        <x:v>1831.126</x:v>
      </x:c>
      <x:c r="AL293" s="65" t="n">
        <x:f>AK293/Q293</x:f>
        <x:v>0.7399242266283274</x:v>
      </x:c>
      <x:c r="AM293" s="64" t="n">
        <x:f>AK293/L293</x:f>
        <x:v>366.2252</x:v>
      </x:c>
      <x:c r="AN293" s="66" t="str">
        <x:f>IF(AM293&lt;=200,"≤200K",IF(AM293&lt;=350,"200–350K",IF(AM293&lt;=500,"350–500K",IF(AM293&lt;=700,"500–700K","&gt;700K"))))</x:f>
        <x:v>350–500K</x:v>
      </x:c>
      <x:c r="AO293" s="64" t="n">
        <x:f>-ROUND(Q293*'Drivers'!R293,3)</x:f>
        <x:v>-862.976</x:v>
      </x:c>
      <x:c r="AP293" s="64" t="n">
        <x:f>-ROUND(AK293*'Drivers'!S293,3)</x:f>
        <x:v>-25.682</x:v>
      </x:c>
      <x:c r="AQ293" s="64" t="n">
        <x:f>-ROUND(AK293*'Drivers'!T293,3)</x:f>
        <x:v>-8.671</x:v>
      </x:c>
      <x:c r="AR293" s="64" t="n">
        <x:f>-ROUND(AK293*'Drivers'!U293,3)</x:f>
        <x:v>-18.146</x:v>
      </x:c>
      <x:c r="AS293" s="64" t="n">
        <x:f>-ROUND(AK293*'Drivers'!V293,3)</x:f>
        <x:v>-52.579</x:v>
      </x:c>
      <x:c r="AT293" s="64" t="n">
        <x:f>SUM(AO293:AS293)</x:f>
        <x:v>-968.054</x:v>
      </x:c>
      <x:c r="AU293" s="65" t="n">
        <x:f>AT293/AK293</x:f>
        <x:v>-0.5286659683713737</x:v>
      </x:c>
      <x:c r="AV293" s="64" t="n">
        <x:f>AK293+AT293</x:f>
        <x:v>863.072</x:v>
      </x:c>
      <x:c r="AW293" s="65" t="n">
        <x:f>AV293/AK293</x:f>
        <x:v>0.4713340316286263</x:v>
      </x:c>
      <x:c r="AX293" s="64" t="n">
        <x:f>-ROUND(AK293*'Drivers'!W293,3)</x:f>
        <x:v>-15.064</x:v>
      </x:c>
      <x:c r="AY293" s="64" t="n">
        <x:f>-ROUND(AK293*'Drivers'!X293,3)</x:f>
        <x:v>-43.731</x:v>
      </x:c>
      <x:c r="AZ293" s="64" t="n">
        <x:f>-ROUND(AK293*'Drivers'!Y293,3)</x:f>
        <x:v>-26.151</x:v>
      </x:c>
      <x:c r="BA293" s="64" t="n">
        <x:f>-ROUND(AK293*'Drivers'!Z293,3)</x:f>
        <x:v>-9.587</x:v>
      </x:c>
      <x:c r="BB293" s="64" t="n">
        <x:f>-ROUND(AK293*'Drivers'!AA293,3)</x:f>
        <x:v>-10.072</x:v>
      </x:c>
      <x:c r="BC293" s="64" t="n">
        <x:f>SUM(BA293,BB293)</x:f>
        <x:v>-19.659</x:v>
      </x:c>
      <x:c r="BD293" s="64" t="n">
        <x:f>-ROUND(AK293*'Drivers'!AB293,3)</x:f>
        <x:v>-9.506</x:v>
      </x:c>
      <x:c r="BE293" s="64" t="n">
        <x:f>SUM(AX293:BB293,BD293)</x:f>
        <x:v>-114.111</x:v>
      </x:c>
      <x:c r="BF293" s="67" t="n">
        <x:f>'Drivers'!AF293</x:f>
        <x:v>9</x:v>
      </x:c>
      <x:c r="BG293" s="64" t="n">
        <x:f>BJ293</x:f>
        <x:v>-38.297</x:v>
      </x:c>
      <x:c r="BH293" s="64" t="n">
        <x:f>BE293/BF293</x:f>
        <x:v>-12.679</x:v>
      </x:c>
      <x:c r="BI293" s="68" t="n">
        <x:f>BF293/L293</x:f>
        <x:v>1.8</x:v>
      </x:c>
      <x:c r="BJ293" s="64" t="n">
        <x:f>-ROUND(AK293*'Drivers'!AC293,3)</x:f>
        <x:v>-38.297</x:v>
      </x:c>
      <x:c r="BK293" s="64" t="n">
        <x:f>-ROUND(AK293*'Drivers'!AD293,3)</x:f>
        <x:v>-148.459</x:v>
      </x:c>
      <x:c r="BL293" s="64" t="n">
        <x:f>SUM(AV293,BE293,BJ293,BK293)</x:f>
        <x:v>562.2049999999999</x:v>
      </x:c>
      <x:c r="BM293" s="65" t="n">
        <x:f>BL293/AK293</x:f>
        <x:v>0.30702693315479107</x:v>
      </x:c>
      <x:c r="BN293" s="64" t="n">
        <x:f>-ROUND(AK293*'Drivers'!AE293,3)</x:f>
        <x:v>-232.603</x:v>
      </x:c>
      <x:c r="BO293" s="64" t="n">
        <x:f>BL293+BN293</x:f>
        <x:v>329.6019999999999</x:v>
      </x:c>
      <x:c r="BP293" s="65" t="n">
        <x:f>BO293/AK293</x:f>
        <x:v>0.17999962864379618</x:v>
      </x:c>
    </x:row>
    <x:row r="294">
      <x:c r="A294" s="61" t="n">
        <x:v>2025</x:v>
      </x:c>
      <x:c r="B294" s="18" t="str">
        <x:v>S1</x:v>
      </x:c>
      <x:c r="C294" s="18" t="str">
        <x:v>2025 S1</x:v>
      </x:c>
      <x:c r="D294" s="18" t="str">
        <x:v>CNCT0074</x:v>
      </x:c>
      <x:c r="E294" s="18" t="str">
        <x:v>杭州湖滨银泰in77</x:v>
      </x:c>
      <x:c r="F294" s="18" t="str">
        <x:v>杭州</x:v>
      </x:c>
      <x:c r="G294" s="18" t="str">
        <x:v>浙江省</x:v>
      </x:c>
      <x:c r="H294" s="18" t="str">
        <x:v>东区</x:v>
      </x:c>
      <x:c r="I294" s="18" t="str">
        <x:v>Department Store</x:v>
      </x:c>
      <x:c r="J294" s="18" t="str">
        <x:v>Core Shopping Center</x:v>
      </x:c>
      <x:c r="K294" s="18" t="str">
        <x:v>正常</x:v>
      </x:c>
      <x:c r="L294" s="62" t="n">
        <x:v>6</x:v>
      </x:c>
      <x:c r="M294" s="62" t="n">
        <x:v>45</x:v>
      </x:c>
      <x:c r="N294" s="63" t="n">
        <x:f>'Drivers'!C294</x:f>
        <x:v>2544</x:v>
      </x:c>
      <x:c r="O294" s="63" t="n">
        <x:f>'Drivers'!D294</x:f>
        <x:v>1062.176</x:v>
      </x:c>
      <x:c r="P294" s="64" t="n">
        <x:f>ROUND(N294*O294/1000,3)</x:f>
        <x:v>2702.176</x:v>
      </x:c>
      <x:c r="Q294" s="64" t="n">
        <x:f>ROUND(P294*'Drivers'!E294,3)</x:f>
        <x:v>2641.518</x:v>
      </x:c>
      <x:c r="R294" s="64" t="n">
        <x:f>-ROUND(Q294*'Drivers'!F294,3)</x:f>
        <x:v>-415.834</x:v>
      </x:c>
      <x:c r="S294" s="65" t="n">
        <x:f>R294/Q294</x:f>
        <x:v>-0.15742236093034384</x:v>
      </x:c>
      <x:c r="T294" s="64" t="n">
        <x:f>-ROUND(Q294*'Drivers'!G294,3)</x:f>
        <x:v>-54.094</x:v>
      </x:c>
      <x:c r="U294" s="65" t="n">
        <x:f>T294/Q294</x:f>
        <x:v>-0.020478376448693516</x:v>
      </x:c>
      <x:c r="V294" s="64" t="n">
        <x:f>-ROUND(Q294*'Drivers'!H294,3)</x:f>
        <x:v>-30.845</x:v>
      </x:c>
      <x:c r="W294" s="64" t="n">
        <x:f>-ROUND(Q294*'Drivers'!I294,3)</x:f>
        <x:v>-22.413</x:v>
      </x:c>
      <x:c r="X294" s="64" t="n">
        <x:f>-ROUND(Q294*'Drivers'!J294,3)</x:f>
        <x:v>-38.559</x:v>
      </x:c>
      <x:c r="Y294" s="64" t="n">
        <x:f>-ROUND(Q294*'Drivers'!K294,3)</x:f>
        <x:v>-28.473</x:v>
      </x:c>
      <x:c r="Z294" s="64" t="n">
        <x:f>-ROUND(Q294*'Drivers'!L294,3)</x:f>
        <x:v>-29.38</x:v>
      </x:c>
      <x:c r="AA294" s="64" t="n">
        <x:f>-ROUND(Q294*'Drivers'!M294,3)</x:f>
        <x:v>-16.177</x:v>
      </x:c>
      <x:c r="AB294" s="64" t="n">
        <x:f>-ROUND(Q294*'Drivers'!N294,3)</x:f>
        <x:v>-18.358</x:v>
      </x:c>
      <x:c r="AC294" s="64" t="n">
        <x:f>SUM(V294:AB294)</x:f>
        <x:v>-184.20499999999998</x:v>
      </x:c>
      <x:c r="AD294" s="65" t="n">
        <x:f>AC294/Q294</x:f>
        <x:v>-0.06973452386090119</x:v>
      </x:c>
      <x:c r="AE294" s="64" t="n">
        <x:f>-ROUND(Q294*'Drivers'!O294,3)</x:f>
        <x:v>-20.463</x:v>
      </x:c>
      <x:c r="AF294" s="65" t="n">
        <x:f>AE294/Q294</x:f>
        <x:v>-0.0077466820214740165</x:v>
      </x:c>
      <x:c r="AG294" s="64" t="n">
        <x:f>-ROUND(Q294*'Drivers'!P294,3)</x:f>
        <x:v>-0.317</x:v>
      </x:c>
      <x:c r="AH294" s="64" t="n">
        <x:f>-ROUND(Q294*'Drivers'!Q294,3)</x:f>
        <x:v>-6.409</x:v>
      </x:c>
      <x:c r="AI294" s="64" t="n">
        <x:f>SUM(R294,T294,AC294,AE294,AG294,AH294)</x:f>
        <x:v>-681.322</x:v>
      </x:c>
      <x:c r="AJ294" s="65" t="n">
        <x:f>AI294/Q294</x:f>
        <x:v>-0.2579282064328163</x:v>
      </x:c>
      <x:c r="AK294" s="64" t="n">
        <x:f>Q294+AI294</x:f>
        <x:v>1960.196</x:v>
      </x:c>
      <x:c r="AL294" s="65" t="n">
        <x:f>AK294/Q294</x:f>
        <x:v>0.7420717935671837</x:v>
      </x:c>
      <x:c r="AM294" s="64" t="n">
        <x:f>AK294/L294</x:f>
        <x:v>326.6993333333333</x:v>
      </x:c>
      <x:c r="AN294" s="66" t="str">
        <x:f>IF(AM294&lt;=200,"≤200K",IF(AM294&lt;=350,"200–350K",IF(AM294&lt;=500,"350–500K",IF(AM294&lt;=700,"500–700K","&gt;700K"))))</x:f>
        <x:v>200–350K</x:v>
      </x:c>
      <x:c r="AO294" s="64" t="n">
        <x:f>-ROUND(Q294*'Drivers'!R294,3)</x:f>
        <x:v>-1017.782</x:v>
      </x:c>
      <x:c r="AP294" s="64" t="n">
        <x:f>-ROUND(AK294*'Drivers'!S294,3)</x:f>
        <x:v>-26.813</x:v>
      </x:c>
      <x:c r="AQ294" s="64" t="n">
        <x:f>-ROUND(AK294*'Drivers'!T294,3)</x:f>
        <x:v>-11.232</x:v>
      </x:c>
      <x:c r="AR294" s="64" t="n">
        <x:f>-ROUND(AK294*'Drivers'!U294,3)</x:f>
        <x:v>-13.553</x:v>
      </x:c>
      <x:c r="AS294" s="64" t="n">
        <x:f>-ROUND(AK294*'Drivers'!V294,3)</x:f>
        <x:v>-71.21</x:v>
      </x:c>
      <x:c r="AT294" s="64" t="n">
        <x:f>SUM(AO294:AS294)</x:f>
        <x:v>-1140.5900000000001</x:v>
      </x:c>
      <x:c r="AU294" s="65" t="n">
        <x:f>AT294/AK294</x:f>
        <x:v>-0.5818754859207957</x:v>
      </x:c>
      <x:c r="AV294" s="64" t="n">
        <x:f>AK294+AT294</x:f>
        <x:v>819.6059999999998</x:v>
      </x:c>
      <x:c r="AW294" s="65" t="n">
        <x:f>AV294/AK294</x:f>
        <x:v>0.4181245140792042</x:v>
      </x:c>
      <x:c r="AX294" s="64" t="n">
        <x:f>-ROUND(AK294*'Drivers'!W294,3)</x:f>
        <x:v>-26.849</x:v>
      </x:c>
      <x:c r="AY294" s="64" t="n">
        <x:f>-ROUND(AK294*'Drivers'!X294,3)</x:f>
        <x:v>-45.364</x:v>
      </x:c>
      <x:c r="AZ294" s="64" t="n">
        <x:f>-ROUND(AK294*'Drivers'!Y294,3)</x:f>
        <x:v>-38.76</x:v>
      </x:c>
      <x:c r="BA294" s="64" t="n">
        <x:f>-ROUND(AK294*'Drivers'!Z294,3)</x:f>
        <x:v>-12.818</x:v>
      </x:c>
      <x:c r="BB294" s="64" t="n">
        <x:f>-ROUND(AK294*'Drivers'!AA294,3)</x:f>
        <x:v>-10.116</x:v>
      </x:c>
      <x:c r="BC294" s="64" t="n">
        <x:f>SUM(BA294,BB294)</x:f>
        <x:v>-22.933999999999997</x:v>
      </x:c>
      <x:c r="BD294" s="64" t="n">
        <x:f>-ROUND(AK294*'Drivers'!AB294,3)</x:f>
        <x:v>-11.301</x:v>
      </x:c>
      <x:c r="BE294" s="64" t="n">
        <x:f>SUM(AX294:BB294,BD294)</x:f>
        <x:v>-145.20799999999997</x:v>
      </x:c>
      <x:c r="BF294" s="67" t="n">
        <x:f>'Drivers'!AF294</x:f>
        <x:v>12</x:v>
      </x:c>
      <x:c r="BG294" s="64" t="n">
        <x:f>BJ294</x:f>
        <x:v>-44.685</x:v>
      </x:c>
      <x:c r="BH294" s="64" t="n">
        <x:f>BE294/BF294</x:f>
        <x:v>-12.100666666666664</x:v>
      </x:c>
      <x:c r="BI294" s="68" t="n">
        <x:f>BF294/L294</x:f>
        <x:v>2</x:v>
      </x:c>
      <x:c r="BJ294" s="64" t="n">
        <x:f>-ROUND(AK294*'Drivers'!AC294,3)</x:f>
        <x:v>-44.685</x:v>
      </x:c>
      <x:c r="BK294" s="64" t="n">
        <x:f>-ROUND(AK294*'Drivers'!AD294,3)</x:f>
        <x:v>-209.266</x:v>
      </x:c>
      <x:c r="BL294" s="64" t="n">
        <x:f>SUM(AV294,BE294,BJ294,BK294)</x:f>
        <x:v>420.4469999999998</x:v>
      </x:c>
      <x:c r="BM294" s="65" t="n">
        <x:f>BL294/AK294</x:f>
        <x:v>0.21449232627757622</x:v>
      </x:c>
      <x:c r="BN294" s="64" t="n">
        <x:f>-ROUND(AK294*'Drivers'!AE294,3)</x:f>
        <x:v>-178.971</x:v>
      </x:c>
      <x:c r="BO294" s="64" t="n">
        <x:f>BL294+BN294</x:f>
        <x:v>241.47599999999977</x:v>
      </x:c>
      <x:c r="BP294" s="65" t="n">
        <x:f>BO294/AK294</x:f>
        <x:v>0.12318972184414201</x:v>
      </x:c>
    </x:row>
    <x:row r="295">
      <x:c r="A295" s="61" t="n">
        <x:v>2025</x:v>
      </x:c>
      <x:c r="B295" s="18" t="str">
        <x:v>S2</x:v>
      </x:c>
      <x:c r="C295" s="18" t="str">
        <x:v>2025 S2</x:v>
      </x:c>
      <x:c r="D295" s="18" t="str">
        <x:v>CNCT0074</x:v>
      </x:c>
      <x:c r="E295" s="18" t="str">
        <x:v>杭州湖滨银泰in77</x:v>
      </x:c>
      <x:c r="F295" s="18" t="str">
        <x:v>杭州</x:v>
      </x:c>
      <x:c r="G295" s="18" t="str">
        <x:v>浙江省</x:v>
      </x:c>
      <x:c r="H295" s="18" t="str">
        <x:v>东区</x:v>
      </x:c>
      <x:c r="I295" s="18" t="str">
        <x:v>Department Store</x:v>
      </x:c>
      <x:c r="J295" s="18" t="str">
        <x:v>Core Shopping Center</x:v>
      </x:c>
      <x:c r="K295" s="18" t="str">
        <x:v>正常</x:v>
      </x:c>
      <x:c r="L295" s="62" t="n">
        <x:v>6</x:v>
      </x:c>
      <x:c r="M295" s="62" t="n">
        <x:v>45</x:v>
      </x:c>
      <x:c r="N295" s="63" t="n">
        <x:f>'Drivers'!C295</x:f>
        <x:v>2765</x:v>
      </x:c>
      <x:c r="O295" s="63" t="n">
        <x:f>'Drivers'!D295</x:f>
        <x:v>1074.922</x:v>
      </x:c>
      <x:c r="P295" s="64" t="n">
        <x:f>ROUND(N295*O295/1000,3)</x:f>
        <x:v>2972.159</x:v>
      </x:c>
      <x:c r="Q295" s="64" t="n">
        <x:f>ROUND(P295*'Drivers'!E295,3)</x:f>
        <x:v>2888.709</x:v>
      </x:c>
      <x:c r="R295" s="64" t="n">
        <x:f>-ROUND(Q295*'Drivers'!F295,3)</x:f>
        <x:v>-454.748</x:v>
      </x:c>
      <x:c r="S295" s="65" t="n">
        <x:f>R295/Q295</x:f>
        <x:v>-0.15742257181322175</x:v>
      </x:c>
      <x:c r="T295" s="64" t="n">
        <x:f>-ROUND(Q295*'Drivers'!G295,3)</x:f>
        <x:v>-59.156</x:v>
      </x:c>
      <x:c r="U295" s="65" t="n">
        <x:f>T295/Q295</x:f>
        <x:v>-0.020478352094309257</x:v>
      </x:c>
      <x:c r="V295" s="64" t="n">
        <x:f>-ROUND(Q295*'Drivers'!H295,3)</x:f>
        <x:v>-33.732</x:v>
      </x:c>
      <x:c r="W295" s="64" t="n">
        <x:f>-ROUND(Q295*'Drivers'!I295,3)</x:f>
        <x:v>-24.511</x:v>
      </x:c>
      <x:c r="X295" s="64" t="n">
        <x:f>-ROUND(Q295*'Drivers'!J295,3)</x:f>
        <x:v>-42.167</x:v>
      </x:c>
      <x:c r="Y295" s="64" t="n">
        <x:f>-ROUND(Q295*'Drivers'!K295,3)</x:f>
        <x:v>-31.138</x:v>
      </x:c>
      <x:c r="Z295" s="64" t="n">
        <x:f>-ROUND(Q295*'Drivers'!L295,3)</x:f>
        <x:v>-32.13</x:v>
      </x:c>
      <x:c r="AA295" s="64" t="n">
        <x:f>-ROUND(Q295*'Drivers'!M295,3)</x:f>
        <x:v>-17.691</x:v>
      </x:c>
      <x:c r="AB295" s="64" t="n">
        <x:f>-ROUND(Q295*'Drivers'!N295,3)</x:f>
        <x:v>-20.076</x:v>
      </x:c>
      <x:c r="AC295" s="64" t="n">
        <x:f>SUM(V295:AB295)</x:f>
        <x:v>-201.445</x:v>
      </x:c>
      <x:c r="AD295" s="65" t="n">
        <x:f>AC295/Q295</x:f>
        <x:v>-0.06973530390219299</x:v>
      </x:c>
      <x:c r="AE295" s="64" t="n">
        <x:f>-ROUND(Q295*'Drivers'!O295,3)</x:f>
        <x:v>-22.378</x:v>
      </x:c>
      <x:c r="AF295" s="65" t="n">
        <x:f>AE295/Q295</x:f>
        <x:v>-0.0077467131510996785</x:v>
      </x:c>
      <x:c r="AG295" s="64" t="n">
        <x:f>-ROUND(Q295*'Drivers'!P295,3)</x:f>
        <x:v>-0.347</x:v>
      </x:c>
      <x:c r="AH295" s="64" t="n">
        <x:f>-ROUND(Q295*'Drivers'!Q295,3)</x:f>
        <x:v>-7.008</x:v>
      </x:c>
      <x:c r="AI295" s="64" t="n">
        <x:f>SUM(R295,T295,AC295,AE295,AG295,AH295)</x:f>
        <x:v>-745.082</x:v>
      </x:c>
      <x:c r="AJ295" s="65" t="n">
        <x:f>AI295/Q295</x:f>
        <x:v>-0.25792906104422425</x:v>
      </x:c>
      <x:c r="AK295" s="64" t="n">
        <x:f>Q295+AI295</x:f>
        <x:v>2143.627</x:v>
      </x:c>
      <x:c r="AL295" s="65" t="n">
        <x:f>AK295/Q295</x:f>
        <x:v>0.7420709389557758</x:v>
      </x:c>
      <x:c r="AM295" s="64" t="n">
        <x:f>AK295/L295</x:f>
        <x:v>357.27116666666666</x:v>
      </x:c>
      <x:c r="AN295" s="66" t="str">
        <x:f>IF(AM295&lt;=200,"≤200K",IF(AM295&lt;=350,"200–350K",IF(AM295&lt;=500,"350–500K",IF(AM295&lt;=700,"500–700K","&gt;700K"))))</x:f>
        <x:v>350–500K</x:v>
      </x:c>
      <x:c r="AO295" s="64" t="n">
        <x:f>-ROUND(Q295*'Drivers'!R295,3)</x:f>
        <x:v>-1120.159</x:v>
      </x:c>
      <x:c r="AP295" s="64" t="n">
        <x:f>-ROUND(AK295*'Drivers'!S295,3)</x:f>
        <x:v>-29.322</x:v>
      </x:c>
      <x:c r="AQ295" s="64" t="n">
        <x:f>-ROUND(AK295*'Drivers'!T295,3)</x:f>
        <x:v>-12.283</x:v>
      </x:c>
      <x:c r="AR295" s="64" t="n">
        <x:f>-ROUND(AK295*'Drivers'!U295,3)</x:f>
        <x:v>-14.821</x:v>
      </x:c>
      <x:c r="AS295" s="64" t="n">
        <x:f>-ROUND(AK295*'Drivers'!V295,3)</x:f>
        <x:v>-77.874</x:v>
      </x:c>
      <x:c r="AT295" s="64" t="n">
        <x:f>SUM(AO295:AS295)</x:f>
        <x:v>-1254.4589999999998</x:v>
      </x:c>
      <x:c r="AU295" s="65" t="n">
        <x:f>AT295/AK295</x:f>
        <x:v>-0.5852039557255063</x:v>
      </x:c>
      <x:c r="AV295" s="64" t="n">
        <x:f>AK295+AT295</x:f>
        <x:v>889.1680000000001</x:v>
      </x:c>
      <x:c r="AW295" s="65" t="n">
        <x:f>AV295/AK295</x:f>
        <x:v>0.41479604427449374</x:v>
      </x:c>
      <x:c r="AX295" s="64" t="n">
        <x:f>-ROUND(AK295*'Drivers'!W295,3)</x:f>
        <x:v>-29.361</x:v>
      </x:c>
      <x:c r="AY295" s="64" t="n">
        <x:f>-ROUND(AK295*'Drivers'!X295,3)</x:f>
        <x:v>-49.609</x:v>
      </x:c>
      <x:c r="AZ295" s="64" t="n">
        <x:f>-ROUND(AK295*'Drivers'!Y295,3)</x:f>
        <x:v>-42.387</x:v>
      </x:c>
      <x:c r="BA295" s="64" t="n">
        <x:f>-ROUND(AK295*'Drivers'!Z295,3)</x:f>
        <x:v>-14.018</x:v>
      </x:c>
      <x:c r="BB295" s="64" t="n">
        <x:f>-ROUND(AK295*'Drivers'!AA295,3)</x:f>
        <x:v>-11.063</x:v>
      </x:c>
      <x:c r="BC295" s="64" t="n">
        <x:f>SUM(BA295,BB295)</x:f>
        <x:v>-25.081000000000003</x:v>
      </x:c>
      <x:c r="BD295" s="64" t="n">
        <x:f>-ROUND(AK295*'Drivers'!AB295,3)</x:f>
        <x:v>-12.358</x:v>
      </x:c>
      <x:c r="BE295" s="64" t="n">
        <x:f>SUM(AX295:BB295,BD295)</x:f>
        <x:v>-158.796</x:v>
      </x:c>
      <x:c r="BF295" s="67" t="n">
        <x:f>'Drivers'!AF295</x:f>
        <x:v>12</x:v>
      </x:c>
      <x:c r="BG295" s="64" t="n">
        <x:f>BJ295</x:f>
        <x:v>-48.867</x:v>
      </x:c>
      <x:c r="BH295" s="64" t="n">
        <x:f>BE295/BF295</x:f>
        <x:v>-13.232999999999999</x:v>
      </x:c>
      <x:c r="BI295" s="68" t="n">
        <x:f>BF295/L295</x:f>
        <x:v>2</x:v>
      </x:c>
      <x:c r="BJ295" s="64" t="n">
        <x:f>-ROUND(AK295*'Drivers'!AC295,3)</x:f>
        <x:v>-48.867</x:v>
      </x:c>
      <x:c r="BK295" s="64" t="n">
        <x:f>-ROUND(AK295*'Drivers'!AD295,3)</x:f>
        <x:v>-228.848</x:v>
      </x:c>
      <x:c r="BL295" s="64" t="n">
        <x:f>SUM(AV295,BE295,BJ295,BK295)</x:f>
        <x:v>452.6570000000001</x:v>
      </x:c>
      <x:c r="BM295" s="65" t="n">
        <x:f>BL295/AK295</x:f>
        <x:v>0.21116406912210012</x:v>
      </x:c>
      <x:c r="BN295" s="64" t="n">
        <x:f>-ROUND(AK295*'Drivers'!AE295,3)</x:f>
        <x:v>-195.719</x:v>
      </x:c>
      <x:c r="BO295" s="64" t="n">
        <x:f>BL295+BN295</x:f>
        <x:v>256.9380000000001</x:v>
      </x:c>
      <x:c r="BP295" s="65" t="n">
        <x:f>BO295/AK295</x:f>
        <x:v>0.11986133781670044</x:v>
      </x:c>
    </x:row>
    <x:row r="296">
      <x:c r="A296" s="61" t="n">
        <x:v>2026</x:v>
      </x:c>
      <x:c r="B296" s="18" t="str">
        <x:v>S1</x:v>
      </x:c>
      <x:c r="C296" s="18" t="str">
        <x:v>2026 S1</x:v>
      </x:c>
      <x:c r="D296" s="18" t="str">
        <x:v>CNCT0074</x:v>
      </x:c>
      <x:c r="E296" s="18" t="str">
        <x:v>杭州湖滨银泰in77</x:v>
      </x:c>
      <x:c r="F296" s="18" t="str">
        <x:v>杭州</x:v>
      </x:c>
      <x:c r="G296" s="18" t="str">
        <x:v>浙江省</x:v>
      </x:c>
      <x:c r="H296" s="18" t="str">
        <x:v>东区</x:v>
      </x:c>
      <x:c r="I296" s="18" t="str">
        <x:v>Department Store</x:v>
      </x:c>
      <x:c r="J296" s="18" t="str">
        <x:v>Core Shopping Center</x:v>
      </x:c>
      <x:c r="K296" s="18" t="str">
        <x:v>正常</x:v>
      </x:c>
      <x:c r="L296" s="62" t="n">
        <x:v>6</x:v>
      </x:c>
      <x:c r="M296" s="62" t="n">
        <x:v>47</x:v>
      </x:c>
      <x:c r="N296" s="63" t="n">
        <x:f>'Drivers'!C296</x:f>
        <x:v>2767</x:v>
      </x:c>
      <x:c r="O296" s="63" t="n">
        <x:f>'Drivers'!D296</x:f>
        <x:v>1120.469</x:v>
      </x:c>
      <x:c r="P296" s="64" t="n">
        <x:f>ROUND(N296*O296/1000,3)</x:f>
        <x:v>3100.338</x:v>
      </x:c>
      <x:c r="Q296" s="64" t="n">
        <x:f>ROUND(P296*'Drivers'!E296,3)</x:f>
        <x:v>3032.888</x:v>
      </x:c>
      <x:c r="R296" s="64" t="n">
        <x:f>-ROUND(Q296*'Drivers'!F296,3)</x:f>
        <x:v>-464.005</x:v>
      </x:c>
      <x:c r="S296" s="65" t="n">
        <x:f>R296/Q296</x:f>
        <x:v>-0.15299114243585651</x:v>
      </x:c>
      <x:c r="T296" s="64" t="n">
        <x:f>-ROUND(Q296*'Drivers'!G296,3)</x:f>
        <x:v>-61.226</x:v>
      </x:c>
      <x:c r="U296" s="65" t="n">
        <x:f>T296/Q296</x:f>
        <x:v>-0.020187359374958785</x:v>
      </x:c>
      <x:c r="V296" s="64" t="n">
        <x:f>-ROUND(Q296*'Drivers'!H296,3)</x:f>
        <x:v>-35.415</x:v>
      </x:c>
      <x:c r="W296" s="64" t="n">
        <x:f>-ROUND(Q296*'Drivers'!I296,3)</x:f>
        <x:v>-25.734</x:v>
      </x:c>
      <x:c r="X296" s="64" t="n">
        <x:f>-ROUND(Q296*'Drivers'!J296,3)</x:f>
        <x:v>-44.272</x:v>
      </x:c>
      <x:c r="Y296" s="64" t="n">
        <x:f>-ROUND(Q296*'Drivers'!K296,3)</x:f>
        <x:v>-32.692</x:v>
      </x:c>
      <x:c r="Z296" s="64" t="n">
        <x:f>-ROUND(Q296*'Drivers'!L296,3)</x:f>
        <x:v>-33.733</x:v>
      </x:c>
      <x:c r="AA296" s="64" t="n">
        <x:f>-ROUND(Q296*'Drivers'!M296,3)</x:f>
        <x:v>-18.574</x:v>
      </x:c>
      <x:c r="AB296" s="64" t="n">
        <x:f>-ROUND(Q296*'Drivers'!N296,3)</x:f>
        <x:v>-21.078</x:v>
      </x:c>
      <x:c r="AC296" s="64" t="n">
        <x:f>SUM(V296:AB296)</x:f>
        <x:v>-211.49800000000002</x:v>
      </x:c>
      <x:c r="AD296" s="65" t="n">
        <x:f>AC296/Q296</x:f>
        <x:v>-0.06973485338067216</x:v>
      </x:c>
      <x:c r="AE296" s="64" t="n">
        <x:f>-ROUND(Q296*'Drivers'!O296,3)</x:f>
        <x:v>-26.484</x:v>
      </x:c>
      <x:c r="AF296" s="65" t="n">
        <x:f>AE296/Q296</x:f>
        <x:v>-0.008732271023526092</x:v>
      </x:c>
      <x:c r="AG296" s="64" t="n">
        <x:f>-ROUND(Q296*'Drivers'!P296,3)</x:f>
        <x:v>-0.364</x:v>
      </x:c>
      <x:c r="AH296" s="64" t="n">
        <x:f>-ROUND(Q296*'Drivers'!Q296,3)</x:f>
        <x:v>-7.358</x:v>
      </x:c>
      <x:c r="AI296" s="64" t="n">
        <x:f>SUM(R296,T296,AC296,AE296,AG296,AH296)</x:f>
        <x:v>-770.9350000000001</x:v>
      </x:c>
      <x:c r="AJ296" s="65" t="n">
        <x:f>AI296/Q296</x:f>
        <x:v>-0.2541917143000335</x:v>
      </x:c>
      <x:c r="AK296" s="64" t="n">
        <x:f>Q296+AI296</x:f>
        <x:v>2261.953</x:v>
      </x:c>
      <x:c r="AL296" s="65" t="n">
        <x:f>AK296/Q296</x:f>
        <x:v>0.7458082856999665</x:v>
      </x:c>
      <x:c r="AM296" s="64" t="n">
        <x:f>AK296/L296</x:f>
        <x:v>376.99216666666666</x:v>
      </x:c>
      <x:c r="AN296" s="66" t="str">
        <x:f>IF(AM296&lt;=200,"≤200K",IF(AM296&lt;=350,"200–350K",IF(AM296&lt;=500,"350–500K",IF(AM296&lt;=700,"500–700K","&gt;700K"))))</x:f>
        <x:v>350–500K</x:v>
      </x:c>
      <x:c r="AO296" s="64" t="n">
        <x:f>-ROUND(Q296*'Drivers'!R296,3)</x:f>
        <x:v>-1095.669</x:v>
      </x:c>
      <x:c r="AP296" s="64" t="n">
        <x:f>-ROUND(AK296*'Drivers'!S296,3)</x:f>
        <x:v>-30.94</x:v>
      </x:c>
      <x:c r="AQ296" s="64" t="n">
        <x:f>-ROUND(AK296*'Drivers'!T296,3)</x:f>
        <x:v>-12.961</x:v>
      </x:c>
      <x:c r="AR296" s="64" t="n">
        <x:f>-ROUND(AK296*'Drivers'!U296,3)</x:f>
        <x:v>-15.639</x:v>
      </x:c>
      <x:c r="AS296" s="64" t="n">
        <x:f>-ROUND(AK296*'Drivers'!V296,3)</x:f>
        <x:v>-82.173</x:v>
      </x:c>
      <x:c r="AT296" s="64" t="n">
        <x:f>SUM(AO296:AS296)</x:f>
        <x:v>-1237.382</x:v>
      </x:c>
      <x:c r="AU296" s="65" t="n">
        <x:f>AT296/AK296</x:f>
        <x:v>-0.547041428358591</x:v>
      </x:c>
      <x:c r="AV296" s="64" t="n">
        <x:f>AK296+AT296</x:f>
        <x:v>1024.571</x:v>
      </x:c>
      <x:c r="AW296" s="65" t="n">
        <x:f>AV296/AK296</x:f>
        <x:v>0.45295857164140896</x:v>
      </x:c>
      <x:c r="AX296" s="64" t="n">
        <x:f>-ROUND(AK296*'Drivers'!W296,3)</x:f>
        <x:v>-27.264</x:v>
      </x:c>
      <x:c r="AY296" s="64" t="n">
        <x:f>-ROUND(AK296*'Drivers'!X296,3)</x:f>
        <x:v>-46.066</x:v>
      </x:c>
      <x:c r="AZ296" s="64" t="n">
        <x:f>-ROUND(AK296*'Drivers'!Y296,3)</x:f>
        <x:v>-39.36</x:v>
      </x:c>
      <x:c r="BA296" s="64" t="n">
        <x:f>-ROUND(AK296*'Drivers'!Z296,3)</x:f>
        <x:v>-13.017</x:v>
      </x:c>
      <x:c r="BB296" s="64" t="n">
        <x:f>-ROUND(AK296*'Drivers'!AA296,3)</x:f>
        <x:v>-10.273</x:v>
      </x:c>
      <x:c r="BC296" s="64" t="n">
        <x:f>SUM(BA296,BB296)</x:f>
        <x:v>-23.29</x:v>
      </x:c>
      <x:c r="BD296" s="64" t="n">
        <x:f>-ROUND(AK296*'Drivers'!AB296,3)</x:f>
        <x:v>-11.476</x:v>
      </x:c>
      <x:c r="BE296" s="64" t="n">
        <x:f>SUM(AX296:BB296,BD296)</x:f>
        <x:v>-147.456</x:v>
      </x:c>
      <x:c r="BF296" s="67" t="n">
        <x:f>'Drivers'!AF296</x:f>
        <x:v>12</x:v>
      </x:c>
      <x:c r="BG296" s="64" t="n">
        <x:f>BJ296</x:f>
        <x:v>-45.376</x:v>
      </x:c>
      <x:c r="BH296" s="64" t="n">
        <x:f>BE296/BF296</x:f>
        <x:v>-12.287999999999998</x:v>
      </x:c>
      <x:c r="BI296" s="68" t="n">
        <x:f>BF296/L296</x:f>
        <x:v>2</x:v>
      </x:c>
      <x:c r="BJ296" s="64" t="n">
        <x:f>-ROUND(AK296*'Drivers'!AC296,3)</x:f>
        <x:v>-45.376</x:v>
      </x:c>
      <x:c r="BK296" s="64" t="n">
        <x:f>-ROUND(AK296*'Drivers'!AD296,3)</x:f>
        <x:v>-222.162</x:v>
      </x:c>
      <x:c r="BL296" s="64" t="n">
        <x:f>SUM(AV296,BE296,BJ296,BK296)</x:f>
        <x:v>609.5769999999999</x:v>
      </x:c>
      <x:c r="BM296" s="65" t="n">
        <x:f>BL296/AK296</x:f>
        <x:v>0.2694914527401763</x:v>
      </x:c>
      <x:c r="BN296" s="64" t="n">
        <x:f>-ROUND(AK296*'Drivers'!AE296,3)</x:f>
        <x:v>-206.523</x:v>
      </x:c>
      <x:c r="BO296" s="64" t="n">
        <x:f>BL296+BN296</x:f>
        <x:v>403.05399999999986</x:v>
      </x:c>
      <x:c r="BP296" s="65" t="n">
        <x:f>BO296/AK296</x:f>
        <x:v>0.17818849463273545</x:v>
      </x:c>
    </x:row>
    <x:row r="297">
      <x:c r="A297" s="61" t="n">
        <x:v>2026</x:v>
      </x:c>
      <x:c r="B297" s="18" t="str">
        <x:v>S2</x:v>
      </x:c>
      <x:c r="C297" s="18" t="str">
        <x:v>2026 S2</x:v>
      </x:c>
      <x:c r="D297" s="18" t="str">
        <x:v>CNCT0074</x:v>
      </x:c>
      <x:c r="E297" s="18" t="str">
        <x:v>杭州湖滨银泰in77</x:v>
      </x:c>
      <x:c r="F297" s="18" t="str">
        <x:v>杭州</x:v>
      </x:c>
      <x:c r="G297" s="18" t="str">
        <x:v>浙江省</x:v>
      </x:c>
      <x:c r="H297" s="18" t="str">
        <x:v>东区</x:v>
      </x:c>
      <x:c r="I297" s="18" t="str">
        <x:v>Department Store</x:v>
      </x:c>
      <x:c r="J297" s="18" t="str">
        <x:v>Core Shopping Center</x:v>
      </x:c>
      <x:c r="K297" s="18" t="str">
        <x:v>正常</x:v>
      </x:c>
      <x:c r="L297" s="62" t="n">
        <x:v>6</x:v>
      </x:c>
      <x:c r="M297" s="62" t="n">
        <x:v>47</x:v>
      </x:c>
      <x:c r="N297" s="63" t="n">
        <x:f>'Drivers'!C297</x:f>
        <x:v>3084</x:v>
      </x:c>
      <x:c r="O297" s="63" t="n">
        <x:f>'Drivers'!D297</x:f>
        <x:v>1097.012</x:v>
      </x:c>
      <x:c r="P297" s="64" t="n">
        <x:f>ROUND(N297*O297/1000,3)</x:f>
        <x:v>3383.185</x:v>
      </x:c>
      <x:c r="Q297" s="64" t="n">
        <x:f>ROUND(P297*'Drivers'!E297,3)</x:f>
        <x:v>3288.195</x:v>
      </x:c>
      <x:c r="R297" s="64" t="n">
        <x:f>-ROUND(Q297*'Drivers'!F297,3)</x:f>
        <x:v>-511.757</x:v>
      </x:c>
      <x:c r="S297" s="65" t="n">
        <x:f>R297/Q297</x:f>
        <x:v>-0.1556346262919322</x:v>
      </x:c>
      <x:c r="T297" s="64" t="n">
        <x:f>-ROUND(Q297*'Drivers'!G297,3)</x:f>
        <x:v>-60.829</x:v>
      </x:c>
      <x:c r="U297" s="65" t="n">
        <x:f>T297/Q297</x:f>
        <x:v>-0.018499207011749605</x:v>
      </x:c>
      <x:c r="V297" s="64" t="n">
        <x:f>-ROUND(Q297*'Drivers'!H297,3)</x:f>
        <x:v>-38.396</x:v>
      </x:c>
      <x:c r="W297" s="64" t="n">
        <x:f>-ROUND(Q297*'Drivers'!I297,3)</x:f>
        <x:v>-27.9</x:v>
      </x:c>
      <x:c r="X297" s="64" t="n">
        <x:f>-ROUND(Q297*'Drivers'!J297,3)</x:f>
        <x:v>-47.999</x:v>
      </x:c>
      <x:c r="Y297" s="64" t="n">
        <x:f>-ROUND(Q297*'Drivers'!K297,3)</x:f>
        <x:v>-35.444</x:v>
      </x:c>
      <x:c r="Z297" s="64" t="n">
        <x:f>-ROUND(Q297*'Drivers'!L297,3)</x:f>
        <x:v>-36.573</x:v>
      </x:c>
      <x:c r="AA297" s="64" t="n">
        <x:f>-ROUND(Q297*'Drivers'!M297,3)</x:f>
        <x:v>-20.137</x:v>
      </x:c>
      <x:c r="AB297" s="64" t="n">
        <x:f>-ROUND(Q297*'Drivers'!N297,3)</x:f>
        <x:v>-22.853</x:v>
      </x:c>
      <x:c r="AC297" s="64" t="n">
        <x:f>SUM(V297:AB297)</x:f>
        <x:v>-229.302</x:v>
      </x:c>
      <x:c r="AD297" s="65" t="n">
        <x:f>AC297/Q297</x:f>
        <x:v>-0.06973491535629729</x:v>
      </x:c>
      <x:c r="AE297" s="64" t="n">
        <x:f>-ROUND(Q297*'Drivers'!O297,3)</x:f>
        <x:v>-25.473</x:v>
      </x:c>
      <x:c r="AF297" s="65" t="n">
        <x:f>AE297/Q297</x:f>
        <x:v>-0.007746803337393311</x:v>
      </x:c>
      <x:c r="AG297" s="64" t="n">
        <x:f>-ROUND(Q297*'Drivers'!P297,3)</x:f>
        <x:v>-0.395</x:v>
      </x:c>
      <x:c r="AH297" s="64" t="n">
        <x:f>-ROUND(Q297*'Drivers'!Q297,3)</x:f>
        <x:v>-7.977</x:v>
      </x:c>
      <x:c r="AI297" s="64" t="n">
        <x:f>SUM(R297,T297,AC297,AE297,AG297,AH297)</x:f>
        <x:v>-835.733</x:v>
      </x:c>
      <x:c r="AJ297" s="65" t="n">
        <x:f>AI297/Q297</x:f>
        <x:v>-0.2541616297087003</x:v>
      </x:c>
      <x:c r="AK297" s="64" t="n">
        <x:f>Q297+AI297</x:f>
        <x:v>2452.4620000000004</x:v>
      </x:c>
      <x:c r="AL297" s="65" t="n">
        <x:f>AK297/Q297</x:f>
        <x:v>0.7458383702912997</x:v>
      </x:c>
      <x:c r="AM297" s="64" t="n">
        <x:f>AK297/L297</x:f>
        <x:v>408.74366666666674</x:v>
      </x:c>
      <x:c r="AN297" s="66" t="str">
        <x:f>IF(AM297&lt;=200,"≤200K",IF(AM297&lt;=350,"200–350K",IF(AM297&lt;=500,"350–500K",IF(AM297&lt;=700,"500–700K","&gt;700K"))))</x:f>
        <x:v>350–500K</x:v>
      </x:c>
      <x:c r="AO297" s="64" t="n">
        <x:f>-ROUND(Q297*'Drivers'!R297,3)</x:f>
        <x:v>-1206.412</x:v>
      </x:c>
      <x:c r="AP297" s="64" t="n">
        <x:f>-ROUND(AK297*'Drivers'!S297,3)</x:f>
        <x:v>-33.546</x:v>
      </x:c>
      <x:c r="AQ297" s="64" t="n">
        <x:f>-ROUND(AK297*'Drivers'!T297,3)</x:f>
        <x:v>-14.053</x:v>
      </x:c>
      <x:c r="AR297" s="64" t="n">
        <x:f>-ROUND(AK297*'Drivers'!U297,3)</x:f>
        <x:v>-16.956</x:v>
      </x:c>
      <x:c r="AS297" s="64" t="n">
        <x:f>-ROUND(AK297*'Drivers'!V297,3)</x:f>
        <x:v>-89.094</x:v>
      </x:c>
      <x:c r="AT297" s="64" t="n">
        <x:f>SUM(AO297:AS297)</x:f>
        <x:v>-1360.0610000000001</x:v>
      </x:c>
      <x:c r="AU297" s="65" t="n">
        <x:f>AT297/AK297</x:f>
        <x:v>-0.5545696528631228</x:v>
      </x:c>
      <x:c r="AV297" s="64" t="n">
        <x:f>AK297+AT297</x:f>
        <x:v>1092.4010000000003</x:v>
      </x:c>
      <x:c r="AW297" s="65" t="n">
        <x:f>AV297/AK297</x:f>
        <x:v>0.4454303471368772</x:v>
      </x:c>
      <x:c r="AX297" s="64" t="n">
        <x:f>-ROUND(AK297*'Drivers'!W297,3)</x:f>
        <x:v>-30.622</x:v>
      </x:c>
      <x:c r="AY297" s="64" t="n">
        <x:f>-ROUND(AK297*'Drivers'!X297,3)</x:f>
        <x:v>-51.739</x:v>
      </x:c>
      <x:c r="AZ297" s="64" t="n">
        <x:f>-ROUND(AK297*'Drivers'!Y297,3)</x:f>
        <x:v>-44.207</x:v>
      </x:c>
      <x:c r="BA297" s="64" t="n">
        <x:f>-ROUND(AK297*'Drivers'!Z297,3)</x:f>
        <x:v>-14.62</x:v>
      </x:c>
      <x:c r="BB297" s="64" t="n">
        <x:f>-ROUND(AK297*'Drivers'!AA297,3)</x:f>
        <x:v>-11.538</x:v>
      </x:c>
      <x:c r="BC297" s="64" t="n">
        <x:f>SUM(BA297,BB297)</x:f>
        <x:v>-26.158</x:v>
      </x:c>
      <x:c r="BD297" s="64" t="n">
        <x:f>-ROUND(AK297*'Drivers'!AB297,3)</x:f>
        <x:v>-12.889</x:v>
      </x:c>
      <x:c r="BE297" s="64" t="n">
        <x:f>SUM(AX297:BB297,BD297)</x:f>
        <x:v>-165.615</x:v>
      </x:c>
      <x:c r="BF297" s="67" t="n">
        <x:f>'Drivers'!AF297</x:f>
        <x:v>12</x:v>
      </x:c>
      <x:c r="BG297" s="64" t="n">
        <x:f>BJ297</x:f>
        <x:v>-50.965</x:v>
      </x:c>
      <x:c r="BH297" s="64" t="n">
        <x:f>BE297/BF297</x:f>
        <x:v>-13.801250000000001</x:v>
      </x:c>
      <x:c r="BI297" s="68" t="n">
        <x:f>BF297/L297</x:f>
        <x:v>2</x:v>
      </x:c>
      <x:c r="BJ297" s="64" t="n">
        <x:f>-ROUND(AK297*'Drivers'!AC297,3)</x:f>
        <x:v>-50.965</x:v>
      </x:c>
      <x:c r="BK297" s="64" t="n">
        <x:f>-ROUND(AK297*'Drivers'!AD297,3)</x:f>
        <x:v>-235.637</x:v>
      </x:c>
      <x:c r="BL297" s="64" t="n">
        <x:f>SUM(AV297,BE297,BJ297,BK297)</x:f>
        <x:v>640.1840000000002</x:v>
      </x:c>
      <x:c r="BM297" s="65" t="n">
        <x:f>BL297/AK297</x:f>
        <x:v>0.2610372760108006</x:v>
      </x:c>
      <x:c r="BN297" s="64" t="n">
        <x:f>-ROUND(AK297*'Drivers'!AE297,3)</x:f>
        <x:v>-223.917</x:v>
      </x:c>
      <x:c r="BO297" s="64" t="n">
        <x:f>BL297+BN297</x:f>
        <x:v>416.26700000000017</x:v>
      </x:c>
      <x:c r="BP297" s="65" t="n">
        <x:f>BO297/AK297</x:f>
        <x:v>0.1697343322750771</x:v>
      </x:c>
    </x:row>
    <x:row r="298">
      <x:c r="A298" s="61" t="n">
        <x:v>2025</x:v>
      </x:c>
      <x:c r="B298" s="18" t="str">
        <x:v>S1</x:v>
      </x:c>
      <x:c r="C298" s="18" t="str">
        <x:v>2025 S1</x:v>
      </x:c>
      <x:c r="D298" s="18" t="str">
        <x:v>CNCT0075</x:v>
      </x:c>
      <x:c r="E298" s="18" t="str">
        <x:v>杭州万象城</x:v>
      </x:c>
      <x:c r="F298" s="18" t="str">
        <x:v>杭州</x:v>
      </x:c>
      <x:c r="G298" s="18" t="str">
        <x:v>浙江省</x:v>
      </x:c>
      <x:c r="H298" s="18" t="str">
        <x:v>东区</x:v>
      </x:c>
      <x:c r="I298" s="18" t="str">
        <x:v>Shopping Mall</x:v>
      </x:c>
      <x:c r="J298" s="18" t="str">
        <x:v>Prestige Shopping Center</x:v>
      </x:c>
      <x:c r="K298" s="18" t="str">
        <x:v>正常</x:v>
      </x:c>
      <x:c r="L298" s="62" t="n">
        <x:v>6</x:v>
      </x:c>
      <x:c r="M298" s="62" t="n">
        <x:v>45</x:v>
      </x:c>
      <x:c r="N298" s="63" t="n">
        <x:f>'Drivers'!C298</x:f>
        <x:v>2544</x:v>
      </x:c>
      <x:c r="O298" s="63" t="n">
        <x:f>'Drivers'!D298</x:f>
        <x:v>1213.906</x:v>
      </x:c>
      <x:c r="P298" s="64" t="n">
        <x:f>ROUND(N298*O298/1000,3)</x:f>
        <x:v>3088.177</x:v>
      </x:c>
      <x:c r="Q298" s="64" t="n">
        <x:f>ROUND(P298*'Drivers'!E298,3)</x:f>
        <x:v>3022.817</x:v>
      </x:c>
      <x:c r="R298" s="64" t="n">
        <x:f>-ROUND(Q298*'Drivers'!F298,3)</x:f>
        <x:v>-543.277</x:v>
      </x:c>
      <x:c r="S298" s="65" t="n">
        <x:f>R298/Q298</x:f>
        <x:v>-0.17972540183544028</x:v>
      </x:c>
      <x:c r="T298" s="64" t="n">
        <x:f>-ROUND(Q298*'Drivers'!G298,3)</x:f>
        <x:v>-58.609</x:v>
      </x:c>
      <x:c r="U298" s="65" t="n">
        <x:f>T298/Q298</x:f>
        <x:v>-0.019388868065781027</x:v>
      </x:c>
      <x:c r="V298" s="64" t="n">
        <x:f>-ROUND(Q298*'Drivers'!H298,3)</x:f>
        <x:v>-36.566</x:v>
      </x:c>
      <x:c r="W298" s="64" t="n">
        <x:f>-ROUND(Q298*'Drivers'!I298,3)</x:f>
        <x:v>-29.264</x:v>
      </x:c>
      <x:c r="X298" s="64" t="n">
        <x:f>-ROUND(Q298*'Drivers'!J298,3)</x:f>
        <x:v>-50.386</x:v>
      </x:c>
      <x:c r="Y298" s="64" t="n">
        <x:f>-ROUND(Q298*'Drivers'!K298,3)</x:f>
        <x:v>-40.374</x:v>
      </x:c>
      <x:c r="Z298" s="64" t="n">
        <x:f>-ROUND(Q298*'Drivers'!L298,3)</x:f>
        <x:v>-41.968</x:v>
      </x:c>
      <x:c r="AA298" s="64" t="n">
        <x:f>-ROUND(Q298*'Drivers'!M298,3)</x:f>
        <x:v>-29.181</x:v>
      </x:c>
      <x:c r="AB298" s="64" t="n">
        <x:f>-ROUND(Q298*'Drivers'!N298,3)</x:f>
        <x:v>-25.952</x:v>
      </x:c>
      <x:c r="AC298" s="64" t="n">
        <x:f>SUM(V298:AB298)</x:f>
        <x:v>-253.691</x:v>
      </x:c>
      <x:c r="AD298" s="65" t="n">
        <x:f>AC298/Q298</x:f>
        <x:v>-0.08392535836605391</x:v>
      </x:c>
      <x:c r="AE298" s="64" t="n">
        <x:f>-ROUND(Q298*'Drivers'!O298,3)</x:f>
        <x:v>-21.886</x:v>
      </x:c>
      <x:c r="AF298" s="65" t="n">
        <x:f>AE298/Q298</x:f>
        <x:v>-0.0072402662814189545</x:v>
      </x:c>
      <x:c r="AG298" s="64" t="n">
        <x:f>-ROUND(Q298*'Drivers'!P298,3)</x:f>
        <x:v>-7.68</x:v>
      </x:c>
      <x:c r="AH298" s="64" t="n">
        <x:f>-ROUND(Q298*'Drivers'!Q298,3)</x:f>
        <x:v>-14.184</x:v>
      </x:c>
      <x:c r="AI298" s="64" t="n">
        <x:f>SUM(R298,T298,AC298,AE298,AG298,AH298)</x:f>
        <x:v>-899.327</x:v>
      </x:c>
      <x:c r="AJ298" s="65" t="n">
        <x:f>AI298/Q298</x:f>
        <x:v>-0.29751288285066546</x:v>
      </x:c>
      <x:c r="AK298" s="64" t="n">
        <x:f>Q298+AI298</x:f>
        <x:v>2123.49</x:v>
      </x:c>
      <x:c r="AL298" s="65" t="n">
        <x:f>AK298/Q298</x:f>
        <x:v>0.7024871171493344</x:v>
      </x:c>
      <x:c r="AM298" s="64" t="n">
        <x:f>AK298/L298</x:f>
        <x:v>353.91499999999996</x:v>
      </x:c>
      <x:c r="AN298" s="66" t="str">
        <x:f>IF(AM298&lt;=200,"≤200K",IF(AM298&lt;=350,"200–350K",IF(AM298&lt;=500,"350–500K",IF(AM298&lt;=700,"500–700K","&gt;700K"))))</x:f>
        <x:v>350–500K</x:v>
      </x:c>
      <x:c r="AO298" s="64" t="n">
        <x:f>-ROUND(Q298*'Drivers'!R298,3)</x:f>
        <x:v>-1054.561</x:v>
      </x:c>
      <x:c r="AP298" s="64" t="n">
        <x:f>-ROUND(AK298*'Drivers'!S298,3)</x:f>
        <x:v>-26.976</x:v>
      </x:c>
      <x:c r="AQ298" s="64" t="n">
        <x:f>-ROUND(AK298*'Drivers'!T298,3)</x:f>
        <x:v>-11.422</x:v>
      </x:c>
      <x:c r="AR298" s="64" t="n">
        <x:f>-ROUND(AK298*'Drivers'!U298,3)</x:f>
        <x:v>-18.388</x:v>
      </x:c>
      <x:c r="AS298" s="64" t="n">
        <x:f>-ROUND(AK298*'Drivers'!V298,3)</x:f>
        <x:v>-64.559</x:v>
      </x:c>
      <x:c r="AT298" s="64" t="n">
        <x:f>SUM(AO298:AS298)</x:f>
        <x:v>-1175.9059999999997</x:v>
      </x:c>
      <x:c r="AU298" s="65" t="n">
        <x:f>AT298/AK298</x:f>
        <x:v>-0.5537610254816363</x:v>
      </x:c>
      <x:c r="AV298" s="64" t="n">
        <x:f>AK298+AT298</x:f>
        <x:v>947.5840000000001</x:v>
      </x:c>
      <x:c r="AW298" s="65" t="n">
        <x:f>AV298/AK298</x:f>
        <x:v>0.4462389745183637</x:v>
      </x:c>
      <x:c r="AX298" s="64" t="n">
        <x:f>-ROUND(AK298*'Drivers'!W298,3)</x:f>
        <x:v>-23.61</x:v>
      </x:c>
      <x:c r="AY298" s="64" t="n">
        <x:f>-ROUND(AK298*'Drivers'!X298,3)</x:f>
        <x:v>-50.736</x:v>
      </x:c>
      <x:c r="AZ298" s="64" t="n">
        <x:f>-ROUND(AK298*'Drivers'!Y298,3)</x:f>
        <x:v>-39.275</x:v>
      </x:c>
      <x:c r="BA298" s="64" t="n">
        <x:f>-ROUND(AK298*'Drivers'!Z298,3)</x:f>
        <x:v>-8.83</x:v>
      </x:c>
      <x:c r="BB298" s="64" t="n">
        <x:f>-ROUND(AK298*'Drivers'!AA298,3)</x:f>
        <x:v>-10.374</x:v>
      </x:c>
      <x:c r="BC298" s="64" t="n">
        <x:f>SUM(BA298,BB298)</x:f>
        <x:v>-19.204</x:v>
      </x:c>
      <x:c r="BD298" s="64" t="n">
        <x:f>-ROUND(AK298*'Drivers'!AB298,3)</x:f>
        <x:v>-11.355</x:v>
      </x:c>
      <x:c r="BE298" s="64" t="n">
        <x:f>SUM(AX298:BB298,BD298)</x:f>
        <x:v>-144.18</x:v>
      </x:c>
      <x:c r="BF298" s="67" t="n">
        <x:f>'Drivers'!AF298</x:f>
        <x:v>12</x:v>
      </x:c>
      <x:c r="BG298" s="64" t="n">
        <x:f>BJ298</x:f>
        <x:v>-38.003</x:v>
      </x:c>
      <x:c r="BH298" s="64" t="n">
        <x:f>BE298/BF298</x:f>
        <x:v>-12.015</x:v>
      </x:c>
      <x:c r="BI298" s="68" t="n">
        <x:f>BF298/L298</x:f>
        <x:v>2</x:v>
      </x:c>
      <x:c r="BJ298" s="64" t="n">
        <x:f>-ROUND(AK298*'Drivers'!AC298,3)</x:f>
        <x:v>-38.003</x:v>
      </x:c>
      <x:c r="BK298" s="64" t="n">
        <x:f>-ROUND(AK298*'Drivers'!AD298,3)</x:f>
        <x:v>-227.816</x:v>
      </x:c>
      <x:c r="BL298" s="64" t="n">
        <x:f>SUM(AV298,BE298,BJ298,BK298)</x:f>
        <x:v>537.5849999999999</x:v>
      </x:c>
      <x:c r="BM298" s="65" t="n">
        <x:f>BL298/AK298</x:f>
        <x:v>0.2531610697483859</x:v>
      </x:c>
      <x:c r="BN298" s="64" t="n">
        <x:f>-ROUND(AK298*'Drivers'!AE298,3)</x:f>
        <x:v>-157.091</x:v>
      </x:c>
      <x:c r="BO298" s="64" t="n">
        <x:f>BL298+BN298</x:f>
        <x:v>380.4939999999999</x:v>
      </x:c>
      <x:c r="BP298" s="65" t="n">
        <x:f>BO298/AK298</x:f>
        <x:v>0.179183325563106</x:v>
      </x:c>
    </x:row>
    <x:row r="299">
      <x:c r="A299" s="61" t="n">
        <x:v>2025</x:v>
      </x:c>
      <x:c r="B299" s="18" t="str">
        <x:v>S2</x:v>
      </x:c>
      <x:c r="C299" s="18" t="str">
        <x:v>2025 S2</x:v>
      </x:c>
      <x:c r="D299" s="18" t="str">
        <x:v>CNCT0075</x:v>
      </x:c>
      <x:c r="E299" s="18" t="str">
        <x:v>杭州万象城</x:v>
      </x:c>
      <x:c r="F299" s="18" t="str">
        <x:v>杭州</x:v>
      </x:c>
      <x:c r="G299" s="18" t="str">
        <x:v>浙江省</x:v>
      </x:c>
      <x:c r="H299" s="18" t="str">
        <x:v>东区</x:v>
      </x:c>
      <x:c r="I299" s="18" t="str">
        <x:v>Shopping Mall</x:v>
      </x:c>
      <x:c r="J299" s="18" t="str">
        <x:v>Prestige Shopping Center</x:v>
      </x:c>
      <x:c r="K299" s="18" t="str">
        <x:v>正常</x:v>
      </x:c>
      <x:c r="L299" s="62" t="n">
        <x:v>6</x:v>
      </x:c>
      <x:c r="M299" s="62" t="n">
        <x:v>45</x:v>
      </x:c>
      <x:c r="N299" s="63" t="n">
        <x:f>'Drivers'!C299</x:f>
        <x:v>2703</x:v>
      </x:c>
      <x:c r="O299" s="63" t="n">
        <x:f>'Drivers'!D299</x:f>
        <x:v>1228.473</x:v>
      </x:c>
      <x:c r="P299" s="64" t="n">
        <x:f>ROUND(N299*O299/1000,3)</x:f>
        <x:v>3320.563</x:v>
      </x:c>
      <x:c r="Q299" s="64" t="n">
        <x:f>ROUND(P299*'Drivers'!E299,3)</x:f>
        <x:v>3268.271</x:v>
      </x:c>
      <x:c r="R299" s="64" t="n">
        <x:f>-ROUND(Q299*'Drivers'!F299,3)</x:f>
        <x:v>-587.392</x:v>
      </x:c>
      <x:c r="S299" s="65" t="n">
        <x:f>R299/Q299</x:f>
        <x:v>-0.17972561026916067</x:v>
      </x:c>
      <x:c r="T299" s="64" t="n">
        <x:f>-ROUND(Q299*'Drivers'!G299,3)</x:f>
        <x:v>-63.368</x:v>
      </x:c>
      <x:c r="U299" s="65" t="n">
        <x:f>T299/Q299</x:f>
        <x:v>-0.019388845049874995</x:v>
      </x:c>
      <x:c r="V299" s="64" t="n">
        <x:f>-ROUND(Q299*'Drivers'!H299,3)</x:f>
        <x:v>-39.535</x:v>
      </x:c>
      <x:c r="W299" s="64" t="n">
        <x:f>-ROUND(Q299*'Drivers'!I299,3)</x:f>
        <x:v>-31.64</x:v>
      </x:c>
      <x:c r="X299" s="64" t="n">
        <x:f>-ROUND(Q299*'Drivers'!J299,3)</x:f>
        <x:v>-54.477</x:v>
      </x:c>
      <x:c r="Y299" s="64" t="n">
        <x:f>-ROUND(Q299*'Drivers'!K299,3)</x:f>
        <x:v>-43.652</x:v>
      </x:c>
      <x:c r="Z299" s="64" t="n">
        <x:f>-ROUND(Q299*'Drivers'!L299,3)</x:f>
        <x:v>-45.376</x:v>
      </x:c>
      <x:c r="AA299" s="64" t="n">
        <x:f>-ROUND(Q299*'Drivers'!M299,3)</x:f>
        <x:v>-31.55</x:v>
      </x:c>
      <x:c r="AB299" s="64" t="n">
        <x:f>-ROUND(Q299*'Drivers'!N299,3)</x:f>
        <x:v>-28.059</x:v>
      </x:c>
      <x:c r="AC299" s="64" t="n">
        <x:f>SUM(V299:AB299)</x:f>
        <x:v>-274.289</x:v>
      </x:c>
      <x:c r="AD299" s="65" t="n">
        <x:f>AC299/Q299</x:f>
        <x:v>-0.08392480305335756</x:v>
      </x:c>
      <x:c r="AE299" s="64" t="n">
        <x:f>-ROUND(Q299*'Drivers'!O299,3)</x:f>
        <x:v>-23.663</x:v>
      </x:c>
      <x:c r="AF299" s="65" t="n">
        <x:f>AE299/Q299</x:f>
        <x:v>-0.007240219675785759</x:v>
      </x:c>
      <x:c r="AG299" s="64" t="n">
        <x:f>-ROUND(Q299*'Drivers'!P299,3)</x:f>
        <x:v>-8.304</x:v>
      </x:c>
      <x:c r="AH299" s="64" t="n">
        <x:f>-ROUND(Q299*'Drivers'!Q299,3)</x:f>
        <x:v>-15.336</x:v>
      </x:c>
      <x:c r="AI299" s="64" t="n">
        <x:f>SUM(R299,T299,AC299,AE299,AG299,AH299)</x:f>
        <x:v>-972.3520000000001</x:v>
      </x:c>
      <x:c r="AJ299" s="65" t="n">
        <x:f>AI299/Q299</x:f>
        <x:v>-0.2975126603638438</x:v>
      </x:c>
      <x:c r="AK299" s="64" t="n">
        <x:f>Q299+AI299</x:f>
        <x:v>2295.919</x:v>
      </x:c>
      <x:c r="AL299" s="65" t="n">
        <x:f>AK299/Q299</x:f>
        <x:v>0.7024873396361562</x:v>
      </x:c>
      <x:c r="AM299" s="64" t="n">
        <x:f>AK299/L299</x:f>
        <x:v>382.65316666666666</x:v>
      </x:c>
      <x:c r="AN299" s="66" t="str">
        <x:f>IF(AM299&lt;=200,"≤200K",IF(AM299&lt;=350,"200–350K",IF(AM299&lt;=500,"350–500K",IF(AM299&lt;=700,"500–700K","&gt;700K"))))</x:f>
        <x:v>350–500K</x:v>
      </x:c>
      <x:c r="AO299" s="64" t="n">
        <x:f>-ROUND(Q299*'Drivers'!R299,3)</x:f>
        <x:v>-1196.453</x:v>
      </x:c>
      <x:c r="AP299" s="64" t="n">
        <x:f>-ROUND(AK299*'Drivers'!S299,3)</x:f>
        <x:v>-29.167</x:v>
      </x:c>
      <x:c r="AQ299" s="64" t="n">
        <x:f>-ROUND(AK299*'Drivers'!T299,3)</x:f>
        <x:v>-12.35</x:v>
      </x:c>
      <x:c r="AR299" s="64" t="n">
        <x:f>-ROUND(AK299*'Drivers'!U299,3)</x:f>
        <x:v>-19.881</x:v>
      </x:c>
      <x:c r="AS299" s="64" t="n">
        <x:f>-ROUND(AK299*'Drivers'!V299,3)</x:f>
        <x:v>-69.802</x:v>
      </x:c>
      <x:c r="AT299" s="64" t="n">
        <x:f>SUM(AO299:AS299)</x:f>
        <x:v>-1327.6529999999998</x:v>
      </x:c>
      <x:c r="AU299" s="65" t="n">
        <x:f>AT299/AK299</x:f>
        <x:v>-0.5782664806554586</x:v>
      </x:c>
      <x:c r="AV299" s="64" t="n">
        <x:f>AK299+AT299</x:f>
        <x:v>968.2660000000001</x:v>
      </x:c>
      <x:c r="AW299" s="65" t="n">
        <x:f>AV299/AK299</x:f>
        <x:v>0.4217335193445414</x:v>
      </x:c>
      <x:c r="AX299" s="64" t="n">
        <x:f>-ROUND(AK299*'Drivers'!W299,3)</x:f>
        <x:v>-25.528</x:v>
      </x:c>
      <x:c r="AY299" s="64" t="n">
        <x:f>-ROUND(AK299*'Drivers'!X299,3)</x:f>
        <x:v>-54.856</x:v>
      </x:c>
      <x:c r="AZ299" s="64" t="n">
        <x:f>-ROUND(AK299*'Drivers'!Y299,3)</x:f>
        <x:v>-42.464</x:v>
      </x:c>
      <x:c r="BA299" s="64" t="n">
        <x:f>-ROUND(AK299*'Drivers'!Z299,3)</x:f>
        <x:v>-9.547</x:v>
      </x:c>
      <x:c r="BB299" s="64" t="n">
        <x:f>-ROUND(AK299*'Drivers'!AA299,3)</x:f>
        <x:v>-11.216</x:v>
      </x:c>
      <x:c r="BC299" s="64" t="n">
        <x:f>SUM(BA299,BB299)</x:f>
        <x:v>-20.762999999999998</x:v>
      </x:c>
      <x:c r="BD299" s="64" t="n">
        <x:f>-ROUND(AK299*'Drivers'!AB299,3)</x:f>
        <x:v>-12.277</x:v>
      </x:c>
      <x:c r="BE299" s="64" t="n">
        <x:f>SUM(AX299:BB299,BD299)</x:f>
        <x:v>-155.888</x:v>
      </x:c>
      <x:c r="BF299" s="67" t="n">
        <x:f>'Drivers'!AF299</x:f>
        <x:v>12</x:v>
      </x:c>
      <x:c r="BG299" s="64" t="n">
        <x:f>BJ299</x:f>
        <x:v>-41.089</x:v>
      </x:c>
      <x:c r="BH299" s="64" t="n">
        <x:f>BE299/BF299</x:f>
        <x:v>-12.990666666666668</x:v>
      </x:c>
      <x:c r="BI299" s="68" t="n">
        <x:f>BF299/L299</x:f>
        <x:v>2</x:v>
      </x:c>
      <x:c r="BJ299" s="64" t="n">
        <x:f>-ROUND(AK299*'Drivers'!AC299,3)</x:f>
        <x:v>-41.089</x:v>
      </x:c>
      <x:c r="BK299" s="64" t="n">
        <x:f>-ROUND(AK299*'Drivers'!AD299,3)</x:f>
        <x:v>-246.315</x:v>
      </x:c>
      <x:c r="BL299" s="64" t="n">
        <x:f>SUM(AV299,BE299,BJ299,BK299)</x:f>
        <x:v>524.9739999999999</x:v>
      </x:c>
      <x:c r="BM299" s="65" t="n">
        <x:f>BL299/AK299</x:f>
        <x:v>0.2286552792149897</x:v>
      </x:c>
      <x:c r="BN299" s="64" t="n">
        <x:f>-ROUND(AK299*'Drivers'!AE299,3)</x:f>
        <x:v>-169.846</x:v>
      </x:c>
      <x:c r="BO299" s="64" t="n">
        <x:f>BL299+BN299</x:f>
        <x:v>355.12799999999993</x:v>
      </x:c>
      <x:c r="BP299" s="65" t="n">
        <x:f>BO299/AK299</x:f>
        <x:v>0.1546779307109702</x:v>
      </x:c>
    </x:row>
    <x:row r="300">
      <x:c r="A300" s="61" t="n">
        <x:v>2026</x:v>
      </x:c>
      <x:c r="B300" s="18" t="str">
        <x:v>S1</x:v>
      </x:c>
      <x:c r="C300" s="18" t="str">
        <x:v>2026 S1</x:v>
      </x:c>
      <x:c r="D300" s="18" t="str">
        <x:v>CNCT0075</x:v>
      </x:c>
      <x:c r="E300" s="18" t="str">
        <x:v>杭州万象城</x:v>
      </x:c>
      <x:c r="F300" s="18" t="str">
        <x:v>杭州</x:v>
      </x:c>
      <x:c r="G300" s="18" t="str">
        <x:v>浙江省</x:v>
      </x:c>
      <x:c r="H300" s="18" t="str">
        <x:v>东区</x:v>
      </x:c>
      <x:c r="I300" s="18" t="str">
        <x:v>Shopping Mall</x:v>
      </x:c>
      <x:c r="J300" s="18" t="str">
        <x:v>Prestige Shopping Center</x:v>
      </x:c>
      <x:c r="K300" s="18" t="str">
        <x:v>正常</x:v>
      </x:c>
      <x:c r="L300" s="62" t="n">
        <x:v>7</x:v>
      </x:c>
      <x:c r="M300" s="62" t="n">
        <x:v>47</x:v>
      </x:c>
      <x:c r="N300" s="63" t="n">
        <x:f>'Drivers'!C300</x:f>
        <x:v>2804</x:v>
      </x:c>
      <x:c r="O300" s="63" t="n">
        <x:f>'Drivers'!D300</x:f>
        <x:v>1264.976</x:v>
      </x:c>
      <x:c r="P300" s="64" t="n">
        <x:f>ROUND(N300*O300/1000,3)</x:f>
        <x:v>3546.993</x:v>
      </x:c>
      <x:c r="Q300" s="64" t="n">
        <x:f>ROUND(P300*'Drivers'!E300,3)</x:f>
        <x:v>3481.329</x:v>
      </x:c>
      <x:c r="R300" s="64" t="n">
        <x:f>-ROUND(Q300*'Drivers'!F300,3)</x:f>
        <x:v>-624.07</x:v>
      </x:c>
      <x:c r="S300" s="65" t="n">
        <x:f>R300/Q300</x:f>
        <x:v>-0.1792620002303718</x:v>
      </x:c>
      <x:c r="T300" s="64" t="n">
        <x:f>-ROUND(Q300*'Drivers'!G300,3)</x:f>
        <x:v>-61.556</x:v>
      </x:c>
      <x:c r="U300" s="65" t="n">
        <x:f>T300/Q300</x:f>
        <x:v>-0.017681753146571322</x:v>
      </x:c>
      <x:c r="V300" s="64" t="n">
        <x:f>-ROUND(Q300*'Drivers'!H300,3)</x:f>
        <x:v>-42.113</x:v>
      </x:c>
      <x:c r="W300" s="64" t="n">
        <x:f>-ROUND(Q300*'Drivers'!I300,3)</x:f>
        <x:v>-33.702</x:v>
      </x:c>
      <x:c r="X300" s="64" t="n">
        <x:f>-ROUND(Q300*'Drivers'!J300,3)</x:f>
        <x:v>-58.028</x:v>
      </x:c>
      <x:c r="Y300" s="64" t="n">
        <x:f>-ROUND(Q300*'Drivers'!K300,3)</x:f>
        <x:v>-46.498</x:v>
      </x:c>
      <x:c r="Z300" s="64" t="n">
        <x:f>-ROUND(Q300*'Drivers'!L300,3)</x:f>
        <x:v>-48.334</x:v>
      </x:c>
      <x:c r="AA300" s="64" t="n">
        <x:f>-ROUND(Q300*'Drivers'!M300,3)</x:f>
        <x:v>-33.607</x:v>
      </x:c>
      <x:c r="AB300" s="64" t="n">
        <x:f>-ROUND(Q300*'Drivers'!N300,3)</x:f>
        <x:v>-29.888</x:v>
      </x:c>
      <x:c r="AC300" s="64" t="n">
        <x:f>SUM(V300:AB300)</x:f>
        <x:v>-292.16999999999996</x:v>
      </x:c>
      <x:c r="AD300" s="65" t="n">
        <x:f>AC300/Q300</x:f>
        <x:v>-0.08392484594245472</x:v>
      </x:c>
      <x:c r="AE300" s="64" t="n">
        <x:f>-ROUND(Q300*'Drivers'!O300,3)</x:f>
        <x:v>-19.792</x:v>
      </x:c>
      <x:c r="AF300" s="65" t="n">
        <x:f>AE300/Q300</x:f>
        <x:v>-0.005685185169227039</x:v>
      </x:c>
      <x:c r="AG300" s="64" t="n">
        <x:f>-ROUND(Q300*'Drivers'!P300,3)</x:f>
        <x:v>-8.845</x:v>
      </x:c>
      <x:c r="AH300" s="64" t="n">
        <x:f>-ROUND(Q300*'Drivers'!Q300,3)</x:f>
        <x:v>-16.336</x:v>
      </x:c>
      <x:c r="AI300" s="64" t="n">
        <x:f>SUM(R300,T300,AC300,AE300,AG300,AH300)</x:f>
        <x:v>-1022.7690000000001</x:v>
      </x:c>
      <x:c r="AJ300" s="65" t="n">
        <x:f>AI300/Q300</x:f>
        <x:v>-0.29378694171105346</x:v>
      </x:c>
      <x:c r="AK300" s="64" t="n">
        <x:f>Q300+AI300</x:f>
        <x:v>2458.56</x:v>
      </x:c>
      <x:c r="AL300" s="65" t="n">
        <x:f>AK300/Q300</x:f>
        <x:v>0.7062130582889465</x:v>
      </x:c>
      <x:c r="AM300" s="64" t="n">
        <x:f>AK300/L300</x:f>
        <x:v>351.22285714285715</x:v>
      </x:c>
      <x:c r="AN300" s="66" t="str">
        <x:f>IF(AM300&lt;=200,"≤200K",IF(AM300&lt;=350,"200–350K",IF(AM300&lt;=500,"350–500K",IF(AM300&lt;=700,"500–700K","&gt;700K"))))</x:f>
        <x:v>350–500K</x:v>
      </x:c>
      <x:c r="AO300" s="64" t="n">
        <x:f>-ROUND(Q300*'Drivers'!R300,3)</x:f>
        <x:v>-1148.941</x:v>
      </x:c>
      <x:c r="AP300" s="64" t="n">
        <x:f>-ROUND(AK300*'Drivers'!S300,3)</x:f>
        <x:v>-31.233</x:v>
      </x:c>
      <x:c r="AQ300" s="64" t="n">
        <x:f>-ROUND(AK300*'Drivers'!T300,3)</x:f>
        <x:v>-13.225</x:v>
      </x:c>
      <x:c r="AR300" s="64" t="n">
        <x:f>-ROUND(AK300*'Drivers'!U300,3)</x:f>
        <x:v>-21.29</x:v>
      </x:c>
      <x:c r="AS300" s="64" t="n">
        <x:f>-ROUND(AK300*'Drivers'!V300,3)</x:f>
        <x:v>-74.746</x:v>
      </x:c>
      <x:c r="AT300" s="64" t="n">
        <x:f>SUM(AO300:AS300)</x:f>
        <x:v>-1289.435</x:v>
      </x:c>
      <x:c r="AU300" s="65" t="n">
        <x:f>AT300/AK300</x:f>
        <x:v>-0.5244675745151633</x:v>
      </x:c>
      <x:c r="AV300" s="64" t="n">
        <x:f>AK300+AT300</x:f>
        <x:v>1169.125</x:v>
      </x:c>
      <x:c r="AW300" s="65" t="n">
        <x:f>AV300/AK300</x:f>
        <x:v>0.47553242548483665</x:v>
      </x:c>
      <x:c r="AX300" s="64" t="n">
        <x:f>-ROUND(AK300*'Drivers'!W300,3)</x:f>
        <x:v>-24.056</x:v>
      </x:c>
      <x:c r="AY300" s="64" t="n">
        <x:f>-ROUND(AK300*'Drivers'!X300,3)</x:f>
        <x:v>-51.693</x:v>
      </x:c>
      <x:c r="AZ300" s="64" t="n">
        <x:f>-ROUND(AK300*'Drivers'!Y300,3)</x:f>
        <x:v>-40.015</x:v>
      </x:c>
      <x:c r="BA300" s="64" t="n">
        <x:f>-ROUND(AK300*'Drivers'!Z300,3)</x:f>
        <x:v>-8.997</x:v>
      </x:c>
      <x:c r="BB300" s="64" t="n">
        <x:f>-ROUND(AK300*'Drivers'!AA300,3)</x:f>
        <x:v>-10.569</x:v>
      </x:c>
      <x:c r="BC300" s="64" t="n">
        <x:f>SUM(BA300,BB300)</x:f>
        <x:v>-19.566000000000003</x:v>
      </x:c>
      <x:c r="BD300" s="64" t="n">
        <x:f>-ROUND(AK300*'Drivers'!AB300,3)</x:f>
        <x:v>-11.569</x:v>
      </x:c>
      <x:c r="BE300" s="64" t="n">
        <x:f>SUM(AX300:BB300,BD300)</x:f>
        <x:v>-146.89899999999997</x:v>
      </x:c>
      <x:c r="BF300" s="67" t="n">
        <x:f>'Drivers'!AF300</x:f>
        <x:v>12</x:v>
      </x:c>
      <x:c r="BG300" s="64" t="n">
        <x:f>BJ300</x:f>
        <x:v>-38.719</x:v>
      </x:c>
      <x:c r="BH300" s="64" t="n">
        <x:f>BE300/BF300</x:f>
        <x:v>-12.241583333333331</x:v>
      </x:c>
      <x:c r="BI300" s="68" t="n">
        <x:f>BF300/L300</x:f>
        <x:v>1.7142857142857142</x:v>
      </x:c>
      <x:c r="BJ300" s="64" t="n">
        <x:f>-ROUND(AK300*'Drivers'!AC300,3)</x:f>
        <x:v>-38.719</x:v>
      </x:c>
      <x:c r="BK300" s="64" t="n">
        <x:f>-ROUND(AK300*'Drivers'!AD300,3)</x:f>
        <x:v>-242.663</x:v>
      </x:c>
      <x:c r="BL300" s="64" t="n">
        <x:f>SUM(AV300,BE300,BJ300,BK300)</x:f>
        <x:v>740.8439999999999</x:v>
      </x:c>
      <x:c r="BM300" s="65" t="n">
        <x:f>BL300/AK300</x:f>
        <x:v>0.3013324873096446</x:v>
      </x:c>
      <x:c r="BN300" s="64" t="n">
        <x:f>-ROUND(AK300*'Drivers'!AE300,3)</x:f>
        <x:v>-298.303</x:v>
      </x:c>
      <x:c r="BO300" s="64" t="n">
        <x:f>BL300+BN300</x:f>
        <x:v>442.54099999999994</x:v>
      </x:c>
      <x:c r="BP300" s="65" t="n">
        <x:f>BO300/AK300</x:f>
        <x:v>0.1800000813484316</x:v>
      </x:c>
    </x:row>
    <x:row r="301">
      <x:c r="A301" s="61" t="n">
        <x:v>2026</x:v>
      </x:c>
      <x:c r="B301" s="18" t="str">
        <x:v>S2</x:v>
      </x:c>
      <x:c r="C301" s="18" t="str">
        <x:v>2026 S2</x:v>
      </x:c>
      <x:c r="D301" s="18" t="str">
        <x:v>CNCT0075</x:v>
      </x:c>
      <x:c r="E301" s="18" t="str">
        <x:v>杭州万象城</x:v>
      </x:c>
      <x:c r="F301" s="18" t="str">
        <x:v>杭州</x:v>
      </x:c>
      <x:c r="G301" s="18" t="str">
        <x:v>浙江省</x:v>
      </x:c>
      <x:c r="H301" s="18" t="str">
        <x:v>东区</x:v>
      </x:c>
      <x:c r="I301" s="18" t="str">
        <x:v>Shopping Mall</x:v>
      </x:c>
      <x:c r="J301" s="18" t="str">
        <x:v>Prestige Shopping Center</x:v>
      </x:c>
      <x:c r="K301" s="18" t="str">
        <x:v>正常</x:v>
      </x:c>
      <x:c r="L301" s="62" t="n">
        <x:v>7</x:v>
      </x:c>
      <x:c r="M301" s="62" t="n">
        <x:v>47</x:v>
      </x:c>
      <x:c r="N301" s="63" t="n">
        <x:f>'Drivers'!C301</x:f>
        <x:v>3038</x:v>
      </x:c>
      <x:c r="O301" s="63" t="n">
        <x:f>'Drivers'!D301</x:f>
        <x:v>1283.602</x:v>
      </x:c>
      <x:c r="P301" s="64" t="n">
        <x:f>ROUND(N301*O301/1000,3)</x:f>
        <x:v>3899.583</x:v>
      </x:c>
      <x:c r="Q301" s="64" t="n">
        <x:f>ROUND(P301*'Drivers'!E301,3)</x:f>
        <x:v>3838.173</x:v>
      </x:c>
      <x:c r="R301" s="64" t="n">
        <x:f>-ROUND(Q301*'Drivers'!F301,3)</x:f>
        <x:v>-707.797</x:v>
      </x:c>
      <x:c r="S301" s="65" t="n">
        <x:f>R301/Q301</x:f>
        <x:v>-0.18440987417711502</x:v>
      </x:c>
      <x:c r="T301" s="64" t="n">
        <x:f>-ROUND(Q301*'Drivers'!G301,3)</x:f>
        <x:v>-79.694</x:v>
      </x:c>
      <x:c r="U301" s="65" t="n">
        <x:f>T301/Q301</x:f>
        <x:v>-0.020763524729083344</x:v>
      </x:c>
      <x:c r="V301" s="64" t="n">
        <x:f>-ROUND(Q301*'Drivers'!H301,3)</x:f>
        <x:v>-46.429</x:v>
      </x:c>
      <x:c r="W301" s="64" t="n">
        <x:f>-ROUND(Q301*'Drivers'!I301,3)</x:f>
        <x:v>-37.157</x:v>
      </x:c>
      <x:c r="X301" s="64" t="n">
        <x:f>-ROUND(Q301*'Drivers'!J301,3)</x:f>
        <x:v>-63.976</x:v>
      </x:c>
      <x:c r="Y301" s="64" t="n">
        <x:f>-ROUND(Q301*'Drivers'!K301,3)</x:f>
        <x:v>-51.264</x:v>
      </x:c>
      <x:c r="Z301" s="64" t="n">
        <x:f>-ROUND(Q301*'Drivers'!L301,3)</x:f>
        <x:v>-53.288</x:v>
      </x:c>
      <x:c r="AA301" s="64" t="n">
        <x:f>-ROUND(Q301*'Drivers'!M301,3)</x:f>
        <x:v>-37.052</x:v>
      </x:c>
      <x:c r="AB301" s="64" t="n">
        <x:f>-ROUND(Q301*'Drivers'!N301,3)</x:f>
        <x:v>-32.952</x:v>
      </x:c>
      <x:c r="AC301" s="64" t="n">
        <x:f>SUM(V301:AB301)</x:f>
        <x:v>-322.11800000000005</x:v>
      </x:c>
      <x:c r="AD301" s="65" t="n">
        <x:f>AC301/Q301</x:f>
        <x:v>-0.08392482569180704</x:v>
      </x:c>
      <x:c r="AE301" s="64" t="n">
        <x:f>-ROUND(Q301*'Drivers'!O301,3)</x:f>
        <x:v>-27.789</x:v>
      </x:c>
      <x:c r="AF301" s="65" t="n">
        <x:f>AE301/Q301</x:f>
        <x:v>-0.007240163484032639</x:v>
      </x:c>
      <x:c r="AG301" s="64" t="n">
        <x:f>-ROUND(Q301*'Drivers'!P301,3)</x:f>
        <x:v>-9.752</x:v>
      </x:c>
      <x:c r="AH301" s="64" t="n">
        <x:f>-ROUND(Q301*'Drivers'!Q301,3)</x:f>
        <x:v>-18.01</x:v>
      </x:c>
      <x:c r="AI301" s="64" t="n">
        <x:f>SUM(R301,T301,AC301,AE301,AG301,AH301)</x:f>
        <x:v>-1165.1599999999999</x:v>
      </x:c>
      <x:c r="AJ301" s="65" t="n">
        <x:f>AI301/Q301</x:f>
        <x:v>-0.3035715169691413</x:v>
      </x:c>
      <x:c r="AK301" s="64" t="n">
        <x:f>Q301+AI301</x:f>
        <x:v>2673.013</x:v>
      </x:c>
      <x:c r="AL301" s="65" t="n">
        <x:f>AK301/Q301</x:f>
        <x:v>0.6964284830308587</x:v>
      </x:c>
      <x:c r="AM301" s="64" t="n">
        <x:f>AK301/L301</x:f>
        <x:v>381.859</x:v>
      </x:c>
      <x:c r="AN301" s="66" t="str">
        <x:f>IF(AM301&lt;=200,"≤200K",IF(AM301&lt;=350,"200–350K",IF(AM301&lt;=500,"350–500K",IF(AM301&lt;=700,"500–700K","&gt;700K"))))</x:f>
        <x:v>350–500K</x:v>
      </x:c>
      <x:c r="AO301" s="64" t="n">
        <x:f>-ROUND(Q301*'Drivers'!R301,3)</x:f>
        <x:v>-1311.704</x:v>
      </x:c>
      <x:c r="AP301" s="64" t="n">
        <x:f>-ROUND(AK301*'Drivers'!S301,3)</x:f>
        <x:v>-33.957</x:v>
      </x:c>
      <x:c r="AQ301" s="64" t="n">
        <x:f>-ROUND(AK301*'Drivers'!T301,3)</x:f>
        <x:v>-14.378</x:v>
      </x:c>
      <x:c r="AR301" s="64" t="n">
        <x:f>-ROUND(AK301*'Drivers'!U301,3)</x:f>
        <x:v>-23.147</x:v>
      </x:c>
      <x:c r="AS301" s="64" t="n">
        <x:f>-ROUND(AK301*'Drivers'!V301,3)</x:f>
        <x:v>-81.266</x:v>
      </x:c>
      <x:c r="AT301" s="64" t="n">
        <x:f>SUM(AO301:AS301)</x:f>
        <x:v>-1464.452</x:v>
      </x:c>
      <x:c r="AU301" s="65" t="n">
        <x:f>AT301/AK301</x:f>
        <x:v>-0.5478656482403939</x:v>
      </x:c>
      <x:c r="AV301" s="64" t="n">
        <x:f>AK301+AT301</x:f>
        <x:v>1208.561</x:v>
      </x:c>
      <x:c r="AW301" s="65" t="n">
        <x:f>AV301/AK301</x:f>
        <x:v>0.4521343517596061</x:v>
      </x:c>
      <x:c r="AX301" s="64" t="n">
        <x:f>-ROUND(AK301*'Drivers'!W301,3)</x:f>
        <x:v>-27.093</x:v>
      </x:c>
      <x:c r="AY301" s="64" t="n">
        <x:f>-ROUND(AK301*'Drivers'!X301,3)</x:f>
        <x:v>-58.22</x:v>
      </x:c>
      <x:c r="AZ301" s="64" t="n">
        <x:f>-ROUND(AK301*'Drivers'!Y301,3)</x:f>
        <x:v>-45.068</x:v>
      </x:c>
      <x:c r="BA301" s="64" t="n">
        <x:f>-ROUND(AK301*'Drivers'!Z301,3)</x:f>
        <x:v>-10.133</x:v>
      </x:c>
      <x:c r="BB301" s="64" t="n">
        <x:f>-ROUND(AK301*'Drivers'!AA301,3)</x:f>
        <x:v>-11.904</x:v>
      </x:c>
      <x:c r="BC301" s="64" t="n">
        <x:f>SUM(BA301,BB301)</x:f>
        <x:v>-22.037</x:v>
      </x:c>
      <x:c r="BD301" s="64" t="n">
        <x:f>-ROUND(AK301*'Drivers'!AB301,3)</x:f>
        <x:v>-13.03</x:v>
      </x:c>
      <x:c r="BE301" s="64" t="n">
        <x:f>SUM(AX301:BB301,BD301)</x:f>
        <x:v>-165.448</x:v>
      </x:c>
      <x:c r="BF301" s="67" t="n">
        <x:f>'Drivers'!AF301</x:f>
        <x:v>12</x:v>
      </x:c>
      <x:c r="BG301" s="64" t="n">
        <x:f>BJ301</x:f>
        <x:v>-43.608</x:v>
      </x:c>
      <x:c r="BH301" s="64" t="n">
        <x:f>BE301/BF301</x:f>
        <x:v>-13.787333333333335</x:v>
      </x:c>
      <x:c r="BI301" s="68" t="n">
        <x:f>BF301/L301</x:f>
        <x:v>1.7142857142857142</x:v>
      </x:c>
      <x:c r="BJ301" s="64" t="n">
        <x:f>-ROUND(AK301*'Drivers'!AC301,3)</x:f>
        <x:v>-43.608</x:v>
      </x:c>
      <x:c r="BK301" s="64" t="n">
        <x:f>-ROUND(AK301*'Drivers'!AD301,3)</x:f>
        <x:v>-258.094</x:v>
      </x:c>
      <x:c r="BL301" s="64" t="n">
        <x:f>SUM(AV301,BE301,BJ301,BK301)</x:f>
        <x:v>741.4109999999998</x:v>
      </x:c>
      <x:c r="BM301" s="65" t="n">
        <x:f>BL301/AK301</x:f>
        <x:v>0.27736902140019515</x:v>
      </x:c>
      <x:c r="BN301" s="64" t="n">
        <x:f>-ROUND(AK301*'Drivers'!AE301,3)</x:f>
        <x:v>-260.269</x:v>
      </x:c>
      <x:c r="BO301" s="64" t="n">
        <x:f>BL301+BN301</x:f>
        <x:v>481.1419999999998</x:v>
      </x:c>
      <x:c r="BP301" s="65" t="n">
        <x:f>BO301/AK301</x:f>
        <x:v>0.1799998728027136</x:v>
      </x:c>
    </x:row>
    <x:row r="302">
      <x:c r="A302" s="61" t="n">
        <x:v>2025</x:v>
      </x:c>
      <x:c r="B302" s="18" t="str">
        <x:v>S1</x:v>
      </x:c>
      <x:c r="C302" s="18" t="str">
        <x:v>2025 S1</x:v>
      </x:c>
      <x:c r="D302" s="18" t="str">
        <x:v>CNCT0076</x:v>
      </x:c>
      <x:c r="E302" s="18" t="str">
        <x:v>杭州大厦501城市广场</x:v>
      </x:c>
      <x:c r="F302" s="18" t="str">
        <x:v>杭州</x:v>
      </x:c>
      <x:c r="G302" s="18" t="str">
        <x:v>浙江省</x:v>
      </x:c>
      <x:c r="H302" s="18" t="str">
        <x:v>东区</x:v>
      </x:c>
      <x:c r="I302" s="18" t="str">
        <x:v>Department Store</x:v>
      </x:c>
      <x:c r="J302" s="18" t="str">
        <x:v>Core Shopping Center</x:v>
      </x:c>
      <x:c r="K302" s="18" t="str">
        <x:v>正常</x:v>
      </x:c>
      <x:c r="L302" s="62" t="n">
        <x:v>4</x:v>
      </x:c>
      <x:c r="M302" s="62" t="n">
        <x:v>45</x:v>
      </x:c>
      <x:c r="N302" s="63" t="n">
        <x:f>'Drivers'!C302</x:f>
        <x:v>1780</x:v>
      </x:c>
      <x:c r="O302" s="63" t="n">
        <x:f>'Drivers'!D302</x:f>
        <x:v>1038.101</x:v>
      </x:c>
      <x:c r="P302" s="64" t="n">
        <x:f>ROUND(N302*O302/1000,3)</x:f>
        <x:v>1847.82</x:v>
      </x:c>
      <x:c r="Q302" s="64" t="n">
        <x:f>ROUND(P302*'Drivers'!E302,3)</x:f>
        <x:v>1820.025</x:v>
      </x:c>
      <x:c r="R302" s="64" t="n">
        <x:f>-ROUND(Q302*'Drivers'!F302,3)</x:f>
        <x:v>-322.291</x:v>
      </x:c>
      <x:c r="S302" s="65" t="n">
        <x:f>R302/Q302</x:f>
        <x:v>-0.1770805346080411</x:v>
      </x:c>
      <x:c r="T302" s="64" t="n">
        <x:f>-ROUND(Q302*'Drivers'!G302,3)</x:f>
        <x:v>-20.078</x:v>
      </x:c>
      <x:c r="U302" s="65" t="n">
        <x:f>T302/Q302</x:f>
        <x:v>-0.011031716597299486</x:v>
      </x:c>
      <x:c r="V302" s="64" t="n">
        <x:f>-ROUND(Q302*'Drivers'!H302,3)</x:f>
        <x:v>-15.441</x:v>
      </x:c>
      <x:c r="W302" s="64" t="n">
        <x:f>-ROUND(Q302*'Drivers'!I302,3)</x:f>
        <x:v>-18.149</x:v>
      </x:c>
      <x:c r="X302" s="64" t="n">
        <x:f>-ROUND(Q302*'Drivers'!J302,3)</x:f>
        <x:v>-28.501</x:v>
      </x:c>
      <x:c r="Y302" s="64" t="n">
        <x:f>-ROUND(Q302*'Drivers'!K302,3)</x:f>
        <x:v>-24.534</x:v>
      </x:c>
      <x:c r="Z302" s="64" t="n">
        <x:f>-ROUND(Q302*'Drivers'!L302,3)</x:f>
        <x:v>-15.233</x:v>
      </x:c>
      <x:c r="AA302" s="64" t="n">
        <x:f>-ROUND(Q302*'Drivers'!M302,3)</x:f>
        <x:v>-17.002</x:v>
      </x:c>
      <x:c r="AB302" s="64" t="n">
        <x:f>-ROUND(Q302*'Drivers'!N302,3)</x:f>
        <x:v>-12.966</x:v>
      </x:c>
      <x:c r="AC302" s="64" t="n">
        <x:f>SUM(V302:AB302)</x:f>
        <x:v>-131.826</x:v>
      </x:c>
      <x:c r="AD302" s="65" t="n">
        <x:f>AC302/Q302</x:f>
        <x:v>-0.07243087320229118</x:v>
      </x:c>
      <x:c r="AE302" s="64" t="n">
        <x:f>-ROUND(Q302*'Drivers'!O302,3)</x:f>
        <x:v>-26.127</x:v>
      </x:c>
      <x:c r="AF302" s="65" t="n">
        <x:f>AE302/Q302</x:f>
        <x:v>-0.01435529731734454</x:v>
      </x:c>
      <x:c r="AG302" s="64" t="n">
        <x:f>-ROUND(Q302*'Drivers'!P302,3)</x:f>
        <x:v>-0.443</x:v>
      </x:c>
      <x:c r="AH302" s="64" t="n">
        <x:f>-ROUND(Q302*'Drivers'!Q302,3)</x:f>
        <x:v>-9.837</x:v>
      </x:c>
      <x:c r="AI302" s="64" t="n">
        <x:f>SUM(R302,T302,AC302,AE302,AG302,AH302)</x:f>
        <x:v>-510.6019999999999</x:v>
      </x:c>
      <x:c r="AJ302" s="65" t="n">
        <x:f>AI302/Q302</x:f>
        <x:v>-0.2805466957871457</x:v>
      </x:c>
      <x:c r="AK302" s="64" t="n">
        <x:f>Q302+AI302</x:f>
        <x:v>1309.4230000000002</x:v>
      </x:c>
      <x:c r="AL302" s="65" t="n">
        <x:f>AK302/Q302</x:f>
        <x:v>0.7194533042128544</x:v>
      </x:c>
      <x:c r="AM302" s="64" t="n">
        <x:f>AK302/L302</x:f>
        <x:v>327.35575000000006</x:v>
      </x:c>
      <x:c r="AN302" s="66" t="str">
        <x:f>IF(AM302&lt;=200,"≤200K",IF(AM302&lt;=350,"200–350K",IF(AM302&lt;=500,"350–500K",IF(AM302&lt;=700,"500–700K","&gt;700K"))))</x:f>
        <x:v>200–350K</x:v>
      </x:c>
      <x:c r="AO302" s="64" t="n">
        <x:f>-ROUND(Q302*'Drivers'!R302,3)</x:f>
        <x:v>-644.218</x:v>
      </x:c>
      <x:c r="AP302" s="64" t="n">
        <x:f>-ROUND(AK302*'Drivers'!S302,3)</x:f>
        <x:v>-20.362</x:v>
      </x:c>
      <x:c r="AQ302" s="64" t="n">
        <x:f>-ROUND(AK302*'Drivers'!T302,3)</x:f>
        <x:v>-8.08</x:v>
      </x:c>
      <x:c r="AR302" s="64" t="n">
        <x:f>-ROUND(AK302*'Drivers'!U302,3)</x:f>
        <x:v>-14.306</x:v>
      </x:c>
      <x:c r="AS302" s="64" t="n">
        <x:f>-ROUND(AK302*'Drivers'!V302,3)</x:f>
        <x:v>-38.138</x:v>
      </x:c>
      <x:c r="AT302" s="64" t="n">
        <x:f>SUM(AO302:AS302)</x:f>
        <x:v>-725.104</x:v>
      </x:c>
      <x:c r="AU302" s="65" t="n">
        <x:f>AT302/AK302</x:f>
        <x:v>-0.5537584111475053</x:v>
      </x:c>
      <x:c r="AV302" s="64" t="n">
        <x:f>AK302+AT302</x:f>
        <x:v>584.3190000000002</x:v>
      </x:c>
      <x:c r="AW302" s="65" t="n">
        <x:f>AV302/AK302</x:f>
        <x:v>0.44624158885249465</x:v>
      </x:c>
      <x:c r="AX302" s="64" t="n">
        <x:f>-ROUND(AK302*'Drivers'!W302,3)</x:f>
        <x:v>-17.068</x:v>
      </x:c>
      <x:c r="AY302" s="64" t="n">
        <x:f>-ROUND(AK302*'Drivers'!X302,3)</x:f>
        <x:v>-27.962</x:v>
      </x:c>
      <x:c r="AZ302" s="64" t="n">
        <x:f>-ROUND(AK302*'Drivers'!Y302,3)</x:f>
        <x:v>-16.879</x:v>
      </x:c>
      <x:c r="BA302" s="64" t="n">
        <x:f>-ROUND(AK302*'Drivers'!Z302,3)</x:f>
        <x:v>-5.267</x:v>
      </x:c>
      <x:c r="BB302" s="64" t="n">
        <x:f>-ROUND(AK302*'Drivers'!AA302,3)</x:f>
        <x:v>-10.875</x:v>
      </x:c>
      <x:c r="BC302" s="64" t="n">
        <x:f>SUM(BA302,BB302)</x:f>
        <x:v>-16.142</x:v>
      </x:c>
      <x:c r="BD302" s="64" t="n">
        <x:f>-ROUND(AK302*'Drivers'!AB302,3)</x:f>
        <x:v>-7.203</x:v>
      </x:c>
      <x:c r="BE302" s="64" t="n">
        <x:f>SUM(AX302:BB302,BD302)</x:f>
        <x:v>-85.254</x:v>
      </x:c>
      <x:c r="BF302" s="67" t="n">
        <x:f>'Drivers'!AF302</x:f>
        <x:v>6</x:v>
      </x:c>
      <x:c r="BG302" s="64" t="n">
        <x:f>BJ302</x:f>
        <x:v>-26.441</x:v>
      </x:c>
      <x:c r="BH302" s="64" t="n">
        <x:f>BE302/BF302</x:f>
        <x:v>-14.209000000000001</x:v>
      </x:c>
      <x:c r="BI302" s="68" t="n">
        <x:f>BF302/L302</x:f>
        <x:v>1.5</x:v>
      </x:c>
      <x:c r="BJ302" s="64" t="n">
        <x:f>-ROUND(AK302*'Drivers'!AC302,3)</x:f>
        <x:v>-26.441</x:v>
      </x:c>
      <x:c r="BK302" s="64" t="n">
        <x:f>-ROUND(AK302*'Drivers'!AD302,3)</x:f>
        <x:v>-136.649</x:v>
      </x:c>
      <x:c r="BL302" s="64" t="n">
        <x:f>SUM(AV302,BE302,BJ302,BK302)</x:f>
        <x:v>335.9750000000002</x:v>
      </x:c>
      <x:c r="BM302" s="65" t="n">
        <x:f>BL302/AK302</x:f>
        <x:v>0.2565824794585097</x:v>
      </x:c>
      <x:c r="BN302" s="64" t="n">
        <x:f>-ROUND(AK302*'Drivers'!AE302,3)</x:f>
        <x:v>-100.279</x:v>
      </x:c>
      <x:c r="BO302" s="64" t="n">
        <x:f>BL302+BN302</x:f>
        <x:v>235.6960000000002</x:v>
      </x:c>
      <x:c r="BP302" s="65" t="n">
        <x:f>BO302/AK302</x:f>
        <x:v>0.17999989308267852</x:v>
      </x:c>
    </x:row>
    <x:row r="303">
      <x:c r="A303" s="61" t="n">
        <x:v>2025</x:v>
      </x:c>
      <x:c r="B303" s="18" t="str">
        <x:v>S2</x:v>
      </x:c>
      <x:c r="C303" s="18" t="str">
        <x:v>2025 S2</x:v>
      </x:c>
      <x:c r="D303" s="18" t="str">
        <x:v>CNCT0076</x:v>
      </x:c>
      <x:c r="E303" s="18" t="str">
        <x:v>杭州大厦501城市广场</x:v>
      </x:c>
      <x:c r="F303" s="18" t="str">
        <x:v>杭州</x:v>
      </x:c>
      <x:c r="G303" s="18" t="str">
        <x:v>浙江省</x:v>
      </x:c>
      <x:c r="H303" s="18" t="str">
        <x:v>东区</x:v>
      </x:c>
      <x:c r="I303" s="18" t="str">
        <x:v>Department Store</x:v>
      </x:c>
      <x:c r="J303" s="18" t="str">
        <x:v>Core Shopping Center</x:v>
      </x:c>
      <x:c r="K303" s="18" t="str">
        <x:v>正常</x:v>
      </x:c>
      <x:c r="L303" s="62" t="n">
        <x:v>4</x:v>
      </x:c>
      <x:c r="M303" s="62" t="n">
        <x:v>45</x:v>
      </x:c>
      <x:c r="N303" s="63" t="n">
        <x:f>'Drivers'!C303</x:f>
        <x:v>1872</x:v>
      </x:c>
      <x:c r="O303" s="63" t="n">
        <x:f>'Drivers'!D303</x:f>
        <x:v>1050.559</x:v>
      </x:c>
      <x:c r="P303" s="64" t="n">
        <x:f>ROUND(N303*O303/1000,3)</x:f>
        <x:v>1966.646</x:v>
      </x:c>
      <x:c r="Q303" s="64" t="n">
        <x:f>ROUND(P303*'Drivers'!E303,3)</x:f>
        <x:v>1899.832</x:v>
      </x:c>
      <x:c r="R303" s="64" t="n">
        <x:f>-ROUND(Q303*'Drivers'!F303,3)</x:f>
        <x:v>-336.424</x:v>
      </x:c>
      <x:c r="S303" s="65" t="n">
        <x:f>R303/Q303</x:f>
        <x:v>-0.17708092083931629</x:v>
      </x:c>
      <x:c r="T303" s="64" t="n">
        <x:f>-ROUND(Q303*'Drivers'!G303,3)</x:f>
        <x:v>-20.958</x:v>
      </x:c>
      <x:c r="U303" s="65" t="n">
        <x:f>T303/Q303</x:f>
        <x:v>-0.011031501732784792</x:v>
      </x:c>
      <x:c r="V303" s="64" t="n">
        <x:f>-ROUND(Q303*'Drivers'!H303,3)</x:f>
        <x:v>-16.118</x:v>
      </x:c>
      <x:c r="W303" s="64" t="n">
        <x:f>-ROUND(Q303*'Drivers'!I303,3)</x:f>
        <x:v>-18.945</x:v>
      </x:c>
      <x:c r="X303" s="64" t="n">
        <x:f>-ROUND(Q303*'Drivers'!J303,3)</x:f>
        <x:v>-29.75</x:v>
      </x:c>
      <x:c r="Y303" s="64" t="n">
        <x:f>-ROUND(Q303*'Drivers'!K303,3)</x:f>
        <x:v>-25.61</x:v>
      </x:c>
      <x:c r="Z303" s="64" t="n">
        <x:f>-ROUND(Q303*'Drivers'!L303,3)</x:f>
        <x:v>-15.9</x:v>
      </x:c>
      <x:c r="AA303" s="64" t="n">
        <x:f>-ROUND(Q303*'Drivers'!M303,3)</x:f>
        <x:v>-17.747</x:v>
      </x:c>
      <x:c r="AB303" s="64" t="n">
        <x:f>-ROUND(Q303*'Drivers'!N303,3)</x:f>
        <x:v>-13.535</x:v>
      </x:c>
      <x:c r="AC303" s="64" t="n">
        <x:f>SUM(V303:AB303)</x:f>
        <x:v>-137.60500000000002</x:v>
      </x:c>
      <x:c r="AD303" s="65" t="n">
        <x:f>AC303/Q303</x:f>
        <x:v>-0.07243008855519857</x:v>
      </x:c>
      <x:c r="AE303" s="64" t="n">
        <x:f>-ROUND(Q303*'Drivers'!O303,3)</x:f>
        <x:v>-27.273</x:v>
      </x:c>
      <x:c r="AF303" s="65" t="n">
        <x:f>AE303/Q303</x:f>
        <x:v>-0.014355479852955419</x:v>
      </x:c>
      <x:c r="AG303" s="64" t="n">
        <x:f>-ROUND(Q303*'Drivers'!P303,3)</x:f>
        <x:v>-0.462</x:v>
      </x:c>
      <x:c r="AH303" s="64" t="n">
        <x:f>-ROUND(Q303*'Drivers'!Q303,3)</x:f>
        <x:v>-10.269</x:v>
      </x:c>
      <x:c r="AI303" s="64" t="n">
        <x:f>SUM(R303,T303,AC303,AE303,AG303,AH303)</x:f>
        <x:v>-532.991</x:v>
      </x:c>
      <x:c r="AJ303" s="65" t="n">
        <x:f>AI303/Q303</x:f>
        <x:v>-0.2805463851540557</x:v>
      </x:c>
      <x:c r="AK303" s="64" t="n">
        <x:f>Q303+AI303</x:f>
        <x:v>1366.8410000000001</x:v>
      </x:c>
      <x:c r="AL303" s="65" t="n">
        <x:f>AK303/Q303</x:f>
        <x:v>0.7194536148459443</x:v>
      </x:c>
      <x:c r="AM303" s="64" t="n">
        <x:f>AK303/L303</x:f>
        <x:v>341.71025000000003</x:v>
      </x:c>
      <x:c r="AN303" s="66" t="str">
        <x:f>IF(AM303&lt;=200,"≤200K",IF(AM303&lt;=350,"200–350K",IF(AM303&lt;=500,"350–500K",IF(AM303&lt;=700,"500–700K","&gt;700K"))))</x:f>
        <x:v>200–350K</x:v>
      </x:c>
      <x:c r="AO303" s="64" t="n">
        <x:f>-ROUND(Q303*'Drivers'!R303,3)</x:f>
        <x:v>-696.378</x:v>
      </x:c>
      <x:c r="AP303" s="64" t="n">
        <x:f>-ROUND(AK303*'Drivers'!S303,3)</x:f>
        <x:v>-21.254</x:v>
      </x:c>
      <x:c r="AQ303" s="64" t="n">
        <x:f>-ROUND(AK303*'Drivers'!T303,3)</x:f>
        <x:v>-8.434</x:v>
      </x:c>
      <x:c r="AR303" s="64" t="n">
        <x:f>-ROUND(AK303*'Drivers'!U303,3)</x:f>
        <x:v>-14.934</x:v>
      </x:c>
      <x:c r="AS303" s="64" t="n">
        <x:f>-ROUND(AK303*'Drivers'!V303,3)</x:f>
        <x:v>-39.81</x:v>
      </x:c>
      <x:c r="AT303" s="64" t="n">
        <x:f>SUM(AO303:AS303)</x:f>
        <x:v>-780.81</x:v>
      </x:c>
      <x:c r="AU303" s="65" t="n">
        <x:f>AT303/AK303</x:f>
        <x:v>-0.5712515208425851</x:v>
      </x:c>
      <x:c r="AV303" s="64" t="n">
        <x:f>AK303+AT303</x:f>
        <x:v>586.0310000000002</x:v>
      </x:c>
      <x:c r="AW303" s="65" t="n">
        <x:f>AV303/AK303</x:f>
        <x:v>0.4287484791574149</x:v>
      </x:c>
      <x:c r="AX303" s="64" t="n">
        <x:f>-ROUND(AK303*'Drivers'!W303,3)</x:f>
        <x:v>-17.817</x:v>
      </x:c>
      <x:c r="AY303" s="64" t="n">
        <x:f>-ROUND(AK303*'Drivers'!X303,3)</x:f>
        <x:v>-29.188</x:v>
      </x:c>
      <x:c r="AZ303" s="64" t="n">
        <x:f>-ROUND(AK303*'Drivers'!Y303,3)</x:f>
        <x:v>-17.62</x:v>
      </x:c>
      <x:c r="BA303" s="64" t="n">
        <x:f>-ROUND(AK303*'Drivers'!Z303,3)</x:f>
        <x:v>-5.498</x:v>
      </x:c>
      <x:c r="BB303" s="64" t="n">
        <x:f>-ROUND(AK303*'Drivers'!AA303,3)</x:f>
        <x:v>-11.351</x:v>
      </x:c>
      <x:c r="BC303" s="64" t="n">
        <x:f>SUM(BA303,BB303)</x:f>
        <x:v>-16.849</x:v>
      </x:c>
      <x:c r="BD303" s="64" t="n">
        <x:f>-ROUND(AK303*'Drivers'!AB303,3)</x:f>
        <x:v>-7.519</x:v>
      </x:c>
      <x:c r="BE303" s="64" t="n">
        <x:f>SUM(AX303:BB303,BD303)</x:f>
        <x:v>-88.99300000000001</x:v>
      </x:c>
      <x:c r="BF303" s="67" t="n">
        <x:f>'Drivers'!AF303</x:f>
        <x:v>6</x:v>
      </x:c>
      <x:c r="BG303" s="64" t="n">
        <x:f>BJ303</x:f>
        <x:v>-27.6</x:v>
      </x:c>
      <x:c r="BH303" s="64" t="n">
        <x:f>BE303/BF303</x:f>
        <x:v>-14.832166666666668</x:v>
      </x:c>
      <x:c r="BI303" s="68" t="n">
        <x:f>BF303/L303</x:f>
        <x:v>1.5</x:v>
      </x:c>
      <x:c r="BJ303" s="64" t="n">
        <x:f>-ROUND(AK303*'Drivers'!AC303,3)</x:f>
        <x:v>-27.6</x:v>
      </x:c>
      <x:c r="BK303" s="64" t="n">
        <x:f>-ROUND(AK303*'Drivers'!AD303,3)</x:f>
        <x:v>-142.641</x:v>
      </x:c>
      <x:c r="BL303" s="64" t="n">
        <x:f>SUM(AV303,BE303,BJ303,BK303)</x:f>
        <x:v>326.79700000000014</x:v>
      </x:c>
      <x:c r="BM303" s="65" t="n">
        <x:f>BL303/AK303</x:f>
        <x:v>0.23908925763859887</x:v>
      </x:c>
      <x:c r="BN303" s="64" t="n">
        <x:f>-ROUND(AK303*'Drivers'!AE303,3)</x:f>
        <x:v>-93.861</x:v>
      </x:c>
      <x:c r="BO303" s="64" t="n">
        <x:f>BL303+BN303</x:f>
        <x:v>232.93600000000015</x:v>
      </x:c>
      <x:c r="BP303" s="65" t="n">
        <x:f>BO303/AK303</x:f>
        <x:v>0.17041923676565168</x:v>
      </x:c>
    </x:row>
    <x:row r="304">
      <x:c r="A304" s="61" t="n">
        <x:v>2026</x:v>
      </x:c>
      <x:c r="B304" s="18" t="str">
        <x:v>S1</x:v>
      </x:c>
      <x:c r="C304" s="18" t="str">
        <x:v>2026 S1</x:v>
      </x:c>
      <x:c r="D304" s="18" t="str">
        <x:v>CNCT0076</x:v>
      </x:c>
      <x:c r="E304" s="18" t="str">
        <x:v>杭州大厦501城市广场</x:v>
      </x:c>
      <x:c r="F304" s="18" t="str">
        <x:v>杭州</x:v>
      </x:c>
      <x:c r="G304" s="18" t="str">
        <x:v>浙江省</x:v>
      </x:c>
      <x:c r="H304" s="18" t="str">
        <x:v>东区</x:v>
      </x:c>
      <x:c r="I304" s="18" t="str">
        <x:v>Department Store</x:v>
      </x:c>
      <x:c r="J304" s="18" t="str">
        <x:v>Core Shopping Center</x:v>
      </x:c>
      <x:c r="K304" s="18" t="str">
        <x:v>正常</x:v>
      </x:c>
      <x:c r="L304" s="62" t="n">
        <x:v>4</x:v>
      </x:c>
      <x:c r="M304" s="62" t="n">
        <x:v>47</x:v>
      </x:c>
      <x:c r="N304" s="63" t="n">
        <x:f>'Drivers'!C304</x:f>
        <x:v>1702</x:v>
      </x:c>
      <x:c r="O304" s="63" t="n">
        <x:f>'Drivers'!D304</x:f>
        <x:v>1076.81</x:v>
      </x:c>
      <x:c r="P304" s="64" t="n">
        <x:f>ROUND(N304*O304/1000,3)</x:f>
        <x:v>1832.731</x:v>
      </x:c>
      <x:c r="Q304" s="64" t="n">
        <x:f>ROUND(P304*'Drivers'!E304,3)</x:f>
        <x:v>1805.024</x:v>
      </x:c>
      <x:c r="R304" s="64" t="n">
        <x:f>-ROUND(Q304*'Drivers'!F304,3)</x:f>
        <x:v>-326.486</x:v>
      </x:c>
      <x:c r="S304" s="65" t="n">
        <x:f>R304/Q304</x:f>
        <x:v>-0.18087626535713652</x:v>
      </x:c>
      <x:c r="T304" s="64" t="n">
        <x:f>-ROUND(Q304*'Drivers'!G304,3)</x:f>
        <x:v>-22.532</x:v>
      </x:c>
      <x:c r="U304" s="65" t="n">
        <x:f>T304/Q304</x:f>
        <x:v>-0.012482936514971546</x:v>
      </x:c>
      <x:c r="V304" s="64" t="n">
        <x:f>-ROUND(Q304*'Drivers'!H304,3)</x:f>
        <x:v>-15.314</x:v>
      </x:c>
      <x:c r="W304" s="64" t="n">
        <x:f>-ROUND(Q304*'Drivers'!I304,3)</x:f>
        <x:v>-17.999</x:v>
      </x:c>
      <x:c r="X304" s="64" t="n">
        <x:f>-ROUND(Q304*'Drivers'!J304,3)</x:f>
        <x:v>-28.266</x:v>
      </x:c>
      <x:c r="Y304" s="64" t="n">
        <x:f>-ROUND(Q304*'Drivers'!K304,3)</x:f>
        <x:v>-24.332</x:v>
      </x:c>
      <x:c r="Z304" s="64" t="n">
        <x:f>-ROUND(Q304*'Drivers'!L304,3)</x:f>
        <x:v>-15.107</x:v>
      </x:c>
      <x:c r="AA304" s="64" t="n">
        <x:f>-ROUND(Q304*'Drivers'!M304,3)</x:f>
        <x:v>-16.862</x:v>
      </x:c>
      <x:c r="AB304" s="64" t="n">
        <x:f>-ROUND(Q304*'Drivers'!N304,3)</x:f>
        <x:v>-12.86</x:v>
      </x:c>
      <x:c r="AC304" s="64" t="n">
        <x:f>SUM(V304:AB304)</x:f>
        <x:v>-130.74</x:v>
      </x:c>
      <x:c r="AD304" s="65" t="n">
        <x:f>AC304/Q304</x:f>
        <x:v>-0.07243116989026185</x:v>
      </x:c>
      <x:c r="AE304" s="64" t="n">
        <x:f>-ROUND(Q304*'Drivers'!O304,3)</x:f>
        <x:v>-26.064</x:v>
      </x:c>
      <x:c r="AF304" s="65" t="n">
        <x:f>AE304/Q304</x:f>
        <x:v>-0.014439697200702041</x:v>
      </x:c>
      <x:c r="AG304" s="64" t="n">
        <x:f>-ROUND(Q304*'Drivers'!P304,3)</x:f>
        <x:v>-0.439</x:v>
      </x:c>
      <x:c r="AH304" s="64" t="n">
        <x:f>-ROUND(Q304*'Drivers'!Q304,3)</x:f>
        <x:v>-9.756</x:v>
      </x:c>
      <x:c r="AI304" s="64" t="n">
        <x:f>SUM(R304,T304,AC304,AE304,AG304,AH304)</x:f>
        <x:v>-516.017</x:v>
      </x:c>
      <x:c r="AJ304" s="65" t="n">
        <x:f>AI304/Q304</x:f>
        <x:v>-0.2858781933093411</x:v>
      </x:c>
      <x:c r="AK304" s="64" t="n">
        <x:f>Q304+AI304</x:f>
        <x:v>1289.0069999999998</x:v>
      </x:c>
      <x:c r="AL304" s="65" t="n">
        <x:f>AK304/Q304</x:f>
        <x:v>0.714121806690659</x:v>
      </x:c>
      <x:c r="AM304" s="64" t="n">
        <x:f>AK304/L304</x:f>
        <x:v>322.25174999999996</x:v>
      </x:c>
      <x:c r="AN304" s="66" t="str">
        <x:f>IF(AM304&lt;=200,"≤200K",IF(AM304&lt;=350,"200–350K",IF(AM304&lt;=500,"350–500K",IF(AM304&lt;=700,"500–700K","&gt;700K"))))</x:f>
        <x:v>200–350K</x:v>
      </x:c>
      <x:c r="AO304" s="64" t="n">
        <x:f>-ROUND(Q304*'Drivers'!R304,3)</x:f>
        <x:v>-629.464</x:v>
      </x:c>
      <x:c r="AP304" s="64" t="n">
        <x:f>-ROUND(AK304*'Drivers'!S304,3)</x:f>
        <x:v>-20.044</x:v>
      </x:c>
      <x:c r="AQ304" s="64" t="n">
        <x:f>-ROUND(AK304*'Drivers'!T304,3)</x:f>
        <x:v>-7.954</x:v>
      </x:c>
      <x:c r="AR304" s="64" t="n">
        <x:f>-ROUND(AK304*'Drivers'!U304,3)</x:f>
        <x:v>-14.083</x:v>
      </x:c>
      <x:c r="AS304" s="64" t="n">
        <x:f>-ROUND(AK304*'Drivers'!V304,3)</x:f>
        <x:v>-37.543</x:v>
      </x:c>
      <x:c r="AT304" s="64" t="n">
        <x:f>SUM(AO304:AS304)</x:f>
        <x:v>-709.088</x:v>
      </x:c>
      <x:c r="AU304" s="65" t="n">
        <x:f>AT304/AK304</x:f>
        <x:v>-0.550104072359576</x:v>
      </x:c>
      <x:c r="AV304" s="64" t="n">
        <x:f>AK304+AT304</x:f>
        <x:v>579.9189999999999</x:v>
      </x:c>
      <x:c r="AW304" s="65" t="n">
        <x:f>AV304/AK304</x:f>
        <x:v>0.44989592764042396</x:v>
      </x:c>
      <x:c r="AX304" s="64" t="n">
        <x:f>-ROUND(AK304*'Drivers'!W304,3)</x:f>
        <x:v>-20.674</x:v>
      </x:c>
      <x:c r="AY304" s="64" t="n">
        <x:f>-ROUND(AK304*'Drivers'!X304,3)</x:f>
        <x:v>-33.869</x:v>
      </x:c>
      <x:c r="AZ304" s="64" t="n">
        <x:f>-ROUND(AK304*'Drivers'!Y304,3)</x:f>
        <x:v>-20.446</x:v>
      </x:c>
      <x:c r="BA304" s="64" t="n">
        <x:f>-ROUND(AK304*'Drivers'!Z304,3)</x:f>
        <x:v>-6.379</x:v>
      </x:c>
      <x:c r="BB304" s="64" t="n">
        <x:f>-ROUND(AK304*'Drivers'!AA304,3)</x:f>
        <x:v>-13.172</x:v>
      </x:c>
      <x:c r="BC304" s="64" t="n">
        <x:f>SUM(BA304,BB304)</x:f>
        <x:v>-19.551000000000002</x:v>
      </x:c>
      <x:c r="BD304" s="64" t="n">
        <x:f>-ROUND(AK304*'Drivers'!AB304,3)</x:f>
        <x:v>-8.725</x:v>
      </x:c>
      <x:c r="BE304" s="64" t="n">
        <x:f>SUM(AX304:BB304,BD304)</x:f>
        <x:v>-103.265</x:v>
      </x:c>
      <x:c r="BF304" s="67" t="n">
        <x:f>'Drivers'!AF304</x:f>
        <x:v>6</x:v>
      </x:c>
      <x:c r="BG304" s="64" t="n">
        <x:f>BJ304</x:f>
        <x:v>-32.027</x:v>
      </x:c>
      <x:c r="BH304" s="64" t="n">
        <x:f>BE304/BF304</x:f>
        <x:v>-17.210833333333333</x:v>
      </x:c>
      <x:c r="BI304" s="68" t="n">
        <x:f>BF304/L304</x:f>
        <x:v>1.5</x:v>
      </x:c>
      <x:c r="BJ304" s="64" t="n">
        <x:f>-ROUND(AK304*'Drivers'!AC304,3)</x:f>
        <x:v>-32.027</x:v>
      </x:c>
      <x:c r="BK304" s="64" t="n">
        <x:f>-ROUND(AK304*'Drivers'!AD304,3)</x:f>
        <x:v>-134.518</x:v>
      </x:c>
      <x:c r="BL304" s="64" t="n">
        <x:f>SUM(AV304,BE304,BJ304,BK304)</x:f>
        <x:v>310.1089999999999</x:v>
      </x:c>
      <x:c r="BM304" s="65" t="n">
        <x:f>BL304/AK304</x:f>
        <x:v>0.24057976411299548</x:v>
      </x:c>
      <x:c r="BN304" s="64" t="n">
        <x:f>-ROUND(AK304*'Drivers'!AE304,3)</x:f>
        <x:v>-98.716</x:v>
      </x:c>
      <x:c r="BO304" s="64" t="n">
        <x:f>BL304+BN304</x:f>
        <x:v>211.39299999999992</x:v>
      </x:c>
      <x:c r="BP304" s="65" t="n">
        <x:f>BO304/AK304</x:f>
        <x:v>0.163996782019027</x:v>
      </x:c>
    </x:row>
    <x:row r="305">
      <x:c r="A305" s="61" t="n">
        <x:v>2026</x:v>
      </x:c>
      <x:c r="B305" s="18" t="str">
        <x:v>S2</x:v>
      </x:c>
      <x:c r="C305" s="18" t="str">
        <x:v>2026 S2</x:v>
      </x:c>
      <x:c r="D305" s="18" t="str">
        <x:v>CNCT0076</x:v>
      </x:c>
      <x:c r="E305" s="18" t="str">
        <x:v>杭州大厦501城市广场</x:v>
      </x:c>
      <x:c r="F305" s="18" t="str">
        <x:v>杭州</x:v>
      </x:c>
      <x:c r="G305" s="18" t="str">
        <x:v>浙江省</x:v>
      </x:c>
      <x:c r="H305" s="18" t="str">
        <x:v>东区</x:v>
      </x:c>
      <x:c r="I305" s="18" t="str">
        <x:v>Department Store</x:v>
      </x:c>
      <x:c r="J305" s="18" t="str">
        <x:v>Core Shopping Center</x:v>
      </x:c>
      <x:c r="K305" s="18" t="str">
        <x:v>正常</x:v>
      </x:c>
      <x:c r="L305" s="62" t="n">
        <x:v>4</x:v>
      </x:c>
      <x:c r="M305" s="62" t="n">
        <x:v>47</x:v>
      </x:c>
      <x:c r="N305" s="63" t="n">
        <x:f>'Drivers'!C305</x:f>
        <x:v>1855</x:v>
      </x:c>
      <x:c r="O305" s="63" t="n">
        <x:f>'Drivers'!D305</x:f>
        <x:v>1077.114</x:v>
      </x:c>
      <x:c r="P305" s="64" t="n">
        <x:f>ROUND(N305*O305/1000,3)</x:f>
        <x:v>1998.046</x:v>
      </x:c>
      <x:c r="Q305" s="64" t="n">
        <x:f>ROUND(P305*'Drivers'!E305,3)</x:f>
        <x:v>1930.166</x:v>
      </x:c>
      <x:c r="R305" s="64" t="n">
        <x:f>-ROUND(Q305*'Drivers'!F305,3)</x:f>
        <x:v>-338.318</x:v>
      </x:c>
      <x:c r="S305" s="65" t="n">
        <x:f>R305/Q305</x:f>
        <x:v>-0.17527922468844648</x:v>
      </x:c>
      <x:c r="T305" s="64" t="n">
        <x:f>-ROUND(Q305*'Drivers'!G305,3)</x:f>
        <x:v>-20.502</x:v>
      </x:c>
      <x:c r="U305" s="65" t="n">
        <x:f>T305/Q305</x:f>
        <x:v>-0.010621884335336961</x:v>
      </x:c>
      <x:c r="V305" s="64" t="n">
        <x:f>-ROUND(Q305*'Drivers'!H305,3)</x:f>
        <x:v>-16.376</x:v>
      </x:c>
      <x:c r="W305" s="64" t="n">
        <x:f>-ROUND(Q305*'Drivers'!I305,3)</x:f>
        <x:v>-19.247</x:v>
      </x:c>
      <x:c r="X305" s="64" t="n">
        <x:f>-ROUND(Q305*'Drivers'!J305,3)</x:f>
        <x:v>-30.225</x:v>
      </x:c>
      <x:c r="Y305" s="64" t="n">
        <x:f>-ROUND(Q305*'Drivers'!K305,3)</x:f>
        <x:v>-26.019</x:v>
      </x:c>
      <x:c r="Z305" s="64" t="n">
        <x:f>-ROUND(Q305*'Drivers'!L305,3)</x:f>
        <x:v>-16.154</x:v>
      </x:c>
      <x:c r="AA305" s="64" t="n">
        <x:f>-ROUND(Q305*'Drivers'!M305,3)</x:f>
        <x:v>-18.031</x:v>
      </x:c>
      <x:c r="AB305" s="64" t="n">
        <x:f>-ROUND(Q305*'Drivers'!N305,3)</x:f>
        <x:v>-13.751</x:v>
      </x:c>
      <x:c r="AC305" s="64" t="n">
        <x:f>SUM(V305:AB305)</x:f>
        <x:v>-139.80300000000003</x:v>
      </x:c>
      <x:c r="AD305" s="65" t="n">
        <x:f>AC305/Q305</x:f>
        <x:v>-0.07243055778622151</x:v>
      </x:c>
      <x:c r="AE305" s="64" t="n">
        <x:f>-ROUND(Q305*'Drivers'!O305,3)</x:f>
        <x:v>-27.708</x:v>
      </x:c>
      <x:c r="AF305" s="65" t="n">
        <x:f>AE305/Q305</x:f>
        <x:v>-0.014355241984368184</x:v>
      </x:c>
      <x:c r="AG305" s="64" t="n">
        <x:f>-ROUND(Q305*'Drivers'!P305,3)</x:f>
        <x:v>-0.47</x:v>
      </x:c>
      <x:c r="AH305" s="64" t="n">
        <x:f>-ROUND(Q305*'Drivers'!Q305,3)</x:f>
        <x:v>-10.433</x:v>
      </x:c>
      <x:c r="AI305" s="64" t="n">
        <x:f>SUM(R305,T305,AC305,AE305,AG305,AH305)</x:f>
        <x:v>-537.234</x:v>
      </x:c>
      <x:c r="AJ305" s="65" t="n">
        <x:f>AI305/Q305</x:f>
        <x:v>-0.27833564574238695</x:v>
      </x:c>
      <x:c r="AK305" s="64" t="n">
        <x:f>Q305+AI305</x:f>
        <x:v>1392.9319999999998</x:v>
      </x:c>
      <x:c r="AL305" s="65" t="n">
        <x:f>AK305/Q305</x:f>
        <x:v>0.721664354257613</x:v>
      </x:c>
      <x:c r="AM305" s="64" t="n">
        <x:f>AK305/L305</x:f>
        <x:v>348.23299999999995</x:v>
      </x:c>
      <x:c r="AN305" s="66" t="str">
        <x:f>IF(AM305&lt;=200,"≤200K",IF(AM305&lt;=350,"200–350K",IF(AM305&lt;=500,"350–500K",IF(AM305&lt;=700,"500–700K","&gt;700K"))))</x:f>
        <x:v>200–350K</x:v>
      </x:c>
      <x:c r="AO305" s="64" t="n">
        <x:f>-ROUND(Q305*'Drivers'!R305,3)</x:f>
        <x:v>-713.575</x:v>
      </x:c>
      <x:c r="AP305" s="64" t="n">
        <x:f>-ROUND(AK305*'Drivers'!S305,3)</x:f>
        <x:v>-21.66</x:v>
      </x:c>
      <x:c r="AQ305" s="64" t="n">
        <x:f>-ROUND(AK305*'Drivers'!T305,3)</x:f>
        <x:v>-8.595</x:v>
      </x:c>
      <x:c r="AR305" s="64" t="n">
        <x:f>-ROUND(AK305*'Drivers'!U305,3)</x:f>
        <x:v>-15.219</x:v>
      </x:c>
      <x:c r="AS305" s="64" t="n">
        <x:f>-ROUND(AK305*'Drivers'!V305,3)</x:f>
        <x:v>-40.57</x:v>
      </x:c>
      <x:c r="AT305" s="64" t="n">
        <x:f>SUM(AO305:AS305)</x:f>
        <x:v>-799.6190000000001</x:v>
      </x:c>
      <x:c r="AU305" s="65" t="n">
        <x:f>AT305/AK305</x:f>
        <x:v>-0.5740545841433755</x:v>
      </x:c>
      <x:c r="AV305" s="64" t="n">
        <x:f>AK305+AT305</x:f>
        <x:v>593.3129999999996</x:v>
      </x:c>
      <x:c r="AW305" s="65" t="n">
        <x:f>AV305/AK305</x:f>
        <x:v>0.42594541585662454</x:v>
      </x:c>
      <x:c r="AX305" s="64" t="n">
        <x:f>-ROUND(AK305*'Drivers'!W305,3)</x:f>
        <x:v>-19.246</x:v>
      </x:c>
      <x:c r="AY305" s="64" t="n">
        <x:f>-ROUND(AK305*'Drivers'!X305,3)</x:f>
        <x:v>-31.53</x:v>
      </x:c>
      <x:c r="AZ305" s="64" t="n">
        <x:f>-ROUND(AK305*'Drivers'!Y305,3)</x:f>
        <x:v>-19.033</x:v>
      </x:c>
      <x:c r="BA305" s="64" t="n">
        <x:f>-ROUND(AK305*'Drivers'!Z305,3)</x:f>
        <x:v>-5.939</x:v>
      </x:c>
      <x:c r="BB305" s="64" t="n">
        <x:f>-ROUND(AK305*'Drivers'!AA305,3)</x:f>
        <x:v>-12.262</x:v>
      </x:c>
      <x:c r="BC305" s="64" t="n">
        <x:f>SUM(BA305,BB305)</x:f>
        <x:v>-18.201</x:v>
      </x:c>
      <x:c r="BD305" s="64" t="n">
        <x:f>-ROUND(AK305*'Drivers'!AB305,3)</x:f>
        <x:v>-8.122</x:v>
      </x:c>
      <x:c r="BE305" s="64" t="n">
        <x:f>SUM(AX305:BB305,BD305)</x:f>
        <x:v>-96.13199999999999</x:v>
      </x:c>
      <x:c r="BF305" s="67" t="n">
        <x:f>'Drivers'!AF305</x:f>
        <x:v>6</x:v>
      </x:c>
      <x:c r="BG305" s="64" t="n">
        <x:f>BJ305</x:f>
        <x:v>-29.815</x:v>
      </x:c>
      <x:c r="BH305" s="64" t="n">
        <x:f>BE305/BF305</x:f>
        <x:v>-16.022</x:v>
      </x:c>
      <x:c r="BI305" s="68" t="n">
        <x:f>BF305/L305</x:f>
        <x:v>1.5</x:v>
      </x:c>
      <x:c r="BJ305" s="64" t="n">
        <x:f>-ROUND(AK305*'Drivers'!AC305,3)</x:f>
        <x:v>-29.815</x:v>
      </x:c>
      <x:c r="BK305" s="64" t="n">
        <x:f>-ROUND(AK305*'Drivers'!AD305,3)</x:f>
        <x:v>-145.364</x:v>
      </x:c>
      <x:c r="BL305" s="64" t="n">
        <x:f>SUM(AV305,BE305,BJ305,BK305)</x:f>
        <x:v>322.0019999999996</x:v>
      </x:c>
      <x:c r="BM305" s="65" t="n">
        <x:f>BL305/AK305</x:f>
        <x:v>0.2311684992519374</x:v>
      </x:c>
      <x:c r="BN305" s="64" t="n">
        <x:f>-ROUND(AK305*'Drivers'!AE305,3)</x:f>
        <x:v>-95.653</x:v>
      </x:c>
      <x:c r="BO305" s="64" t="n">
        <x:f>BL305+BN305</x:f>
        <x:v>226.3489999999996</x:v>
      </x:c>
      <x:c r="BP305" s="65" t="n">
        <x:f>BO305/AK305</x:f>
        <x:v>0.16249824112016928</x:v>
      </x:c>
    </x:row>
    <x:row r="306">
      <x:c r="A306" s="61" t="n">
        <x:v>2025</x:v>
      </x:c>
      <x:c r="B306" s="18" t="str">
        <x:v>S1</x:v>
      </x:c>
      <x:c r="C306" s="18" t="str">
        <x:v>2025 S1</x:v>
      </x:c>
      <x:c r="D306" s="18" t="str">
        <x:v>CNCT0077</x:v>
      </x:c>
      <x:c r="E306" s="18" t="str">
        <x:v>杭州国大城市广场</x:v>
      </x:c>
      <x:c r="F306" s="18" t="str">
        <x:v>杭州</x:v>
      </x:c>
      <x:c r="G306" s="18" t="str">
        <x:v>浙江省</x:v>
      </x:c>
      <x:c r="H306" s="18" t="str">
        <x:v>东区</x:v>
      </x:c>
      <x:c r="I306" s="18" t="str">
        <x:v>Shopping Mall</x:v>
      </x:c>
      <x:c r="J306" s="18" t="str">
        <x:v>Core Shopping Center</x:v>
      </x:c>
      <x:c r="K306" s="18" t="str">
        <x:v>正常</x:v>
      </x:c>
      <x:c r="L306" s="62" t="n">
        <x:v>5</x:v>
      </x:c>
      <x:c r="M306" s="62" t="n">
        <x:v>45</x:v>
      </x:c>
      <x:c r="N306" s="63" t="n">
        <x:f>'Drivers'!C306</x:f>
        <x:v>1878</x:v>
      </x:c>
      <x:c r="O306" s="63" t="n">
        <x:f>'Drivers'!D306</x:f>
        <x:v>1144.326</x:v>
      </x:c>
      <x:c r="P306" s="64" t="n">
        <x:f>ROUND(N306*O306/1000,3)</x:f>
        <x:v>2149.044</x:v>
      </x:c>
      <x:c r="Q306" s="64" t="n">
        <x:f>ROUND(P306*'Drivers'!E306,3)</x:f>
        <x:v>2065.962</x:v>
      </x:c>
      <x:c r="R306" s="64" t="n">
        <x:f>-ROUND(Q306*'Drivers'!F306,3)</x:f>
        <x:v>-447.511</x:v>
      </x:c>
      <x:c r="S306" s="65" t="n">
        <x:f>R306/Q306</x:f>
        <x:v>-0.21661143815810746</x:v>
      </x:c>
      <x:c r="T306" s="64" t="n">
        <x:f>-ROUND(Q306*'Drivers'!G306,3)</x:f>
        <x:v>-42.3</x:v>
      </x:c>
      <x:c r="U306" s="65" t="n">
        <x:f>T306/Q306</x:f>
        <x:v>-0.02047472315560499</x:v>
      </x:c>
      <x:c r="V306" s="64" t="n">
        <x:f>-ROUND(Q306*'Drivers'!H306,3)</x:f>
        <x:v>-19.095</x:v>
      </x:c>
      <x:c r="W306" s="64" t="n">
        <x:f>-ROUND(Q306*'Drivers'!I306,3)</x:f>
        <x:v>-12.784</x:v>
      </x:c>
      <x:c r="X306" s="64" t="n">
        <x:f>-ROUND(Q306*'Drivers'!J306,3)</x:f>
        <x:v>-25.574</x:v>
      </x:c>
      <x:c r="Y306" s="64" t="n">
        <x:f>-ROUND(Q306*'Drivers'!K306,3)</x:f>
        <x:v>-26.301</x:v>
      </x:c>
      <x:c r="Z306" s="64" t="n">
        <x:f>-ROUND(Q306*'Drivers'!L306,3)</x:f>
        <x:v>-18.045</x:v>
      </x:c>
      <x:c r="AA306" s="64" t="n">
        <x:f>-ROUND(Q306*'Drivers'!M306,3)</x:f>
        <x:v>-19.083</x:v>
      </x:c>
      <x:c r="AB306" s="64" t="n">
        <x:f>-ROUND(Q306*'Drivers'!N306,3)</x:f>
        <x:v>-15.546</x:v>
      </x:c>
      <x:c r="AC306" s="64" t="n">
        <x:f>SUM(V306:AB306)</x:f>
        <x:v>-136.428</x:v>
      </x:c>
      <x:c r="AD306" s="65" t="n">
        <x:f>AC306/Q306</x:f>
        <x:v>-0.06603606455491437</x:v>
      </x:c>
      <x:c r="AE306" s="64" t="n">
        <x:f>-ROUND(Q306*'Drivers'!O306,3)</x:f>
        <x:v>-31.891</x:v>
      </x:c>
      <x:c r="AF306" s="65" t="n">
        <x:f>AE306/Q306</x:f>
        <x:v>-0.015436392344099261</x:v>
      </x:c>
      <x:c r="AG306" s="64" t="n">
        <x:f>-ROUND(Q306*'Drivers'!P306,3)</x:f>
        <x:v>-3.061</x:v>
      </x:c>
      <x:c r="AH306" s="64" t="n">
        <x:f>-ROUND(Q306*'Drivers'!Q306,3)</x:f>
        <x:v>-4.433</x:v>
      </x:c>
      <x:c r="AI306" s="64" t="n">
        <x:f>SUM(R306,T306,AC306,AE306,AG306,AH306)</x:f>
        <x:v>-665.624</x:v>
      </x:c>
      <x:c r="AJ306" s="65" t="n">
        <x:f>AI306/Q306</x:f>
        <x:v>-0.3221859840597262</x:v>
      </x:c>
      <x:c r="AK306" s="64" t="n">
        <x:f>Q306+AI306</x:f>
        <x:v>1400.338</x:v>
      </x:c>
      <x:c r="AL306" s="65" t="n">
        <x:f>AK306/Q306</x:f>
        <x:v>0.6778140159402738</x:v>
      </x:c>
      <x:c r="AM306" s="64" t="n">
        <x:f>AK306/L306</x:f>
        <x:v>280.06759999999997</x:v>
      </x:c>
      <x:c r="AN306" s="66" t="str">
        <x:f>IF(AM306&lt;=200,"≤200K",IF(AM306&lt;=350,"200–350K",IF(AM306&lt;=500,"350–500K",IF(AM306&lt;=700,"500–700K","&gt;700K"))))</x:f>
        <x:v>200–350K</x:v>
      </x:c>
      <x:c r="AO306" s="64" t="n">
        <x:f>-ROUND(Q306*'Drivers'!R306,3)</x:f>
        <x:v>-698.795</x:v>
      </x:c>
      <x:c r="AP306" s="64" t="n">
        <x:f>-ROUND(AK306*'Drivers'!S306,3)</x:f>
        <x:v>-23.511</x:v>
      </x:c>
      <x:c r="AQ306" s="64" t="n">
        <x:f>-ROUND(AK306*'Drivers'!T306,3)</x:f>
        <x:v>-6.012</x:v>
      </x:c>
      <x:c r="AR306" s="64" t="n">
        <x:f>-ROUND(AK306*'Drivers'!U306,3)</x:f>
        <x:v>-14.879</x:v>
      </x:c>
      <x:c r="AS306" s="64" t="n">
        <x:f>-ROUND(AK306*'Drivers'!V306,3)</x:f>
        <x:v>-50.86</x:v>
      </x:c>
      <x:c r="AT306" s="64" t="n">
        <x:f>SUM(AO306:AS306)</x:f>
        <x:v>-794.0569999999999</x:v>
      </x:c>
      <x:c r="AU306" s="65" t="n">
        <x:f>AT306/AK306</x:f>
        <x:v>-0.567046670161061</x:v>
      </x:c>
      <x:c r="AV306" s="64" t="n">
        <x:f>AK306+AT306</x:f>
        <x:v>606.2810000000001</x:v>
      </x:c>
      <x:c r="AW306" s="65" t="n">
        <x:f>AV306/AK306</x:f>
        <x:v>0.4329533298389389</x:v>
      </x:c>
      <x:c r="AX306" s="64" t="n">
        <x:f>-ROUND(AK306*'Drivers'!W306,3)</x:f>
        <x:v>-18.888</x:v>
      </x:c>
      <x:c r="AY306" s="64" t="n">
        <x:f>-ROUND(AK306*'Drivers'!X306,3)</x:f>
        <x:v>-32.937</x:v>
      </x:c>
      <x:c r="AZ306" s="64" t="n">
        <x:f>-ROUND(AK306*'Drivers'!Y306,3)</x:f>
        <x:v>-18.495</x:v>
      </x:c>
      <x:c r="BA306" s="64" t="n">
        <x:f>-ROUND(AK306*'Drivers'!Z306,3)</x:f>
        <x:v>-10.265</x:v>
      </x:c>
      <x:c r="BB306" s="64" t="n">
        <x:f>-ROUND(AK306*'Drivers'!AA306,3)</x:f>
        <x:v>-6.9</x:v>
      </x:c>
      <x:c r="BC306" s="64" t="n">
        <x:f>SUM(BA306,BB306)</x:f>
        <x:v>-17.165</x:v>
      </x:c>
      <x:c r="BD306" s="64" t="n">
        <x:f>-ROUND(AK306*'Drivers'!AB306,3)</x:f>
        <x:v>-4.497</x:v>
      </x:c>
      <x:c r="BE306" s="64" t="n">
        <x:f>SUM(AX306:BB306,BD306)</x:f>
        <x:v>-91.98200000000001</x:v>
      </x:c>
      <x:c r="BF306" s="67" t="n">
        <x:f>'Drivers'!AF306</x:f>
        <x:v>10</x:v>
      </x:c>
      <x:c r="BG306" s="64" t="n">
        <x:f>BJ306</x:f>
        <x:v>-23.724</x:v>
      </x:c>
      <x:c r="BH306" s="64" t="n">
        <x:f>BE306/BF306</x:f>
        <x:v>-9.198200000000002</x:v>
      </x:c>
      <x:c r="BI306" s="68" t="n">
        <x:f>BF306/L306</x:f>
        <x:v>2</x:v>
      </x:c>
      <x:c r="BJ306" s="64" t="n">
        <x:f>-ROUND(AK306*'Drivers'!AC306,3)</x:f>
        <x:v>-23.724</x:v>
      </x:c>
      <x:c r="BK306" s="64" t="n">
        <x:f>-ROUND(AK306*'Drivers'!AD306,3)</x:f>
        <x:v>-159.118</x:v>
      </x:c>
      <x:c r="BL306" s="64" t="n">
        <x:f>SUM(AV306,BE306,BJ306,BK306)</x:f>
        <x:v>331.4570000000001</x:v>
      </x:c>
      <x:c r="BM306" s="65" t="n">
        <x:f>BL306/AK306</x:f>
        <x:v>0.23669785437515808</x:v>
      </x:c>
      <x:c r="BN306" s="64" t="n">
        <x:f>-ROUND(AK306*'Drivers'!AE306,3)</x:f>
        <x:v>-113.008</x:v>
      </x:c>
      <x:c r="BO306" s="64" t="n">
        <x:f>BL306+BN306</x:f>
        <x:v>218.44900000000013</x:v>
      </x:c>
      <x:c r="BP306" s="65" t="n">
        <x:f>BO306/AK306</x:f>
        <x:v>0.15599733778559186</x:v>
      </x:c>
    </x:row>
    <x:row r="307">
      <x:c r="A307" s="61" t="n">
        <x:v>2025</x:v>
      </x:c>
      <x:c r="B307" s="18" t="str">
        <x:v>S2</x:v>
      </x:c>
      <x:c r="C307" s="18" t="str">
        <x:v>2025 S2</x:v>
      </x:c>
      <x:c r="D307" s="18" t="str">
        <x:v>CNCT0077</x:v>
      </x:c>
      <x:c r="E307" s="18" t="str">
        <x:v>杭州国大城市广场</x:v>
      </x:c>
      <x:c r="F307" s="18" t="str">
        <x:v>杭州</x:v>
      </x:c>
      <x:c r="G307" s="18" t="str">
        <x:v>浙江省</x:v>
      </x:c>
      <x:c r="H307" s="18" t="str">
        <x:v>东区</x:v>
      </x:c>
      <x:c r="I307" s="18" t="str">
        <x:v>Shopping Mall</x:v>
      </x:c>
      <x:c r="J307" s="18" t="str">
        <x:v>Core Shopping Center</x:v>
      </x:c>
      <x:c r="K307" s="18" t="str">
        <x:v>正常</x:v>
      </x:c>
      <x:c r="L307" s="62" t="n">
        <x:v>5</x:v>
      </x:c>
      <x:c r="M307" s="62" t="n">
        <x:v>45</x:v>
      </x:c>
      <x:c r="N307" s="63" t="n">
        <x:f>'Drivers'!C307</x:f>
        <x:v>2046</x:v>
      </x:c>
      <x:c r="O307" s="63" t="n">
        <x:f>'Drivers'!D307</x:f>
        <x:v>1158.058</x:v>
      </x:c>
      <x:c r="P307" s="64" t="n">
        <x:f>ROUND(N307*O307/1000,3)</x:f>
        <x:v>2369.387</x:v>
      </x:c>
      <x:c r="Q307" s="64" t="n">
        <x:f>ROUND(P307*'Drivers'!E307,3)</x:f>
        <x:v>2297.364</x:v>
      </x:c>
      <x:c r="R307" s="64" t="n">
        <x:f>-ROUND(Q307*'Drivers'!F307,3)</x:f>
        <x:v>-497.635</x:v>
      </x:c>
      <x:c r="S307" s="65" t="n">
        <x:f>R307/Q307</x:f>
        <x:v>-0.21661129886252242</x:v>
      </x:c>
      <x:c r="T307" s="64" t="n">
        <x:f>-ROUND(Q307*'Drivers'!G307,3)</x:f>
        <x:v>-47.038</x:v>
      </x:c>
      <x:c r="U307" s="65" t="n">
        <x:f>T307/Q307</x:f>
        <x:v>-0.02047477021490717</x:v>
      </x:c>
      <x:c r="V307" s="64" t="n">
        <x:f>-ROUND(Q307*'Drivers'!H307,3)</x:f>
        <x:v>-21.233</x:v>
      </x:c>
      <x:c r="W307" s="64" t="n">
        <x:f>-ROUND(Q307*'Drivers'!I307,3)</x:f>
        <x:v>-14.216</x:v>
      </x:c>
      <x:c r="X307" s="64" t="n">
        <x:f>-ROUND(Q307*'Drivers'!J307,3)</x:f>
        <x:v>-28.439</x:v>
      </x:c>
      <x:c r="Y307" s="64" t="n">
        <x:f>-ROUND(Q307*'Drivers'!K307,3)</x:f>
        <x:v>-29.247</x:v>
      </x:c>
      <x:c r="Z307" s="64" t="n">
        <x:f>-ROUND(Q307*'Drivers'!L307,3)</x:f>
        <x:v>-20.067</x:v>
      </x:c>
      <x:c r="AA307" s="64" t="n">
        <x:f>-ROUND(Q307*'Drivers'!M307,3)</x:f>
        <x:v>-21.22</x:v>
      </x:c>
      <x:c r="AB307" s="64" t="n">
        <x:f>-ROUND(Q307*'Drivers'!N307,3)</x:f>
        <x:v>-17.287</x:v>
      </x:c>
      <x:c r="AC307" s="64" t="n">
        <x:f>SUM(V307:AB307)</x:f>
        <x:v>-151.709</x:v>
      </x:c>
      <x:c r="AD307" s="65" t="n">
        <x:f>AC307/Q307</x:f>
        <x:v>-0.06603611791601156</x:v>
      </x:c>
      <x:c r="AE307" s="64" t="n">
        <x:f>-ROUND(Q307*'Drivers'!O307,3)</x:f>
        <x:v>-35.463</x:v>
      </x:c>
      <x:c r="AF307" s="65" t="n">
        <x:f>AE307/Q307</x:f>
        <x:v>-0.015436387094078257</x:v>
      </x:c>
      <x:c r="AG307" s="64" t="n">
        <x:f>-ROUND(Q307*'Drivers'!P307,3)</x:f>
        <x:v>-3.404</x:v>
      </x:c>
      <x:c r="AH307" s="64" t="n">
        <x:f>-ROUND(Q307*'Drivers'!Q307,3)</x:f>
        <x:v>-4.93</x:v>
      </x:c>
      <x:c r="AI307" s="64" t="n">
        <x:f>SUM(R307,T307,AC307,AE307,AG307,AH307)</x:f>
        <x:v>-740.179</x:v>
      </x:c>
      <x:c r="AJ307" s="65" t="n">
        <x:f>AI307/Q307</x:f>
        <x:v>-0.32218620993451624</x:v>
      </x:c>
      <x:c r="AK307" s="64" t="n">
        <x:f>Q307+AI307</x:f>
        <x:v>1557.185</x:v>
      </x:c>
      <x:c r="AL307" s="65" t="n">
        <x:f>AK307/Q307</x:f>
        <x:v>0.6778137900654837</x:v>
      </x:c>
      <x:c r="AM307" s="64" t="n">
        <x:f>AK307/L307</x:f>
        <x:v>311.437</x:v>
      </x:c>
      <x:c r="AN307" s="66" t="str">
        <x:f>IF(AM307&lt;=200,"≤200K",IF(AM307&lt;=350,"200–350K",IF(AM307&lt;=500,"350–500K",IF(AM307&lt;=700,"500–700K","&gt;700K"))))</x:f>
        <x:v>200–350K</x:v>
      </x:c>
      <x:c r="AO307" s="64" t="n">
        <x:f>-ROUND(Q307*'Drivers'!R307,3)</x:f>
        <x:v>-820.18</x:v>
      </x:c>
      <x:c r="AP307" s="64" t="n">
        <x:f>-ROUND(AK307*'Drivers'!S307,3)</x:f>
        <x:v>-26.145</x:v>
      </x:c>
      <x:c r="AQ307" s="64" t="n">
        <x:f>-ROUND(AK307*'Drivers'!T307,3)</x:f>
        <x:v>-6.685</x:v>
      </x:c>
      <x:c r="AR307" s="64" t="n">
        <x:f>-ROUND(AK307*'Drivers'!U307,3)</x:f>
        <x:v>-16.545</x:v>
      </x:c>
      <x:c r="AS307" s="64" t="n">
        <x:f>-ROUND(AK307*'Drivers'!V307,3)</x:f>
        <x:v>-56.557</x:v>
      </x:c>
      <x:c r="AT307" s="64" t="n">
        <x:f>SUM(AO307:AS307)</x:f>
        <x:v>-926.1119999999999</x:v>
      </x:c>
      <x:c r="AU307" s="65" t="n">
        <x:f>AT307/AK307</x:f>
        <x:v>-0.5947347296563992</x:v>
      </x:c>
      <x:c r="AV307" s="64" t="n">
        <x:f>AK307+AT307</x:f>
        <x:v>631.0730000000001</x:v>
      </x:c>
      <x:c r="AW307" s="65" t="n">
        <x:f>AV307/AK307</x:f>
        <x:v>0.4052652703436009</x:v>
      </x:c>
      <x:c r="AX307" s="64" t="n">
        <x:f>-ROUND(AK307*'Drivers'!W307,3)</x:f>
        <x:v>-21.003</x:v>
      </x:c>
      <x:c r="AY307" s="64" t="n">
        <x:f>-ROUND(AK307*'Drivers'!X307,3)</x:f>
        <x:v>-36.626</x:v>
      </x:c>
      <x:c r="AZ307" s="64" t="n">
        <x:f>-ROUND(AK307*'Drivers'!Y307,3)</x:f>
        <x:v>-20.566</x:v>
      </x:c>
      <x:c r="BA307" s="64" t="n">
        <x:f>-ROUND(AK307*'Drivers'!Z307,3)</x:f>
        <x:v>-11.415</x:v>
      </x:c>
      <x:c r="BB307" s="64" t="n">
        <x:f>-ROUND(AK307*'Drivers'!AA307,3)</x:f>
        <x:v>-7.673</x:v>
      </x:c>
      <x:c r="BC307" s="64" t="n">
        <x:f>SUM(BA307,BB307)</x:f>
        <x:v>-19.088</x:v>
      </x:c>
      <x:c r="BD307" s="64" t="n">
        <x:f>-ROUND(AK307*'Drivers'!AB307,3)</x:f>
        <x:v>-5.001</x:v>
      </x:c>
      <x:c r="BE307" s="64" t="n">
        <x:f>SUM(AX307:BB307,BD307)</x:f>
        <x:v>-102.28399999999999</x:v>
      </x:c>
      <x:c r="BF307" s="67" t="n">
        <x:f>'Drivers'!AF307</x:f>
        <x:v>10</x:v>
      </x:c>
      <x:c r="BG307" s="64" t="n">
        <x:f>BJ307</x:f>
        <x:v>-26.381</x:v>
      </x:c>
      <x:c r="BH307" s="64" t="n">
        <x:f>BE307/BF307</x:f>
        <x:v>-10.228399999999999</x:v>
      </x:c>
      <x:c r="BI307" s="68" t="n">
        <x:f>BF307/L307</x:f>
        <x:v>2</x:v>
      </x:c>
      <x:c r="BJ307" s="64" t="n">
        <x:f>-ROUND(AK307*'Drivers'!AC307,3)</x:f>
        <x:v>-26.381</x:v>
      </x:c>
      <x:c r="BK307" s="64" t="n">
        <x:f>-ROUND(AK307*'Drivers'!AD307,3)</x:f>
        <x:v>-176.941</x:v>
      </x:c>
      <x:c r="BL307" s="64" t="n">
        <x:f>SUM(AV307,BE307,BJ307,BK307)</x:f>
        <x:v>325.4670000000001</x:v>
      </x:c>
      <x:c r="BM307" s="65" t="n">
        <x:f>BL307/AK307</x:f>
        <x:v>0.209009847898612</x:v>
      </x:c>
      <x:c r="BN307" s="64" t="n">
        <x:f>-ROUND(AK307*'Drivers'!AE307,3)</x:f>
        <x:v>-125.665</x:v>
      </x:c>
      <x:c r="BO307" s="64" t="n">
        <x:f>BL307+BN307</x:f>
        <x:v>199.80200000000008</x:v>
      </x:c>
      <x:c r="BP307" s="65" t="n">
        <x:f>BO307/AK307</x:f>
        <x:v>0.12830973840616244</x:v>
      </x:c>
    </x:row>
    <x:row r="308">
      <x:c r="A308" s="61" t="n">
        <x:v>2026</x:v>
      </x:c>
      <x:c r="B308" s="18" t="str">
        <x:v>S1</x:v>
      </x:c>
      <x:c r="C308" s="18" t="str">
        <x:v>2026 S1</x:v>
      </x:c>
      <x:c r="D308" s="18" t="str">
        <x:v>CNCT0077</x:v>
      </x:c>
      <x:c r="E308" s="18" t="str">
        <x:v>杭州国大城市广场</x:v>
      </x:c>
      <x:c r="F308" s="18" t="str">
        <x:v>杭州</x:v>
      </x:c>
      <x:c r="G308" s="18" t="str">
        <x:v>浙江省</x:v>
      </x:c>
      <x:c r="H308" s="18" t="str">
        <x:v>东区</x:v>
      </x:c>
      <x:c r="I308" s="18" t="str">
        <x:v>Shopping Mall</x:v>
      </x:c>
      <x:c r="J308" s="18" t="str">
        <x:v>Core Shopping Center</x:v>
      </x:c>
      <x:c r="K308" s="18" t="str">
        <x:v>正常</x:v>
      </x:c>
      <x:c r="L308" s="62" t="n">
        <x:v>5</x:v>
      </x:c>
      <x:c r="M308" s="62" t="n">
        <x:v>47</x:v>
      </x:c>
      <x:c r="N308" s="63" t="n">
        <x:f>'Drivers'!C308</x:f>
        <x:v>1852</x:v>
      </x:c>
      <x:c r="O308" s="63" t="n">
        <x:f>'Drivers'!D308</x:f>
        <x:v>1187.04</x:v>
      </x:c>
      <x:c r="P308" s="64" t="n">
        <x:f>ROUND(N308*O308/1000,3)</x:f>
        <x:v>2198.398</x:v>
      </x:c>
      <x:c r="Q308" s="64" t="n">
        <x:f>ROUND(P308*'Drivers'!E308,3)</x:f>
        <x:v>2118.491</x:v>
      </x:c>
      <x:c r="R308" s="64" t="n">
        <x:f>-ROUND(Q308*'Drivers'!F308,3)</x:f>
        <x:v>-469.413</x:v>
      </x:c>
      <x:c r="S308" s="65" t="n">
        <x:f>R308/Q308</x:f>
        <x:v>-0.22157894463559205</x:v>
      </x:c>
      <x:c r="T308" s="64" t="n">
        <x:f>-ROUND(Q308*'Drivers'!G308,3)</x:f>
        <x:v>-40.652</x:v>
      </x:c>
      <x:c r="U308" s="65" t="n">
        <x:f>T308/Q308</x:f>
        <x:v>-0.019189130376291427</x:v>
      </x:c>
      <x:c r="V308" s="64" t="n">
        <x:f>-ROUND(Q308*'Drivers'!H308,3)</x:f>
        <x:v>-19.58</x:v>
      </x:c>
      <x:c r="W308" s="64" t="n">
        <x:f>-ROUND(Q308*'Drivers'!I308,3)</x:f>
        <x:v>-13.109</x:v>
      </x:c>
      <x:c r="X308" s="64" t="n">
        <x:f>-ROUND(Q308*'Drivers'!J308,3)</x:f>
        <x:v>-26.225</x:v>
      </x:c>
      <x:c r="Y308" s="64" t="n">
        <x:f>-ROUND(Q308*'Drivers'!K308,3)</x:f>
        <x:v>-26.97</x:v>
      </x:c>
      <x:c r="Z308" s="64" t="n">
        <x:f>-ROUND(Q308*'Drivers'!L308,3)</x:f>
        <x:v>-18.504</x:v>
      </x:c>
      <x:c r="AA308" s="64" t="n">
        <x:f>-ROUND(Q308*'Drivers'!M308,3)</x:f>
        <x:v>-19.568</x:v>
      </x:c>
      <x:c r="AB308" s="64" t="n">
        <x:f>-ROUND(Q308*'Drivers'!N308,3)</x:f>
        <x:v>-15.941</x:v>
      </x:c>
      <x:c r="AC308" s="64" t="n">
        <x:f>SUM(V308:AB308)</x:f>
        <x:v>-139.897</x:v>
      </x:c>
      <x:c r="AD308" s="65" t="n">
        <x:f>AC308/Q308</x:f>
        <x:v>-0.066036154980125</x:v>
      </x:c>
      <x:c r="AE308" s="64" t="n">
        <x:f>-ROUND(Q308*'Drivers'!O308,3)</x:f>
        <x:v>-36.34</x:v>
      </x:c>
      <x:c r="AF308" s="65" t="n">
        <x:f>AE308/Q308</x:f>
        <x:v>-0.01715371932191357</x:v>
      </x:c>
      <x:c r="AG308" s="64" t="n">
        <x:f>-ROUND(Q308*'Drivers'!P308,3)</x:f>
        <x:v>-3.139</x:v>
      </x:c>
      <x:c r="AH308" s="64" t="n">
        <x:f>-ROUND(Q308*'Drivers'!Q308,3)</x:f>
        <x:v>-4.546</x:v>
      </x:c>
      <x:c r="AI308" s="64" t="n">
        <x:f>SUM(R308,T308,AC308,AE308,AG308,AH308)</x:f>
        <x:v>-693.9870000000001</x:v>
      </x:c>
      <x:c r="AJ308" s="65" t="n">
        <x:f>AI308/Q308</x:f>
        <x:v>-0.3275855313994726</x:v>
      </x:c>
      <x:c r="AK308" s="64" t="n">
        <x:f>Q308+AI308</x:f>
        <x:v>1424.504</x:v>
      </x:c>
      <x:c r="AL308" s="65" t="n">
        <x:f>AK308/Q308</x:f>
        <x:v>0.6724144686005274</x:v>
      </x:c>
      <x:c r="AM308" s="64" t="n">
        <x:f>AK308/L308</x:f>
        <x:v>284.9008</x:v>
      </x:c>
      <x:c r="AN308" s="66" t="str">
        <x:f>IF(AM308&lt;=200,"≤200K",IF(AM308&lt;=350,"200–350K",IF(AM308&lt;=500,"350–500K",IF(AM308&lt;=700,"500–700K","&gt;700K"))))</x:f>
        <x:v>200–350K</x:v>
      </x:c>
      <x:c r="AO308" s="64" t="n">
        <x:f>-ROUND(Q308*'Drivers'!R308,3)</x:f>
        <x:v>-709.701</x:v>
      </x:c>
      <x:c r="AP308" s="64" t="n">
        <x:f>-ROUND(AK308*'Drivers'!S308,3)</x:f>
        <x:v>-23.917</x:v>
      </x:c>
      <x:c r="AQ308" s="64" t="n">
        <x:f>-ROUND(AK308*'Drivers'!T308,3)</x:f>
        <x:v>-6.116</x:v>
      </x:c>
      <x:c r="AR308" s="64" t="n">
        <x:f>-ROUND(AK308*'Drivers'!U308,3)</x:f>
        <x:v>-15.136</x:v>
      </x:c>
      <x:c r="AS308" s="64" t="n">
        <x:f>-ROUND(AK308*'Drivers'!V308,3)</x:f>
        <x:v>-51.738</x:v>
      </x:c>
      <x:c r="AT308" s="64" t="n">
        <x:f>SUM(AO308:AS308)</x:f>
        <x:v>-806.608</x:v>
      </x:c>
      <x:c r="AU308" s="65" t="n">
        <x:f>AT308/AK308</x:f>
        <x:v>-0.5662377922420716</x:v>
      </x:c>
      <x:c r="AV308" s="64" t="n">
        <x:f>AK308+AT308</x:f>
        <x:v>617.896</x:v>
      </x:c>
      <x:c r="AW308" s="65" t="n">
        <x:f>AV308/AK308</x:f>
        <x:v>0.4337622077579284</x:v>
      </x:c>
      <x:c r="AX308" s="64" t="n">
        <x:f>-ROUND(AK308*'Drivers'!W308,3)</x:f>
        <x:v>-23.642</x:v>
      </x:c>
      <x:c r="AY308" s="64" t="n">
        <x:f>-ROUND(AK308*'Drivers'!X308,3)</x:f>
        <x:v>-41.227</x:v>
      </x:c>
      <x:c r="AZ308" s="64" t="n">
        <x:f>-ROUND(AK308*'Drivers'!Y308,3)</x:f>
        <x:v>-23.149</x:v>
      </x:c>
      <x:c r="BA308" s="64" t="n">
        <x:f>-ROUND(AK308*'Drivers'!Z308,3)</x:f>
        <x:v>-12.849</x:v>
      </x:c>
      <x:c r="BB308" s="64" t="n">
        <x:f>-ROUND(AK308*'Drivers'!AA308,3)</x:f>
        <x:v>-8.636</x:v>
      </x:c>
      <x:c r="BC308" s="64" t="n">
        <x:f>SUM(BA308,BB308)</x:f>
        <x:v>-21.485</x:v>
      </x:c>
      <x:c r="BD308" s="64" t="n">
        <x:f>-ROUND(AK308*'Drivers'!AB308,3)</x:f>
        <x:v>-5.629</x:v>
      </x:c>
      <x:c r="BE308" s="64" t="n">
        <x:f>SUM(AX308:BB308,BD308)</x:f>
        <x:v>-115.132</x:v>
      </x:c>
      <x:c r="BF308" s="67" t="n">
        <x:f>'Drivers'!AF308</x:f>
        <x:v>10</x:v>
      </x:c>
      <x:c r="BG308" s="64" t="n">
        <x:f>BJ308</x:f>
        <x:v>-29.695</x:v>
      </x:c>
      <x:c r="BH308" s="64" t="n">
        <x:f>BE308/BF308</x:f>
        <x:v>-11.513200000000001</x:v>
      </x:c>
      <x:c r="BI308" s="68" t="n">
        <x:f>BF308/L308</x:f>
        <x:v>2</x:v>
      </x:c>
      <x:c r="BJ308" s="64" t="n">
        <x:f>-ROUND(AK308*'Drivers'!AC308,3)</x:f>
        <x:v>-29.695</x:v>
      </x:c>
      <x:c r="BK308" s="64" t="n">
        <x:f>-ROUND(AK308*'Drivers'!AD308,3)</x:f>
        <x:v>-161.864</x:v>
      </x:c>
      <x:c r="BL308" s="64" t="n">
        <x:f>SUM(AV308,BE308,BJ308,BK308)</x:f>
        <x:v>311.2049999999999</x:v>
      </x:c>
      <x:c r="BM308" s="65" t="n">
        <x:f>BL308/AK308</x:f>
        <x:v>0.21846551501434883</x:v>
      </x:c>
      <x:c r="BN308" s="64" t="n">
        <x:f>-ROUND(AK308*'Drivers'!AE308,3)</x:f>
        <x:v>-114.958</x:v>
      </x:c>
      <x:c r="BO308" s="64" t="n">
        <x:f>BL308+BN308</x:f>
        <x:v>196.24699999999993</x:v>
      </x:c>
      <x:c r="BP308" s="65" t="n">
        <x:f>BO308/AK308</x:f>
        <x:v>0.13776514492061795</x:v>
      </x:c>
    </x:row>
    <x:row r="309">
      <x:c r="A309" s="61" t="n">
        <x:v>2026</x:v>
      </x:c>
      <x:c r="B309" s="18" t="str">
        <x:v>S2</x:v>
      </x:c>
      <x:c r="C309" s="18" t="str">
        <x:v>2026 S2</x:v>
      </x:c>
      <x:c r="D309" s="18" t="str">
        <x:v>CNCT0077</x:v>
      </x:c>
      <x:c r="E309" s="18" t="str">
        <x:v>杭州国大城市广场</x:v>
      </x:c>
      <x:c r="F309" s="18" t="str">
        <x:v>杭州</x:v>
      </x:c>
      <x:c r="G309" s="18" t="str">
        <x:v>浙江省</x:v>
      </x:c>
      <x:c r="H309" s="18" t="str">
        <x:v>东区</x:v>
      </x:c>
      <x:c r="I309" s="18" t="str">
        <x:v>Shopping Mall</x:v>
      </x:c>
      <x:c r="J309" s="18" t="str">
        <x:v>Core Shopping Center</x:v>
      </x:c>
      <x:c r="K309" s="18" t="str">
        <x:v>正常</x:v>
      </x:c>
      <x:c r="L309" s="62" t="n">
        <x:v>5</x:v>
      </x:c>
      <x:c r="M309" s="62" t="n">
        <x:v>47</x:v>
      </x:c>
      <x:c r="N309" s="63" t="n">
        <x:f>'Drivers'!C309</x:f>
        <x:v>2036</x:v>
      </x:c>
      <x:c r="O309" s="63" t="n">
        <x:f>'Drivers'!D309</x:f>
        <x:v>1184.29</x:v>
      </x:c>
      <x:c r="P309" s="64" t="n">
        <x:f>ROUND(N309*O309/1000,3)</x:f>
        <x:v>2411.214</x:v>
      </x:c>
      <x:c r="Q309" s="64" t="n">
        <x:f>ROUND(P309*'Drivers'!E309,3)</x:f>
        <x:v>2337.92</x:v>
      </x:c>
      <x:c r="R309" s="64" t="n">
        <x:f>-ROUND(Q309*'Drivers'!F309,3)</x:f>
        <x:v>-521.149</x:v>
      </x:c>
      <x:c r="S309" s="65" t="n">
        <x:f>R309/Q309</x:f>
        <x:v>-0.22291139132220092</x:v>
      </x:c>
      <x:c r="T309" s="64" t="n">
        <x:f>-ROUND(Q309*'Drivers'!G309,3)</x:f>
        <x:v>-52.435</x:v>
      </x:c>
      <x:c r="U309" s="65" t="n">
        <x:f>T309/Q309</x:f>
        <x:v>-0.02242805570763756</x:v>
      </x:c>
      <x:c r="V309" s="64" t="n">
        <x:f>-ROUND(Q309*'Drivers'!H309,3)</x:f>
        <x:v>-21.608</x:v>
      </x:c>
      <x:c r="W309" s="64" t="n">
        <x:f>-ROUND(Q309*'Drivers'!I309,3)</x:f>
        <x:v>-14.467</x:v>
      </x:c>
      <x:c r="X309" s="64" t="n">
        <x:f>-ROUND(Q309*'Drivers'!J309,3)</x:f>
        <x:v>-28.941</x:v>
      </x:c>
      <x:c r="Y309" s="64" t="n">
        <x:f>-ROUND(Q309*'Drivers'!K309,3)</x:f>
        <x:v>-29.763</x:v>
      </x:c>
      <x:c r="Z309" s="64" t="n">
        <x:f>-ROUND(Q309*'Drivers'!L309,3)</x:f>
        <x:v>-20.421</x:v>
      </x:c>
      <x:c r="AA309" s="64" t="n">
        <x:f>-ROUND(Q309*'Drivers'!M309,3)</x:f>
        <x:v>-21.595</x:v>
      </x:c>
      <x:c r="AB309" s="64" t="n">
        <x:f>-ROUND(Q309*'Drivers'!N309,3)</x:f>
        <x:v>-17.593</x:v>
      </x:c>
      <x:c r="AC309" s="64" t="n">
        <x:f>SUM(V309:AB309)</x:f>
        <x:v>-154.388</x:v>
      </x:c>
      <x:c r="AD309" s="65" t="n">
        <x:f>AC309/Q309</x:f>
        <x:v>-0.0660364768683274</x:v>
      </x:c>
      <x:c r="AE309" s="64" t="n">
        <x:f>-ROUND(Q309*'Drivers'!O309,3)</x:f>
        <x:v>-36.089</x:v>
      </x:c>
      <x:c r="AF309" s="65" t="n">
        <x:f>AE309/Q309</x:f>
        <x:v>-0.015436370791130577</x:v>
      </x:c>
      <x:c r="AG309" s="64" t="n">
        <x:f>-ROUND(Q309*'Drivers'!P309,3)</x:f>
        <x:v>-3.464</x:v>
      </x:c>
      <x:c r="AH309" s="64" t="n">
        <x:f>-ROUND(Q309*'Drivers'!Q309,3)</x:f>
        <x:v>-5.017</x:v>
      </x:c>
      <x:c r="AI309" s="64" t="n">
        <x:f>SUM(R309,T309,AC309,AE309,AG309,AH309)</x:f>
        <x:v>-772.5420000000003</x:v>
      </x:c>
      <x:c r="AJ309" s="65" t="n">
        <x:f>AI309/Q309</x:f>
        <x:v>-0.330439878182316</x:v>
      </x:c>
      <x:c r="AK309" s="64" t="n">
        <x:f>Q309+AI309</x:f>
        <x:v>1565.3779999999997</x:v>
      </x:c>
      <x:c r="AL309" s="65" t="n">
        <x:f>AK309/Q309</x:f>
        <x:v>0.669560121817684</x:v>
      </x:c>
      <x:c r="AM309" s="64" t="n">
        <x:f>AK309/L309</x:f>
        <x:v>313.07559999999995</x:v>
      </x:c>
      <x:c r="AN309" s="66" t="str">
        <x:f>IF(AM309&lt;=200,"≤200K",IF(AM309&lt;=350,"200–350K",IF(AM309&lt;=500,"350–500K",IF(AM309&lt;=700,"500–700K","&gt;700K"))))</x:f>
        <x:v>200–350K</x:v>
      </x:c>
      <x:c r="AO309" s="64" t="n">
        <x:f>-ROUND(Q309*'Drivers'!R309,3)</x:f>
        <x:v>-815.862</x:v>
      </x:c>
      <x:c r="AP309" s="64" t="n">
        <x:f>-ROUND(AK309*'Drivers'!S309,3)</x:f>
        <x:v>-26.282</x:v>
      </x:c>
      <x:c r="AQ309" s="64" t="n">
        <x:f>-ROUND(AK309*'Drivers'!T309,3)</x:f>
        <x:v>-6.721</x:v>
      </x:c>
      <x:c r="AR309" s="64" t="n">
        <x:f>-ROUND(AK309*'Drivers'!U309,3)</x:f>
        <x:v>-16.632</x:v>
      </x:c>
      <x:c r="AS309" s="64" t="n">
        <x:f>-ROUND(AK309*'Drivers'!V309,3)</x:f>
        <x:v>-56.854</x:v>
      </x:c>
      <x:c r="AT309" s="64" t="n">
        <x:f>SUM(AO309:AS309)</x:f>
        <x:v>-922.351</x:v>
      </x:c>
      <x:c r="AU309" s="65" t="n">
        <x:f>AT309/AK309</x:f>
        <x:v>-0.5892193451038664</x:v>
      </x:c>
      <x:c r="AV309" s="64" t="n">
        <x:f>AK309+AT309</x:f>
        <x:v>643.0269999999997</x:v>
      </x:c>
      <x:c r="AW309" s="65" t="n">
        <x:f>AV309/AK309</x:f>
        <x:v>0.4107806548961336</x:v>
      </x:c>
      <x:c r="AX309" s="64" t="n">
        <x:f>-ROUND(AK309*'Drivers'!W309,3)</x:f>
        <x:v>-22.381</x:v>
      </x:c>
      <x:c r="AY309" s="64" t="n">
        <x:f>-ROUND(AK309*'Drivers'!X309,3)</x:f>
        <x:v>-39.028</x:v>
      </x:c>
      <x:c r="AZ309" s="64" t="n">
        <x:f>-ROUND(AK309*'Drivers'!Y309,3)</x:f>
        <x:v>-21.915</x:v>
      </x:c>
      <x:c r="BA309" s="64" t="n">
        <x:f>-ROUND(AK309*'Drivers'!Z309,3)</x:f>
        <x:v>-12.164</x:v>
      </x:c>
      <x:c r="BB309" s="64" t="n">
        <x:f>-ROUND(AK309*'Drivers'!AA309,3)</x:f>
        <x:v>-8.176</x:v>
      </x:c>
      <x:c r="BC309" s="64" t="n">
        <x:f>SUM(BA309,BB309)</x:f>
        <x:v>-20.34</x:v>
      </x:c>
      <x:c r="BD309" s="64" t="n">
        <x:f>-ROUND(AK309*'Drivers'!AB309,3)</x:f>
        <x:v>-5.329</x:v>
      </x:c>
      <x:c r="BE309" s="64" t="n">
        <x:f>SUM(AX309:BB309,BD309)</x:f>
        <x:v>-108.993</x:v>
      </x:c>
      <x:c r="BF309" s="67" t="n">
        <x:f>'Drivers'!AF309</x:f>
        <x:v>10</x:v>
      </x:c>
      <x:c r="BG309" s="64" t="n">
        <x:f>BJ309</x:f>
        <x:v>-28.111</x:v>
      </x:c>
      <x:c r="BH309" s="64" t="n">
        <x:f>BE309/BF309</x:f>
        <x:v>-10.8993</x:v>
      </x:c>
      <x:c r="BI309" s="68" t="n">
        <x:f>BF309/L309</x:f>
        <x:v>2</x:v>
      </x:c>
      <x:c r="BJ309" s="64" t="n">
        <x:f>-ROUND(AK309*'Drivers'!AC309,3)</x:f>
        <x:v>-28.111</x:v>
      </x:c>
      <x:c r="BK309" s="64" t="n">
        <x:f>-ROUND(AK309*'Drivers'!AD309,3)</x:f>
        <x:v>-177.872</x:v>
      </x:c>
      <x:c r="BL309" s="64" t="n">
        <x:f>SUM(AV309,BE309,BJ309,BK309)</x:f>
        <x:v>328.05099999999965</x:v>
      </x:c>
      <x:c r="BM309" s="65" t="n">
        <x:f>BL309/AK309</x:f>
        <x:v>0.2095666350236171</x:v>
      </x:c>
      <x:c r="BN309" s="64" t="n">
        <x:f>-ROUND(AK309*'Drivers'!AE309,3)</x:f>
        <x:v>-126.327</x:v>
      </x:c>
      <x:c r="BO309" s="64" t="n">
        <x:f>BL309+BN309</x:f>
        <x:v>201.72399999999965</x:v>
      </x:c>
      <x:c r="BP309" s="65" t="n">
        <x:f>BO309/AK309</x:f>
        <x:v>0.12886599913886593</x:v>
      </x:c>
    </x:row>
    <x:row r="310">
      <x:c r="A310" s="61" t="n">
        <x:v>2025</x:v>
      </x:c>
      <x:c r="B310" s="18" t="str">
        <x:v>S1</x:v>
      </x:c>
      <x:c r="C310" s="18" t="str">
        <x:v>2025 S1</x:v>
      </x:c>
      <x:c r="D310" s="18" t="str">
        <x:v>CNCT0078</x:v>
      </x:c>
      <x:c r="E310" s="18" t="str">
        <x:v>杭州武林银泰百货</x:v>
      </x:c>
      <x:c r="F310" s="18" t="str">
        <x:v>杭州</x:v>
      </x:c>
      <x:c r="G310" s="18" t="str">
        <x:v>浙江省</x:v>
      </x:c>
      <x:c r="H310" s="18" t="str">
        <x:v>东区</x:v>
      </x:c>
      <x:c r="I310" s="18" t="str">
        <x:v>Department Store</x:v>
      </x:c>
      <x:c r="J310" s="18" t="str">
        <x:v>Core Shopping Center</x:v>
      </x:c>
      <x:c r="K310" s="18" t="str">
        <x:v>正常</x:v>
      </x:c>
      <x:c r="L310" s="62" t="n">
        <x:v>6</x:v>
      </x:c>
      <x:c r="M310" s="62" t="n">
        <x:v>45</x:v>
      </x:c>
      <x:c r="N310" s="63" t="n">
        <x:f>'Drivers'!C310</x:f>
        <x:v>2112</x:v>
      </x:c>
      <x:c r="O310" s="63" t="n">
        <x:f>'Drivers'!D310</x:f>
        <x:v>1127.072</x:v>
      </x:c>
      <x:c r="P310" s="64" t="n">
        <x:f>ROUND(N310*O310/1000,3)</x:f>
        <x:v>2380.376</x:v>
      </x:c>
      <x:c r="Q310" s="64" t="n">
        <x:f>ROUND(P310*'Drivers'!E310,3)</x:f>
        <x:v>2314.89</x:v>
      </x:c>
      <x:c r="R310" s="64" t="n">
        <x:f>-ROUND(Q310*'Drivers'!F310,3)</x:f>
        <x:v>-413.452</x:v>
      </x:c>
      <x:c r="S310" s="65" t="n">
        <x:f>R310/Q310</x:f>
        <x:v>-0.1786054628945652</x:v>
      </x:c>
      <x:c r="T310" s="64" t="n">
        <x:f>-ROUND(Q310*'Drivers'!G310,3)</x:f>
        <x:v>-22.788</x:v>
      </x:c>
      <x:c r="U310" s="65" t="n">
        <x:f>T310/Q310</x:f>
        <x:v>-0.009844096263753354</x:v>
      </x:c>
      <x:c r="V310" s="64" t="n">
        <x:f>-ROUND(Q310*'Drivers'!H310,3)</x:f>
        <x:v>-23.915</x:v>
      </x:c>
      <x:c r="W310" s="64" t="n">
        <x:f>-ROUND(Q310*'Drivers'!I310,3)</x:f>
        <x:v>-20.833</x:v>
      </x:c>
      <x:c r="X310" s="64" t="n">
        <x:f>-ROUND(Q310*'Drivers'!J310,3)</x:f>
        <x:v>-32.341</x:v>
      </x:c>
      <x:c r="Y310" s="64" t="n">
        <x:f>-ROUND(Q310*'Drivers'!K310,3)</x:f>
        <x:v>-31.215</x:v>
      </x:c>
      <x:c r="Z310" s="64" t="n">
        <x:f>-ROUND(Q310*'Drivers'!L310,3)</x:f>
        <x:v>-22.451</x:v>
      </x:c>
      <x:c r="AA310" s="64" t="n">
        <x:f>-ROUND(Q310*'Drivers'!M310,3)</x:f>
        <x:v>-16.197</x:v>
      </x:c>
      <x:c r="AB310" s="64" t="n">
        <x:f>-ROUND(Q310*'Drivers'!N310,3)</x:f>
        <x:v>-16.767</x:v>
      </x:c>
      <x:c r="AC310" s="64" t="n">
        <x:f>SUM(V310:AB310)</x:f>
        <x:v>-163.719</x:v>
      </x:c>
      <x:c r="AD310" s="65" t="n">
        <x:f>AC310/Q310</x:f>
        <x:v>-0.0707243108743828</x:v>
      </x:c>
      <x:c r="AE310" s="64" t="n">
        <x:f>-ROUND(Q310*'Drivers'!O310,3)</x:f>
        <x:v>-34.775</x:v>
      </x:c>
      <x:c r="AF310" s="65" t="n">
        <x:f>AE310/Q310</x:f>
        <x:v>-0.015022312075303794</x:v>
      </x:c>
      <x:c r="AG310" s="64" t="n">
        <x:f>-ROUND(Q310*'Drivers'!P310,3)</x:f>
        <x:v>-4.012</x:v>
      </x:c>
      <x:c r="AH310" s="64" t="n">
        <x:f>-ROUND(Q310*'Drivers'!Q310,3)</x:f>
        <x:v>-12.184</x:v>
      </x:c>
      <x:c r="AI310" s="64" t="n">
        <x:f>SUM(R310,T310,AC310,AE310,AG310,AH310)</x:f>
        <x:v>-650.93</x:v>
      </x:c>
      <x:c r="AJ310" s="65" t="n">
        <x:f>AI310/Q310</x:f>
        <x:v>-0.28119262686347946</x:v>
      </x:c>
      <x:c r="AK310" s="64" t="n">
        <x:f>Q310+AI310</x:f>
        <x:v>1663.96</x:v>
      </x:c>
      <x:c r="AL310" s="65" t="n">
        <x:f>AK310/Q310</x:f>
        <x:v>0.7188073731365205</x:v>
      </x:c>
      <x:c r="AM310" s="64" t="n">
        <x:f>AK310/L310</x:f>
        <x:v>277.32666666666665</x:v>
      </x:c>
      <x:c r="AN310" s="66" t="str">
        <x:f>IF(AM310&lt;=200,"≤200K",IF(AM310&lt;=350,"200–350K",IF(AM310&lt;=500,"350–500K",IF(AM310&lt;=700,"500–700K","&gt;700K"))))</x:f>
        <x:v>200–350K</x:v>
      </x:c>
      <x:c r="AO310" s="64" t="n">
        <x:f>-ROUND(Q310*'Drivers'!R310,3)</x:f>
        <x:v>-842.418</x:v>
      </x:c>
      <x:c r="AP310" s="64" t="n">
        <x:f>-ROUND(AK310*'Drivers'!S310,3)</x:f>
        <x:v>-19.657</x:v>
      </x:c>
      <x:c r="AQ310" s="64" t="n">
        <x:f>-ROUND(AK310*'Drivers'!T310,3)</x:f>
        <x:v>-6.618</x:v>
      </x:c>
      <x:c r="AR310" s="64" t="n">
        <x:f>-ROUND(AK310*'Drivers'!U310,3)</x:f>
        <x:v>-10.296</x:v>
      </x:c>
      <x:c r="AS310" s="64" t="n">
        <x:f>-ROUND(AK310*'Drivers'!V310,3)</x:f>
        <x:v>-61.871</x:v>
      </x:c>
      <x:c r="AT310" s="64" t="n">
        <x:f>SUM(AO310:AS310)</x:f>
        <x:v>-940.8600000000001</x:v>
      </x:c>
      <x:c r="AU310" s="65" t="n">
        <x:f>AT310/AK310</x:f>
        <x:v>-0.5654342652467608</x:v>
      </x:c>
      <x:c r="AV310" s="64" t="n">
        <x:f>AK310+AT310</x:f>
        <x:v>723.0999999999999</x:v>
      </x:c>
      <x:c r="AW310" s="65" t="n">
        <x:f>AV310/AK310</x:f>
        <x:v>0.4345657347532392</x:v>
      </x:c>
      <x:c r="AX310" s="64" t="n">
        <x:f>-ROUND(AK310*'Drivers'!W310,3)</x:f>
        <x:v>-16.81</x:v>
      </x:c>
      <x:c r="AY310" s="64" t="n">
        <x:f>-ROUND(AK310*'Drivers'!X310,3)</x:f>
        <x:v>-31.51</x:v>
      </x:c>
      <x:c r="AZ310" s="64" t="n">
        <x:f>-ROUND(AK310*'Drivers'!Y310,3)</x:f>
        <x:v>-29.668</x:v>
      </x:c>
      <x:c r="BA310" s="64" t="n">
        <x:f>-ROUND(AK310*'Drivers'!Z310,3)</x:f>
        <x:v>-8.796</x:v>
      </x:c>
      <x:c r="BB310" s="64" t="n">
        <x:f>-ROUND(AK310*'Drivers'!AA310,3)</x:f>
        <x:v>-13.303</x:v>
      </x:c>
      <x:c r="BC310" s="64" t="n">
        <x:f>SUM(BA310,BB310)</x:f>
        <x:v>-22.099</x:v>
      </x:c>
      <x:c r="BD310" s="64" t="n">
        <x:f>-ROUND(AK310*'Drivers'!AB310,3)</x:f>
        <x:v>-5.237</x:v>
      </x:c>
      <x:c r="BE310" s="64" t="n">
        <x:f>SUM(AX310:BB310,BD310)</x:f>
        <x:v>-105.32399999999998</x:v>
      </x:c>
      <x:c r="BF310" s="67" t="n">
        <x:f>'Drivers'!AF310</x:f>
        <x:v>9</x:v>
      </x:c>
      <x:c r="BG310" s="64" t="n">
        <x:f>BJ310</x:f>
        <x:v>-36.004</x:v>
      </x:c>
      <x:c r="BH310" s="64" t="n">
        <x:f>BE310/BF310</x:f>
        <x:v>-11.702666666666666</x:v>
      </x:c>
      <x:c r="BI310" s="68" t="n">
        <x:f>BF310/L310</x:f>
        <x:v>1.5</x:v>
      </x:c>
      <x:c r="BJ310" s="64" t="n">
        <x:f>-ROUND(AK310*'Drivers'!AC310,3)</x:f>
        <x:v>-36.004</x:v>
      </x:c>
      <x:c r="BK310" s="64" t="n">
        <x:f>-ROUND(AK310*'Drivers'!AD310,3)</x:f>
        <x:v>-164.613</x:v>
      </x:c>
      <x:c r="BL310" s="64" t="n">
        <x:f>SUM(AV310,BE310,BJ310,BK310)</x:f>
        <x:v>417.15899999999993</x:v>
      </x:c>
      <x:c r="BM310" s="65" t="n">
        <x:f>BL310/AK310</x:f>
        <x:v>0.25070254092646455</x:v>
      </x:c>
      <x:c r="BN310" s="64" t="n">
        <x:f>-ROUND(AK310*'Drivers'!AE310,3)</x:f>
        <x:v>-124.219</x:v>
      </x:c>
      <x:c r="BO310" s="64" t="n">
        <x:f>BL310+BN310</x:f>
        <x:v>292.93999999999994</x:v>
      </x:c>
      <x:c r="BP310" s="65" t="n">
        <x:f>BO310/AK310</x:f>
        <x:v>0.17604990504579432</x:v>
      </x:c>
    </x:row>
    <x:row r="311">
      <x:c r="A311" s="61" t="n">
        <x:v>2025</x:v>
      </x:c>
      <x:c r="B311" s="18" t="str">
        <x:v>S2</x:v>
      </x:c>
      <x:c r="C311" s="18" t="str">
        <x:v>2025 S2</x:v>
      </x:c>
      <x:c r="D311" s="18" t="str">
        <x:v>CNCT0078</x:v>
      </x:c>
      <x:c r="E311" s="18" t="str">
        <x:v>杭州武林银泰百货</x:v>
      </x:c>
      <x:c r="F311" s="18" t="str">
        <x:v>杭州</x:v>
      </x:c>
      <x:c r="G311" s="18" t="str">
        <x:v>浙江省</x:v>
      </x:c>
      <x:c r="H311" s="18" t="str">
        <x:v>东区</x:v>
      </x:c>
      <x:c r="I311" s="18" t="str">
        <x:v>Department Store</x:v>
      </x:c>
      <x:c r="J311" s="18" t="str">
        <x:v>Core Shopping Center</x:v>
      </x:c>
      <x:c r="K311" s="18" t="str">
        <x:v>正常</x:v>
      </x:c>
      <x:c r="L311" s="62" t="n">
        <x:v>6</x:v>
      </x:c>
      <x:c r="M311" s="62" t="n">
        <x:v>45</x:v>
      </x:c>
      <x:c r="N311" s="63" t="n">
        <x:f>'Drivers'!C311</x:f>
        <x:v>2296</x:v>
      </x:c>
      <x:c r="O311" s="63" t="n">
        <x:f>'Drivers'!D311</x:f>
        <x:v>1140.597</x:v>
      </x:c>
      <x:c r="P311" s="64" t="n">
        <x:f>ROUND(N311*O311/1000,3)</x:f>
        <x:v>2618.811</x:v>
      </x:c>
      <x:c r="Q311" s="64" t="n">
        <x:f>ROUND(P311*'Drivers'!E311,3)</x:f>
        <x:v>2535.221</x:v>
      </x:c>
      <x:c r="R311" s="64" t="n">
        <x:f>-ROUND(Q311*'Drivers'!F311,3)</x:f>
        <x:v>-452.805</x:v>
      </x:c>
      <x:c r="S311" s="65" t="n">
        <x:f>R311/Q311</x:f>
        <x:v>-0.17860573101911037</x:v>
      </x:c>
      <x:c r="T311" s="64" t="n">
        <x:f>-ROUND(Q311*'Drivers'!G311,3)</x:f>
        <x:v>-24.957</x:v>
      </x:c>
      <x:c r="U311" s="65" t="n">
        <x:f>T311/Q311</x:f>
        <x:v>-0.009844112209547017</x:v>
      </x:c>
      <x:c r="V311" s="64" t="n">
        <x:f>-ROUND(Q311*'Drivers'!H311,3)</x:f>
        <x:v>-26.191</x:v>
      </x:c>
      <x:c r="W311" s="64" t="n">
        <x:f>-ROUND(Q311*'Drivers'!I311,3)</x:f>
        <x:v>-22.816</x:v>
      </x:c>
      <x:c r="X311" s="64" t="n">
        <x:f>-ROUND(Q311*'Drivers'!J311,3)</x:f>
        <x:v>-35.419</x:v>
      </x:c>
      <x:c r="Y311" s="64" t="n">
        <x:f>-ROUND(Q311*'Drivers'!K311,3)</x:f>
        <x:v>-34.186</x:v>
      </x:c>
      <x:c r="Z311" s="64" t="n">
        <x:f>-ROUND(Q311*'Drivers'!L311,3)</x:f>
        <x:v>-24.588</x:v>
      </x:c>
      <x:c r="AA311" s="64" t="n">
        <x:f>-ROUND(Q311*'Drivers'!M311,3)</x:f>
        <x:v>-17.738</x:v>
      </x:c>
      <x:c r="AB311" s="64" t="n">
        <x:f>-ROUND(Q311*'Drivers'!N311,3)</x:f>
        <x:v>-18.363</x:v>
      </x:c>
      <x:c r="AC311" s="64" t="n">
        <x:f>SUM(V311:AB311)</x:f>
        <x:v>-179.301</x:v>
      </x:c>
      <x:c r="AD311" s="65" t="n">
        <x:f>AC311/Q311</x:f>
        <x:v>-0.07072401183171013</x:v>
      </x:c>
      <x:c r="AE311" s="64" t="n">
        <x:f>-ROUND(Q311*'Drivers'!O311,3)</x:f>
        <x:v>-38.085</x:v>
      </x:c>
      <x:c r="AF311" s="65" t="n">
        <x:f>AE311/Q311</x:f>
        <x:v>-0.015022358997499626</x:v>
      </x:c>
      <x:c r="AG311" s="64" t="n">
        <x:f>-ROUND(Q311*'Drivers'!P311,3)</x:f>
        <x:v>-4.394</x:v>
      </x:c>
      <x:c r="AH311" s="64" t="n">
        <x:f>-ROUND(Q311*'Drivers'!Q311,3)</x:f>
        <x:v>-13.344</x:v>
      </x:c>
      <x:c r="AI311" s="64" t="n">
        <x:f>SUM(R311,T311,AC311,AE311,AG311,AH311)</x:f>
        <x:v>-712.8860000000001</x:v>
      </x:c>
      <x:c r="AJ311" s="65" t="n">
        <x:f>AI311/Q311</x:f>
        <x:v>-0.2811928427541426</x:v>
      </x:c>
      <x:c r="AK311" s="64" t="n">
        <x:f>Q311+AI311</x:f>
        <x:v>1822.335</x:v>
      </x:c>
      <x:c r="AL311" s="65" t="n">
        <x:f>AK311/Q311</x:f>
        <x:v>0.7188071572458574</x:v>
      </x:c>
      <x:c r="AM311" s="64" t="n">
        <x:f>AK311/L311</x:f>
        <x:v>303.7225</x:v>
      </x:c>
      <x:c r="AN311" s="66" t="str">
        <x:f>IF(AM311&lt;=200,"≤200K",IF(AM311&lt;=350,"200–350K",IF(AM311&lt;=500,"350–500K",IF(AM311&lt;=700,"500–700K","&gt;700K"))))</x:f>
        <x:v>200–350K</x:v>
      </x:c>
      <x:c r="AO311" s="64" t="n">
        <x:f>-ROUND(Q311*'Drivers'!R311,3)</x:f>
        <x:v>-958.027</x:v>
      </x:c>
      <x:c r="AP311" s="64" t="n">
        <x:f>-ROUND(AK311*'Drivers'!S311,3)</x:f>
        <x:v>-21.528</x:v>
      </x:c>
      <x:c r="AQ311" s="64" t="n">
        <x:f>-ROUND(AK311*'Drivers'!T311,3)</x:f>
        <x:v>-7.248</x:v>
      </x:c>
      <x:c r="AR311" s="64" t="n">
        <x:f>-ROUND(AK311*'Drivers'!U311,3)</x:f>
        <x:v>-11.276</x:v>
      </x:c>
      <x:c r="AS311" s="64" t="n">
        <x:f>-ROUND(AK311*'Drivers'!V311,3)</x:f>
        <x:v>-67.759</x:v>
      </x:c>
      <x:c r="AT311" s="64" t="n">
        <x:f>SUM(AO311:AS311)</x:f>
        <x:v>-1065.838</x:v>
      </x:c>
      <x:c r="AU311" s="65" t="n">
        <x:f>AT311/AK311</x:f>
        <x:v>-0.5848748995107924</x:v>
      </x:c>
      <x:c r="AV311" s="64" t="n">
        <x:f>AK311+AT311</x:f>
        <x:v>756.4970000000001</x:v>
      </x:c>
      <x:c r="AW311" s="65" t="n">
        <x:f>AV311/AK311</x:f>
        <x:v>0.41512510048920753</x:v>
      </x:c>
      <x:c r="AX311" s="64" t="n">
        <x:f>-ROUND(AK311*'Drivers'!W311,3)</x:f>
        <x:v>-18.41</x:v>
      </x:c>
      <x:c r="AY311" s="64" t="n">
        <x:f>-ROUND(AK311*'Drivers'!X311,3)</x:f>
        <x:v>-34.509</x:v>
      </x:c>
      <x:c r="AZ311" s="64" t="n">
        <x:f>-ROUND(AK311*'Drivers'!Y311,3)</x:f>
        <x:v>-32.492</x:v>
      </x:c>
      <x:c r="BA311" s="64" t="n">
        <x:f>-ROUND(AK311*'Drivers'!Z311,3)</x:f>
        <x:v>-9.633</x:v>
      </x:c>
      <x:c r="BB311" s="64" t="n">
        <x:f>-ROUND(AK311*'Drivers'!AA311,3)</x:f>
        <x:v>-14.569</x:v>
      </x:c>
      <x:c r="BC311" s="64" t="n">
        <x:f>SUM(BA311,BB311)</x:f>
        <x:v>-24.201999999999998</x:v>
      </x:c>
      <x:c r="BD311" s="64" t="n">
        <x:f>-ROUND(AK311*'Drivers'!AB311,3)</x:f>
        <x:v>-5.736</x:v>
      </x:c>
      <x:c r="BE311" s="64" t="n">
        <x:f>SUM(AX311:BB311,BD311)</x:f>
        <x:v>-115.349</x:v>
      </x:c>
      <x:c r="BF311" s="67" t="n">
        <x:f>'Drivers'!AF311</x:f>
        <x:v>9</x:v>
      </x:c>
      <x:c r="BG311" s="64" t="n">
        <x:f>BJ311</x:f>
        <x:v>-39.431</x:v>
      </x:c>
      <x:c r="BH311" s="64" t="n">
        <x:f>BE311/BF311</x:f>
        <x:v>-12.816555555555556</x:v>
      </x:c>
      <x:c r="BI311" s="68" t="n">
        <x:f>BF311/L311</x:f>
        <x:v>1.5</x:v>
      </x:c>
      <x:c r="BJ311" s="64" t="n">
        <x:f>-ROUND(AK311*'Drivers'!AC311,3)</x:f>
        <x:v>-39.431</x:v>
      </x:c>
      <x:c r="BK311" s="64" t="n">
        <x:f>-ROUND(AK311*'Drivers'!AD311,3)</x:f>
        <x:v>-180.281</x:v>
      </x:c>
      <x:c r="BL311" s="64" t="n">
        <x:f>SUM(AV311,BE311,BJ311,BK311)</x:f>
        <x:v>421.436</x:v>
      </x:c>
      <x:c r="BM311" s="65" t="n">
        <x:f>BL311/AK311</x:f>
        <x:v>0.23126154082536962</x:v>
      </x:c>
      <x:c r="BN311" s="64" t="n">
        <x:f>-ROUND(AK311*'Drivers'!AE311,3)</x:f>
        <x:v>-136.042</x:v>
      </x:c>
      <x:c r="BO311" s="64" t="n">
        <x:f>BL311+BN311</x:f>
        <x:v>285.394</x:v>
      </x:c>
      <x:c r="BP311" s="65" t="n">
        <x:f>BO311/AK311</x:f>
        <x:v>0.1566089659694842</x:v>
      </x:c>
    </x:row>
    <x:row r="312">
      <x:c r="A312" s="61" t="n">
        <x:v>2026</x:v>
      </x:c>
      <x:c r="B312" s="18" t="str">
        <x:v>S1</x:v>
      </x:c>
      <x:c r="C312" s="18" t="str">
        <x:v>2026 S1</x:v>
      </x:c>
      <x:c r="D312" s="18" t="str">
        <x:v>CNCT0078</x:v>
      </x:c>
      <x:c r="E312" s="18" t="str">
        <x:v>杭州武林银泰百货</x:v>
      </x:c>
      <x:c r="F312" s="18" t="str">
        <x:v>杭州</x:v>
      </x:c>
      <x:c r="G312" s="18" t="str">
        <x:v>浙江省</x:v>
      </x:c>
      <x:c r="H312" s="18" t="str">
        <x:v>东区</x:v>
      </x:c>
      <x:c r="I312" s="18" t="str">
        <x:v>Department Store</x:v>
      </x:c>
      <x:c r="J312" s="18" t="str">
        <x:v>Core Shopping Center</x:v>
      </x:c>
      <x:c r="K312" s="18" t="str">
        <x:v>正常</x:v>
      </x:c>
      <x:c r="L312" s="62" t="n">
        <x:v>6</x:v>
      </x:c>
      <x:c r="M312" s="62" t="n">
        <x:v>47</x:v>
      </x:c>
      <x:c r="N312" s="63" t="n">
        <x:f>'Drivers'!C312</x:f>
        <x:v>2115</x:v>
      </x:c>
      <x:c r="O312" s="63" t="n">
        <x:f>'Drivers'!D312</x:f>
        <x:v>1190.533</x:v>
      </x:c>
      <x:c r="P312" s="64" t="n">
        <x:f>ROUND(N312*O312/1000,3)</x:f>
        <x:v>2517.977</x:v>
      </x:c>
      <x:c r="Q312" s="64" t="n">
        <x:f>ROUND(P312*'Drivers'!E312,3)</x:f>
        <x:v>2445.179</x:v>
      </x:c>
      <x:c r="R312" s="64" t="n">
        <x:f>-ROUND(Q312*'Drivers'!F312,3)</x:f>
        <x:v>-440.959</x:v>
      </x:c>
      <x:c r="S312" s="65" t="n">
        <x:f>R312/Q312</x:f>
        <x:v>-0.18033812657478246</x:v>
      </x:c>
      <x:c r="T312" s="64" t="n">
        <x:f>-ROUND(Q312*'Drivers'!G312,3)</x:f>
        <x:v>-23.085</x:v>
      </x:c>
      <x:c r="U312" s="65" t="n">
        <x:f>T312/Q312</x:f>
        <x:v>-0.009441026607867973</x:v>
      </x:c>
      <x:c r="V312" s="64" t="n">
        <x:f>-ROUND(Q312*'Drivers'!H312,3)</x:f>
        <x:v>-25.261</x:v>
      </x:c>
      <x:c r="W312" s="64" t="n">
        <x:f>-ROUND(Q312*'Drivers'!I312,3)</x:f>
        <x:v>-22.005</x:v>
      </x:c>
      <x:c r="X312" s="64" t="n">
        <x:f>-ROUND(Q312*'Drivers'!J312,3)</x:f>
        <x:v>-34.161</x:v>
      </x:c>
      <x:c r="Y312" s="64" t="n">
        <x:f>-ROUND(Q312*'Drivers'!K312,3)</x:f>
        <x:v>-32.972</x:v>
      </x:c>
      <x:c r="Z312" s="64" t="n">
        <x:f>-ROUND(Q312*'Drivers'!L312,3)</x:f>
        <x:v>-23.714</x:v>
      </x:c>
      <x:c r="AA312" s="64" t="n">
        <x:f>-ROUND(Q312*'Drivers'!M312,3)</x:f>
        <x:v>-17.108</x:v>
      </x:c>
      <x:c r="AB312" s="64" t="n">
        <x:f>-ROUND(Q312*'Drivers'!N312,3)</x:f>
        <x:v>-17.711</x:v>
      </x:c>
      <x:c r="AC312" s="64" t="n">
        <x:f>SUM(V312:AB312)</x:f>
        <x:v>-172.93200000000002</x:v>
      </x:c>
      <x:c r="AD312" s="65" t="n">
        <x:f>AC312/Q312</x:f>
        <x:v>-0.07072365663209115</x:v>
      </x:c>
      <x:c r="AE312" s="64" t="n">
        <x:f>-ROUND(Q312*'Drivers'!O312,3)</x:f>
        <x:v>-33.906</x:v>
      </x:c>
      <x:c r="AF312" s="65" t="n">
        <x:f>AE312/Q312</x:f>
        <x:v>-0.013866469489554752</x:v>
      </x:c>
      <x:c r="AG312" s="64" t="n">
        <x:f>-ROUND(Q312*'Drivers'!P312,3)</x:f>
        <x:v>-4.238</x:v>
      </x:c>
      <x:c r="AH312" s="64" t="n">
        <x:f>-ROUND(Q312*'Drivers'!Q312,3)</x:f>
        <x:v>-12.87</x:v>
      </x:c>
      <x:c r="AI312" s="64" t="n">
        <x:f>SUM(R312,T312,AC312,AE312,AG312,AH312)</x:f>
        <x:v>-687.99</x:v>
      </x:c>
      <x:c r="AJ312" s="65" t="n">
        <x:f>AI312/Q312</x:f>
        <x:v>-0.2813659040912751</x:v>
      </x:c>
      <x:c r="AK312" s="64" t="n">
        <x:f>Q312+AI312</x:f>
        <x:v>1757.189</x:v>
      </x:c>
      <x:c r="AL312" s="65" t="n">
        <x:f>AK312/Q312</x:f>
        <x:v>0.7186340959087248</x:v>
      </x:c>
      <x:c r="AM312" s="64" t="n">
        <x:f>AK312/L312</x:f>
        <x:v>292.86483333333337</x:v>
      </x:c>
      <x:c r="AN312" s="66" t="str">
        <x:f>IF(AM312&lt;=200,"≤200K",IF(AM312&lt;=350,"200–350K",IF(AM312&lt;=500,"350–500K",IF(AM312&lt;=700,"500–700K","&gt;700K"))))</x:f>
        <x:v>200–350K</x:v>
      </x:c>
      <x:c r="AO312" s="64" t="n">
        <x:f>-ROUND(Q312*'Drivers'!R312,3)</x:f>
        <x:v>-901.042</x:v>
      </x:c>
      <x:c r="AP312" s="64" t="n">
        <x:f>-ROUND(AK312*'Drivers'!S312,3)</x:f>
        <x:v>-20.759</x:v>
      </x:c>
      <x:c r="AQ312" s="64" t="n">
        <x:f>-ROUND(AK312*'Drivers'!T312,3)</x:f>
        <x:v>-6.989</x:v>
      </x:c>
      <x:c r="AR312" s="64" t="n">
        <x:f>-ROUND(AK312*'Drivers'!U312,3)</x:f>
        <x:v>-10.873</x:v>
      </x:c>
      <x:c r="AS312" s="64" t="n">
        <x:f>-ROUND(AK312*'Drivers'!V312,3)</x:f>
        <x:v>-65.337</x:v>
      </x:c>
      <x:c r="AT312" s="64" t="n">
        <x:f>SUM(AO312:AS312)</x:f>
        <x:v>-1005.0000000000001</x:v>
      </x:c>
      <x:c r="AU312" s="65" t="n">
        <x:f>AT312/AK312</x:f>
        <x:v>-0.5719362003745756</x:v>
      </x:c>
      <x:c r="AV312" s="64" t="n">
        <x:f>AK312+AT312</x:f>
        <x:v>752.189</x:v>
      </x:c>
      <x:c r="AW312" s="65" t="n">
        <x:f>AV312/AK312</x:f>
        <x:v>0.42806379962542446</x:v>
      </x:c>
      <x:c r="AX312" s="64" t="n">
        <x:f>-ROUND(AK312*'Drivers'!W312,3)</x:f>
        <x:v>-21.843</x:v>
      </x:c>
      <x:c r="AY312" s="64" t="n">
        <x:f>-ROUND(AK312*'Drivers'!X312,3)</x:f>
        <x:v>-40.943</x:v>
      </x:c>
      <x:c r="AZ312" s="64" t="n">
        <x:f>-ROUND(AK312*'Drivers'!Y312,3)</x:f>
        <x:v>-38.55</x:v>
      </x:c>
      <x:c r="BA312" s="64" t="n">
        <x:f>-ROUND(AK312*'Drivers'!Z312,3)</x:f>
        <x:v>-11.43</x:v>
      </x:c>
      <x:c r="BB312" s="64" t="n">
        <x:f>-ROUND(AK312*'Drivers'!AA312,3)</x:f>
        <x:v>-17.285</x:v>
      </x:c>
      <x:c r="BC312" s="64" t="n">
        <x:f>SUM(BA312,BB312)</x:f>
        <x:v>-28.715</x:v>
      </x:c>
      <x:c r="BD312" s="64" t="n">
        <x:f>-ROUND(AK312*'Drivers'!AB312,3)</x:f>
        <x:v>-6.806</x:v>
      </x:c>
      <x:c r="BE312" s="64" t="n">
        <x:f>SUM(AX312:BB312,BD312)</x:f>
        <x:v>-136.857</x:v>
      </x:c>
      <x:c r="BF312" s="67" t="n">
        <x:f>'Drivers'!AF312</x:f>
        <x:v>9</x:v>
      </x:c>
      <x:c r="BG312" s="64" t="n">
        <x:f>BJ312</x:f>
        <x:v>-46.783</x:v>
      </x:c>
      <x:c r="BH312" s="64" t="n">
        <x:f>BE312/BF312</x:f>
        <x:v>-15.206333333333333</x:v>
      </x:c>
      <x:c r="BI312" s="68" t="n">
        <x:f>BF312/L312</x:f>
        <x:v>1.5</x:v>
      </x:c>
      <x:c r="BJ312" s="64" t="n">
        <x:f>-ROUND(AK312*'Drivers'!AC312,3)</x:f>
        <x:v>-46.783</x:v>
      </x:c>
      <x:c r="BK312" s="64" t="n">
        <x:f>-ROUND(AK312*'Drivers'!AD312,3)</x:f>
        <x:v>-173.837</x:v>
      </x:c>
      <x:c r="BL312" s="64" t="n">
        <x:f>SUM(AV312,BE312,BJ312,BK312)</x:f>
        <x:v>394.712</x:v>
      </x:c>
      <x:c r="BM312" s="65" t="n">
        <x:f>BL312/AK312</x:f>
        <x:v>0.2246269467883079</x:v>
      </x:c>
      <x:c r="BN312" s="64" t="n">
        <x:f>-ROUND(AK312*'Drivers'!AE312,3)</x:f>
        <x:v>-131.179</x:v>
      </x:c>
      <x:c r="BO312" s="64" t="n">
        <x:f>BL312+BN312</x:f>
        <x:v>263.533</x:v>
      </x:c>
      <x:c r="BP312" s="65" t="n">
        <x:f>BO312/AK312</x:f>
        <x:v>0.14997419173463983</x:v>
      </x:c>
    </x:row>
    <x:row r="313">
      <x:c r="A313" s="61" t="n">
        <x:v>2026</x:v>
      </x:c>
      <x:c r="B313" s="18" t="str">
        <x:v>S2</x:v>
      </x:c>
      <x:c r="C313" s="18" t="str">
        <x:v>2026 S2</x:v>
      </x:c>
      <x:c r="D313" s="18" t="str">
        <x:v>CNCT0078</x:v>
      </x:c>
      <x:c r="E313" s="18" t="str">
        <x:v>杭州武林银泰百货</x:v>
      </x:c>
      <x:c r="F313" s="18" t="str">
        <x:v>杭州</x:v>
      </x:c>
      <x:c r="G313" s="18" t="str">
        <x:v>浙江省</x:v>
      </x:c>
      <x:c r="H313" s="18" t="str">
        <x:v>东区</x:v>
      </x:c>
      <x:c r="I313" s="18" t="str">
        <x:v>Department Store</x:v>
      </x:c>
      <x:c r="J313" s="18" t="str">
        <x:v>Core Shopping Center</x:v>
      </x:c>
      <x:c r="K313" s="18" t="str">
        <x:v>正常</x:v>
      </x:c>
      <x:c r="L313" s="62" t="n">
        <x:v>6</x:v>
      </x:c>
      <x:c r="M313" s="62" t="n">
        <x:v>47</x:v>
      </x:c>
      <x:c r="N313" s="63" t="n">
        <x:f>'Drivers'!C313</x:f>
        <x:v>2347</x:v>
      </x:c>
      <x:c r="O313" s="63" t="n">
        <x:f>'Drivers'!D313</x:f>
        <x:v>1164.531</x:v>
      </x:c>
      <x:c r="P313" s="64" t="n">
        <x:f>ROUND(N313*O313/1000,3)</x:f>
        <x:v>2733.154</x:v>
      </x:c>
      <x:c r="Q313" s="64" t="n">
        <x:f>ROUND(P313*'Drivers'!E313,3)</x:f>
        <x:v>2645.914</x:v>
      </x:c>
      <x:c r="R313" s="64" t="n">
        <x:f>-ROUND(Q313*'Drivers'!F313,3)</x:f>
        <x:v>-476.513</x:v>
      </x:c>
      <x:c r="S313" s="65" t="n">
        <x:f>R313/Q313</x:f>
        <x:v>-0.180093910837616</x:v>
      </x:c>
      <x:c r="T313" s="64" t="n">
        <x:f>-ROUND(Q313*'Drivers'!G313,3)</x:f>
        <x:v>-21.387</x:v>
      </x:c>
      <x:c r="U313" s="65" t="n">
        <x:f>T313/Q313</x:f>
        <x:v>-0.008083029153630843</x:v>
      </x:c>
      <x:c r="V313" s="64" t="n">
        <x:f>-ROUND(Q313*'Drivers'!H313,3)</x:f>
        <x:v>-27.335</x:v>
      </x:c>
      <x:c r="W313" s="64" t="n">
        <x:f>-ROUND(Q313*'Drivers'!I313,3)</x:f>
        <x:v>-23.812</x:v>
      </x:c>
      <x:c r="X313" s="64" t="n">
        <x:f>-ROUND(Q313*'Drivers'!J313,3)</x:f>
        <x:v>-36.966</x:v>
      </x:c>
      <x:c r="Y313" s="64" t="n">
        <x:f>-ROUND(Q313*'Drivers'!K313,3)</x:f>
        <x:v>-35.679</x:v>
      </x:c>
      <x:c r="Z313" s="64" t="n">
        <x:f>-ROUND(Q313*'Drivers'!L313,3)</x:f>
        <x:v>-25.661</x:v>
      </x:c>
      <x:c r="AA313" s="64" t="n">
        <x:f>-ROUND(Q313*'Drivers'!M313,3)</x:f>
        <x:v>-18.513</x:v>
      </x:c>
      <x:c r="AB313" s="64" t="n">
        <x:f>-ROUND(Q313*'Drivers'!N313,3)</x:f>
        <x:v>-19.165</x:v>
      </x:c>
      <x:c r="AC313" s="64" t="n">
        <x:f>SUM(V313:AB313)</x:f>
        <x:v>-187.131</x:v>
      </x:c>
      <x:c r="AD313" s="65" t="n">
        <x:f>AC313/Q313</x:f>
        <x:v>-0.07072452090279578</x:v>
      </x:c>
      <x:c r="AE313" s="64" t="n">
        <x:f>-ROUND(Q313*'Drivers'!O313,3)</x:f>
        <x:v>-39.748</x:v>
      </x:c>
      <x:c r="AF313" s="65" t="n">
        <x:f>AE313/Q313</x:f>
        <x:v>-0.01502240813571416</x:v>
      </x:c>
      <x:c r="AG313" s="64" t="n">
        <x:f>-ROUND(Q313*'Drivers'!P313,3)</x:f>
        <x:v>-4.585</x:v>
      </x:c>
      <x:c r="AH313" s="64" t="n">
        <x:f>-ROUND(Q313*'Drivers'!Q313,3)</x:f>
        <x:v>-13.927</x:v>
      </x:c>
      <x:c r="AI313" s="64" t="n">
        <x:f>SUM(R313,T313,AC313,AE313,AG313,AH313)</x:f>
        <x:v>-743.291</x:v>
      </x:c>
      <x:c r="AJ313" s="65" t="n">
        <x:f>AI313/Q313</x:f>
        <x:v>-0.28092031713804755</x:v>
      </x:c>
      <x:c r="AK313" s="64" t="n">
        <x:f>Q313+AI313</x:f>
        <x:v>1902.623</x:v>
      </x:c>
      <x:c r="AL313" s="65" t="n">
        <x:f>AK313/Q313</x:f>
        <x:v>0.7190796828619523</x:v>
      </x:c>
      <x:c r="AM313" s="64" t="n">
        <x:f>AK313/L313</x:f>
        <x:v>317.10383333333334</x:v>
      </x:c>
      <x:c r="AN313" s="66" t="str">
        <x:f>IF(AM313&lt;=200,"≤200K",IF(AM313&lt;=350,"200–350K",IF(AM313&lt;=500,"350–500K",IF(AM313&lt;=700,"500–700K","&gt;700K"))))</x:f>
        <x:v>200–350K</x:v>
      </x:c>
      <x:c r="AO313" s="64" t="n">
        <x:f>-ROUND(Q313*'Drivers'!R313,3)</x:f>
        <x:v>-982.017</x:v>
      </x:c>
      <x:c r="AP313" s="64" t="n">
        <x:f>-ROUND(AK313*'Drivers'!S313,3)</x:f>
        <x:v>-22.477</x:v>
      </x:c>
      <x:c r="AQ313" s="64" t="n">
        <x:f>-ROUND(AK313*'Drivers'!T313,3)</x:f>
        <x:v>-7.568</x:v>
      </x:c>
      <x:c r="AR313" s="64" t="n">
        <x:f>-ROUND(AK313*'Drivers'!U313,3)</x:f>
        <x:v>-11.772</x:v>
      </x:c>
      <x:c r="AS313" s="64" t="n">
        <x:f>-ROUND(AK313*'Drivers'!V313,3)</x:f>
        <x:v>-70.745</x:v>
      </x:c>
      <x:c r="AT313" s="64" t="n">
        <x:f>SUM(AO313:AS313)</x:f>
        <x:v>-1094.5790000000002</x:v>
      </x:c>
      <x:c r="AU313" s="65" t="n">
        <x:f>AT313/AK313</x:f>
        <x:v>-0.5752999937454767</x:v>
      </x:c>
      <x:c r="AV313" s="64" t="n">
        <x:f>AK313+AT313</x:f>
        <x:v>808.0439999999999</x:v>
      </x:c>
      <x:c r="AW313" s="65" t="n">
        <x:f>AV313/AK313</x:f>
        <x:v>0.42470000625452325</x:v>
      </x:c>
      <x:c r="AX313" s="64" t="n">
        <x:f>-ROUND(AK313*'Drivers'!W313,3)</x:f>
        <x:v>-20.375</x:v>
      </x:c>
      <x:c r="AY313" s="64" t="n">
        <x:f>-ROUND(AK313*'Drivers'!X313,3)</x:f>
        <x:v>-38.191</x:v>
      </x:c>
      <x:c r="AZ313" s="64" t="n">
        <x:f>-ROUND(AK313*'Drivers'!Y313,3)</x:f>
        <x:v>-35.958</x:v>
      </x:c>
      <x:c r="BA313" s="64" t="n">
        <x:f>-ROUND(AK313*'Drivers'!Z313,3)</x:f>
        <x:v>-10.661</x:v>
      </x:c>
      <x:c r="BB313" s="64" t="n">
        <x:f>-ROUND(AK313*'Drivers'!AA313,3)</x:f>
        <x:v>-16.123</x:v>
      </x:c>
      <x:c r="BC313" s="64" t="n">
        <x:f>SUM(BA313,BB313)</x:f>
        <x:v>-26.784</x:v>
      </x:c>
      <x:c r="BD313" s="64" t="n">
        <x:f>-ROUND(AK313*'Drivers'!AB313,3)</x:f>
        <x:v>-6.348</x:v>
      </x:c>
      <x:c r="BE313" s="64" t="n">
        <x:f>SUM(AX313:BB313,BD313)</x:f>
        <x:v>-127.656</x:v>
      </x:c>
      <x:c r="BF313" s="67" t="n">
        <x:f>'Drivers'!AF313</x:f>
        <x:v>9</x:v>
      </x:c>
      <x:c r="BG313" s="64" t="n">
        <x:f>BJ313</x:f>
        <x:v>-43.638</x:v>
      </x:c>
      <x:c r="BH313" s="64" t="n">
        <x:f>BE313/BF313</x:f>
        <x:v>-14.184000000000001</x:v>
      </x:c>
      <x:c r="BI313" s="68" t="n">
        <x:f>BF313/L313</x:f>
        <x:v>1.5</x:v>
      </x:c>
      <x:c r="BJ313" s="64" t="n">
        <x:f>-ROUND(AK313*'Drivers'!AC313,3)</x:f>
        <x:v>-43.638</x:v>
      </x:c>
      <x:c r="BK313" s="64" t="n">
        <x:f>-ROUND(AK313*'Drivers'!AD313,3)</x:f>
        <x:v>-188.224</x:v>
      </x:c>
      <x:c r="BL313" s="64" t="n">
        <x:f>SUM(AV313,BE313,BJ313,BK313)</x:f>
        <x:v>448.5259999999999</x:v>
      </x:c>
      <x:c r="BM313" s="65" t="n">
        <x:f>BL313/AK313</x:f>
        <x:v>0.23574086931567625</x:v>
      </x:c>
      <x:c r="BN313" s="64" t="n">
        <x:f>-ROUND(AK313*'Drivers'!AE313,3)</x:f>
        <x:v>-142.036</x:v>
      </x:c>
      <x:c r="BO313" s="64" t="n">
        <x:f>BL313+BN313</x:f>
        <x:v>306.4899999999999</x:v>
      </x:c>
      <x:c r="BP313" s="65" t="n">
        <x:f>BO313/AK313</x:f>
        <x:v>0.16108813989949658</x:v>
      </x:c>
    </x:row>
    <x:row r="314">
      <x:c r="A314" s="61" t="n">
        <x:v>2025</x:v>
      </x:c>
      <x:c r="B314" s="18" t="str">
        <x:v>S1</x:v>
      </x:c>
      <x:c r="C314" s="18" t="str">
        <x:v>2025 S1</x:v>
      </x:c>
      <x:c r="D314" s="18" t="str">
        <x:v>CNCT0079</x:v>
      </x:c>
      <x:c r="E314" s="18" t="str">
        <x:v>杭州来福士中心</x:v>
      </x:c>
      <x:c r="F314" s="18" t="str">
        <x:v>杭州</x:v>
      </x:c>
      <x:c r="G314" s="18" t="str">
        <x:v>浙江省</x:v>
      </x:c>
      <x:c r="H314" s="18" t="str">
        <x:v>东区</x:v>
      </x:c>
      <x:c r="I314" s="18" t="str">
        <x:v>Shopping Mall</x:v>
      </x:c>
      <x:c r="J314" s="18" t="str">
        <x:v>Regional Mall</x:v>
      </x:c>
      <x:c r="K314" s="18" t="str">
        <x:v>正常</x:v>
      </x:c>
      <x:c r="L314" s="62" t="n">
        <x:v>4</x:v>
      </x:c>
      <x:c r="M314" s="62" t="n">
        <x:v>45</x:v>
      </x:c>
      <x:c r="N314" s="63" t="n">
        <x:f>'Drivers'!C314</x:f>
        <x:v>1366</x:v>
      </x:c>
      <x:c r="O314" s="63" t="n">
        <x:f>'Drivers'!D314</x:f>
        <x:v>1013.168</x:v>
      </x:c>
      <x:c r="P314" s="64" t="n">
        <x:f>ROUND(N314*O314/1000,3)</x:f>
        <x:v>1383.987</x:v>
      </x:c>
      <x:c r="Q314" s="64" t="n">
        <x:f>ROUND(P314*'Drivers'!E314,3)</x:f>
        <x:v>1351.715</x:v>
      </x:c>
      <x:c r="R314" s="64" t="n">
        <x:f>-ROUND(Q314*'Drivers'!F314,3)</x:f>
        <x:v>-274.686</x:v>
      </x:c>
      <x:c r="S314" s="65" t="n">
        <x:f>R314/Q314</x:f>
        <x:v>-0.20321295539370354</x:v>
      </x:c>
      <x:c r="T314" s="64" t="n">
        <x:f>-ROUND(Q314*'Drivers'!G314,3)</x:f>
        <x:v>-13.168</x:v>
      </x:c>
      <x:c r="U314" s="65" t="n">
        <x:f>T314/Q314</x:f>
        <x:v>-0.009741698508931246</x:v>
      </x:c>
      <x:c r="V314" s="64" t="n">
        <x:f>-ROUND(Q314*'Drivers'!H314,3)</x:f>
        <x:v>-11.907</x:v>
      </x:c>
      <x:c r="W314" s="64" t="n">
        <x:f>-ROUND(Q314*'Drivers'!I314,3)</x:f>
        <x:v>-9.253</x:v>
      </x:c>
      <x:c r="X314" s="64" t="n">
        <x:f>-ROUND(Q314*'Drivers'!J314,3)</x:f>
        <x:v>-19.857</x:v>
      </x:c>
      <x:c r="Y314" s="64" t="n">
        <x:f>-ROUND(Q314*'Drivers'!K314,3)</x:f>
        <x:v>-12.117</x:v>
      </x:c>
      <x:c r="Z314" s="64" t="n">
        <x:f>-ROUND(Q314*'Drivers'!L314,3)</x:f>
        <x:v>-15.296</x:v>
      </x:c>
      <x:c r="AA314" s="64" t="n">
        <x:f>-ROUND(Q314*'Drivers'!M314,3)</x:f>
        <x:v>-8.9</x:v>
      </x:c>
      <x:c r="AB314" s="64" t="n">
        <x:f>-ROUND(Q314*'Drivers'!N314,3)</x:f>
        <x:v>-7.22</x:v>
      </x:c>
      <x:c r="AC314" s="64" t="n">
        <x:f>SUM(V314:AB314)</x:f>
        <x:v>-84.55000000000001</x:v>
      </x:c>
      <x:c r="AD314" s="65" t="n">
        <x:f>AC314/Q314</x:f>
        <x:v>-0.06255016774985853</x:v>
      </x:c>
      <x:c r="AE314" s="64" t="n">
        <x:f>-ROUND(Q314*'Drivers'!O314,3)</x:f>
        <x:v>-9.198</x:v>
      </x:c>
      <x:c r="AF314" s="65" t="n">
        <x:f>AE314/Q314</x:f>
        <x:v>-0.006804688858228251</x:v>
      </x:c>
      <x:c r="AG314" s="64" t="n">
        <x:f>-ROUND(Q314*'Drivers'!P314,3)</x:f>
        <x:v>-1.623</x:v>
      </x:c>
      <x:c r="AH314" s="64" t="n">
        <x:f>-ROUND(Q314*'Drivers'!Q314,3)</x:f>
        <x:v>-2.638</x:v>
      </x:c>
      <x:c r="AI314" s="64" t="n">
        <x:f>SUM(R314,T314,AC314,AE314,AG314,AH314)</x:f>
        <x:v>-385.86299999999994</x:v>
      </x:c>
      <x:c r="AJ314" s="65" t="n">
        <x:f>AI314/Q314</x:f>
        <x:v>-0.2854618022290201</x:v>
      </x:c>
      <x:c r="AK314" s="64" t="n">
        <x:f>Q314+AI314</x:f>
        <x:v>965.852</x:v>
      </x:c>
      <x:c r="AL314" s="65" t="n">
        <x:f>AK314/Q314</x:f>
        <x:v>0.7145381977709798</x:v>
      </x:c>
      <x:c r="AM314" s="64" t="n">
        <x:f>AK314/L314</x:f>
        <x:v>241.463</x:v>
      </x:c>
      <x:c r="AN314" s="66" t="str">
        <x:f>IF(AM314&lt;=200,"≤200K",IF(AM314&lt;=350,"200–350K",IF(AM314&lt;=500,"350–500K",IF(AM314&lt;=700,"500–700K","&gt;700K"))))</x:f>
        <x:v>200–350K</x:v>
      </x:c>
      <x:c r="AO314" s="64" t="n">
        <x:f>-ROUND(Q314*'Drivers'!R314,3)</x:f>
        <x:v>-482.354</x:v>
      </x:c>
      <x:c r="AP314" s="64" t="n">
        <x:f>-ROUND(AK314*'Drivers'!S314,3)</x:f>
        <x:v>-12.29</x:v>
      </x:c>
      <x:c r="AQ314" s="64" t="n">
        <x:f>-ROUND(AK314*'Drivers'!T314,3)</x:f>
        <x:v>-5.259</x:v>
      </x:c>
      <x:c r="AR314" s="64" t="n">
        <x:f>-ROUND(AK314*'Drivers'!U314,3)</x:f>
        <x:v>-7.28</x:v>
      </x:c>
      <x:c r="AS314" s="64" t="n">
        <x:f>-ROUND(AK314*'Drivers'!V314,3)</x:f>
        <x:v>-31.847</x:v>
      </x:c>
      <x:c r="AT314" s="64" t="n">
        <x:f>SUM(AO314:AS314)</x:f>
        <x:v>-539.03</x:v>
      </x:c>
      <x:c r="AU314" s="65" t="n">
        <x:f>AT314/AK314</x:f>
        <x:v>-0.5580875744938147</x:v>
      </x:c>
      <x:c r="AV314" s="64" t="n">
        <x:f>AK314+AT314</x:f>
        <x:v>426.822</x:v>
      </x:c>
      <x:c r="AW314" s="65" t="n">
        <x:f>AV314/AK314</x:f>
        <x:v>0.4419124255061852</x:v>
      </x:c>
      <x:c r="AX314" s="64" t="n">
        <x:f>-ROUND(AK314*'Drivers'!W314,3)</x:f>
        <x:v>-10.034</x:v>
      </x:c>
      <x:c r="AY314" s="64" t="n">
        <x:f>-ROUND(AK314*'Drivers'!X314,3)</x:f>
        <x:v>-25.719</x:v>
      </x:c>
      <x:c r="AZ314" s="64" t="n">
        <x:f>-ROUND(AK314*'Drivers'!Y314,3)</x:f>
        <x:v>-16.84</x:v>
      </x:c>
      <x:c r="BA314" s="64" t="n">
        <x:f>-ROUND(AK314*'Drivers'!Z314,3)</x:f>
        <x:v>-4.553</x:v>
      </x:c>
      <x:c r="BB314" s="64" t="n">
        <x:f>-ROUND(AK314*'Drivers'!AA314,3)</x:f>
        <x:v>-7.183</x:v>
      </x:c>
      <x:c r="BC314" s="64" t="n">
        <x:f>SUM(BA314,BB314)</x:f>
        <x:v>-11.736</x:v>
      </x:c>
      <x:c r="BD314" s="64" t="n">
        <x:f>-ROUND(AK314*'Drivers'!AB314,3)</x:f>
        <x:v>-6.514</x:v>
      </x:c>
      <x:c r="BE314" s="64" t="n">
        <x:f>SUM(AX314:BB314,BD314)</x:f>
        <x:v>-70.843</x:v>
      </x:c>
      <x:c r="BF314" s="67" t="n">
        <x:f>'Drivers'!AF314</x:f>
        <x:v>8</x:v>
      </x:c>
      <x:c r="BG314" s="64" t="n">
        <x:f>BJ314</x:f>
        <x:v>-17.574</x:v>
      </x:c>
      <x:c r="BH314" s="64" t="n">
        <x:f>BE314/BF314</x:f>
        <x:v>-8.855375</x:v>
      </x:c>
      <x:c r="BI314" s="68" t="n">
        <x:f>BF314/L314</x:f>
        <x:v>2</x:v>
      </x:c>
      <x:c r="BJ314" s="64" t="n">
        <x:f>-ROUND(AK314*'Drivers'!AC314,3)</x:f>
        <x:v>-17.574</x:v>
      </x:c>
      <x:c r="BK314" s="64" t="n">
        <x:f>-ROUND(AK314*'Drivers'!AD314,3)</x:f>
        <x:v>-102.844</x:v>
      </x:c>
      <x:c r="BL314" s="64" t="n">
        <x:f>SUM(AV314,BE314,BJ314,BK314)</x:f>
        <x:v>235.56099999999998</x:v>
      </x:c>
      <x:c r="BM314" s="65" t="n">
        <x:f>BL314/AK314</x:f>
        <x:v>0.24388933294127876</x:v>
      </x:c>
      <x:c r="BN314" s="64" t="n">
        <x:f>-ROUND(AK314*'Drivers'!AE314,3)</x:f>
        <x:v>-76.601</x:v>
      </x:c>
      <x:c r="BO314" s="64" t="n">
        <x:f>BL314+BN314</x:f>
        <x:v>158.95999999999998</x:v>
      </x:c>
      <x:c r="BP314" s="65" t="n">
        <x:f>BO314/AK314</x:f>
        <x:v>0.16458008059205756</x:v>
      </x:c>
    </x:row>
    <x:row r="315">
      <x:c r="A315" s="61" t="n">
        <x:v>2025</x:v>
      </x:c>
      <x:c r="B315" s="18" t="str">
        <x:v>S2</x:v>
      </x:c>
      <x:c r="C315" s="18" t="str">
        <x:v>2025 S2</x:v>
      </x:c>
      <x:c r="D315" s="18" t="str">
        <x:v>CNCT0079</x:v>
      </x:c>
      <x:c r="E315" s="18" t="str">
        <x:v>杭州来福士中心</x:v>
      </x:c>
      <x:c r="F315" s="18" t="str">
        <x:v>杭州</x:v>
      </x:c>
      <x:c r="G315" s="18" t="str">
        <x:v>浙江省</x:v>
      </x:c>
      <x:c r="H315" s="18" t="str">
        <x:v>东区</x:v>
      </x:c>
      <x:c r="I315" s="18" t="str">
        <x:v>Shopping Mall</x:v>
      </x:c>
      <x:c r="J315" s="18" t="str">
        <x:v>Regional Mall</x:v>
      </x:c>
      <x:c r="K315" s="18" t="str">
        <x:v>正常</x:v>
      </x:c>
      <x:c r="L315" s="62" t="n">
        <x:v>4</x:v>
      </x:c>
      <x:c r="M315" s="62" t="n">
        <x:v>45</x:v>
      </x:c>
      <x:c r="N315" s="63" t="n">
        <x:f>'Drivers'!C315</x:f>
        <x:v>1483</x:v>
      </x:c>
      <x:c r="O315" s="63" t="n">
        <x:f>'Drivers'!D315</x:f>
        <x:v>1025.326</x:v>
      </x:c>
      <x:c r="P315" s="64" t="n">
        <x:f>ROUND(N315*O315/1000,3)</x:f>
        <x:v>1520.558</x:v>
      </x:c>
      <x:c r="Q315" s="64" t="n">
        <x:f>ROUND(P315*'Drivers'!E315,3)</x:f>
        <x:v>1465.465</x:v>
      </x:c>
      <x:c r="R315" s="64" t="n">
        <x:f>-ROUND(Q315*'Drivers'!F315,3)</x:f>
        <x:v>-297.802</x:v>
      </x:c>
      <x:c r="S315" s="65" t="n">
        <x:f>R315/Q315</x:f>
        <x:v>-0.20321331454521263</x:v>
      </x:c>
      <x:c r="T315" s="64" t="n">
        <x:f>-ROUND(Q315*'Drivers'!G315,3)</x:f>
        <x:v>-14.276</x:v>
      </x:c>
      <x:c r="U315" s="65" t="n">
        <x:f>T315/Q315</x:f>
        <x:v>-0.009741617848259767</x:v>
      </x:c>
      <x:c r="V315" s="64" t="n">
        <x:f>-ROUND(Q315*'Drivers'!H315,3)</x:f>
        <x:v>-12.909</x:v>
      </x:c>
      <x:c r="W315" s="64" t="n">
        <x:f>-ROUND(Q315*'Drivers'!I315,3)</x:f>
        <x:v>-10.032</x:v>
      </x:c>
      <x:c r="X315" s="64" t="n">
        <x:f>-ROUND(Q315*'Drivers'!J315,3)</x:f>
        <x:v>-21.528</x:v>
      </x:c>
      <x:c r="Y315" s="64" t="n">
        <x:f>-ROUND(Q315*'Drivers'!K315,3)</x:f>
        <x:v>-13.136</x:v>
      </x:c>
      <x:c r="Z315" s="64" t="n">
        <x:f>-ROUND(Q315*'Drivers'!L315,3)</x:f>
        <x:v>-16.583</x:v>
      </x:c>
      <x:c r="AA315" s="64" t="n">
        <x:f>-ROUND(Q315*'Drivers'!M315,3)</x:f>
        <x:v>-9.649</x:v>
      </x:c>
      <x:c r="AB315" s="64" t="n">
        <x:f>-ROUND(Q315*'Drivers'!N315,3)</x:f>
        <x:v>-7.827</x:v>
      </x:c>
      <x:c r="AC315" s="64" t="n">
        <x:f>SUM(V315:AB315)</x:f>
        <x:v>-91.664</x:v>
      </x:c>
      <x:c r="AD315" s="65" t="n">
        <x:f>AC315/Q315</x:f>
        <x:v>-0.06254942970320002</x:v>
      </x:c>
      <x:c r="AE315" s="64" t="n">
        <x:f>-ROUND(Q315*'Drivers'!O315,3)</x:f>
        <x:v>-9.972</x:v>
      </x:c>
      <x:c r="AF315" s="65" t="n">
        <x:f>AE315/Q315</x:f>
        <x:v>-0.006804666095744354</x:v>
      </x:c>
      <x:c r="AG315" s="64" t="n">
        <x:f>-ROUND(Q315*'Drivers'!P315,3)</x:f>
        <x:v>-1.759</x:v>
      </x:c>
      <x:c r="AH315" s="64" t="n">
        <x:f>-ROUND(Q315*'Drivers'!Q315,3)</x:f>
        <x:v>-2.86</x:v>
      </x:c>
      <x:c r="AI315" s="64" t="n">
        <x:f>SUM(R315,T315,AC315,AE315,AG315,AH315)</x:f>
        <x:v>-418.333</x:v>
      </x:c>
      <x:c r="AJ315" s="65" t="n">
        <x:f>AI315/Q315</x:f>
        <x:v>-0.28546092878369667</x:v>
      </x:c>
      <x:c r="AK315" s="64" t="n">
        <x:f>Q315+AI315</x:f>
        <x:v>1047.1319999999998</x:v>
      </x:c>
      <x:c r="AL315" s="65" t="n">
        <x:f>AK315/Q315</x:f>
        <x:v>0.7145390712163033</x:v>
      </x:c>
      <x:c r="AM315" s="64" t="n">
        <x:f>AK315/L315</x:f>
        <x:v>261.78299999999996</x:v>
      </x:c>
      <x:c r="AN315" s="66" t="str">
        <x:f>IF(AM315&lt;=200,"≤200K",IF(AM315&lt;=350,"200–350K",IF(AM315&lt;=500,"350–500K",IF(AM315&lt;=700,"500–700K","&gt;700K"))))</x:f>
        <x:v>200–350K</x:v>
      </x:c>
      <x:c r="AO315" s="64" t="n">
        <x:f>-ROUND(Q315*'Drivers'!R315,3)</x:f>
        <x:v>-554.793</x:v>
      </x:c>
      <x:c r="AP315" s="64" t="n">
        <x:f>-ROUND(AK315*'Drivers'!S315,3)</x:f>
        <x:v>-13.324</x:v>
      </x:c>
      <x:c r="AQ315" s="64" t="n">
        <x:f>-ROUND(AK315*'Drivers'!T315,3)</x:f>
        <x:v>-5.702</x:v>
      </x:c>
      <x:c r="AR315" s="64" t="n">
        <x:f>-ROUND(AK315*'Drivers'!U315,3)</x:f>
        <x:v>-7.893</x:v>
      </x:c>
      <x:c r="AS315" s="64" t="n">
        <x:f>-ROUND(AK315*'Drivers'!V315,3)</x:f>
        <x:v>-34.527</x:v>
      </x:c>
      <x:c r="AT315" s="64" t="n">
        <x:f>SUM(AO315:AS315)</x:f>
        <x:v>-616.239</x:v>
      </x:c>
      <x:c r="AU315" s="65" t="n">
        <x:f>AT315/AK315</x:f>
        <x:v>-0.588501736170798</x:v>
      </x:c>
      <x:c r="AV315" s="64" t="n">
        <x:f>AK315+AT315</x:f>
        <x:v>430.8929999999998</x:v>
      </x:c>
      <x:c r="AW315" s="65" t="n">
        <x:f>AV315/AK315</x:f>
        <x:v>0.4114982638292019</x:v>
      </x:c>
      <x:c r="AX315" s="64" t="n">
        <x:f>-ROUND(AK315*'Drivers'!W315,3)</x:f>
        <x:v>-10.878</x:v>
      </x:c>
      <x:c r="AY315" s="64" t="n">
        <x:f>-ROUND(AK315*'Drivers'!X315,3)</x:f>
        <x:v>-27.884</x:v>
      </x:c>
      <x:c r="AZ315" s="64" t="n">
        <x:f>-ROUND(AK315*'Drivers'!Y315,3)</x:f>
        <x:v>-18.257</x:v>
      </x:c>
      <x:c r="BA315" s="64" t="n">
        <x:f>-ROUND(AK315*'Drivers'!Z315,3)</x:f>
        <x:v>-4.937</x:v>
      </x:c>
      <x:c r="BB315" s="64" t="n">
        <x:f>-ROUND(AK315*'Drivers'!AA315,3)</x:f>
        <x:v>-7.788</x:v>
      </x:c>
      <x:c r="BC315" s="64" t="n">
        <x:f>SUM(BA315,BB315)</x:f>
        <x:v>-12.725000000000001</x:v>
      </x:c>
      <x:c r="BD315" s="64" t="n">
        <x:f>-ROUND(AK315*'Drivers'!AB315,3)</x:f>
        <x:v>-7.062</x:v>
      </x:c>
      <x:c r="BE315" s="64" t="n">
        <x:f>SUM(AX315:BB315,BD315)</x:f>
        <x:v>-76.806</x:v>
      </x:c>
      <x:c r="BF315" s="67" t="n">
        <x:f>'Drivers'!AF315</x:f>
        <x:v>8</x:v>
      </x:c>
      <x:c r="BG315" s="64" t="n">
        <x:f>BJ315</x:f>
        <x:v>-19.053</x:v>
      </x:c>
      <x:c r="BH315" s="64" t="n">
        <x:f>BE315/BF315</x:f>
        <x:v>-9.60075</x:v>
      </x:c>
      <x:c r="BI315" s="68" t="n">
        <x:f>BF315/L315</x:f>
        <x:v>2</x:v>
      </x:c>
      <x:c r="BJ315" s="64" t="n">
        <x:f>-ROUND(AK315*'Drivers'!AC315,3)</x:f>
        <x:v>-19.053</x:v>
      </x:c>
      <x:c r="BK315" s="64" t="n">
        <x:f>-ROUND(AK315*'Drivers'!AD315,3)</x:f>
        <x:v>-111.498</x:v>
      </x:c>
      <x:c r="BL315" s="64" t="n">
        <x:f>SUM(AV315,BE315,BJ315,BK315)</x:f>
        <x:v>223.53599999999983</x:v>
      </x:c>
      <x:c r="BM315" s="65" t="n">
        <x:f>BL315/AK315</x:f>
        <x:v>0.21347451897182004</x:v>
      </x:c>
      <x:c r="BN315" s="64" t="n">
        <x:f>-ROUND(AK315*'Drivers'!AE315,3)</x:f>
        <x:v>-83.048</x:v>
      </x:c>
      <x:c r="BO315" s="64" t="n">
        <x:f>BL315+BN315</x:f>
        <x:v>140.48799999999983</x:v>
      </x:c>
      <x:c r="BP315" s="65" t="n">
        <x:f>BO315/AK315</x:f>
        <x:v>0.13416455614000894</x:v>
      </x:c>
    </x:row>
    <x:row r="316">
      <x:c r="A316" s="61" t="n">
        <x:v>2026</x:v>
      </x:c>
      <x:c r="B316" s="18" t="str">
        <x:v>S1</x:v>
      </x:c>
      <x:c r="C316" s="18" t="str">
        <x:v>2026 S1</x:v>
      </x:c>
      <x:c r="D316" s="18" t="str">
        <x:v>CNCT0079</x:v>
      </x:c>
      <x:c r="E316" s="18" t="str">
        <x:v>杭州来福士中心</x:v>
      </x:c>
      <x:c r="F316" s="18" t="str">
        <x:v>杭州</x:v>
      </x:c>
      <x:c r="G316" s="18" t="str">
        <x:v>浙江省</x:v>
      </x:c>
      <x:c r="H316" s="18" t="str">
        <x:v>东区</x:v>
      </x:c>
      <x:c r="I316" s="18" t="str">
        <x:v>Shopping Mall</x:v>
      </x:c>
      <x:c r="J316" s="18" t="str">
        <x:v>Regional Mall</x:v>
      </x:c>
      <x:c r="K316" s="18" t="str">
        <x:v>正常</x:v>
      </x:c>
      <x:c r="L316" s="62" t="n">
        <x:v>5</x:v>
      </x:c>
      <x:c r="M316" s="62" t="n">
        <x:v>47</x:v>
      </x:c>
      <x:c r="N316" s="63" t="n">
        <x:f>'Drivers'!C316</x:f>
        <x:v>1503</x:v>
      </x:c>
      <x:c r="O316" s="63" t="n">
        <x:f>'Drivers'!D316</x:f>
        <x:v>1064.399</x:v>
      </x:c>
      <x:c r="P316" s="64" t="n">
        <x:f>ROUND(N316*O316/1000,3)</x:f>
        <x:v>1599.792</x:v>
      </x:c>
      <x:c r="Q316" s="64" t="n">
        <x:f>ROUND(P316*'Drivers'!E316,3)</x:f>
        <x:v>1561.721</x:v>
      </x:c>
      <x:c r="R316" s="64" t="n">
        <x:f>-ROUND(Q316*'Drivers'!F316,3)</x:f>
        <x:v>-317.74</x:v>
      </x:c>
      <x:c r="S316" s="65" t="n">
        <x:f>R316/Q316</x:f>
        <x:v>-0.20345503454202127</x:v>
      </x:c>
      <x:c r="T316" s="64" t="n">
        <x:f>-ROUND(Q316*'Drivers'!G316,3)</x:f>
        <x:v>-17.051</x:v>
      </x:c>
      <x:c r="U316" s="65" t="n">
        <x:f>T316/Q316</x:f>
        <x:v>-0.01091808331961983</x:v>
      </x:c>
      <x:c r="V316" s="64" t="n">
        <x:f>-ROUND(Q316*'Drivers'!H316,3)</x:f>
        <x:v>-13.757</x:v>
      </x:c>
      <x:c r="W316" s="64" t="n">
        <x:f>-ROUND(Q316*'Drivers'!I316,3)</x:f>
        <x:v>-10.691</x:v>
      </x:c>
      <x:c r="X316" s="64" t="n">
        <x:f>-ROUND(Q316*'Drivers'!J316,3)</x:f>
        <x:v>-22.942</x:v>
      </x:c>
      <x:c r="Y316" s="64" t="n">
        <x:f>-ROUND(Q316*'Drivers'!K316,3)</x:f>
        <x:v>-13.999</x:v>
      </x:c>
      <x:c r="Z316" s="64" t="n">
        <x:f>-ROUND(Q316*'Drivers'!L316,3)</x:f>
        <x:v>-17.672</x:v>
      </x:c>
      <x:c r="AA316" s="64" t="n">
        <x:f>-ROUND(Q316*'Drivers'!M316,3)</x:f>
        <x:v>-10.283</x:v>
      </x:c>
      <x:c r="AB316" s="64" t="n">
        <x:f>-ROUND(Q316*'Drivers'!N316,3)</x:f>
        <x:v>-8.341</x:v>
      </x:c>
      <x:c r="AC316" s="64" t="n">
        <x:f>SUM(V316:AB316)</x:f>
        <x:v>-97.685</x:v>
      </x:c>
      <x:c r="AD316" s="65" t="n">
        <x:f>AC316/Q316</x:f>
        <x:v>-0.06254958472095848</x:v>
      </x:c>
      <x:c r="AE316" s="64" t="n">
        <x:f>-ROUND(Q316*'Drivers'!O316,3)</x:f>
        <x:v>-8.321</x:v>
      </x:c>
      <x:c r="AF316" s="65" t="n">
        <x:f>AE316/Q316</x:f>
        <x:v>-0.005328096375729083</x:v>
      </x:c>
      <x:c r="AG316" s="64" t="n">
        <x:f>-ROUND(Q316*'Drivers'!P316,3)</x:f>
        <x:v>-1.875</x:v>
      </x:c>
      <x:c r="AH316" s="64" t="n">
        <x:f>-ROUND(Q316*'Drivers'!Q316,3)</x:f>
        <x:v>-3.048</x:v>
      </x:c>
      <x:c r="AI316" s="64" t="n">
        <x:f>SUM(R316,T316,AC316,AE316,AG316,AH316)</x:f>
        <x:v>-445.72</x:v>
      </x:c>
      <x:c r="AJ316" s="65" t="n">
        <x:f>AI316/Q316</x:f>
        <x:v>-0.28540309056483204</x:v>
      </x:c>
      <x:c r="AK316" s="64" t="n">
        <x:f>Q316+AI316</x:f>
        <x:v>1116.001</x:v>
      </x:c>
      <x:c r="AL316" s="65" t="n">
        <x:f>AK316/Q316</x:f>
        <x:v>0.714596909435168</x:v>
      </x:c>
      <x:c r="AM316" s="64" t="n">
        <x:f>AK316/L316</x:f>
        <x:v>223.2002</x:v>
      </x:c>
      <x:c r="AN316" s="66" t="str">
        <x:f>IF(AM316&lt;=200,"≤200K",IF(AM316&lt;=350,"200–350K",IF(AM316&lt;=500,"350–500K",IF(AM316&lt;=700,"500–700K","&gt;700K"))))</x:f>
        <x:v>200–350K</x:v>
      </x:c>
      <x:c r="AO316" s="64" t="n">
        <x:f>-ROUND(Q316*'Drivers'!R316,3)</x:f>
        <x:v>-519.983</x:v>
      </x:c>
      <x:c r="AP316" s="64" t="n">
        <x:f>-ROUND(AK316*'Drivers'!S316,3)</x:f>
        <x:v>-14.201</x:v>
      </x:c>
      <x:c r="AQ316" s="64" t="n">
        <x:f>-ROUND(AK316*'Drivers'!T316,3)</x:f>
        <x:v>-6.077</x:v>
      </x:c>
      <x:c r="AR316" s="64" t="n">
        <x:f>-ROUND(AK316*'Drivers'!U316,3)</x:f>
        <x:v>-8.412</x:v>
      </x:c>
      <x:c r="AS316" s="64" t="n">
        <x:f>-ROUND(AK316*'Drivers'!V316,3)</x:f>
        <x:v>-36.798</x:v>
      </x:c>
      <x:c r="AT316" s="64" t="n">
        <x:f>SUM(AO316:AS316)</x:f>
        <x:v>-585.471</x:v>
      </x:c>
      <x:c r="AU316" s="65" t="n">
        <x:f>AT316/AK316</x:f>
        <x:v>-0.5246151213126153</x:v>
      </x:c>
      <x:c r="AV316" s="64" t="n">
        <x:f>AK316+AT316</x:f>
        <x:v>530.53</x:v>
      </x:c>
      <x:c r="AW316" s="65" t="n">
        <x:f>AV316/AK316</x:f>
        <x:v>0.47538487868738466</x:v>
      </x:c>
      <x:c r="AX316" s="64" t="n">
        <x:f>-ROUND(AK316*'Drivers'!W316,3)</x:f>
        <x:v>-10.202</x:v>
      </x:c>
      <x:c r="AY316" s="64" t="n">
        <x:f>-ROUND(AK316*'Drivers'!X316,3)</x:f>
        <x:v>-26.151</x:v>
      </x:c>
      <x:c r="AZ316" s="64" t="n">
        <x:f>-ROUND(AK316*'Drivers'!Y316,3)</x:f>
        <x:v>-17.123</x:v>
      </x:c>
      <x:c r="BA316" s="64" t="n">
        <x:f>-ROUND(AK316*'Drivers'!Z316,3)</x:f>
        <x:v>-4.63</x:v>
      </x:c>
      <x:c r="BB316" s="64" t="n">
        <x:f>-ROUND(AK316*'Drivers'!AA316,3)</x:f>
        <x:v>-7.304</x:v>
      </x:c>
      <x:c r="BC316" s="64" t="n">
        <x:f>SUM(BA316,BB316)</x:f>
        <x:v>-11.934000000000001</x:v>
      </x:c>
      <x:c r="BD316" s="64" t="n">
        <x:f>-ROUND(AK316*'Drivers'!AB316,3)</x:f>
        <x:v>-6.623</x:v>
      </x:c>
      <x:c r="BE316" s="64" t="n">
        <x:f>SUM(AX316:BB316,BD316)</x:f>
        <x:v>-72.033</x:v>
      </x:c>
      <x:c r="BF316" s="67" t="n">
        <x:f>'Drivers'!AF316</x:f>
        <x:v>8</x:v>
      </x:c>
      <x:c r="BG316" s="64" t="n">
        <x:f>BJ316</x:f>
        <x:v>-17.87</x:v>
      </x:c>
      <x:c r="BH316" s="64" t="n">
        <x:f>BE316/BF316</x:f>
        <x:v>-9.004125</x:v>
      </x:c>
      <x:c r="BI316" s="68" t="n">
        <x:f>BF316/L316</x:f>
        <x:v>1.6</x:v>
      </x:c>
      <x:c r="BJ316" s="64" t="n">
        <x:f>-ROUND(AK316*'Drivers'!AC316,3)</x:f>
        <x:v>-17.87</x:v>
      </x:c>
      <x:c r="BK316" s="64" t="n">
        <x:f>-ROUND(AK316*'Drivers'!AD316,3)</x:f>
        <x:v>-109.325</x:v>
      </x:c>
      <x:c r="BL316" s="64" t="n">
        <x:f>SUM(AV316,BE316,BJ316,BK316)</x:f>
        <x:v>331.30199999999996</x:v>
      </x:c>
      <x:c r="BM316" s="65" t="n">
        <x:f>BL316/AK316</x:f>
        <x:v>0.29686532538949334</x:v>
      </x:c>
      <x:c r="BN316" s="64" t="n">
        <x:f>-ROUND(AK316*'Drivers'!AE316,3)</x:f>
        <x:v>-130.421</x:v>
      </x:c>
      <x:c r="BO316" s="64" t="n">
        <x:f>BL316+BN316</x:f>
        <x:v>200.88099999999997</x:v>
      </x:c>
      <x:c r="BP316" s="65" t="n">
        <x:f>BO316/AK316</x:f>
        <x:v>0.1800007347663667</x:v>
      </x:c>
    </x:row>
    <x:row r="317">
      <x:c r="A317" s="61" t="n">
        <x:v>2026</x:v>
      </x:c>
      <x:c r="B317" s="18" t="str">
        <x:v>S2</x:v>
      </x:c>
      <x:c r="C317" s="18" t="str">
        <x:v>2026 S2</x:v>
      </x:c>
      <x:c r="D317" s="18" t="str">
        <x:v>CNCT0079</x:v>
      </x:c>
      <x:c r="E317" s="18" t="str">
        <x:v>杭州来福士中心</x:v>
      </x:c>
      <x:c r="F317" s="18" t="str">
        <x:v>杭州</x:v>
      </x:c>
      <x:c r="G317" s="18" t="str">
        <x:v>浙江省</x:v>
      </x:c>
      <x:c r="H317" s="18" t="str">
        <x:v>东区</x:v>
      </x:c>
      <x:c r="I317" s="18" t="str">
        <x:v>Shopping Mall</x:v>
      </x:c>
      <x:c r="J317" s="18" t="str">
        <x:v>Regional Mall</x:v>
      </x:c>
      <x:c r="K317" s="18" t="str">
        <x:v>正常</x:v>
      </x:c>
      <x:c r="L317" s="62" t="n">
        <x:v>5</x:v>
      </x:c>
      <x:c r="M317" s="62" t="n">
        <x:v>47</x:v>
      </x:c>
      <x:c r="N317" s="63" t="n">
        <x:f>'Drivers'!C317</x:f>
        <x:v>1650</x:v>
      </x:c>
      <x:c r="O317" s="63" t="n">
        <x:f>'Drivers'!D317</x:f>
        <x:v>1049.384</x:v>
      </x:c>
      <x:c r="P317" s="64" t="n">
        <x:f>ROUND(N317*O317/1000,3)</x:f>
        <x:v>1731.484</x:v>
      </x:c>
      <x:c r="Q317" s="64" t="n">
        <x:f>ROUND(P317*'Drivers'!E317,3)</x:f>
        <x:v>1668.749</x:v>
      </x:c>
      <x:c r="R317" s="64" t="n">
        <x:f>-ROUND(Q317*'Drivers'!F317,3)</x:f>
        <x:v>-334.899</x:v>
      </x:c>
      <x:c r="S317" s="65" t="n">
        <x:f>R317/Q317</x:f>
        <x:v>-0.20068865958870985</x:v>
      </x:c>
      <x:c r="T317" s="64" t="n">
        <x:f>-ROUND(Q317*'Drivers'!G317,3)</x:f>
        <x:v>-17.35</x:v>
      </x:c>
      <x:c r="U317" s="65" t="n">
        <x:f>T317/Q317</x:f>
        <x:v>-0.010397009975736315</x:v>
      </x:c>
      <x:c r="V317" s="64" t="n">
        <x:f>-ROUND(Q317*'Drivers'!H317,3)</x:f>
        <x:v>-14.7</x:v>
      </x:c>
      <x:c r="W317" s="64" t="n">
        <x:f>-ROUND(Q317*'Drivers'!I317,3)</x:f>
        <x:v>-11.423</x:v>
      </x:c>
      <x:c r="X317" s="64" t="n">
        <x:f>-ROUND(Q317*'Drivers'!J317,3)</x:f>
        <x:v>-24.514</x:v>
      </x:c>
      <x:c r="Y317" s="64" t="n">
        <x:f>-ROUND(Q317*'Drivers'!K317,3)</x:f>
        <x:v>-14.959</x:v>
      </x:c>
      <x:c r="Z317" s="64" t="n">
        <x:f>-ROUND(Q317*'Drivers'!L317,3)</x:f>
        <x:v>-18.883</x:v>
      </x:c>
      <x:c r="AA317" s="64" t="n">
        <x:f>-ROUND(Q317*'Drivers'!M317,3)</x:f>
        <x:v>-10.988</x:v>
      </x:c>
      <x:c r="AB317" s="64" t="n">
        <x:f>-ROUND(Q317*'Drivers'!N317,3)</x:f>
        <x:v>-8.913</x:v>
      </x:c>
      <x:c r="AC317" s="64" t="n">
        <x:f>SUM(V317:AB317)</x:f>
        <x:v>-104.38</x:v>
      </x:c>
      <x:c r="AD317" s="65" t="n">
        <x:f>AC317/Q317</x:f>
        <x:v>-0.0625498502171387</x:v>
      </x:c>
      <x:c r="AE317" s="64" t="n">
        <x:f>-ROUND(Q317*'Drivers'!O317,3)</x:f>
        <x:v>-11.355</x:v>
      </x:c>
      <x:c r="AF317" s="65" t="n">
        <x:f>AE317/Q317</x:f>
        <x:v>-0.006804498459624545</x:v>
      </x:c>
      <x:c r="AG317" s="64" t="n">
        <x:f>-ROUND(Q317*'Drivers'!P317,3)</x:f>
        <x:v>-2.003</x:v>
      </x:c>
      <x:c r="AH317" s="64" t="n">
        <x:f>-ROUND(Q317*'Drivers'!Q317,3)</x:f>
        <x:v>-3.257</x:v>
      </x:c>
      <x:c r="AI317" s="64" t="n">
        <x:f>SUM(R317,T317,AC317,AE317,AG317,AH317)</x:f>
        <x:v>-473.244</x:v>
      </x:c>
      <x:c r="AJ317" s="65" t="n">
        <x:f>AI317/Q317</x:f>
        <x:v>-0.28359208005517905</x:v>
      </x:c>
      <x:c r="AK317" s="64" t="n">
        <x:f>Q317+AI317</x:f>
        <x:v>1195.505</x:v>
      </x:c>
      <x:c r="AL317" s="65" t="n">
        <x:f>AK317/Q317</x:f>
        <x:v>0.716407919944821</x:v>
      </x:c>
      <x:c r="AM317" s="64" t="n">
        <x:f>AK317/L317</x:f>
        <x:v>239.10100000000003</x:v>
      </x:c>
      <x:c r="AN317" s="66" t="str">
        <x:f>IF(AM317&lt;=200,"≤200K",IF(AM317&lt;=350,"200–350K",IF(AM317&lt;=500,"350–500K",IF(AM317&lt;=700,"500–700K","&gt;700K"))))</x:f>
        <x:v>200–350K</x:v>
      </x:c>
      <x:c r="AO317" s="64" t="n">
        <x:f>-ROUND(Q317*'Drivers'!R317,3)</x:f>
        <x:v>-598.268</x:v>
      </x:c>
      <x:c r="AP317" s="64" t="n">
        <x:f>-ROUND(AK317*'Drivers'!S317,3)</x:f>
        <x:v>-15.212</x:v>
      </x:c>
      <x:c r="AQ317" s="64" t="n">
        <x:f>-ROUND(AK317*'Drivers'!T317,3)</x:f>
        <x:v>-6.51</x:v>
      </x:c>
      <x:c r="AR317" s="64" t="n">
        <x:f>-ROUND(AK317*'Drivers'!U317,3)</x:f>
        <x:v>-9.011</x:v>
      </x:c>
      <x:c r="AS317" s="64" t="n">
        <x:f>-ROUND(AK317*'Drivers'!V317,3)</x:f>
        <x:v>-39.419</x:v>
      </x:c>
      <x:c r="AT317" s="64" t="n">
        <x:f>SUM(AO317:AS317)</x:f>
        <x:v>-668.42</x:v>
      </x:c>
      <x:c r="AU317" s="65" t="n">
        <x:f>AT317/AK317</x:f>
        <x:v>-0.5591110032998606</x:v>
      </x:c>
      <x:c r="AV317" s="64" t="n">
        <x:f>AK317+AT317</x:f>
        <x:v>527.0850000000002</x:v>
      </x:c>
      <x:c r="AW317" s="65" t="n">
        <x:f>AV317/AK317</x:f>
        <x:v>0.44088899670013937</x:v>
      </x:c>
      <x:c r="AX317" s="64" t="n">
        <x:f>-ROUND(AK317*'Drivers'!W317,3)</x:f>
        <x:v>-11.322</x:v>
      </x:c>
      <x:c r="AY317" s="64" t="n">
        <x:f>-ROUND(AK317*'Drivers'!X317,3)</x:f>
        <x:v>-29.02</x:v>
      </x:c>
      <x:c r="AZ317" s="64" t="n">
        <x:f>-ROUND(AK317*'Drivers'!Y317,3)</x:f>
        <x:v>-19.001</x:v>
      </x:c>
      <x:c r="BA317" s="64" t="n">
        <x:f>-ROUND(AK317*'Drivers'!Z317,3)</x:f>
        <x:v>-5.138</x:v>
      </x:c>
      <x:c r="BB317" s="64" t="n">
        <x:f>-ROUND(AK317*'Drivers'!AA317,3)</x:f>
        <x:v>-8.105</x:v>
      </x:c>
      <x:c r="BC317" s="64" t="n">
        <x:f>SUM(BA317,BB317)</x:f>
        <x:v>-13.243</x:v>
      </x:c>
      <x:c r="BD317" s="64" t="n">
        <x:f>-ROUND(AK317*'Drivers'!AB317,3)</x:f>
        <x:v>-7.35</x:v>
      </x:c>
      <x:c r="BE317" s="64" t="n">
        <x:f>SUM(AX317:BB317,BD317)</x:f>
        <x:v>-79.936</x:v>
      </x:c>
      <x:c r="BF317" s="67" t="n">
        <x:f>'Drivers'!AF317</x:f>
        <x:v>8</x:v>
      </x:c>
      <x:c r="BG317" s="64" t="n">
        <x:f>BJ317</x:f>
        <x:v>-19.83</x:v>
      </x:c>
      <x:c r="BH317" s="64" t="n">
        <x:f>BE317/BF317</x:f>
        <x:v>-9.992</x:v>
      </x:c>
      <x:c r="BI317" s="68" t="n">
        <x:f>BF317/L317</x:f>
        <x:v>1.6</x:v>
      </x:c>
      <x:c r="BJ317" s="64" t="n">
        <x:f>-ROUND(AK317*'Drivers'!AC317,3)</x:f>
        <x:v>-19.83</x:v>
      </x:c>
      <x:c r="BK317" s="64" t="n">
        <x:f>-ROUND(AK317*'Drivers'!AD317,3)</x:f>
        <x:v>-114.567</x:v>
      </x:c>
      <x:c r="BL317" s="64" t="n">
        <x:f>SUM(AV317,BE317,BJ317,BK317)</x:f>
        <x:v>312.7520000000001</x:v>
      </x:c>
      <x:c r="BM317" s="65" t="n">
        <x:f>BL317/AK317</x:f>
        <x:v>0.2616066013943899</x:v>
      </x:c>
      <x:c r="BN317" s="64" t="n">
        <x:f>-ROUND(AK317*'Drivers'!AE317,3)</x:f>
        <x:v>-97.561</x:v>
      </x:c>
      <x:c r="BO317" s="64" t="n">
        <x:f>BL317+BN317</x:f>
        <x:v>215.19100000000012</x:v>
      </x:c>
      <x:c r="BP317" s="65" t="n">
        <x:f>BO317/AK317</x:f>
        <x:v>0.18000008364665987</x:v>
      </x:c>
    </x:row>
    <x:row r="318">
      <x:c r="A318" s="61" t="n">
        <x:v>2025</x:v>
      </x:c>
      <x:c r="B318" s="18" t="str">
        <x:v>S1</x:v>
      </x:c>
      <x:c r="C318" s="18" t="str">
        <x:v>2025 S1</x:v>
      </x:c>
      <x:c r="D318" s="18" t="str">
        <x:v>CNCT0080</x:v>
      </x:c>
      <x:c r="E318" s="18" t="str">
        <x:v>杭州城西银泰城</x:v>
      </x:c>
      <x:c r="F318" s="18" t="str">
        <x:v>杭州</x:v>
      </x:c>
      <x:c r="G318" s="18" t="str">
        <x:v>浙江省</x:v>
      </x:c>
      <x:c r="H318" s="18" t="str">
        <x:v>东区</x:v>
      </x:c>
      <x:c r="I318" s="18" t="str">
        <x:v>Department Store</x:v>
      </x:c>
      <x:c r="J318" s="18" t="str">
        <x:v>Regional Mall</x:v>
      </x:c>
      <x:c r="K318" s="18" t="str">
        <x:v>正常</x:v>
      </x:c>
      <x:c r="L318" s="62" t="n">
        <x:v>5</x:v>
      </x:c>
      <x:c r="M318" s="62" t="n">
        <x:v>45</x:v>
      </x:c>
      <x:c r="N318" s="63" t="n">
        <x:f>'Drivers'!C318</x:f>
        <x:v>1753</x:v>
      </x:c>
      <x:c r="O318" s="63" t="n">
        <x:f>'Drivers'!D318</x:f>
        <x:v>994.843</x:v>
      </x:c>
      <x:c r="P318" s="64" t="n">
        <x:f>ROUND(N318*O318/1000,3)</x:f>
        <x:v>1743.96</x:v>
      </x:c>
      <x:c r="Q318" s="64" t="n">
        <x:f>ROUND(P318*'Drivers'!E318,3)</x:f>
        <x:v>1697.392</x:v>
      </x:c>
      <x:c r="R318" s="64" t="n">
        <x:f>-ROUND(Q318*'Drivers'!F318,3)</x:f>
        <x:v>-358.482</x:v>
      </x:c>
      <x:c r="S318" s="65" t="n">
        <x:f>R318/Q318</x:f>
        <x:v>-0.21119576385419514</x:v>
      </x:c>
      <x:c r="T318" s="64" t="n">
        <x:f>-ROUND(Q318*'Drivers'!G318,3)</x:f>
        <x:v>-24.865</x:v>
      </x:c>
      <x:c r="U318" s="65" t="n">
        <x:f>T318/Q318</x:f>
        <x:v>-0.014648943791416477</x:v>
      </x:c>
      <x:c r="V318" s="64" t="n">
        <x:f>-ROUND(Q318*'Drivers'!H318,3)</x:f>
        <x:v>-20.363</x:v>
      </x:c>
      <x:c r="W318" s="64" t="n">
        <x:f>-ROUND(Q318*'Drivers'!I318,3)</x:f>
        <x:v>-15.918</x:v>
      </x:c>
      <x:c r="X318" s="64" t="n">
        <x:f>-ROUND(Q318*'Drivers'!J318,3)</x:f>
        <x:v>-28.159</x:v>
      </x:c>
      <x:c r="Y318" s="64" t="n">
        <x:f>-ROUND(Q318*'Drivers'!K318,3)</x:f>
        <x:v>-13.631</x:v>
      </x:c>
      <x:c r="Z318" s="64" t="n">
        <x:f>-ROUND(Q318*'Drivers'!L318,3)</x:f>
        <x:v>-22.083</x:v>
      </x:c>
      <x:c r="AA318" s="64" t="n">
        <x:f>-ROUND(Q318*'Drivers'!M318,3)</x:f>
        <x:v>-14.573</x:v>
      </x:c>
      <x:c r="AB318" s="64" t="n">
        <x:f>-ROUND(Q318*'Drivers'!N318,3)</x:f>
        <x:v>-9.779</x:v>
      </x:c>
      <x:c r="AC318" s="64" t="n">
        <x:f>SUM(V318:AB318)</x:f>
        <x:v>-124.506</x:v>
      </x:c>
      <x:c r="AD318" s="65" t="n">
        <x:f>AC318/Q318</x:f>
        <x:v>-0.07335135313469134</x:v>
      </x:c>
      <x:c r="AE318" s="64" t="n">
        <x:f>-ROUND(Q318*'Drivers'!O318,3)</x:f>
        <x:v>-16.178</x:v>
      </x:c>
      <x:c r="AF318" s="65" t="n">
        <x:f>AE318/Q318</x:f>
        <x:v>-0.009531092405289997</x:v>
      </x:c>
      <x:c r="AG318" s="64" t="n">
        <x:f>-ROUND(Q318*'Drivers'!P318,3)</x:f>
        <x:v>-0.99</x:v>
      </x:c>
      <x:c r="AH318" s="64" t="n">
        <x:f>-ROUND(Q318*'Drivers'!Q318,3)</x:f>
        <x:v>-8.587</x:v>
      </x:c>
      <x:c r="AI318" s="64" t="n">
        <x:f>SUM(R318,T318,AC318,AE318,AG318,AH318)</x:f>
        <x:v>-533.6080000000001</x:v>
      </x:c>
      <x:c r="AJ318" s="65" t="n">
        <x:f>AI318/Q318</x:f>
        <x:v>-0.314369338373222</x:v>
      </x:c>
      <x:c r="AK318" s="64" t="n">
        <x:f>Q318+AI318</x:f>
        <x:v>1163.784</x:v>
      </x:c>
      <x:c r="AL318" s="65" t="n">
        <x:f>AK318/Q318</x:f>
        <x:v>0.6856306616267781</x:v>
      </x:c>
      <x:c r="AM318" s="64" t="n">
        <x:f>AK318/L318</x:f>
        <x:v>232.75680000000003</x:v>
      </x:c>
      <x:c r="AN318" s="66" t="str">
        <x:f>IF(AM318&lt;=200,"≤200K",IF(AM318&lt;=350,"200–350K",IF(AM318&lt;=500,"350–500K",IF(AM318&lt;=700,"500–700K","&gt;700K"))))</x:f>
        <x:v>200–350K</x:v>
      </x:c>
      <x:c r="AO318" s="64" t="n">
        <x:f>-ROUND(Q318*'Drivers'!R318,3)</x:f>
        <x:v>-592.698</x:v>
      </x:c>
      <x:c r="AP318" s="64" t="n">
        <x:f>-ROUND(AK318*'Drivers'!S318,3)</x:f>
        <x:v>-19.407</x:v>
      </x:c>
      <x:c r="AQ318" s="64" t="n">
        <x:f>-ROUND(AK318*'Drivers'!T318,3)</x:f>
        <x:v>-7.097</x:v>
      </x:c>
      <x:c r="AR318" s="64" t="n">
        <x:f>-ROUND(AK318*'Drivers'!U318,3)</x:f>
        <x:v>-14.997</x:v>
      </x:c>
      <x:c r="AS318" s="64" t="n">
        <x:f>-ROUND(AK318*'Drivers'!V318,3)</x:f>
        <x:v>-44.805</x:v>
      </x:c>
      <x:c r="AT318" s="64" t="n">
        <x:f>SUM(AO318:AS318)</x:f>
        <x:v>-679.0039999999999</x:v>
      </x:c>
      <x:c r="AU318" s="65" t="n">
        <x:f>AT318/AK318</x:f>
        <x:v>-0.5834450379108149</x:v>
      </x:c>
      <x:c r="AV318" s="64" t="n">
        <x:f>AK318+AT318</x:f>
        <x:v>484.7800000000002</x:v>
      </x:c>
      <x:c r="AW318" s="65" t="n">
        <x:f>AV318/AK318</x:f>
        <x:v>0.4165549620891851</x:v>
      </x:c>
      <x:c r="AX318" s="64" t="n">
        <x:f>-ROUND(AK318*'Drivers'!W318,3)</x:f>
        <x:v>-17.039</x:v>
      </x:c>
      <x:c r="AY318" s="64" t="n">
        <x:f>-ROUND(AK318*'Drivers'!X318,3)</x:f>
        <x:v>-29.703</x:v>
      </x:c>
      <x:c r="AZ318" s="64" t="n">
        <x:f>-ROUND(AK318*'Drivers'!Y318,3)</x:f>
        <x:v>-21.767</x:v>
      </x:c>
      <x:c r="BA318" s="64" t="n">
        <x:f>-ROUND(AK318*'Drivers'!Z318,3)</x:f>
        <x:v>-7.639</x:v>
      </x:c>
      <x:c r="BB318" s="64" t="n">
        <x:f>-ROUND(AK318*'Drivers'!AA318,3)</x:f>
        <x:v>-7.652</x:v>
      </x:c>
      <x:c r="BC318" s="64" t="n">
        <x:f>SUM(BA318,BB318)</x:f>
        <x:v>-15.291</x:v>
      </x:c>
      <x:c r="BD318" s="64" t="n">
        <x:f>-ROUND(AK318*'Drivers'!AB318,3)</x:f>
        <x:v>-3.66</x:v>
      </x:c>
      <x:c r="BE318" s="64" t="n">
        <x:f>SUM(AX318:BB318,BD318)</x:f>
        <x:v>-87.46</x:v>
      </x:c>
      <x:c r="BF318" s="67" t="n">
        <x:f>'Drivers'!AF318</x:f>
        <x:v>7</x:v>
      </x:c>
      <x:c r="BG318" s="64" t="n">
        <x:f>BJ318</x:f>
        <x:v>-19.555</x:v>
      </x:c>
      <x:c r="BH318" s="64" t="n">
        <x:f>BE318/BF318</x:f>
        <x:v>-12.494285714285713</x:v>
      </x:c>
      <x:c r="BI318" s="68" t="n">
        <x:f>BF318/L318</x:f>
        <x:v>1.4</x:v>
      </x:c>
      <x:c r="BJ318" s="64" t="n">
        <x:f>-ROUND(AK318*'Drivers'!AC318,3)</x:f>
        <x:v>-19.555</x:v>
      </x:c>
      <x:c r="BK318" s="64" t="n">
        <x:f>-ROUND(AK318*'Drivers'!AD318,3)</x:f>
        <x:v>-106.598</x:v>
      </x:c>
      <x:c r="BL318" s="64" t="n">
        <x:f>SUM(AV318,BE318,BJ318,BK318)</x:f>
        <x:v>271.1670000000002</x:v>
      </x:c>
      <x:c r="BM318" s="65" t="n">
        <x:f>BL318/AK318</x:f>
        <x:v>0.23300457816914494</x:v>
      </x:c>
      <x:c r="BN318" s="64" t="n">
        <x:f>-ROUND(AK318*'Drivers'!AE318,3)</x:f>
        <x:v>-81.67</x:v>
      </x:c>
      <x:c r="BO318" s="64" t="n">
        <x:f>BL318+BN318</x:f>
        <x:v>189.49700000000018</x:v>
      </x:c>
      <x:c r="BP318" s="65" t="n">
        <x:f>BO318/AK318</x:f>
        <x:v>0.1628283255311984</x:v>
      </x:c>
    </x:row>
    <x:row r="319">
      <x:c r="A319" s="61" t="n">
        <x:v>2025</x:v>
      </x:c>
      <x:c r="B319" s="18" t="str">
        <x:v>S2</x:v>
      </x:c>
      <x:c r="C319" s="18" t="str">
        <x:v>2025 S2</x:v>
      </x:c>
      <x:c r="D319" s="18" t="str">
        <x:v>CNCT0080</x:v>
      </x:c>
      <x:c r="E319" s="18" t="str">
        <x:v>杭州城西银泰城</x:v>
      </x:c>
      <x:c r="F319" s="18" t="str">
        <x:v>杭州</x:v>
      </x:c>
      <x:c r="G319" s="18" t="str">
        <x:v>浙江省</x:v>
      </x:c>
      <x:c r="H319" s="18" t="str">
        <x:v>东区</x:v>
      </x:c>
      <x:c r="I319" s="18" t="str">
        <x:v>Department Store</x:v>
      </x:c>
      <x:c r="J319" s="18" t="str">
        <x:v>Regional Mall</x:v>
      </x:c>
      <x:c r="K319" s="18" t="str">
        <x:v>正常</x:v>
      </x:c>
      <x:c r="L319" s="62" t="n">
        <x:v>5</x:v>
      </x:c>
      <x:c r="M319" s="62" t="n">
        <x:v>45</x:v>
      </x:c>
      <x:c r="N319" s="63" t="n">
        <x:f>'Drivers'!C319</x:f>
        <x:v>1871</x:v>
      </x:c>
      <x:c r="O319" s="63" t="n">
        <x:f>'Drivers'!D319</x:f>
        <x:v>1006.781</x:v>
      </x:c>
      <x:c r="P319" s="64" t="n">
        <x:f>ROUND(N319*O319/1000,3)</x:f>
        <x:v>1883.687</x:v>
      </x:c>
      <x:c r="Q319" s="64" t="n">
        <x:f>ROUND(P319*'Drivers'!E319,3)</x:f>
        <x:v>1848.563</x:v>
      </x:c>
      <x:c r="R319" s="64" t="n">
        <x:f>-ROUND(Q319*'Drivers'!F319,3)</x:f>
        <x:v>-390.409</x:v>
      </x:c>
      <x:c r="S319" s="65" t="n">
        <x:f>R319/Q319</x:f>
        <x:v>-0.211195939765104</x:v>
      </x:c>
      <x:c r="T319" s="64" t="n">
        <x:f>-ROUND(Q319*'Drivers'!G319,3)</x:f>
        <x:v>-27.079</x:v>
      </x:c>
      <x:c r="U319" s="65" t="n">
        <x:f>T319/Q319</x:f>
        <x:v>-0.014648675755167663</x:v>
      </x:c>
      <x:c r="V319" s="64" t="n">
        <x:f>-ROUND(Q319*'Drivers'!H319,3)</x:f>
        <x:v>-22.177</x:v>
      </x:c>
      <x:c r="W319" s="64" t="n">
        <x:f>-ROUND(Q319*'Drivers'!I319,3)</x:f>
        <x:v>-17.336</x:v>
      </x:c>
      <x:c r="X319" s="64" t="n">
        <x:f>-ROUND(Q319*'Drivers'!J319,3)</x:f>
        <x:v>-30.667</x:v>
      </x:c>
      <x:c r="Y319" s="64" t="n">
        <x:f>-ROUND(Q319*'Drivers'!K319,3)</x:f>
        <x:v>-14.845</x:v>
      </x:c>
      <x:c r="Z319" s="64" t="n">
        <x:f>-ROUND(Q319*'Drivers'!L319,3)</x:f>
        <x:v>-24.05</x:v>
      </x:c>
      <x:c r="AA319" s="64" t="n">
        <x:f>-ROUND(Q319*'Drivers'!M319,3)</x:f>
        <x:v>-15.871</x:v>
      </x:c>
      <x:c r="AB319" s="64" t="n">
        <x:f>-ROUND(Q319*'Drivers'!N319,3)</x:f>
        <x:v>-10.65</x:v>
      </x:c>
      <x:c r="AC319" s="64" t="n">
        <x:f>SUM(V319:AB319)</x:f>
        <x:v>-135.596</x:v>
      </x:c>
      <x:c r="AD319" s="65" t="n">
        <x:f>AC319/Q319</x:f>
        <x:v>-0.07335211188366314</x:v>
      </x:c>
      <x:c r="AE319" s="64" t="n">
        <x:f>-ROUND(Q319*'Drivers'!O319,3)</x:f>
        <x:v>-17.619</x:v>
      </x:c>
      <x:c r="AF319" s="65" t="n">
        <x:f>AE319/Q319</x:f>
        <x:v>-0.009531187197839618</x:v>
      </x:c>
      <x:c r="AG319" s="64" t="n">
        <x:f>-ROUND(Q319*'Drivers'!P319,3)</x:f>
        <x:v>-1.078</x:v>
      </x:c>
      <x:c r="AH319" s="64" t="n">
        <x:f>-ROUND(Q319*'Drivers'!Q319,3)</x:f>
        <x:v>-9.352</x:v>
      </x:c>
      <x:c r="AI319" s="64" t="n">
        <x:f>SUM(R319,T319,AC319,AE319,AG319,AH319)</x:f>
        <x:v>-581.133</x:v>
      </x:c>
      <x:c r="AJ319" s="65" t="n">
        <x:f>AI319/Q319</x:f>
        <x:v>-0.314370135072486</x:v>
      </x:c>
      <x:c r="AK319" s="64" t="n">
        <x:f>Q319+AI319</x:f>
        <x:v>1267.43</x:v>
      </x:c>
      <x:c r="AL319" s="65" t="n">
        <x:f>AK319/Q319</x:f>
        <x:v>0.685629864927514</x:v>
      </x:c>
      <x:c r="AM319" s="64" t="n">
        <x:f>AK319/L319</x:f>
        <x:v>253.48600000000002</x:v>
      </x:c>
      <x:c r="AN319" s="66" t="str">
        <x:f>IF(AM319&lt;=200,"≤200K",IF(AM319&lt;=350,"200–350K",IF(AM319&lt;=500,"350–500K",IF(AM319&lt;=700,"500–700K","&gt;700K"))))</x:f>
        <x:v>200–350K</x:v>
      </x:c>
      <x:c r="AO319" s="64" t="n">
        <x:f>-ROUND(Q319*'Drivers'!R319,3)</x:f>
        <x:v>-645.961</x:v>
      </x:c>
      <x:c r="AP319" s="64" t="n">
        <x:f>-ROUND(AK319*'Drivers'!S319,3)</x:f>
        <x:v>-21.135</x:v>
      </x:c>
      <x:c r="AQ319" s="64" t="n">
        <x:f>-ROUND(AK319*'Drivers'!T319,3)</x:f>
        <x:v>-7.729</x:v>
      </x:c>
      <x:c r="AR319" s="64" t="n">
        <x:f>-ROUND(AK319*'Drivers'!U319,3)</x:f>
        <x:v>-16.332</x:v>
      </x:c>
      <x:c r="AS319" s="64" t="n">
        <x:f>-ROUND(AK319*'Drivers'!V319,3)</x:f>
        <x:v>-48.796</x:v>
      </x:c>
      <x:c r="AT319" s="64" t="n">
        <x:f>SUM(AO319:AS319)</x:f>
        <x:v>-739.9530000000001</x:v>
      </x:c>
      <x:c r="AU319" s="65" t="n">
        <x:f>AT319/AK319</x:f>
        <x:v>-0.5838215917249868</x:v>
      </x:c>
      <x:c r="AV319" s="64" t="n">
        <x:f>AK319+AT319</x:f>
        <x:v>527.477</x:v>
      </x:c>
      <x:c r="AW319" s="65" t="n">
        <x:f>AV319/AK319</x:f>
        <x:v>0.4161784082750132</x:v>
      </x:c>
      <x:c r="AX319" s="64" t="n">
        <x:f>-ROUND(AK319*'Drivers'!W319,3)</x:f>
        <x:v>-18.556</x:v>
      </x:c>
      <x:c r="AY319" s="64" t="n">
        <x:f>-ROUND(AK319*'Drivers'!X319,3)</x:f>
        <x:v>-32.348</x:v>
      </x:c>
      <x:c r="AZ319" s="64" t="n">
        <x:f>-ROUND(AK319*'Drivers'!Y319,3)</x:f>
        <x:v>-23.706</x:v>
      </x:c>
      <x:c r="BA319" s="64" t="n">
        <x:f>-ROUND(AK319*'Drivers'!Z319,3)</x:f>
        <x:v>-8.319</x:v>
      </x:c>
      <x:c r="BB319" s="64" t="n">
        <x:f>-ROUND(AK319*'Drivers'!AA319,3)</x:f>
        <x:v>-8.333</x:v>
      </x:c>
      <x:c r="BC319" s="64" t="n">
        <x:f>SUM(BA319,BB319)</x:f>
        <x:v>-16.652</x:v>
      </x:c>
      <x:c r="BD319" s="64" t="n">
        <x:f>-ROUND(AK319*'Drivers'!AB319,3)</x:f>
        <x:v>-3.986</x:v>
      </x:c>
      <x:c r="BE319" s="64" t="n">
        <x:f>SUM(AX319:BB319,BD319)</x:f>
        <x:v>-95.248</x:v>
      </x:c>
      <x:c r="BF319" s="67" t="n">
        <x:f>'Drivers'!AF319</x:f>
        <x:v>7</x:v>
      </x:c>
      <x:c r="BG319" s="64" t="n">
        <x:f>BJ319</x:f>
        <x:v>-21.296</x:v>
      </x:c>
      <x:c r="BH319" s="64" t="n">
        <x:f>BE319/BF319</x:f>
        <x:v>-13.606857142857143</x:v>
      </x:c>
      <x:c r="BI319" s="68" t="n">
        <x:f>BF319/L319</x:f>
        <x:v>1.4</x:v>
      </x:c>
      <x:c r="BJ319" s="64" t="n">
        <x:f>-ROUND(AK319*'Drivers'!AC319,3)</x:f>
        <x:v>-21.296</x:v>
      </x:c>
      <x:c r="BK319" s="64" t="n">
        <x:f>-ROUND(AK319*'Drivers'!AD319,3)</x:f>
        <x:v>-116.091</x:v>
      </x:c>
      <x:c r="BL319" s="64" t="n">
        <x:f>SUM(AV319,BE319,BJ319,BK319)</x:f>
        <x:v>294.842</x:v>
      </x:c>
      <x:c r="BM319" s="65" t="n">
        <x:f>BL319/AK319</x:f>
        <x:v>0.23262980993033144</x:v>
      </x:c>
      <x:c r="BN319" s="64" t="n">
        <x:f>-ROUND(AK319*'Drivers'!AE319,3)</x:f>
        <x:v>-88.944</x:v>
      </x:c>
      <x:c r="BO319" s="64" t="n">
        <x:f>BL319+BN319</x:f>
        <x:v>205.89799999999997</x:v>
      </x:c>
      <x:c r="BP319" s="65" t="n">
        <x:f>BO319/AK319</x:f>
        <x:v>0.16245315323134213</x:v>
      </x:c>
    </x:row>
    <x:row r="320">
      <x:c r="A320" s="61" t="n">
        <x:v>2026</x:v>
      </x:c>
      <x:c r="B320" s="18" t="str">
        <x:v>S1</x:v>
      </x:c>
      <x:c r="C320" s="18" t="str">
        <x:v>2026 S1</x:v>
      </x:c>
      <x:c r="D320" s="18" t="str">
        <x:v>CNCT0080</x:v>
      </x:c>
      <x:c r="E320" s="18" t="str">
        <x:v>杭州城西银泰城</x:v>
      </x:c>
      <x:c r="F320" s="18" t="str">
        <x:v>杭州</x:v>
      </x:c>
      <x:c r="G320" s="18" t="str">
        <x:v>浙江省</x:v>
      </x:c>
      <x:c r="H320" s="18" t="str">
        <x:v>东区</x:v>
      </x:c>
      <x:c r="I320" s="18" t="str">
        <x:v>Department Store</x:v>
      </x:c>
      <x:c r="J320" s="18" t="str">
        <x:v>Regional Mall</x:v>
      </x:c>
      <x:c r="K320" s="18" t="str">
        <x:v>正常</x:v>
      </x:c>
      <x:c r="L320" s="62" t="n">
        <x:v>5</x:v>
      </x:c>
      <x:c r="M320" s="62" t="n">
        <x:v>47</x:v>
      </x:c>
      <x:c r="N320" s="63" t="n">
        <x:f>'Drivers'!C320</x:f>
        <x:v>1862</x:v>
      </x:c>
      <x:c r="O320" s="63" t="n">
        <x:f>'Drivers'!D320</x:f>
        <x:v>1031.118</x:v>
      </x:c>
      <x:c r="P320" s="64" t="n">
        <x:f>ROUND(N320*O320/1000,3)</x:f>
        <x:v>1919.942</x:v>
      </x:c>
      <x:c r="Q320" s="64" t="n">
        <x:f>ROUND(P320*'Drivers'!E320,3)</x:f>
        <x:v>1873.576</x:v>
      </x:c>
      <x:c r="R320" s="64" t="n">
        <x:f>-ROUND(Q320*'Drivers'!F320,3)</x:f>
        <x:v>-393.377</x:v>
      </x:c>
      <x:c r="S320" s="65" t="n">
        <x:f>R320/Q320</x:f>
        <x:v>-0.2099605246864819</x:v>
      </x:c>
      <x:c r="T320" s="64" t="n">
        <x:f>-ROUND(Q320*'Drivers'!G320,3)</x:f>
        <x:v>-28.88</x:v>
      </x:c>
      <x:c r="U320" s="65" t="n">
        <x:f>T320/Q320</x:f>
        <x:v>-0.0154143733694283</x:v>
      </x:c>
      <x:c r="V320" s="64" t="n">
        <x:f>-ROUND(Q320*'Drivers'!H320,3)</x:f>
        <x:v>-22.477</x:v>
      </x:c>
      <x:c r="W320" s="64" t="n">
        <x:f>-ROUND(Q320*'Drivers'!I320,3)</x:f>
        <x:v>-17.57</x:v>
      </x:c>
      <x:c r="X320" s="64" t="n">
        <x:f>-ROUND(Q320*'Drivers'!J320,3)</x:f>
        <x:v>-31.082</x:v>
      </x:c>
      <x:c r="Y320" s="64" t="n">
        <x:f>-ROUND(Q320*'Drivers'!K320,3)</x:f>
        <x:v>-15.046</x:v>
      </x:c>
      <x:c r="Z320" s="64" t="n">
        <x:f>-ROUND(Q320*'Drivers'!L320,3)</x:f>
        <x:v>-24.375</x:v>
      </x:c>
      <x:c r="AA320" s="64" t="n">
        <x:f>-ROUND(Q320*'Drivers'!M320,3)</x:f>
        <x:v>-16.086</x:v>
      </x:c>
      <x:c r="AB320" s="64" t="n">
        <x:f>-ROUND(Q320*'Drivers'!N320,3)</x:f>
        <x:v>-10.794</x:v>
      </x:c>
      <x:c r="AC320" s="64" t="n">
        <x:f>SUM(V320:AB320)</x:f>
        <x:v>-137.42999999999998</x:v>
      </x:c>
      <x:c r="AD320" s="65" t="n">
        <x:f>AC320/Q320</x:f>
        <x:v>-0.07335170817730371</x:v>
      </x:c>
      <x:c r="AE320" s="64" t="n">
        <x:f>-ROUND(Q320*'Drivers'!O320,3)</x:f>
        <x:v>-14.21</x:v>
      </x:c>
      <x:c r="AF320" s="65" t="n">
        <x:f>AE320/Q320</x:f>
        <x:v>-0.007584426785996405</x:v>
      </x:c>
      <x:c r="AG320" s="64" t="n">
        <x:f>-ROUND(Q320*'Drivers'!P320,3)</x:f>
        <x:v>-1.093</x:v>
      </x:c>
      <x:c r="AH320" s="64" t="n">
        <x:f>-ROUND(Q320*'Drivers'!Q320,3)</x:f>
        <x:v>-9.479</x:v>
      </x:c>
      <x:c r="AI320" s="64" t="n">
        <x:f>SUM(R320,T320,AC320,AE320,AG320,AH320)</x:f>
        <x:v>-584.469</x:v>
      </x:c>
      <x:c r="AJ320" s="65" t="n">
        <x:f>AI320/Q320</x:f>
        <x:v>-0.3119537184507061</x:v>
      </x:c>
      <x:c r="AK320" s="64" t="n">
        <x:f>Q320+AI320</x:f>
        <x:v>1289.107</x:v>
      </x:c>
      <x:c r="AL320" s="65" t="n">
        <x:f>AK320/Q320</x:f>
        <x:v>0.6880462815492939</x:v>
      </x:c>
      <x:c r="AM320" s="64" t="n">
        <x:f>AK320/L320</x:f>
        <x:v>257.8214</x:v>
      </x:c>
      <x:c r="AN320" s="66" t="str">
        <x:f>IF(AM320&lt;=200,"≤200K",IF(AM320&lt;=350,"200–350K",IF(AM320&lt;=500,"350–500K",IF(AM320&lt;=700,"500–700K","&gt;700K"))))</x:f>
        <x:v>200–350K</x:v>
      </x:c>
      <x:c r="AO320" s="64" t="n">
        <x:f>-ROUND(Q320*'Drivers'!R320,3)</x:f>
        <x:v>-659.999</x:v>
      </x:c>
      <x:c r="AP320" s="64" t="n">
        <x:f>-ROUND(AK320*'Drivers'!S320,3)</x:f>
        <x:v>-21.496</x:v>
      </x:c>
      <x:c r="AQ320" s="64" t="n">
        <x:f>-ROUND(AK320*'Drivers'!T320,3)</x:f>
        <x:v>-7.861</x:v>
      </x:c>
      <x:c r="AR320" s="64" t="n">
        <x:f>-ROUND(AK320*'Drivers'!U320,3)</x:f>
        <x:v>-16.611</x:v>
      </x:c>
      <x:c r="AS320" s="64" t="n">
        <x:f>-ROUND(AK320*'Drivers'!V320,3)</x:f>
        <x:v>-49.63</x:v>
      </x:c>
      <x:c r="AT320" s="64" t="n">
        <x:f>SUM(AO320:AS320)</x:f>
        <x:v>-755.597</x:v>
      </x:c>
      <x:c r="AU320" s="65" t="n">
        <x:f>AT320/AK320</x:f>
        <x:v>-0.5861398627111636</x:v>
      </x:c>
      <x:c r="AV320" s="64" t="n">
        <x:f>AK320+AT320</x:f>
        <x:v>533.51</x:v>
      </x:c>
      <x:c r="AW320" s="65" t="n">
        <x:f>AV320/AK320</x:f>
        <x:v>0.41386013728883636</x:v>
      </x:c>
      <x:c r="AX320" s="64" t="n">
        <x:f>-ROUND(AK320*'Drivers'!W320,3)</x:f>
        <x:v>-23.223</x:v>
      </x:c>
      <x:c r="AY320" s="64" t="n">
        <x:f>-ROUND(AK320*'Drivers'!X320,3)</x:f>
        <x:v>-40.484</x:v>
      </x:c>
      <x:c r="AZ320" s="64" t="n">
        <x:f>-ROUND(AK320*'Drivers'!Y320,3)</x:f>
        <x:v>-29.667</x:v>
      </x:c>
      <x:c r="BA320" s="64" t="n">
        <x:f>-ROUND(AK320*'Drivers'!Z320,3)</x:f>
        <x:v>-10.412</x:v>
      </x:c>
      <x:c r="BB320" s="64" t="n">
        <x:f>-ROUND(AK320*'Drivers'!AA320,3)</x:f>
        <x:v>-10.429</x:v>
      </x:c>
      <x:c r="BC320" s="64" t="n">
        <x:f>SUM(BA320,BB320)</x:f>
        <x:v>-20.841</x:v>
      </x:c>
      <x:c r="BD320" s="64" t="n">
        <x:f>-ROUND(AK320*'Drivers'!AB320,3)</x:f>
        <x:v>-4.988</x:v>
      </x:c>
      <x:c r="BE320" s="64" t="n">
        <x:f>SUM(AX320:BB320,BD320)</x:f>
        <x:v>-119.203</x:v>
      </x:c>
      <x:c r="BF320" s="67" t="n">
        <x:f>'Drivers'!AF320</x:f>
        <x:v>7</x:v>
      </x:c>
      <x:c r="BG320" s="64" t="n">
        <x:f>BJ320</x:f>
        <x:v>-26.652</x:v>
      </x:c>
      <x:c r="BH320" s="64" t="n">
        <x:f>BE320/BF320</x:f>
        <x:v>-17.029</x:v>
      </x:c>
      <x:c r="BI320" s="68" t="n">
        <x:f>BF320/L320</x:f>
        <x:v>1.4</x:v>
      </x:c>
      <x:c r="BJ320" s="64" t="n">
        <x:f>-ROUND(AK320*'Drivers'!AC320,3)</x:f>
        <x:v>-26.652</x:v>
      </x:c>
      <x:c r="BK320" s="64" t="n">
        <x:f>-ROUND(AK320*'Drivers'!AD320,3)</x:f>
        <x:v>-118.077</x:v>
      </x:c>
      <x:c r="BL320" s="64" t="n">
        <x:f>SUM(AV320,BE320,BJ320,BK320)</x:f>
        <x:v>269.57800000000003</x:v>
      </x:c>
      <x:c r="BM320" s="65" t="n">
        <x:f>BL320/AK320</x:f>
        <x:v>0.20911995668319236</x:v>
      </x:c>
      <x:c r="BN320" s="64" t="n">
        <x:f>-ROUND(AK320*'Drivers'!AE320,3)</x:f>
        <x:v>-90.465</x:v>
      </x:c>
      <x:c r="BO320" s="64" t="n">
        <x:f>BL320+BN320</x:f>
        <x:v>179.11300000000003</x:v>
      </x:c>
      <x:c r="BP320" s="65" t="n">
        <x:f>BO320/AK320</x:f>
        <x:v>0.1389434701696601</x:v>
      </x:c>
    </x:row>
    <x:row r="321">
      <x:c r="A321" s="61" t="n">
        <x:v>2026</x:v>
      </x:c>
      <x:c r="B321" s="18" t="str">
        <x:v>S2</x:v>
      </x:c>
      <x:c r="C321" s="18" t="str">
        <x:v>2026 S2</x:v>
      </x:c>
      <x:c r="D321" s="18" t="str">
        <x:v>CNCT0080</x:v>
      </x:c>
      <x:c r="E321" s="18" t="str">
        <x:v>杭州城西银泰城</x:v>
      </x:c>
      <x:c r="F321" s="18" t="str">
        <x:v>杭州</x:v>
      </x:c>
      <x:c r="G321" s="18" t="str">
        <x:v>浙江省</x:v>
      </x:c>
      <x:c r="H321" s="18" t="str">
        <x:v>东区</x:v>
      </x:c>
      <x:c r="I321" s="18" t="str">
        <x:v>Department Store</x:v>
      </x:c>
      <x:c r="J321" s="18" t="str">
        <x:v>Regional Mall</x:v>
      </x:c>
      <x:c r="K321" s="18" t="str">
        <x:v>正常</x:v>
      </x:c>
      <x:c r="L321" s="62" t="n">
        <x:v>5</x:v>
      </x:c>
      <x:c r="M321" s="62" t="n">
        <x:v>47</x:v>
      </x:c>
      <x:c r="N321" s="63" t="n">
        <x:f>'Drivers'!C321</x:f>
        <x:v>2040</x:v>
      </x:c>
      <x:c r="O321" s="63" t="n">
        <x:f>'Drivers'!D321</x:f>
        <x:v>1033.41</x:v>
      </x:c>
      <x:c r="P321" s="64" t="n">
        <x:f>ROUND(N321*O321/1000,3)</x:f>
        <x:v>2108.156</x:v>
      </x:c>
      <x:c r="Q321" s="64" t="n">
        <x:f>ROUND(P321*'Drivers'!E321,3)</x:f>
        <x:v>2068.846</x:v>
      </x:c>
      <x:c r="R321" s="64" t="n">
        <x:f>-ROUND(Q321*'Drivers'!F321,3)</x:f>
        <x:v>-425.448</x:v>
      </x:c>
      <x:c r="S321" s="65" t="n">
        <x:f>R321/Q321</x:f>
        <x:v>-0.2056450794307551</x:v>
      </x:c>
      <x:c r="T321" s="64" t="n">
        <x:f>-ROUND(Q321*'Drivers'!G321,3)</x:f>
        <x:v>-27.868</x:v>
      </x:c>
      <x:c r="U321" s="65" t="n">
        <x:f>T321/Q321</x:f>
        <x:v>-0.01347031146832582</x:v>
      </x:c>
      <x:c r="V321" s="64" t="n">
        <x:f>-ROUND(Q321*'Drivers'!H321,3)</x:f>
        <x:v>-24.82</x:v>
      </x:c>
      <x:c r="W321" s="64" t="n">
        <x:f>-ROUND(Q321*'Drivers'!I321,3)</x:f>
        <x:v>-19.402</x:v>
      </x:c>
      <x:c r="X321" s="64" t="n">
        <x:f>-ROUND(Q321*'Drivers'!J321,3)</x:f>
        <x:v>-34.321</x:v>
      </x:c>
      <x:c r="Y321" s="64" t="n">
        <x:f>-ROUND(Q321*'Drivers'!K321,3)</x:f>
        <x:v>-16.614</x:v>
      </x:c>
      <x:c r="Z321" s="64" t="n">
        <x:f>-ROUND(Q321*'Drivers'!L321,3)</x:f>
        <x:v>-26.916</x:v>
      </x:c>
      <x:c r="AA321" s="64" t="n">
        <x:f>-ROUND(Q321*'Drivers'!M321,3)</x:f>
        <x:v>-17.762</x:v>
      </x:c>
      <x:c r="AB321" s="64" t="n">
        <x:f>-ROUND(Q321*'Drivers'!N321,3)</x:f>
        <x:v>-11.919</x:v>
      </x:c>
      <x:c r="AC321" s="64" t="n">
        <x:f>SUM(V321:AB321)</x:f>
        <x:v>-151.75400000000002</x:v>
      </x:c>
      <x:c r="AD321" s="65" t="n">
        <x:f>AC321/Q321</x:f>
        <x:v>-0.07335200396742919</x:v>
      </x:c>
      <x:c r="AE321" s="64" t="n">
        <x:f>-ROUND(Q321*'Drivers'!O321,3)</x:f>
        <x:v>-19.719</x:v>
      </x:c>
      <x:c r="AF321" s="65" t="n">
        <x:f>AE321/Q321</x:f>
        <x:v>-0.009531400597241169</x:v>
      </x:c>
      <x:c r="AG321" s="64" t="n">
        <x:f>-ROUND(Q321*'Drivers'!P321,3)</x:f>
        <x:v>-1.207</x:v>
      </x:c>
      <x:c r="AH321" s="64" t="n">
        <x:f>-ROUND(Q321*'Drivers'!Q321,3)</x:f>
        <x:v>-10.467</x:v>
      </x:c>
      <x:c r="AI321" s="64" t="n">
        <x:f>SUM(R321,T321,AC321,AE321,AG321,AH321)</x:f>
        <x:v>-636.463</x:v>
      </x:c>
      <x:c r="AJ321" s="65" t="n">
        <x:f>AI321/Q321</x:f>
        <x:v>-0.30764155476048</x:v>
      </x:c>
      <x:c r="AK321" s="64" t="n">
        <x:f>Q321+AI321</x:f>
        <x:v>1432.383</x:v>
      </x:c>
      <x:c r="AL321" s="65" t="n">
        <x:f>AK321/Q321</x:f>
        <x:v>0.6923584452395201</x:v>
      </x:c>
      <x:c r="AM321" s="64" t="n">
        <x:f>AK321/L321</x:f>
        <x:v>286.4766</x:v>
      </x:c>
      <x:c r="AN321" s="66" t="str">
        <x:f>IF(AM321&lt;=200,"≤200K",IF(AM321&lt;=350,"200–350K",IF(AM321&lt;=500,"350–500K",IF(AM321&lt;=700,"500–700K","&gt;700K"))))</x:f>
        <x:v>200–350K</x:v>
      </x:c>
      <x:c r="AO321" s="64" t="n">
        <x:f>-ROUND(Q321*'Drivers'!R321,3)</x:f>
        <x:v>-720.345</x:v>
      </x:c>
      <x:c r="AP321" s="64" t="n">
        <x:f>-ROUND(AK321*'Drivers'!S321,3)</x:f>
        <x:v>-23.886</x:v>
      </x:c>
      <x:c r="AQ321" s="64" t="n">
        <x:f>-ROUND(AK321*'Drivers'!T321,3)</x:f>
        <x:v>-8.735</x:v>
      </x:c>
      <x:c r="AR321" s="64" t="n">
        <x:f>-ROUND(AK321*'Drivers'!U321,3)</x:f>
        <x:v>-18.458</x:v>
      </x:c>
      <x:c r="AS321" s="64" t="n">
        <x:f>-ROUND(AK321*'Drivers'!V321,3)</x:f>
        <x:v>-55.146</x:v>
      </x:c>
      <x:c r="AT321" s="64" t="n">
        <x:f>SUM(AO321:AS321)</x:f>
        <x:v>-826.5699999999999</x:v>
      </x:c>
      <x:c r="AU321" s="65" t="n">
        <x:f>AT321/AK321</x:f>
        <x:v>-0.5770593479537246</x:v>
      </x:c>
      <x:c r="AV321" s="64" t="n">
        <x:f>AK321+AT321</x:f>
        <x:v>605.8130000000001</x:v>
      </x:c>
      <x:c r="AW321" s="65" t="n">
        <x:f>AV321/AK321</x:f>
        <x:v>0.4229406520462754</x:v>
      </x:c>
      <x:c r="AX321" s="64" t="n">
        <x:f>-ROUND(AK321*'Drivers'!W321,3)</x:f>
        <x:v>-22.229</x:v>
      </x:c>
      <x:c r="AY321" s="64" t="n">
        <x:f>-ROUND(AK321*'Drivers'!X321,3)</x:f>
        <x:v>-38.752</x:v>
      </x:c>
      <x:c r="AZ321" s="64" t="n">
        <x:f>-ROUND(AK321*'Drivers'!Y321,3)</x:f>
        <x:v>-28.398</x:v>
      </x:c>
      <x:c r="BA321" s="64" t="n">
        <x:f>-ROUND(AK321*'Drivers'!Z321,3)</x:f>
        <x:v>-9.966</x:v>
      </x:c>
      <x:c r="BB321" s="64" t="n">
        <x:f>-ROUND(AK321*'Drivers'!AA321,3)</x:f>
        <x:v>-9.983</x:v>
      </x:c>
      <x:c r="BC321" s="64" t="n">
        <x:f>SUM(BA321,BB321)</x:f>
        <x:v>-19.948999999999998</x:v>
      </x:c>
      <x:c r="BD321" s="64" t="n">
        <x:f>-ROUND(AK321*'Drivers'!AB321,3)</x:f>
        <x:v>-4.775</x:v>
      </x:c>
      <x:c r="BE321" s="64" t="n">
        <x:f>SUM(AX321:BB321,BD321)</x:f>
        <x:v>-114.10300000000001</x:v>
      </x:c>
      <x:c r="BF321" s="67" t="n">
        <x:f>'Drivers'!AF321</x:f>
        <x:v>7</x:v>
      </x:c>
      <x:c r="BG321" s="64" t="n">
        <x:f>BJ321</x:f>
        <x:v>-25.512</x:v>
      </x:c>
      <x:c r="BH321" s="64" t="n">
        <x:f>BE321/BF321</x:f>
        <x:v>-16.300428571428572</x:v>
      </x:c>
      <x:c r="BI321" s="68" t="n">
        <x:f>BF321/L321</x:f>
        <x:v>1.4</x:v>
      </x:c>
      <x:c r="BJ321" s="64" t="n">
        <x:f>-ROUND(AK321*'Drivers'!AC321,3)</x:f>
        <x:v>-25.512</x:v>
      </x:c>
      <x:c r="BK321" s="64" t="n">
        <x:f>-ROUND(AK321*'Drivers'!AD321,3)</x:f>
        <x:v>-131.2</x:v>
      </x:c>
      <x:c r="BL321" s="64" t="n">
        <x:f>SUM(AV321,BE321,BJ321,BK321)</x:f>
        <x:v>334.9980000000001</x:v>
      </x:c>
      <x:c r="BM321" s="65" t="n">
        <x:f>BL321/AK321</x:f>
        <x:v>0.23387459918192277</x:v>
      </x:c>
      <x:c r="BN321" s="64" t="n">
        <x:f>-ROUND(AK321*'Drivers'!AE321,3)</x:f>
        <x:v>-100.52</x:v>
      </x:c>
      <x:c r="BO321" s="64" t="n">
        <x:f>BL321+BN321</x:f>
        <x:v>234.47800000000012</x:v>
      </x:c>
      <x:c r="BP321" s="65" t="n">
        <x:f>BO321/AK321</x:f>
        <x:v>0.16369783779896865</x:v>
      </x:c>
    </x:row>
    <x:row r="322">
      <x:c r="A322" s="61" t="n">
        <x:v>2025</x:v>
      </x:c>
      <x:c r="B322" s="18" t="str">
        <x:v>S1</x:v>
      </x:c>
      <x:c r="C322" s="18" t="str">
        <x:v>2025 S1</x:v>
      </x:c>
      <x:c r="D322" s="18" t="str">
        <x:v>CNCT0081</x:v>
      </x:c>
      <x:c r="E322" s="18" t="str">
        <x:v>杭州滨江宝龙城</x:v>
      </x:c>
      <x:c r="F322" s="18" t="str">
        <x:v>杭州</x:v>
      </x:c>
      <x:c r="G322" s="18" t="str">
        <x:v>浙江省</x:v>
      </x:c>
      <x:c r="H322" s="18" t="str">
        <x:v>东区</x:v>
      </x:c>
      <x:c r="I322" s="18" t="str">
        <x:v>Shopping Mall</x:v>
      </x:c>
      <x:c r="J322" s="18" t="str">
        <x:v>Regional Mall</x:v>
      </x:c>
      <x:c r="K322" s="18" t="str">
        <x:v>新开店</x:v>
      </x:c>
      <x:c r="L322" s="62" t="n">
        <x:v>4</x:v>
      </x:c>
      <x:c r="M322" s="62" t="n">
        <x:v>45</x:v>
      </x:c>
      <x:c r="N322" s="63" t="n">
        <x:f>'Drivers'!C322</x:f>
        <x:v>992</x:v>
      </x:c>
      <x:c r="O322" s="63" t="n">
        <x:f>'Drivers'!D322</x:f>
        <x:v>913.162</x:v>
      </x:c>
      <x:c r="P322" s="64" t="n">
        <x:f>ROUND(N322*O322/1000,3)</x:f>
        <x:v>905.857</x:v>
      </x:c>
      <x:c r="Q322" s="64" t="n">
        <x:f>ROUND(P322*'Drivers'!E322,3)</x:f>
        <x:v>880.132</x:v>
      </x:c>
      <x:c r="R322" s="64" t="n">
        <x:f>-ROUND(Q322*'Drivers'!F322,3)</x:f>
        <x:v>-151.436</x:v>
      </x:c>
      <x:c r="S322" s="65" t="n">
        <x:f>R322/Q322</x:f>
        <x:v>-0.17206055455318067</x:v>
      </x:c>
      <x:c r="T322" s="64" t="n">
        <x:f>-ROUND(Q322*'Drivers'!G322,3)</x:f>
        <x:v>-10.009</x:v>
      </x:c>
      <x:c r="U322" s="65" t="n">
        <x:f>T322/Q322</x:f>
        <x:v>-0.011372157812691734</x:v>
      </x:c>
      <x:c r="V322" s="64" t="n">
        <x:f>-ROUND(Q322*'Drivers'!H322,3)</x:f>
        <x:v>-7.032</x:v>
      </x:c>
      <x:c r="W322" s="64" t="n">
        <x:f>-ROUND(Q322*'Drivers'!I322,3)</x:f>
        <x:v>-8.486</x:v>
      </x:c>
      <x:c r="X322" s="64" t="n">
        <x:f>-ROUND(Q322*'Drivers'!J322,3)</x:f>
        <x:v>-12.92</x:v>
      </x:c>
      <x:c r="Y322" s="64" t="n">
        <x:f>-ROUND(Q322*'Drivers'!K322,3)</x:f>
        <x:v>-8.625</x:v>
      </x:c>
      <x:c r="Z322" s="64" t="n">
        <x:f>-ROUND(Q322*'Drivers'!L322,3)</x:f>
        <x:v>-7.857</x:v>
      </x:c>
      <x:c r="AA322" s="64" t="n">
        <x:f>-ROUND(Q322*'Drivers'!M322,3)</x:f>
        <x:v>-5.967</x:v>
      </x:c>
      <x:c r="AB322" s="64" t="n">
        <x:f>-ROUND(Q322*'Drivers'!N322,3)</x:f>
        <x:v>-4.403</x:v>
      </x:c>
      <x:c r="AC322" s="64" t="n">
        <x:f>SUM(V322:AB322)</x:f>
        <x:v>-55.29</x:v>
      </x:c>
      <x:c r="AD322" s="65" t="n">
        <x:f>AC322/Q322</x:f>
        <x:v>-0.06282012243618003</x:v>
      </x:c>
      <x:c r="AE322" s="64" t="n">
        <x:f>-ROUND(Q322*'Drivers'!O322,3)</x:f>
        <x:v>-6.265</x:v>
      </x:c>
      <x:c r="AF322" s="65" t="n">
        <x:f>AE322/Q322</x:f>
        <x:v>-0.007118250444251544</x:v>
      </x:c>
      <x:c r="AG322" s="64" t="n">
        <x:f>-ROUND(Q322*'Drivers'!P322,3)</x:f>
        <x:v>-0.973</x:v>
      </x:c>
      <x:c r="AH322" s="64" t="n">
        <x:f>-ROUND(Q322*'Drivers'!Q322,3)</x:f>
        <x:v>-1.124</x:v>
      </x:c>
      <x:c r="AI322" s="64" t="n">
        <x:f>SUM(R322,T322,AC322,AE322,AG322,AH322)</x:f>
        <x:v>-225.09699999999998</x:v>
      </x:c>
      <x:c r="AJ322" s="65" t="n">
        <x:f>AI322/Q322</x:f>
        <x:v>-0.2557536824021851</x:v>
      </x:c>
      <x:c r="AK322" s="64" t="n">
        <x:f>Q322+AI322</x:f>
        <x:v>655.035</x:v>
      </x:c>
      <x:c r="AL322" s="65" t="n">
        <x:f>AK322/Q322</x:f>
        <x:v>0.7442463175978149</x:v>
      </x:c>
      <x:c r="AM322" s="64" t="n">
        <x:f>AK322/L322</x:f>
        <x:v>163.75875</x:v>
      </x:c>
      <x:c r="AN322" s="66" t="str">
        <x:f>IF(AM322&lt;=200,"≤200K",IF(AM322&lt;=350,"200–350K",IF(AM322&lt;=500,"350–500K",IF(AM322&lt;=700,"500–700K","&gt;700K"))))</x:f>
        <x:v>≤200K</x:v>
      </x:c>
      <x:c r="AO322" s="64" t="n">
        <x:f>-ROUND(Q322*'Drivers'!R322,3)</x:f>
        <x:v>-345.007</x:v>
      </x:c>
      <x:c r="AP322" s="64" t="n">
        <x:f>-ROUND(AK322*'Drivers'!S322,3)</x:f>
        <x:v>-10.06</x:v>
      </x:c>
      <x:c r="AQ322" s="64" t="n">
        <x:f>-ROUND(AK322*'Drivers'!T322,3)</x:f>
        <x:v>-2.804</x:v>
      </x:c>
      <x:c r="AR322" s="64" t="n">
        <x:f>-ROUND(AK322*'Drivers'!U322,3)</x:f>
        <x:v>-5.527</x:v>
      </x:c>
      <x:c r="AS322" s="64" t="n">
        <x:f>-ROUND(AK322*'Drivers'!V322,3)</x:f>
        <x:v>-24.505</x:v>
      </x:c>
      <x:c r="AT322" s="64" t="n">
        <x:f>SUM(AO322:AS322)</x:f>
        <x:v>-387.90299999999996</x:v>
      </x:c>
      <x:c r="AU322" s="65" t="n">
        <x:f>AT322/AK322</x:f>
        <x:v>-0.5921866770477913</x:v>
      </x:c>
      <x:c r="AV322" s="64" t="n">
        <x:f>AK322+AT322</x:f>
        <x:v>267.132</x:v>
      </x:c>
      <x:c r="AW322" s="65" t="n">
        <x:f>AV322/AK322</x:f>
        <x:v>0.4078133229522087</x:v>
      </x:c>
      <x:c r="AX322" s="64" t="n">
        <x:f>-ROUND(AK322*'Drivers'!W322,3)</x:f>
        <x:v>-11.168</x:v>
      </x:c>
      <x:c r="AY322" s="64" t="n">
        <x:f>-ROUND(AK322*'Drivers'!X322,3)</x:f>
        <x:v>-15.958</x:v>
      </x:c>
      <x:c r="AZ322" s="64" t="n">
        <x:f>-ROUND(AK322*'Drivers'!Y322,3)</x:f>
        <x:v>-18.168</x:v>
      </x:c>
      <x:c r="BA322" s="64" t="n">
        <x:f>-ROUND(AK322*'Drivers'!Z322,3)</x:f>
        <x:v>-3.554</x:v>
      </x:c>
      <x:c r="BB322" s="64" t="n">
        <x:f>-ROUND(AK322*'Drivers'!AA322,3)</x:f>
        <x:v>-3.993</x:v>
      </x:c>
      <x:c r="BC322" s="64" t="n">
        <x:f>SUM(BA322,BB322)</x:f>
        <x:v>-7.547</x:v>
      </x:c>
      <x:c r="BD322" s="64" t="n">
        <x:f>-ROUND(AK322*'Drivers'!AB322,3)</x:f>
        <x:v>-3.327</x:v>
      </x:c>
      <x:c r="BE322" s="64" t="n">
        <x:f>SUM(AX322:BB322,BD322)</x:f>
        <x:v>-56.168</x:v>
      </x:c>
      <x:c r="BF322" s="67" t="n">
        <x:f>'Drivers'!AF322</x:f>
        <x:v>7</x:v>
      </x:c>
      <x:c r="BG322" s="64" t="n">
        <x:f>BJ322</x:f>
        <x:v>-16.096</x:v>
      </x:c>
      <x:c r="BH322" s="64" t="n">
        <x:f>BE322/BF322</x:f>
        <x:v>-8.024</x:v>
      </x:c>
      <x:c r="BI322" s="68" t="n">
        <x:f>BF322/L322</x:f>
        <x:v>1.75</x:v>
      </x:c>
      <x:c r="BJ322" s="64" t="n">
        <x:f>-ROUND(AK322*'Drivers'!AC322,3)</x:f>
        <x:v>-16.096</x:v>
      </x:c>
      <x:c r="BK322" s="64" t="n">
        <x:f>-ROUND(AK322*'Drivers'!AD322,3)</x:f>
        <x:v>-81.726</x:v>
      </x:c>
      <x:c r="BL322" s="64" t="n">
        <x:f>SUM(AV322,BE322,BJ322,BK322)</x:f>
        <x:v>113.142</x:v>
      </x:c>
      <x:c r="BM322" s="65" t="n">
        <x:f>BL322/AK322</x:f>
        <x:v>0.1727266481943713</x:v>
      </x:c>
      <x:c r="BN322" s="64" t="n">
        <x:f>-ROUND(AK322*'Drivers'!AE322,3)</x:f>
        <x:v>-50.033</x:v>
      </x:c>
      <x:c r="BO322" s="64" t="n">
        <x:f>BL322+BN322</x:f>
        <x:v>63.108999999999995</x:v>
      </x:c>
      <x:c r="BP322" s="65" t="n">
        <x:f>BO322/AK322</x:f>
        <x:v>0.09634447014281679</x:v>
      </x:c>
    </x:row>
    <x:row r="323">
      <x:c r="A323" s="61" t="n">
        <x:v>2025</x:v>
      </x:c>
      <x:c r="B323" s="18" t="str">
        <x:v>S2</x:v>
      </x:c>
      <x:c r="C323" s="18" t="str">
        <x:v>2025 S2</x:v>
      </x:c>
      <x:c r="D323" s="18" t="str">
        <x:v>CNCT0081</x:v>
      </x:c>
      <x:c r="E323" s="18" t="str">
        <x:v>杭州滨江宝龙城</x:v>
      </x:c>
      <x:c r="F323" s="18" t="str">
        <x:v>杭州</x:v>
      </x:c>
      <x:c r="G323" s="18" t="str">
        <x:v>浙江省</x:v>
      </x:c>
      <x:c r="H323" s="18" t="str">
        <x:v>东区</x:v>
      </x:c>
      <x:c r="I323" s="18" t="str">
        <x:v>Shopping Mall</x:v>
      </x:c>
      <x:c r="J323" s="18" t="str">
        <x:v>Regional Mall</x:v>
      </x:c>
      <x:c r="K323" s="18" t="str">
        <x:v>正常</x:v>
      </x:c>
      <x:c r="L323" s="62" t="n">
        <x:v>4</x:v>
      </x:c>
      <x:c r="M323" s="62" t="n">
        <x:v>45</x:v>
      </x:c>
      <x:c r="N323" s="63" t="n">
        <x:f>'Drivers'!C323</x:f>
        <x:v>1460</x:v>
      </x:c>
      <x:c r="O323" s="63" t="n">
        <x:f>'Drivers'!D323</x:f>
        <x:v>924.12</x:v>
      </x:c>
      <x:c r="P323" s="64" t="n">
        <x:f>ROUND(N323*O323/1000,3)</x:f>
        <x:v>1349.215</x:v>
      </x:c>
      <x:c r="Q323" s="64" t="n">
        <x:f>ROUND(P323*'Drivers'!E323,3)</x:f>
        <x:v>1312.736</x:v>
      </x:c>
      <x:c r="R323" s="64" t="n">
        <x:f>-ROUND(Q323*'Drivers'!F323,3)</x:f>
        <x:v>-225.871</x:v>
      </x:c>
      <x:c r="S323" s="65" t="n">
        <x:f>R323/Q323</x:f>
        <x:v>-0.17206125222436194</x:v>
      </x:c>
      <x:c r="T323" s="64" t="n">
        <x:f>-ROUND(Q323*'Drivers'!G323,3)</x:f>
        <x:v>-14.928</x:v>
      </x:c>
      <x:c r="U323" s="65" t="n">
        <x:f>T323/Q323</x:f>
        <x:v>-0.01137166955122736</x:v>
      </x:c>
      <x:c r="V323" s="64" t="n">
        <x:f>-ROUND(Q323*'Drivers'!H323,3)</x:f>
        <x:v>-10.489</x:v>
      </x:c>
      <x:c r="W323" s="64" t="n">
        <x:f>-ROUND(Q323*'Drivers'!I323,3)</x:f>
        <x:v>-12.657</x:v>
      </x:c>
      <x:c r="X323" s="64" t="n">
        <x:f>-ROUND(Q323*'Drivers'!J323,3)</x:f>
        <x:v>-19.27</x:v>
      </x:c>
      <x:c r="Y323" s="64" t="n">
        <x:f>-ROUND(Q323*'Drivers'!K323,3)</x:f>
        <x:v>-12.865</x:v>
      </x:c>
      <x:c r="Z323" s="64" t="n">
        <x:f>-ROUND(Q323*'Drivers'!L323,3)</x:f>
        <x:v>-11.719</x:v>
      </x:c>
      <x:c r="AA323" s="64" t="n">
        <x:f>-ROUND(Q323*'Drivers'!M323,3)</x:f>
        <x:v>-8.9</x:v>
      </x:c>
      <x:c r="AB323" s="64" t="n">
        <x:f>-ROUND(Q323*'Drivers'!N323,3)</x:f>
        <x:v>-6.568</x:v>
      </x:c>
      <x:c r="AC323" s="64" t="n">
        <x:f>SUM(V323:AB323)</x:f>
        <x:v>-82.468</x:v>
      </x:c>
      <x:c r="AD323" s="65" t="n">
        <x:f>AC323/Q323</x:f>
        <x:v>-0.06282146600687419</x:v>
      </x:c>
      <x:c r="AE323" s="64" t="n">
        <x:f>-ROUND(Q323*'Drivers'!O323,3)</x:f>
        <x:v>-9.345</x:v>
      </x:c>
      <x:c r="AF323" s="65" t="n">
        <x:f>AE323/Q323</x:f>
        <x:v>-0.007118719986349121</x:v>
      </x:c>
      <x:c r="AG323" s="64" t="n">
        <x:f>-ROUND(Q323*'Drivers'!P323,3)</x:f>
        <x:v>-1.452</x:v>
      </x:c>
      <x:c r="AH323" s="64" t="n">
        <x:f>-ROUND(Q323*'Drivers'!Q323,3)</x:f>
        <x:v>-1.677</x:v>
      </x:c>
      <x:c r="AI323" s="64" t="n">
        <x:f>SUM(R323,T323,AC323,AE323,AG323,AH323)</x:f>
        <x:v>-335.74100000000004</x:v>
      </x:c>
      <x:c r="AJ323" s="65" t="n">
        <x:f>AI323/Q323</x:f>
        <x:v>-0.25575667917997225</x:v>
      </x:c>
      <x:c r="AK323" s="64" t="n">
        <x:f>Q323+AI323</x:f>
        <x:v>976.9950000000001</x:v>
      </x:c>
      <x:c r="AL323" s="65" t="n">
        <x:f>AK323/Q323</x:f>
        <x:v>0.7442433208200279</x:v>
      </x:c>
      <x:c r="AM323" s="64" t="n">
        <x:f>AK323/L323</x:f>
        <x:v>244.24875000000003</x:v>
      </x:c>
      <x:c r="AN323" s="66" t="str">
        <x:f>IF(AM323&lt;=200,"≤200K",IF(AM323&lt;=350,"200–350K",IF(AM323&lt;=500,"350–500K",IF(AM323&lt;=700,"500–700K","&gt;700K"))))</x:f>
        <x:v>200–350K</x:v>
      </x:c>
      <x:c r="AO323" s="64" t="n">
        <x:f>-ROUND(Q323*'Drivers'!R323,3)</x:f>
        <x:v>-480.479</x:v>
      </x:c>
      <x:c r="AP323" s="64" t="n">
        <x:f>-ROUND(AK323*'Drivers'!S323,3)</x:f>
        <x:v>-15.005</x:v>
      </x:c>
      <x:c r="AQ323" s="64" t="n">
        <x:f>-ROUND(AK323*'Drivers'!T323,3)</x:f>
        <x:v>-4.182</x:v>
      </x:c>
      <x:c r="AR323" s="64" t="n">
        <x:f>-ROUND(AK323*'Drivers'!U323,3)</x:f>
        <x:v>-8.244</x:v>
      </x:c>
      <x:c r="AS323" s="64" t="n">
        <x:f>-ROUND(AK323*'Drivers'!V323,3)</x:f>
        <x:v>-36.55</x:v>
      </x:c>
      <x:c r="AT323" s="64" t="n">
        <x:f>SUM(AO323:AS323)</x:f>
        <x:v>-544.4599999999999</x:v>
      </x:c>
      <x:c r="AU323" s="65" t="n">
        <x:f>AT323/AK323</x:f>
        <x:v>-0.5572802317309709</x:v>
      </x:c>
      <x:c r="AV323" s="64" t="n">
        <x:f>AK323+AT323</x:f>
        <x:v>432.5350000000002</x:v>
      </x:c>
      <x:c r="AW323" s="65" t="n">
        <x:f>AV323/AK323</x:f>
        <x:v>0.44271976826902915</x:v>
      </x:c>
      <x:c r="AX323" s="64" t="n">
        <x:f>-ROUND(AK323*'Drivers'!W323,3)</x:f>
        <x:v>-12.339</x:v>
      </x:c>
      <x:c r="AY323" s="64" t="n">
        <x:f>-ROUND(AK323*'Drivers'!X323,3)</x:f>
        <x:v>-17.631</x:v>
      </x:c>
      <x:c r="AZ323" s="64" t="n">
        <x:f>-ROUND(AK323*'Drivers'!Y323,3)</x:f>
        <x:v>-20.072</x:v>
      </x:c>
      <x:c r="BA323" s="64" t="n">
        <x:f>-ROUND(AK323*'Drivers'!Z323,3)</x:f>
        <x:v>-5.301</x:v>
      </x:c>
      <x:c r="BB323" s="64" t="n">
        <x:f>-ROUND(AK323*'Drivers'!AA323,3)</x:f>
        <x:v>-5.956</x:v>
      </x:c>
      <x:c r="BC323" s="64" t="n">
        <x:f>SUM(BA323,BB323)</x:f>
        <x:v>-11.257000000000001</x:v>
      </x:c>
      <x:c r="BD323" s="64" t="n">
        <x:f>-ROUND(AK323*'Drivers'!AB323,3)</x:f>
        <x:v>-3.675</x:v>
      </x:c>
      <x:c r="BE323" s="64" t="n">
        <x:f>SUM(AX323:BB323,BD323)</x:f>
        <x:v>-64.974</x:v>
      </x:c>
      <x:c r="BF323" s="67" t="n">
        <x:f>'Drivers'!AF323</x:f>
        <x:v>7</x:v>
      </x:c>
      <x:c r="BG323" s="64" t="n">
        <x:f>BJ323</x:f>
        <x:v>-17.783</x:v>
      </x:c>
      <x:c r="BH323" s="64" t="n">
        <x:f>BE323/BF323</x:f>
        <x:v>-9.282</x:v>
      </x:c>
      <x:c r="BI323" s="68" t="n">
        <x:f>BF323/L323</x:f>
        <x:v>1.75</x:v>
      </x:c>
      <x:c r="BJ323" s="64" t="n">
        <x:f>-ROUND(AK323*'Drivers'!AC323,3)</x:f>
        <x:v>-17.783</x:v>
      </x:c>
      <x:c r="BK323" s="64" t="n">
        <x:f>-ROUND(AK323*'Drivers'!AD323,3)</x:f>
        <x:v>-108.836</x:v>
      </x:c>
      <x:c r="BL323" s="64" t="n">
        <x:f>SUM(AV323,BE323,BJ323,BK323)</x:f>
        <x:v>240.94200000000018</x:v>
      </x:c>
      <x:c r="BM323" s="65" t="n">
        <x:f>BL323/AK323</x:f>
        <x:v>0.24661538697741558</x:v>
      </x:c>
      <x:c r="BN323" s="64" t="n">
        <x:f>-ROUND(AK323*'Drivers'!AE323,3)</x:f>
        <x:v>-74.626</x:v>
      </x:c>
      <x:c r="BO323" s="64" t="n">
        <x:f>BL323+BN323</x:f>
        <x:v>166.31600000000017</x:v>
      </x:c>
      <x:c r="BP323" s="65" t="n">
        <x:f>BO323/AK323</x:f>
        <x:v>0.17023219156699895</x:v>
      </x:c>
    </x:row>
    <x:row r="324">
      <x:c r="A324" s="61" t="n">
        <x:v>2026</x:v>
      </x:c>
      <x:c r="B324" s="18" t="str">
        <x:v>S1</x:v>
      </x:c>
      <x:c r="C324" s="18" t="str">
        <x:v>2026 S1</x:v>
      </x:c>
      <x:c r="D324" s="18" t="str">
        <x:v>CNCT0081</x:v>
      </x:c>
      <x:c r="E324" s="18" t="str">
        <x:v>杭州滨江宝龙城</x:v>
      </x:c>
      <x:c r="F324" s="18" t="str">
        <x:v>杭州</x:v>
      </x:c>
      <x:c r="G324" s="18" t="str">
        <x:v>浙江省</x:v>
      </x:c>
      <x:c r="H324" s="18" t="str">
        <x:v>东区</x:v>
      </x:c>
      <x:c r="I324" s="18" t="str">
        <x:v>Shopping Mall</x:v>
      </x:c>
      <x:c r="J324" s="18" t="str">
        <x:v>Regional Mall</x:v>
      </x:c>
      <x:c r="K324" s="18" t="str">
        <x:v>正常</x:v>
      </x:c>
      <x:c r="L324" s="62" t="n">
        <x:v>4</x:v>
      </x:c>
      <x:c r="M324" s="62" t="n">
        <x:v>47</x:v>
      </x:c>
      <x:c r="N324" s="63" t="n">
        <x:f>'Drivers'!C324</x:f>
        <x:v>1233</x:v>
      </x:c>
      <x:c r="O324" s="63" t="n">
        <x:f>'Drivers'!D324</x:f>
        <x:v>954.786</x:v>
      </x:c>
      <x:c r="P324" s="64" t="n">
        <x:f>ROUND(N324*O324/1000,3)</x:f>
        <x:v>1177.251</x:v>
      </x:c>
      <x:c r="Q324" s="64" t="n">
        <x:f>ROUND(P324*'Drivers'!E324,3)</x:f>
        <x:v>1145.091</x:v>
      </x:c>
      <x:c r="R324" s="64" t="n">
        <x:f>-ROUND(Q324*'Drivers'!F324,3)</x:f>
        <x:v>-193.287</x:v>
      </x:c>
      <x:c r="S324" s="65" t="n">
        <x:f>R324/Q324</x:f>
        <x:v>-0.16879619174371296</x:v>
      </x:c>
      <x:c r="T324" s="64" t="n">
        <x:f>-ROUND(Q324*'Drivers'!G324,3)</x:f>
        <x:v>-14.913</x:v>
      </x:c>
      <x:c r="U324" s="65" t="n">
        <x:f>T324/Q324</x:f>
        <x:v>-0.013023419099442754</x:v>
      </x:c>
      <x:c r="V324" s="64" t="n">
        <x:f>-ROUND(Q324*'Drivers'!H324,3)</x:f>
        <x:v>-9.149</x:v>
      </x:c>
      <x:c r="W324" s="64" t="n">
        <x:f>-ROUND(Q324*'Drivers'!I324,3)</x:f>
        <x:v>-11.041</x:v>
      </x:c>
      <x:c r="X324" s="64" t="n">
        <x:f>-ROUND(Q324*'Drivers'!J324,3)</x:f>
        <x:v>-16.81</x:v>
      </x:c>
      <x:c r="Y324" s="64" t="n">
        <x:f>-ROUND(Q324*'Drivers'!K324,3)</x:f>
        <x:v>-11.222</x:v>
      </x:c>
      <x:c r="Z324" s="64" t="n">
        <x:f>-ROUND(Q324*'Drivers'!L324,3)</x:f>
        <x:v>-10.222</x:v>
      </x:c>
      <x:c r="AA324" s="64" t="n">
        <x:f>-ROUND(Q324*'Drivers'!M324,3)</x:f>
        <x:v>-7.763</x:v>
      </x:c>
      <x:c r="AB324" s="64" t="n">
        <x:f>-ROUND(Q324*'Drivers'!N324,3)</x:f>
        <x:v>-5.729</x:v>
      </x:c>
      <x:c r="AC324" s="64" t="n">
        <x:f>SUM(V324:AB324)</x:f>
        <x:v>-71.936</x:v>
      </x:c>
      <x:c r="AD324" s="65" t="n">
        <x:f>AC324/Q324</x:f>
        <x:v>-0.06282120809612513</x:v>
      </x:c>
      <x:c r="AE324" s="64" t="n">
        <x:f>-ROUND(Q324*'Drivers'!O324,3)</x:f>
        <x:v>-9.89</x:v>
      </x:c>
      <x:c r="AF324" s="65" t="n">
        <x:f>AE324/Q324</x:f>
        <x:v>-0.008636868161569692</x:v>
      </x:c>
      <x:c r="AG324" s="64" t="n">
        <x:f>-ROUND(Q324*'Drivers'!P324,3)</x:f>
        <x:v>-1.266</x:v>
      </x:c>
      <x:c r="AH324" s="64" t="n">
        <x:f>-ROUND(Q324*'Drivers'!Q324,3)</x:f>
        <x:v>-1.463</x:v>
      </x:c>
      <x:c r="AI324" s="64" t="n">
        <x:f>SUM(R324,T324,AC324,AE324,AG324,AH324)</x:f>
        <x:v>-292.75500000000005</x:v>
      </x:c>
      <x:c r="AJ324" s="65" t="n">
        <x:f>AI324/Q324</x:f>
        <x:v>-0.25566090380589845</x:v>
      </x:c>
      <x:c r="AK324" s="64" t="n">
        <x:f>Q324+AI324</x:f>
        <x:v>852.3359999999998</x:v>
      </x:c>
      <x:c r="AL324" s="65" t="n">
        <x:f>AK324/Q324</x:f>
        <x:v>0.7443390961941014</x:v>
      </x:c>
      <x:c r="AM324" s="64" t="n">
        <x:f>AK324/L324</x:f>
        <x:v>213.08399999999995</x:v>
      </x:c>
      <x:c r="AN324" s="66" t="str">
        <x:f>IF(AM324&lt;=200,"≤200K",IF(AM324&lt;=350,"200–350K",IF(AM324&lt;=500,"350–500K",IF(AM324&lt;=700,"500–700K","&gt;700K"))))</x:f>
        <x:v>200–350K</x:v>
      </x:c>
      <x:c r="AO324" s="64" t="n">
        <x:f>-ROUND(Q324*'Drivers'!R324,3)</x:f>
        <x:v>-451.363</x:v>
      </x:c>
      <x:c r="AP324" s="64" t="n">
        <x:f>-ROUND(AK324*'Drivers'!S324,3)</x:f>
        <x:v>-13.091</x:v>
      </x:c>
      <x:c r="AQ324" s="64" t="n">
        <x:f>-ROUND(AK324*'Drivers'!T324,3)</x:f>
        <x:v>-3.648</x:v>
      </x:c>
      <x:c r="AR324" s="64" t="n">
        <x:f>-ROUND(AK324*'Drivers'!U324,3)</x:f>
        <x:v>-7.192</x:v>
      </x:c>
      <x:c r="AS324" s="64" t="n">
        <x:f>-ROUND(AK324*'Drivers'!V324,3)</x:f>
        <x:v>-31.886</x:v>
      </x:c>
      <x:c r="AT324" s="64" t="n">
        <x:f>SUM(AO324:AS324)</x:f>
        <x:v>-507.18000000000006</x:v>
      </x:c>
      <x:c r="AU324" s="65" t="n">
        <x:f>AT324/AK324</x:f>
        <x:v>-0.5950470237089601</x:v>
      </x:c>
      <x:c r="AV324" s="64" t="n">
        <x:f>AK324+AT324</x:f>
        <x:v>345.1559999999997</x:v>
      </x:c>
      <x:c r="AW324" s="65" t="n">
        <x:f>AV324/AK324</x:f>
        <x:v>0.40495297629103993</x:v>
      </x:c>
      <x:c r="AX324" s="64" t="n">
        <x:f>-ROUND(AK324*'Drivers'!W324,3)</x:f>
        <x:v>-17.881</x:v>
      </x:c>
      <x:c r="AY324" s="64" t="n">
        <x:f>-ROUND(AK324*'Drivers'!X324,3)</x:f>
        <x:v>-25.55</x:v>
      </x:c>
      <x:c r="AZ324" s="64" t="n">
        <x:f>-ROUND(AK324*'Drivers'!Y324,3)</x:f>
        <x:v>-29.088</x:v>
      </x:c>
      <x:c r="BA324" s="64" t="n">
        <x:f>-ROUND(AK324*'Drivers'!Z324,3)</x:f>
        <x:v>-5.69</x:v>
      </x:c>
      <x:c r="BB324" s="64" t="n">
        <x:f>-ROUND(AK324*'Drivers'!AA324,3)</x:f>
        <x:v>-6.394</x:v>
      </x:c>
      <x:c r="BC324" s="64" t="n">
        <x:f>SUM(BA324,BB324)</x:f>
        <x:v>-12.084</x:v>
      </x:c>
      <x:c r="BD324" s="64" t="n">
        <x:f>-ROUND(AK324*'Drivers'!AB324,3)</x:f>
        <x:v>-5.326</x:v>
      </x:c>
      <x:c r="BE324" s="64" t="n">
        <x:f>SUM(AX324:BB324,BD324)</x:f>
        <x:v>-89.929</x:v>
      </x:c>
      <x:c r="BF324" s="67" t="n">
        <x:f>'Drivers'!AF324</x:f>
        <x:v>7</x:v>
      </x:c>
      <x:c r="BG324" s="64" t="n">
        <x:f>BJ324</x:f>
        <x:v>-25.771</x:v>
      </x:c>
      <x:c r="BH324" s="64" t="n">
        <x:f>BE324/BF324</x:f>
        <x:v>-12.847</x:v>
      </x:c>
      <x:c r="BI324" s="68" t="n">
        <x:f>BF324/L324</x:f>
        <x:v>1.75</x:v>
      </x:c>
      <x:c r="BJ324" s="64" t="n">
        <x:f>-ROUND(AK324*'Drivers'!AC324,3)</x:f>
        <x:v>-25.771</x:v>
      </x:c>
      <x:c r="BK324" s="64" t="n">
        <x:f>-ROUND(AK324*'Drivers'!AD324,3)</x:f>
        <x:v>-106.343</x:v>
      </x:c>
      <x:c r="BL324" s="64" t="n">
        <x:f>SUM(AV324,BE324,BJ324,BK324)</x:f>
        <x:v>123.11299999999973</x:v>
      </x:c>
      <x:c r="BM324" s="65" t="n">
        <x:f>BL324/AK324</x:f>
        <x:v>0.14444186330273479</x:v>
      </x:c>
      <x:c r="BN324" s="64" t="n">
        <x:f>-ROUND(AK324*'Drivers'!AE324,3)</x:f>
        <x:v>-65.104</x:v>
      </x:c>
      <x:c r="BO324" s="64" t="n">
        <x:f>BL324+BN324</x:f>
        <x:v>58.00899999999973</x:v>
      </x:c>
      <x:c r="BP324" s="65" t="n">
        <x:f>BO324/AK324</x:f>
        <x:v>0.06805884064500355</x:v>
      </x:c>
    </x:row>
    <x:row r="325">
      <x:c r="A325" s="61" t="n">
        <x:v>2026</x:v>
      </x:c>
      <x:c r="B325" s="18" t="str">
        <x:v>S2</x:v>
      </x:c>
      <x:c r="C325" s="18" t="str">
        <x:v>2026 S2</x:v>
      </x:c>
      <x:c r="D325" s="18" t="str">
        <x:v>CNCT0081</x:v>
      </x:c>
      <x:c r="E325" s="18" t="str">
        <x:v>杭州滨江宝龙城</x:v>
      </x:c>
      <x:c r="F325" s="18" t="str">
        <x:v>杭州</x:v>
      </x:c>
      <x:c r="G325" s="18" t="str">
        <x:v>浙江省</x:v>
      </x:c>
      <x:c r="H325" s="18" t="str">
        <x:v>东区</x:v>
      </x:c>
      <x:c r="I325" s="18" t="str">
        <x:v>Shopping Mall</x:v>
      </x:c>
      <x:c r="J325" s="18" t="str">
        <x:v>Regional Mall</x:v>
      </x:c>
      <x:c r="K325" s="18" t="str">
        <x:v>正常</x:v>
      </x:c>
      <x:c r="L325" s="62" t="n">
        <x:v>4</x:v>
      </x:c>
      <x:c r="M325" s="62" t="n">
        <x:v>47</x:v>
      </x:c>
      <x:c r="N325" s="63" t="n">
        <x:f>'Drivers'!C325</x:f>
        <x:v>1434</x:v>
      </x:c>
      <x:c r="O325" s="63" t="n">
        <x:f>'Drivers'!D325</x:f>
        <x:v>955.115</x:v>
      </x:c>
      <x:c r="P325" s="64" t="n">
        <x:f>ROUND(N325*O325/1000,3)</x:f>
        <x:v>1369.635</x:v>
      </x:c>
      <x:c r="Q325" s="64" t="n">
        <x:f>ROUND(P325*'Drivers'!E325,3)</x:f>
        <x:v>1332.604</x:v>
      </x:c>
      <x:c r="R325" s="64" t="n">
        <x:f>-ROUND(Q325*'Drivers'!F325,3)</x:f>
        <x:v>-223.615</x:v>
      </x:c>
      <x:c r="S325" s="65" t="n">
        <x:f>R325/Q325</x:f>
        <x:v>-0.16780303826192927</x:v>
      </x:c>
      <x:c r="T325" s="64" t="n">
        <x:f>-ROUND(Q325*'Drivers'!G325,3)</x:f>
        <x:v>-14.464</x:v>
      </x:c>
      <x:c r="U325" s="65" t="n">
        <x:f>T325/Q325</x:f>
        <x:v>-0.010853937103595666</x:v>
      </x:c>
      <x:c r="V325" s="64" t="n">
        <x:f>-ROUND(Q325*'Drivers'!H325,3)</x:f>
        <x:v>-10.648</x:v>
      </x:c>
      <x:c r="W325" s="64" t="n">
        <x:f>-ROUND(Q325*'Drivers'!I325,3)</x:f>
        <x:v>-12.849</x:v>
      </x:c>
      <x:c r="X325" s="64" t="n">
        <x:f>-ROUND(Q325*'Drivers'!J325,3)</x:f>
        <x:v>-19.562</x:v>
      </x:c>
      <x:c r="Y325" s="64" t="n">
        <x:f>-ROUND(Q325*'Drivers'!K325,3)</x:f>
        <x:v>-13.06</x:v>
      </x:c>
      <x:c r="Z325" s="64" t="n">
        <x:f>-ROUND(Q325*'Drivers'!L325,3)</x:f>
        <x:v>-11.896</x:v>
      </x:c>
      <x:c r="AA325" s="64" t="n">
        <x:f>-ROUND(Q325*'Drivers'!M325,3)</x:f>
        <x:v>-9.034</x:v>
      </x:c>
      <x:c r="AB325" s="64" t="n">
        <x:f>-ROUND(Q325*'Drivers'!N325,3)</x:f>
        <x:v>-6.667</x:v>
      </x:c>
      <x:c r="AC325" s="64" t="n">
        <x:f>SUM(V325:AB325)</x:f>
        <x:v>-83.71600000000001</x:v>
      </x:c>
      <x:c r="AD325" s="65" t="n">
        <x:f>AC325/Q325</x:f>
        <x:v>-0.06282136328571729</x:v>
      </x:c>
      <x:c r="AE325" s="64" t="n">
        <x:f>-ROUND(Q325*'Drivers'!O325,3)</x:f>
        <x:v>-9.486</x:v>
      </x:c>
      <x:c r="AF325" s="65" t="n">
        <x:f>AE325/Q325</x:f>
        <x:v>-0.007118393761387479</x:v>
      </x:c>
      <x:c r="AG325" s="64" t="n">
        <x:f>-ROUND(Q325*'Drivers'!P325,3)</x:f>
        <x:v>-1.474</x:v>
      </x:c>
      <x:c r="AH325" s="64" t="n">
        <x:f>-ROUND(Q325*'Drivers'!Q325,3)</x:f>
        <x:v>-1.703</x:v>
      </x:c>
      <x:c r="AI325" s="64" t="n">
        <x:f>SUM(R325,T325,AC325,AE325,AG325,AH325)</x:f>
        <x:v>-334.45799999999997</x:v>
      </x:c>
      <x:c r="AJ325" s="65" t="n">
        <x:f>AI325/Q325</x:f>
        <x:v>-0.2509807864902101</x:v>
      </x:c>
      <x:c r="AK325" s="64" t="n">
        <x:f>Q325+AI325</x:f>
        <x:v>998.1460000000001</x:v>
      </x:c>
      <x:c r="AL325" s="65" t="n">
        <x:f>AK325/Q325</x:f>
        <x:v>0.7490192135097898</x:v>
      </x:c>
      <x:c r="AM325" s="64" t="n">
        <x:f>AK325/L325</x:f>
        <x:v>249.53650000000002</x:v>
      </x:c>
      <x:c r="AN325" s="66" t="str">
        <x:f>IF(AM325&lt;=200,"≤200K",IF(AM325&lt;=350,"200–350K",IF(AM325&lt;=500,"350–500K",IF(AM325&lt;=700,"500–700K","&gt;700K"))))</x:f>
        <x:v>200–350K</x:v>
      </x:c>
      <x:c r="AO325" s="64" t="n">
        <x:f>-ROUND(Q325*'Drivers'!R325,3)</x:f>
        <x:v>-488.347</x:v>
      </x:c>
      <x:c r="AP325" s="64" t="n">
        <x:f>-ROUND(AK325*'Drivers'!S325,3)</x:f>
        <x:v>-15.33</x:v>
      </x:c>
      <x:c r="AQ325" s="64" t="n">
        <x:f>-ROUND(AK325*'Drivers'!T325,3)</x:f>
        <x:v>-4.272</x:v>
      </x:c>
      <x:c r="AR325" s="64" t="n">
        <x:f>-ROUND(AK325*'Drivers'!U325,3)</x:f>
        <x:v>-8.423</x:v>
      </x:c>
      <x:c r="AS325" s="64" t="n">
        <x:f>-ROUND(AK325*'Drivers'!V325,3)</x:f>
        <x:v>-37.341</x:v>
      </x:c>
      <x:c r="AT325" s="64" t="n">
        <x:f>SUM(AO325:AS325)</x:f>
        <x:v>-553.713</x:v>
      </x:c>
      <x:c r="AU325" s="65" t="n">
        <x:f>AT325/AK325</x:f>
        <x:v>-0.5547414907238019</x:v>
      </x:c>
      <x:c r="AV325" s="64" t="n">
        <x:f>AK325+AT325</x:f>
        <x:v>444.4330000000001</x:v>
      </x:c>
      <x:c r="AW325" s="65" t="n">
        <x:f>AV325/AK325</x:f>
        <x:v>0.44525850927619814</x:v>
      </x:c>
      <x:c r="AX325" s="64" t="n">
        <x:f>-ROUND(AK325*'Drivers'!W325,3)</x:f>
        <x:v>-13.362</x:v>
      </x:c>
      <x:c r="AY325" s="64" t="n">
        <x:f>-ROUND(AK325*'Drivers'!X325,3)</x:f>
        <x:v>-19.094</x:v>
      </x:c>
      <x:c r="AZ325" s="64" t="n">
        <x:f>-ROUND(AK325*'Drivers'!Y325,3)</x:f>
        <x:v>-21.737</x:v>
      </x:c>
      <x:c r="BA325" s="64" t="n">
        <x:f>-ROUND(AK325*'Drivers'!Z325,3)</x:f>
        <x:v>-5.741</x:v>
      </x:c>
      <x:c r="BB325" s="64" t="n">
        <x:f>-ROUND(AK325*'Drivers'!AA325,3)</x:f>
        <x:v>-6.45</x:v>
      </x:c>
      <x:c r="BC325" s="64" t="n">
        <x:f>SUM(BA325,BB325)</x:f>
        <x:v>-12.190999999999999</x:v>
      </x:c>
      <x:c r="BD325" s="64" t="n">
        <x:f>-ROUND(AK325*'Drivers'!AB325,3)</x:f>
        <x:v>-3.98</x:v>
      </x:c>
      <x:c r="BE325" s="64" t="n">
        <x:f>SUM(AX325:BB325,BD325)</x:f>
        <x:v>-70.364</x:v>
      </x:c>
      <x:c r="BF325" s="67" t="n">
        <x:f>'Drivers'!AF325</x:f>
        <x:v>7</x:v>
      </x:c>
      <x:c r="BG325" s="64" t="n">
        <x:f>BJ325</x:f>
        <x:v>-19.259</x:v>
      </x:c>
      <x:c r="BH325" s="64" t="n">
        <x:f>BE325/BF325</x:f>
        <x:v>-10.052000000000001</x:v>
      </x:c>
      <x:c r="BI325" s="68" t="n">
        <x:f>BF325/L325</x:f>
        <x:v>1.75</x:v>
      </x:c>
      <x:c r="BJ325" s="64" t="n">
        <x:f>-ROUND(AK325*'Drivers'!AC325,3)</x:f>
        <x:v>-19.259</x:v>
      </x:c>
      <x:c r="BK325" s="64" t="n">
        <x:f>-ROUND(AK325*'Drivers'!AD325,3)</x:f>
        <x:v>-111.192</x:v>
      </x:c>
      <x:c r="BL325" s="64" t="n">
        <x:f>SUM(AV325,BE325,BJ325,BK325)</x:f>
        <x:v>243.61800000000005</x:v>
      </x:c>
      <x:c r="BM325" s="65" t="n">
        <x:f>BL325/AK325</x:f>
        <x:v>0.2440705067194579</x:v>
      </x:c>
      <x:c r="BN325" s="64" t="n">
        <x:f>-ROUND(AK325*'Drivers'!AE325,3)</x:f>
        <x:v>-76.241</x:v>
      </x:c>
      <x:c r="BO325" s="64" t="n">
        <x:f>BL325+BN325</x:f>
        <x:v>167.37700000000007</x:v>
      </x:c>
      <x:c r="BP325" s="65" t="n">
        <x:f>BO325/AK325</x:f>
        <x:v>0.1676878933542789</x:v>
      </x:c>
    </x:row>
    <x:row r="326">
      <x:c r="A326" s="61" t="n">
        <x:v>2025</x:v>
      </x:c>
      <x:c r="B326" s="18" t="str">
        <x:v>S1</x:v>
      </x:c>
      <x:c r="C326" s="18" t="str">
        <x:v>2025 S1</x:v>
      </x:c>
      <x:c r="D326" s="18" t="str">
        <x:v>CNCT0082</x:v>
      </x:c>
      <x:c r="E326" s="18" t="str">
        <x:v>西安SKP</x:v>
      </x:c>
      <x:c r="F326" s="18" t="str">
        <x:v>西安</x:v>
      </x:c>
      <x:c r="G326" s="18" t="str">
        <x:v>陕西省</x:v>
      </x:c>
      <x:c r="H326" s="18" t="str">
        <x:v>西区</x:v>
      </x:c>
      <x:c r="I326" s="18" t="str">
        <x:v>Shopping Mall</x:v>
      </x:c>
      <x:c r="J326" s="18" t="str">
        <x:v>Prestige Shopping Center</x:v>
      </x:c>
      <x:c r="K326" s="18" t="str">
        <x:v>正常</x:v>
      </x:c>
      <x:c r="L326" s="62" t="n">
        <x:v>4</x:v>
      </x:c>
      <x:c r="M326" s="62" t="n">
        <x:v>45</x:v>
      </x:c>
      <x:c r="N326" s="63" t="n">
        <x:f>'Drivers'!C326</x:f>
        <x:v>1905</x:v>
      </x:c>
      <x:c r="O326" s="63" t="n">
        <x:f>'Drivers'!D326</x:f>
        <x:v>1165.476</x:v>
      </x:c>
      <x:c r="P326" s="64" t="n">
        <x:f>ROUND(N326*O326/1000,3)</x:f>
        <x:v>2220.232</x:v>
      </x:c>
      <x:c r="Q326" s="64" t="n">
        <x:f>ROUND(P326*'Drivers'!E326,3)</x:f>
        <x:v>2136.439</x:v>
      </x:c>
      <x:c r="R326" s="64" t="n">
        <x:f>-ROUND(Q326*'Drivers'!F326,3)</x:f>
        <x:v>-444.449</x:v>
      </x:c>
      <x:c r="S326" s="65" t="n">
        <x:f>R326/Q326</x:f>
        <x:v>-0.20803261876421467</x:v>
      </x:c>
      <x:c r="T326" s="64" t="n">
        <x:f>-ROUND(Q326*'Drivers'!G326,3)</x:f>
        <x:v>-24.286</x:v>
      </x:c>
      <x:c r="U326" s="65" t="n">
        <x:f>T326/Q326</x:f>
        <x:v>-0.01136751388642503</x:v>
      </x:c>
      <x:c r="V326" s="64" t="n">
        <x:f>-ROUND(Q326*'Drivers'!H326,3)</x:f>
        <x:v>-17.804</x:v>
      </x:c>
      <x:c r="W326" s="64" t="n">
        <x:f>-ROUND(Q326*'Drivers'!I326,3)</x:f>
        <x:v>-13.344</x:v>
      </x:c>
      <x:c r="X326" s="64" t="n">
        <x:f>-ROUND(Q326*'Drivers'!J326,3)</x:f>
        <x:v>-25.691</x:v>
      </x:c>
      <x:c r="Y326" s="64" t="n">
        <x:f>-ROUND(Q326*'Drivers'!K326,3)</x:f>
        <x:v>-23.685</x:v>
      </x:c>
      <x:c r="Z326" s="64" t="n">
        <x:f>-ROUND(Q326*'Drivers'!L326,3)</x:f>
        <x:v>-18.131</x:v>
      </x:c>
      <x:c r="AA326" s="64" t="n">
        <x:f>-ROUND(Q326*'Drivers'!M326,3)</x:f>
        <x:v>-15.299</x:v>
      </x:c>
      <x:c r="AB326" s="64" t="n">
        <x:f>-ROUND(Q326*'Drivers'!N326,3)</x:f>
        <x:v>-12.424</x:v>
      </x:c>
      <x:c r="AC326" s="64" t="n">
        <x:f>SUM(V326:AB326)</x:f>
        <x:v>-126.37800000000001</x:v>
      </x:c>
      <x:c r="AD326" s="65" t="n">
        <x:f>AC326/Q326</x:f>
        <x:v>-0.05915357283779225</x:v>
      </x:c>
      <x:c r="AE326" s="64" t="n">
        <x:f>-ROUND(Q326*'Drivers'!O326,3)</x:f>
        <x:v>-19.933</x:v>
      </x:c>
      <x:c r="AF326" s="65" t="n">
        <x:f>AE326/Q326</x:f>
        <x:v>-0.009330011294495186</x:v>
      </x:c>
      <x:c r="AG326" s="64" t="n">
        <x:f>-ROUND(Q326*'Drivers'!P326,3)</x:f>
        <x:v>-2.471</x:v>
      </x:c>
      <x:c r="AH326" s="64" t="n">
        <x:f>-ROUND(Q326*'Drivers'!Q326,3)</x:f>
        <x:v>-11.589</x:v>
      </x:c>
      <x:c r="AI326" s="64" t="n">
        <x:f>SUM(R326,T326,AC326,AE326,AG326,AH326)</x:f>
        <x:v>-629.1060000000001</x:v>
      </x:c>
      <x:c r="AJ326" s="65" t="n">
        <x:f>AI326/Q326</x:f>
        <x:v>-0.29446476122182763</x:v>
      </x:c>
      <x:c r="AK326" s="64" t="n">
        <x:f>Q326+AI326</x:f>
        <x:v>1507.3329999999996</x:v>
      </x:c>
      <x:c r="AL326" s="65" t="n">
        <x:f>AK326/Q326</x:f>
        <x:v>0.7055352387781724</x:v>
      </x:c>
      <x:c r="AM326" s="64" t="n">
        <x:f>AK326/L326</x:f>
        <x:v>376.8332499999999</x:v>
      </x:c>
      <x:c r="AN326" s="66" t="str">
        <x:f>IF(AM326&lt;=200,"≤200K",IF(AM326&lt;=350,"200–350K",IF(AM326&lt;=500,"350–500K",IF(AM326&lt;=700,"500–700K","&gt;700K"))))</x:f>
        <x:v>350–500K</x:v>
      </x:c>
      <x:c r="AO326" s="64" t="n">
        <x:f>-ROUND(Q326*'Drivers'!R326,3)</x:f>
        <x:v>-766.648</x:v>
      </x:c>
      <x:c r="AP326" s="64" t="n">
        <x:f>-ROUND(AK326*'Drivers'!S326,3)</x:f>
        <x:v>-17.799</x:v>
      </x:c>
      <x:c r="AQ326" s="64" t="n">
        <x:f>-ROUND(AK326*'Drivers'!T326,3)</x:f>
        <x:v>-7.605</x:v>
      </x:c>
      <x:c r="AR326" s="64" t="n">
        <x:f>-ROUND(AK326*'Drivers'!U326,3)</x:f>
        <x:v>-16.655</x:v>
      </x:c>
      <x:c r="AS326" s="64" t="n">
        <x:f>-ROUND(AK326*'Drivers'!V326,3)</x:f>
        <x:v>-54.626</x:v>
      </x:c>
      <x:c r="AT326" s="64" t="n">
        <x:f>SUM(AO326:AS326)</x:f>
        <x:v>-863.333</x:v>
      </x:c>
      <x:c r="AU326" s="65" t="n">
        <x:f>AT326/AK326</x:f>
        <x:v>-0.5727553234753039</x:v>
      </x:c>
      <x:c r="AV326" s="64" t="n">
        <x:f>AK326+AT326</x:f>
        <x:v>643.9999999999997</x:v>
      </x:c>
      <x:c r="AW326" s="65" t="n">
        <x:f>AV326/AK326</x:f>
        <x:v>0.42724467652469617</x:v>
      </x:c>
      <x:c r="AX326" s="64" t="n">
        <x:f>-ROUND(AK326*'Drivers'!W326,3)</x:f>
        <x:v>-20.565</x:v>
      </x:c>
      <x:c r="AY326" s="64" t="n">
        <x:f>-ROUND(AK326*'Drivers'!X326,3)</x:f>
        <x:v>-29.66</x:v>
      </x:c>
      <x:c r="AZ326" s="64" t="n">
        <x:f>-ROUND(AK326*'Drivers'!Y326,3)</x:f>
        <x:v>-27.98</x:v>
      </x:c>
      <x:c r="BA326" s="64" t="n">
        <x:f>-ROUND(AK326*'Drivers'!Z326,3)</x:f>
        <x:v>-6.614</x:v>
      </x:c>
      <x:c r="BB326" s="64" t="n">
        <x:f>-ROUND(AK326*'Drivers'!AA326,3)</x:f>
        <x:v>-12.996</x:v>
      </x:c>
      <x:c r="BC326" s="64" t="n">
        <x:f>SUM(BA326,BB326)</x:f>
        <x:v>-19.61</x:v>
      </x:c>
      <x:c r="BD326" s="64" t="n">
        <x:f>-ROUND(AK326*'Drivers'!AB326,3)</x:f>
        <x:v>-8.264</x:v>
      </x:c>
      <x:c r="BE326" s="64" t="n">
        <x:f>SUM(AX326:BB326,BD326)</x:f>
        <x:v>-106.079</x:v>
      </x:c>
      <x:c r="BF326" s="67" t="n">
        <x:f>'Drivers'!AF326</x:f>
        <x:v>8</x:v>
      </x:c>
      <x:c r="BG326" s="64" t="n">
        <x:f>BJ326</x:f>
        <x:v>-27.659</x:v>
      </x:c>
      <x:c r="BH326" s="64" t="n">
        <x:f>BE326/BF326</x:f>
        <x:v>-13.259875</x:v>
      </x:c>
      <x:c r="BI326" s="68" t="n">
        <x:f>BF326/L326</x:f>
        <x:v>2</x:v>
      </x:c>
      <x:c r="BJ326" s="64" t="n">
        <x:f>-ROUND(AK326*'Drivers'!AC326,3)</x:f>
        <x:v>-27.659</x:v>
      </x:c>
      <x:c r="BK326" s="64" t="n">
        <x:f>-ROUND(AK326*'Drivers'!AD326,3)</x:f>
        <x:v>-169.445</x:v>
      </x:c>
      <x:c r="BL326" s="64" t="n">
        <x:f>SUM(AV326,BE326,BJ326,BK326)</x:f>
        <x:v>340.8169999999997</x:v>
      </x:c>
      <x:c r="BM326" s="65" t="n">
        <x:f>BL326/AK326</x:f>
        <x:v>0.22610597658248033</x:v>
      </x:c>
      <x:c r="BN326" s="64" t="n">
        <x:f>-ROUND(AK326*'Drivers'!AE326,3)</x:f>
        <x:v>-101.037</x:v>
      </x:c>
      <x:c r="BO326" s="64" t="n">
        <x:f>BL326+BN326</x:f>
        <x:v>239.77999999999972</x:v>
      </x:c>
      <x:c r="BP326" s="65" t="n">
        <x:f>BO326/AK326</x:f>
        <x:v>0.1590756654302664</x:v>
      </x:c>
    </x:row>
    <x:row r="327">
      <x:c r="A327" s="61" t="n">
        <x:v>2025</x:v>
      </x:c>
      <x:c r="B327" s="18" t="str">
        <x:v>S2</x:v>
      </x:c>
      <x:c r="C327" s="18" t="str">
        <x:v>2025 S2</x:v>
      </x:c>
      <x:c r="D327" s="18" t="str">
        <x:v>CNCT0082</x:v>
      </x:c>
      <x:c r="E327" s="18" t="str">
        <x:v>西安SKP</x:v>
      </x:c>
      <x:c r="F327" s="18" t="str">
        <x:v>西安</x:v>
      </x:c>
      <x:c r="G327" s="18" t="str">
        <x:v>陕西省</x:v>
      </x:c>
      <x:c r="H327" s="18" t="str">
        <x:v>西区</x:v>
      </x:c>
      <x:c r="I327" s="18" t="str">
        <x:v>Shopping Mall</x:v>
      </x:c>
      <x:c r="J327" s="18" t="str">
        <x:v>Prestige Shopping Center</x:v>
      </x:c>
      <x:c r="K327" s="18" t="str">
        <x:v>正常</x:v>
      </x:c>
      <x:c r="L327" s="62" t="n">
        <x:v>4</x:v>
      </x:c>
      <x:c r="M327" s="62" t="n">
        <x:v>45</x:v>
      </x:c>
      <x:c r="N327" s="63" t="n">
        <x:f>'Drivers'!C327</x:f>
        <x:v>2082</x:v>
      </x:c>
      <x:c r="O327" s="63" t="n">
        <x:f>'Drivers'!D327</x:f>
        <x:v>1179.462</x:v>
      </x:c>
      <x:c r="P327" s="64" t="n">
        <x:f>ROUND(N327*O327/1000,3)</x:f>
        <x:v>2455.64</x:v>
      </x:c>
      <x:c r="Q327" s="64" t="n">
        <x:f>ROUND(P327*'Drivers'!E327,3)</x:f>
        <x:v>2380.821</x:v>
      </x:c>
      <x:c r="R327" s="64" t="n">
        <x:f>-ROUND(Q327*'Drivers'!F327,3)</x:f>
        <x:v>-495.289</x:v>
      </x:c>
      <x:c r="S327" s="65" t="n">
        <x:f>R327/Q327</x:f>
        <x:v>-0.20803285925317358</x:v>
      </x:c>
      <x:c r="T327" s="64" t="n">
        <x:f>-ROUND(Q327*'Drivers'!G327,3)</x:f>
        <x:v>-27.064</x:v>
      </x:c>
      <x:c r="U327" s="65" t="n">
        <x:f>T327/Q327</x:f>
        <x:v>-0.011367507259050554</x:v>
      </x:c>
      <x:c r="V327" s="64" t="n">
        <x:f>-ROUND(Q327*'Drivers'!H327,3)</x:f>
        <x:v>-19.84</x:v>
      </x:c>
      <x:c r="W327" s="64" t="n">
        <x:f>-ROUND(Q327*'Drivers'!I327,3)</x:f>
        <x:v>-14.871</x:v>
      </x:c>
      <x:c r="X327" s="64" t="n">
        <x:f>-ROUND(Q327*'Drivers'!J327,3)</x:f>
        <x:v>-28.629</x:v>
      </x:c>
      <x:c r="Y327" s="64" t="n">
        <x:f>-ROUND(Q327*'Drivers'!K327,3)</x:f>
        <x:v>-26.394</x:v>
      </x:c>
      <x:c r="Z327" s="64" t="n">
        <x:f>-ROUND(Q327*'Drivers'!L327,3)</x:f>
        <x:v>-20.205</x:v>
      </x:c>
      <x:c r="AA327" s="64" t="n">
        <x:f>-ROUND(Q327*'Drivers'!M327,3)</x:f>
        <x:v>-17.049</x:v>
      </x:c>
      <x:c r="AB327" s="64" t="n">
        <x:f>-ROUND(Q327*'Drivers'!N327,3)</x:f>
        <x:v>-13.845</x:v>
      </x:c>
      <x:c r="AC327" s="64" t="n">
        <x:f>SUM(V327:AB327)</x:f>
        <x:v>-140.833</x:v>
      </x:c>
      <x:c r="AD327" s="65" t="n">
        <x:f>AC327/Q327</x:f>
        <x:v>-0.05915312406938615</x:v>
      </x:c>
      <x:c r="AE327" s="64" t="n">
        <x:f>-ROUND(Q327*'Drivers'!O327,3)</x:f>
        <x:v>-22.213</x:v>
      </x:c>
      <x:c r="AF327" s="65" t="n">
        <x:f>AE327/Q327</x:f>
        <x:v>-0.00932997482801101</x:v>
      </x:c>
      <x:c r="AG327" s="64" t="n">
        <x:f>-ROUND(Q327*'Drivers'!P327,3)</x:f>
        <x:v>-2.753</x:v>
      </x:c>
      <x:c r="AH327" s="64" t="n">
        <x:f>-ROUND(Q327*'Drivers'!Q327,3)</x:f>
        <x:v>-12.915</x:v>
      </x:c>
      <x:c r="AI327" s="64" t="n">
        <x:f>SUM(R327,T327,AC327,AE327,AG327,AH327)</x:f>
        <x:v>-701.0669999999999</x:v>
      </x:c>
      <x:c r="AJ327" s="65" t="n">
        <x:f>AI327/Q327</x:f>
        <x:v>-0.2944643885449599</x:v>
      </x:c>
      <x:c r="AK327" s="64" t="n">
        <x:f>Q327+AI327</x:f>
        <x:v>1679.754</x:v>
      </x:c>
      <x:c r="AL327" s="65" t="n">
        <x:f>AK327/Q327</x:f>
        <x:v>0.7055356114550401</x:v>
      </x:c>
      <x:c r="AM327" s="64" t="n">
        <x:f>AK327/L327</x:f>
        <x:v>419.9385</x:v>
      </x:c>
      <x:c r="AN327" s="66" t="str">
        <x:f>IF(AM327&lt;=200,"≤200K",IF(AM327&lt;=350,"200–350K",IF(AM327&lt;=500,"350–500K",IF(AM327&lt;=700,"500–700K","&gt;700K"))))</x:f>
        <x:v>350–500K</x:v>
      </x:c>
      <x:c r="AO327" s="64" t="n">
        <x:f>-ROUND(Q327*'Drivers'!R327,3)</x:f>
        <x:v>-862.285</x:v>
      </x:c>
      <x:c r="AP327" s="64" t="n">
        <x:f>-ROUND(AK327*'Drivers'!S327,3)</x:f>
        <x:v>-19.835</x:v>
      </x:c>
      <x:c r="AQ327" s="64" t="n">
        <x:f>-ROUND(AK327*'Drivers'!T327,3)</x:f>
        <x:v>-8.474</x:v>
      </x:c>
      <x:c r="AR327" s="64" t="n">
        <x:f>-ROUND(AK327*'Drivers'!U327,3)</x:f>
        <x:v>-18.56</x:v>
      </x:c>
      <x:c r="AS327" s="64" t="n">
        <x:f>-ROUND(AK327*'Drivers'!V327,3)</x:f>
        <x:v>-60.874</x:v>
      </x:c>
      <x:c r="AT327" s="64" t="n">
        <x:f>SUM(AO327:AS327)</x:f>
        <x:v>-970.028</x:v>
      </x:c>
      <x:c r="AU327" s="65" t="n">
        <x:f>AT327/AK327</x:f>
        <x:v>-0.5774821789381065</x:v>
      </x:c>
      <x:c r="AV327" s="64" t="n">
        <x:f>AK327+AT327</x:f>
        <x:v>709.7259999999999</x:v>
      </x:c>
      <x:c r="AW327" s="65" t="n">
        <x:f>AV327/AK327</x:f>
        <x:v>0.42251782106189356</x:v>
      </x:c>
      <x:c r="AX327" s="64" t="n">
        <x:f>-ROUND(AK327*'Drivers'!W327,3)</x:f>
        <x:v>-22.917</x:v>
      </x:c>
      <x:c r="AY327" s="64" t="n">
        <x:f>-ROUND(AK327*'Drivers'!X327,3)</x:f>
        <x:v>-33.052</x:v>
      </x:c>
      <x:c r="AZ327" s="64" t="n">
        <x:f>-ROUND(AK327*'Drivers'!Y327,3)</x:f>
        <x:v>-31.181</x:v>
      </x:c>
      <x:c r="BA327" s="64" t="n">
        <x:f>-ROUND(AK327*'Drivers'!Z327,3)</x:f>
        <x:v>-7.371</x:v>
      </x:c>
      <x:c r="BB327" s="64" t="n">
        <x:f>-ROUND(AK327*'Drivers'!AA327,3)</x:f>
        <x:v>-14.483</x:v>
      </x:c>
      <x:c r="BC327" s="64" t="n">
        <x:f>SUM(BA327,BB327)</x:f>
        <x:v>-21.854</x:v>
      </x:c>
      <x:c r="BD327" s="64" t="n">
        <x:f>-ROUND(AK327*'Drivers'!AB327,3)</x:f>
        <x:v>-9.21</x:v>
      </x:c>
      <x:c r="BE327" s="64" t="n">
        <x:f>SUM(AX327:BB327,BD327)</x:f>
        <x:v>-118.214</x:v>
      </x:c>
      <x:c r="BF327" s="67" t="n">
        <x:f>'Drivers'!AF327</x:f>
        <x:v>8</x:v>
      </x:c>
      <x:c r="BG327" s="64" t="n">
        <x:f>BJ327</x:f>
        <x:v>-30.823</x:v>
      </x:c>
      <x:c r="BH327" s="64" t="n">
        <x:f>BE327/BF327</x:f>
        <x:v>-14.77675</x:v>
      </x:c>
      <x:c r="BI327" s="68" t="n">
        <x:f>BF327/L327</x:f>
        <x:v>2</x:v>
      </x:c>
      <x:c r="BJ327" s="64" t="n">
        <x:f>-ROUND(AK327*'Drivers'!AC327,3)</x:f>
        <x:v>-30.823</x:v>
      </x:c>
      <x:c r="BK327" s="64" t="n">
        <x:f>-ROUND(AK327*'Drivers'!AD327,3)</x:f>
        <x:v>-188.828</x:v>
      </x:c>
      <x:c r="BL327" s="64" t="n">
        <x:f>SUM(AV327,BE327,BJ327,BK327)</x:f>
        <x:v>371.861</x:v>
      </x:c>
      <x:c r="BM327" s="65" t="n">
        <x:f>BL327/AK327</x:f>
        <x:v>0.22137824943414333</x:v>
      </x:c>
      <x:c r="BN327" s="64" t="n">
        <x:f>-ROUND(AK327*'Drivers'!AE327,3)</x:f>
        <x:v>-112.595</x:v>
      </x:c>
      <x:c r="BO327" s="64" t="n">
        <x:f>BL327+BN327</x:f>
        <x:v>259.26599999999996</x:v>
      </x:c>
      <x:c r="BP327" s="65" t="n">
        <x:f>BO327/AK327</x:f>
        <x:v>0.154347600898703</x:v>
      </x:c>
    </x:row>
    <x:row r="328">
      <x:c r="A328" s="61" t="n">
        <x:v>2026</x:v>
      </x:c>
      <x:c r="B328" s="18" t="str">
        <x:v>S1</x:v>
      </x:c>
      <x:c r="C328" s="18" t="str">
        <x:v>2026 S1</x:v>
      </x:c>
      <x:c r="D328" s="18" t="str">
        <x:v>CNCT0082</x:v>
      </x:c>
      <x:c r="E328" s="18" t="str">
        <x:v>西安SKP</x:v>
      </x:c>
      <x:c r="F328" s="18" t="str">
        <x:v>西安</x:v>
      </x:c>
      <x:c r="G328" s="18" t="str">
        <x:v>陕西省</x:v>
      </x:c>
      <x:c r="H328" s="18" t="str">
        <x:v>西区</x:v>
      </x:c>
      <x:c r="I328" s="18" t="str">
        <x:v>Shopping Mall</x:v>
      </x:c>
      <x:c r="J328" s="18" t="str">
        <x:v>Prestige Shopping Center</x:v>
      </x:c>
      <x:c r="K328" s="18" t="str">
        <x:v>正常</x:v>
      </x:c>
      <x:c r="L328" s="62" t="n">
        <x:v>4</x:v>
      </x:c>
      <x:c r="M328" s="62" t="n">
        <x:v>45</x:v>
      </x:c>
      <x:c r="N328" s="63" t="n">
        <x:f>'Drivers'!C328</x:f>
        <x:v>2084</x:v>
      </x:c>
      <x:c r="O328" s="63" t="n">
        <x:f>'Drivers'!D328</x:f>
        <x:v>1208.897</x:v>
      </x:c>
      <x:c r="P328" s="64" t="n">
        <x:f>ROUND(N328*O328/1000,3)</x:f>
        <x:v>2519.341</x:v>
      </x:c>
      <x:c r="Q328" s="64" t="n">
        <x:f>ROUND(P328*'Drivers'!E328,3)</x:f>
        <x:v>2415.551</x:v>
      </x:c>
      <x:c r="R328" s="64" t="n">
        <x:f>-ROUND(Q328*'Drivers'!F328,3)</x:f>
        <x:v>-612.207</x:v>
      </x:c>
      <x:c r="S328" s="65" t="n">
        <x:f>R328/Q328</x:f>
        <x:v>-0.25344403823392675</x:v>
      </x:c>
      <x:c r="T328" s="64" t="n">
        <x:f>-ROUND(Q328*'Drivers'!G328,3)</x:f>
        <x:v>-24.796</x:v>
      </x:c>
      <x:c r="U328" s="65" t="n">
        <x:f>T328/Q328</x:f>
        <x:v>-0.010265152753967935</x:v>
      </x:c>
      <x:c r="V328" s="64" t="n">
        <x:f>-ROUND(Q328*'Drivers'!H328,3)</x:f>
        <x:v>-20.13</x:v>
      </x:c>
      <x:c r="W328" s="64" t="n">
        <x:f>-ROUND(Q328*'Drivers'!I328,3)</x:f>
        <x:v>-15.088</x:v>
      </x:c>
      <x:c r="X328" s="64" t="n">
        <x:f>-ROUND(Q328*'Drivers'!J328,3)</x:f>
        <x:v>-29.047</x:v>
      </x:c>
      <x:c r="Y328" s="64" t="n">
        <x:f>-ROUND(Q328*'Drivers'!K328,3)</x:f>
        <x:v>-26.779</x:v>
      </x:c>
      <x:c r="Z328" s="64" t="n">
        <x:f>-ROUND(Q328*'Drivers'!L328,3)</x:f>
        <x:v>-20.5</x:v>
      </x:c>
      <x:c r="AA328" s="64" t="n">
        <x:f>-ROUND(Q328*'Drivers'!M328,3)</x:f>
        <x:v>-17.297</x:v>
      </x:c>
      <x:c r="AB328" s="64" t="n">
        <x:f>-ROUND(Q328*'Drivers'!N328,3)</x:f>
        <x:v>-14.047</x:v>
      </x:c>
      <x:c r="AC328" s="64" t="n">
        <x:f>SUM(V328:AB328)</x:f>
        <x:v>-142.888</x:v>
      </x:c>
      <x:c r="AD328" s="65" t="n">
        <x:f>AC328/Q328</x:f>
        <x:v>-0.059153377428172706</x:v>
      </x:c>
      <x:c r="AE328" s="64" t="n">
        <x:f>-ROUND(Q328*'Drivers'!O328,3)</x:f>
        <x:v>-26.174</x:v>
      </x:c>
      <x:c r="AF328" s="65" t="n">
        <x:f>AE328/Q328</x:f>
        <x:v>-0.010835623011064556</x:v>
      </x:c>
      <x:c r="AG328" s="64" t="n">
        <x:f>-ROUND(Q328*'Drivers'!P328,3)</x:f>
        <x:v>-2.794</x:v>
      </x:c>
      <x:c r="AH328" s="64" t="n">
        <x:f>-ROUND(Q328*'Drivers'!Q328,3)</x:f>
        <x:v>-13.103</x:v>
      </x:c>
      <x:c r="AI328" s="64" t="n">
        <x:f>SUM(R328,T328,AC328,AE328,AG328,AH328)</x:f>
        <x:v>-821.962</x:v>
      </x:c>
      <x:c r="AJ328" s="65" t="n">
        <x:f>AI328/Q328</x:f>
        <x:v>-0.3402792985948134</x:v>
      </x:c>
      <x:c r="AK328" s="64" t="n">
        <x:f>Q328+AI328</x:f>
        <x:v>1593.589</x:v>
      </x:c>
      <x:c r="AL328" s="65" t="n">
        <x:f>AK328/Q328</x:f>
        <x:v>0.6597207014051867</x:v>
      </x:c>
      <x:c r="AM328" s="64" t="n">
        <x:f>AK328/L328</x:f>
        <x:v>398.39725</x:v>
      </x:c>
      <x:c r="AN328" s="66" t="str">
        <x:f>IF(AM328&lt;=200,"≤200K",IF(AM328&lt;=350,"200–350K",IF(AM328&lt;=500,"350–500K",IF(AM328&lt;=700,"500–700K","&gt;700K"))))</x:f>
        <x:v>350–500K</x:v>
      </x:c>
      <x:c r="AO328" s="64" t="n">
        <x:f>-ROUND(Q328*'Drivers'!R328,3)</x:f>
        <x:v>-859.848</x:v>
      </x:c>
      <x:c r="AP328" s="64" t="n">
        <x:f>-ROUND(AK328*'Drivers'!S328,3)</x:f>
        <x:v>-18.818</x:v>
      </x:c>
      <x:c r="AQ328" s="64" t="n">
        <x:f>-ROUND(AK328*'Drivers'!T328,3)</x:f>
        <x:v>-8.04</x:v>
      </x:c>
      <x:c r="AR328" s="64" t="n">
        <x:f>-ROUND(AK328*'Drivers'!U328,3)</x:f>
        <x:v>-17.608</x:v>
      </x:c>
      <x:c r="AS328" s="64" t="n">
        <x:f>-ROUND(AK328*'Drivers'!V328,3)</x:f>
        <x:v>-57.752</x:v>
      </x:c>
      <x:c r="AT328" s="64" t="n">
        <x:f>SUM(AO328:AS328)</x:f>
        <x:v>-962.0659999999998</x:v>
      </x:c>
      <x:c r="AU328" s="65" t="n">
        <x:f>AT328/AK328</x:f>
        <x:v>-0.6037102414738053</x:v>
      </x:c>
      <x:c r="AV328" s="64" t="n">
        <x:f>AK328+AT328</x:f>
        <x:v>631.5230000000001</x:v>
      </x:c>
      <x:c r="AW328" s="65" t="n">
        <x:f>AV328/AK328</x:f>
        <x:v>0.39628975852619475</x:v>
      </x:c>
      <x:c r="AX328" s="64" t="n">
        <x:f>-ROUND(AK328*'Drivers'!W328,3)</x:f>
        <x:v>-26.752</x:v>
      </x:c>
      <x:c r="AY328" s="64" t="n">
        <x:f>-ROUND(AK328*'Drivers'!X328,3)</x:f>
        <x:v>-38.583</x:v>
      </x:c>
      <x:c r="AZ328" s="64" t="n">
        <x:f>-ROUND(AK328*'Drivers'!Y328,3)</x:f>
        <x:v>-36.398</x:v>
      </x:c>
      <x:c r="BA328" s="64" t="n">
        <x:f>-ROUND(AK328*'Drivers'!Z328,3)</x:f>
        <x:v>-8.604</x:v>
      </x:c>
      <x:c r="BB328" s="64" t="n">
        <x:f>-ROUND(AK328*'Drivers'!AA328,3)</x:f>
        <x:v>-16.906</x:v>
      </x:c>
      <x:c r="BC328" s="64" t="n">
        <x:f>SUM(BA328,BB328)</x:f>
        <x:v>-25.509999999999998</x:v>
      </x:c>
      <x:c r="BD328" s="64" t="n">
        <x:f>-ROUND(AK328*'Drivers'!AB328,3)</x:f>
        <x:v>-10.751</x:v>
      </x:c>
      <x:c r="BE328" s="64" t="n">
        <x:f>SUM(AX328:BB328,BD328)</x:f>
        <x:v>-137.994</x:v>
      </x:c>
      <x:c r="BF328" s="67" t="n">
        <x:f>'Drivers'!AF328</x:f>
        <x:v>8</x:v>
      </x:c>
      <x:c r="BG328" s="64" t="n">
        <x:f>BJ328</x:f>
        <x:v>-35.98</x:v>
      </x:c>
      <x:c r="BH328" s="64" t="n">
        <x:f>BE328/BF328</x:f>
        <x:v>-17.24925</x:v>
      </x:c>
      <x:c r="BI328" s="68" t="n">
        <x:f>BF328/L328</x:f>
        <x:v>2</x:v>
      </x:c>
      <x:c r="BJ328" s="64" t="n">
        <x:f>-ROUND(AK328*'Drivers'!AC328,3)</x:f>
        <x:v>-35.98</x:v>
      </x:c>
      <x:c r="BK328" s="64" t="n">
        <x:f>-ROUND(AK328*'Drivers'!AD328,3)</x:f>
        <x:v>-179.142</x:v>
      </x:c>
      <x:c r="BL328" s="64" t="n">
        <x:f>SUM(AV328,BE328,BJ328,BK328)</x:f>
        <x:v>278.4070000000001</x:v>
      </x:c>
      <x:c r="BM328" s="65" t="n">
        <x:f>BL328/AK328</x:f>
        <x:v>0.17470439366737603</x:v>
      </x:c>
      <x:c r="BN328" s="64" t="n">
        <x:f>-ROUND(AK328*'Drivers'!AE328,3)</x:f>
        <x:v>-106.819</x:v>
      </x:c>
      <x:c r="BO328" s="64" t="n">
        <x:f>BL328+BN328</x:f>
        <x:v>171.58800000000008</x:v>
      </x:c>
      <x:c r="BP328" s="65" t="n">
        <x:f>BO328/AK328</x:f>
        <x:v>0.10767393600231935</x:v>
      </x:c>
    </x:row>
    <x:row r="329">
      <x:c r="A329" s="61" t="n">
        <x:v>2026</x:v>
      </x:c>
      <x:c r="B329" s="18" t="str">
        <x:v>S2</x:v>
      </x:c>
      <x:c r="C329" s="18" t="str">
        <x:v>2026 S2</x:v>
      </x:c>
      <x:c r="D329" s="18" t="str">
        <x:v>CNCT0082</x:v>
      </x:c>
      <x:c r="E329" s="18" t="str">
        <x:v>西安SKP</x:v>
      </x:c>
      <x:c r="F329" s="18" t="str">
        <x:v>西安</x:v>
      </x:c>
      <x:c r="G329" s="18" t="str">
        <x:v>陕西省</x:v>
      </x:c>
      <x:c r="H329" s="18" t="str">
        <x:v>西区</x:v>
      </x:c>
      <x:c r="I329" s="18" t="str">
        <x:v>Shopping Mall</x:v>
      </x:c>
      <x:c r="J329" s="18" t="str">
        <x:v>Prestige Shopping Center</x:v>
      </x:c>
      <x:c r="K329" s="18" t="str">
        <x:v>正常</x:v>
      </x:c>
      <x:c r="L329" s="62" t="n">
        <x:v>4</x:v>
      </x:c>
      <x:c r="M329" s="62" t="n">
        <x:v>45</x:v>
      </x:c>
      <x:c r="N329" s="63" t="n">
        <x:f>'Drivers'!C329</x:f>
        <x:v>2204</x:v>
      </x:c>
      <x:c r="O329" s="63" t="n">
        <x:f>'Drivers'!D329</x:f>
        <x:v>1219.698</x:v>
      </x:c>
      <x:c r="P329" s="64" t="n">
        <x:f>ROUND(N329*O329/1000,3)</x:f>
        <x:v>2688.214</x:v>
      </x:c>
      <x:c r="Q329" s="64" t="n">
        <x:f>ROUND(P329*'Drivers'!E329,3)</x:f>
        <x:v>2606.309</x:v>
      </x:c>
      <x:c r="R329" s="64" t="n">
        <x:f>-ROUND(Q329*'Drivers'!F329,3)</x:f>
        <x:v>-633.289</x:v>
      </x:c>
      <x:c r="S329" s="65" t="n">
        <x:f>R329/Q329</x:f>
        <x:v>-0.24298308450763126</x:v>
      </x:c>
      <x:c r="T329" s="64" t="n">
        <x:f>-ROUND(Q329*'Drivers'!G329,3)</x:f>
        <x:v>-33.54</x:v>
      </x:c>
      <x:c r="U329" s="65" t="n">
        <x:f>T329/Q329</x:f>
        <x:v>-0.01286877342632819</x:v>
      </x:c>
      <x:c r="V329" s="64" t="n">
        <x:f>-ROUND(Q329*'Drivers'!H329,3)</x:f>
        <x:v>-21.719</x:v>
      </x:c>
      <x:c r="W329" s="64" t="n">
        <x:f>-ROUND(Q329*'Drivers'!I329,3)</x:f>
        <x:v>-16.279</x:v>
      </x:c>
      <x:c r="X329" s="64" t="n">
        <x:f>-ROUND(Q329*'Drivers'!J329,3)</x:f>
        <x:v>-31.341</x:v>
      </x:c>
      <x:c r="Y329" s="64" t="n">
        <x:f>-ROUND(Q329*'Drivers'!K329,3)</x:f>
        <x:v>-28.894</x:v>
      </x:c>
      <x:c r="Z329" s="64" t="n">
        <x:f>-ROUND(Q329*'Drivers'!L329,3)</x:f>
        <x:v>-22.119</x:v>
      </x:c>
      <x:c r="AA329" s="64" t="n">
        <x:f>-ROUND(Q329*'Drivers'!M329,3)</x:f>
        <x:v>-18.663</x:v>
      </x:c>
      <x:c r="AB329" s="64" t="n">
        <x:f>-ROUND(Q329*'Drivers'!N329,3)</x:f>
        <x:v>-15.156</x:v>
      </x:c>
      <x:c r="AC329" s="64" t="n">
        <x:f>SUM(V329:AB329)</x:f>
        <x:v>-154.17100000000002</x:v>
      </x:c>
      <x:c r="AD329" s="65" t="n">
        <x:f>AC329/Q329</x:f>
        <x:v>-0.05915300142845688</x:v>
      </x:c>
      <x:c r="AE329" s="64" t="n">
        <x:f>-ROUND(Q329*'Drivers'!O329,3)</x:f>
        <x:v>-24.317</x:v>
      </x:c>
      <x:c r="AF329" s="65" t="n">
        <x:f>AE329/Q329</x:f>
        <x:v>-0.009330052576267817</x:v>
      </x:c>
      <x:c r="AG329" s="64" t="n">
        <x:f>-ROUND(Q329*'Drivers'!P329,3)</x:f>
        <x:v>-3.014</x:v>
      </x:c>
      <x:c r="AH329" s="64" t="n">
        <x:f>-ROUND(Q329*'Drivers'!Q329,3)</x:f>
        <x:v>-14.138</x:v>
      </x:c>
      <x:c r="AI329" s="64" t="n">
        <x:f>SUM(R329,T329,AC329,AE329,AG329,AH329)</x:f>
        <x:v>-862.469</x:v>
      </x:c>
      <x:c r="AJ329" s="65" t="n">
        <x:f>AI329/Q329</x:f>
        <x:v>-0.3309158660772763</x:v>
      </x:c>
      <x:c r="AK329" s="64" t="n">
        <x:f>Q329+AI329</x:f>
        <x:v>1743.8400000000001</x:v>
      </x:c>
      <x:c r="AL329" s="65" t="n">
        <x:f>AK329/Q329</x:f>
        <x:v>0.6690841339227237</x:v>
      </x:c>
      <x:c r="AM329" s="64" t="n">
        <x:f>AK329/L329</x:f>
        <x:v>435.96000000000004</x:v>
      </x:c>
      <x:c r="AN329" s="66" t="str">
        <x:f>IF(AM329&lt;=200,"≤200K",IF(AM329&lt;=350,"200–350K",IF(AM329&lt;=500,"350–500K",IF(AM329&lt;=700,"500–700K","&gt;700K"))))</x:f>
        <x:v>350–500K</x:v>
      </x:c>
      <x:c r="AO329" s="64" t="n">
        <x:f>-ROUND(Q329*'Drivers'!R329,3)</x:f>
        <x:v>-943.953</x:v>
      </x:c>
      <x:c r="AP329" s="64" t="n">
        <x:f>-ROUND(AK329*'Drivers'!S329,3)</x:f>
        <x:v>-20.592</x:v>
      </x:c>
      <x:c r="AQ329" s="64" t="n">
        <x:f>-ROUND(AK329*'Drivers'!T329,3)</x:f>
        <x:v>-8.798</x:v>
      </x:c>
      <x:c r="AR329" s="64" t="n">
        <x:f>-ROUND(AK329*'Drivers'!U329,3)</x:f>
        <x:v>-19.268</x:v>
      </x:c>
      <x:c r="AS329" s="64" t="n">
        <x:f>-ROUND(AK329*'Drivers'!V329,3)</x:f>
        <x:v>-63.197</x:v>
      </x:c>
      <x:c r="AT329" s="64" t="n">
        <x:f>SUM(AO329:AS329)</x:f>
        <x:v>-1055.808</x:v>
      </x:c>
      <x:c r="AU329" s="65" t="n">
        <x:f>AT329/AK329</x:f>
        <x:v>-0.6054500412881916</x:v>
      </x:c>
      <x:c r="AV329" s="64" t="n">
        <x:f>AK329+AT329</x:f>
        <x:v>688.0320000000002</x:v>
      </x:c>
      <x:c r="AW329" s="65" t="n">
        <x:f>AV329/AK329</x:f>
        <x:v>0.3945499587118085</x:v>
      </x:c>
      <x:c r="AX329" s="64" t="n">
        <x:f>-ROUND(AK329*'Drivers'!W329,3)</x:f>
        <x:v>-25.219</x:v>
      </x:c>
      <x:c r="AY329" s="64" t="n">
        <x:f>-ROUND(AK329*'Drivers'!X329,3)</x:f>
        <x:v>-36.372</x:v>
      </x:c>
      <x:c r="AZ329" s="64" t="n">
        <x:f>-ROUND(AK329*'Drivers'!Y329,3)</x:f>
        <x:v>-34.313</x:v>
      </x:c>
      <x:c r="BA329" s="64" t="n">
        <x:f>-ROUND(AK329*'Drivers'!Z329,3)</x:f>
        <x:v>-8.111</x:v>
      </x:c>
      <x:c r="BB329" s="64" t="n">
        <x:f>-ROUND(AK329*'Drivers'!AA329,3)</x:f>
        <x:v>-15.937</x:v>
      </x:c>
      <x:c r="BC329" s="64" t="n">
        <x:f>SUM(BA329,BB329)</x:f>
        <x:v>-24.048000000000002</x:v>
      </x:c>
      <x:c r="BD329" s="64" t="n">
        <x:f>-ROUND(AK329*'Drivers'!AB329,3)</x:f>
        <x:v>-10.135</x:v>
      </x:c>
      <x:c r="BE329" s="64" t="n">
        <x:f>SUM(AX329:BB329,BD329)</x:f>
        <x:v>-130.087</x:v>
      </x:c>
      <x:c r="BF329" s="67" t="n">
        <x:f>'Drivers'!AF329</x:f>
        <x:v>8</x:v>
      </x:c>
      <x:c r="BG329" s="64" t="n">
        <x:f>BJ329</x:f>
        <x:v>-33.919</x:v>
      </x:c>
      <x:c r="BH329" s="64" t="n">
        <x:f>BE329/BF329</x:f>
        <x:v>-16.260875</x:v>
      </x:c>
      <x:c r="BI329" s="68" t="n">
        <x:f>BF329/L329</x:f>
        <x:v>2</x:v>
      </x:c>
      <x:c r="BJ329" s="64" t="n">
        <x:f>-ROUND(AK329*'Drivers'!AC329,3)</x:f>
        <x:v>-33.919</x:v>
      </x:c>
      <x:c r="BK329" s="64" t="n">
        <x:f>-ROUND(AK329*'Drivers'!AD329,3)</x:f>
        <x:v>-196.032</x:v>
      </x:c>
      <x:c r="BL329" s="64" t="n">
        <x:f>SUM(AV329,BE329,BJ329,BK329)</x:f>
        <x:v>327.99400000000014</x:v>
      </x:c>
      <x:c r="BM329" s="65" t="n">
        <x:f>BL329/AK329</x:f>
        <x:v>0.18808720983576482</x:v>
      </x:c>
      <x:c r="BN329" s="64" t="n">
        <x:f>-ROUND(AK329*'Drivers'!AE329,3)</x:f>
        <x:v>-116.89</x:v>
      </x:c>
      <x:c r="BO329" s="64" t="n">
        <x:f>BL329+BN329</x:f>
        <x:v>211.10400000000016</x:v>
      </x:c>
      <x:c r="BP329" s="65" t="n">
        <x:f>BO329/AK329</x:f>
        <x:v>0.12105697770437662</x:v>
      </x:c>
    </x:row>
    <x:row r="330">
      <x:c r="A330" s="61" t="n">
        <x:v>2025</x:v>
      </x:c>
      <x:c r="B330" s="18" t="str">
        <x:v>S1</x:v>
      </x:c>
      <x:c r="C330" s="18" t="str">
        <x:v>2025 S1</x:v>
      </x:c>
      <x:c r="D330" s="18" t="str">
        <x:v>CNCT0083</x:v>
      </x:c>
      <x:c r="E330" s="18" t="str">
        <x:v>西安赛格国际购物中心</x:v>
      </x:c>
      <x:c r="F330" s="18" t="str">
        <x:v>西安</x:v>
      </x:c>
      <x:c r="G330" s="18" t="str">
        <x:v>陕西省</x:v>
      </x:c>
      <x:c r="H330" s="18" t="str">
        <x:v>西区</x:v>
      </x:c>
      <x:c r="I330" s="18" t="str">
        <x:v>Shopping Mall</x:v>
      </x:c>
      <x:c r="J330" s="18" t="str">
        <x:v>Core Shopping Center</x:v>
      </x:c>
      <x:c r="K330" s="18" t="str">
        <x:v>正常</x:v>
      </x:c>
      <x:c r="L330" s="62" t="n">
        <x:v>6</x:v>
      </x:c>
      <x:c r="M330" s="62" t="n">
        <x:v>45</x:v>
      </x:c>
      <x:c r="N330" s="63" t="n">
        <x:f>'Drivers'!C330</x:f>
        <x:v>2066</x:v>
      </x:c>
      <x:c r="O330" s="63" t="n">
        <x:f>'Drivers'!D330</x:f>
        <x:v>1097.546</x:v>
      </x:c>
      <x:c r="P330" s="64" t="n">
        <x:f>ROUND(N330*O330/1000,3)</x:f>
        <x:v>2267.53</x:v>
      </x:c>
      <x:c r="Q330" s="64" t="n">
        <x:f>ROUND(P330*'Drivers'!E330,3)</x:f>
        <x:v>2183.364</x:v>
      </x:c>
      <x:c r="R330" s="64" t="n">
        <x:f>-ROUND(Q330*'Drivers'!F330,3)</x:f>
        <x:v>-367.61</x:v>
      </x:c>
      <x:c r="S330" s="65" t="n">
        <x:f>R330/Q330</x:f>
        <x:v>-0.1683686274940871</x:v>
      </x:c>
      <x:c r="T330" s="64" t="n">
        <x:f>-ROUND(Q330*'Drivers'!G330,3)</x:f>
        <x:v>-25.933</x:v>
      </x:c>
      <x:c r="U330" s="65" t="n">
        <x:f>T330/Q330</x:f>
        <x:v>-0.011877543094051198</x:v>
      </x:c>
      <x:c r="V330" s="64" t="n">
        <x:f>-ROUND(Q330*'Drivers'!H330,3)</x:f>
        <x:v>-22.972</x:v>
      </x:c>
      <x:c r="W330" s="64" t="n">
        <x:f>-ROUND(Q330*'Drivers'!I330,3)</x:f>
        <x:v>-16.292</x:v>
      </x:c>
      <x:c r="X330" s="64" t="n">
        <x:f>-ROUND(Q330*'Drivers'!J330,3)</x:f>
        <x:v>-35.311</x:v>
      </x:c>
      <x:c r="Y330" s="64" t="n">
        <x:f>-ROUND(Q330*'Drivers'!K330,3)</x:f>
        <x:v>-25.427</x:v>
      </x:c>
      <x:c r="Z330" s="64" t="n">
        <x:f>-ROUND(Q330*'Drivers'!L330,3)</x:f>
        <x:v>-27.708</x:v>
      </x:c>
      <x:c r="AA330" s="64" t="n">
        <x:f>-ROUND(Q330*'Drivers'!M330,3)</x:f>
        <x:v>-13.598</x:v>
      </x:c>
      <x:c r="AB330" s="64" t="n">
        <x:f>-ROUND(Q330*'Drivers'!N330,3)</x:f>
        <x:v>-13.203</x:v>
      </x:c>
      <x:c r="AC330" s="64" t="n">
        <x:f>SUM(V330:AB330)</x:f>
        <x:v>-154.51100000000002</x:v>
      </x:c>
      <x:c r="AD330" s="65" t="n">
        <x:f>AC330/Q330</x:f>
        <x:v>-0.07076740296166834</x:v>
      </x:c>
      <x:c r="AE330" s="64" t="n">
        <x:f>-ROUND(Q330*'Drivers'!O330,3)</x:f>
        <x:v>-28.487</x:v>
      </x:c>
      <x:c r="AF330" s="65" t="n">
        <x:f>AE330/Q330</x:f>
        <x:v>-0.013047297656277193</x:v>
      </x:c>
      <x:c r="AG330" s="64" t="n">
        <x:f>-ROUND(Q330*'Drivers'!P330,3)</x:f>
        <x:v>-3.615</x:v>
      </x:c>
      <x:c r="AH330" s="64" t="n">
        <x:f>-ROUND(Q330*'Drivers'!Q330,3)</x:f>
        <x:v>-8.982</x:v>
      </x:c>
      <x:c r="AI330" s="64" t="n">
        <x:f>SUM(R330,T330,AC330,AE330,AG330,AH330)</x:f>
        <x:v>-589.138</x:v>
      </x:c>
      <x:c r="AJ330" s="65" t="n">
        <x:f>AI330/Q330</x:f>
        <x:v>-0.2698304084889189</x:v>
      </x:c>
      <x:c r="AK330" s="64" t="n">
        <x:f>Q330+AI330</x:f>
        <x:v>1594.226</x:v>
      </x:c>
      <x:c r="AL330" s="65" t="n">
        <x:f>AK330/Q330</x:f>
        <x:v>0.7301695915110811</x:v>
      </x:c>
      <x:c r="AM330" s="64" t="n">
        <x:f>AK330/L330</x:f>
        <x:v>265.70433333333335</x:v>
      </x:c>
      <x:c r="AN330" s="66" t="str">
        <x:f>IF(AM330&lt;=200,"≤200K",IF(AM330&lt;=350,"200–350K",IF(AM330&lt;=500,"350–500K",IF(AM330&lt;=700,"500–700K","&gt;700K"))))</x:f>
        <x:v>200–350K</x:v>
      </x:c>
      <x:c r="AO330" s="64" t="n">
        <x:f>-ROUND(Q330*'Drivers'!R330,3)</x:f>
        <x:v>-859.222</x:v>
      </x:c>
      <x:c r="AP330" s="64" t="n">
        <x:f>-ROUND(AK330*'Drivers'!S330,3)</x:f>
        <x:v>-24.267</x:v>
      </x:c>
      <x:c r="AQ330" s="64" t="n">
        <x:f>-ROUND(AK330*'Drivers'!T330,3)</x:f>
        <x:v>-7.268</x:v>
      </x:c>
      <x:c r="AR330" s="64" t="n">
        <x:f>-ROUND(AK330*'Drivers'!U330,3)</x:f>
        <x:v>-12.437</x:v>
      </x:c>
      <x:c r="AS330" s="64" t="n">
        <x:f>-ROUND(AK330*'Drivers'!V330,3)</x:f>
        <x:v>-45.835</x:v>
      </x:c>
      <x:c r="AT330" s="64" t="n">
        <x:f>SUM(AO330:AS330)</x:f>
        <x:v>-949.0290000000001</x:v>
      </x:c>
      <x:c r="AU330" s="65" t="n">
        <x:f>AT330/AK330</x:f>
        <x:v>-0.5952913827775986</x:v>
      </x:c>
      <x:c r="AV330" s="64" t="n">
        <x:f>AK330+AT330</x:f>
        <x:v>645.197</x:v>
      </x:c>
      <x:c r="AW330" s="65" t="n">
        <x:f>AV330/AK330</x:f>
        <x:v>0.4047086172224013</x:v>
      </x:c>
      <x:c r="AX330" s="64" t="n">
        <x:f>-ROUND(AK330*'Drivers'!W330,3)</x:f>
        <x:v>-17.789</x:v>
      </x:c>
      <x:c r="AY330" s="64" t="n">
        <x:f>-ROUND(AK330*'Drivers'!X330,3)</x:f>
        <x:v>-27.462</x:v>
      </x:c>
      <x:c r="AZ330" s="64" t="n">
        <x:f>-ROUND(AK330*'Drivers'!Y330,3)</x:f>
        <x:v>-29.732</x:v>
      </x:c>
      <x:c r="BA330" s="64" t="n">
        <x:f>-ROUND(AK330*'Drivers'!Z330,3)</x:f>
        <x:v>-10.581</x:v>
      </x:c>
      <x:c r="BB330" s="64" t="n">
        <x:f>-ROUND(AK330*'Drivers'!AA330,3)</x:f>
        <x:v>-10.969</x:v>
      </x:c>
      <x:c r="BC330" s="64" t="n">
        <x:f>SUM(BA330,BB330)</x:f>
        <x:v>-21.549999999999997</x:v>
      </x:c>
      <x:c r="BD330" s="64" t="n">
        <x:f>-ROUND(AK330*'Drivers'!AB330,3)</x:f>
        <x:v>-7.087</x:v>
      </x:c>
      <x:c r="BE330" s="64" t="n">
        <x:f>SUM(AX330:BB330,BD330)</x:f>
        <x:v>-103.62</x:v>
      </x:c>
      <x:c r="BF330" s="67" t="n">
        <x:f>'Drivers'!AF330</x:f>
        <x:v>10</x:v>
      </x:c>
      <x:c r="BG330" s="64" t="n">
        <x:f>BJ330</x:f>
        <x:v>-42.773</x:v>
      </x:c>
      <x:c r="BH330" s="64" t="n">
        <x:f>BE330/BF330</x:f>
        <x:v>-10.362</x:v>
      </x:c>
      <x:c r="BI330" s="68" t="n">
        <x:f>BF330/L330</x:f>
        <x:v>1.6666666666666667</x:v>
      </x:c>
      <x:c r="BJ330" s="64" t="n">
        <x:f>-ROUND(AK330*'Drivers'!AC330,3)</x:f>
        <x:v>-42.773</x:v>
      </x:c>
      <x:c r="BK330" s="64" t="n">
        <x:f>-ROUND(AK330*'Drivers'!AD330,3)</x:f>
        <x:v>-173.262</x:v>
      </x:c>
      <x:c r="BL330" s="64" t="n">
        <x:f>SUM(AV330,BE330,BJ330,BK330)</x:f>
        <x:v>325.542</x:v>
      </x:c>
      <x:c r="BM330" s="65" t="n">
        <x:f>BL330/AK330</x:f>
        <x:v>0.20420065912863042</x:v>
      </x:c>
      <x:c r="BN330" s="64" t="n">
        <x:f>-ROUND(AK330*'Drivers'!AE330,3)</x:f>
        <x:v>-111.023</x:v>
      </x:c>
      <x:c r="BO330" s="64" t="n">
        <x:f>BL330+BN330</x:f>
        <x:v>214.51899999999998</x:v>
      </x:c>
      <x:c r="BP330" s="65" t="n">
        <x:f>BO330/AK330</x:f>
        <x:v>0.13455996828555045</x:v>
      </x:c>
    </x:row>
    <x:row r="331">
      <x:c r="A331" s="61" t="n">
        <x:v>2025</x:v>
      </x:c>
      <x:c r="B331" s="18" t="str">
        <x:v>S2</x:v>
      </x:c>
      <x:c r="C331" s="18" t="str">
        <x:v>2025 S2</x:v>
      </x:c>
      <x:c r="D331" s="18" t="str">
        <x:v>CNCT0083</x:v>
      </x:c>
      <x:c r="E331" s="18" t="str">
        <x:v>西安赛格国际购物中心</x:v>
      </x:c>
      <x:c r="F331" s="18" t="str">
        <x:v>西安</x:v>
      </x:c>
      <x:c r="G331" s="18" t="str">
        <x:v>陕西省</x:v>
      </x:c>
      <x:c r="H331" s="18" t="str">
        <x:v>西区</x:v>
      </x:c>
      <x:c r="I331" s="18" t="str">
        <x:v>Shopping Mall</x:v>
      </x:c>
      <x:c r="J331" s="18" t="str">
        <x:v>Core Shopping Center</x:v>
      </x:c>
      <x:c r="K331" s="18" t="str">
        <x:v>正常</x:v>
      </x:c>
      <x:c r="L331" s="62" t="n">
        <x:v>6</x:v>
      </x:c>
      <x:c r="M331" s="62" t="n">
        <x:v>45</x:v>
      </x:c>
      <x:c r="N331" s="63" t="n">
        <x:f>'Drivers'!C331</x:f>
        <x:v>2204</x:v>
      </x:c>
      <x:c r="O331" s="63" t="n">
        <x:f>'Drivers'!D331</x:f>
        <x:v>1110.716</x:v>
      </x:c>
      <x:c r="P331" s="64" t="n">
        <x:f>ROUND(N331*O331/1000,3)</x:f>
        <x:v>2448.018</x:v>
      </x:c>
      <x:c r="Q331" s="64" t="n">
        <x:f>ROUND(P331*'Drivers'!E331,3)</x:f>
        <x:v>2408.912</x:v>
      </x:c>
      <x:c r="R331" s="64" t="n">
        <x:f>-ROUND(Q331*'Drivers'!F331,3)</x:f>
        <x:v>-405.586</x:v>
      </x:c>
      <x:c r="S331" s="65" t="n">
        <x:f>R331/Q331</x:f>
        <x:v>-0.1683689566077964</x:v>
      </x:c>
      <x:c r="T331" s="64" t="n">
        <x:f>-ROUND(Q331*'Drivers'!G331,3)</x:f>
        <x:v>-28.612</x:v>
      </x:c>
      <x:c r="U331" s="65" t="n">
        <x:f>T331/Q331</x:f>
        <x:v>-0.011877561322289898</x:v>
      </x:c>
      <x:c r="V331" s="64" t="n">
        <x:f>-ROUND(Q331*'Drivers'!H331,3)</x:f>
        <x:v>-25.345</x:v>
      </x:c>
      <x:c r="W331" s="64" t="n">
        <x:f>-ROUND(Q331*'Drivers'!I331,3)</x:f>
        <x:v>-17.975</x:v>
      </x:c>
      <x:c r="X331" s="64" t="n">
        <x:f>-ROUND(Q331*'Drivers'!J331,3)</x:f>
        <x:v>-38.959</x:v>
      </x:c>
      <x:c r="Y331" s="64" t="n">
        <x:f>-ROUND(Q331*'Drivers'!K331,3)</x:f>
        <x:v>-28.053</x:v>
      </x:c>
      <x:c r="Z331" s="64" t="n">
        <x:f>-ROUND(Q331*'Drivers'!L331,3)</x:f>
        <x:v>-30.57</x:v>
      </x:c>
      <x:c r="AA331" s="64" t="n">
        <x:f>-ROUND(Q331*'Drivers'!M331,3)</x:f>
        <x:v>-15.003</x:v>
      </x:c>
      <x:c r="AB331" s="64" t="n">
        <x:f>-ROUND(Q331*'Drivers'!N331,3)</x:f>
        <x:v>-14.566</x:v>
      </x:c>
      <x:c r="AC331" s="64" t="n">
        <x:f>SUM(V331:AB331)</x:f>
        <x:v>-170.47099999999998</x:v>
      </x:c>
      <x:c r="AD331" s="65" t="n">
        <x:f>AC331/Q331</x:f>
        <x:v>-0.07076680260632186</x:v>
      </x:c>
      <x:c r="AE331" s="64" t="n">
        <x:f>-ROUND(Q331*'Drivers'!O331,3)</x:f>
        <x:v>-31.43</x:v>
      </x:c>
      <x:c r="AF331" s="65" t="n">
        <x:f>AE331/Q331</x:f>
        <x:v>-0.013047384047237924</x:v>
      </x:c>
      <x:c r="AG331" s="64" t="n">
        <x:f>-ROUND(Q331*'Drivers'!P331,3)</x:f>
        <x:v>-3.988</x:v>
      </x:c>
      <x:c r="AH331" s="64" t="n">
        <x:f>-ROUND(Q331*'Drivers'!Q331,3)</x:f>
        <x:v>-9.91</x:v>
      </x:c>
      <x:c r="AI331" s="64" t="n">
        <x:f>SUM(R331,T331,AC331,AE331,AG331,AH331)</x:f>
        <x:v>-649.997</x:v>
      </x:c>
      <x:c r="AJ331" s="65" t="n">
        <x:f>AI331/Q331</x:f>
        <x:v>-0.26983011417602637</x:v>
      </x:c>
      <x:c r="AK331" s="64" t="n">
        <x:f>Q331+AI331</x:f>
        <x:v>1758.915</x:v>
      </x:c>
      <x:c r="AL331" s="65" t="n">
        <x:f>AK331/Q331</x:f>
        <x:v>0.7301698858239737</x:v>
      </x:c>
      <x:c r="AM331" s="64" t="n">
        <x:f>AK331/L331</x:f>
        <x:v>293.1525</x:v>
      </x:c>
      <x:c r="AN331" s="66" t="str">
        <x:f>IF(AM331&lt;=200,"≤200K",IF(AM331&lt;=350,"200–350K",IF(AM331&lt;=500,"350–500K",IF(AM331&lt;=700,"500–700K","&gt;700K"))))</x:f>
        <x:v>200–350K</x:v>
      </x:c>
      <x:c r="AO331" s="64" t="n">
        <x:f>-ROUND(Q331*'Drivers'!R331,3)</x:f>
        <x:v>-955.19</x:v>
      </x:c>
      <x:c r="AP331" s="64" t="n">
        <x:f>-ROUND(AK331*'Drivers'!S331,3)</x:f>
        <x:v>-26.774</x:v>
      </x:c>
      <x:c r="AQ331" s="64" t="n">
        <x:f>-ROUND(AK331*'Drivers'!T331,3)</x:f>
        <x:v>-8.019</x:v>
      </x:c>
      <x:c r="AR331" s="64" t="n">
        <x:f>-ROUND(AK331*'Drivers'!U331,3)</x:f>
        <x:v>-13.721</x:v>
      </x:c>
      <x:c r="AS331" s="64" t="n">
        <x:f>-ROUND(AK331*'Drivers'!V331,3)</x:f>
        <x:v>-50.57</x:v>
      </x:c>
      <x:c r="AT331" s="64" t="n">
        <x:f>SUM(AO331:AS331)</x:f>
        <x:v>-1054.2740000000001</x:v>
      </x:c>
      <x:c r="AU331" s="65" t="n">
        <x:f>AT331/AK331</x:f>
        <x:v>-0.5993888277716661</x:v>
      </x:c>
      <x:c r="AV331" s="64" t="n">
        <x:f>AK331+AT331</x:f>
        <x:v>704.6409999999998</x:v>
      </x:c>
      <x:c r="AW331" s="65" t="n">
        <x:f>AV331/AK331</x:f>
        <x:v>0.40061117222833387</x:v>
      </x:c>
      <x:c r="AX331" s="64" t="n">
        <x:f>-ROUND(AK331*'Drivers'!W331,3)</x:f>
        <x:v>-19.627</x:v>
      </x:c>
      <x:c r="AY331" s="64" t="n">
        <x:f>-ROUND(AK331*'Drivers'!X331,3)</x:f>
        <x:v>-30.299</x:v>
      </x:c>
      <x:c r="AZ331" s="64" t="n">
        <x:f>-ROUND(AK331*'Drivers'!Y331,3)</x:f>
        <x:v>-32.803</x:v>
      </x:c>
      <x:c r="BA331" s="64" t="n">
        <x:f>-ROUND(AK331*'Drivers'!Z331,3)</x:f>
        <x:v>-11.674</x:v>
      </x:c>
      <x:c r="BB331" s="64" t="n">
        <x:f>-ROUND(AK331*'Drivers'!AA331,3)</x:f>
        <x:v>-12.102</x:v>
      </x:c>
      <x:c r="BC331" s="64" t="n">
        <x:f>SUM(BA331,BB331)</x:f>
        <x:v>-23.776</x:v>
      </x:c>
      <x:c r="BD331" s="64" t="n">
        <x:f>-ROUND(AK331*'Drivers'!AB331,3)</x:f>
        <x:v>-7.819</x:v>
      </x:c>
      <x:c r="BE331" s="64" t="n">
        <x:f>SUM(AX331:BB331,BD331)</x:f>
        <x:v>-114.324</x:v>
      </x:c>
      <x:c r="BF331" s="67" t="n">
        <x:f>'Drivers'!AF331</x:f>
        <x:v>10</x:v>
      </x:c>
      <x:c r="BG331" s="64" t="n">
        <x:f>BJ331</x:f>
        <x:v>-47.192</x:v>
      </x:c>
      <x:c r="BH331" s="64" t="n">
        <x:f>BE331/BF331</x:f>
        <x:v>-11.4324</x:v>
      </x:c>
      <x:c r="BI331" s="68" t="n">
        <x:f>BF331/L331</x:f>
        <x:v>1.6666666666666667</x:v>
      </x:c>
      <x:c r="BJ331" s="64" t="n">
        <x:f>-ROUND(AK331*'Drivers'!AC331,3)</x:f>
        <x:v>-47.192</x:v>
      </x:c>
      <x:c r="BK331" s="64" t="n">
        <x:f>-ROUND(AK331*'Drivers'!AD331,3)</x:f>
        <x:v>-191.161</x:v>
      </x:c>
      <x:c r="BL331" s="64" t="n">
        <x:f>SUM(AV331,BE331,BJ331,BK331)</x:f>
        <x:v>351.9639999999999</x:v>
      </x:c>
      <x:c r="BM331" s="65" t="n">
        <x:f>BL331/AK331</x:f>
        <x:v>0.2001029043472822</x:v>
      </x:c>
      <x:c r="BN331" s="64" t="n">
        <x:f>-ROUND(AK331*'Drivers'!AE331,3)</x:f>
        <x:v>-122.492</x:v>
      </x:c>
      <x:c r="BO331" s="64" t="n">
        <x:f>BL331+BN331</x:f>
        <x:v>229.47199999999987</x:v>
      </x:c>
      <x:c r="BP331" s="65" t="n">
        <x:f>BO331/AK331</x:f>
        <x:v>0.13046224519092728</x:v>
      </x:c>
    </x:row>
    <x:row r="332">
      <x:c r="A332" s="61" t="n">
        <x:v>2026</x:v>
      </x:c>
      <x:c r="B332" s="18" t="str">
        <x:v>S1</x:v>
      </x:c>
      <x:c r="C332" s="18" t="str">
        <x:v>2026 S1</x:v>
      </x:c>
      <x:c r="D332" s="18" t="str">
        <x:v>CNCT0083</x:v>
      </x:c>
      <x:c r="E332" s="18" t="str">
        <x:v>西安赛格国际购物中心</x:v>
      </x:c>
      <x:c r="F332" s="18" t="str">
        <x:v>西安</x:v>
      </x:c>
      <x:c r="G332" s="18" t="str">
        <x:v>陕西省</x:v>
      </x:c>
      <x:c r="H332" s="18" t="str">
        <x:v>西区</x:v>
      </x:c>
      <x:c r="I332" s="18" t="str">
        <x:v>Shopping Mall</x:v>
      </x:c>
      <x:c r="J332" s="18" t="str">
        <x:v>Core Shopping Center</x:v>
      </x:c>
      <x:c r="K332" s="18" t="str">
        <x:v>正常</x:v>
      </x:c>
      <x:c r="L332" s="62" t="n">
        <x:v>6</x:v>
      </x:c>
      <x:c r="M332" s="62" t="n">
        <x:v>45</x:v>
      </x:c>
      <x:c r="N332" s="63" t="n">
        <x:f>'Drivers'!C332</x:f>
        <x:v>2015</x:v>
      </x:c>
      <x:c r="O332" s="63" t="n">
        <x:f>'Drivers'!D332</x:f>
        <x:v>1161.184</x:v>
      </x:c>
      <x:c r="P332" s="64" t="n">
        <x:f>ROUND(N332*O332/1000,3)</x:f>
        <x:v>2339.786</x:v>
      </x:c>
      <x:c r="Q332" s="64" t="n">
        <x:f>ROUND(P332*'Drivers'!E332,3)</x:f>
        <x:v>2248.312</x:v>
      </x:c>
      <x:c r="R332" s="64" t="n">
        <x:f>-ROUND(Q332*'Drivers'!F332,3)</x:f>
        <x:v>-383.639</x:v>
      </x:c>
      <x:c r="S332" s="65" t="n">
        <x:f>R332/Q332</x:f>
        <x:v>-0.17063423581780465</x:v>
      </x:c>
      <x:c r="T332" s="64" t="n">
        <x:f>-ROUND(Q332*'Drivers'!G332,3)</x:f>
        <x:v>-29.954</x:v>
      </x:c>
      <x:c r="U332" s="65" t="n">
        <x:f>T332/Q332</x:f>
        <x:v>-0.013322884012539185</x:v>
      </x:c>
      <x:c r="V332" s="64" t="n">
        <x:f>-ROUND(Q332*'Drivers'!H332,3)</x:f>
        <x:v>-23.656</x:v>
      </x:c>
      <x:c r="W332" s="64" t="n">
        <x:f>-ROUND(Q332*'Drivers'!I332,3)</x:f>
        <x:v>-16.777</x:v>
      </x:c>
      <x:c r="X332" s="64" t="n">
        <x:f>-ROUND(Q332*'Drivers'!J332,3)</x:f>
        <x:v>-36.362</x:v>
      </x:c>
      <x:c r="Y332" s="64" t="n">
        <x:f>-ROUND(Q332*'Drivers'!K332,3)</x:f>
        <x:v>-26.183</x:v>
      </x:c>
      <x:c r="Z332" s="64" t="n">
        <x:f>-ROUND(Q332*'Drivers'!L332,3)</x:f>
        <x:v>-28.532</x:v>
      </x:c>
      <x:c r="AA332" s="64" t="n">
        <x:f>-ROUND(Q332*'Drivers'!M332,3)</x:f>
        <x:v>-14.003</x:v>
      </x:c>
      <x:c r="AB332" s="64" t="n">
        <x:f>-ROUND(Q332*'Drivers'!N332,3)</x:f>
        <x:v>-13.595</x:v>
      </x:c>
      <x:c r="AC332" s="64" t="n">
        <x:f>SUM(V332:AB332)</x:f>
        <x:v>-159.10800000000003</x:v>
      </x:c>
      <x:c r="AD332" s="65" t="n">
        <x:f>AC332/Q332</x:f>
        <x:v>-0.0707677582114938</x:v>
      </x:c>
      <x:c r="AE332" s="64" t="n">
        <x:f>-ROUND(Q332*'Drivers'!O332,3)</x:f>
        <x:v>-30.42</x:v>
      </x:c>
      <x:c r="AF332" s="65" t="n">
        <x:f>AE332/Q332</x:f>
        <x:v>-0.013530150619664888</x:v>
      </x:c>
      <x:c r="AG332" s="64" t="n">
        <x:f>-ROUND(Q332*'Drivers'!P332,3)</x:f>
        <x:v>-3.722</x:v>
      </x:c>
      <x:c r="AH332" s="64" t="n">
        <x:f>-ROUND(Q332*'Drivers'!Q332,3)</x:f>
        <x:v>-9.249</x:v>
      </x:c>
      <x:c r="AI332" s="64" t="n">
        <x:f>SUM(R332,T332,AC332,AE332,AG332,AH332)</x:f>
        <x:v>-616.092</x:v>
      </x:c>
      <x:c r="AJ332" s="65" t="n">
        <x:f>AI332/Q332</x:f>
        <x:v>-0.27402424574525247</x:v>
      </x:c>
      <x:c r="AK332" s="64" t="n">
        <x:f>Q332+AI332</x:f>
        <x:v>1632.2199999999998</x:v>
      </x:c>
      <x:c r="AL332" s="65" t="n">
        <x:f>AK332/Q332</x:f>
        <x:v>0.7259757542547475</x:v>
      </x:c>
      <x:c r="AM332" s="64" t="n">
        <x:f>AK332/L332</x:f>
        <x:v>272.03666666666663</x:v>
      </x:c>
      <x:c r="AN332" s="66" t="str">
        <x:f>IF(AM332&lt;=200,"≤200K",IF(AM332&lt;=350,"200–350K",IF(AM332&lt;=500,"350–500K",IF(AM332&lt;=700,"500–700K","&gt;700K"))))</x:f>
        <x:v>200–350K</x:v>
      </x:c>
      <x:c r="AO332" s="64" t="n">
        <x:f>-ROUND(Q332*'Drivers'!R332,3)</x:f>
        <x:v>-887.012</x:v>
      </x:c>
      <x:c r="AP332" s="64" t="n">
        <x:f>-ROUND(AK332*'Drivers'!S332,3)</x:f>
        <x:v>-24.845</x:v>
      </x:c>
      <x:c r="AQ332" s="64" t="n">
        <x:f>-ROUND(AK332*'Drivers'!T332,3)</x:f>
        <x:v>-7.442</x:v>
      </x:c>
      <x:c r="AR332" s="64" t="n">
        <x:f>-ROUND(AK332*'Drivers'!U332,3)</x:f>
        <x:v>-12.733</x:v>
      </x:c>
      <x:c r="AS332" s="64" t="n">
        <x:f>-ROUND(AK332*'Drivers'!V332,3)</x:f>
        <x:v>-46.927</x:v>
      </x:c>
      <x:c r="AT332" s="64" t="n">
        <x:f>SUM(AO332:AS332)</x:f>
        <x:v>-978.959</x:v>
      </x:c>
      <x:c r="AU332" s="65" t="n">
        <x:f>AT332/AK332</x:f>
        <x:v>-0.5997714768842436</x:v>
      </x:c>
      <x:c r="AV332" s="64" t="n">
        <x:f>AK332+AT332</x:f>
        <x:v>653.2609999999999</x:v>
      </x:c>
      <x:c r="AW332" s="65" t="n">
        <x:f>AV332/AK332</x:f>
        <x:v>0.4002285231157564</x:v>
      </x:c>
      <x:c r="AX332" s="64" t="n">
        <x:f>-ROUND(AK332*'Drivers'!W332,3)</x:f>
        <x:v>-22.41</x:v>
      </x:c>
      <x:c r="AY332" s="64" t="n">
        <x:f>-ROUND(AK332*'Drivers'!X332,3)</x:f>
        <x:v>-34.596</x:v>
      </x:c>
      <x:c r="AZ332" s="64" t="n">
        <x:f>-ROUND(AK332*'Drivers'!Y332,3)</x:f>
        <x:v>-37.455</x:v>
      </x:c>
      <x:c r="BA332" s="64" t="n">
        <x:f>-ROUND(AK332*'Drivers'!Z332,3)</x:f>
        <x:v>-13.329</x:v>
      </x:c>
      <x:c r="BB332" s="64" t="n">
        <x:f>-ROUND(AK332*'Drivers'!AA332,3)</x:f>
        <x:v>-13.818</x:v>
      </x:c>
      <x:c r="BC332" s="64" t="n">
        <x:f>SUM(BA332,BB332)</x:f>
        <x:v>-27.147</x:v>
      </x:c>
      <x:c r="BD332" s="64" t="n">
        <x:f>-ROUND(AK332*'Drivers'!AB332,3)</x:f>
        <x:v>-8.928</x:v>
      </x:c>
      <x:c r="BE332" s="64" t="n">
        <x:f>SUM(AX332:BB332,BD332)</x:f>
        <x:v>-130.536</x:v>
      </x:c>
      <x:c r="BF332" s="67" t="n">
        <x:f>'Drivers'!AF332</x:f>
        <x:v>10</x:v>
      </x:c>
      <x:c r="BG332" s="64" t="n">
        <x:f>BJ332</x:f>
        <x:v>-53.885</x:v>
      </x:c>
      <x:c r="BH332" s="64" t="n">
        <x:f>BE332/BF332</x:f>
        <x:v>-13.0536</x:v>
      </x:c>
      <x:c r="BI332" s="68" t="n">
        <x:f>BF332/L332</x:f>
        <x:v>1.6666666666666667</x:v>
      </x:c>
      <x:c r="BJ332" s="64" t="n">
        <x:f>-ROUND(AK332*'Drivers'!AC332,3)</x:f>
        <x:v>-53.885</x:v>
      </x:c>
      <x:c r="BK332" s="64" t="n">
        <x:f>-ROUND(AK332*'Drivers'!AD332,3)</x:f>
        <x:v>-177.391</x:v>
      </x:c>
      <x:c r="BL332" s="64" t="n">
        <x:f>SUM(AV332,BE332,BJ332,BK332)</x:f>
        <x:v>291.44899999999996</x:v>
      </x:c>
      <x:c r="BM332" s="65" t="n">
        <x:f>BL332/AK332</x:f>
        <x:v>0.17855987550697822</x:v>
      </x:c>
      <x:c r="BN332" s="64" t="n">
        <x:f>-ROUND(AK332*'Drivers'!AE332,3)</x:f>
        <x:v>-113.669</x:v>
      </x:c>
      <x:c r="BO332" s="64" t="n">
        <x:f>BL332+BN332</x:f>
        <x:v>177.77999999999997</x:v>
      </x:c>
      <x:c r="BP332" s="65" t="n">
        <x:f>BO332/AK332</x:f>
        <x:v>0.10891914080209775</x:v>
      </x:c>
    </x:row>
    <x:row r="333">
      <x:c r="A333" s="61" t="n">
        <x:v>2026</x:v>
      </x:c>
      <x:c r="B333" s="18" t="str">
        <x:v>S2</x:v>
      </x:c>
      <x:c r="C333" s="18" t="str">
        <x:v>2026 S2</x:v>
      </x:c>
      <x:c r="D333" s="18" t="str">
        <x:v>CNCT0083</x:v>
      </x:c>
      <x:c r="E333" s="18" t="str">
        <x:v>西安赛格国际购物中心</x:v>
      </x:c>
      <x:c r="F333" s="18" t="str">
        <x:v>西安</x:v>
      </x:c>
      <x:c r="G333" s="18" t="str">
        <x:v>陕西省</x:v>
      </x:c>
      <x:c r="H333" s="18" t="str">
        <x:v>西区</x:v>
      </x:c>
      <x:c r="I333" s="18" t="str">
        <x:v>Shopping Mall</x:v>
      </x:c>
      <x:c r="J333" s="18" t="str">
        <x:v>Core Shopping Center</x:v>
      </x:c>
      <x:c r="K333" s="18" t="str">
        <x:v>正常</x:v>
      </x:c>
      <x:c r="L333" s="62" t="n">
        <x:v>6</x:v>
      </x:c>
      <x:c r="M333" s="62" t="n">
        <x:v>45</x:v>
      </x:c>
      <x:c r="N333" s="63" t="n">
        <x:f>'Drivers'!C333</x:f>
        <x:v>2200</x:v>
      </x:c>
      <x:c r="O333" s="63" t="n">
        <x:f>'Drivers'!D333</x:f>
        <x:v>1154.609</x:v>
      </x:c>
      <x:c r="P333" s="64" t="n">
        <x:f>ROUND(N333*O333/1000,3)</x:f>
        <x:v>2540.14</x:v>
      </x:c>
      <x:c r="Q333" s="64" t="n">
        <x:f>ROUND(P333*'Drivers'!E333,3)</x:f>
        <x:v>2499.562</x:v>
      </x:c>
      <x:c r="R333" s="64" t="n">
        <x:f>-ROUND(Q333*'Drivers'!F333,3)</x:f>
        <x:v>-416.329</x:v>
      </x:c>
      <x:c r="S333" s="65" t="n">
        <x:f>R333/Q333</x:f>
        <x:v>-0.16656078144890987</x:v>
      </x:c>
      <x:c r="T333" s="64" t="n">
        <x:f>-ROUND(Q333*'Drivers'!G333,3)</x:f>
        <x:v>-31.615</x:v>
      </x:c>
      <x:c r="U333" s="65" t="n">
        <x:f>T333/Q333</x:f>
        <x:v>-0.012648215967437496</x:v>
      </x:c>
      <x:c r="V333" s="64" t="n">
        <x:f>-ROUND(Q333*'Drivers'!H333,3)</x:f>
        <x:v>-26.299</x:v>
      </x:c>
      <x:c r="W333" s="64" t="n">
        <x:f>-ROUND(Q333*'Drivers'!I333,3)</x:f>
        <x:v>-18.652</x:v>
      </x:c>
      <x:c r="X333" s="64" t="n">
        <x:f>-ROUND(Q333*'Drivers'!J333,3)</x:f>
        <x:v>-40.425</x:v>
      </x:c>
      <x:c r="Y333" s="64" t="n">
        <x:f>-ROUND(Q333*'Drivers'!K333,3)</x:f>
        <x:v>-29.109</x:v>
      </x:c>
      <x:c r="Z333" s="64" t="n">
        <x:f>-ROUND(Q333*'Drivers'!L333,3)</x:f>
        <x:v>-31.721</x:v>
      </x:c>
      <x:c r="AA333" s="64" t="n">
        <x:f>-ROUND(Q333*'Drivers'!M333,3)</x:f>
        <x:v>-15.568</x:v>
      </x:c>
      <x:c r="AB333" s="64" t="n">
        <x:f>-ROUND(Q333*'Drivers'!N333,3)</x:f>
        <x:v>-15.115</x:v>
      </x:c>
      <x:c r="AC333" s="64" t="n">
        <x:f>SUM(V333:AB333)</x:f>
        <x:v>-176.88900000000004</x:v>
      </x:c>
      <x:c r="AD333" s="65" t="n">
        <x:f>AC333/Q333</x:f>
        <x:v>-0.07076799855334656</x:v>
      </x:c>
      <x:c r="AE333" s="64" t="n">
        <x:f>-ROUND(Q333*'Drivers'!O333,3)</x:f>
        <x:v>-32.613</x:v>
      </x:c>
      <x:c r="AF333" s="65" t="n">
        <x:f>AE333/Q333</x:f>
        <x:v>-0.013047485919533102</x:v>
      </x:c>
      <x:c r="AG333" s="64" t="n">
        <x:f>-ROUND(Q333*'Drivers'!P333,3)</x:f>
        <x:v>-4.138</x:v>
      </x:c>
      <x:c r="AH333" s="64" t="n">
        <x:f>-ROUND(Q333*'Drivers'!Q333,3)</x:f>
        <x:v>-10.283</x:v>
      </x:c>
      <x:c r="AI333" s="64" t="n">
        <x:f>SUM(R333,T333,AC333,AE333,AG333,AH333)</x:f>
        <x:v>-671.8670000000002</x:v>
      </x:c>
      <x:c r="AJ333" s="65" t="n">
        <x:f>AI333/Q333</x:f>
        <x:v>-0.26879389268999937</x:v>
      </x:c>
      <x:c r="AK333" s="64" t="n">
        <x:f>Q333+AI333</x:f>
        <x:v>1827.6949999999997</x:v>
      </x:c>
      <x:c r="AL333" s="65" t="n">
        <x:f>AK333/Q333</x:f>
        <x:v>0.7312061073100006</x:v>
      </x:c>
      <x:c r="AM333" s="64" t="n">
        <x:f>AK333/L333</x:f>
        <x:v>304.6158333333333</x:v>
      </x:c>
      <x:c r="AN333" s="66" t="str">
        <x:f>IF(AM333&lt;=200,"≤200K",IF(AM333&lt;=350,"200–350K",IF(AM333&lt;=500,"350–500K",IF(AM333&lt;=700,"500–700K","&gt;700K"))))</x:f>
        <x:v>200–350K</x:v>
      </x:c>
      <x:c r="AO333" s="64" t="n">
        <x:f>-ROUND(Q333*'Drivers'!R333,3)</x:f>
        <x:v>-971.084</x:v>
      </x:c>
      <x:c r="AP333" s="64" t="n">
        <x:f>-ROUND(AK333*'Drivers'!S333,3)</x:f>
        <x:v>-27.821</x:v>
      </x:c>
      <x:c r="AQ333" s="64" t="n">
        <x:f>-ROUND(AK333*'Drivers'!T333,3)</x:f>
        <x:v>-8.333</x:v>
      </x:c>
      <x:c r="AR333" s="64" t="n">
        <x:f>-ROUND(AK333*'Drivers'!U333,3)</x:f>
        <x:v>-14.258</x:v>
      </x:c>
      <x:c r="AS333" s="64" t="n">
        <x:f>-ROUND(AK333*'Drivers'!V333,3)</x:f>
        <x:v>-52.547</x:v>
      </x:c>
      <x:c r="AT333" s="64" t="n">
        <x:f>SUM(AO333:AS333)</x:f>
        <x:v>-1074.043</x:v>
      </x:c>
      <x:c r="AU333" s="65" t="n">
        <x:f>AT333/AK333</x:f>
        <x:v>-0.587648923917831</x:v>
      </x:c>
      <x:c r="AV333" s="64" t="n">
        <x:f>AK333+AT333</x:f>
        <x:v>753.6519999999998</x:v>
      </x:c>
      <x:c r="AW333" s="65" t="n">
        <x:f>AV333/AK333</x:f>
        <x:v>0.41235107608216903</x:v>
      </x:c>
      <x:c r="AX333" s="64" t="n">
        <x:f>-ROUND(AK333*'Drivers'!W333,3)</x:f>
        <x:v>-21.618</x:v>
      </x:c>
      <x:c r="AY333" s="64" t="n">
        <x:f>-ROUND(AK333*'Drivers'!X333,3)</x:f>
        <x:v>-33.373</x:v>
      </x:c>
      <x:c r="AZ333" s="64" t="n">
        <x:f>-ROUND(AK333*'Drivers'!Y333,3)</x:f>
        <x:v>-36.131</x:v>
      </x:c>
      <x:c r="BA333" s="64" t="n">
        <x:f>-ROUND(AK333*'Drivers'!Z333,3)</x:f>
        <x:v>-12.858</x:v>
      </x:c>
      <x:c r="BB333" s="64" t="n">
        <x:f>-ROUND(AK333*'Drivers'!AA333,3)</x:f>
        <x:v>-13.33</x:v>
      </x:c>
      <x:c r="BC333" s="64" t="n">
        <x:f>SUM(BA333,BB333)</x:f>
        <x:v>-26.188000000000002</x:v>
      </x:c>
      <x:c r="BD333" s="64" t="n">
        <x:f>-ROUND(AK333*'Drivers'!AB333,3)</x:f>
        <x:v>-8.612</x:v>
      </x:c>
      <x:c r="BE333" s="64" t="n">
        <x:f>SUM(AX333:BB333,BD333)</x:f>
        <x:v>-125.922</x:v>
      </x:c>
      <x:c r="BF333" s="67" t="n">
        <x:f>'Drivers'!AF333</x:f>
        <x:v>10</x:v>
      </x:c>
      <x:c r="BG333" s="64" t="n">
        <x:f>BJ333</x:f>
        <x:v>-51.98</x:v>
      </x:c>
      <x:c r="BH333" s="64" t="n">
        <x:f>BE333/BF333</x:f>
        <x:v>-12.5922</x:v>
      </x:c>
      <x:c r="BI333" s="68" t="n">
        <x:f>BF333/L333</x:f>
        <x:v>1.6666666666666667</x:v>
      </x:c>
      <x:c r="BJ333" s="64" t="n">
        <x:f>-ROUND(AK333*'Drivers'!AC333,3)</x:f>
        <x:v>-51.98</x:v>
      </x:c>
      <x:c r="BK333" s="64" t="n">
        <x:f>-ROUND(AK333*'Drivers'!AD333,3)</x:f>
        <x:v>-198.636</x:v>
      </x:c>
      <x:c r="BL333" s="64" t="n">
        <x:f>SUM(AV333,BE333,BJ333,BK333)</x:f>
        <x:v>377.1139999999998</x:v>
      </x:c>
      <x:c r="BM333" s="65" t="n">
        <x:f>BL333/AK333</x:f>
        <x:v>0.20633311356654138</x:v>
      </x:c>
      <x:c r="BN333" s="64" t="n">
        <x:f>-ROUND(AK333*'Drivers'!AE333,3)</x:f>
        <x:v>-127.282</x:v>
      </x:c>
      <x:c r="BO333" s="64" t="n">
        <x:f>BL333+BN333</x:f>
        <x:v>249.83199999999982</x:v>
      </x:c>
      <x:c r="BP333" s="65" t="n">
        <x:f>BO333/AK333</x:f>
        <x:v>0.13669239123595558</x:v>
      </x:c>
    </x:row>
    <x:row r="334">
      <x:c r="A334" s="61" t="n">
        <x:v>2025</x:v>
      </x:c>
      <x:c r="B334" s="18" t="str">
        <x:v>S1</x:v>
      </x:c>
      <x:c r="C334" s="18" t="str">
        <x:v>2025 S1</x:v>
      </x:c>
      <x:c r="D334" s="18" t="str">
        <x:v>CNCT0084</x:v>
      </x:c>
      <x:c r="E334" s="18" t="str">
        <x:v>西安开元商城钟楼店</x:v>
      </x:c>
      <x:c r="F334" s="18" t="str">
        <x:v>西安</x:v>
      </x:c>
      <x:c r="G334" s="18" t="str">
        <x:v>陕西省</x:v>
      </x:c>
      <x:c r="H334" s="18" t="str">
        <x:v>西区</x:v>
      </x:c>
      <x:c r="I334" s="18" t="str">
        <x:v>Department Store</x:v>
      </x:c>
      <x:c r="J334" s="18" t="str">
        <x:v>Core Shopping Center</x:v>
      </x:c>
      <x:c r="K334" s="18" t="str">
        <x:v>正常</x:v>
      </x:c>
      <x:c r="L334" s="62" t="n">
        <x:v>5</x:v>
      </x:c>
      <x:c r="M334" s="62" t="n">
        <x:v>45</x:v>
      </x:c>
      <x:c r="N334" s="63" t="n">
        <x:f>'Drivers'!C334</x:f>
        <x:v>1770</x:v>
      </x:c>
      <x:c r="O334" s="63" t="n">
        <x:f>'Drivers'!D334</x:f>
        <x:v>1040.566</x:v>
      </x:c>
      <x:c r="P334" s="64" t="n">
        <x:f>ROUND(N334*O334/1000,3)</x:f>
        <x:v>1841.802</x:v>
      </x:c>
      <x:c r="Q334" s="64" t="n">
        <x:f>ROUND(P334*'Drivers'!E334,3)</x:f>
        <x:v>1811.493</x:v>
      </x:c>
      <x:c r="R334" s="64" t="n">
        <x:f>-ROUND(Q334*'Drivers'!F334,3)</x:f>
        <x:v>-292.7</x:v>
      </x:c>
      <x:c r="S334" s="65" t="n">
        <x:f>R334/Q334</x:f>
        <x:v>-0.1615794264730805</x:v>
      </x:c>
      <x:c r="T334" s="64" t="n">
        <x:f>-ROUND(Q334*'Drivers'!G334,3)</x:f>
        <x:v>-17.178</x:v>
      </x:c>
      <x:c r="U334" s="65" t="n">
        <x:f>T334/Q334</x:f>
        <x:v>-0.009482785746342934</x:v>
      </x:c>
      <x:c r="V334" s="64" t="n">
        <x:f>-ROUND(Q334*'Drivers'!H334,3)</x:f>
        <x:v>-17.103</x:v>
      </x:c>
      <x:c r="W334" s="64" t="n">
        <x:f>-ROUND(Q334*'Drivers'!I334,3)</x:f>
        <x:v>-14.734</x:v>
      </x:c>
      <x:c r="X334" s="64" t="n">
        <x:f>-ROUND(Q334*'Drivers'!J334,3)</x:f>
        <x:v>-27.487</x:v>
      </x:c>
      <x:c r="Y334" s="64" t="n">
        <x:f>-ROUND(Q334*'Drivers'!K334,3)</x:f>
        <x:v>-21.669</x:v>
      </x:c>
      <x:c r="Z334" s="64" t="n">
        <x:f>-ROUND(Q334*'Drivers'!L334,3)</x:f>
        <x:v>-23.571</x:v>
      </x:c>
      <x:c r="AA334" s="64" t="n">
        <x:f>-ROUND(Q334*'Drivers'!M334,3)</x:f>
        <x:v>-12.529</x:v>
      </x:c>
      <x:c r="AB334" s="64" t="n">
        <x:f>-ROUND(Q334*'Drivers'!N334,3)</x:f>
        <x:v>-12.414</x:v>
      </x:c>
      <x:c r="AC334" s="64" t="n">
        <x:f>SUM(V334:AB334)</x:f>
        <x:v>-129.50699999999998</x:v>
      </x:c>
      <x:c r="AD334" s="65" t="n">
        <x:f>AC334/Q334</x:f>
        <x:v>-0.07149185782114531</x:v>
      </x:c>
      <x:c r="AE334" s="64" t="n">
        <x:f>-ROUND(Q334*'Drivers'!O334,3)</x:f>
        <x:v>-11.065</x:v>
      </x:c>
      <x:c r="AF334" s="65" t="n">
        <x:f>AE334/Q334</x:f>
        <x:v>-0.006108221229670774</x:v>
      </x:c>
      <x:c r="AG334" s="64" t="n">
        <x:f>-ROUND(Q334*'Drivers'!P334,3)</x:f>
        <x:v>-3.438</x:v>
      </x:c>
      <x:c r="AH334" s="64" t="n">
        <x:f>-ROUND(Q334*'Drivers'!Q334,3)</x:f>
        <x:v>-4.036</x:v>
      </x:c>
      <x:c r="AI334" s="64" t="n">
        <x:f>SUM(R334,T334,AC334,AE334,AG334,AH334)</x:f>
        <x:v>-457.924</x:v>
      </x:c>
      <x:c r="AJ334" s="65" t="n">
        <x:f>AI334/Q334</x:f>
        <x:v>-0.25278816975831536</x:v>
      </x:c>
      <x:c r="AK334" s="64" t="n">
        <x:f>Q334+AI334</x:f>
        <x:v>1353.569</x:v>
      </x:c>
      <x:c r="AL334" s="65" t="n">
        <x:f>AK334/Q334</x:f>
        <x:v>0.7472118302416846</x:v>
      </x:c>
      <x:c r="AM334" s="64" t="n">
        <x:f>AK334/L334</x:f>
        <x:v>270.7138</x:v>
      </x:c>
      <x:c r="AN334" s="66" t="str">
        <x:f>IF(AM334&lt;=200,"≤200K",IF(AM334&lt;=350,"200–350K",IF(AM334&lt;=500,"350–500K",IF(AM334&lt;=700,"500–700K","&gt;700K"))))</x:f>
        <x:v>200–350K</x:v>
      </x:c>
      <x:c r="AO334" s="64" t="n">
        <x:f>-ROUND(Q334*'Drivers'!R334,3)</x:f>
        <x:v>-694.156</x:v>
      </x:c>
      <x:c r="AP334" s="64" t="n">
        <x:f>-ROUND(AK334*'Drivers'!S334,3)</x:f>
        <x:v>-18.001</x:v>
      </x:c>
      <x:c r="AQ334" s="64" t="n">
        <x:f>-ROUND(AK334*'Drivers'!T334,3)</x:f>
        <x:v>-5.733</x:v>
      </x:c>
      <x:c r="AR334" s="64" t="n">
        <x:f>-ROUND(AK334*'Drivers'!U334,3)</x:f>
        <x:v>-13.914</x:v>
      </x:c>
      <x:c r="AS334" s="64" t="n">
        <x:f>-ROUND(AK334*'Drivers'!V334,3)</x:f>
        <x:v>-43.717</x:v>
      </x:c>
      <x:c r="AT334" s="64" t="n">
        <x:f>SUM(AO334:AS334)</x:f>
        <x:v>-775.5209999999998</x:v>
      </x:c>
      <x:c r="AU334" s="65" t="n">
        <x:f>AT334/AK334</x:f>
        <x:v>-0.5729453023820728</x:v>
      </x:c>
      <x:c r="AV334" s="64" t="n">
        <x:f>AK334+AT334</x:f>
        <x:v>578.0480000000001</x:v>
      </x:c>
      <x:c r="AW334" s="65" t="n">
        <x:f>AV334/AK334</x:f>
        <x:v>0.42705469761792725</x:v>
      </x:c>
      <x:c r="AX334" s="64" t="n">
        <x:f>-ROUND(AK334*'Drivers'!W334,3)</x:f>
        <x:v>-17.089</x:v>
      </x:c>
      <x:c r="AY334" s="64" t="n">
        <x:f>-ROUND(AK334*'Drivers'!X334,3)</x:f>
        <x:v>-35.65</x:v>
      </x:c>
      <x:c r="AZ334" s="64" t="n">
        <x:f>-ROUND(AK334*'Drivers'!Y334,3)</x:f>
        <x:v>-21.016</x:v>
      </x:c>
      <x:c r="BA334" s="64" t="n">
        <x:f>-ROUND(AK334*'Drivers'!Z334,3)</x:f>
        <x:v>-6.14</x:v>
      </x:c>
      <x:c r="BB334" s="64" t="n">
        <x:f>-ROUND(AK334*'Drivers'!AA334,3)</x:f>
        <x:v>-12.145</x:v>
      </x:c>
      <x:c r="BC334" s="64" t="n">
        <x:f>SUM(BA334,BB334)</x:f>
        <x:v>-18.285</x:v>
      </x:c>
      <x:c r="BD334" s="64" t="n">
        <x:f>-ROUND(AK334*'Drivers'!AB334,3)</x:f>
        <x:v>-6.473</x:v>
      </x:c>
      <x:c r="BE334" s="64" t="n">
        <x:f>SUM(AX334:BB334,BD334)</x:f>
        <x:v>-98.51299999999999</x:v>
      </x:c>
      <x:c r="BF334" s="67" t="n">
        <x:f>'Drivers'!AF334</x:f>
        <x:v>7</x:v>
      </x:c>
      <x:c r="BG334" s="64" t="n">
        <x:f>BJ334</x:f>
        <x:v>-24.258</x:v>
      </x:c>
      <x:c r="BH334" s="64" t="n">
        <x:f>BE334/BF334</x:f>
        <x:v>-14.073285714285714</x:v>
      </x:c>
      <x:c r="BI334" s="68" t="n">
        <x:f>BF334/L334</x:f>
        <x:v>1.4</x:v>
      </x:c>
      <x:c r="BJ334" s="64" t="n">
        <x:f>-ROUND(AK334*'Drivers'!AC334,3)</x:f>
        <x:v>-24.258</x:v>
      </x:c>
      <x:c r="BK334" s="64" t="n">
        <x:f>-ROUND(AK334*'Drivers'!AD334,3)</x:f>
        <x:v>-110.257</x:v>
      </x:c>
      <x:c r="BL334" s="64" t="n">
        <x:f>SUM(AV334,BE334,BJ334,BK334)</x:f>
        <x:v>345.02000000000015</x:v>
      </x:c>
      <x:c r="BM334" s="65" t="n">
        <x:f>BL334/AK334</x:f>
        <x:v>0.25489649955044785</x:v>
      </x:c>
      <x:c r="BN334" s="64" t="n">
        <x:f>-ROUND(AK334*'Drivers'!AE334,3)</x:f>
        <x:v>-107.606</x:v>
      </x:c>
      <x:c r="BO334" s="64" t="n">
        <x:f>BL334+BN334</x:f>
        <x:v>237.41400000000016</x:v>
      </x:c>
      <x:c r="BP334" s="65" t="n">
        <x:f>BO334/AK334</x:f>
        <x:v>0.17539852050394192</x:v>
      </x:c>
    </x:row>
    <x:row r="335">
      <x:c r="A335" s="61" t="n">
        <x:v>2025</x:v>
      </x:c>
      <x:c r="B335" s="18" t="str">
        <x:v>S2</x:v>
      </x:c>
      <x:c r="C335" s="18" t="str">
        <x:v>2025 S2</x:v>
      </x:c>
      <x:c r="D335" s="18" t="str">
        <x:v>CNCT0084</x:v>
      </x:c>
      <x:c r="E335" s="18" t="str">
        <x:v>西安开元商城钟楼店</x:v>
      </x:c>
      <x:c r="F335" s="18" t="str">
        <x:v>西安</x:v>
      </x:c>
      <x:c r="G335" s="18" t="str">
        <x:v>陕西省</x:v>
      </x:c>
      <x:c r="H335" s="18" t="str">
        <x:v>西区</x:v>
      </x:c>
      <x:c r="I335" s="18" t="str">
        <x:v>Department Store</x:v>
      </x:c>
      <x:c r="J335" s="18" t="str">
        <x:v>Core Shopping Center</x:v>
      </x:c>
      <x:c r="K335" s="18" t="str">
        <x:v>正常</x:v>
      </x:c>
      <x:c r="L335" s="62" t="n">
        <x:v>5</x:v>
      </x:c>
      <x:c r="M335" s="62" t="n">
        <x:v>45</x:v>
      </x:c>
      <x:c r="N335" s="63" t="n">
        <x:f>'Drivers'!C335</x:f>
        <x:v>1888</x:v>
      </x:c>
      <x:c r="O335" s="63" t="n">
        <x:f>'Drivers'!D335</x:f>
        <x:v>1053.053</x:v>
      </x:c>
      <x:c r="P335" s="64" t="n">
        <x:f>ROUND(N335*O335/1000,3)</x:f>
        <x:v>1988.164</x:v>
      </x:c>
      <x:c r="Q335" s="64" t="n">
        <x:f>ROUND(P335*'Drivers'!E335,3)</x:f>
        <x:v>1954.609</x:v>
      </x:c>
      <x:c r="R335" s="64" t="n">
        <x:f>-ROUND(Q335*'Drivers'!F335,3)</x:f>
        <x:v>-315.825</x:v>
      </x:c>
      <x:c r="S335" s="65" t="n">
        <x:f>R335/Q335</x:f>
        <x:v>-0.16157963050410593</x:v>
      </x:c>
      <x:c r="T335" s="64" t="n">
        <x:f>-ROUND(Q335*'Drivers'!G335,3)</x:f>
        <x:v>-18.535</x:v>
      </x:c>
      <x:c r="U335" s="65" t="n">
        <x:f>T335/Q335</x:f>
        <x:v>-0.009482714957313714</x:v>
      </x:c>
      <x:c r="V335" s="64" t="n">
        <x:f>-ROUND(Q335*'Drivers'!H335,3)</x:f>
        <x:v>-18.454</x:v>
      </x:c>
      <x:c r="W335" s="64" t="n">
        <x:f>-ROUND(Q335*'Drivers'!I335,3)</x:f>
        <x:v>-15.898</x:v>
      </x:c>
      <x:c r="X335" s="64" t="n">
        <x:f>-ROUND(Q335*'Drivers'!J335,3)</x:f>
        <x:v>-29.659</x:v>
      </x:c>
      <x:c r="Y335" s="64" t="n">
        <x:f>-ROUND(Q335*'Drivers'!K335,3)</x:f>
        <x:v>-23.381</x:v>
      </x:c>
      <x:c r="Z335" s="64" t="n">
        <x:f>-ROUND(Q335*'Drivers'!L335,3)</x:f>
        <x:v>-25.434</x:v>
      </x:c>
      <x:c r="AA335" s="64" t="n">
        <x:f>-ROUND(Q335*'Drivers'!M335,3)</x:f>
        <x:v>-13.519</x:v>
      </x:c>
      <x:c r="AB335" s="64" t="n">
        <x:f>-ROUND(Q335*'Drivers'!N335,3)</x:f>
        <x:v>-13.395</x:v>
      </x:c>
      <x:c r="AC335" s="64" t="n">
        <x:f>SUM(V335:AB335)</x:f>
        <x:v>-139.74</x:v>
      </x:c>
      <x:c r="AD335" s="65" t="n">
        <x:f>AC335/Q335</x:f>
        <x:v>-0.07149255938144151</x:v>
      </x:c>
      <x:c r="AE335" s="64" t="n">
        <x:f>-ROUND(Q335*'Drivers'!O335,3)</x:f>
        <x:v>-11.939</x:v>
      </x:c>
      <x:c r="AF335" s="65" t="n">
        <x:f>AE335/Q335</x:f>
        <x:v>-0.006108126996243238</x:v>
      </x:c>
      <x:c r="AG335" s="64" t="n">
        <x:f>-ROUND(Q335*'Drivers'!P335,3)</x:f>
        <x:v>-3.709</x:v>
      </x:c>
      <x:c r="AH335" s="64" t="n">
        <x:f>-ROUND(Q335*'Drivers'!Q335,3)</x:f>
        <x:v>-4.355</x:v>
      </x:c>
      <x:c r="AI335" s="64" t="n">
        <x:f>SUM(R335,T335,AC335,AE335,AG335,AH335)</x:f>
        <x:v>-494.10300000000007</x:v>
      </x:c>
      <x:c r="AJ335" s="65" t="n">
        <x:f>AI335/Q335</x:f>
        <x:v>-0.25278866514990983</x:v>
      </x:c>
      <x:c r="AK335" s="64" t="n">
        <x:f>Q335+AI335</x:f>
        <x:v>1460.5059999999999</x:v>
      </x:c>
      <x:c r="AL335" s="65" t="n">
        <x:f>AK335/Q335</x:f>
        <x:v>0.7472113348500902</x:v>
      </x:c>
      <x:c r="AM335" s="64" t="n">
        <x:f>AK335/L335</x:f>
        <x:v>292.10119999999995</x:v>
      </x:c>
      <x:c r="AN335" s="66" t="str">
        <x:f>IF(AM335&lt;=200,"≤200K",IF(AM335&lt;=350,"200–350K",IF(AM335&lt;=500,"350–500K",IF(AM335&lt;=700,"500–700K","&gt;700K"))))</x:f>
        <x:v>200–350K</x:v>
      </x:c>
      <x:c r="AO335" s="64" t="n">
        <x:f>-ROUND(Q335*'Drivers'!R335,3)</x:f>
        <x:v>-732.387</x:v>
      </x:c>
      <x:c r="AP335" s="64" t="n">
        <x:f>-ROUND(AK335*'Drivers'!S335,3)</x:f>
        <x:v>-19.423</x:v>
      </x:c>
      <x:c r="AQ335" s="64" t="n">
        <x:f>-ROUND(AK335*'Drivers'!T335,3)</x:f>
        <x:v>-6.186</x:v>
      </x:c>
      <x:c r="AR335" s="64" t="n">
        <x:f>-ROUND(AK335*'Drivers'!U335,3)</x:f>
        <x:v>-15.014</x:v>
      </x:c>
      <x:c r="AS335" s="64" t="n">
        <x:f>-ROUND(AK335*'Drivers'!V335,3)</x:f>
        <x:v>-47.171</x:v>
      </x:c>
      <x:c r="AT335" s="64" t="n">
        <x:f>SUM(AO335:AS335)</x:f>
        <x:v>-820.181</x:v>
      </x:c>
      <x:c r="AU335" s="65" t="n">
        <x:f>AT335/AK335</x:f>
        <x:v>-0.5615731808017222</x:v>
      </x:c>
      <x:c r="AV335" s="64" t="n">
        <x:f>AK335+AT335</x:f>
        <x:v>640.3249999999998</x:v>
      </x:c>
      <x:c r="AW335" s="65" t="n">
        <x:f>AV335/AK335</x:f>
        <x:v>0.43842681919827775</x:v>
      </x:c>
      <x:c r="AX335" s="64" t="n">
        <x:f>-ROUND(AK335*'Drivers'!W335,3)</x:f>
        <x:v>-18.439</x:v>
      </x:c>
      <x:c r="AY335" s="64" t="n">
        <x:f>-ROUND(AK335*'Drivers'!X335,3)</x:f>
        <x:v>-38.466</x:v>
      </x:c>
      <x:c r="AZ335" s="64" t="n">
        <x:f>-ROUND(AK335*'Drivers'!Y335,3)</x:f>
        <x:v>-22.676</x:v>
      </x:c>
      <x:c r="BA335" s="64" t="n">
        <x:f>-ROUND(AK335*'Drivers'!Z335,3)</x:f>
        <x:v>-6.625</x:v>
      </x:c>
      <x:c r="BB335" s="64" t="n">
        <x:f>-ROUND(AK335*'Drivers'!AA335,3)</x:f>
        <x:v>-13.104</x:v>
      </x:c>
      <x:c r="BC335" s="64" t="n">
        <x:f>SUM(BA335,BB335)</x:f>
        <x:v>-19.729</x:v>
      </x:c>
      <x:c r="BD335" s="64" t="n">
        <x:f>-ROUND(AK335*'Drivers'!AB335,3)</x:f>
        <x:v>-6.984</x:v>
      </x:c>
      <x:c r="BE335" s="64" t="n">
        <x:f>SUM(AX335:BB335,BD335)</x:f>
        <x:v>-106.294</x:v>
      </x:c>
      <x:c r="BF335" s="67" t="n">
        <x:f>'Drivers'!AF335</x:f>
        <x:v>7</x:v>
      </x:c>
      <x:c r="BG335" s="64" t="n">
        <x:f>BJ335</x:f>
        <x:v>-26.174</x:v>
      </x:c>
      <x:c r="BH335" s="64" t="n">
        <x:f>BE335/BF335</x:f>
        <x:v>-15.184857142857142</x:v>
      </x:c>
      <x:c r="BI335" s="68" t="n">
        <x:f>BF335/L335</x:f>
        <x:v>1.4</x:v>
      </x:c>
      <x:c r="BJ335" s="64" t="n">
        <x:f>-ROUND(AK335*'Drivers'!AC335,3)</x:f>
        <x:v>-26.174</x:v>
      </x:c>
      <x:c r="BK335" s="64" t="n">
        <x:f>-ROUND(AK335*'Drivers'!AD335,3)</x:f>
        <x:v>-118.967</x:v>
      </x:c>
      <x:c r="BL335" s="64" t="n">
        <x:f>SUM(AV335,BE335,BJ335,BK335)</x:f>
        <x:v>388.8899999999999</x:v>
      </x:c>
      <x:c r="BM335" s="65" t="n">
        <x:f>BL335/AK335</x:f>
        <x:v>0.26627073082890446</x:v>
      </x:c>
      <x:c r="BN335" s="64" t="n">
        <x:f>-ROUND(AK335*'Drivers'!AE335,3)</x:f>
        <x:v>-125.999</x:v>
      </x:c>
      <x:c r="BO335" s="64" t="n">
        <x:f>BL335+BN335</x:f>
        <x:v>262.89099999999985</x:v>
      </x:c>
      <x:c r="BP335" s="65" t="n">
        <x:f>BO335/AK335</x:f>
        <x:v>0.17999994522446322</x:v>
      </x:c>
    </x:row>
    <x:row r="336">
      <x:c r="A336" s="61" t="n">
        <x:v>2026</x:v>
      </x:c>
      <x:c r="B336" s="18" t="str">
        <x:v>S1</x:v>
      </x:c>
      <x:c r="C336" s="18" t="str">
        <x:v>2026 S1</x:v>
      </x:c>
      <x:c r="D336" s="18" t="str">
        <x:v>CNCT0084</x:v>
      </x:c>
      <x:c r="E336" s="18" t="str">
        <x:v>西安开元商城钟楼店</x:v>
      </x:c>
      <x:c r="F336" s="18" t="str">
        <x:v>西安</x:v>
      </x:c>
      <x:c r="G336" s="18" t="str">
        <x:v>陕西省</x:v>
      </x:c>
      <x:c r="H336" s="18" t="str">
        <x:v>西区</x:v>
      </x:c>
      <x:c r="I336" s="18" t="str">
        <x:v>Department Store</x:v>
      </x:c>
      <x:c r="J336" s="18" t="str">
        <x:v>Core Shopping Center</x:v>
      </x:c>
      <x:c r="K336" s="18" t="str">
        <x:v>正常</x:v>
      </x:c>
      <x:c r="L336" s="62" t="n">
        <x:v>5</x:v>
      </x:c>
      <x:c r="M336" s="62" t="n">
        <x:v>45</x:v>
      </x:c>
      <x:c r="N336" s="63" t="n">
        <x:f>'Drivers'!C336</x:f>
        <x:v>1803</x:v>
      </x:c>
      <x:c r="O336" s="63" t="n">
        <x:f>'Drivers'!D336</x:f>
        <x:v>1088.941</x:v>
      </x:c>
      <x:c r="P336" s="64" t="n">
        <x:f>ROUND(N336*O336/1000,3)</x:f>
        <x:v>1963.361</x:v>
      </x:c>
      <x:c r="Q336" s="64" t="n">
        <x:f>ROUND(P336*'Drivers'!E336,3)</x:f>
        <x:v>1927.513</x:v>
      </x:c>
      <x:c r="R336" s="64" t="n">
        <x:f>-ROUND(Q336*'Drivers'!F336,3)</x:f>
        <x:v>-311.398</x:v>
      </x:c>
      <x:c r="S336" s="65" t="n">
        <x:f>R336/Q336</x:f>
        <x:v>-0.16155429301903543</x:v>
      </x:c>
      <x:c r="T336" s="64" t="n">
        <x:f>-ROUND(Q336*'Drivers'!G336,3)</x:f>
        <x:v>-17.663</x:v>
      </x:c>
      <x:c r="U336" s="65" t="n">
        <x:f>T336/Q336</x:f>
        <x:v>-0.009163621723952057</x:v>
      </x:c>
      <x:c r="V336" s="64" t="n">
        <x:f>-ROUND(Q336*'Drivers'!H336,3)</x:f>
        <x:v>-18.198</x:v>
      </x:c>
      <x:c r="W336" s="64" t="n">
        <x:f>-ROUND(Q336*'Drivers'!I336,3)</x:f>
        <x:v>-15.678</x:v>
      </x:c>
      <x:c r="X336" s="64" t="n">
        <x:f>-ROUND(Q336*'Drivers'!J336,3)</x:f>
        <x:v>-29.248</x:v>
      </x:c>
      <x:c r="Y336" s="64" t="n">
        <x:f>-ROUND(Q336*'Drivers'!K336,3)</x:f>
        <x:v>-23.057</x:v>
      </x:c>
      <x:c r="Z336" s="64" t="n">
        <x:f>-ROUND(Q336*'Drivers'!L336,3)</x:f>
        <x:v>-25.081</x:v>
      </x:c>
      <x:c r="AA336" s="64" t="n">
        <x:f>-ROUND(Q336*'Drivers'!M336,3)</x:f>
        <x:v>-13.332</x:v>
      </x:c>
      <x:c r="AB336" s="64" t="n">
        <x:f>-ROUND(Q336*'Drivers'!N336,3)</x:f>
        <x:v>-13.209</x:v>
      </x:c>
      <x:c r="AC336" s="64" t="n">
        <x:f>SUM(V336:AB336)</x:f>
        <x:v>-137.80300000000003</x:v>
      </x:c>
      <x:c r="AD336" s="65" t="n">
        <x:f>AC336/Q336</x:f>
        <x:v>-0.0714926436293815</x:v>
      </x:c>
      <x:c r="AE336" s="64" t="n">
        <x:f>-ROUND(Q336*'Drivers'!O336,3)</x:f>
        <x:v>-14.391</x:v>
      </x:c>
      <x:c r="AF336" s="65" t="n">
        <x:f>AE336/Q336</x:f>
        <x:v>-0.007466097504919552</x:v>
      </x:c>
      <x:c r="AG336" s="64" t="n">
        <x:f>-ROUND(Q336*'Drivers'!P336,3)</x:f>
        <x:v>-3.658</x:v>
      </x:c>
      <x:c r="AH336" s="64" t="n">
        <x:f>-ROUND(Q336*'Drivers'!Q336,3)</x:f>
        <x:v>-4.295</x:v>
      </x:c>
      <x:c r="AI336" s="64" t="n">
        <x:f>SUM(R336,T336,AC336,AE336,AG336,AH336)</x:f>
        <x:v>-489.2080000000001</x:v>
      </x:c>
      <x:c r="AJ336" s="65" t="n">
        <x:f>AI336/Q336</x:f>
        <x:v>-0.2538026980881582</x:v>
      </x:c>
      <x:c r="AK336" s="64" t="n">
        <x:f>Q336+AI336</x:f>
        <x:v>1438.3049999999998</x:v>
      </x:c>
      <x:c r="AL336" s="65" t="n">
        <x:f>AK336/Q336</x:f>
        <x:v>0.7461973019118417</x:v>
      </x:c>
      <x:c r="AM336" s="64" t="n">
        <x:f>AK336/L336</x:f>
        <x:v>287.66099999999994</x:v>
      </x:c>
      <x:c r="AN336" s="66" t="str">
        <x:f>IF(AM336&lt;=200,"≤200K",IF(AM336&lt;=350,"200–350K",IF(AM336&lt;=500,"350–500K",IF(AM336&lt;=700,"500–700K","&gt;700K"))))</x:f>
        <x:v>200–350K</x:v>
      </x:c>
      <x:c r="AO336" s="64" t="n">
        <x:f>-ROUND(Q336*'Drivers'!R336,3)</x:f>
        <x:v>-741.838</x:v>
      </x:c>
      <x:c r="AP336" s="64" t="n">
        <x:f>-ROUND(AK336*'Drivers'!S336,3)</x:f>
        <x:v>-19.128</x:v>
      </x:c>
      <x:c r="AQ336" s="64" t="n">
        <x:f>-ROUND(AK336*'Drivers'!T336,3)</x:f>
        <x:v>-6.091</x:v>
      </x:c>
      <x:c r="AR336" s="64" t="n">
        <x:f>-ROUND(AK336*'Drivers'!U336,3)</x:f>
        <x:v>-14.785</x:v>
      </x:c>
      <x:c r="AS336" s="64" t="n">
        <x:f>-ROUND(AK336*'Drivers'!V336,3)</x:f>
        <x:v>-46.454</x:v>
      </x:c>
      <x:c r="AT336" s="64" t="n">
        <x:f>SUM(AO336:AS336)</x:f>
        <x:v>-828.2959999999999</x:v>
      </x:c>
      <x:c r="AU336" s="65" t="n">
        <x:f>AT336/AK336</x:f>
        <x:v>-0.575883418329214</x:v>
      </x:c>
      <x:c r="AV336" s="64" t="n">
        <x:f>AK336+AT336</x:f>
        <x:v>610.0089999999999</x:v>
      </x:c>
      <x:c r="AW336" s="65" t="n">
        <x:f>AV336/AK336</x:f>
        <x:v>0.4241165816707861</x:v>
      </x:c>
      <x:c r="AX336" s="64" t="n">
        <x:f>-ROUND(AK336*'Drivers'!W336,3)</x:f>
        <x:v>-22.343</x:v>
      </x:c>
      <x:c r="AY336" s="64" t="n">
        <x:f>-ROUND(AK336*'Drivers'!X336,3)</x:f>
        <x:v>-46.611</x:v>
      </x:c>
      <x:c r="AZ336" s="64" t="n">
        <x:f>-ROUND(AK336*'Drivers'!Y336,3)</x:f>
        <x:v>-27.478</x:v>
      </x:c>
      <x:c r="BA336" s="64" t="n">
        <x:f>-ROUND(AK336*'Drivers'!Z336,3)</x:f>
        <x:v>-8.028</x:v>
      </x:c>
      <x:c r="BB336" s="64" t="n">
        <x:f>-ROUND(AK336*'Drivers'!AA336,3)</x:f>
        <x:v>-15.879</x:v>
      </x:c>
      <x:c r="BC336" s="64" t="n">
        <x:f>SUM(BA336,BB336)</x:f>
        <x:v>-23.907</x:v>
      </x:c>
      <x:c r="BD336" s="64" t="n">
        <x:f>-ROUND(AK336*'Drivers'!AB336,3)</x:f>
        <x:v>-8.463</x:v>
      </x:c>
      <x:c r="BE336" s="64" t="n">
        <x:f>SUM(AX336:BB336,BD336)</x:f>
        <x:v>-128.802</x:v>
      </x:c>
      <x:c r="BF336" s="67" t="n">
        <x:f>'Drivers'!AF336</x:f>
        <x:v>7</x:v>
      </x:c>
      <x:c r="BG336" s="64" t="n">
        <x:f>BJ336</x:f>
        <x:v>-31.716</x:v>
      </x:c>
      <x:c r="BH336" s="64" t="n">
        <x:f>BE336/BF336</x:f>
        <x:v>-18.40028571428571</x:v>
      </x:c>
      <x:c r="BI336" s="68" t="n">
        <x:f>BF336/L336</x:f>
        <x:v>1.4</x:v>
      </x:c>
      <x:c r="BJ336" s="64" t="n">
        <x:f>-ROUND(AK336*'Drivers'!AC336,3)</x:f>
        <x:v>-31.716</x:v>
      </x:c>
      <x:c r="BK336" s="64" t="n">
        <x:f>-ROUND(AK336*'Drivers'!AD336,3)</x:f>
        <x:v>-117.159</x:v>
      </x:c>
      <x:c r="BL336" s="64" t="n">
        <x:f>SUM(AV336,BE336,BJ336,BK336)</x:f>
        <x:v>332.3319999999999</x:v>
      </x:c>
      <x:c r="BM336" s="65" t="n">
        <x:f>BL336/AK336</x:f>
        <x:v>0.2310580857328591</x:v>
      </x:c>
      <x:c r="BN336" s="64" t="n">
        <x:f>-ROUND(AK336*'Drivers'!AE336,3)</x:f>
        <x:v>-114.342</x:v>
      </x:c>
      <x:c r="BO336" s="64" t="n">
        <x:f>BL336+BN336</x:f>
        <x:v>217.9899999999999</x:v>
      </x:c>
      <x:c r="BP336" s="65" t="n">
        <x:f>BO336/AK336</x:f>
        <x:v>0.15156034359888892</x:v>
      </x:c>
    </x:row>
    <x:row r="337">
      <x:c r="A337" s="61" t="n">
        <x:v>2026</x:v>
      </x:c>
      <x:c r="B337" s="18" t="str">
        <x:v>S2</x:v>
      </x:c>
      <x:c r="C337" s="18" t="str">
        <x:v>2026 S2</x:v>
      </x:c>
      <x:c r="D337" s="18" t="str">
        <x:v>CNCT0084</x:v>
      </x:c>
      <x:c r="E337" s="18" t="str">
        <x:v>西安开元商城钟楼店</x:v>
      </x:c>
      <x:c r="F337" s="18" t="str">
        <x:v>西安</x:v>
      </x:c>
      <x:c r="G337" s="18" t="str">
        <x:v>陕西省</x:v>
      </x:c>
      <x:c r="H337" s="18" t="str">
        <x:v>西区</x:v>
      </x:c>
      <x:c r="I337" s="18" t="str">
        <x:v>Department Store</x:v>
      </x:c>
      <x:c r="J337" s="18" t="str">
        <x:v>Core Shopping Center</x:v>
      </x:c>
      <x:c r="K337" s="18" t="str">
        <x:v>正常</x:v>
      </x:c>
      <x:c r="L337" s="62" t="n">
        <x:v>5</x:v>
      </x:c>
      <x:c r="M337" s="62" t="n">
        <x:v>45</x:v>
      </x:c>
      <x:c r="N337" s="63" t="n">
        <x:f>'Drivers'!C337</x:f>
        <x:v>1970</x:v>
      </x:c>
      <x:c r="O337" s="63" t="n">
        <x:f>'Drivers'!D337</x:f>
        <x:v>1093.831</x:v>
      </x:c>
      <x:c r="P337" s="64" t="n">
        <x:f>ROUND(N337*O337/1000,3)</x:f>
        <x:v>2154.847</x:v>
      </x:c>
      <x:c r="Q337" s="64" t="n">
        <x:f>ROUND(P337*'Drivers'!E337,3)</x:f>
        <x:v>2118.478</x:v>
      </x:c>
      <x:c r="R337" s="64" t="n">
        <x:f>-ROUND(Q337*'Drivers'!F337,3)</x:f>
        <x:v>-353.766</x:v>
      </x:c>
      <x:c r="S337" s="65" t="n">
        <x:f>R337/Q337</x:f>
        <x:v>-0.16699064139443506</x:v>
      </x:c>
      <x:c r="T337" s="64" t="n">
        <x:f>-ROUND(Q337*'Drivers'!G337,3)</x:f>
        <x:v>-18.735</x:v>
      </x:c>
      <x:c r="U337" s="65" t="n">
        <x:f>T337/Q337</x:f>
        <x:v>-0.008843613197776894</x:v>
      </x:c>
      <x:c r="V337" s="64" t="n">
        <x:f>-ROUND(Q337*'Drivers'!H337,3)</x:f>
        <x:v>-20.001</x:v>
      </x:c>
      <x:c r="W337" s="64" t="n">
        <x:f>-ROUND(Q337*'Drivers'!I337,3)</x:f>
        <x:v>-17.231</x:v>
      </x:c>
      <x:c r="X337" s="64" t="n">
        <x:f>-ROUND(Q337*'Drivers'!J337,3)</x:f>
        <x:v>-32.145</x:v>
      </x:c>
      <x:c r="Y337" s="64" t="n">
        <x:f>-ROUND(Q337*'Drivers'!K337,3)</x:f>
        <x:v>-25.341</x:v>
      </x:c>
      <x:c r="Z337" s="64" t="n">
        <x:f>-ROUND(Q337*'Drivers'!L337,3)</x:f>
        <x:v>-27.566</x:v>
      </x:c>
      <x:c r="AA337" s="64" t="n">
        <x:f>-ROUND(Q337*'Drivers'!M337,3)</x:f>
        <x:v>-14.653</x:v>
      </x:c>
      <x:c r="AB337" s="64" t="n">
        <x:f>-ROUND(Q337*'Drivers'!N337,3)</x:f>
        <x:v>-14.518</x:v>
      </x:c>
      <x:c r="AC337" s="64" t="n">
        <x:f>SUM(V337:AB337)</x:f>
        <x:v>-151.455</x:v>
      </x:c>
      <x:c r="AD337" s="65" t="n">
        <x:f>AC337/Q337</x:f>
        <x:v>-0.0714923638574486</x:v>
      </x:c>
      <x:c r="AE337" s="64" t="n">
        <x:f>-ROUND(Q337*'Drivers'!O337,3)</x:f>
        <x:v>-12.94</x:v>
      </x:c>
      <x:c r="AF337" s="65" t="n">
        <x:f>AE337/Q337</x:f>
        <x:v>-0.006108158781917962</x:v>
      </x:c>
      <x:c r="AG337" s="64" t="n">
        <x:f>-ROUND(Q337*'Drivers'!P337,3)</x:f>
        <x:v>-4.02</x:v>
      </x:c>
      <x:c r="AH337" s="64" t="n">
        <x:f>-ROUND(Q337*'Drivers'!Q337,3)</x:f>
        <x:v>-4.72</x:v>
      </x:c>
      <x:c r="AI337" s="64" t="n">
        <x:f>SUM(R337,T337,AC337,AE337,AG337,AH337)</x:f>
        <x:v>-545.6360000000001</x:v>
      </x:c>
      <x:c r="AJ337" s="65" t="n">
        <x:f>AI337/Q337</x:f>
        <x:v>-0.257560380612874</x:v>
      </x:c>
      <x:c r="AK337" s="64" t="n">
        <x:f>Q337+AI337</x:f>
        <x:v>1572.842</x:v>
      </x:c>
      <x:c r="AL337" s="65" t="n">
        <x:f>AK337/Q337</x:f>
        <x:v>0.7424396193871261</x:v>
      </x:c>
      <x:c r="AM337" s="64" t="n">
        <x:f>AK337/L337</x:f>
        <x:v>314.5684</x:v>
      </x:c>
      <x:c r="AN337" s="66" t="str">
        <x:f>IF(AM337&lt;=200,"≤200K",IF(AM337&lt;=350,"200–350K",IF(AM337&lt;=500,"350–500K",IF(AM337&lt;=700,"500–700K","&gt;700K"))))</x:f>
        <x:v>200–350K</x:v>
      </x:c>
      <x:c r="AO337" s="64" t="n">
        <x:f>-ROUND(Q337*'Drivers'!R337,3)</x:f>
        <x:v>-792.854</x:v>
      </x:c>
      <x:c r="AP337" s="64" t="n">
        <x:f>-ROUND(AK337*'Drivers'!S337,3)</x:f>
        <x:v>-20.917</x:v>
      </x:c>
      <x:c r="AQ337" s="64" t="n">
        <x:f>-ROUND(AK337*'Drivers'!T337,3)</x:f>
        <x:v>-6.661</x:v>
      </x:c>
      <x:c r="AR337" s="64" t="n">
        <x:f>-ROUND(AK337*'Drivers'!U337,3)</x:f>
        <x:v>-16.168</x:v>
      </x:c>
      <x:c r="AS337" s="64" t="n">
        <x:f>-ROUND(AK337*'Drivers'!V337,3)</x:f>
        <x:v>-50.8</x:v>
      </x:c>
      <x:c r="AT337" s="64" t="n">
        <x:f>SUM(AO337:AS337)</x:f>
        <x:v>-887.4</x:v>
      </x:c>
      <x:c r="AU337" s="65" t="n">
        <x:f>AT337/AK337</x:f>
        <x:v>-0.5642016171999475</x:v>
      </x:c>
      <x:c r="AV337" s="64" t="n">
        <x:f>AK337+AT337</x:f>
        <x:v>685.4420000000001</x:v>
      </x:c>
      <x:c r="AW337" s="65" t="n">
        <x:f>AV337/AK337</x:f>
        <x:v>0.43579838280005245</x:v>
      </x:c>
      <x:c r="AX337" s="64" t="n">
        <x:f>-ROUND(AK337*'Drivers'!W337,3)</x:f>
        <x:v>-21.048</x:v>
      </x:c>
      <x:c r="AY337" s="64" t="n">
        <x:f>-ROUND(AK337*'Drivers'!X337,3)</x:f>
        <x:v>-43.91</x:v>
      </x:c>
      <x:c r="AZ337" s="64" t="n">
        <x:f>-ROUND(AK337*'Drivers'!Y337,3)</x:f>
        <x:v>-25.886</x:v>
      </x:c>
      <x:c r="BA337" s="64" t="n">
        <x:f>-ROUND(AK337*'Drivers'!Z337,3)</x:f>
        <x:v>-7.562</x:v>
      </x:c>
      <x:c r="BB337" s="64" t="n">
        <x:f>-ROUND(AK337*'Drivers'!AA337,3)</x:f>
        <x:v>-14.959</x:v>
      </x:c>
      <x:c r="BC337" s="64" t="n">
        <x:f>SUM(BA337,BB337)</x:f>
        <x:v>-22.521</x:v>
      </x:c>
      <x:c r="BD337" s="64" t="n">
        <x:f>-ROUND(AK337*'Drivers'!AB337,3)</x:f>
        <x:v>-7.973</x:v>
      </x:c>
      <x:c r="BE337" s="64" t="n">
        <x:f>SUM(AX337:BB337,BD337)</x:f>
        <x:v>-121.338</x:v>
      </x:c>
      <x:c r="BF337" s="67" t="n">
        <x:f>'Drivers'!AF337</x:f>
        <x:v>7</x:v>
      </x:c>
      <x:c r="BG337" s="64" t="n">
        <x:f>BJ337</x:f>
        <x:v>-29.879</x:v>
      </x:c>
      <x:c r="BH337" s="64" t="n">
        <x:f>BE337/BF337</x:f>
        <x:v>-17.334</x:v>
      </x:c>
      <x:c r="BI337" s="68" t="n">
        <x:f>BF337/L337</x:f>
        <x:v>1.4</x:v>
      </x:c>
      <x:c r="BJ337" s="64" t="n">
        <x:f>-ROUND(AK337*'Drivers'!AC337,3)</x:f>
        <x:v>-29.879</x:v>
      </x:c>
      <x:c r="BK337" s="64" t="n">
        <x:f>-ROUND(AK337*'Drivers'!AD337,3)</x:f>
        <x:v>-128.118</x:v>
      </x:c>
      <x:c r="BL337" s="64" t="n">
        <x:f>SUM(AV337,BE337,BJ337,BK337)</x:f>
        <x:v>406.10700000000014</x:v>
      </x:c>
      <x:c r="BM337" s="65" t="n">
        <x:f>BL337/AK337</x:f>
        <x:v>0.25819948856909986</x:v>
      </x:c>
      <x:c r="BN337" s="64" t="n">
        <x:f>-ROUND(AK337*'Drivers'!AE337,3)</x:f>
        <x:v>-135.69</x:v>
      </x:c>
      <x:c r="BO337" s="64" t="n">
        <x:f>BL337+BN337</x:f>
        <x:v>270.41700000000014</x:v>
      </x:c>
      <x:c r="BP337" s="65" t="n">
        <x:f>BO337/AK337</x:f>
        <x:v>0.17192890322104834</x:v>
      </x:c>
    </x:row>
    <x:row r="338">
      <x:c r="A338" s="61" t="n">
        <x:v>2025</x:v>
      </x:c>
      <x:c r="B338" s="18" t="str">
        <x:v>S1</x:v>
      </x:c>
      <x:c r="C338" s="18" t="str">
        <x:v>2025 S1</x:v>
      </x:c>
      <x:c r="D338" s="18" t="str">
        <x:v>CNCT0085</x:v>
      </x:c>
      <x:c r="E338" s="18" t="str">
        <x:v>西安大悦城</x:v>
      </x:c>
      <x:c r="F338" s="18" t="str">
        <x:v>西安</x:v>
      </x:c>
      <x:c r="G338" s="18" t="str">
        <x:v>陕西省</x:v>
      </x:c>
      <x:c r="H338" s="18" t="str">
        <x:v>西区</x:v>
      </x:c>
      <x:c r="I338" s="18" t="str">
        <x:v>Shopping Mall</x:v>
      </x:c>
      <x:c r="J338" s="18" t="str">
        <x:v>Core Shopping Center</x:v>
      </x:c>
      <x:c r="K338" s="18" t="str">
        <x:v>正常</x:v>
      </x:c>
      <x:c r="L338" s="62" t="n">
        <x:v>5</x:v>
      </x:c>
      <x:c r="M338" s="62" t="n">
        <x:v>45</x:v>
      </x:c>
      <x:c r="N338" s="63" t="n">
        <x:f>'Drivers'!C338</x:f>
        <x:v>1978</x:v>
      </x:c>
      <x:c r="O338" s="63" t="n">
        <x:f>'Drivers'!D338</x:f>
        <x:v>1147.373</x:v>
      </x:c>
      <x:c r="P338" s="64" t="n">
        <x:f>ROUND(N338*O338/1000,3)</x:f>
        <x:v>2269.504</x:v>
      </x:c>
      <x:c r="Q338" s="64" t="n">
        <x:f>ROUND(P338*'Drivers'!E338,3)</x:f>
        <x:v>2217.032</x:v>
      </x:c>
      <x:c r="R338" s="64" t="n">
        <x:f>-ROUND(Q338*'Drivers'!F338,3)</x:f>
        <x:v>-376.514</x:v>
      </x:c>
      <x:c r="S338" s="65" t="n">
        <x:f>R338/Q338</x:f>
        <x:v>-0.16982795016039462</x:v>
      </x:c>
      <x:c r="T338" s="64" t="n">
        <x:f>-ROUND(Q338*'Drivers'!G338,3)</x:f>
        <x:v>-23.751</x:v>
      </x:c>
      <x:c r="U338" s="65" t="n">
        <x:f>T338/Q338</x:f>
        <x:v>-0.010712971215571087</x:v>
      </x:c>
      <x:c r="V338" s="64" t="n">
        <x:f>-ROUND(Q338*'Drivers'!H338,3)</x:f>
        <x:v>-27.667</x:v>
      </x:c>
      <x:c r="W338" s="64" t="n">
        <x:f>-ROUND(Q338*'Drivers'!I338,3)</x:f>
        <x:v>-12.976</x:v>
      </x:c>
      <x:c r="X338" s="64" t="n">
        <x:f>-ROUND(Q338*'Drivers'!J338,3)</x:f>
        <x:v>-39.022</x:v>
      </x:c>
      <x:c r="Y338" s="64" t="n">
        <x:f>-ROUND(Q338*'Drivers'!K338,3)</x:f>
        <x:v>-19.883</x:v>
      </x:c>
      <x:c r="Z338" s="64" t="n">
        <x:f>-ROUND(Q338*'Drivers'!L338,3)</x:f>
        <x:v>-24.405</x:v>
      </x:c>
      <x:c r="AA338" s="64" t="n">
        <x:f>-ROUND(Q338*'Drivers'!M338,3)</x:f>
        <x:v>-14.605</x:v>
      </x:c>
      <x:c r="AB338" s="64" t="n">
        <x:f>-ROUND(Q338*'Drivers'!N338,3)</x:f>
        <x:v>-16.942</x:v>
      </x:c>
      <x:c r="AC338" s="64" t="n">
        <x:f>SUM(V338:AB338)</x:f>
        <x:v>-155.5</x:v>
      </x:c>
      <x:c r="AD338" s="65" t="n">
        <x:f>AC338/Q338</x:f>
        <x:v>-0.07013881621916147</x:v>
      </x:c>
      <x:c r="AE338" s="64" t="n">
        <x:f>-ROUND(Q338*'Drivers'!O338,3)</x:f>
        <x:v>-26.927</x:v>
      </x:c>
      <x:c r="AF338" s="65" t="n">
        <x:f>AE338/Q338</x:f>
        <x:v>-0.012145517069667915</x:v>
      </x:c>
      <x:c r="AG338" s="64" t="n">
        <x:f>-ROUND(Q338*'Drivers'!P338,3)</x:f>
        <x:v>-3.295</x:v>
      </x:c>
      <x:c r="AH338" s="64" t="n">
        <x:f>-ROUND(Q338*'Drivers'!Q338,3)</x:f>
        <x:v>-9.069</x:v>
      </x:c>
      <x:c r="AI338" s="64" t="n">
        <x:f>SUM(R338,T338,AC338,AE338,AG338,AH338)</x:f>
        <x:v>-595.0559999999999</x:v>
      </x:c>
      <x:c r="AJ338" s="65" t="n">
        <x:f>AI338/Q338</x:f>
        <x:v>-0.2684020798978093</x:v>
      </x:c>
      <x:c r="AK338" s="64" t="n">
        <x:f>Q338+AI338</x:f>
        <x:v>1621.976</x:v>
      </x:c>
      <x:c r="AL338" s="65" t="n">
        <x:f>AK338/Q338</x:f>
        <x:v>0.7315979201021907</x:v>
      </x:c>
      <x:c r="AM338" s="64" t="n">
        <x:f>AK338/L338</x:f>
        <x:v>324.39520000000005</x:v>
      </x:c>
      <x:c r="AN338" s="66" t="str">
        <x:f>IF(AM338&lt;=200,"≤200K",IF(AM338&lt;=350,"200–350K",IF(AM338&lt;=500,"350–500K",IF(AM338&lt;=700,"500–700K","&gt;700K"))))</x:f>
        <x:v>200–350K</x:v>
      </x:c>
      <x:c r="AO338" s="64" t="n">
        <x:f>-ROUND(Q338*'Drivers'!R338,3)</x:f>
        <x:v>-824.965</x:v>
      </x:c>
      <x:c r="AP338" s="64" t="n">
        <x:f>-ROUND(AK338*'Drivers'!S338,3)</x:f>
        <x:v>-23.371</x:v>
      </x:c>
      <x:c r="AQ338" s="64" t="n">
        <x:f>-ROUND(AK338*'Drivers'!T338,3)</x:f>
        <x:v>-6.184</x:v>
      </x:c>
      <x:c r="AR338" s="64" t="n">
        <x:f>-ROUND(AK338*'Drivers'!U338,3)</x:f>
        <x:v>-8.73</x:v>
      </x:c>
      <x:c r="AS338" s="64" t="n">
        <x:f>-ROUND(AK338*'Drivers'!V338,3)</x:f>
        <x:v>-57.946</x:v>
      </x:c>
      <x:c r="AT338" s="64" t="n">
        <x:f>SUM(AO338:AS338)</x:f>
        <x:v>-921.196</x:v>
      </x:c>
      <x:c r="AU338" s="65" t="n">
        <x:f>AT338/AK338</x:f>
        <x:v>-0.5679467513699339</x:v>
      </x:c>
      <x:c r="AV338" s="64" t="n">
        <x:f>AK338+AT338</x:f>
        <x:v>700.7800000000001</x:v>
      </x:c>
      <x:c r="AW338" s="65" t="n">
        <x:f>AV338/AK338</x:f>
        <x:v>0.43205324863006606</x:v>
      </x:c>
      <x:c r="AX338" s="64" t="n">
        <x:f>-ROUND(AK338*'Drivers'!W338,3)</x:f>
        <x:v>-20.441</x:v>
      </x:c>
      <x:c r="AY338" s="64" t="n">
        <x:f>-ROUND(AK338*'Drivers'!X338,3)</x:f>
        <x:v>-35.926</x:v>
      </x:c>
      <x:c r="AZ338" s="64" t="n">
        <x:f>-ROUND(AK338*'Drivers'!Y338,3)</x:f>
        <x:v>-25.241</x:v>
      </x:c>
      <x:c r="BA338" s="64" t="n">
        <x:f>-ROUND(AK338*'Drivers'!Z338,3)</x:f>
        <x:v>-10.191</x:v>
      </x:c>
      <x:c r="BB338" s="64" t="n">
        <x:f>-ROUND(AK338*'Drivers'!AA338,3)</x:f>
        <x:v>-12.174</x:v>
      </x:c>
      <x:c r="BC338" s="64" t="n">
        <x:f>SUM(BA338,BB338)</x:f>
        <x:v>-22.365000000000002</x:v>
      </x:c>
      <x:c r="BD338" s="64" t="n">
        <x:f>-ROUND(AK338*'Drivers'!AB338,3)</x:f>
        <x:v>-10.921</x:v>
      </x:c>
      <x:c r="BE338" s="64" t="n">
        <x:f>SUM(AX338:BB338,BD338)</x:f>
        <x:v>-114.894</x:v>
      </x:c>
      <x:c r="BF338" s="67" t="n">
        <x:f>'Drivers'!AF338</x:f>
        <x:v>10</x:v>
      </x:c>
      <x:c r="BG338" s="64" t="n">
        <x:f>BJ338</x:f>
        <x:v>-36.237</x:v>
      </x:c>
      <x:c r="BH338" s="64" t="n">
        <x:f>BE338/BF338</x:f>
        <x:v>-11.4894</x:v>
      </x:c>
      <x:c r="BI338" s="68" t="n">
        <x:f>BF338/L338</x:f>
        <x:v>2</x:v>
      </x:c>
      <x:c r="BJ338" s="64" t="n">
        <x:f>-ROUND(AK338*'Drivers'!AC338,3)</x:f>
        <x:v>-36.237</x:v>
      </x:c>
      <x:c r="BK338" s="64" t="n">
        <x:f>-ROUND(AK338*'Drivers'!AD338,3)</x:f>
        <x:v>-159.046</x:v>
      </x:c>
      <x:c r="BL338" s="64" t="n">
        <x:f>SUM(AV338,BE338,BJ338,BK338)</x:f>
        <x:v>390.6030000000001</x:v>
      </x:c>
      <x:c r="BM338" s="65" t="n">
        <x:f>BL338/AK338</x:f>
        <x:v>0.24081922297247313</x:v>
      </x:c>
      <x:c r="BN338" s="64" t="n">
        <x:f>-ROUND(AK338*'Drivers'!AE338,3)</x:f>
        <x:v>-153.443</x:v>
      </x:c>
      <x:c r="BO338" s="64" t="n">
        <x:f>BL338+BN338</x:f>
        <x:v>237.1600000000001</x:v>
      </x:c>
      <x:c r="BP338" s="65" t="n">
        <x:f>BO338/AK338</x:f>
        <x:v>0.14621671344088943</x:v>
      </x:c>
    </x:row>
    <x:row r="339">
      <x:c r="A339" s="61" t="n">
        <x:v>2025</x:v>
      </x:c>
      <x:c r="B339" s="18" t="str">
        <x:v>S2</x:v>
      </x:c>
      <x:c r="C339" s="18" t="str">
        <x:v>2025 S2</x:v>
      </x:c>
      <x:c r="D339" s="18" t="str">
        <x:v>CNCT0085</x:v>
      </x:c>
      <x:c r="E339" s="18" t="str">
        <x:v>西安大悦城</x:v>
      </x:c>
      <x:c r="F339" s="18" t="str">
        <x:v>西安</x:v>
      </x:c>
      <x:c r="G339" s="18" t="str">
        <x:v>陕西省</x:v>
      </x:c>
      <x:c r="H339" s="18" t="str">
        <x:v>西区</x:v>
      </x:c>
      <x:c r="I339" s="18" t="str">
        <x:v>Shopping Mall</x:v>
      </x:c>
      <x:c r="J339" s="18" t="str">
        <x:v>Core Shopping Center</x:v>
      </x:c>
      <x:c r="K339" s="18" t="str">
        <x:v>正常</x:v>
      </x:c>
      <x:c r="L339" s="62" t="n">
        <x:v>5</x:v>
      </x:c>
      <x:c r="M339" s="62" t="n">
        <x:v>45</x:v>
      </x:c>
      <x:c r="N339" s="63" t="n">
        <x:f>'Drivers'!C339</x:f>
        <x:v>2111</x:v>
      </x:c>
      <x:c r="O339" s="63" t="n">
        <x:f>'Drivers'!D339</x:f>
        <x:v>1161.142</x:v>
      </x:c>
      <x:c r="P339" s="64" t="n">
        <x:f>ROUND(N339*O339/1000,3)</x:f>
        <x:v>2451.171</x:v>
      </x:c>
      <x:c r="Q339" s="64" t="n">
        <x:f>ROUND(P339*'Drivers'!E339,3)</x:f>
        <x:v>2411.668</x:v>
      </x:c>
      <x:c r="R339" s="64" t="n">
        <x:f>-ROUND(Q339*'Drivers'!F339,3)</x:f>
        <x:v>-409.568</x:v>
      </x:c>
      <x:c r="S339" s="65" t="n">
        <x:f>R339/Q339</x:f>
        <x:v>-0.16982768772484436</x:v>
      </x:c>
      <x:c r="T339" s="64" t="n">
        <x:f>-ROUND(Q339*'Drivers'!G339,3)</x:f>
        <x:v>-25.836</x:v>
      </x:c>
      <x:c r="U339" s="65" t="n">
        <x:f>T339/Q339</x:f>
        <x:v>-0.010712917366735387</x:v>
      </x:c>
      <x:c r="V339" s="64" t="n">
        <x:f>-ROUND(Q339*'Drivers'!H339,3)</x:f>
        <x:v>-30.096</x:v>
      </x:c>
      <x:c r="W339" s="64" t="n">
        <x:f>-ROUND(Q339*'Drivers'!I339,3)</x:f>
        <x:v>-14.115</x:v>
      </x:c>
      <x:c r="X339" s="64" t="n">
        <x:f>-ROUND(Q339*'Drivers'!J339,3)</x:f>
        <x:v>-42.447</x:v>
      </x:c>
      <x:c r="Y339" s="64" t="n">
        <x:f>-ROUND(Q339*'Drivers'!K339,3)</x:f>
        <x:v>-21.628</x:v>
      </x:c>
      <x:c r="Z339" s="64" t="n">
        <x:f>-ROUND(Q339*'Drivers'!L339,3)</x:f>
        <x:v>-26.547</x:v>
      </x:c>
      <x:c r="AA339" s="64" t="n">
        <x:f>-ROUND(Q339*'Drivers'!M339,3)</x:f>
        <x:v>-15.888</x:v>
      </x:c>
      <x:c r="AB339" s="64" t="n">
        <x:f>-ROUND(Q339*'Drivers'!N339,3)</x:f>
        <x:v>-18.43</x:v>
      </x:c>
      <x:c r="AC339" s="64" t="n">
        <x:f>SUM(V339:AB339)</x:f>
        <x:v>-169.151</x:v>
      </x:c>
      <x:c r="AD339" s="65" t="n">
        <x:f>AC339/Q339</x:f>
        <x:v>-0.0701385928743094</x:v>
      </x:c>
      <x:c r="AE339" s="64" t="n">
        <x:f>-ROUND(Q339*'Drivers'!O339,3)</x:f>
        <x:v>-29.291</x:v>
      </x:c>
      <x:c r="AF339" s="65" t="n">
        <x:f>AE339/Q339</x:f>
        <x:v>-0.012145535786849598</x:v>
      </x:c>
      <x:c r="AG339" s="64" t="n">
        <x:f>-ROUND(Q339*'Drivers'!P339,3)</x:f>
        <x:v>-3.584</x:v>
      </x:c>
      <x:c r="AH339" s="64" t="n">
        <x:f>-ROUND(Q339*'Drivers'!Q339,3)</x:f>
        <x:v>-9.866</x:v>
      </x:c>
      <x:c r="AI339" s="64" t="n">
        <x:f>SUM(R339,T339,AC339,AE339,AG339,AH339)</x:f>
        <x:v>-647.296</x:v>
      </x:c>
      <x:c r="AJ339" s="65" t="n">
        <x:f>AI339/Q339</x:f>
        <x:v>-0.26840178664724995</x:v>
      </x:c>
      <x:c r="AK339" s="64" t="n">
        <x:f>Q339+AI339</x:f>
        <x:v>1764.372</x:v>
      </x:c>
      <x:c r="AL339" s="65" t="n">
        <x:f>AK339/Q339</x:f>
        <x:v>0.73159821335275</x:v>
      </x:c>
      <x:c r="AM339" s="64" t="n">
        <x:f>AK339/L339</x:f>
        <x:v>352.87440000000004</x:v>
      </x:c>
      <x:c r="AN339" s="66" t="str">
        <x:f>IF(AM339&lt;=200,"≤200K",IF(AM339&lt;=350,"200–350K",IF(AM339&lt;=500,"350–500K",IF(AM339&lt;=700,"500–700K","&gt;700K"))))</x:f>
        <x:v>350–500K</x:v>
      </x:c>
      <x:c r="AO339" s="64" t="n">
        <x:f>-ROUND(Q339*'Drivers'!R339,3)</x:f>
        <x:v>-915.849</x:v>
      </x:c>
      <x:c r="AP339" s="64" t="n">
        <x:f>-ROUND(AK339*'Drivers'!S339,3)</x:f>
        <x:v>-25.423</x:v>
      </x:c>
      <x:c r="AQ339" s="64" t="n">
        <x:f>-ROUND(AK339*'Drivers'!T339,3)</x:f>
        <x:v>-6.726</x:v>
      </x:c>
      <x:c r="AR339" s="64" t="n">
        <x:f>-ROUND(AK339*'Drivers'!U339,3)</x:f>
        <x:v>-9.497</x:v>
      </x:c>
      <x:c r="AS339" s="64" t="n">
        <x:f>-ROUND(AK339*'Drivers'!V339,3)</x:f>
        <x:v>-63.033</x:v>
      </x:c>
      <x:c r="AT339" s="64" t="n">
        <x:f>SUM(AO339:AS339)</x:f>
        <x:v>-1020.528</x:v>
      </x:c>
      <x:c r="AU339" s="65" t="n">
        <x:f>AT339/AK339</x:f>
        <x:v>-0.5784086349137256</x:v>
      </x:c>
      <x:c r="AV339" s="64" t="n">
        <x:f>AK339+AT339</x:f>
        <x:v>743.844</x:v>
      </x:c>
      <x:c r="AW339" s="65" t="n">
        <x:f>AV339/AK339</x:f>
        <x:v>0.4215913650862743</x:v>
      </x:c>
      <x:c r="AX339" s="64" t="n">
        <x:f>-ROUND(AK339*'Drivers'!W339,3)</x:f>
        <x:v>-22.236</x:v>
      </x:c>
      <x:c r="AY339" s="64" t="n">
        <x:f>-ROUND(AK339*'Drivers'!X339,3)</x:f>
        <x:v>-39.08</x:v>
      </x:c>
      <x:c r="AZ339" s="64" t="n">
        <x:f>-ROUND(AK339*'Drivers'!Y339,3)</x:f>
        <x:v>-27.457</x:v>
      </x:c>
      <x:c r="BA339" s="64" t="n">
        <x:f>-ROUND(AK339*'Drivers'!Z339,3)</x:f>
        <x:v>-11.085</x:v>
      </x:c>
      <x:c r="BB339" s="64" t="n">
        <x:f>-ROUND(AK339*'Drivers'!AA339,3)</x:f>
        <x:v>-13.243</x:v>
      </x:c>
      <x:c r="BC339" s="64" t="n">
        <x:f>SUM(BA339,BB339)</x:f>
        <x:v>-24.328000000000003</x:v>
      </x:c>
      <x:c r="BD339" s="64" t="n">
        <x:f>-ROUND(AK339*'Drivers'!AB339,3)</x:f>
        <x:v>-11.879</x:v>
      </x:c>
      <x:c r="BE339" s="64" t="n">
        <x:f>SUM(AX339:BB339,BD339)</x:f>
        <x:v>-124.98</x:v>
      </x:c>
      <x:c r="BF339" s="67" t="n">
        <x:f>'Drivers'!AF339</x:f>
        <x:v>10</x:v>
      </x:c>
      <x:c r="BG339" s="64" t="n">
        <x:f>BJ339</x:f>
        <x:v>-39.418</x:v>
      </x:c>
      <x:c r="BH339" s="64" t="n">
        <x:f>BE339/BF339</x:f>
        <x:v>-12.498000000000001</x:v>
      </x:c>
      <x:c r="BI339" s="68" t="n">
        <x:f>BF339/L339</x:f>
        <x:v>2</x:v>
      </x:c>
      <x:c r="BJ339" s="64" t="n">
        <x:f>-ROUND(AK339*'Drivers'!AC339,3)</x:f>
        <x:v>-39.418</x:v>
      </x:c>
      <x:c r="BK339" s="64" t="n">
        <x:f>-ROUND(AK339*'Drivers'!AD339,3)</x:f>
        <x:v>-173.009</x:v>
      </x:c>
      <x:c r="BL339" s="64" t="n">
        <x:f>SUM(AV339,BE339,BJ339,BK339)</x:f>
        <x:v>406.437</x:v>
      </x:c>
      <x:c r="BM339" s="65" t="n">
        <x:f>BL339/AK339</x:f>
        <x:v>0.23035788371159824</x:v>
      </x:c>
      <x:c r="BN339" s="64" t="n">
        <x:f>-ROUND(AK339*'Drivers'!AE339,3)</x:f>
        <x:v>-166.914</x:v>
      </x:c>
      <x:c r="BO339" s="64" t="n">
        <x:f>BL339+BN339</x:f>
        <x:v>239.52300000000002</x:v>
      </x:c>
      <x:c r="BP339" s="65" t="n">
        <x:f>BO339/AK339</x:f>
        <x:v>0.13575538491882666</x:v>
      </x:c>
    </x:row>
    <x:row r="340">
      <x:c r="A340" s="61" t="n">
        <x:v>2026</x:v>
      </x:c>
      <x:c r="B340" s="18" t="str">
        <x:v>S1</x:v>
      </x:c>
      <x:c r="C340" s="18" t="str">
        <x:v>2026 S1</x:v>
      </x:c>
      <x:c r="D340" s="18" t="str">
        <x:v>CNCT0085</x:v>
      </x:c>
      <x:c r="E340" s="18" t="str">
        <x:v>西安大悦城</x:v>
      </x:c>
      <x:c r="F340" s="18" t="str">
        <x:v>西安</x:v>
      </x:c>
      <x:c r="G340" s="18" t="str">
        <x:v>陕西省</x:v>
      </x:c>
      <x:c r="H340" s="18" t="str">
        <x:v>西区</x:v>
      </x:c>
      <x:c r="I340" s="18" t="str">
        <x:v>Shopping Mall</x:v>
      </x:c>
      <x:c r="J340" s="18" t="str">
        <x:v>Core Shopping Center</x:v>
      </x:c>
      <x:c r="K340" s="18" t="str">
        <x:v>正常</x:v>
      </x:c>
      <x:c r="L340" s="62" t="n">
        <x:v>5</x:v>
      </x:c>
      <x:c r="M340" s="62" t="n">
        <x:v>45</x:v>
      </x:c>
      <x:c r="N340" s="63" t="n">
        <x:f>'Drivers'!C340</x:f>
        <x:v>2122</x:v>
      </x:c>
      <x:c r="O340" s="63" t="n">
        <x:f>'Drivers'!D340</x:f>
        <x:v>1199.933</x:v>
      </x:c>
      <x:c r="P340" s="64" t="n">
        <x:f>ROUND(N340*O340/1000,3)</x:f>
        <x:v>2546.258</x:v>
      </x:c>
      <x:c r="Q340" s="64" t="n">
        <x:f>ROUND(P340*'Drivers'!E340,3)</x:f>
        <x:v>2486.018</x:v>
      </x:c>
      <x:c r="R340" s="64" t="n">
        <x:f>-ROUND(Q340*'Drivers'!F340,3)</x:f>
        <x:v>-413.441</x:v>
      </x:c>
      <x:c r="S340" s="65" t="n">
        <x:f>R340/Q340</x:f>
        <x:v>-0.1663065191000226</x:v>
      </x:c>
      <x:c r="T340" s="64" t="n">
        <x:f>-ROUND(Q340*'Drivers'!G340,3)</x:f>
        <x:v>-29.159</x:v>
      </x:c>
      <x:c r="U340" s="65" t="n">
        <x:f>T340/Q340</x:f>
        <x:v>-0.011729199064528092</x:v>
      </x:c>
      <x:c r="V340" s="64" t="n">
        <x:f>-ROUND(Q340*'Drivers'!H340,3)</x:f>
        <x:v>-31.024</x:v>
      </x:c>
      <x:c r="W340" s="64" t="n">
        <x:f>-ROUND(Q340*'Drivers'!I340,3)</x:f>
        <x:v>-14.55</x:v>
      </x:c>
      <x:c r="X340" s="64" t="n">
        <x:f>-ROUND(Q340*'Drivers'!J340,3)</x:f>
        <x:v>-43.756</x:v>
      </x:c>
      <x:c r="Y340" s="64" t="n">
        <x:f>-ROUND(Q340*'Drivers'!K340,3)</x:f>
        <x:v>-22.295</x:v>
      </x:c>
      <x:c r="Z340" s="64" t="n">
        <x:f>-ROUND(Q340*'Drivers'!L340,3)</x:f>
        <x:v>-27.365</x:v>
      </x:c>
      <x:c r="AA340" s="64" t="n">
        <x:f>-ROUND(Q340*'Drivers'!M340,3)</x:f>
        <x:v>-16.377</x:v>
      </x:c>
      <x:c r="AB340" s="64" t="n">
        <x:f>-ROUND(Q340*'Drivers'!N340,3)</x:f>
        <x:v>-18.998</x:v>
      </x:c>
      <x:c r="AC340" s="64" t="n">
        <x:f>SUM(V340:AB340)</x:f>
        <x:v>-174.365</x:v>
      </x:c>
      <x:c r="AD340" s="65" t="n">
        <x:f>AC340/Q340</x:f>
        <x:v>-0.07013826931261158</x:v>
      </x:c>
      <x:c r="AE340" s="64" t="n">
        <x:f>-ROUND(Q340*'Drivers'!O340,3)</x:f>
        <x:v>-28.609</x:v>
      </x:c>
      <x:c r="AF340" s="65" t="n">
        <x:f>AE340/Q340</x:f>
        <x:v>-0.011507961728354341</x:v>
      </x:c>
      <x:c r="AG340" s="64" t="n">
        <x:f>-ROUND(Q340*'Drivers'!P340,3)</x:f>
        <x:v>-3.695</x:v>
      </x:c>
      <x:c r="AH340" s="64" t="n">
        <x:f>-ROUND(Q340*'Drivers'!Q340,3)</x:f>
        <x:v>-10.17</x:v>
      </x:c>
      <x:c r="AI340" s="64" t="n">
        <x:f>SUM(R340,T340,AC340,AE340,AG340,AH340)</x:f>
        <x:v>-659.439</x:v>
      </x:c>
      <x:c r="AJ340" s="65" t="n">
        <x:f>AI340/Q340</x:f>
        <x:v>-0.26525914132560585</x:v>
      </x:c>
      <x:c r="AK340" s="64" t="n">
        <x:f>Q340+AI340</x:f>
        <x:v>1826.5790000000002</x:v>
      </x:c>
      <x:c r="AL340" s="65" t="n">
        <x:f>AK340/Q340</x:f>
        <x:v>0.7347408586743942</x:v>
      </x:c>
      <x:c r="AM340" s="64" t="n">
        <x:f>AK340/L340</x:f>
        <x:v>365.3158</x:v>
      </x:c>
      <x:c r="AN340" s="66" t="str">
        <x:f>IF(AM340&lt;=200,"≤200K",IF(AM340&lt;=350,"200–350K",IF(AM340&lt;=500,"350–500K",IF(AM340&lt;=700,"500–700K","&gt;700K"))))</x:f>
        <x:v>350–500K</x:v>
      </x:c>
      <x:c r="AO340" s="64" t="n">
        <x:f>-ROUND(Q340*'Drivers'!R340,3)</x:f>
        <x:v>-927.961</x:v>
      </x:c>
      <x:c r="AP340" s="64" t="n">
        <x:f>-ROUND(AK340*'Drivers'!S340,3)</x:f>
        <x:v>-26.319</x:v>
      </x:c>
      <x:c r="AQ340" s="64" t="n">
        <x:f>-ROUND(AK340*'Drivers'!T340,3)</x:f>
        <x:v>-6.964</x:v>
      </x:c>
      <x:c r="AR340" s="64" t="n">
        <x:f>-ROUND(AK340*'Drivers'!U340,3)</x:f>
        <x:v>-9.832</x:v>
      </x:c>
      <x:c r="AS340" s="64" t="n">
        <x:f>-ROUND(AK340*'Drivers'!V340,3)</x:f>
        <x:v>-65.255</x:v>
      </x:c>
      <x:c r="AT340" s="64" t="n">
        <x:f>SUM(AO340:AS340)</x:f>
        <x:v>-1036.3310000000001</x:v>
      </x:c>
      <x:c r="AU340" s="65" t="n">
        <x:f>AT340/AK340</x:f>
        <x:v>-0.5673617182722456</x:v>
      </x:c>
      <x:c r="AV340" s="64" t="n">
        <x:f>AK340+AT340</x:f>
        <x:v>790.248</x:v>
      </x:c>
      <x:c r="AW340" s="65" t="n">
        <x:f>AV340/AK340</x:f>
        <x:v>0.4326382817277544</x:v>
      </x:c>
      <x:c r="AX340" s="64" t="n">
        <x:f>-ROUND(AK340*'Drivers'!W340,3)</x:f>
        <x:v>-28.325</x:v>
      </x:c>
      <x:c r="AY340" s="64" t="n">
        <x:f>-ROUND(AK340*'Drivers'!X340,3)</x:f>
        <x:v>-49.781</x:v>
      </x:c>
      <x:c r="AZ340" s="64" t="n">
        <x:f>-ROUND(AK340*'Drivers'!Y340,3)</x:f>
        <x:v>-34.976</x:v>
      </x:c>
      <x:c r="BA340" s="64" t="n">
        <x:f>-ROUND(AK340*'Drivers'!Z340,3)</x:f>
        <x:v>-14.121</x:v>
      </x:c>
      <x:c r="BB340" s="64" t="n">
        <x:f>-ROUND(AK340*'Drivers'!AA340,3)</x:f>
        <x:v>-16.869</x:v>
      </x:c>
      <x:c r="BC340" s="64" t="n">
        <x:f>SUM(BA340,BB340)</x:f>
        <x:v>-30.990000000000002</x:v>
      </x:c>
      <x:c r="BD340" s="64" t="n">
        <x:f>-ROUND(AK340*'Drivers'!AB340,3)</x:f>
        <x:v>-15.132</x:v>
      </x:c>
      <x:c r="BE340" s="64" t="n">
        <x:f>SUM(AX340:BB340,BD340)</x:f>
        <x:v>-159.204</x:v>
      </x:c>
      <x:c r="BF340" s="67" t="n">
        <x:f>'Drivers'!AF340</x:f>
        <x:v>10</x:v>
      </x:c>
      <x:c r="BG340" s="64" t="n">
        <x:f>BJ340</x:f>
        <x:v>-50.212</x:v>
      </x:c>
      <x:c r="BH340" s="64" t="n">
        <x:f>BE340/BF340</x:f>
        <x:v>-15.9204</x:v>
      </x:c>
      <x:c r="BI340" s="68" t="n">
        <x:f>BF340/L340</x:f>
        <x:v>2</x:v>
      </x:c>
      <x:c r="BJ340" s="64" t="n">
        <x:f>-ROUND(AK340*'Drivers'!AC340,3)</x:f>
        <x:v>-50.212</x:v>
      </x:c>
      <x:c r="BK340" s="64" t="n">
        <x:f>-ROUND(AK340*'Drivers'!AD340,3)</x:f>
        <x:v>-179.109</x:v>
      </x:c>
      <x:c r="BL340" s="64" t="n">
        <x:f>SUM(AV340,BE340,BJ340,BK340)</x:f>
        <x:v>401.72300000000007</x:v>
      </x:c>
      <x:c r="BM340" s="65" t="n">
        <x:f>BL340/AK340</x:f>
        <x:v>0.2199319054910847</x:v>
      </x:c>
      <x:c r="BN340" s="64" t="n">
        <x:f>-ROUND(AK340*'Drivers'!AE340,3)</x:f>
        <x:v>-172.799</x:v>
      </x:c>
      <x:c r="BO340" s="64" t="n">
        <x:f>BL340+BN340</x:f>
        <x:v>228.92400000000006</x:v>
      </x:c>
      <x:c r="BP340" s="65" t="n">
        <x:f>BO340/AK340</x:f>
        <x:v>0.12532937255930351</x:v>
      </x:c>
    </x:row>
    <x:row r="341">
      <x:c r="A341" s="61" t="n">
        <x:v>2026</x:v>
      </x:c>
      <x:c r="B341" s="18" t="str">
        <x:v>S2</x:v>
      </x:c>
      <x:c r="C341" s="18" t="str">
        <x:v>2026 S2</x:v>
      </x:c>
      <x:c r="D341" s="18" t="str">
        <x:v>CNCT0085</x:v>
      </x:c>
      <x:c r="E341" s="18" t="str">
        <x:v>西安大悦城</x:v>
      </x:c>
      <x:c r="F341" s="18" t="str">
        <x:v>西安</x:v>
      </x:c>
      <x:c r="G341" s="18" t="str">
        <x:v>陕西省</x:v>
      </x:c>
      <x:c r="H341" s="18" t="str">
        <x:v>西区</x:v>
      </x:c>
      <x:c r="I341" s="18" t="str">
        <x:v>Shopping Mall</x:v>
      </x:c>
      <x:c r="J341" s="18" t="str">
        <x:v>Core Shopping Center</x:v>
      </x:c>
      <x:c r="K341" s="18" t="str">
        <x:v>正常</x:v>
      </x:c>
      <x:c r="L341" s="62" t="n">
        <x:v>5</x:v>
      </x:c>
      <x:c r="M341" s="62" t="n">
        <x:v>45</x:v>
      </x:c>
      <x:c r="N341" s="63" t="n">
        <x:f>'Drivers'!C341</x:f>
        <x:v>2226</x:v>
      </x:c>
      <x:c r="O341" s="63" t="n">
        <x:f>'Drivers'!D341</x:f>
        <x:v>1215.27</x:v>
      </x:c>
      <x:c r="P341" s="64" t="n">
        <x:f>ROUND(N341*O341/1000,3)</x:f>
        <x:v>2705.191</x:v>
      </x:c>
      <x:c r="Q341" s="64" t="n">
        <x:f>ROUND(P341*'Drivers'!E341,3)</x:f>
        <x:v>2661.594</x:v>
      </x:c>
      <x:c r="R341" s="64" t="n">
        <x:f>-ROUND(Q341*'Drivers'!F341,3)</x:f>
        <x:v>-435.553</x:v>
      </x:c>
      <x:c r="S341" s="65" t="n">
        <x:f>R341/Q341</x:f>
        <x:v>-0.1636436661639604</x:v>
      </x:c>
      <x:c r="T341" s="64" t="n">
        <x:f>-ROUND(Q341*'Drivers'!G341,3)</x:f>
        <x:v>-23.835</x:v>
      </x:c>
      <x:c r="U341" s="65" t="n">
        <x:f>T341/Q341</x:f>
        <x:v>-0.008955159953020634</x:v>
      </x:c>
      <x:c r="V341" s="64" t="n">
        <x:f>-ROUND(Q341*'Drivers'!H341,3)</x:f>
        <x:v>-33.215</x:v>
      </x:c>
      <x:c r="W341" s="64" t="n">
        <x:f>-ROUND(Q341*'Drivers'!I341,3)</x:f>
        <x:v>-15.578</x:v>
      </x:c>
      <x:c r="X341" s="64" t="n">
        <x:f>-ROUND(Q341*'Drivers'!J341,3)</x:f>
        <x:v>-46.846</x:v>
      </x:c>
      <x:c r="Y341" s="64" t="n">
        <x:f>-ROUND(Q341*'Drivers'!K341,3)</x:f>
        <x:v>-23.87</x:v>
      </x:c>
      <x:c r="Z341" s="64" t="n">
        <x:f>-ROUND(Q341*'Drivers'!L341,3)</x:f>
        <x:v>-29.298</x:v>
      </x:c>
      <x:c r="AA341" s="64" t="n">
        <x:f>-ROUND(Q341*'Drivers'!M341,3)</x:f>
        <x:v>-17.534</x:v>
      </x:c>
      <x:c r="AB341" s="64" t="n">
        <x:f>-ROUND(Q341*'Drivers'!N341,3)</x:f>
        <x:v>-20.34</x:v>
      </x:c>
      <x:c r="AC341" s="64" t="n">
        <x:f>SUM(V341:AB341)</x:f>
        <x:v>-186.681</x:v>
      </x:c>
      <x:c r="AD341" s="65" t="n">
        <x:f>AC341/Q341</x:f>
        <x:v>-0.070138796525691</x:v>
      </x:c>
      <x:c r="AE341" s="64" t="n">
        <x:f>-ROUND(Q341*'Drivers'!O341,3)</x:f>
        <x:v>-32.326</x:v>
      </x:c>
      <x:c r="AF341" s="65" t="n">
        <x:f>AE341/Q341</x:f>
        <x:v>-0.012145353498692888</x:v>
      </x:c>
      <x:c r="AG341" s="64" t="n">
        <x:f>-ROUND(Q341*'Drivers'!P341,3)</x:f>
        <x:v>-3.956</x:v>
      </x:c>
      <x:c r="AH341" s="64" t="n">
        <x:f>-ROUND(Q341*'Drivers'!Q341,3)</x:f>
        <x:v>-10.888</x:v>
      </x:c>
      <x:c r="AI341" s="64" t="n">
        <x:f>SUM(R341,T341,AC341,AE341,AG341,AH341)</x:f>
        <x:v>-693.239</x:v>
      </x:c>
      <x:c r="AJ341" s="65" t="n">
        <x:f>AI341/Q341</x:f>
        <x:v>-0.26046008519706615</x:v>
      </x:c>
      <x:c r="AK341" s="64" t="n">
        <x:f>Q341+AI341</x:f>
        <x:v>1968.355</x:v>
      </x:c>
      <x:c r="AL341" s="65" t="n">
        <x:f>AK341/Q341</x:f>
        <x:v>0.7395399148029339</x:v>
      </x:c>
      <x:c r="AM341" s="64" t="n">
        <x:f>AK341/L341</x:f>
        <x:v>393.671</x:v>
      </x:c>
      <x:c r="AN341" s="66" t="str">
        <x:f>IF(AM341&lt;=200,"≤200K",IF(AM341&lt;=350,"200–350K",IF(AM341&lt;=500,"350–500K",IF(AM341&lt;=700,"500–700K","&gt;700K"))))</x:f>
        <x:v>350–500K</x:v>
      </x:c>
      <x:c r="AO341" s="64" t="n">
        <x:f>-ROUND(Q341*'Drivers'!R341,3)</x:f>
        <x:v>-1028.152</x:v>
      </x:c>
      <x:c r="AP341" s="64" t="n">
        <x:f>-ROUND(AK341*'Drivers'!S341,3)</x:f>
        <x:v>-28.362</x:v>
      </x:c>
      <x:c r="AQ341" s="64" t="n">
        <x:f>-ROUND(AK341*'Drivers'!T341,3)</x:f>
        <x:v>-7.504</x:v>
      </x:c>
      <x:c r="AR341" s="64" t="n">
        <x:f>-ROUND(AK341*'Drivers'!U341,3)</x:f>
        <x:v>-10.595</x:v>
      </x:c>
      <x:c r="AS341" s="64" t="n">
        <x:f>-ROUND(AK341*'Drivers'!V341,3)</x:f>
        <x:v>-70.32</x:v>
      </x:c>
      <x:c r="AT341" s="64" t="n">
        <x:f>SUM(AO341:AS341)</x:f>
        <x:v>-1144.933</x:v>
      </x:c>
      <x:c r="AU341" s="65" t="n">
        <x:f>AT341/AK341</x:f>
        <x:v>-0.5816699731501686</x:v>
      </x:c>
      <x:c r="AV341" s="64" t="n">
        <x:f>AK341+AT341</x:f>
        <x:v>823.422</x:v>
      </x:c>
      <x:c r="AW341" s="65" t="n">
        <x:f>AV341/AK341</x:f>
        <x:v>0.41833002684983145</x:v>
      </x:c>
      <x:c r="AX341" s="64" t="n">
        <x:f>-ROUND(AK341*'Drivers'!W341,3)</x:f>
        <x:v>-26.295</x:v>
      </x:c>
      <x:c r="AY341" s="64" t="n">
        <x:f>-ROUND(AK341*'Drivers'!X341,3)</x:f>
        <x:v>-46.214</x:v>
      </x:c>
      <x:c r="AZ341" s="64" t="n">
        <x:f>-ROUND(AK341*'Drivers'!Y341,3)</x:f>
        <x:v>-32.469</x:v>
      </x:c>
      <x:c r="BA341" s="64" t="n">
        <x:f>-ROUND(AK341*'Drivers'!Z341,3)</x:f>
        <x:v>-13.109</x:v>
      </x:c>
      <x:c r="BB341" s="64" t="n">
        <x:f>-ROUND(AK341*'Drivers'!AA341,3)</x:f>
        <x:v>-15.66</x:v>
      </x:c>
      <x:c r="BC341" s="64" t="n">
        <x:f>SUM(BA341,BB341)</x:f>
        <x:v>-28.769</x:v>
      </x:c>
      <x:c r="BD341" s="64" t="n">
        <x:f>-ROUND(AK341*'Drivers'!AB341,3)</x:f>
        <x:v>-14.048</x:v>
      </x:c>
      <x:c r="BE341" s="64" t="n">
        <x:f>SUM(AX341:BB341,BD341)</x:f>
        <x:v>-147.79500000000002</x:v>
      </x:c>
      <x:c r="BF341" s="67" t="n">
        <x:f>'Drivers'!AF341</x:f>
        <x:v>10</x:v>
      </x:c>
      <x:c r="BG341" s="64" t="n">
        <x:f>BJ341</x:f>
        <x:v>-46.614</x:v>
      </x:c>
      <x:c r="BH341" s="64" t="n">
        <x:f>BE341/BF341</x:f>
        <x:v>-14.779500000000002</x:v>
      </x:c>
      <x:c r="BI341" s="68" t="n">
        <x:f>BF341/L341</x:f>
        <x:v>2</x:v>
      </x:c>
      <x:c r="BJ341" s="64" t="n">
        <x:f>-ROUND(AK341*'Drivers'!AC341,3)</x:f>
        <x:v>-46.614</x:v>
      </x:c>
      <x:c r="BK341" s="64" t="n">
        <x:f>-ROUND(AK341*'Drivers'!AD341,3)</x:f>
        <x:v>-193.011</x:v>
      </x:c>
      <x:c r="BL341" s="64" t="n">
        <x:f>SUM(AV341,BE341,BJ341,BK341)</x:f>
        <x:v>436.00199999999995</x:v>
      </x:c>
      <x:c r="BM341" s="65" t="n">
        <x:f>BL341/AK341</x:f>
        <x:v>0.22150577512694608</x:v>
      </x:c>
      <x:c r="BN341" s="64" t="n">
        <x:f>-ROUND(AK341*'Drivers'!AE341,3)</x:f>
        <x:v>-186.212</x:v>
      </x:c>
      <x:c r="BO341" s="64" t="n">
        <x:f>BL341+BN341</x:f>
        <x:v>249.78999999999996</x:v>
      </x:c>
      <x:c r="BP341" s="65" t="n">
        <x:f>BO341/AK341</x:f>
        <x:v>0.1269029214750388</x:v>
      </x:c>
    </x:row>
    <x:row r="342">
      <x:c r="A342" s="61" t="n">
        <x:v>2025</x:v>
      </x:c>
      <x:c r="B342" s="18" t="str">
        <x:v>S1</x:v>
      </x:c>
      <x:c r="C342" s="18" t="str">
        <x:v>2025 S1</x:v>
      </x:c>
      <x:c r="D342" s="18" t="str">
        <x:v>CNCT0086</x:v>
      </x:c>
      <x:c r="E342" s="18" t="str">
        <x:v>西安中大国际</x:v>
      </x:c>
      <x:c r="F342" s="18" t="str">
        <x:v>西安</x:v>
      </x:c>
      <x:c r="G342" s="18" t="str">
        <x:v>陕西省</x:v>
      </x:c>
      <x:c r="H342" s="18" t="str">
        <x:v>西区</x:v>
      </x:c>
      <x:c r="I342" s="18" t="str">
        <x:v>Shopping Mall</x:v>
      </x:c>
      <x:c r="J342" s="18" t="str">
        <x:v>Core Shopping Center</x:v>
      </x:c>
      <x:c r="K342" s="18" t="str">
        <x:v>正常</x:v>
      </x:c>
      <x:c r="L342" s="62" t="n">
        <x:v>5</x:v>
      </x:c>
      <x:c r="M342" s="62" t="n">
        <x:v>45</x:v>
      </x:c>
      <x:c r="N342" s="63" t="n">
        <x:f>'Drivers'!C342</x:f>
        <x:v>1686</x:v>
      </x:c>
      <x:c r="O342" s="63" t="n">
        <x:f>'Drivers'!D342</x:f>
        <x:v>1013.894</x:v>
      </x:c>
      <x:c r="P342" s="64" t="n">
        <x:f>ROUND(N342*O342/1000,3)</x:f>
        <x:v>1709.425</x:v>
      </x:c>
      <x:c r="Q342" s="64" t="n">
        <x:f>ROUND(P342*'Drivers'!E342,3)</x:f>
        <x:v>1677.752</x:v>
      </x:c>
      <x:c r="R342" s="64" t="n">
        <x:f>-ROUND(Q342*'Drivers'!F342,3)</x:f>
        <x:v>-260.992</x:v>
      </x:c>
      <x:c r="S342" s="65" t="n">
        <x:f>R342/Q342</x:f>
        <x:v>-0.15556053576452303</x:v>
      </x:c>
      <x:c r="T342" s="64" t="n">
        <x:f>-ROUND(Q342*'Drivers'!G342,3)</x:f>
        <x:v>-31.974</x:v>
      </x:c>
      <x:c r="U342" s="65" t="n">
        <x:f>T342/Q342</x:f>
        <x:v>-0.019057643799560365</x:v>
      </x:c>
      <x:c r="V342" s="64" t="n">
        <x:f>-ROUND(Q342*'Drivers'!H342,3)</x:f>
        <x:v>-15.706</x:v>
      </x:c>
      <x:c r="W342" s="64" t="n">
        <x:f>-ROUND(Q342*'Drivers'!I342,3)</x:f>
        <x:v>-13.214</x:v>
      </x:c>
      <x:c r="X342" s="64" t="n">
        <x:f>-ROUND(Q342*'Drivers'!J342,3)</x:f>
        <x:v>-20.865</x:v>
      </x:c>
      <x:c r="Y342" s="64" t="n">
        <x:f>-ROUND(Q342*'Drivers'!K342,3)</x:f>
        <x:v>-13.489</x:v>
      </x:c>
      <x:c r="Z342" s="64" t="n">
        <x:f>-ROUND(Q342*'Drivers'!L342,3)</x:f>
        <x:v>-14.814</x:v>
      </x:c>
      <x:c r="AA342" s="64" t="n">
        <x:f>-ROUND(Q342*'Drivers'!M342,3)</x:f>
        <x:v>-16.401</x:v>
      </x:c>
      <x:c r="AB342" s="64" t="n">
        <x:f>-ROUND(Q342*'Drivers'!N342,3)</x:f>
        <x:v>-11.891</x:v>
      </x:c>
      <x:c r="AC342" s="64" t="n">
        <x:f>SUM(V342:AB342)</x:f>
        <x:v>-106.38</x:v>
      </x:c>
      <x:c r="AD342" s="65" t="n">
        <x:f>AC342/Q342</x:f>
        <x:v>-0.06340627220232788</x:v>
      </x:c>
      <x:c r="AE342" s="64" t="n">
        <x:f>-ROUND(Q342*'Drivers'!O342,3)</x:f>
        <x:v>-10.815</x:v>
      </x:c>
      <x:c r="AF342" s="65" t="n">
        <x:f>AE342/Q342</x:f>
        <x:v>-0.006446125529875691</x:v>
      </x:c>
      <x:c r="AG342" s="64" t="n">
        <x:f>-ROUND(Q342*'Drivers'!P342,3)</x:f>
        <x:v>-3.548</x:v>
      </x:c>
      <x:c r="AH342" s="64" t="n">
        <x:f>-ROUND(Q342*'Drivers'!Q342,3)</x:f>
        <x:v>-8.152</x:v>
      </x:c>
      <x:c r="AI342" s="64" t="n">
        <x:f>SUM(R342,T342,AC342,AE342,AG342,AH342)</x:f>
        <x:v>-421.861</x:v>
      </x:c>
      <x:c r="AJ342" s="65" t="n">
        <x:f>AI342/Q342</x:f>
        <x:v>-0.25144419437437715</x:v>
      </x:c>
      <x:c r="AK342" s="64" t="n">
        <x:f>Q342+AI342</x:f>
        <x:v>1255.891</x:v>
      </x:c>
      <x:c r="AL342" s="65" t="n">
        <x:f>AK342/Q342</x:f>
        <x:v>0.748555805625623</x:v>
      </x:c>
      <x:c r="AM342" s="64" t="n">
        <x:f>AK342/L342</x:f>
        <x:v>251.1782</x:v>
      </x:c>
      <x:c r="AN342" s="66" t="str">
        <x:f>IF(AM342&lt;=200,"≤200K",IF(AM342&lt;=350,"200–350K",IF(AM342&lt;=500,"350–500K",IF(AM342&lt;=700,"500–700K","&gt;700K"))))</x:f>
        <x:v>200–350K</x:v>
      </x:c>
      <x:c r="AO342" s="64" t="n">
        <x:f>-ROUND(Q342*'Drivers'!R342,3)</x:f>
        <x:v>-630.578</x:v>
      </x:c>
      <x:c r="AP342" s="64" t="n">
        <x:f>-ROUND(AK342*'Drivers'!S342,3)</x:f>
        <x:v>-20.931</x:v>
      </x:c>
      <x:c r="AQ342" s="64" t="n">
        <x:f>-ROUND(AK342*'Drivers'!T342,3)</x:f>
        <x:v>-8.058</x:v>
      </x:c>
      <x:c r="AR342" s="64" t="n">
        <x:f>-ROUND(AK342*'Drivers'!U342,3)</x:f>
        <x:v>-16.237</x:v>
      </x:c>
      <x:c r="AS342" s="64" t="n">
        <x:f>-ROUND(AK342*'Drivers'!V342,3)</x:f>
        <x:v>-41.711</x:v>
      </x:c>
      <x:c r="AT342" s="64" t="n">
        <x:f>SUM(AO342:AS342)</x:f>
        <x:v>-717.515</x:v>
      </x:c>
      <x:c r="AU342" s="65" t="n">
        <x:f>AT342/AK342</x:f>
        <x:v>-0.5713194855286008</x:v>
      </x:c>
      <x:c r="AV342" s="64" t="n">
        <x:f>AK342+AT342</x:f>
        <x:v>538.3760000000001</x:v>
      </x:c>
      <x:c r="AW342" s="65" t="n">
        <x:f>AV342/AK342</x:f>
        <x:v>0.4286805144713992</x:v>
      </x:c>
      <x:c r="AX342" s="64" t="n">
        <x:f>-ROUND(AK342*'Drivers'!W342,3)</x:f>
        <x:v>-15.448</x:v>
      </x:c>
      <x:c r="AY342" s="64" t="n">
        <x:f>-ROUND(AK342*'Drivers'!X342,3)</x:f>
        <x:v>-25.316</x:v>
      </x:c>
      <x:c r="AZ342" s="64" t="n">
        <x:f>-ROUND(AK342*'Drivers'!Y342,3)</x:f>
        <x:v>-20.261</x:v>
      </x:c>
      <x:c r="BA342" s="64" t="n">
        <x:f>-ROUND(AK342*'Drivers'!Z342,3)</x:f>
        <x:v>-8.472</x:v>
      </x:c>
      <x:c r="BB342" s="64" t="n">
        <x:f>-ROUND(AK342*'Drivers'!AA342,3)</x:f>
        <x:v>-8.222</x:v>
      </x:c>
      <x:c r="BC342" s="64" t="n">
        <x:f>SUM(BA342,BB342)</x:f>
        <x:v>-16.694</x:v>
      </x:c>
      <x:c r="BD342" s="64" t="n">
        <x:f>-ROUND(AK342*'Drivers'!AB342,3)</x:f>
        <x:v>-5.956</x:v>
      </x:c>
      <x:c r="BE342" s="64" t="n">
        <x:f>SUM(AX342:BB342,BD342)</x:f>
        <x:v>-83.67499999999998</x:v>
      </x:c>
      <x:c r="BF342" s="67" t="n">
        <x:f>'Drivers'!AF342</x:f>
        <x:v>11</x:v>
      </x:c>
      <x:c r="BG342" s="64" t="n">
        <x:f>BJ342</x:f>
        <x:v>-32.21</x:v>
      </x:c>
      <x:c r="BH342" s="64" t="n">
        <x:f>BE342/BF342</x:f>
        <x:v>-7.606818181818181</x:v>
      </x:c>
      <x:c r="BI342" s="68" t="n">
        <x:f>BF342/L342</x:f>
        <x:v>2.2</x:v>
      </x:c>
      <x:c r="BJ342" s="64" t="n">
        <x:f>-ROUND(AK342*'Drivers'!AC342,3)</x:f>
        <x:v>-32.21</x:v>
      </x:c>
      <x:c r="BK342" s="64" t="n">
        <x:f>-ROUND(AK342*'Drivers'!AD342,3)</x:f>
        <x:v>-105.984</x:v>
      </x:c>
      <x:c r="BL342" s="64" t="n">
        <x:f>SUM(AV342,BE342,BJ342,BK342)</x:f>
        <x:v>316.5070000000002</x:v>
      </x:c>
      <x:c r="BM342" s="65" t="n">
        <x:f>BL342/AK342</x:f>
        <x:v>0.2520178900875953</x:v>
      </x:c>
      <x:c r="BN342" s="64" t="n">
        <x:f>-ROUND(AK342*'Drivers'!AE342,3)</x:f>
        <x:v>-97.736</x:v>
      </x:c>
      <x:c r="BO342" s="64" t="n">
        <x:f>BL342+BN342</x:f>
        <x:v>218.77100000000019</x:v>
      </x:c>
      <x:c r="BP342" s="65" t="n">
        <x:f>BO342/AK342</x:f>
        <x:v>0.1741958497990671</x:v>
      </x:c>
    </x:row>
    <x:row r="343">
      <x:c r="A343" s="61" t="n">
        <x:v>2025</x:v>
      </x:c>
      <x:c r="B343" s="18" t="str">
        <x:v>S2</x:v>
      </x:c>
      <x:c r="C343" s="18" t="str">
        <x:v>2025 S2</x:v>
      </x:c>
      <x:c r="D343" s="18" t="str">
        <x:v>CNCT0086</x:v>
      </x:c>
      <x:c r="E343" s="18" t="str">
        <x:v>西安中大国际</x:v>
      </x:c>
      <x:c r="F343" s="18" t="str">
        <x:v>西安</x:v>
      </x:c>
      <x:c r="G343" s="18" t="str">
        <x:v>陕西省</x:v>
      </x:c>
      <x:c r="H343" s="18" t="str">
        <x:v>西区</x:v>
      </x:c>
      <x:c r="I343" s="18" t="str">
        <x:v>Shopping Mall</x:v>
      </x:c>
      <x:c r="J343" s="18" t="str">
        <x:v>Core Shopping Center</x:v>
      </x:c>
      <x:c r="K343" s="18" t="str">
        <x:v>正常</x:v>
      </x:c>
      <x:c r="L343" s="62" t="n">
        <x:v>5</x:v>
      </x:c>
      <x:c r="M343" s="62" t="n">
        <x:v>45</x:v>
      </x:c>
      <x:c r="N343" s="63" t="n">
        <x:f>'Drivers'!C343</x:f>
        <x:v>1807</x:v>
      </x:c>
      <x:c r="O343" s="63" t="n">
        <x:f>'Drivers'!D343</x:f>
        <x:v>1026.06</x:v>
      </x:c>
      <x:c r="P343" s="64" t="n">
        <x:f>ROUND(N343*O343/1000,3)</x:f>
        <x:v>1854.09</x:v>
      </x:c>
      <x:c r="Q343" s="64" t="n">
        <x:f>ROUND(P343*'Drivers'!E343,3)</x:f>
        <x:v>1800.508</x:v>
      </x:c>
      <x:c r="R343" s="64" t="n">
        <x:f>-ROUND(Q343*'Drivers'!F343,3)</x:f>
        <x:v>-280.088</x:v>
      </x:c>
      <x:c r="S343" s="65" t="n">
        <x:f>R343/Q343</x:f>
        <x:v>-0.1555605418026468</x:v>
      </x:c>
      <x:c r="T343" s="64" t="n">
        <x:f>-ROUND(Q343*'Drivers'!G343,3)</x:f>
        <x:v>-34.313</x:v>
      </x:c>
      <x:c r="U343" s="65" t="n">
        <x:f>T343/Q343</x:f>
        <x:v>-0.0190573993561817</x:v>
      </x:c>
      <x:c r="V343" s="64" t="n">
        <x:f>-ROUND(Q343*'Drivers'!H343,3)</x:f>
        <x:v>-16.855</x:v>
      </x:c>
      <x:c r="W343" s="64" t="n">
        <x:f>-ROUND(Q343*'Drivers'!I343,3)</x:f>
        <x:v>-14.181</x:v>
      </x:c>
      <x:c r="X343" s="64" t="n">
        <x:f>-ROUND(Q343*'Drivers'!J343,3)</x:f>
        <x:v>-22.391</x:v>
      </x:c>
      <x:c r="Y343" s="64" t="n">
        <x:f>-ROUND(Q343*'Drivers'!K343,3)</x:f>
        <x:v>-14.476</x:v>
      </x:c>
      <x:c r="Z343" s="64" t="n">
        <x:f>-ROUND(Q343*'Drivers'!L343,3)</x:f>
        <x:v>-15.898</x:v>
      </x:c>
      <x:c r="AA343" s="64" t="n">
        <x:f>-ROUND(Q343*'Drivers'!M343,3)</x:f>
        <x:v>-17.601</x:v>
      </x:c>
      <x:c r="AB343" s="64" t="n">
        <x:f>-ROUND(Q343*'Drivers'!N343,3)</x:f>
        <x:v>-12.761</x:v>
      </x:c>
      <x:c r="AC343" s="64" t="n">
        <x:f>SUM(V343:AB343)</x:f>
        <x:v>-114.163</x:v>
      </x:c>
      <x:c r="AD343" s="65" t="n">
        <x:f>AC343/Q343</x:f>
        <x:v>-0.063405994308273</x:v>
      </x:c>
      <x:c r="AE343" s="64" t="n">
        <x:f>-ROUND(Q343*'Drivers'!O343,3)</x:f>
        <x:v>-11.607</x:v>
      </x:c>
      <x:c r="AF343" s="65" t="n">
        <x:f>AE343/Q343</x:f>
        <x:v>-0.006446513983831229</x:v>
      </x:c>
      <x:c r="AG343" s="64" t="n">
        <x:f>-ROUND(Q343*'Drivers'!P343,3)</x:f>
        <x:v>-3.808</x:v>
      </x:c>
      <x:c r="AH343" s="64" t="n">
        <x:f>-ROUND(Q343*'Drivers'!Q343,3)</x:f>
        <x:v>-8.749</x:v>
      </x:c>
      <x:c r="AI343" s="64" t="n">
        <x:f>SUM(R343,T343,AC343,AE343,AG343,AH343)</x:f>
        <x:v>-452.72800000000007</x:v>
      </x:c>
      <x:c r="AJ343" s="65" t="n">
        <x:f>AI343/Q343</x:f>
        <x:v>-0.25144459230394983</x:v>
      </x:c>
      <x:c r="AK343" s="64" t="n">
        <x:f>Q343+AI343</x:f>
        <x:v>1347.78</x:v>
      </x:c>
      <x:c r="AL343" s="65" t="n">
        <x:f>AK343/Q343</x:f>
        <x:v>0.7485554076960502</x:v>
      </x:c>
      <x:c r="AM343" s="64" t="n">
        <x:f>AK343/L343</x:f>
        <x:v>269.556</x:v>
      </x:c>
      <x:c r="AN343" s="66" t="str">
        <x:f>IF(AM343&lt;=200,"≤200K",IF(AM343&lt;=350,"200–350K",IF(AM343&lt;=500,"350–500K",IF(AM343&lt;=700,"500–700K","&gt;700K"))))</x:f>
        <x:v>200–350K</x:v>
      </x:c>
      <x:c r="AO343" s="64" t="n">
        <x:f>-ROUND(Q343*'Drivers'!R343,3)</x:f>
        <x:v>-671.008</x:v>
      </x:c>
      <x:c r="AP343" s="64" t="n">
        <x:f>-ROUND(AK343*'Drivers'!S343,3)</x:f>
        <x:v>-22.463</x:v>
      </x:c>
      <x:c r="AQ343" s="64" t="n">
        <x:f>-ROUND(AK343*'Drivers'!T343,3)</x:f>
        <x:v>-8.647</x:v>
      </x:c>
      <x:c r="AR343" s="64" t="n">
        <x:f>-ROUND(AK343*'Drivers'!U343,3)</x:f>
        <x:v>-17.425</x:v>
      </x:c>
      <x:c r="AS343" s="64" t="n">
        <x:f>-ROUND(AK343*'Drivers'!V343,3)</x:f>
        <x:v>-44.763</x:v>
      </x:c>
      <x:c r="AT343" s="64" t="n">
        <x:f>SUM(AO343:AS343)</x:f>
        <x:v>-764.306</x:v>
      </x:c>
      <x:c r="AU343" s="65" t="n">
        <x:f>AT343/AK343</x:f>
        <x:v>-0.5670851325884047</x:v>
      </x:c>
      <x:c r="AV343" s="64" t="n">
        <x:f>AK343+AT343</x:f>
        <x:v>583.4739999999999</x:v>
      </x:c>
      <x:c r="AW343" s="65" t="n">
        <x:f>AV343/AK343</x:f>
        <x:v>0.43291486741159535</x:v>
      </x:c>
      <x:c r="AX343" s="64" t="n">
        <x:f>-ROUND(AK343*'Drivers'!W343,3)</x:f>
        <x:v>-16.578</x:v>
      </x:c>
      <x:c r="AY343" s="64" t="n">
        <x:f>-ROUND(AK343*'Drivers'!X343,3)</x:f>
        <x:v>-27.168</x:v>
      </x:c>
      <x:c r="AZ343" s="64" t="n">
        <x:f>-ROUND(AK343*'Drivers'!Y343,3)</x:f>
        <x:v>-21.743</x:v>
      </x:c>
      <x:c r="BA343" s="64" t="n">
        <x:f>-ROUND(AK343*'Drivers'!Z343,3)</x:f>
        <x:v>-9.092</x:v>
      </x:c>
      <x:c r="BB343" s="64" t="n">
        <x:f>-ROUND(AK343*'Drivers'!AA343,3)</x:f>
        <x:v>-8.823</x:v>
      </x:c>
      <x:c r="BC343" s="64" t="n">
        <x:f>SUM(BA343,BB343)</x:f>
        <x:v>-17.915</x:v>
      </x:c>
      <x:c r="BD343" s="64" t="n">
        <x:f>-ROUND(AK343*'Drivers'!AB343,3)</x:f>
        <x:v>-6.392</x:v>
      </x:c>
      <x:c r="BE343" s="64" t="n">
        <x:f>SUM(AX343:BB343,BD343)</x:f>
        <x:v>-89.79599999999999</x:v>
      </x:c>
      <x:c r="BF343" s="67" t="n">
        <x:f>'Drivers'!AF343</x:f>
        <x:v>11</x:v>
      </x:c>
      <x:c r="BG343" s="64" t="n">
        <x:f>BJ343</x:f>
        <x:v>-34.567</x:v>
      </x:c>
      <x:c r="BH343" s="64" t="n">
        <x:f>BE343/BF343</x:f>
        <x:v>-8.163272727272727</x:v>
      </x:c>
      <x:c r="BI343" s="68" t="n">
        <x:f>BF343/L343</x:f>
        <x:v>2.2</x:v>
      </x:c>
      <x:c r="BJ343" s="64" t="n">
        <x:f>-ROUND(AK343*'Drivers'!AC343,3)</x:f>
        <x:v>-34.567</x:v>
      </x:c>
      <x:c r="BK343" s="64" t="n">
        <x:f>-ROUND(AK343*'Drivers'!AD343,3)</x:f>
        <x:v>-113.738</x:v>
      </x:c>
      <x:c r="BL343" s="64" t="n">
        <x:f>SUM(AV343,BE343,BJ343,BK343)</x:f>
        <x:v>345.37299999999993</x:v>
      </x:c>
      <x:c r="BM343" s="65" t="n">
        <x:f>BL343/AK343</x:f>
        <x:v>0.25625324607873684</x:v>
      </x:c>
      <x:c r="BN343" s="64" t="n">
        <x:f>-ROUND(AK343*'Drivers'!AE343,3)</x:f>
        <x:v>-104.887</x:v>
      </x:c>
      <x:c r="BO343" s="64" t="n">
        <x:f>BL343+BN343</x:f>
        <x:v>240.48599999999993</x:v>
      </x:c>
      <x:c r="BP343" s="65" t="n">
        <x:f>BO343/AK343</x:f>
        <x:v>0.17843119796999507</x:v>
      </x:c>
    </x:row>
    <x:row r="344">
      <x:c r="A344" s="61" t="n">
        <x:v>2026</x:v>
      </x:c>
      <x:c r="B344" s="18" t="str">
        <x:v>S1</x:v>
      </x:c>
      <x:c r="C344" s="18" t="str">
        <x:v>2026 S1</x:v>
      </x:c>
      <x:c r="D344" s="18" t="str">
        <x:v>CNCT0086</x:v>
      </x:c>
      <x:c r="E344" s="18" t="str">
        <x:v>西安中大国际</x:v>
      </x:c>
      <x:c r="F344" s="18" t="str">
        <x:v>西安</x:v>
      </x:c>
      <x:c r="G344" s="18" t="str">
        <x:v>陕西省</x:v>
      </x:c>
      <x:c r="H344" s="18" t="str">
        <x:v>西区</x:v>
      </x:c>
      <x:c r="I344" s="18" t="str">
        <x:v>Shopping Mall</x:v>
      </x:c>
      <x:c r="J344" s="18" t="str">
        <x:v>Core Shopping Center</x:v>
      </x:c>
      <x:c r="K344" s="18" t="str">
        <x:v>正常</x:v>
      </x:c>
      <x:c r="L344" s="62" t="n">
        <x:v>5</x:v>
      </x:c>
      <x:c r="M344" s="62" t="n">
        <x:v>45</x:v>
      </x:c>
      <x:c r="N344" s="63" t="n">
        <x:f>'Drivers'!C344</x:f>
        <x:v>1581</x:v>
      </x:c>
      <x:c r="O344" s="63" t="n">
        <x:f>'Drivers'!D344</x:f>
        <x:v>1072.485</x:v>
      </x:c>
      <x:c r="P344" s="64" t="n">
        <x:f>ROUND(N344*O344/1000,3)</x:f>
        <x:v>1695.599</x:v>
      </x:c>
      <x:c r="Q344" s="64" t="n">
        <x:f>ROUND(P344*'Drivers'!E344,3)</x:f>
        <x:v>1657.916</x:v>
      </x:c>
      <x:c r="R344" s="64" t="n">
        <x:f>-ROUND(Q344*'Drivers'!F344,3)</x:f>
        <x:v>-255.016</x:v>
      </x:c>
      <x:c r="S344" s="65" t="n">
        <x:f>R344/Q344</x:f>
        <x:v>-0.15381720183652248</x:v>
      </x:c>
      <x:c r="T344" s="64" t="n">
        <x:f>-ROUND(Q344*'Drivers'!G344,3)</x:f>
        <x:v>-30.268</x:v>
      </x:c>
      <x:c r="U344" s="65" t="n">
        <x:f>T344/Q344</x:f>
        <x:v>-0.018256654740047146</x:v>
      </x:c>
      <x:c r="V344" s="64" t="n">
        <x:f>-ROUND(Q344*'Drivers'!H344,3)</x:f>
        <x:v>-15.52</x:v>
      </x:c>
      <x:c r="W344" s="64" t="n">
        <x:f>-ROUND(Q344*'Drivers'!I344,3)</x:f>
        <x:v>-13.058</x:v>
      </x:c>
      <x:c r="X344" s="64" t="n">
        <x:f>-ROUND(Q344*'Drivers'!J344,3)</x:f>
        <x:v>-20.618</x:v>
      </x:c>
      <x:c r="Y344" s="64" t="n">
        <x:f>-ROUND(Q344*'Drivers'!K344,3)</x:f>
        <x:v>-13.329</x:v>
      </x:c>
      <x:c r="Z344" s="64" t="n">
        <x:f>-ROUND(Q344*'Drivers'!L344,3)</x:f>
        <x:v>-14.639</x:v>
      </x:c>
      <x:c r="AA344" s="64" t="n">
        <x:f>-ROUND(Q344*'Drivers'!M344,3)</x:f>
        <x:v>-16.207</x:v>
      </x:c>
      <x:c r="AB344" s="64" t="n">
        <x:f>-ROUND(Q344*'Drivers'!N344,3)</x:f>
        <x:v>-11.751</x:v>
      </x:c>
      <x:c r="AC344" s="64" t="n">
        <x:f>SUM(V344:AB344)</x:f>
        <x:v>-105.12200000000001</x:v>
      </x:c>
      <x:c r="AD344" s="65" t="n">
        <x:f>AC344/Q344</x:f>
        <x:v>-0.06340610742643175</x:v>
      </x:c>
      <x:c r="AE344" s="64" t="n">
        <x:f>-ROUND(Q344*'Drivers'!O344,3)</x:f>
        <x:v>-12.836</x:v>
      </x:c>
      <x:c r="AF344" s="65" t="n">
        <x:f>AE344/Q344</x:f>
        <x:v>-0.007742249908921804</x:v>
      </x:c>
      <x:c r="AG344" s="64" t="n">
        <x:f>-ROUND(Q344*'Drivers'!P344,3)</x:f>
        <x:v>-3.506</x:v>
      </x:c>
      <x:c r="AH344" s="64" t="n">
        <x:f>-ROUND(Q344*'Drivers'!Q344,3)</x:f>
        <x:v>-8.056</x:v>
      </x:c>
      <x:c r="AI344" s="64" t="n">
        <x:f>SUM(R344,T344,AC344,AE344,AG344,AH344)</x:f>
        <x:v>-414.804</x:v>
      </x:c>
      <x:c r="AJ344" s="65" t="n">
        <x:f>AI344/Q344</x:f>
        <x:v>-0.25019602923187906</x:v>
      </x:c>
      <x:c r="AK344" s="64" t="n">
        <x:f>Q344+AI344</x:f>
        <x:v>1243.112</x:v>
      </x:c>
      <x:c r="AL344" s="65" t="n">
        <x:f>AK344/Q344</x:f>
        <x:v>0.749803970768121</x:v>
      </x:c>
      <x:c r="AM344" s="64" t="n">
        <x:f>AK344/L344</x:f>
        <x:v>248.62240000000003</x:v>
      </x:c>
      <x:c r="AN344" s="66" t="str">
        <x:f>IF(AM344&lt;=200,"≤200K",IF(AM344&lt;=350,"200–350K",IF(AM344&lt;=500,"350–500K",IF(AM344&lt;=700,"500–700K","&gt;700K"))))</x:f>
        <x:v>200–350K</x:v>
      </x:c>
      <x:c r="AO344" s="64" t="n">
        <x:f>-ROUND(Q344*'Drivers'!R344,3)</x:f>
        <x:v>-617.449</x:v>
      </x:c>
      <x:c r="AP344" s="64" t="n">
        <x:f>-ROUND(AK344*'Drivers'!S344,3)</x:f>
        <x:v>-20.718</x:v>
      </x:c>
      <x:c r="AQ344" s="64" t="n">
        <x:f>-ROUND(AK344*'Drivers'!T344,3)</x:f>
        <x:v>-7.976</x:v>
      </x:c>
      <x:c r="AR344" s="64" t="n">
        <x:f>-ROUND(AK344*'Drivers'!U344,3)</x:f>
        <x:v>-16.072</x:v>
      </x:c>
      <x:c r="AS344" s="64" t="n">
        <x:f>-ROUND(AK344*'Drivers'!V344,3)</x:f>
        <x:v>-41.287</x:v>
      </x:c>
      <x:c r="AT344" s="64" t="n">
        <x:f>SUM(AO344:AS344)</x:f>
        <x:v>-703.502</x:v>
      </x:c>
      <x:c r="AU344" s="65" t="n">
        <x:f>AT344/AK344</x:f>
        <x:v>-0.5659200458204892</x:v>
      </x:c>
      <x:c r="AV344" s="64" t="n">
        <x:f>AK344+AT344</x:f>
        <x:v>539.6100000000001</x:v>
      </x:c>
      <x:c r="AW344" s="65" t="n">
        <x:f>AV344/AK344</x:f>
        <x:v>0.43407995417951084</x:v>
      </x:c>
      <x:c r="AX344" s="64" t="n">
        <x:f>-ROUND(AK344*'Drivers'!W344,3)</x:f>
        <x:v>-18.814</x:v>
      </x:c>
      <x:c r="AY344" s="64" t="n">
        <x:f>-ROUND(AK344*'Drivers'!X344,3)</x:f>
        <x:v>-30.833</x:v>
      </x:c>
      <x:c r="AZ344" s="64" t="n">
        <x:f>-ROUND(AK344*'Drivers'!Y344,3)</x:f>
        <x:v>-24.676</x:v>
      </x:c>
      <x:c r="BA344" s="64" t="n">
        <x:f>-ROUND(AK344*'Drivers'!Z344,3)</x:f>
        <x:v>-10.319</x:v>
      </x:c>
      <x:c r="BB344" s="64" t="n">
        <x:f>-ROUND(AK344*'Drivers'!AA344,3)</x:f>
        <x:v>-10.014</x:v>
      </x:c>
      <x:c r="BC344" s="64" t="n">
        <x:f>SUM(BA344,BB344)</x:f>
        <x:v>-20.333</x:v>
      </x:c>
      <x:c r="BD344" s="64" t="n">
        <x:f>-ROUND(AK344*'Drivers'!AB344,3)</x:f>
        <x:v>-7.254</x:v>
      </x:c>
      <x:c r="BE344" s="64" t="n">
        <x:f>SUM(AX344:BB344,BD344)</x:f>
        <x:v>-101.91</x:v>
      </x:c>
      <x:c r="BF344" s="67" t="n">
        <x:f>'Drivers'!AF344</x:f>
        <x:v>11</x:v>
      </x:c>
      <x:c r="BG344" s="64" t="n">
        <x:f>BJ344</x:f>
        <x:v>-39.23</x:v>
      </x:c>
      <x:c r="BH344" s="64" t="n">
        <x:f>BE344/BF344</x:f>
        <x:v>-9.264545454545454</x:v>
      </x:c>
      <x:c r="BI344" s="68" t="n">
        <x:f>BF344/L344</x:f>
        <x:v>2.2</x:v>
      </x:c>
      <x:c r="BJ344" s="64" t="n">
        <x:f>-ROUND(AK344*'Drivers'!AC344,3)</x:f>
        <x:v>-39.23</x:v>
      </x:c>
      <x:c r="BK344" s="64" t="n">
        <x:f>-ROUND(AK344*'Drivers'!AD344,3)</x:f>
        <x:v>-104.905</x:v>
      </x:c>
      <x:c r="BL344" s="64" t="n">
        <x:f>SUM(AV344,BE344,BJ344,BK344)</x:f>
        <x:v>293.56500000000017</x:v>
      </x:c>
      <x:c r="BM344" s="65" t="n">
        <x:f>BL344/AK344</x:f>
        <x:v>0.23615329913957886</x:v>
      </x:c>
      <x:c r="BN344" s="64" t="n">
        <x:f>-ROUND(AK344*'Drivers'!AE344,3)</x:f>
        <x:v>-96.741</x:v>
      </x:c>
      <x:c r="BO344" s="64" t="n">
        <x:f>BL344+BN344</x:f>
        <x:v>196.82400000000018</x:v>
      </x:c>
      <x:c r="BP344" s="65" t="n">
        <x:f>BO344/AK344</x:f>
        <x:v>0.1583316708389913</x:v>
      </x:c>
    </x:row>
    <x:row r="345">
      <x:c r="A345" s="61" t="n">
        <x:v>2026</x:v>
      </x:c>
      <x:c r="B345" s="18" t="str">
        <x:v>S2</x:v>
      </x:c>
      <x:c r="C345" s="18" t="str">
        <x:v>2026 S2</x:v>
      </x:c>
      <x:c r="D345" s="18" t="str">
        <x:v>CNCT0086</x:v>
      </x:c>
      <x:c r="E345" s="18" t="str">
        <x:v>西安中大国际</x:v>
      </x:c>
      <x:c r="F345" s="18" t="str">
        <x:v>西安</x:v>
      </x:c>
      <x:c r="G345" s="18" t="str">
        <x:v>陕西省</x:v>
      </x:c>
      <x:c r="H345" s="18" t="str">
        <x:v>西区</x:v>
      </x:c>
      <x:c r="I345" s="18" t="str">
        <x:v>Shopping Mall</x:v>
      </x:c>
      <x:c r="J345" s="18" t="str">
        <x:v>Core Shopping Center</x:v>
      </x:c>
      <x:c r="K345" s="18" t="str">
        <x:v>正常</x:v>
      </x:c>
      <x:c r="L345" s="62" t="n">
        <x:v>5</x:v>
      </x:c>
      <x:c r="M345" s="62" t="n">
        <x:v>45</x:v>
      </x:c>
      <x:c r="N345" s="63" t="n">
        <x:f>'Drivers'!C345</x:f>
        <x:v>1745</x:v>
      </x:c>
      <x:c r="O345" s="63" t="n">
        <x:f>'Drivers'!D345</x:f>
        <x:v>1066.987</x:v>
      </x:c>
      <x:c r="P345" s="64" t="n">
        <x:f>ROUND(N345*O345/1000,3)</x:f>
        <x:v>1861.892</x:v>
      </x:c>
      <x:c r="Q345" s="64" t="n">
        <x:f>ROUND(P345*'Drivers'!E345,3)</x:f>
        <x:v>1808.085</x:v>
      </x:c>
      <x:c r="R345" s="64" t="n">
        <x:f>-ROUND(Q345*'Drivers'!F345,3)</x:f>
        <x:v>-270.278</x:v>
      </x:c>
      <x:c r="S345" s="65" t="n">
        <x:f>R345/Q345</x:f>
        <x:v>-0.1494830165617214</x:v>
      </x:c>
      <x:c r="T345" s="64" t="n">
        <x:f>-ROUND(Q345*'Drivers'!G345,3)</x:f>
        <x:v>-36.862</x:v>
      </x:c>
      <x:c r="U345" s="65" t="n">
        <x:f>T345/Q345</x:f>
        <x:v>-0.020387315861809596</x:v>
      </x:c>
      <x:c r="V345" s="64" t="n">
        <x:f>-ROUND(Q345*'Drivers'!H345,3)</x:f>
        <x:v>-16.926</x:v>
      </x:c>
      <x:c r="W345" s="64" t="n">
        <x:f>-ROUND(Q345*'Drivers'!I345,3)</x:f>
        <x:v>-14.241</x:v>
      </x:c>
      <x:c r="X345" s="64" t="n">
        <x:f>-ROUND(Q345*'Drivers'!J345,3)</x:f>
        <x:v>-22.486</x:v>
      </x:c>
      <x:c r="Y345" s="64" t="n">
        <x:f>-ROUND(Q345*'Drivers'!K345,3)</x:f>
        <x:v>-14.537</x:v>
      </x:c>
      <x:c r="Z345" s="64" t="n">
        <x:f>-ROUND(Q345*'Drivers'!L345,3)</x:f>
        <x:v>-15.965</x:v>
      </x:c>
      <x:c r="AA345" s="64" t="n">
        <x:f>-ROUND(Q345*'Drivers'!M345,3)</x:f>
        <x:v>-17.675</x:v>
      </x:c>
      <x:c r="AB345" s="64" t="n">
        <x:f>-ROUND(Q345*'Drivers'!N345,3)</x:f>
        <x:v>-12.815</x:v>
      </x:c>
      <x:c r="AC345" s="64" t="n">
        <x:f>SUM(V345:AB345)</x:f>
        <x:v>-114.645</x:v>
      </x:c>
      <x:c r="AD345" s="65" t="n">
        <x:f>AC345/Q345</x:f>
        <x:v>-0.0634068641684434</x:v>
      </x:c>
      <x:c r="AE345" s="64" t="n">
        <x:f>-ROUND(Q345*'Drivers'!O345,3)</x:f>
        <x:v>-11.656</x:v>
      </x:c>
      <x:c r="AF345" s="65" t="n">
        <x:f>AE345/Q345</x:f>
        <x:v>-0.006446599579112708</x:v>
      </x:c>
      <x:c r="AG345" s="64" t="n">
        <x:f>-ROUND(Q345*'Drivers'!P345,3)</x:f>
        <x:v>-3.824</x:v>
      </x:c>
      <x:c r="AH345" s="64" t="n">
        <x:f>-ROUND(Q345*'Drivers'!Q345,3)</x:f>
        <x:v>-8.786</x:v>
      </x:c>
      <x:c r="AI345" s="64" t="n">
        <x:f>SUM(R345,T345,AC345,AE345,AG345,AH345)</x:f>
        <x:v>-446.05100000000004</x:v>
      </x:c>
      <x:c r="AJ345" s="65" t="n">
        <x:f>AI345/Q345</x:f>
        <x:v>-0.2466980258118396</x:v>
      </x:c>
      <x:c r="AK345" s="64" t="n">
        <x:f>Q345+AI345</x:f>
        <x:v>1362.034</x:v>
      </x:c>
      <x:c r="AL345" s="65" t="n">
        <x:f>AK345/Q345</x:f>
        <x:v>0.7533019741881605</x:v>
      </x:c>
      <x:c r="AM345" s="64" t="n">
        <x:f>AK345/L345</x:f>
        <x:v>272.40680000000003</x:v>
      </x:c>
      <x:c r="AN345" s="66" t="str">
        <x:f>IF(AM345&lt;=200,"≤200K",IF(AM345&lt;=350,"200–350K",IF(AM345&lt;=500,"350–500K",IF(AM345&lt;=700,"500–700K","&gt;700K"))))</x:f>
        <x:v>200–350K</x:v>
      </x:c>
      <x:c r="AO345" s="64" t="n">
        <x:f>-ROUND(Q345*'Drivers'!R345,3)</x:f>
        <x:v>-673.925</x:v>
      </x:c>
      <x:c r="AP345" s="64" t="n">
        <x:f>-ROUND(AK345*'Drivers'!S345,3)</x:f>
        <x:v>-22.7</x:v>
      </x:c>
      <x:c r="AQ345" s="64" t="n">
        <x:f>-ROUND(AK345*'Drivers'!T345,3)</x:f>
        <x:v>-8.739</x:v>
      </x:c>
      <x:c r="AR345" s="64" t="n">
        <x:f>-ROUND(AK345*'Drivers'!U345,3)</x:f>
        <x:v>-17.609</x:v>
      </x:c>
      <x:c r="AS345" s="64" t="n">
        <x:f>-ROUND(AK345*'Drivers'!V345,3)</x:f>
        <x:v>-45.237</x:v>
      </x:c>
      <x:c r="AT345" s="64" t="n">
        <x:f>SUM(AO345:AS345)</x:f>
        <x:v>-768.21</x:v>
      </x:c>
      <x:c r="AU345" s="65" t="n">
        <x:f>AT345/AK345</x:f>
        <x:v>-0.564016757290934</x:v>
      </x:c>
      <x:c r="AV345" s="64" t="n">
        <x:f>AK345+AT345</x:f>
        <x:v>593.8240000000001</x:v>
      </x:c>
      <x:c r="AW345" s="65" t="n">
        <x:f>AV345/AK345</x:f>
        <x:v>0.435983242709066</x:v>
      </x:c>
      <x:c r="AX345" s="64" t="n">
        <x:f>-ROUND(AK345*'Drivers'!W345,3)</x:f>
        <x:v>-17.759</x:v>
      </x:c>
      <x:c r="AY345" s="64" t="n">
        <x:f>-ROUND(AK345*'Drivers'!X345,3)</x:f>
        <x:v>-29.103</x:v>
      </x:c>
      <x:c r="AZ345" s="64" t="n">
        <x:f>-ROUND(AK345*'Drivers'!Y345,3)</x:f>
        <x:v>-23.292</x:v>
      </x:c>
      <x:c r="BA345" s="64" t="n">
        <x:f>-ROUND(AK345*'Drivers'!Z345,3)</x:f>
        <x:v>-9.74</x:v>
      </x:c>
      <x:c r="BB345" s="64" t="n">
        <x:f>-ROUND(AK345*'Drivers'!AA345,3)</x:f>
        <x:v>-9.452</x:v>
      </x:c>
      <x:c r="BC345" s="64" t="n">
        <x:f>SUM(BA345,BB345)</x:f>
        <x:v>-19.192</x:v>
      </x:c>
      <x:c r="BD345" s="64" t="n">
        <x:f>-ROUND(AK345*'Drivers'!AB345,3)</x:f>
        <x:v>-6.847</x:v>
      </x:c>
      <x:c r="BE345" s="64" t="n">
        <x:f>SUM(AX345:BB345,BD345)</x:f>
        <x:v>-96.19299999999998</x:v>
      </x:c>
      <x:c r="BF345" s="67" t="n">
        <x:f>'Drivers'!AF345</x:f>
        <x:v>11</x:v>
      </x:c>
      <x:c r="BG345" s="64" t="n">
        <x:f>BJ345</x:f>
        <x:v>-37.029</x:v>
      </x:c>
      <x:c r="BH345" s="64" t="n">
        <x:f>BE345/BF345</x:f>
        <x:v>-8.74481818181818</x:v>
      </x:c>
      <x:c r="BI345" s="68" t="n">
        <x:f>BF345/L345</x:f>
        <x:v>2.2</x:v>
      </x:c>
      <x:c r="BJ345" s="64" t="n">
        <x:f>-ROUND(AK345*'Drivers'!AC345,3)</x:f>
        <x:v>-37.029</x:v>
      </x:c>
      <x:c r="BK345" s="64" t="n">
        <x:f>-ROUND(AK345*'Drivers'!AD345,3)</x:f>
        <x:v>-114.941</x:v>
      </x:c>
      <x:c r="BL345" s="64" t="n">
        <x:f>SUM(AV345,BE345,BJ345,BK345)</x:f>
        <x:v>345.66100000000006</x:v>
      </x:c>
      <x:c r="BM345" s="65" t="n">
        <x:f>BL345/AK345</x:f>
        <x:v>0.2537829452128214</x:v>
      </x:c>
      <x:c r="BN345" s="64" t="n">
        <x:f>-ROUND(AK345*'Drivers'!AE345,3)</x:f>
        <x:v>-105.996</x:v>
      </x:c>
      <x:c r="BO345" s="64" t="n">
        <x:f>BL345+BN345</x:f>
        <x:v>239.66500000000008</x:v>
      </x:c>
      <x:c r="BP345" s="65" t="n">
        <x:f>BO345/AK345</x:f>
        <x:v>0.1759610993558164</x:v>
      </x:c>
    </x:row>
    <x:row r="346">
      <x:c r="A346" s="61" t="n">
        <x:v>2025</x:v>
      </x:c>
      <x:c r="B346" s="18" t="str">
        <x:v>S1</x:v>
      </x:c>
      <x:c r="C346" s="18" t="str">
        <x:v>2025 S1</x:v>
      </x:c>
      <x:c r="D346" s="18" t="str">
        <x:v>CNCT0087</x:v>
      </x:c>
      <x:c r="E346" s="18" t="str">
        <x:v>西安国金中心</x:v>
      </x:c>
      <x:c r="F346" s="18" t="str">
        <x:v>西安</x:v>
      </x:c>
      <x:c r="G346" s="18" t="str">
        <x:v>陕西省</x:v>
      </x:c>
      <x:c r="H346" s="18" t="str">
        <x:v>西区</x:v>
      </x:c>
      <x:c r="I346" s="18" t="str">
        <x:v>Shopping Mall</x:v>
      </x:c>
      <x:c r="J346" s="18" t="str">
        <x:v>Prestige Shopping Center</x:v>
      </x:c>
      <x:c r="K346" s="18" t="str">
        <x:v>正常</x:v>
      </x:c>
      <x:c r="L346" s="62" t="n">
        <x:v>6</x:v>
      </x:c>
      <x:c r="M346" s="62" t="n">
        <x:v>45</x:v>
      </x:c>
      <x:c r="N346" s="63" t="n">
        <x:f>'Drivers'!C346</x:f>
        <x:v>2007</x:v>
      </x:c>
      <x:c r="O346" s="63" t="n">
        <x:f>'Drivers'!D346</x:f>
        <x:v>1207.922</x:v>
      </x:c>
      <x:c r="P346" s="64" t="n">
        <x:f>ROUND(N346*O346/1000,3)</x:f>
        <x:v>2424.299</x:v>
      </x:c>
      <x:c r="Q346" s="64" t="n">
        <x:f>ROUND(P346*'Drivers'!E346,3)</x:f>
        <x:v>2362.261</x:v>
      </x:c>
      <x:c r="R346" s="64" t="n">
        <x:f>-ROUND(Q346*'Drivers'!F346,3)</x:f>
        <x:v>-506.154</x:v>
      </x:c>
      <x:c r="S346" s="65" t="n">
        <x:f>R346/Q346</x:f>
        <x:v>-0.21426675545166263</x:v>
      </x:c>
      <x:c r="T346" s="64" t="n">
        <x:f>-ROUND(Q346*'Drivers'!G346,3)</x:f>
        <x:v>-30.835</x:v>
      </x:c>
      <x:c r="U346" s="65" t="n">
        <x:f>T346/Q346</x:f>
        <x:v>-0.013053172363257067</x:v>
      </x:c>
      <x:c r="V346" s="64" t="n">
        <x:f>-ROUND(Q346*'Drivers'!H346,3)</x:f>
        <x:v>-25.003</x:v>
      </x:c>
      <x:c r="W346" s="64" t="n">
        <x:f>-ROUND(Q346*'Drivers'!I346,3)</x:f>
        <x:v>-20.106</x:v>
      </x:c>
      <x:c r="X346" s="64" t="n">
        <x:f>-ROUND(Q346*'Drivers'!J346,3)</x:f>
        <x:v>-32.143</x:v>
      </x:c>
      <x:c r="Y346" s="64" t="n">
        <x:f>-ROUND(Q346*'Drivers'!K346,3)</x:f>
        <x:v>-28.912</x:v>
      </x:c>
      <x:c r="Z346" s="64" t="n">
        <x:f>-ROUND(Q346*'Drivers'!L346,3)</x:f>
        <x:v>-32.167</x:v>
      </x:c>
      <x:c r="AA346" s="64" t="n">
        <x:f>-ROUND(Q346*'Drivers'!M346,3)</x:f>
        <x:v>-16.805</x:v>
      </x:c>
      <x:c r="AB346" s="64" t="n">
        <x:f>-ROUND(Q346*'Drivers'!N346,3)</x:f>
        <x:v>-17.532</x:v>
      </x:c>
      <x:c r="AC346" s="64" t="n">
        <x:f>SUM(V346:AB346)</x:f>
        <x:v>-172.66800000000003</x:v>
      </x:c>
      <x:c r="AD346" s="65" t="n">
        <x:f>AC346/Q346</x:f>
        <x:v>-0.07309437864825269</x:v>
      </x:c>
      <x:c r="AE346" s="64" t="n">
        <x:f>-ROUND(Q346*'Drivers'!O346,3)</x:f>
        <x:v>-21.961</x:v>
      </x:c>
      <x:c r="AF346" s="65" t="n">
        <x:f>AE346/Q346</x:f>
        <x:v>-0.009296601857288419</x:v>
      </x:c>
      <x:c r="AG346" s="64" t="n">
        <x:f>-ROUND(Q346*'Drivers'!P346,3)</x:f>
        <x:v>-6.168</x:v>
      </x:c>
      <x:c r="AH346" s="64" t="n">
        <x:f>-ROUND(Q346*'Drivers'!Q346,3)</x:f>
        <x:v>-5.407</x:v>
      </x:c>
      <x:c r="AI346" s="64" t="n">
        <x:f>SUM(R346,T346,AC346,AE346,AG346,AH346)</x:f>
        <x:v>-743.1930000000001</x:v>
      </x:c>
      <x:c r="AJ346" s="65" t="n">
        <x:f>AI346/Q346</x:f>
        <x:v>-0.3146108749202565</x:v>
      </x:c>
      <x:c r="AK346" s="64" t="n">
        <x:f>Q346+AI346</x:f>
        <x:v>1619.0679999999998</x:v>
      </x:c>
      <x:c r="AL346" s="65" t="n">
        <x:f>AK346/Q346</x:f>
        <x:v>0.6853891250797435</x:v>
      </x:c>
      <x:c r="AM346" s="64" t="n">
        <x:f>AK346/L346</x:f>
        <x:v>269.8446666666666</x:v>
      </x:c>
      <x:c r="AN346" s="66" t="str">
        <x:f>IF(AM346&lt;=200,"≤200K",IF(AM346&lt;=350,"200–350K",IF(AM346&lt;=500,"350–500K",IF(AM346&lt;=700,"500–700K","&gt;700K"))))</x:f>
        <x:v>200–350K</x:v>
      </x:c>
      <x:c r="AO346" s="64" t="n">
        <x:f>-ROUND(Q346*'Drivers'!R346,3)</x:f>
        <x:v>-838.205</x:v>
      </x:c>
      <x:c r="AP346" s="64" t="n">
        <x:f>-ROUND(AK346*'Drivers'!S346,3)</x:f>
        <x:v>-22.695</x:v>
      </x:c>
      <x:c r="AQ346" s="64" t="n">
        <x:f>-ROUND(AK346*'Drivers'!T346,3)</x:f>
        <x:v>-10.356</x:v>
      </x:c>
      <x:c r="AR346" s="64" t="n">
        <x:f>-ROUND(AK346*'Drivers'!U346,3)</x:f>
        <x:v>-8.208</x:v>
      </x:c>
      <x:c r="AS346" s="64" t="n">
        <x:f>-ROUND(AK346*'Drivers'!V346,3)</x:f>
        <x:v>-48.111</x:v>
      </x:c>
      <x:c r="AT346" s="64" t="n">
        <x:f>SUM(AO346:AS346)</x:f>
        <x:v>-927.575</x:v>
      </x:c>
      <x:c r="AU346" s="65" t="n">
        <x:f>AT346/AK346</x:f>
        <x:v>-0.5729067587031552</x:v>
      </x:c>
      <x:c r="AV346" s="64" t="n">
        <x:f>AK346+AT346</x:f>
        <x:v>691.4929999999997</x:v>
      </x:c>
      <x:c r="AW346" s="65" t="n">
        <x:f>AV346/AK346</x:f>
        <x:v>0.42709324129684473</x:v>
      </x:c>
      <x:c r="AX346" s="64" t="n">
        <x:f>-ROUND(AK346*'Drivers'!W346,3)</x:f>
        <x:v>-18.736</x:v>
      </x:c>
      <x:c r="AY346" s="64" t="n">
        <x:f>-ROUND(AK346*'Drivers'!X346,3)</x:f>
        <x:v>-37.438</x:v>
      </x:c>
      <x:c r="AZ346" s="64" t="n">
        <x:f>-ROUND(AK346*'Drivers'!Y346,3)</x:f>
        <x:v>-28.578</x:v>
      </x:c>
      <x:c r="BA346" s="64" t="n">
        <x:f>-ROUND(AK346*'Drivers'!Z346,3)</x:f>
        <x:v>-9.841</x:v>
      </x:c>
      <x:c r="BB346" s="64" t="n">
        <x:f>-ROUND(AK346*'Drivers'!AA346,3)</x:f>
        <x:v>-14.45</x:v>
      </x:c>
      <x:c r="BC346" s="64" t="n">
        <x:f>SUM(BA346,BB346)</x:f>
        <x:v>-24.290999999999997</x:v>
      </x:c>
      <x:c r="BD346" s="64" t="n">
        <x:f>-ROUND(AK346*'Drivers'!AB346,3)</x:f>
        <x:v>-6.168</x:v>
      </x:c>
      <x:c r="BE346" s="64" t="n">
        <x:f>SUM(AX346:BB346,BD346)</x:f>
        <x:v>-115.21100000000001</x:v>
      </x:c>
      <x:c r="BF346" s="67" t="n">
        <x:f>'Drivers'!AF346</x:f>
        <x:v>10</x:v>
      </x:c>
      <x:c r="BG346" s="64" t="n">
        <x:f>BJ346</x:f>
        <x:v>-30.021</x:v>
      </x:c>
      <x:c r="BH346" s="64" t="n">
        <x:f>BE346/BF346</x:f>
        <x:v>-11.5211</x:v>
      </x:c>
      <x:c r="BI346" s="68" t="n">
        <x:f>BF346/L346</x:f>
        <x:v>1.6666666666666667</x:v>
      </x:c>
      <x:c r="BJ346" s="64" t="n">
        <x:f>-ROUND(AK346*'Drivers'!AC346,3)</x:f>
        <x:v>-30.021</x:v>
      </x:c>
      <x:c r="BK346" s="64" t="n">
        <x:f>-ROUND(AK346*'Drivers'!AD346,3)</x:f>
        <x:v>-179.392</x:v>
      </x:c>
      <x:c r="BL346" s="64" t="n">
        <x:f>SUM(AV346,BE346,BJ346,BK346)</x:f>
        <x:v>366.86899999999974</x:v>
      </x:c>
      <x:c r="BM346" s="65" t="n">
        <x:f>BL346/AK346</x:f>
        <x:v>0.22659270642122492</x:v>
      </x:c>
      <x:c r="BN346" s="64" t="n">
        <x:f>-ROUND(AK346*'Drivers'!AE346,3)</x:f>
        <x:v>-138.017</x:v>
      </x:c>
      <x:c r="BO346" s="64" t="n">
        <x:f>BL346+BN346</x:f>
        <x:v>228.85199999999975</x:v>
      </x:c>
      <x:c r="BP346" s="65" t="n">
        <x:f>BO346/AK346</x:f>
        <x:v>0.14134798538418386</x:v>
      </x:c>
    </x:row>
    <x:row r="347">
      <x:c r="A347" s="61" t="n">
        <x:v>2025</x:v>
      </x:c>
      <x:c r="B347" s="18" t="str">
        <x:v>S2</x:v>
      </x:c>
      <x:c r="C347" s="18" t="str">
        <x:v>2025 S2</x:v>
      </x:c>
      <x:c r="D347" s="18" t="str">
        <x:v>CNCT0087</x:v>
      </x:c>
      <x:c r="E347" s="18" t="str">
        <x:v>西安国金中心</x:v>
      </x:c>
      <x:c r="F347" s="18" t="str">
        <x:v>西安</x:v>
      </x:c>
      <x:c r="G347" s="18" t="str">
        <x:v>陕西省</x:v>
      </x:c>
      <x:c r="H347" s="18" t="str">
        <x:v>西区</x:v>
      </x:c>
      <x:c r="I347" s="18" t="str">
        <x:v>Shopping Mall</x:v>
      </x:c>
      <x:c r="J347" s="18" t="str">
        <x:v>Prestige Shopping Center</x:v>
      </x:c>
      <x:c r="K347" s="18" t="str">
        <x:v>正常</x:v>
      </x:c>
      <x:c r="L347" s="62" t="n">
        <x:v>6</x:v>
      </x:c>
      <x:c r="M347" s="62" t="n">
        <x:v>45</x:v>
      </x:c>
      <x:c r="N347" s="63" t="n">
        <x:f>'Drivers'!C347</x:f>
        <x:v>2146</x:v>
      </x:c>
      <x:c r="O347" s="63" t="n">
        <x:f>'Drivers'!D347</x:f>
        <x:v>1222.417</x:v>
      </x:c>
      <x:c r="P347" s="64" t="n">
        <x:f>ROUND(N347*O347/1000,3)</x:f>
        <x:v>2623.307</x:v>
      </x:c>
      <x:c r="Q347" s="64" t="n">
        <x:f>ROUND(P347*'Drivers'!E347,3)</x:f>
        <x:v>2583.769</x:v>
      </x:c>
      <x:c r="R347" s="64" t="n">
        <x:f>-ROUND(Q347*'Drivers'!F347,3)</x:f>
        <x:v>-553.616</x:v>
      </x:c>
      <x:c r="S347" s="65" t="n">
        <x:f>R347/Q347</x:f>
        <x:v>-0.21426683267737945</x:v>
      </x:c>
      <x:c r="T347" s="64" t="n">
        <x:f>-ROUND(Q347*'Drivers'!G347,3)</x:f>
        <x:v>-33.726</x:v>
      </x:c>
      <x:c r="U347" s="65" t="n">
        <x:f>T347/Q347</x:f>
        <x:v>-0.013053024477033357</x:v>
      </x:c>
      <x:c r="V347" s="64" t="n">
        <x:f>-ROUND(Q347*'Drivers'!H347,3)</x:f>
        <x:v>-27.347</x:v>
      </x:c>
      <x:c r="W347" s="64" t="n">
        <x:f>-ROUND(Q347*'Drivers'!I347,3)</x:f>
        <x:v>-21.991</x:v>
      </x:c>
      <x:c r="X347" s="64" t="n">
        <x:f>-ROUND(Q347*'Drivers'!J347,3)</x:f>
        <x:v>-35.157</x:v>
      </x:c>
      <x:c r="Y347" s="64" t="n">
        <x:f>-ROUND(Q347*'Drivers'!K347,3)</x:f>
        <x:v>-31.623</x:v>
      </x:c>
      <x:c r="Z347" s="64" t="n">
        <x:f>-ROUND(Q347*'Drivers'!L347,3)</x:f>
        <x:v>-35.183</x:v>
      </x:c>
      <x:c r="AA347" s="64" t="n">
        <x:f>-ROUND(Q347*'Drivers'!M347,3)</x:f>
        <x:v>-18.38</x:v>
      </x:c>
      <x:c r="AB347" s="64" t="n">
        <x:f>-ROUND(Q347*'Drivers'!N347,3)</x:f>
        <x:v>-19.175</x:v>
      </x:c>
      <x:c r="AC347" s="64" t="n">
        <x:f>SUM(V347:AB347)</x:f>
        <x:v>-188.85600000000002</x:v>
      </x:c>
      <x:c r="AD347" s="65" t="n">
        <x:f>AC347/Q347</x:f>
        <x:v>-0.07309322156895606</x:v>
      </x:c>
      <x:c r="AE347" s="64" t="n">
        <x:f>-ROUND(Q347*'Drivers'!O347,3)</x:f>
        <x:v>-24.021</x:v>
      </x:c>
      <x:c r="AF347" s="65" t="n">
        <x:f>AE347/Q347</x:f>
        <x:v>-0.00929688373844566</x:v>
      </x:c>
      <x:c r="AG347" s="64" t="n">
        <x:f>-ROUND(Q347*'Drivers'!P347,3)</x:f>
        <x:v>-6.746</x:v>
      </x:c>
      <x:c r="AH347" s="64" t="n">
        <x:f>-ROUND(Q347*'Drivers'!Q347,3)</x:f>
        <x:v>-5.914</x:v>
      </x:c>
      <x:c r="AI347" s="64" t="n">
        <x:f>SUM(R347,T347,AC347,AE347,AG347,AH347)</x:f>
        <x:v>-812.8789999999999</x:v>
      </x:c>
      <x:c r="AJ347" s="65" t="n">
        <x:f>AI347/Q347</x:f>
        <x:v>-0.31460978129236783</x:v>
      </x:c>
      <x:c r="AK347" s="64" t="n">
        <x:f>Q347+AI347</x:f>
        <x:v>1770.8899999999999</x:v>
      </x:c>
      <x:c r="AL347" s="65" t="n">
        <x:f>AK347/Q347</x:f>
        <x:v>0.6853902187076322</x:v>
      </x:c>
      <x:c r="AM347" s="64" t="n">
        <x:f>AK347/L347</x:f>
        <x:v>295.1483333333333</x:v>
      </x:c>
      <x:c r="AN347" s="66" t="str">
        <x:f>IF(AM347&lt;=200,"≤200K",IF(AM347&lt;=350,"200–350K",IF(AM347&lt;=500,"350–500K",IF(AM347&lt;=700,"500–700K","&gt;700K"))))</x:f>
        <x:v>200–350K</x:v>
      </x:c>
      <x:c r="AO347" s="64" t="n">
        <x:f>-ROUND(Q347*'Drivers'!R347,3)</x:f>
        <x:v>-887.889</x:v>
      </x:c>
      <x:c r="AP347" s="64" t="n">
        <x:f>-ROUND(AK347*'Drivers'!S347,3)</x:f>
        <x:v>-24.823</x:v>
      </x:c>
      <x:c r="AQ347" s="64" t="n">
        <x:f>-ROUND(AK347*'Drivers'!T347,3)</x:f>
        <x:v>-11.328</x:v>
      </x:c>
      <x:c r="AR347" s="64" t="n">
        <x:f>-ROUND(AK347*'Drivers'!U347,3)</x:f>
        <x:v>-8.978</x:v>
      </x:c>
      <x:c r="AS347" s="64" t="n">
        <x:f>-ROUND(AK347*'Drivers'!V347,3)</x:f>
        <x:v>-52.623</x:v>
      </x:c>
      <x:c r="AT347" s="64" t="n">
        <x:f>SUM(AO347:AS347)</x:f>
        <x:v>-985.641</x:v>
      </x:c>
      <x:c r="AU347" s="65" t="n">
        <x:f>AT347/AK347</x:f>
        <x:v>-0.5565794600455138</x:v>
      </x:c>
      <x:c r="AV347" s="64" t="n">
        <x:f>AK347+AT347</x:f>
        <x:v>785.2489999999999</x:v>
      </x:c>
      <x:c r="AW347" s="65" t="n">
        <x:f>AV347/AK347</x:f>
        <x:v>0.44342053995448616</x:v>
      </x:c>
      <x:c r="AX347" s="64" t="n">
        <x:f>-ROUND(AK347*'Drivers'!W347,3)</x:f>
        <x:v>-20.493</x:v>
      </x:c>
      <x:c r="AY347" s="64" t="n">
        <x:f>-ROUND(AK347*'Drivers'!X347,3)</x:f>
        <x:v>-40.949</x:v>
      </x:c>
      <x:c r="AZ347" s="64" t="n">
        <x:f>-ROUND(AK347*'Drivers'!Y347,3)</x:f>
        <x:v>-31.258</x:v>
      </x:c>
      <x:c r="BA347" s="64" t="n">
        <x:f>-ROUND(AK347*'Drivers'!Z347,3)</x:f>
        <x:v>-10.764</x:v>
      </x:c>
      <x:c r="BB347" s="64" t="n">
        <x:f>-ROUND(AK347*'Drivers'!AA347,3)</x:f>
        <x:v>-15.804</x:v>
      </x:c>
      <x:c r="BC347" s="64" t="n">
        <x:f>SUM(BA347,BB347)</x:f>
        <x:v>-26.567999999999998</x:v>
      </x:c>
      <x:c r="BD347" s="64" t="n">
        <x:f>-ROUND(AK347*'Drivers'!AB347,3)</x:f>
        <x:v>-6.746</x:v>
      </x:c>
      <x:c r="BE347" s="64" t="n">
        <x:f>SUM(AX347:BB347,BD347)</x:f>
        <x:v>-126.01399999999998</x:v>
      </x:c>
      <x:c r="BF347" s="67" t="n">
        <x:f>'Drivers'!AF347</x:f>
        <x:v>10</x:v>
      </x:c>
      <x:c r="BG347" s="64" t="n">
        <x:f>BJ347</x:f>
        <x:v>-32.836</x:v>
      </x:c>
      <x:c r="BH347" s="64" t="n">
        <x:f>BE347/BF347</x:f>
        <x:v>-12.601399999999998</x:v>
      </x:c>
      <x:c r="BI347" s="68" t="n">
        <x:f>BF347/L347</x:f>
        <x:v>1.6666666666666667</x:v>
      </x:c>
      <x:c r="BJ347" s="64" t="n">
        <x:f>-ROUND(AK347*'Drivers'!AC347,3)</x:f>
        <x:v>-32.836</x:v>
      </x:c>
      <x:c r="BK347" s="64" t="n">
        <x:f>-ROUND(AK347*'Drivers'!AD347,3)</x:f>
        <x:v>-196.214</x:v>
      </x:c>
      <x:c r="BL347" s="64" t="n">
        <x:f>SUM(AV347,BE347,BJ347,BK347)</x:f>
        <x:v>430.1849999999999</x:v>
      </x:c>
      <x:c r="BM347" s="65" t="n">
        <x:f>BL347/AK347</x:f>
        <x:v>0.24292022655275028</x:v>
      </x:c>
      <x:c r="BN347" s="64" t="n">
        <x:f>-ROUND(AK347*'Drivers'!AE347,3)</x:f>
        <x:v>-150.959</x:v>
      </x:c>
      <x:c r="BO347" s="64" t="n">
        <x:f>BL347+BN347</x:f>
        <x:v>279.2259999999999</x:v>
      </x:c>
      <x:c r="BP347" s="65" t="n">
        <x:f>BO347/AK347</x:f>
        <x:v>0.15767551908927144</x:v>
      </x:c>
    </x:row>
    <x:row r="348">
      <x:c r="A348" s="61" t="n">
        <x:v>2026</x:v>
      </x:c>
      <x:c r="B348" s="18" t="str">
        <x:v>S1</x:v>
      </x:c>
      <x:c r="C348" s="18" t="str">
        <x:v>2026 S1</x:v>
      </x:c>
      <x:c r="D348" s="18" t="str">
        <x:v>CNCT0087</x:v>
      </x:c>
      <x:c r="E348" s="18" t="str">
        <x:v>西安国金中心</x:v>
      </x:c>
      <x:c r="F348" s="18" t="str">
        <x:v>西安</x:v>
      </x:c>
      <x:c r="G348" s="18" t="str">
        <x:v>陕西省</x:v>
      </x:c>
      <x:c r="H348" s="18" t="str">
        <x:v>西区</x:v>
      </x:c>
      <x:c r="I348" s="18" t="str">
        <x:v>Shopping Mall</x:v>
      </x:c>
      <x:c r="J348" s="18" t="str">
        <x:v>Prestige Shopping Center</x:v>
      </x:c>
      <x:c r="K348" s="18" t="str">
        <x:v>正常</x:v>
      </x:c>
      <x:c r="L348" s="62" t="n">
        <x:v>6</x:v>
      </x:c>
      <x:c r="M348" s="62" t="n">
        <x:v>45</x:v>
      </x:c>
      <x:c r="N348" s="63" t="n">
        <x:f>'Drivers'!C348</x:f>
        <x:v>1908</x:v>
      </x:c>
      <x:c r="O348" s="63" t="n">
        <x:f>'Drivers'!D348</x:f>
        <x:v>1271.318</x:v>
      </x:c>
      <x:c r="P348" s="64" t="n">
        <x:f>ROUND(N348*O348/1000,3)</x:f>
        <x:v>2425.675</x:v>
      </x:c>
      <x:c r="Q348" s="64" t="n">
        <x:f>ROUND(P348*'Drivers'!E348,3)</x:f>
        <x:v>2363.928</x:v>
      </x:c>
      <x:c r="R348" s="64" t="n">
        <x:f>-ROUND(Q348*'Drivers'!F348,3)</x:f>
        <x:v>-520.694</x:v>
      </x:c>
      <x:c r="S348" s="65" t="n">
        <x:f>R348/Q348</x:f>
        <x:v>-0.22026643789489359</x:v>
      </x:c>
      <x:c r="T348" s="64" t="n">
        <x:f>-ROUND(Q348*'Drivers'!G348,3)</x:f>
        <x:v>-33.824</x:v>
      </x:c>
      <x:c r="U348" s="65" t="n">
        <x:f>T348/Q348</x:f>
        <x:v>-0.014308388411152962</x:v>
      </x:c>
      <x:c r="V348" s="64" t="n">
        <x:f>-ROUND(Q348*'Drivers'!H348,3)</x:f>
        <x:v>-25.02</x:v>
      </x:c>
      <x:c r="W348" s="64" t="n">
        <x:f>-ROUND(Q348*'Drivers'!I348,3)</x:f>
        <x:v>-20.12</x:v>
      </x:c>
      <x:c r="X348" s="64" t="n">
        <x:f>-ROUND(Q348*'Drivers'!J348,3)</x:f>
        <x:v>-32.166</x:v>
      </x:c>
      <x:c r="Y348" s="64" t="n">
        <x:f>-ROUND(Q348*'Drivers'!K348,3)</x:f>
        <x:v>-28.932</x:v>
      </x:c>
      <x:c r="Z348" s="64" t="n">
        <x:f>-ROUND(Q348*'Drivers'!L348,3)</x:f>
        <x:v>-32.189</x:v>
      </x:c>
      <x:c r="AA348" s="64" t="n">
        <x:f>-ROUND(Q348*'Drivers'!M348,3)</x:f>
        <x:v>-16.817</x:v>
      </x:c>
      <x:c r="AB348" s="64" t="n">
        <x:f>-ROUND(Q348*'Drivers'!N348,3)</x:f>
        <x:v>-17.544</x:v>
      </x:c>
      <x:c r="AC348" s="64" t="n">
        <x:f>SUM(V348:AB348)</x:f>
        <x:v>-172.788</x:v>
      </x:c>
      <x:c r="AD348" s="65" t="n">
        <x:f>AC348/Q348</x:f>
        <x:v>-0.07309359675929217</x:v>
      </x:c>
      <x:c r="AE348" s="64" t="n">
        <x:f>-ROUND(Q348*'Drivers'!O348,3)</x:f>
        <x:v>-18.791</x:v>
      </x:c>
      <x:c r="AF348" s="65" t="n">
        <x:f>AE348/Q348</x:f>
        <x:v>-0.007949057670115165</x:v>
      </x:c>
      <x:c r="AG348" s="64" t="n">
        <x:f>-ROUND(Q348*'Drivers'!P348,3)</x:f>
        <x:v>-6.172</x:v>
      </x:c>
      <x:c r="AH348" s="64" t="n">
        <x:f>-ROUND(Q348*'Drivers'!Q348,3)</x:f>
        <x:v>-5.411</x:v>
      </x:c>
      <x:c r="AI348" s="64" t="n">
        <x:f>SUM(R348,T348,AC348,AE348,AG348,AH348)</x:f>
        <x:v>-757.68</x:v>
      </x:c>
      <x:c r="AJ348" s="65" t="n">
        <x:f>AI348/Q348</x:f>
        <x:v>-0.32051737616374104</x:v>
      </x:c>
      <x:c r="AK348" s="64" t="n">
        <x:f>Q348+AI348</x:f>
        <x:v>1606.248</x:v>
      </x:c>
      <x:c r="AL348" s="65" t="n">
        <x:f>AK348/Q348</x:f>
        <x:v>0.679482623836259</x:v>
      </x:c>
      <x:c r="AM348" s="64" t="n">
        <x:f>AK348/L348</x:f>
        <x:v>267.708</x:v>
      </x:c>
      <x:c r="AN348" s="66" t="str">
        <x:f>IF(AM348&lt;=200,"≤200K",IF(AM348&lt;=350,"200–350K",IF(AM348&lt;=500,"350–500K",IF(AM348&lt;=700,"500–700K","&gt;700K"))))</x:f>
        <x:v>200–350K</x:v>
      </x:c>
      <x:c r="AO348" s="64" t="n">
        <x:f>-ROUND(Q348*'Drivers'!R348,3)</x:f>
        <x:v>-838.31</x:v>
      </x:c>
      <x:c r="AP348" s="64" t="n">
        <x:f>-ROUND(AK348*'Drivers'!S348,3)</x:f>
        <x:v>-22.515</x:v>
      </x:c>
      <x:c r="AQ348" s="64" t="n">
        <x:f>-ROUND(AK348*'Drivers'!T348,3)</x:f>
        <x:v>-10.274</x:v>
      </x:c>
      <x:c r="AR348" s="64" t="n">
        <x:f>-ROUND(AK348*'Drivers'!U348,3)</x:f>
        <x:v>-8.143</x:v>
      </x:c>
      <x:c r="AS348" s="64" t="n">
        <x:f>-ROUND(AK348*'Drivers'!V348,3)</x:f>
        <x:v>-47.731</x:v>
      </x:c>
      <x:c r="AT348" s="64" t="n">
        <x:f>SUM(AO348:AS348)</x:f>
        <x:v>-926.973</x:v>
      </x:c>
      <x:c r="AU348" s="65" t="n">
        <x:f>AT348/AK348</x:f>
        <x:v>-0.577104531803308</x:v>
      </x:c>
      <x:c r="AV348" s="64" t="n">
        <x:f>AK348+AT348</x:f>
        <x:v>679.2750000000001</x:v>
      </x:c>
      <x:c r="AW348" s="65" t="n">
        <x:f>AV348/AK348</x:f>
        <x:v>0.42289546819669194</x:v>
      </x:c>
      <x:c r="AX348" s="64" t="n">
        <x:f>-ROUND(AK348*'Drivers'!W348,3)</x:f>
        <x:v>-22.871</x:v>
      </x:c>
      <x:c r="AY348" s="64" t="n">
        <x:f>-ROUND(AK348*'Drivers'!X348,3)</x:f>
        <x:v>-45.701</x:v>
      </x:c>
      <x:c r="AZ348" s="64" t="n">
        <x:f>-ROUND(AK348*'Drivers'!Y348,3)</x:f>
        <x:v>-34.885</x:v>
      </x:c>
      <x:c r="BA348" s="64" t="n">
        <x:f>-ROUND(AK348*'Drivers'!Z348,3)</x:f>
        <x:v>-12.013</x:v>
      </x:c>
      <x:c r="BB348" s="64" t="n">
        <x:f>-ROUND(AK348*'Drivers'!AA348,3)</x:f>
        <x:v>-17.639</x:v>
      </x:c>
      <x:c r="BC348" s="64" t="n">
        <x:f>SUM(BA348,BB348)</x:f>
        <x:v>-29.652</x:v>
      </x:c>
      <x:c r="BD348" s="64" t="n">
        <x:f>-ROUND(AK348*'Drivers'!AB348,3)</x:f>
        <x:v>-7.529</x:v>
      </x:c>
      <x:c r="BE348" s="64" t="n">
        <x:f>SUM(AX348:BB348,BD348)</x:f>
        <x:v>-140.638</x:v>
      </x:c>
      <x:c r="BF348" s="67" t="n">
        <x:f>'Drivers'!AF348</x:f>
        <x:v>10</x:v>
      </x:c>
      <x:c r="BG348" s="64" t="n">
        <x:f>BJ348</x:f>
        <x:v>-36.647</x:v>
      </x:c>
      <x:c r="BH348" s="64" t="n">
        <x:f>BE348/BF348</x:f>
        <x:v>-14.0638</x:v>
      </x:c>
      <x:c r="BI348" s="68" t="n">
        <x:f>BF348/L348</x:f>
        <x:v>1.6666666666666667</x:v>
      </x:c>
      <x:c r="BJ348" s="64" t="n">
        <x:f>-ROUND(AK348*'Drivers'!AC348,3)</x:f>
        <x:v>-36.647</x:v>
      </x:c>
      <x:c r="BK348" s="64" t="n">
        <x:f>-ROUND(AK348*'Drivers'!AD348,3)</x:f>
        <x:v>-177.972</x:v>
      </x:c>
      <x:c r="BL348" s="64" t="n">
        <x:f>SUM(AV348,BE348,BJ348,BK348)</x:f>
        <x:v>324.01800000000003</x:v>
      </x:c>
      <x:c r="BM348" s="65" t="n">
        <x:f>BL348/AK348</x:f>
        <x:v>0.20172351965574434</x:v>
      </x:c>
      <x:c r="BN348" s="64" t="n">
        <x:f>-ROUND(AK348*'Drivers'!AE348,3)</x:f>
        <x:v>-136.924</x:v>
      </x:c>
      <x:c r="BO348" s="64" t="n">
        <x:f>BL348+BN348</x:f>
        <x:v>187.09400000000002</x:v>
      </x:c>
      <x:c r="BP348" s="65" t="n">
        <x:f>BO348/AK348</x:f>
        <x:v>0.1164788998959065</x:v>
      </x:c>
    </x:row>
    <x:row r="349">
      <x:c r="A349" s="61" t="n">
        <x:v>2026</x:v>
      </x:c>
      <x:c r="B349" s="18" t="str">
        <x:v>S2</x:v>
      </x:c>
      <x:c r="C349" s="18" t="str">
        <x:v>2026 S2</x:v>
      </x:c>
      <x:c r="D349" s="18" t="str">
        <x:v>CNCT0087</x:v>
      </x:c>
      <x:c r="E349" s="18" t="str">
        <x:v>西安国金中心</x:v>
      </x:c>
      <x:c r="F349" s="18" t="str">
        <x:v>西安</x:v>
      </x:c>
      <x:c r="G349" s="18" t="str">
        <x:v>陕西省</x:v>
      </x:c>
      <x:c r="H349" s="18" t="str">
        <x:v>西区</x:v>
      </x:c>
      <x:c r="I349" s="18" t="str">
        <x:v>Shopping Mall</x:v>
      </x:c>
      <x:c r="J349" s="18" t="str">
        <x:v>Prestige Shopping Center</x:v>
      </x:c>
      <x:c r="K349" s="18" t="str">
        <x:v>正常</x:v>
      </x:c>
      <x:c r="L349" s="62" t="n">
        <x:v>6</x:v>
      </x:c>
      <x:c r="M349" s="62" t="n">
        <x:v>45</x:v>
      </x:c>
      <x:c r="N349" s="63" t="n">
        <x:f>'Drivers'!C349</x:f>
        <x:v>2114</x:v>
      </x:c>
      <x:c r="O349" s="63" t="n">
        <x:f>'Drivers'!D349</x:f>
        <x:v>1248.047</x:v>
      </x:c>
      <x:c r="P349" s="64" t="n">
        <x:f>ROUND(N349*O349/1000,3)</x:f>
        <x:v>2638.371</x:v>
      </x:c>
      <x:c r="Q349" s="64" t="n">
        <x:f>ROUND(P349*'Drivers'!E349,3)</x:f>
        <x:v>2598.606</x:v>
      </x:c>
      <x:c r="R349" s="64" t="n">
        <x:f>-ROUND(Q349*'Drivers'!F349,3)</x:f>
        <x:v>-566.151</x:v>
      </x:c>
      <x:c r="S349" s="65" t="n">
        <x:f>R349/Q349</x:f>
        <x:v>-0.21786719494990772</x:v>
      </x:c>
      <x:c r="T349" s="64" t="n">
        <x:f>-ROUND(Q349*'Drivers'!G349,3)</x:f>
        <x:v>-34.724</x:v>
      </x:c>
      <x:c r="U349" s="65" t="n">
        <x:f>T349/Q349</x:f>
        <x:v>-0.013362548997424001</x:v>
      </x:c>
      <x:c r="V349" s="64" t="n">
        <x:f>-ROUND(Q349*'Drivers'!H349,3)</x:f>
        <x:v>-27.504</x:v>
      </x:c>
      <x:c r="W349" s="64" t="n">
        <x:f>-ROUND(Q349*'Drivers'!I349,3)</x:f>
        <x:v>-22.117</x:v>
      </x:c>
      <x:c r="X349" s="64" t="n">
        <x:f>-ROUND(Q349*'Drivers'!J349,3)</x:f>
        <x:v>-35.359</x:v>
      </x:c>
      <x:c r="Y349" s="64" t="n">
        <x:f>-ROUND(Q349*'Drivers'!K349,3)</x:f>
        <x:v>-31.804</x:v>
      </x:c>
      <x:c r="Z349" s="64" t="n">
        <x:f>-ROUND(Q349*'Drivers'!L349,3)</x:f>
        <x:v>-35.385</x:v>
      </x:c>
      <x:c r="AA349" s="64" t="n">
        <x:f>-ROUND(Q349*'Drivers'!M349,3)</x:f>
        <x:v>-18.486</x:v>
      </x:c>
      <x:c r="AB349" s="64" t="n">
        <x:f>-ROUND(Q349*'Drivers'!N349,3)</x:f>
        <x:v>-19.286</x:v>
      </x:c>
      <x:c r="AC349" s="64" t="n">
        <x:f>SUM(V349:AB349)</x:f>
        <x:v>-189.941</x:v>
      </x:c>
      <x:c r="AD349" s="65" t="n">
        <x:f>AC349/Q349</x:f>
        <x:v>-0.07309342008753923</x:v>
      </x:c>
      <x:c r="AE349" s="64" t="n">
        <x:f>-ROUND(Q349*'Drivers'!O349,3)</x:f>
        <x:v>-24.159</x:v>
      </x:c>
      <x:c r="AF349" s="65" t="n">
        <x:f>AE349/Q349</x:f>
        <x:v>-0.009296907649716808</x:v>
      </x:c>
      <x:c r="AG349" s="64" t="n">
        <x:f>-ROUND(Q349*'Drivers'!P349,3)</x:f>
        <x:v>-6.785</x:v>
      </x:c>
      <x:c r="AH349" s="64" t="n">
        <x:f>-ROUND(Q349*'Drivers'!Q349,3)</x:f>
        <x:v>-5.948</x:v>
      </x:c>
      <x:c r="AI349" s="64" t="n">
        <x:f>SUM(R349,T349,AC349,AE349,AG349,AH349)</x:f>
        <x:v>-827.708</x:v>
      </x:c>
      <x:c r="AJ349" s="65" t="n">
        <x:f>AI349/Q349</x:f>
        <x:v>-0.3185200064957904</x:v>
      </x:c>
      <x:c r="AK349" s="64" t="n">
        <x:f>Q349+AI349</x:f>
        <x:v>1770.8980000000001</x:v>
      </x:c>
      <x:c r="AL349" s="65" t="n">
        <x:f>AK349/Q349</x:f>
        <x:v>0.6814799935042095</x:v>
      </x:c>
      <x:c r="AM349" s="64" t="n">
        <x:f>AK349/L349</x:f>
        <x:v>295.1496666666667</x:v>
      </x:c>
      <x:c r="AN349" s="66" t="str">
        <x:f>IF(AM349&lt;=200,"≤200K",IF(AM349&lt;=350,"200–350K",IF(AM349&lt;=500,"350–500K",IF(AM349&lt;=700,"500–700K","&gt;700K"))))</x:f>
        <x:v>200–350K</x:v>
      </x:c>
      <x:c r="AO349" s="64" t="n">
        <x:f>-ROUND(Q349*'Drivers'!R349,3)</x:f>
        <x:v>-892.044</x:v>
      </x:c>
      <x:c r="AP349" s="64" t="n">
        <x:f>-ROUND(AK349*'Drivers'!S349,3)</x:f>
        <x:v>-24.823</x:v>
      </x:c>
      <x:c r="AQ349" s="64" t="n">
        <x:f>-ROUND(AK349*'Drivers'!T349,3)</x:f>
        <x:v>-11.328</x:v>
      </x:c>
      <x:c r="AR349" s="64" t="n">
        <x:f>-ROUND(AK349*'Drivers'!U349,3)</x:f>
        <x:v>-8.978</x:v>
      </x:c>
      <x:c r="AS349" s="64" t="n">
        <x:f>-ROUND(AK349*'Drivers'!V349,3)</x:f>
        <x:v>-52.623</x:v>
      </x:c>
      <x:c r="AT349" s="64" t="n">
        <x:f>SUM(AO349:AS349)</x:f>
        <x:v>-989.7959999999999</x:v>
      </x:c>
      <x:c r="AU349" s="65" t="n">
        <x:f>AT349/AK349</x:f>
        <x:v>-0.5589232129687876</x:v>
      </x:c>
      <x:c r="AV349" s="64" t="n">
        <x:f>AK349+AT349</x:f>
        <x:v>781.1020000000002</x:v>
      </x:c>
      <x:c r="AW349" s="65" t="n">
        <x:f>AV349/AK349</x:f>
        <x:v>0.4410767870312125</x:v>
      </x:c>
      <x:c r="AX349" s="64" t="n">
        <x:f>-ROUND(AK349*'Drivers'!W349,3)</x:f>
        <x:v>-21.723</x:v>
      </x:c>
      <x:c r="AY349" s="64" t="n">
        <x:f>-ROUND(AK349*'Drivers'!X349,3)</x:f>
        <x:v>-43.406</x:v>
      </x:c>
      <x:c r="AZ349" s="64" t="n">
        <x:f>-ROUND(AK349*'Drivers'!Y349,3)</x:f>
        <x:v>-33.133</x:v>
      </x:c>
      <x:c r="BA349" s="64" t="n">
        <x:f>-ROUND(AK349*'Drivers'!Z349,3)</x:f>
        <x:v>-11.409</x:v>
      </x:c>
      <x:c r="BB349" s="64" t="n">
        <x:f>-ROUND(AK349*'Drivers'!AA349,3)</x:f>
        <x:v>-16.753</x:v>
      </x:c>
      <x:c r="BC349" s="64" t="n">
        <x:f>SUM(BA349,BB349)</x:f>
        <x:v>-28.162</x:v>
      </x:c>
      <x:c r="BD349" s="64" t="n">
        <x:f>-ROUND(AK349*'Drivers'!AB349,3)</x:f>
        <x:v>-7.151</x:v>
      </x:c>
      <x:c r="BE349" s="64" t="n">
        <x:f>SUM(AX349:BB349,BD349)</x:f>
        <x:v>-133.57500000000002</x:v>
      </x:c>
      <x:c r="BF349" s="67" t="n">
        <x:f>'Drivers'!AF349</x:f>
        <x:v>10</x:v>
      </x:c>
      <x:c r="BG349" s="64" t="n">
        <x:f>BJ349</x:f>
        <x:v>-34.806</x:v>
      </x:c>
      <x:c r="BH349" s="64" t="n">
        <x:f>BE349/BF349</x:f>
        <x:v>-13.357500000000002</x:v>
      </x:c>
      <x:c r="BI349" s="68" t="n">
        <x:f>BF349/L349</x:f>
        <x:v>1.6666666666666667</x:v>
      </x:c>
      <x:c r="BJ349" s="64" t="n">
        <x:f>-ROUND(AK349*'Drivers'!AC349,3)</x:f>
        <x:v>-34.806</x:v>
      </x:c>
      <x:c r="BK349" s="64" t="n">
        <x:f>-ROUND(AK349*'Drivers'!AD349,3)</x:f>
        <x:v>-196.215</x:v>
      </x:c>
      <x:c r="BL349" s="64" t="n">
        <x:f>SUM(AV349,BE349,BJ349,BK349)</x:f>
        <x:v>416.5060000000001</x:v>
      </x:c>
      <x:c r="BM349" s="65" t="n">
        <x:f>BL349/AK349</x:f>
        <x:v>0.23519479947461686</x:v>
      </x:c>
      <x:c r="BN349" s="64" t="n">
        <x:f>-ROUND(AK349*'Drivers'!AE349,3)</x:f>
        <x:v>-150.96</x:v>
      </x:c>
      <x:c r="BO349" s="64" t="n">
        <x:f>BL349+BN349</x:f>
        <x:v>265.54600000000005</x:v>
      </x:c>
      <x:c r="BP349" s="65" t="n">
        <x:f>BO349/AK349</x:f>
        <x:v>0.14994991241731598</x:v>
      </x:c>
    </x:row>
    <x:row r="350">
      <x:c r="A350" s="61" t="n">
        <x:v>2025</x:v>
      </x:c>
      <x:c r="B350" s="18" t="str">
        <x:v>S1</x:v>
      </x:c>
      <x:c r="C350" s="18" t="str">
        <x:v>2025 S1</x:v>
      </x:c>
      <x:c r="D350" s="18" t="str">
        <x:v>CNCT0088</x:v>
      </x:c>
      <x:c r="E350" s="18" t="str">
        <x:v>西安万象天地</x:v>
      </x:c>
      <x:c r="F350" s="18" t="str">
        <x:v>西安</x:v>
      </x:c>
      <x:c r="G350" s="18" t="str">
        <x:v>陕西省</x:v>
      </x:c>
      <x:c r="H350" s="18" t="str">
        <x:v>西区</x:v>
      </x:c>
      <x:c r="I350" s="18" t="str">
        <x:v>Shopping Mall</x:v>
      </x:c>
      <x:c r="J350" s="18" t="str">
        <x:v>Prestige Shopping Center</x:v>
      </x:c>
      <x:c r="K350" s="18" t="str">
        <x:v>正常</x:v>
      </x:c>
      <x:c r="L350" s="62" t="n">
        <x:v>4</x:v>
      </x:c>
      <x:c r="M350" s="62" t="n">
        <x:v>45</x:v>
      </x:c>
      <x:c r="N350" s="63" t="n">
        <x:f>'Drivers'!C350</x:f>
        <x:v>2069</x:v>
      </x:c>
      <x:c r="O350" s="63" t="n">
        <x:f>'Drivers'!D350</x:f>
        <x:v>1271.879</x:v>
      </x:c>
      <x:c r="P350" s="64" t="n">
        <x:f>ROUND(N350*O350/1000,3)</x:f>
        <x:v>2631.518</x:v>
      </x:c>
      <x:c r="Q350" s="64" t="n">
        <x:f>ROUND(P350*'Drivers'!E350,3)</x:f>
        <x:v>2558.697</x:v>
      </x:c>
      <x:c r="R350" s="64" t="n">
        <x:f>-ROUND(Q350*'Drivers'!F350,3)</x:f>
        <x:v>-395.512</x:v>
      </x:c>
      <x:c r="S350" s="65" t="n">
        <x:f>R350/Q350</x:f>
        <x:v>-0.1545755515404911</x:v>
      </x:c>
      <x:c r="T350" s="64" t="n">
        <x:f>-ROUND(Q350*'Drivers'!G350,3)</x:f>
        <x:v>-38.189</x:v>
      </x:c>
      <x:c r="U350" s="65" t="n">
        <x:f>T350/Q350</x:f>
        <x:v>-0.01492517480577028</x:v>
      </x:c>
      <x:c r="V350" s="64" t="n">
        <x:f>-ROUND(Q350*'Drivers'!H350,3)</x:f>
        <x:v>-25.141</x:v>
      </x:c>
      <x:c r="W350" s="64" t="n">
        <x:f>-ROUND(Q350*'Drivers'!I350,3)</x:f>
        <x:v>-23.92</x:v>
      </x:c>
      <x:c r="X350" s="64" t="n">
        <x:f>-ROUND(Q350*'Drivers'!J350,3)</x:f>
        <x:v>-40.892</x:v>
      </x:c>
      <x:c r="Y350" s="64" t="n">
        <x:f>-ROUND(Q350*'Drivers'!K350,3)</x:f>
        <x:v>-28.639</x:v>
      </x:c>
      <x:c r="Z350" s="64" t="n">
        <x:f>-ROUND(Q350*'Drivers'!L350,3)</x:f>
        <x:v>-26.348</x:v>
      </x:c>
      <x:c r="AA350" s="64" t="n">
        <x:f>-ROUND(Q350*'Drivers'!M350,3)</x:f>
        <x:v>-22.079</x:v>
      </x:c>
      <x:c r="AB350" s="64" t="n">
        <x:f>-ROUND(Q350*'Drivers'!N350,3)</x:f>
        <x:v>-18.417</x:v>
      </x:c>
      <x:c r="AC350" s="64" t="n">
        <x:f>SUM(V350:AB350)</x:f>
        <x:v>-185.436</x:v>
      </x:c>
      <x:c r="AD350" s="65" t="n">
        <x:f>AC350/Q350</x:f>
        <x:v>-0.0724728250355552</x:v>
      </x:c>
      <x:c r="AE350" s="64" t="n">
        <x:f>-ROUND(Q350*'Drivers'!O350,3)</x:f>
        <x:v>-34.362</x:v>
      </x:c>
      <x:c r="AF350" s="65" t="n">
        <x:f>AE350/Q350</x:f>
        <x:v>-0.013429491651414762</x:v>
      </x:c>
      <x:c r="AG350" s="64" t="n">
        <x:f>-ROUND(Q350*'Drivers'!P350,3)</x:f>
        <x:v>-3.971</x:v>
      </x:c>
      <x:c r="AH350" s="64" t="n">
        <x:f>-ROUND(Q350*'Drivers'!Q350,3)</x:f>
        <x:v>-7.692</x:v>
      </x:c>
      <x:c r="AI350" s="64" t="n">
        <x:f>SUM(R350,T350,AC350,AE350,AG350,AH350)</x:f>
        <x:v>-665.162</x:v>
      </x:c>
      <x:c r="AJ350" s="65" t="n">
        <x:f>AI350/Q350</x:f>
        <x:v>-0.2599612224503331</x:v>
      </x:c>
      <x:c r="AK350" s="64" t="n">
        <x:f>Q350+AI350</x:f>
        <x:v>1893.535</x:v>
      </x:c>
      <x:c r="AL350" s="65" t="n">
        <x:f>AK350/Q350</x:f>
        <x:v>0.7400387775496668</x:v>
      </x:c>
      <x:c r="AM350" s="64" t="n">
        <x:f>AK350/L350</x:f>
        <x:v>473.38375</x:v>
      </x:c>
      <x:c r="AN350" s="66" t="str">
        <x:f>IF(AM350&lt;=200,"≤200K",IF(AM350&lt;=350,"200–350K",IF(AM350&lt;=500,"350–500K",IF(AM350&lt;=700,"500–700K","&gt;700K"))))</x:f>
        <x:v>350–500K</x:v>
      </x:c>
      <x:c r="AO350" s="64" t="n">
        <x:f>-ROUND(Q350*'Drivers'!R350,3)</x:f>
        <x:v>-984.363</x:v>
      </x:c>
      <x:c r="AP350" s="64" t="n">
        <x:f>-ROUND(AK350*'Drivers'!S350,3)</x:f>
        <x:v>-21.359</x:v>
      </x:c>
      <x:c r="AQ350" s="64" t="n">
        <x:f>-ROUND(AK350*'Drivers'!T350,3)</x:f>
        <x:v>-7.741</x:v>
      </x:c>
      <x:c r="AR350" s="64" t="n">
        <x:f>-ROUND(AK350*'Drivers'!U350,3)</x:f>
        <x:v>-18.301</x:v>
      </x:c>
      <x:c r="AS350" s="64" t="n">
        <x:f>-ROUND(AK350*'Drivers'!V350,3)</x:f>
        <x:v>-53.503</x:v>
      </x:c>
      <x:c r="AT350" s="64" t="n">
        <x:f>SUM(AO350:AS350)</x:f>
        <x:v>-1085.267</x:v>
      </x:c>
      <x:c r="AU350" s="65" t="n">
        <x:f>AT350/AK350</x:f>
        <x:v>-0.573143353568854</x:v>
      </x:c>
      <x:c r="AV350" s="64" t="n">
        <x:f>AK350+AT350</x:f>
        <x:v>808.268</x:v>
      </x:c>
      <x:c r="AW350" s="65" t="n">
        <x:f>AV350/AK350</x:f>
        <x:v>0.42685664643114596</x:v>
      </x:c>
      <x:c r="AX350" s="64" t="n">
        <x:f>-ROUND(AK350*'Drivers'!W350,3)</x:f>
        <x:v>-24.12</x:v>
      </x:c>
      <x:c r="AY350" s="64" t="n">
        <x:f>-ROUND(AK350*'Drivers'!X350,3)</x:f>
        <x:v>-43.276</x:v>
      </x:c>
      <x:c r="AZ350" s="64" t="n">
        <x:f>-ROUND(AK350*'Drivers'!Y350,3)</x:f>
        <x:v>-39.18</x:v>
      </x:c>
      <x:c r="BA350" s="64" t="n">
        <x:f>-ROUND(AK350*'Drivers'!Z350,3)</x:f>
        <x:v>-15.094</x:v>
      </x:c>
      <x:c r="BB350" s="64" t="n">
        <x:f>-ROUND(AK350*'Drivers'!AA350,3)</x:f>
        <x:v>-12.316</x:v>
      </x:c>
      <x:c r="BC350" s="64" t="n">
        <x:f>SUM(BA350,BB350)</x:f>
        <x:v>-27.41</x:v>
      </x:c>
      <x:c r="BD350" s="64" t="n">
        <x:f>-ROUND(AK350*'Drivers'!AB350,3)</x:f>
        <x:v>-13.201</x:v>
      </x:c>
      <x:c r="BE350" s="64" t="n">
        <x:f>SUM(AX350:BB350,BD350)</x:f>
        <x:v>-147.18699999999998</x:v>
      </x:c>
      <x:c r="BF350" s="67" t="n">
        <x:f>'Drivers'!AF350</x:f>
        <x:v>6</x:v>
      </x:c>
      <x:c r="BG350" s="64" t="n">
        <x:f>BJ350</x:f>
        <x:v>-44.368</x:v>
      </x:c>
      <x:c r="BH350" s="64" t="n">
        <x:f>BE350/BF350</x:f>
        <x:v>-24.531166666666664</x:v>
      </x:c>
      <x:c r="BI350" s="68" t="n">
        <x:f>BF350/L350</x:f>
        <x:v>1.5</x:v>
      </x:c>
      <x:c r="BJ350" s="64" t="n">
        <x:f>-ROUND(AK350*'Drivers'!AC350,3)</x:f>
        <x:v>-44.368</x:v>
      </x:c>
      <x:c r="BK350" s="64" t="n">
        <x:f>-ROUND(AK350*'Drivers'!AD350,3)</x:f>
        <x:v>-215.707</x:v>
      </x:c>
      <x:c r="BL350" s="64" t="n">
        <x:f>SUM(AV350,BE350,BJ350,BK350)</x:f>
        <x:v>401.006</x:v>
      </x:c>
      <x:c r="BM350" s="65" t="n">
        <x:f>BL350/AK350</x:f>
        <x:v>0.21177638649404418</x:v>
      </x:c>
      <x:c r="BN350" s="64" t="n">
        <x:f>-ROUND(AK350*'Drivers'!AE350,3)</x:f>
        <x:v>-145.109</x:v>
      </x:c>
      <x:c r="BO350" s="64" t="n">
        <x:f>BL350+BN350</x:f>
        <x:v>255.89699999999996</x:v>
      </x:c>
      <x:c r="BP350" s="65" t="n">
        <x:f>BO350/AK350</x:f>
        <x:v>0.13514247162054038</x:v>
      </x:c>
    </x:row>
    <x:row r="351">
      <x:c r="A351" s="61" t="n">
        <x:v>2025</x:v>
      </x:c>
      <x:c r="B351" s="18" t="str">
        <x:v>S2</x:v>
      </x:c>
      <x:c r="C351" s="18" t="str">
        <x:v>2025 S2</x:v>
      </x:c>
      <x:c r="D351" s="18" t="str">
        <x:v>CNCT0088</x:v>
      </x:c>
      <x:c r="E351" s="18" t="str">
        <x:v>西安万象天地</x:v>
      </x:c>
      <x:c r="F351" s="18" t="str">
        <x:v>西安</x:v>
      </x:c>
      <x:c r="G351" s="18" t="str">
        <x:v>陕西省</x:v>
      </x:c>
      <x:c r="H351" s="18" t="str">
        <x:v>西区</x:v>
      </x:c>
      <x:c r="I351" s="18" t="str">
        <x:v>Shopping Mall</x:v>
      </x:c>
      <x:c r="J351" s="18" t="str">
        <x:v>Prestige Shopping Center</x:v>
      </x:c>
      <x:c r="K351" s="18" t="str">
        <x:v>正常</x:v>
      </x:c>
      <x:c r="L351" s="62" t="n">
        <x:v>4</x:v>
      </x:c>
      <x:c r="M351" s="62" t="n">
        <x:v>45</x:v>
      </x:c>
      <x:c r="N351" s="63" t="n">
        <x:f>'Drivers'!C351</x:f>
        <x:v>2177</x:v>
      </x:c>
      <x:c r="O351" s="63" t="n">
        <x:f>'Drivers'!D351</x:f>
        <x:v>1287.141</x:v>
      </x:c>
      <x:c r="P351" s="64" t="n">
        <x:f>ROUND(N351*O351/1000,3)</x:f>
        <x:v>2802.106</x:v>
      </x:c>
      <x:c r="Q351" s="64" t="n">
        <x:f>ROUND(P351*'Drivers'!E351,3)</x:f>
        <x:v>2700.133</x:v>
      </x:c>
      <x:c r="R351" s="64" t="n">
        <x:f>-ROUND(Q351*'Drivers'!F351,3)</x:f>
        <x:v>-417.374</x:v>
      </x:c>
      <x:c r="S351" s="65" t="n">
        <x:f>R351/Q351</x:f>
        <x:v>-0.15457534869578649</x:v>
      </x:c>
      <x:c r="T351" s="64" t="n">
        <x:f>-ROUND(Q351*'Drivers'!G351,3)</x:f>
        <x:v>-40.3</x:v>
      </x:c>
      <x:c r="U351" s="65" t="n">
        <x:f>T351/Q351</x:f>
        <x:v>-0.014925190722086652</x:v>
      </x:c>
      <x:c r="V351" s="64" t="n">
        <x:f>-ROUND(Q351*'Drivers'!H351,3)</x:f>
        <x:v>-26.531</x:v>
      </x:c>
      <x:c r="W351" s="64" t="n">
        <x:f>-ROUND(Q351*'Drivers'!I351,3)</x:f>
        <x:v>-25.243</x:v>
      </x:c>
      <x:c r="X351" s="64" t="n">
        <x:f>-ROUND(Q351*'Drivers'!J351,3)</x:f>
        <x:v>-43.153</x:v>
      </x:c>
      <x:c r="Y351" s="64" t="n">
        <x:f>-ROUND(Q351*'Drivers'!K351,3)</x:f>
        <x:v>-30.222</x:v>
      </x:c>
      <x:c r="Z351" s="64" t="n">
        <x:f>-ROUND(Q351*'Drivers'!L351,3)</x:f>
        <x:v>-27.804</x:v>
      </x:c>
      <x:c r="AA351" s="64" t="n">
        <x:f>-ROUND(Q351*'Drivers'!M351,3)</x:f>
        <x:v>-23.3</x:v>
      </x:c>
      <x:c r="AB351" s="64" t="n">
        <x:f>-ROUND(Q351*'Drivers'!N351,3)</x:f>
        <x:v>-19.435</x:v>
      </x:c>
      <x:c r="AC351" s="64" t="n">
        <x:f>SUM(V351:AB351)</x:f>
        <x:v>-195.68800000000002</x:v>
      </x:c>
      <x:c r="AD351" s="65" t="n">
        <x:f>AC351/Q351</x:f>
        <x:v>-0.07247346704773433</x:v>
      </x:c>
      <x:c r="AE351" s="64" t="n">
        <x:f>-ROUND(Q351*'Drivers'!O351,3)</x:f>
        <x:v>-36.262</x:v>
      </x:c>
      <x:c r="AF351" s="65" t="n">
        <x:f>AE351/Q351</x:f>
        <x:v>-0.013429708832861197</x:v>
      </x:c>
      <x:c r="AG351" s="64" t="n">
        <x:f>-ROUND(Q351*'Drivers'!P351,3)</x:f>
        <x:v>-4.19</x:v>
      </x:c>
      <x:c r="AH351" s="64" t="n">
        <x:f>-ROUND(Q351*'Drivers'!Q351,3)</x:f>
        <x:v>-8.118</x:v>
      </x:c>
      <x:c r="AI351" s="64" t="n">
        <x:f>SUM(R351,T351,AC351,AE351,AG351,AH351)</x:f>
        <x:v>-701.9320000000001</x:v>
      </x:c>
      <x:c r="AJ351" s="65" t="n">
        <x:f>AI351/Q351</x:f>
        <x:v>-0.25996200927880225</x:v>
      </x:c>
      <x:c r="AK351" s="64" t="n">
        <x:f>Q351+AI351</x:f>
        <x:v>1998.2009999999996</x:v>
      </x:c>
      <x:c r="AL351" s="65" t="n">
        <x:f>AK351/Q351</x:f>
        <x:v>0.7400379907211977</x:v>
      </x:c>
      <x:c r="AM351" s="64" t="n">
        <x:f>AK351/L351</x:f>
        <x:v>499.5502499999999</x:v>
      </x:c>
      <x:c r="AN351" s="66" t="str">
        <x:f>IF(AM351&lt;=200,"≤200K",IF(AM351&lt;=350,"200–350K",IF(AM351&lt;=500,"350–500K",IF(AM351&lt;=700,"500–700K","&gt;700K"))))</x:f>
        <x:v>350–500K</x:v>
      </x:c>
      <x:c r="AO351" s="64" t="n">
        <x:f>-ROUND(Q351*'Drivers'!R351,3)</x:f>
        <x:v>-1030.465</x:v>
      </x:c>
      <x:c r="AP351" s="64" t="n">
        <x:f>-ROUND(AK351*'Drivers'!S351,3)</x:f>
        <x:v>-22.54</x:v>
      </x:c>
      <x:c r="AQ351" s="64" t="n">
        <x:f>-ROUND(AK351*'Drivers'!T351,3)</x:f>
        <x:v>-8.169</x:v>
      </x:c>
      <x:c r="AR351" s="64" t="n">
        <x:f>-ROUND(AK351*'Drivers'!U351,3)</x:f>
        <x:v>-19.312</x:v>
      </x:c>
      <x:c r="AS351" s="64" t="n">
        <x:f>-ROUND(AK351*'Drivers'!V351,3)</x:f>
        <x:v>-56.461</x:v>
      </x:c>
      <x:c r="AT351" s="64" t="n">
        <x:f>SUM(AO351:AS351)</x:f>
        <x:v>-1136.947</x:v>
      </x:c>
      <x:c r="AU351" s="65" t="n">
        <x:f>AT351/AK351</x:f>
        <x:v>-0.5689853022794004</x:v>
      </x:c>
      <x:c r="AV351" s="64" t="n">
        <x:f>AK351+AT351</x:f>
        <x:v>861.2539999999997</x:v>
      </x:c>
      <x:c r="AW351" s="65" t="n">
        <x:f>AV351/AK351</x:f>
        <x:v>0.43101469772059964</x:v>
      </x:c>
      <x:c r="AX351" s="64" t="n">
        <x:f>-ROUND(AK351*'Drivers'!W351,3)</x:f>
        <x:v>-25.454</x:v>
      </x:c>
      <x:c r="AY351" s="64" t="n">
        <x:f>-ROUND(AK351*'Drivers'!X351,3)</x:f>
        <x:v>-45.668</x:v>
      </x:c>
      <x:c r="AZ351" s="64" t="n">
        <x:f>-ROUND(AK351*'Drivers'!Y351,3)</x:f>
        <x:v>-41.346</x:v>
      </x:c>
      <x:c r="BA351" s="64" t="n">
        <x:f>-ROUND(AK351*'Drivers'!Z351,3)</x:f>
        <x:v>-15.929</x:v>
      </x:c>
      <x:c r="BB351" s="64" t="n">
        <x:f>-ROUND(AK351*'Drivers'!AA351,3)</x:f>
        <x:v>-12.996</x:v>
      </x:c>
      <x:c r="BC351" s="64" t="n">
        <x:f>SUM(BA351,BB351)</x:f>
        <x:v>-28.925</x:v>
      </x:c>
      <x:c r="BD351" s="64" t="n">
        <x:f>-ROUND(AK351*'Drivers'!AB351,3)</x:f>
        <x:v>-13.93</x:v>
      </x:c>
      <x:c r="BE351" s="64" t="n">
        <x:f>SUM(AX351:BB351,BD351)</x:f>
        <x:v>-155.323</x:v>
      </x:c>
      <x:c r="BF351" s="67" t="n">
        <x:f>'Drivers'!AF351</x:f>
        <x:v>6</x:v>
      </x:c>
      <x:c r="BG351" s="64" t="n">
        <x:f>BJ351</x:f>
        <x:v>-46.821</x:v>
      </x:c>
      <x:c r="BH351" s="64" t="n">
        <x:f>BE351/BF351</x:f>
        <x:v>-25.88716666666667</x:v>
      </x:c>
      <x:c r="BI351" s="68" t="n">
        <x:f>BF351/L351</x:f>
        <x:v>1.5</x:v>
      </x:c>
      <x:c r="BJ351" s="64" t="n">
        <x:f>-ROUND(AK351*'Drivers'!AC351,3)</x:f>
        <x:v>-46.821</x:v>
      </x:c>
      <x:c r="BK351" s="64" t="n">
        <x:f>-ROUND(AK351*'Drivers'!AD351,3)</x:f>
        <x:v>-227.63</x:v>
      </x:c>
      <x:c r="BL351" s="64" t="n">
        <x:f>SUM(AV351,BE351,BJ351,BK351)</x:f>
        <x:v>431.4799999999997</x:v>
      </x:c>
      <x:c r="BM351" s="65" t="n">
        <x:f>BL351/AK351</x:f>
        <x:v>0.21593423284244165</x:v>
      </x:c>
      <x:c r="BN351" s="64" t="n">
        <x:f>-ROUND(AK351*'Drivers'!AE351,3)</x:f>
        <x:v>-153.13</x:v>
      </x:c>
      <x:c r="BO351" s="64" t="n">
        <x:f>BL351+BN351</x:f>
        <x:v>278.3499999999997</x:v>
      </x:c>
      <x:c r="BP351" s="65" t="n">
        <x:f>BO351/AK351</x:f>
        <x:v>0.13930030062040794</x:v>
      </x:c>
    </x:row>
    <x:row r="352">
      <x:c r="A352" s="61" t="n">
        <x:v>2026</x:v>
      </x:c>
      <x:c r="B352" s="18" t="str">
        <x:v>S1</x:v>
      </x:c>
      <x:c r="C352" s="18" t="str">
        <x:v>2026 S1</x:v>
      </x:c>
      <x:c r="D352" s="18" t="str">
        <x:v>CNCT0088</x:v>
      </x:c>
      <x:c r="E352" s="18" t="str">
        <x:v>西安万象天地</x:v>
      </x:c>
      <x:c r="F352" s="18" t="str">
        <x:v>西安</x:v>
      </x:c>
      <x:c r="G352" s="18" t="str">
        <x:v>陕西省</x:v>
      </x:c>
      <x:c r="H352" s="18" t="str">
        <x:v>西区</x:v>
      </x:c>
      <x:c r="I352" s="18" t="str">
        <x:v>Shopping Mall</x:v>
      </x:c>
      <x:c r="J352" s="18" t="str">
        <x:v>Prestige Shopping Center</x:v>
      </x:c>
      <x:c r="K352" s="18" t="str">
        <x:v>正常</x:v>
      </x:c>
      <x:c r="L352" s="62" t="n">
        <x:v>4</x:v>
      </x:c>
      <x:c r="M352" s="62" t="n">
        <x:v>45</x:v>
      </x:c>
      <x:c r="N352" s="63" t="n">
        <x:f>'Drivers'!C352</x:f>
        <x:v>2044</x:v>
      </x:c>
      <x:c r="O352" s="63" t="n">
        <x:f>'Drivers'!D352</x:f>
        <x:v>1342.547</x:v>
      </x:c>
      <x:c r="P352" s="64" t="n">
        <x:f>ROUND(N352*O352/1000,3)</x:f>
        <x:v>2744.166</x:v>
      </x:c>
      <x:c r="Q352" s="64" t="n">
        <x:f>ROUND(P352*'Drivers'!E352,3)</x:f>
        <x:v>2659.362</x:v>
      </x:c>
      <x:c r="R352" s="64" t="n">
        <x:f>-ROUND(Q352*'Drivers'!F352,3)</x:f>
        <x:v>-405.606</x:v>
      </x:c>
      <x:c r="S352" s="65" t="n">
        <x:f>R352/Q352</x:f>
        <x:v>-0.15252004052099713</x:v>
      </x:c>
      <x:c r="T352" s="64" t="n">
        <x:f>-ROUND(Q352*'Drivers'!G352,3)</x:f>
        <x:v>-36.488</x:v>
      </x:c>
      <x:c r="U352" s="65" t="n">
        <x:f>T352/Q352</x:f>
        <x:v>-0.01372058411002338</x:v>
      </x:c>
      <x:c r="V352" s="64" t="n">
        <x:f>-ROUND(Q352*'Drivers'!H352,3)</x:f>
        <x:v>-26.13</x:v>
      </x:c>
      <x:c r="W352" s="64" t="n">
        <x:f>-ROUND(Q352*'Drivers'!I352,3)</x:f>
        <x:v>-24.862</x:v>
      </x:c>
      <x:c r="X352" s="64" t="n">
        <x:f>-ROUND(Q352*'Drivers'!J352,3)</x:f>
        <x:v>-42.501</x:v>
      </x:c>
      <x:c r="Y352" s="64" t="n">
        <x:f>-ROUND(Q352*'Drivers'!K352,3)</x:f>
        <x:v>-29.766</x:v>
      </x:c>
      <x:c r="Z352" s="64" t="n">
        <x:f>-ROUND(Q352*'Drivers'!L352,3)</x:f>
        <x:v>-27.384</x:v>
      </x:c>
      <x:c r="AA352" s="64" t="n">
        <x:f>-ROUND(Q352*'Drivers'!M352,3)</x:f>
        <x:v>-22.948</x:v>
      </x:c>
      <x:c r="AB352" s="64" t="n">
        <x:f>-ROUND(Q352*'Drivers'!N352,3)</x:f>
        <x:v>-19.142</x:v>
      </x:c>
      <x:c r="AC352" s="64" t="n">
        <x:f>SUM(V352:AB352)</x:f>
        <x:v>-192.73299999999998</x:v>
      </x:c>
      <x:c r="AD352" s="65" t="n">
        <x:f>AC352/Q352</x:f>
        <x:v>-0.07247339775479983</x:v>
      </x:c>
      <x:c r="AE352" s="64" t="n">
        <x:f>-ROUND(Q352*'Drivers'!O352,3)</x:f>
        <x:v>-36.299</x:v>
      </x:c>
      <x:c r="AF352" s="65" t="n">
        <x:f>AE352/Q352</x:f>
        <x:v>-0.013649514432408976</x:v>
      </x:c>
      <x:c r="AG352" s="64" t="n">
        <x:f>-ROUND(Q352*'Drivers'!P352,3)</x:f>
        <x:v>-4.127</x:v>
      </x:c>
      <x:c r="AH352" s="64" t="n">
        <x:f>-ROUND(Q352*'Drivers'!Q352,3)</x:f>
        <x:v>-7.995</x:v>
      </x:c>
      <x:c r="AI352" s="64" t="n">
        <x:f>SUM(R352,T352,AC352,AE352,AG352,AH352)</x:f>
        <x:v>-683.2479999999999</x:v>
      </x:c>
      <x:c r="AJ352" s="65" t="n">
        <x:f>AI352/Q352</x:f>
        <x:v>-0.25692177296659874</x:v>
      </x:c>
      <x:c r="AK352" s="64" t="n">
        <x:f>Q352+AI352</x:f>
        <x:v>1976.114</x:v>
      </x:c>
      <x:c r="AL352" s="65" t="n">
        <x:f>AK352/Q352</x:f>
        <x:v>0.7430782270334012</x:v>
      </x:c>
      <x:c r="AM352" s="64" t="n">
        <x:f>AK352/L352</x:f>
        <x:v>494.0285</x:v>
      </x:c>
      <x:c r="AN352" s="66" t="str">
        <x:f>IF(AM352&lt;=200,"≤200K",IF(AM352&lt;=350,"200–350K",IF(AM352&lt;=500,"350–500K",IF(AM352&lt;=700,"500–700K","&gt;700K"))))</x:f>
        <x:v>350–500K</x:v>
      </x:c>
      <x:c r="AO352" s="64" t="n">
        <x:f>-ROUND(Q352*'Drivers'!R352,3)</x:f>
        <x:v>-1035.045</x:v>
      </x:c>
      <x:c r="AP352" s="64" t="n">
        <x:f>-ROUND(AK352*'Drivers'!S352,3)</x:f>
        <x:v>-22.29</x:v>
      </x:c>
      <x:c r="AQ352" s="64" t="n">
        <x:f>-ROUND(AK352*'Drivers'!T352,3)</x:f>
        <x:v>-8.079</x:v>
      </x:c>
      <x:c r="AR352" s="64" t="n">
        <x:f>-ROUND(AK352*'Drivers'!U352,3)</x:f>
        <x:v>-19.099</x:v>
      </x:c>
      <x:c r="AS352" s="64" t="n">
        <x:f>-ROUND(AK352*'Drivers'!V352,3)</x:f>
        <x:v>-55.837</x:v>
      </x:c>
      <x:c r="AT352" s="64" t="n">
        <x:f>SUM(AO352:AS352)</x:f>
        <x:v>-1140.35</x:v>
      </x:c>
      <x:c r="AU352" s="65" t="n">
        <x:f>AT352/AK352</x:f>
        <x:v>-0.5770669101074127</x:v>
      </x:c>
      <x:c r="AV352" s="64" t="n">
        <x:f>AK352+AT352</x:f>
        <x:v>835.7640000000001</x:v>
      </x:c>
      <x:c r="AW352" s="65" t="n">
        <x:f>AV352/AK352</x:f>
        <x:v>0.4229330898925872</x:v>
      </x:c>
      <x:c r="AX352" s="64" t="n">
        <x:f>-ROUND(AK352*'Drivers'!W352,3)</x:f>
        <x:v>-30.973</x:v>
      </x:c>
      <x:c r="AY352" s="64" t="n">
        <x:f>-ROUND(AK352*'Drivers'!X352,3)</x:f>
        <x:v>-55.572</x:v>
      </x:c>
      <x:c r="AZ352" s="64" t="n">
        <x:f>-ROUND(AK352*'Drivers'!Y352,3)</x:f>
        <x:v>-50.312</x:v>
      </x:c>
      <x:c r="BA352" s="64" t="n">
        <x:f>-ROUND(AK352*'Drivers'!Z352,3)</x:f>
        <x:v>-19.383</x:v>
      </x:c>
      <x:c r="BB352" s="64" t="n">
        <x:f>-ROUND(AK352*'Drivers'!AA352,3)</x:f>
        <x:v>-15.815</x:v>
      </x:c>
      <x:c r="BC352" s="64" t="n">
        <x:f>SUM(BA352,BB352)</x:f>
        <x:v>-35.198</x:v>
      </x:c>
      <x:c r="BD352" s="64" t="n">
        <x:f>-ROUND(AK352*'Drivers'!AB352,3)</x:f>
        <x:v>-16.951</x:v>
      </x:c>
      <x:c r="BE352" s="64" t="n">
        <x:f>SUM(AX352:BB352,BD352)</x:f>
        <x:v>-189.006</x:v>
      </x:c>
      <x:c r="BF352" s="67" t="n">
        <x:f>'Drivers'!AF352</x:f>
        <x:v>6</x:v>
      </x:c>
      <x:c r="BG352" s="64" t="n">
        <x:f>BJ352</x:f>
        <x:v>-56.974</x:v>
      </x:c>
      <x:c r="BH352" s="64" t="n">
        <x:f>BE352/BF352</x:f>
        <x:v>-31.501</x:v>
      </x:c>
      <x:c r="BI352" s="68" t="n">
        <x:f>BF352/L352</x:f>
        <x:v>1.5</x:v>
      </x:c>
      <x:c r="BJ352" s="64" t="n">
        <x:f>-ROUND(AK352*'Drivers'!AC352,3)</x:f>
        <x:v>-56.974</x:v>
      </x:c>
      <x:c r="BK352" s="64" t="n">
        <x:f>-ROUND(AK352*'Drivers'!AD352,3)</x:f>
        <x:v>-225.114</x:v>
      </x:c>
      <x:c r="BL352" s="64" t="n">
        <x:f>SUM(AV352,BE352,BJ352,BK352)</x:f>
        <x:v>364.6700000000001</x:v>
      </x:c>
      <x:c r="BM352" s="65" t="n">
        <x:f>BL352/AK352</x:f>
        <x:v>0.1845389486638929</x:v>
      </x:c>
      <x:c r="BN352" s="64" t="n">
        <x:f>-ROUND(AK352*'Drivers'!AE352,3)</x:f>
        <x:v>-151.437</x:v>
      </x:c>
      <x:c r="BO352" s="64" t="n">
        <x:f>BL352+BN352</x:f>
        <x:v>213.23300000000006</x:v>
      </x:c>
      <x:c r="BP352" s="65" t="n">
        <x:f>BO352/AK352</x:f>
        <x:v>0.10790521194627438</x:v>
      </x:c>
    </x:row>
    <x:row r="353">
      <x:c r="A353" s="61" t="n">
        <x:v>2026</x:v>
      </x:c>
      <x:c r="B353" s="18" t="str">
        <x:v>S2</x:v>
      </x:c>
      <x:c r="C353" s="18" t="str">
        <x:v>2026 S2</x:v>
      </x:c>
      <x:c r="D353" s="18" t="str">
        <x:v>CNCT0088</x:v>
      </x:c>
      <x:c r="E353" s="18" t="str">
        <x:v>西安万象天地</x:v>
      </x:c>
      <x:c r="F353" s="18" t="str">
        <x:v>西安</x:v>
      </x:c>
      <x:c r="G353" s="18" t="str">
        <x:v>陕西省</x:v>
      </x:c>
      <x:c r="H353" s="18" t="str">
        <x:v>西区</x:v>
      </x:c>
      <x:c r="I353" s="18" t="str">
        <x:v>Shopping Mall</x:v>
      </x:c>
      <x:c r="J353" s="18" t="str">
        <x:v>Prestige Shopping Center</x:v>
      </x:c>
      <x:c r="K353" s="18" t="str">
        <x:v>正常</x:v>
      </x:c>
      <x:c r="L353" s="62" t="n">
        <x:v>4</x:v>
      </x:c>
      <x:c r="M353" s="62" t="n">
        <x:v>45</x:v>
      </x:c>
      <x:c r="N353" s="63" t="n">
        <x:f>'Drivers'!C353</x:f>
        <x:v>2259</x:v>
      </x:c>
      <x:c r="O353" s="63" t="n">
        <x:f>'Drivers'!D353</x:f>
        <x:v>1321.632</x:v>
      </x:c>
      <x:c r="P353" s="64" t="n">
        <x:f>ROUND(N353*O353/1000,3)</x:f>
        <x:v>2985.567</x:v>
      </x:c>
      <x:c r="Q353" s="64" t="n">
        <x:f>ROUND(P353*'Drivers'!E353,3)</x:f>
        <x:v>2876.918</x:v>
      </x:c>
      <x:c r="R353" s="64" t="n">
        <x:f>-ROUND(Q353*'Drivers'!F353,3)</x:f>
        <x:v>-450.323</x:v>
      </x:c>
      <x:c r="S353" s="65" t="n">
        <x:f>R353/Q353</x:f>
        <x:v>-0.15652966125555193</x:v>
      </x:c>
      <x:c r="T353" s="64" t="n">
        <x:f>-ROUND(Q353*'Drivers'!G353,3)</x:f>
        <x:v>-39.017</x:v>
      </x:c>
      <x:c r="U353" s="65" t="n">
        <x:f>T353/Q353</x:f>
        <x:v>-0.01356208275661663</x:v>
      </x:c>
      <x:c r="V353" s="64" t="n">
        <x:f>-ROUND(Q353*'Drivers'!H353,3)</x:f>
        <x:v>-28.268</x:v>
      </x:c>
      <x:c r="W353" s="64" t="n">
        <x:f>-ROUND(Q353*'Drivers'!I353,3)</x:f>
        <x:v>-26.895</x:v>
      </x:c>
      <x:c r="X353" s="64" t="n">
        <x:f>-ROUND(Q353*'Drivers'!J353,3)</x:f>
        <x:v>-45.978</x:v>
      </x:c>
      <x:c r="Y353" s="64" t="n">
        <x:f>-ROUND(Q353*'Drivers'!K353,3)</x:f>
        <x:v>-32.201</x:v>
      </x:c>
      <x:c r="Z353" s="64" t="n">
        <x:f>-ROUND(Q353*'Drivers'!L353,3)</x:f>
        <x:v>-29.624</x:v>
      </x:c>
      <x:c r="AA353" s="64" t="n">
        <x:f>-ROUND(Q353*'Drivers'!M353,3)</x:f>
        <x:v>-24.825</x:v>
      </x:c>
      <x:c r="AB353" s="64" t="n">
        <x:f>-ROUND(Q353*'Drivers'!N353,3)</x:f>
        <x:v>-20.708</x:v>
      </x:c>
      <x:c r="AC353" s="64" t="n">
        <x:f>SUM(V353:AB353)</x:f>
        <x:v>-208.49899999999997</x:v>
      </x:c>
      <x:c r="AD353" s="65" t="n">
        <x:f>AC353/Q353</x:f>
        <x:v>-0.07247304233210677</x:v>
      </x:c>
      <x:c r="AE353" s="64" t="n">
        <x:f>-ROUND(Q353*'Drivers'!O353,3)</x:f>
        <x:v>-38.636</x:v>
      </x:c>
      <x:c r="AF353" s="65" t="n">
        <x:f>AE353/Q353</x:f>
        <x:v>-0.013429649367830436</x:v>
      </x:c>
      <x:c r="AG353" s="64" t="n">
        <x:f>-ROUND(Q353*'Drivers'!P353,3)</x:f>
        <x:v>-4.465</x:v>
      </x:c>
      <x:c r="AH353" s="64" t="n">
        <x:f>-ROUND(Q353*'Drivers'!Q353,3)</x:f>
        <x:v>-8.649</x:v>
      </x:c>
      <x:c r="AI353" s="64" t="n">
        <x:f>SUM(R353,T353,AC353,AE353,AG353,AH353)</x:f>
        <x:v>-749.5889999999999</x:v>
      </x:c>
      <x:c r="AJ353" s="65" t="n">
        <x:f>AI353/Q353</x:f>
        <x:v>-0.26055278600224263</x:v>
      </x:c>
      <x:c r="AK353" s="64" t="n">
        <x:f>Q353+AI353</x:f>
        <x:v>2127.329</x:v>
      </x:c>
      <x:c r="AL353" s="65" t="n">
        <x:f>AK353/Q353</x:f>
        <x:v>0.7394472139977574</x:v>
      </x:c>
      <x:c r="AM353" s="64" t="n">
        <x:f>AK353/L353</x:f>
        <x:v>531.83225</x:v>
      </x:c>
      <x:c r="AN353" s="66" t="str">
        <x:f>IF(AM353&lt;=200,"≤200K",IF(AM353&lt;=350,"200–350K",IF(AM353&lt;=500,"350–500K",IF(AM353&lt;=700,"500–700K","&gt;700K"))))</x:f>
        <x:v>500–700K</x:v>
      </x:c>
      <x:c r="AO353" s="64" t="n">
        <x:f>-ROUND(Q353*'Drivers'!R353,3)</x:f>
        <x:v>-1086.09</x:v>
      </x:c>
      <x:c r="AP353" s="64" t="n">
        <x:f>-ROUND(AK353*'Drivers'!S353,3)</x:f>
        <x:v>-23.996</x:v>
      </x:c>
      <x:c r="AQ353" s="64" t="n">
        <x:f>-ROUND(AK353*'Drivers'!T353,3)</x:f>
        <x:v>-8.697</x:v>
      </x:c>
      <x:c r="AR353" s="64" t="n">
        <x:f>-ROUND(AK353*'Drivers'!U353,3)</x:f>
        <x:v>-20.56</x:v>
      </x:c>
      <x:c r="AS353" s="64" t="n">
        <x:f>-ROUND(AK353*'Drivers'!V353,3)</x:f>
        <x:v>-60.109</x:v>
      </x:c>
      <x:c r="AT353" s="64" t="n">
        <x:f>SUM(AO353:AS353)</x:f>
        <x:v>-1199.4519999999998</x:v>
      </x:c>
      <x:c r="AU353" s="65" t="n">
        <x:f>AT353/AK353</x:f>
        <x:v>-0.563830042273668</x:v>
      </x:c>
      <x:c r="AV353" s="64" t="n">
        <x:f>AK353+AT353</x:f>
        <x:v>927.8770000000004</x:v>
      </x:c>
      <x:c r="AW353" s="65" t="n">
        <x:f>AV353/AK353</x:f>
        <x:v>0.4361699577263321</x:v>
      </x:c>
      <x:c r="AX353" s="64" t="n">
        <x:f>-ROUND(AK353*'Drivers'!W353,3)</x:f>
        <x:v>-28.724</x:v>
      </x:c>
      <x:c r="AY353" s="64" t="n">
        <x:f>-ROUND(AK353*'Drivers'!X353,3)</x:f>
        <x:v>-51.537</x:v>
      </x:c>
      <x:c r="AZ353" s="64" t="n">
        <x:f>-ROUND(AK353*'Drivers'!Y353,3)</x:f>
        <x:v>-46.659</x:v>
      </x:c>
      <x:c r="BA353" s="64" t="n">
        <x:f>-ROUND(AK353*'Drivers'!Z353,3)</x:f>
        <x:v>-17.975</x:v>
      </x:c>
      <x:c r="BB353" s="64" t="n">
        <x:f>-ROUND(AK353*'Drivers'!AA353,3)</x:f>
        <x:v>-14.666</x:v>
      </x:c>
      <x:c r="BC353" s="64" t="n">
        <x:f>SUM(BA353,BB353)</x:f>
        <x:v>-32.641000000000005</x:v>
      </x:c>
      <x:c r="BD353" s="64" t="n">
        <x:f>-ROUND(AK353*'Drivers'!AB353,3)</x:f>
        <x:v>-15.721</x:v>
      </x:c>
      <x:c r="BE353" s="64" t="n">
        <x:f>SUM(AX353:BB353,BD353)</x:f>
        <x:v>-175.28199999999998</x:v>
      </x:c>
      <x:c r="BF353" s="67" t="n">
        <x:f>'Drivers'!AF353</x:f>
        <x:v>6</x:v>
      </x:c>
      <x:c r="BG353" s="64" t="n">
        <x:f>BJ353</x:f>
        <x:v>-52.837</x:v>
      </x:c>
      <x:c r="BH353" s="64" t="n">
        <x:f>BE353/BF353</x:f>
        <x:v>-29.213666666666665</x:v>
      </x:c>
      <x:c r="BI353" s="68" t="n">
        <x:f>BF353/L353</x:f>
        <x:v>1.5</x:v>
      </x:c>
      <x:c r="BJ353" s="64" t="n">
        <x:f>-ROUND(AK353*'Drivers'!AC353,3)</x:f>
        <x:v>-52.837</x:v>
      </x:c>
      <x:c r="BK353" s="64" t="n">
        <x:f>-ROUND(AK353*'Drivers'!AD353,3)</x:f>
        <x:v>-242.34</x:v>
      </x:c>
      <x:c r="BL353" s="64" t="n">
        <x:f>SUM(AV353,BE353,BJ353,BK353)</x:f>
        <x:v>457.41800000000046</x:v>
      </x:c>
      <x:c r="BM353" s="65" t="n">
        <x:f>BL353/AK353</x:f>
        <x:v>0.21501986763683492</x:v>
      </x:c>
      <x:c r="BN353" s="64" t="n">
        <x:f>-ROUND(AK353*'Drivers'!AE353,3)</x:f>
        <x:v>-163.025</x:v>
      </x:c>
      <x:c r="BO353" s="64" t="n">
        <x:f>BL353+BN353</x:f>
        <x:v>294.3930000000005</x:v>
      </x:c>
      <x:c r="BP353" s="65" t="n">
        <x:f>BO353/AK353</x:f>
        <x:v>0.13838621106561347</x:v>
      </x:c>
    </x:row>
    <x:row r="354">
      <x:c r="A354" s="61" t="n">
        <x:v>2025</x:v>
      </x:c>
      <x:c r="B354" s="18" t="str">
        <x:v>S1</x:v>
      </x:c>
      <x:c r="C354" s="18" t="str">
        <x:v>2025 S1</x:v>
      </x:c>
      <x:c r="D354" s="18" t="str">
        <x:v>CNCT0089</x:v>
      </x:c>
      <x:c r="E354" s="18" t="str">
        <x:v>西安曲江银泰城</x:v>
      </x:c>
      <x:c r="F354" s="18" t="str">
        <x:v>西安</x:v>
      </x:c>
      <x:c r="G354" s="18" t="str">
        <x:v>陕西省</x:v>
      </x:c>
      <x:c r="H354" s="18" t="str">
        <x:v>西区</x:v>
      </x:c>
      <x:c r="I354" s="18" t="str">
        <x:v>Department Store</x:v>
      </x:c>
      <x:c r="J354" s="18" t="str">
        <x:v>Regional Mall</x:v>
      </x:c>
      <x:c r="K354" s="18" t="str">
        <x:v>正常</x:v>
      </x:c>
      <x:c r="L354" s="62" t="n">
        <x:v>5</x:v>
      </x:c>
      <x:c r="M354" s="62" t="n">
        <x:v>45</x:v>
      </x:c>
      <x:c r="N354" s="63" t="n">
        <x:f>'Drivers'!C354</x:f>
        <x:v>1622</x:v>
      </x:c>
      <x:c r="O354" s="63" t="n">
        <x:f>'Drivers'!D354</x:f>
        <x:v>903.982</x:v>
      </x:c>
      <x:c r="P354" s="64" t="n">
        <x:f>ROUND(N354*O354/1000,3)</x:f>
        <x:v>1466.259</x:v>
      </x:c>
      <x:c r="Q354" s="64" t="n">
        <x:f>ROUND(P354*'Drivers'!E354,3)</x:f>
        <x:v>1425.707</x:v>
      </x:c>
      <x:c r="R354" s="64" t="n">
        <x:f>-ROUND(Q354*'Drivers'!F354,3)</x:f>
        <x:v>-290.172</x:v>
      </x:c>
      <x:c r="S354" s="65" t="n">
        <x:f>R354/Q354</x:f>
        <x:v>-0.20352849498529502</x:v>
      </x:c>
      <x:c r="T354" s="64" t="n">
        <x:f>-ROUND(Q354*'Drivers'!G354,3)</x:f>
        <x:v>-25.939</x:v>
      </x:c>
      <x:c r="U354" s="65" t="n">
        <x:f>T354/Q354</x:f>
        <x:v>-0.018193780348977735</x:v>
      </x:c>
      <x:c r="V354" s="64" t="n">
        <x:f>-ROUND(Q354*'Drivers'!H354,3)</x:f>
        <x:v>-17.623</x:v>
      </x:c>
      <x:c r="W354" s="64" t="n">
        <x:f>-ROUND(Q354*'Drivers'!I354,3)</x:f>
        <x:v>-14.814</x:v>
      </x:c>
      <x:c r="X354" s="64" t="n">
        <x:f>-ROUND(Q354*'Drivers'!J354,3)</x:f>
        <x:v>-14.405</x:v>
      </x:c>
      <x:c r="Y354" s="64" t="n">
        <x:f>-ROUND(Q354*'Drivers'!K354,3)</x:f>
        <x:v>-18.031</x:v>
      </x:c>
      <x:c r="Z354" s="64" t="n">
        <x:f>-ROUND(Q354*'Drivers'!L354,3)</x:f>
        <x:v>-14.119</x:v>
      </x:c>
      <x:c r="AA354" s="64" t="n">
        <x:f>-ROUND(Q354*'Drivers'!M354,3)</x:f>
        <x:v>-9.874</x:v>
      </x:c>
      <x:c r="AB354" s="64" t="n">
        <x:f>-ROUND(Q354*'Drivers'!N354,3)</x:f>
        <x:v>-7.671</x:v>
      </x:c>
      <x:c r="AC354" s="64" t="n">
        <x:f>SUM(V354:AB354)</x:f>
        <x:v>-96.53699999999999</x:v>
      </x:c>
      <x:c r="AD354" s="65" t="n">
        <x:f>AC354/Q354</x:f>
        <x:v>-0.06771166866684387</x:v>
      </x:c>
      <x:c r="AE354" s="64" t="n">
        <x:f>-ROUND(Q354*'Drivers'!O354,3)</x:f>
        <x:v>-13.508</x:v>
      </x:c>
      <x:c r="AF354" s="65" t="n">
        <x:f>AE354/Q354</x:f>
        <x:v>-0.009474597515478285</x:v>
      </x:c>
      <x:c r="AG354" s="64" t="n">
        <x:f>-ROUND(Q354*'Drivers'!P354,3)</x:f>
        <x:v>-0.803</x:v>
      </x:c>
      <x:c r="AH354" s="64" t="n">
        <x:f>-ROUND(Q354*'Drivers'!Q354,3)</x:f>
        <x:v>-5.961</x:v>
      </x:c>
      <x:c r="AI354" s="64" t="n">
        <x:f>SUM(R354,T354,AC354,AE354,AG354,AH354)</x:f>
        <x:v>-432.92</x:v>
      </x:c>
      <x:c r="AJ354" s="65" t="n">
        <x:f>AI354/Q354</x:f>
        <x:v>-0.3036528543382336</x:v>
      </x:c>
      <x:c r="AK354" s="64" t="n">
        <x:f>Q354+AI354</x:f>
        <x:v>992.787</x:v>
      </x:c>
      <x:c r="AL354" s="65" t="n">
        <x:f>AK354/Q354</x:f>
        <x:v>0.6963471456617664</x:v>
      </x:c>
      <x:c r="AM354" s="64" t="n">
        <x:f>AK354/L354</x:f>
        <x:v>198.5574</x:v>
      </x:c>
      <x:c r="AN354" s="66" t="str">
        <x:f>IF(AM354&lt;=200,"≤200K",IF(AM354&lt;=350,"200–350K",IF(AM354&lt;=500,"350–500K",IF(AM354&lt;=700,"500–700K","&gt;700K"))))</x:f>
        <x:v>≤200K</x:v>
      </x:c>
      <x:c r="AO354" s="64" t="n">
        <x:f>-ROUND(Q354*'Drivers'!R354,3)</x:f>
        <x:v>-509.795</x:v>
      </x:c>
      <x:c r="AP354" s="64" t="n">
        <x:f>-ROUND(AK354*'Drivers'!S354,3)</x:f>
        <x:v>-15.479</x:v>
      </x:c>
      <x:c r="AQ354" s="64" t="n">
        <x:f>-ROUND(AK354*'Drivers'!T354,3)</x:f>
        <x:v>-3.564</x:v>
      </x:c>
      <x:c r="AR354" s="64" t="n">
        <x:f>-ROUND(AK354*'Drivers'!U354,3)</x:f>
        <x:v>-7.349</x:v>
      </x:c>
      <x:c r="AS354" s="64" t="n">
        <x:f>-ROUND(AK354*'Drivers'!V354,3)</x:f>
        <x:v>-34.613</x:v>
      </x:c>
      <x:c r="AT354" s="64" t="n">
        <x:f>SUM(AO354:AS354)</x:f>
        <x:v>-570.8</x:v>
      </x:c>
      <x:c r="AU354" s="65" t="n">
        <x:f>AT354/AK354</x:f>
        <x:v>-0.5749470933845829</x:v>
      </x:c>
      <x:c r="AV354" s="64" t="n">
        <x:f>AK354+AT354</x:f>
        <x:v>421.9870000000001</x:v>
      </x:c>
      <x:c r="AW354" s="65" t="n">
        <x:f>AV354/AK354</x:f>
        <x:v>0.42505290661541706</x:v>
      </x:c>
      <x:c r="AX354" s="64" t="n">
        <x:f>-ROUND(AK354*'Drivers'!W354,3)</x:f>
        <x:v>-13.75</x:v>
      </x:c>
      <x:c r="AY354" s="64" t="n">
        <x:f>-ROUND(AK354*'Drivers'!X354,3)</x:f>
        <x:v>-19.888</x:v>
      </x:c>
      <x:c r="AZ354" s="64" t="n">
        <x:f>-ROUND(AK354*'Drivers'!Y354,3)</x:f>
        <x:v>-13.219</x:v>
      </x:c>
      <x:c r="BA354" s="64" t="n">
        <x:f>-ROUND(AK354*'Drivers'!Z354,3)</x:f>
        <x:v>-4.761</x:v>
      </x:c>
      <x:c r="BB354" s="64" t="n">
        <x:f>-ROUND(AK354*'Drivers'!AA354,3)</x:f>
        <x:v>-8.128</x:v>
      </x:c>
      <x:c r="BC354" s="64" t="n">
        <x:f>SUM(BA354,BB354)</x:f>
        <x:v>-12.889</x:v>
      </x:c>
      <x:c r="BD354" s="64" t="n">
        <x:f>-ROUND(AK354*'Drivers'!AB354,3)</x:f>
        <x:v>-3.289</x:v>
      </x:c>
      <x:c r="BE354" s="64" t="n">
        <x:f>SUM(AX354:BB354,BD354)</x:f>
        <x:v>-63.03500000000001</x:v>
      </x:c>
      <x:c r="BF354" s="67" t="n">
        <x:f>'Drivers'!AF354</x:f>
        <x:v>7</x:v>
      </x:c>
      <x:c r="BG354" s="64" t="n">
        <x:f>BJ354</x:f>
        <x:v>-21.606</x:v>
      </x:c>
      <x:c r="BH354" s="64" t="n">
        <x:f>BE354/BF354</x:f>
        <x:v>-9.005</x:v>
      </x:c>
      <x:c r="BI354" s="68" t="n">
        <x:f>BF354/L354</x:f>
        <x:v>1.4</x:v>
      </x:c>
      <x:c r="BJ354" s="64" t="n">
        <x:f>-ROUND(AK354*'Drivers'!AC354,3)</x:f>
        <x:v>-21.606</x:v>
      </x:c>
      <x:c r="BK354" s="64" t="n">
        <x:f>-ROUND(AK354*'Drivers'!AD354,3)</x:f>
        <x:v>-117.658</x:v>
      </x:c>
      <x:c r="BL354" s="64" t="n">
        <x:f>SUM(AV354,BE354,BJ354,BK354)</x:f>
        <x:v>219.68800000000005</x:v>
      </x:c>
      <x:c r="BM354" s="65" t="n">
        <x:f>BL354/AK354</x:f>
        <x:v>0.22128412237468867</x:v>
      </x:c>
      <x:c r="BN354" s="64" t="n">
        <x:f>-ROUND(AK354*'Drivers'!AE354,3)</x:f>
        <x:v>-72.875</x:v>
      </x:c>
      <x:c r="BO354" s="64" t="n">
        <x:f>BL354+BN354</x:f>
        <x:v>146.81300000000005</x:v>
      </x:c>
      <x:c r="BP354" s="65" t="n">
        <x:f>BO354/AK354</x:f>
        <x:v>0.14787965595842817</x:v>
      </x:c>
    </x:row>
    <x:row r="355">
      <x:c r="A355" s="61" t="n">
        <x:v>2025</x:v>
      </x:c>
      <x:c r="B355" s="18" t="str">
        <x:v>S2</x:v>
      </x:c>
      <x:c r="C355" s="18" t="str">
        <x:v>2025 S2</x:v>
      </x:c>
      <x:c r="D355" s="18" t="str">
        <x:v>CNCT0089</x:v>
      </x:c>
      <x:c r="E355" s="18" t="str">
        <x:v>西安曲江银泰城</x:v>
      </x:c>
      <x:c r="F355" s="18" t="str">
        <x:v>西安</x:v>
      </x:c>
      <x:c r="G355" s="18" t="str">
        <x:v>陕西省</x:v>
      </x:c>
      <x:c r="H355" s="18" t="str">
        <x:v>西区</x:v>
      </x:c>
      <x:c r="I355" s="18" t="str">
        <x:v>Department Store</x:v>
      </x:c>
      <x:c r="J355" s="18" t="str">
        <x:v>Regional Mall</x:v>
      </x:c>
      <x:c r="K355" s="18" t="str">
        <x:v>正常</x:v>
      </x:c>
      <x:c r="L355" s="62" t="n">
        <x:v>5</x:v>
      </x:c>
      <x:c r="M355" s="62" t="n">
        <x:v>45</x:v>
      </x:c>
      <x:c r="N355" s="63" t="n">
        <x:f>'Drivers'!C355</x:f>
        <x:v>1778</x:v>
      </x:c>
      <x:c r="O355" s="63" t="n">
        <x:f>'Drivers'!D355</x:f>
        <x:v>914.83</x:v>
      </x:c>
      <x:c r="P355" s="64" t="n">
        <x:f>ROUND(N355*O355/1000,3)</x:f>
        <x:v>1626.568</x:v>
      </x:c>
      <x:c r="Q355" s="64" t="n">
        <x:f>ROUND(P355*'Drivers'!E355,3)</x:f>
        <x:v>1569.874</x:v>
      </x:c>
      <x:c r="R355" s="64" t="n">
        <x:f>-ROUND(Q355*'Drivers'!F355,3)</x:f>
        <x:v>-319.514</x:v>
      </x:c>
      <x:c r="S355" s="65" t="n">
        <x:f>R355/Q355</x:f>
        <x:v>-0.20352843604008986</x:v>
      </x:c>
      <x:c r="T355" s="64" t="n">
        <x:f>-ROUND(Q355*'Drivers'!G355,3)</x:f>
        <x:v>-28.562</x:v>
      </x:c>
      <x:c r="U355" s="65" t="n">
        <x:f>T355/Q355</x:f>
        <x:v>-0.018193816828611722</x:v>
      </x:c>
      <x:c r="V355" s="64" t="n">
        <x:f>-ROUND(Q355*'Drivers'!H355,3)</x:f>
        <x:v>-19.405</x:v>
      </x:c>
      <x:c r="W355" s="64" t="n">
        <x:f>-ROUND(Q355*'Drivers'!I355,3)</x:f>
        <x:v>-16.312</x:v>
      </x:c>
      <x:c r="X355" s="64" t="n">
        <x:f>-ROUND(Q355*'Drivers'!J355,3)</x:f>
        <x:v>-15.862</x:v>
      </x:c>
      <x:c r="Y355" s="64" t="n">
        <x:f>-ROUND(Q355*'Drivers'!K355,3)</x:f>
        <x:v>-19.855</x:v>
      </x:c>
      <x:c r="Z355" s="64" t="n">
        <x:f>-ROUND(Q355*'Drivers'!L355,3)</x:f>
        <x:v>-15.547</x:v>
      </x:c>
      <x:c r="AA355" s="64" t="n">
        <x:f>-ROUND(Q355*'Drivers'!M355,3)</x:f>
        <x:v>-10.872</x:v>
      </x:c>
      <x:c r="AB355" s="64" t="n">
        <x:f>-ROUND(Q355*'Drivers'!N355,3)</x:f>
        <x:v>-8.447</x:v>
      </x:c>
      <x:c r="AC355" s="64" t="n">
        <x:f>SUM(V355:AB355)</x:f>
        <x:v>-106.3</x:v>
      </x:c>
      <x:c r="AD355" s="65" t="n">
        <x:f>AC355/Q355</x:f>
        <x:v>-0.06771244061625327</x:v>
      </x:c>
      <x:c r="AE355" s="64" t="n">
        <x:f>-ROUND(Q355*'Drivers'!O355,3)</x:f>
        <x:v>-14.874</x:v>
      </x:c>
      <x:c r="AF355" s="65" t="n">
        <x:f>AE355/Q355</x:f>
        <x:v>-0.009474645735899824</x:v>
      </x:c>
      <x:c r="AG355" s="64" t="n">
        <x:f>-ROUND(Q355*'Drivers'!P355,3)</x:f>
        <x:v>-0.884</x:v>
      </x:c>
      <x:c r="AH355" s="64" t="n">
        <x:f>-ROUND(Q355*'Drivers'!Q355,3)</x:f>
        <x:v>-6.563</x:v>
      </x:c>
      <x:c r="AI355" s="64" t="n">
        <x:f>SUM(R355,T355,AC355,AE355,AG355,AH355)</x:f>
        <x:v>-476.69700000000006</x:v>
      </x:c>
      <x:c r="AJ355" s="65" t="n">
        <x:f>AI355/Q355</x:f>
        <x:v>-0.3036530320267742</x:v>
      </x:c>
      <x:c r="AK355" s="64" t="n">
        <x:f>Q355+AI355</x:f>
        <x:v>1093.177</x:v>
      </x:c>
      <x:c r="AL355" s="65" t="n">
        <x:f>AK355/Q355</x:f>
        <x:v>0.6963469679732258</x:v>
      </x:c>
      <x:c r="AM355" s="64" t="n">
        <x:f>AK355/L355</x:f>
        <x:v>218.63539999999998</x:v>
      </x:c>
      <x:c r="AN355" s="66" t="str">
        <x:f>IF(AM355&lt;=200,"≤200K",IF(AM355&lt;=350,"200–350K",IF(AM355&lt;=500,"350–500K",IF(AM355&lt;=700,"500–700K","&gt;700K"))))</x:f>
        <x:v>200–350K</x:v>
      </x:c>
      <x:c r="AO355" s="64" t="n">
        <x:f>-ROUND(Q355*'Drivers'!R355,3)</x:f>
        <x:v>-569.953</x:v>
      </x:c>
      <x:c r="AP355" s="64" t="n">
        <x:f>-ROUND(AK355*'Drivers'!S355,3)</x:f>
        <x:v>-17.045</x:v>
      </x:c>
      <x:c r="AQ355" s="64" t="n">
        <x:f>-ROUND(AK355*'Drivers'!T355,3)</x:f>
        <x:v>-3.924</x:v>
      </x:c>
      <x:c r="AR355" s="64" t="n">
        <x:f>-ROUND(AK355*'Drivers'!U355,3)</x:f>
        <x:v>-8.092</x:v>
      </x:c>
      <x:c r="AS355" s="64" t="n">
        <x:f>-ROUND(AK355*'Drivers'!V355,3)</x:f>
        <x:v>-38.113</x:v>
      </x:c>
      <x:c r="AT355" s="64" t="n">
        <x:f>SUM(AO355:AS355)</x:f>
        <x:v>-637.127</x:v>
      </x:c>
      <x:c r="AU355" s="65" t="n">
        <x:f>AT355/AK355</x:f>
        <x:v>-0.5828214461153134</x:v>
      </x:c>
      <x:c r="AV355" s="64" t="n">
        <x:f>AK355+AT355</x:f>
        <x:v>456.04999999999995</x:v>
      </x:c>
      <x:c r="AW355" s="65" t="n">
        <x:f>AV355/AK355</x:f>
        <x:v>0.41717855388468655</x:v>
      </x:c>
      <x:c r="AX355" s="64" t="n">
        <x:f>-ROUND(AK355*'Drivers'!W355,3)</x:f>
        <x:v>-15.14</x:v>
      </x:c>
      <x:c r="AY355" s="64" t="n">
        <x:f>-ROUND(AK355*'Drivers'!X355,3)</x:f>
        <x:v>-21.899</x:v>
      </x:c>
      <x:c r="AZ355" s="64" t="n">
        <x:f>-ROUND(AK355*'Drivers'!Y355,3)</x:f>
        <x:v>-14.556</x:v>
      </x:c>
      <x:c r="BA355" s="64" t="n">
        <x:f>-ROUND(AK355*'Drivers'!Z355,3)</x:f>
        <x:v>-5.243</x:v>
      </x:c>
      <x:c r="BB355" s="64" t="n">
        <x:f>-ROUND(AK355*'Drivers'!AA355,3)</x:f>
        <x:v>-8.95</x:v>
      </x:c>
      <x:c r="BC355" s="64" t="n">
        <x:f>SUM(BA355,BB355)</x:f>
        <x:v>-14.193</x:v>
      </x:c>
      <x:c r="BD355" s="64" t="n">
        <x:f>-ROUND(AK355*'Drivers'!AB355,3)</x:f>
        <x:v>-3.622</x:v>
      </x:c>
      <x:c r="BE355" s="64" t="n">
        <x:f>SUM(AX355:BB355,BD355)</x:f>
        <x:v>-69.41</x:v>
      </x:c>
      <x:c r="BF355" s="67" t="n">
        <x:f>'Drivers'!AF355</x:f>
        <x:v>7</x:v>
      </x:c>
      <x:c r="BG355" s="64" t="n">
        <x:f>BJ355</x:f>
        <x:v>-23.791</x:v>
      </x:c>
      <x:c r="BH355" s="64" t="n">
        <x:f>BE355/BF355</x:f>
        <x:v>-9.915714285714285</x:v>
      </x:c>
      <x:c r="BI355" s="68" t="n">
        <x:f>BF355/L355</x:f>
        <x:v>1.4</x:v>
      </x:c>
      <x:c r="BJ355" s="64" t="n">
        <x:f>-ROUND(AK355*'Drivers'!AC355,3)</x:f>
        <x:v>-23.791</x:v>
      </x:c>
      <x:c r="BK355" s="64" t="n">
        <x:f>-ROUND(AK355*'Drivers'!AD355,3)</x:f>
        <x:v>-129.555</x:v>
      </x:c>
      <x:c r="BL355" s="64" t="n">
        <x:f>SUM(AV355,BE355,BJ355,BK355)</x:f>
        <x:v>233.29399999999998</x:v>
      </x:c>
      <x:c r="BM355" s="65" t="n">
        <x:f>BL355/AK355</x:f>
        <x:v>0.21340917344583724</x:v>
      </x:c>
      <x:c r="BN355" s="64" t="n">
        <x:f>-ROUND(AK355*'Drivers'!AE355,3)</x:f>
        <x:v>-80.245</x:v>
      </x:c>
      <x:c r="BO355" s="64" t="n">
        <x:f>BL355+BN355</x:f>
        <x:v>153.04899999999998</x:v>
      </x:c>
      <x:c r="BP355" s="65" t="n">
        <x:f>BO355/AK355</x:f>
        <x:v>0.14000386030807452</x:v>
      </x:c>
    </x:row>
    <x:row r="356">
      <x:c r="A356" s="61" t="n">
        <x:v>2026</x:v>
      </x:c>
      <x:c r="B356" s="18" t="str">
        <x:v>S1</x:v>
      </x:c>
      <x:c r="C356" s="18" t="str">
        <x:v>2026 S1</x:v>
      </x:c>
      <x:c r="D356" s="18" t="str">
        <x:v>CNCT0089</x:v>
      </x:c>
      <x:c r="E356" s="18" t="str">
        <x:v>西安曲江银泰城</x:v>
      </x:c>
      <x:c r="F356" s="18" t="str">
        <x:v>西安</x:v>
      </x:c>
      <x:c r="G356" s="18" t="str">
        <x:v>陕西省</x:v>
      </x:c>
      <x:c r="H356" s="18" t="str">
        <x:v>西区</x:v>
      </x:c>
      <x:c r="I356" s="18" t="str">
        <x:v>Department Store</x:v>
      </x:c>
      <x:c r="J356" s="18" t="str">
        <x:v>Regional Mall</x:v>
      </x:c>
      <x:c r="K356" s="18" t="str">
        <x:v>正常</x:v>
      </x:c>
      <x:c r="L356" s="62" t="n">
        <x:v>5</x:v>
      </x:c>
      <x:c r="M356" s="62" t="n">
        <x:v>45</x:v>
      </x:c>
      <x:c r="N356" s="63" t="n">
        <x:f>'Drivers'!C356</x:f>
        <x:v>1683</x:v>
      </x:c>
      <x:c r="O356" s="63" t="n">
        <x:f>'Drivers'!D356</x:f>
        <x:v>946.136</x:v>
      </x:c>
      <x:c r="P356" s="64" t="n">
        <x:f>ROUND(N356*O356/1000,3)</x:f>
        <x:v>1592.347</x:v>
      </x:c>
      <x:c r="Q356" s="64" t="n">
        <x:f>ROUND(P356*'Drivers'!E356,3)</x:f>
        <x:v>1547.761</x:v>
      </x:c>
      <x:c r="R356" s="64" t="n">
        <x:f>-ROUND(Q356*'Drivers'!F356,3)</x:f>
        <x:v>-323.514</x:v>
      </x:c>
      <x:c r="S356" s="65" t="n">
        <x:f>R356/Q356</x:f>
        <x:v>-0.20902064336806522</x:v>
      </x:c>
      <x:c r="T356" s="64" t="n">
        <x:f>-ROUND(Q356*'Drivers'!G356,3)</x:f>
        <x:v>-27.958</x:v>
      </x:c>
      <x:c r="U356" s="65" t="n">
        <x:f>T356/Q356</x:f>
        <x:v>-0.018063512389832795</x:v>
      </x:c>
      <x:c r="V356" s="64" t="n">
        <x:f>-ROUND(Q356*'Drivers'!H356,3)</x:f>
        <x:v>-19.132</x:v>
      </x:c>
      <x:c r="W356" s="64" t="n">
        <x:f>-ROUND(Q356*'Drivers'!I356,3)</x:f>
        <x:v>-16.082</x:v>
      </x:c>
      <x:c r="X356" s="64" t="n">
        <x:f>-ROUND(Q356*'Drivers'!J356,3)</x:f>
        <x:v>-15.639</x:v>
      </x:c>
      <x:c r="Y356" s="64" t="n">
        <x:f>-ROUND(Q356*'Drivers'!K356,3)</x:f>
        <x:v>-19.575</x:v>
      </x:c>
      <x:c r="Z356" s="64" t="n">
        <x:f>-ROUND(Q356*'Drivers'!L356,3)</x:f>
        <x:v>-15.328</x:v>
      </x:c>
      <x:c r="AA356" s="64" t="n">
        <x:f>-ROUND(Q356*'Drivers'!M356,3)</x:f>
        <x:v>-10.719</x:v>
      </x:c>
      <x:c r="AB356" s="64" t="n">
        <x:f>-ROUND(Q356*'Drivers'!N356,3)</x:f>
        <x:v>-8.328</x:v>
      </x:c>
      <x:c r="AC356" s="64" t="n">
        <x:f>SUM(V356:AB356)</x:f>
        <x:v>-104.803</x:v>
      </x:c>
      <x:c r="AD356" s="65" t="n">
        <x:f>AC356/Q356</x:f>
        <x:v>-0.06771265072579036</x:v>
      </x:c>
      <x:c r="AE356" s="64" t="n">
        <x:f>-ROUND(Q356*'Drivers'!O356,3)</x:f>
        <x:v>-14.875</x:v>
      </x:c>
      <x:c r="AF356" s="65" t="n">
        <x:f>AE356/Q356</x:f>
        <x:v>-0.009610656942512442</x:v>
      </x:c>
      <x:c r="AG356" s="64" t="n">
        <x:f>-ROUND(Q356*'Drivers'!P356,3)</x:f>
        <x:v>-0.872</x:v>
      </x:c>
      <x:c r="AH356" s="64" t="n">
        <x:f>-ROUND(Q356*'Drivers'!Q356,3)</x:f>
        <x:v>-6.471</x:v>
      </x:c>
      <x:c r="AI356" s="64" t="n">
        <x:f>SUM(R356,T356,AC356,AE356,AG356,AH356)</x:f>
        <x:v>-478.493</x:v>
      </x:c>
      <x:c r="AJ356" s="65" t="n">
        <x:f>AI356/Q356</x:f>
        <x:v>-0.309151735959234</x:v>
      </x:c>
      <x:c r="AK356" s="64" t="n">
        <x:f>Q356+AI356</x:f>
        <x:v>1069.268</x:v>
      </x:c>
      <x:c r="AL356" s="65" t="n">
        <x:f>AK356/Q356</x:f>
        <x:v>0.690848264040766</x:v>
      </x:c>
      <x:c r="AM356" s="64" t="n">
        <x:f>AK356/L356</x:f>
        <x:v>213.8536</x:v>
      </x:c>
      <x:c r="AN356" s="66" t="str">
        <x:f>IF(AM356&lt;=200,"≤200K",IF(AM356&lt;=350,"200–350K",IF(AM356&lt;=500,"350–500K",IF(AM356&lt;=700,"500–700K","&gt;700K"))))</x:f>
        <x:v>200–350K</x:v>
      </x:c>
      <x:c r="AO356" s="64" t="n">
        <x:f>-ROUND(Q356*'Drivers'!R356,3)</x:f>
        <x:v>-544.59</x:v>
      </x:c>
      <x:c r="AP356" s="64" t="n">
        <x:f>-ROUND(AK356*'Drivers'!S356,3)</x:f>
        <x:v>-16.672</x:v>
      </x:c>
      <x:c r="AQ356" s="64" t="n">
        <x:f>-ROUND(AK356*'Drivers'!T356,3)</x:f>
        <x:v>-3.838</x:v>
      </x:c>
      <x:c r="AR356" s="64" t="n">
        <x:f>-ROUND(AK356*'Drivers'!U356,3)</x:f>
        <x:v>-7.915</x:v>
      </x:c>
      <x:c r="AS356" s="64" t="n">
        <x:f>-ROUND(AK356*'Drivers'!V356,3)</x:f>
        <x:v>-37.279</x:v>
      </x:c>
      <x:c r="AT356" s="64" t="n">
        <x:f>SUM(AO356:AS356)</x:f>
        <x:v>-610.294</x:v>
      </x:c>
      <x:c r="AU356" s="65" t="n">
        <x:f>AT356/AK356</x:f>
        <x:v>-0.5707586872514655</x:v>
      </x:c>
      <x:c r="AV356" s="64" t="n">
        <x:f>AK356+AT356</x:f>
        <x:v>458.97400000000005</x:v>
      </x:c>
      <x:c r="AW356" s="65" t="n">
        <x:f>AV356/AK356</x:f>
        <x:v>0.42924131274853455</x:v>
      </x:c>
      <x:c r="AX356" s="64" t="n">
        <x:f>-ROUND(AK356*'Drivers'!W356,3)</x:f>
        <x:v>-18.222</x:v>
      </x:c>
      <x:c r="AY356" s="64" t="n">
        <x:f>-ROUND(AK356*'Drivers'!X356,3)</x:f>
        <x:v>-26.356</x:v>
      </x:c>
      <x:c r="AZ356" s="64" t="n">
        <x:f>-ROUND(AK356*'Drivers'!Y356,3)</x:f>
        <x:v>-17.519</x:v>
      </x:c>
      <x:c r="BA356" s="64" t="n">
        <x:f>-ROUND(AK356*'Drivers'!Z356,3)</x:f>
        <x:v>-6.31</x:v>
      </x:c>
      <x:c r="BB356" s="64" t="n">
        <x:f>-ROUND(AK356*'Drivers'!AA356,3)</x:f>
        <x:v>-10.772</x:v>
      </x:c>
      <x:c r="BC356" s="64" t="n">
        <x:f>SUM(BA356,BB356)</x:f>
        <x:v>-17.082</x:v>
      </x:c>
      <x:c r="BD356" s="64" t="n">
        <x:f>-ROUND(AK356*'Drivers'!AB356,3)</x:f>
        <x:v>-4.359</x:v>
      </x:c>
      <x:c r="BE356" s="64" t="n">
        <x:f>SUM(AX356:BB356,BD356)</x:f>
        <x:v>-83.538</x:v>
      </x:c>
      <x:c r="BF356" s="67" t="n">
        <x:f>'Drivers'!AF356</x:f>
        <x:v>7</x:v>
      </x:c>
      <x:c r="BG356" s="64" t="n">
        <x:f>BJ356</x:f>
        <x:v>-28.634</x:v>
      </x:c>
      <x:c r="BH356" s="64" t="n">
        <x:f>BE356/BF356</x:f>
        <x:v>-11.934</x:v>
      </x:c>
      <x:c r="BI356" s="68" t="n">
        <x:f>BF356/L356</x:f>
        <x:v>1.4</x:v>
      </x:c>
      <x:c r="BJ356" s="64" t="n">
        <x:f>-ROUND(AK356*'Drivers'!AC356,3)</x:f>
        <x:v>-28.634</x:v>
      </x:c>
      <x:c r="BK356" s="64" t="n">
        <x:f>-ROUND(AK356*'Drivers'!AD356,3)</x:f>
        <x:v>-126.722</x:v>
      </x:c>
      <x:c r="BL356" s="64" t="n">
        <x:f>SUM(AV356,BE356,BJ356,BK356)</x:f>
        <x:v>220.08000000000004</x:v>
      </x:c>
      <x:c r="BM356" s="65" t="n">
        <x:f>BL356/AK356</x:f>
        <x:v>0.2058230490391558</x:v>
      </x:c>
      <x:c r="BN356" s="64" t="n">
        <x:f>-ROUND(AK356*'Drivers'!AE356,3)</x:f>
        <x:v>-78.489</x:v>
      </x:c>
      <x:c r="BO356" s="64" t="n">
        <x:f>BL356+BN356</x:f>
        <x:v>141.59100000000004</x:v>
      </x:c>
      <x:c r="BP356" s="65" t="n">
        <x:f>BO356/AK356</x:f>
        <x:v>0.13241862657444162</x:v>
      </x:c>
    </x:row>
    <x:row r="357">
      <x:c r="A357" s="61" t="n">
        <x:v>2026</x:v>
      </x:c>
      <x:c r="B357" s="18" t="str">
        <x:v>S2</x:v>
      </x:c>
      <x:c r="C357" s="18" t="str">
        <x:v>2026 S2</x:v>
      </x:c>
      <x:c r="D357" s="18" t="str">
        <x:v>CNCT0089</x:v>
      </x:c>
      <x:c r="E357" s="18" t="str">
        <x:v>西安曲江银泰城</x:v>
      </x:c>
      <x:c r="F357" s="18" t="str">
        <x:v>西安</x:v>
      </x:c>
      <x:c r="G357" s="18" t="str">
        <x:v>陕西省</x:v>
      </x:c>
      <x:c r="H357" s="18" t="str">
        <x:v>西区</x:v>
      </x:c>
      <x:c r="I357" s="18" t="str">
        <x:v>Department Store</x:v>
      </x:c>
      <x:c r="J357" s="18" t="str">
        <x:v>Regional Mall</x:v>
      </x:c>
      <x:c r="K357" s="18" t="str">
        <x:v>正常</x:v>
      </x:c>
      <x:c r="L357" s="62" t="n">
        <x:v>5</x:v>
      </x:c>
      <x:c r="M357" s="62" t="n">
        <x:v>45</x:v>
      </x:c>
      <x:c r="N357" s="63" t="n">
        <x:f>'Drivers'!C357</x:f>
        <x:v>1874</x:v>
      </x:c>
      <x:c r="O357" s="63" t="n">
        <x:f>'Drivers'!D357</x:f>
        <x:v>944.58</x:v>
      </x:c>
      <x:c r="P357" s="64" t="n">
        <x:f>ROUND(N357*O357/1000,3)</x:f>
        <x:v>1770.143</x:v>
      </x:c>
      <x:c r="Q357" s="64" t="n">
        <x:f>ROUND(P357*'Drivers'!E357,3)</x:f>
        <x:v>1708.445</x:v>
      </x:c>
      <x:c r="R357" s="64" t="n">
        <x:f>-ROUND(Q357*'Drivers'!F357,3)</x:f>
        <x:v>-357.073</x:v>
      </x:c>
      <x:c r="S357" s="65" t="n">
        <x:f>R357/Q357</x:f>
        <x:v>-0.2090046796941078</x:v>
      </x:c>
      <x:c r="T357" s="64" t="n">
        <x:f>-ROUND(Q357*'Drivers'!G357,3)</x:f>
        <x:v>-32.613</x:v>
      </x:c>
      <x:c r="U357" s="65" t="n">
        <x:f>T357/Q357</x:f>
        <x:v>-0.019089288797707857</x:v>
      </x:c>
      <x:c r="V357" s="64" t="n">
        <x:f>-ROUND(Q357*'Drivers'!H357,3)</x:f>
        <x:v>-21.118</x:v>
      </x:c>
      <x:c r="W357" s="64" t="n">
        <x:f>-ROUND(Q357*'Drivers'!I357,3)</x:f>
        <x:v>-17.752</x:v>
      </x:c>
      <x:c r="X357" s="64" t="n">
        <x:f>-ROUND(Q357*'Drivers'!J357,3)</x:f>
        <x:v>-17.262</x:v>
      </x:c>
      <x:c r="Y357" s="64" t="n">
        <x:f>-ROUND(Q357*'Drivers'!K357,3)</x:f>
        <x:v>-21.607</x:v>
      </x:c>
      <x:c r="Z357" s="64" t="n">
        <x:f>-ROUND(Q357*'Drivers'!L357,3)</x:f>
        <x:v>-16.919</x:v>
      </x:c>
      <x:c r="AA357" s="64" t="n">
        <x:f>-ROUND(Q357*'Drivers'!M357,3)</x:f>
        <x:v>-11.832</x:v>
      </x:c>
      <x:c r="AB357" s="64" t="n">
        <x:f>-ROUND(Q357*'Drivers'!N357,3)</x:f>
        <x:v>-9.193</x:v>
      </x:c>
      <x:c r="AC357" s="64" t="n">
        <x:f>SUM(V357:AB357)</x:f>
        <x:v>-115.683</x:v>
      </x:c>
      <x:c r="AD357" s="65" t="n">
        <x:f>AC357/Q357</x:f>
        <x:v>-0.06771245196655439</x:v>
      </x:c>
      <x:c r="AE357" s="64" t="n">
        <x:f>-ROUND(Q357*'Drivers'!O357,3)</x:f>
        <x:v>-16.187</x:v>
      </x:c>
      <x:c r="AF357" s="65" t="n">
        <x:f>AE357/Q357</x:f>
        <x:v>-0.009474697751464051</x:v>
      </x:c>
      <x:c r="AG357" s="64" t="n">
        <x:f>-ROUND(Q357*'Drivers'!P357,3)</x:f>
        <x:v>-0.962</x:v>
      </x:c>
      <x:c r="AH357" s="64" t="n">
        <x:f>-ROUND(Q357*'Drivers'!Q357,3)</x:f>
        <x:v>-7.143</x:v>
      </x:c>
      <x:c r="AI357" s="64" t="n">
        <x:f>SUM(R357,T357,AC357,AE357,AG357,AH357)</x:f>
        <x:v>-529.661</x:v>
      </x:c>
      <x:c r="AJ357" s="65" t="n">
        <x:f>AI357/Q357</x:f>
        <x:v>-0.3100251983528881</x:v>
      </x:c>
      <x:c r="AK357" s="64" t="n">
        <x:f>Q357+AI357</x:f>
        <x:v>1178.784</x:v>
      </x:c>
      <x:c r="AL357" s="65" t="n">
        <x:f>AK357/Q357</x:f>
        <x:v>0.6899748016471119</x:v>
      </x:c>
      <x:c r="AM357" s="64" t="n">
        <x:f>AK357/L357</x:f>
        <x:v>235.75680000000003</x:v>
      </x:c>
      <x:c r="AN357" s="66" t="str">
        <x:f>IF(AM357&lt;=200,"≤200K",IF(AM357&lt;=350,"200–350K",IF(AM357&lt;=500,"350–500K",IF(AM357&lt;=700,"500–700K","&gt;700K"))))</x:f>
        <x:v>200–350K</x:v>
      </x:c>
      <x:c r="AO357" s="64" t="n">
        <x:f>-ROUND(Q357*'Drivers'!R357,3)</x:f>
        <x:v>-606.42</x:v>
      </x:c>
      <x:c r="AP357" s="64" t="n">
        <x:f>-ROUND(AK357*'Drivers'!S357,3)</x:f>
        <x:v>-18.379</x:v>
      </x:c>
      <x:c r="AQ357" s="64" t="n">
        <x:f>-ROUND(AK357*'Drivers'!T357,3)</x:f>
        <x:v>-4.232</x:v>
      </x:c>
      <x:c r="AR357" s="64" t="n">
        <x:f>-ROUND(AK357*'Drivers'!U357,3)</x:f>
        <x:v>-8.726</x:v>
      </x:c>
      <x:c r="AS357" s="64" t="n">
        <x:f>-ROUND(AK357*'Drivers'!V357,3)</x:f>
        <x:v>-41.098</x:v>
      </x:c>
      <x:c r="AT357" s="64" t="n">
        <x:f>SUM(AO357:AS357)</x:f>
        <x:v>-678.8549999999999</x:v>
      </x:c>
      <x:c r="AU357" s="65" t="n">
        <x:f>AT357/AK357</x:f>
        <x:v>-0.5758943114260118</x:v>
      </x:c>
      <x:c r="AV357" s="64" t="n">
        <x:f>AK357+AT357</x:f>
        <x:v>499.9290000000002</x:v>
      </x:c>
      <x:c r="AW357" s="65" t="n">
        <x:f>AV357/AK357</x:f>
        <x:v>0.4241056885739882</x:v>
      </x:c>
      <x:c r="AX357" s="64" t="n">
        <x:f>-ROUND(AK357*'Drivers'!W357,3)</x:f>
        <x:v>-17.305</x:v>
      </x:c>
      <x:c r="AY357" s="64" t="n">
        <x:f>-ROUND(AK357*'Drivers'!X357,3)</x:f>
        <x:v>-25.03</x:v>
      </x:c>
      <x:c r="AZ357" s="64" t="n">
        <x:f>-ROUND(AK357*'Drivers'!Y357,3)</x:f>
        <x:v>-16.638</x:v>
      </x:c>
      <x:c r="BA357" s="64" t="n">
        <x:f>-ROUND(AK357*'Drivers'!Z357,3)</x:f>
        <x:v>-5.993</x:v>
      </x:c>
      <x:c r="BB357" s="64" t="n">
        <x:f>-ROUND(AK357*'Drivers'!AA357,3)</x:f>
        <x:v>-10.23</x:v>
      </x:c>
      <x:c r="BC357" s="64" t="n">
        <x:f>SUM(BA357,BB357)</x:f>
        <x:v>-16.223</x:v>
      </x:c>
      <x:c r="BD357" s="64" t="n">
        <x:f>-ROUND(AK357*'Drivers'!AB357,3)</x:f>
        <x:v>-4.14</x:v>
      </x:c>
      <x:c r="BE357" s="64" t="n">
        <x:f>SUM(AX357:BB357,BD357)</x:f>
        <x:v>-79.336</x:v>
      </x:c>
      <x:c r="BF357" s="67" t="n">
        <x:f>'Drivers'!AF357</x:f>
        <x:v>7</x:v>
      </x:c>
      <x:c r="BG357" s="64" t="n">
        <x:f>BJ357</x:f>
        <x:v>-27.193</x:v>
      </x:c>
      <x:c r="BH357" s="64" t="n">
        <x:f>BE357/BF357</x:f>
        <x:v>-11.333714285714285</x:v>
      </x:c>
      <x:c r="BI357" s="68" t="n">
        <x:f>BF357/L357</x:f>
        <x:v>1.4</x:v>
      </x:c>
      <x:c r="BJ357" s="64" t="n">
        <x:f>-ROUND(AK357*'Drivers'!AC357,3)</x:f>
        <x:v>-27.193</x:v>
      </x:c>
      <x:c r="BK357" s="64" t="n">
        <x:f>-ROUND(AK357*'Drivers'!AD357,3)</x:f>
        <x:v>-139.701</x:v>
      </x:c>
      <x:c r="BL357" s="64" t="n">
        <x:f>SUM(AV357,BE357,BJ357,BK357)</x:f>
        <x:v>253.6990000000002</x:v>
      </x:c>
      <x:c r="BM357" s="65" t="n">
        <x:f>BL357/AK357</x:f>
        <x:v>0.2152209395444799</x:v>
      </x:c>
      <x:c r="BN357" s="64" t="n">
        <x:f>-ROUND(AK357*'Drivers'!AE357,3)</x:f>
        <x:v>-86.528</x:v>
      </x:c>
      <x:c r="BO357" s="64" t="n">
        <x:f>BL357+BN357</x:f>
        <x:v>167.17100000000022</x:v>
      </x:c>
      <x:c r="BP357" s="65" t="n">
        <x:f>BO357/AK357</x:f>
        <x:v>0.14181648206965838</x:v>
      </x:c>
    </x:row>
    <x:row r="358">
      <x:c r="A358" s="61" t="n">
        <x:v>2025</x:v>
      </x:c>
      <x:c r="B358" s="18" t="str">
        <x:v>S1</x:v>
      </x:c>
      <x:c r="C358" s="18" t="str">
        <x:v>2025 S1</x:v>
      </x:c>
      <x:c r="D358" s="18" t="str">
        <x:v>CNCT0090</x:v>
      </x:c>
      <x:c r="E358" s="18" t="str">
        <x:v>西安高新万达广场</x:v>
      </x:c>
      <x:c r="F358" s="18" t="str">
        <x:v>西安</x:v>
      </x:c>
      <x:c r="G358" s="18" t="str">
        <x:v>陕西省</x:v>
      </x:c>
      <x:c r="H358" s="18" t="str">
        <x:v>西区</x:v>
      </x:c>
      <x:c r="I358" s="18" t="str">
        <x:v>Shopping Mall</x:v>
      </x:c>
      <x:c r="J358" s="18" t="str">
        <x:v>Regional Mall</x:v>
      </x:c>
      <x:c r="K358" s="18" t="str">
        <x:v>正常</x:v>
      </x:c>
      <x:c r="L358" s="62" t="n">
        <x:v>5</x:v>
      </x:c>
      <x:c r="M358" s="62" t="n">
        <x:v>45</x:v>
      </x:c>
      <x:c r="N358" s="63" t="n">
        <x:f>'Drivers'!C358</x:f>
        <x:v>1643</x:v>
      </x:c>
      <x:c r="O358" s="63" t="n">
        <x:f>'Drivers'!D358</x:f>
        <x:v>936.823</x:v>
      </x:c>
      <x:c r="P358" s="64" t="n">
        <x:f>ROUND(N358*O358/1000,3)</x:f>
        <x:v>1539.2</x:v>
      </x:c>
      <x:c r="Q358" s="64" t="n">
        <x:f>ROUND(P358*'Drivers'!E358,3)</x:f>
        <x:v>1491.482</x:v>
      </x:c>
      <x:c r="R358" s="64" t="n">
        <x:f>-ROUND(Q358*'Drivers'!F358,3)</x:f>
        <x:v>-294.567</x:v>
      </x:c>
      <x:c r="S358" s="65" t="n">
        <x:f>R358/Q358</x:f>
        <x:v>-0.19749953402052456</x:v>
      </x:c>
      <x:c r="T358" s="64" t="n">
        <x:f>-ROUND(Q358*'Drivers'!G358,3)</x:f>
        <x:v>-14.544</x:v>
      </x:c>
      <x:c r="U358" s="65" t="n">
        <x:f>T358/Q358</x:f>
        <x:v>-0.009751374807071089</x:v>
      </x:c>
      <x:c r="V358" s="64" t="n">
        <x:f>-ROUND(Q358*'Drivers'!H358,3)</x:f>
        <x:v>-16.174</x:v>
      </x:c>
      <x:c r="W358" s="64" t="n">
        <x:f>-ROUND(Q358*'Drivers'!I358,3)</x:f>
        <x:v>-11.699</x:v>
      </x:c>
      <x:c r="X358" s="64" t="n">
        <x:f>-ROUND(Q358*'Drivers'!J358,3)</x:f>
        <x:v>-26.163</x:v>
      </x:c>
      <x:c r="Y358" s="64" t="n">
        <x:f>-ROUND(Q358*'Drivers'!K358,3)</x:f>
        <x:v>-16.019</x:v>
      </x:c>
      <x:c r="Z358" s="64" t="n">
        <x:f>-ROUND(Q358*'Drivers'!L358,3)</x:f>
        <x:v>-12.983</x:v>
      </x:c>
      <x:c r="AA358" s="64" t="n">
        <x:f>-ROUND(Q358*'Drivers'!M358,3)</x:f>
        <x:v>-11.956</x:v>
      </x:c>
      <x:c r="AB358" s="64" t="n">
        <x:f>-ROUND(Q358*'Drivers'!N358,3)</x:f>
        <x:v>-13.398</x:v>
      </x:c>
      <x:c r="AC358" s="64" t="n">
        <x:f>SUM(V358:AB358)</x:f>
        <x:v>-108.39200000000001</x:v>
      </x:c>
      <x:c r="AD358" s="65" t="n">
        <x:f>AC358/Q358</x:f>
        <x:v>-0.07267402489604301</x:v>
      </x:c>
      <x:c r="AE358" s="64" t="n">
        <x:f>-ROUND(Q358*'Drivers'!O358,3)</x:f>
        <x:v>-23.584</x:v>
      </x:c>
      <x:c r="AF358" s="65" t="n">
        <x:f>AE358/Q358</x:f>
        <x:v>-0.015812460358220884</x:v>
      </x:c>
      <x:c r="AG358" s="64" t="n">
        <x:f>-ROUND(Q358*'Drivers'!P358,3)</x:f>
        <x:v>-2.557</x:v>
      </x:c>
      <x:c r="AH358" s="64" t="n">
        <x:f>-ROUND(Q358*'Drivers'!Q358,3)</x:f>
        <x:v>-1.986</x:v>
      </x:c>
      <x:c r="AI358" s="64" t="n">
        <x:f>SUM(R358,T358,AC358,AE358,AG358,AH358)</x:f>
        <x:v>-445.63</x:v>
      </x:c>
      <x:c r="AJ358" s="65" t="n">
        <x:f>AI358/Q358</x:f>
        <x:v>-0.29878335776093845</x:v>
      </x:c>
      <x:c r="AK358" s="64" t="n">
        <x:f>Q358+AI358</x:f>
        <x:v>1045.8519999999999</x:v>
      </x:c>
      <x:c r="AL358" s="65" t="n">
        <x:f>AK358/Q358</x:f>
        <x:v>0.7012166422390614</x:v>
      </x:c>
      <x:c r="AM358" s="64" t="n">
        <x:f>AK358/L358</x:f>
        <x:v>209.17039999999997</x:v>
      </x:c>
      <x:c r="AN358" s="66" t="str">
        <x:f>IF(AM358&lt;=200,"≤200K",IF(AM358&lt;=350,"200–350K",IF(AM358&lt;=500,"350–500K",IF(AM358&lt;=700,"500–700K","&gt;700K"))))</x:f>
        <x:v>200–350K</x:v>
      </x:c>
      <x:c r="AO358" s="64" t="n">
        <x:f>-ROUND(Q358*'Drivers'!R358,3)</x:f>
        <x:v>-552.94</x:v>
      </x:c>
      <x:c r="AP358" s="64" t="n">
        <x:f>-ROUND(AK358*'Drivers'!S358,3)</x:f>
        <x:v>-15.209</x:v>
      </x:c>
      <x:c r="AQ358" s="64" t="n">
        <x:f>-ROUND(AK358*'Drivers'!T358,3)</x:f>
        <x:v>-7.165</x:v>
      </x:c>
      <x:c r="AR358" s="64" t="n">
        <x:f>-ROUND(AK358*'Drivers'!U358,3)</x:f>
        <x:v>-9.445</x:v>
      </x:c>
      <x:c r="AS358" s="64" t="n">
        <x:f>-ROUND(AK358*'Drivers'!V358,3)</x:f>
        <x:v>-33.387</x:v>
      </x:c>
      <x:c r="AT358" s="64" t="n">
        <x:f>SUM(AO358:AS358)</x:f>
        <x:v>-618.146</x:v>
      </x:c>
      <x:c r="AU358" s="65" t="n">
        <x:f>AT358/AK358</x:f>
        <x:v>-0.5910453869189904</x:v>
      </x:c>
      <x:c r="AV358" s="64" t="n">
        <x:f>AK358+AT358</x:f>
        <x:v>427.7059999999999</x:v>
      </x:c>
      <x:c r="AW358" s="65" t="n">
        <x:f>AV358/AK358</x:f>
        <x:v>0.4089546130810095</x:v>
      </x:c>
      <x:c r="AX358" s="64" t="n">
        <x:f>-ROUND(AK358*'Drivers'!W358,3)</x:f>
        <x:v>-13.719</x:v>
      </x:c>
      <x:c r="AY358" s="64" t="n">
        <x:f>-ROUND(AK358*'Drivers'!X358,3)</x:f>
        <x:v>-26.376</x:v>
      </x:c>
      <x:c r="AZ358" s="64" t="n">
        <x:f>-ROUND(AK358*'Drivers'!Y358,3)</x:f>
        <x:v>-18.576</x:v>
      </x:c>
      <x:c r="BA358" s="64" t="n">
        <x:f>-ROUND(AK358*'Drivers'!Z358,3)</x:f>
        <x:v>-4.963</x:v>
      </x:c>
      <x:c r="BB358" s="64" t="n">
        <x:f>-ROUND(AK358*'Drivers'!AA358,3)</x:f>
        <x:v>-8.763</x:v>
      </x:c>
      <x:c r="BC358" s="64" t="n">
        <x:f>SUM(BA358,BB358)</x:f>
        <x:v>-13.725999999999999</x:v>
      </x:c>
      <x:c r="BD358" s="64" t="n">
        <x:f>-ROUND(AK358*'Drivers'!AB358,3)</x:f>
        <x:v>-6.06</x:v>
      </x:c>
      <x:c r="BE358" s="64" t="n">
        <x:f>SUM(AX358:BB358,BD358)</x:f>
        <x:v>-78.45700000000001</x:v>
      </x:c>
      <x:c r="BF358" s="67" t="n">
        <x:f>'Drivers'!AF358</x:f>
        <x:v>9</x:v>
      </x:c>
      <x:c r="BG358" s="64" t="n">
        <x:f>BJ358</x:f>
        <x:v>-23.622</x:v>
      </x:c>
      <x:c r="BH358" s="64" t="n">
        <x:f>BE358/BF358</x:f>
        <x:v>-8.717444444444446</x:v>
      </x:c>
      <x:c r="BI358" s="68" t="n">
        <x:f>BF358/L358</x:f>
        <x:v>1.8</x:v>
      </x:c>
      <x:c r="BJ358" s="64" t="n">
        <x:f>-ROUND(AK358*'Drivers'!AC358,3)</x:f>
        <x:v>-23.622</x:v>
      </x:c>
      <x:c r="BK358" s="64" t="n">
        <x:f>-ROUND(AK358*'Drivers'!AD358,3)</x:f>
        <x:v>-103.379</x:v>
      </x:c>
      <x:c r="BL358" s="64" t="n">
        <x:f>SUM(AV358,BE358,BJ358,BK358)</x:f>
        <x:v>222.24799999999988</x:v>
      </x:c>
      <x:c r="BM358" s="65" t="n">
        <x:f>BL358/AK358</x:f>
        <x:v>0.2125042549041355</x:v>
      </x:c>
      <x:c r="BN358" s="64" t="n">
        <x:f>-ROUND(AK358*'Drivers'!AE358,3)</x:f>
        <x:v>-87.161</x:v>
      </x:c>
      <x:c r="BO358" s="64" t="n">
        <x:f>BL358+BN358</x:f>
        <x:v>135.08699999999988</x:v>
      </x:c>
      <x:c r="BP358" s="65" t="n">
        <x:f>BO358/AK358</x:f>
        <x:v>0.12916454718258405</x:v>
      </x:c>
    </x:row>
    <x:row r="359">
      <x:c r="A359" s="61" t="n">
        <x:v>2025</x:v>
      </x:c>
      <x:c r="B359" s="18" t="str">
        <x:v>S2</x:v>
      </x:c>
      <x:c r="C359" s="18" t="str">
        <x:v>2025 S2</x:v>
      </x:c>
      <x:c r="D359" s="18" t="str">
        <x:v>CNCT0090</x:v>
      </x:c>
      <x:c r="E359" s="18" t="str">
        <x:v>西安高新万达广场</x:v>
      </x:c>
      <x:c r="F359" s="18" t="str">
        <x:v>西安</x:v>
      </x:c>
      <x:c r="G359" s="18" t="str">
        <x:v>陕西省</x:v>
      </x:c>
      <x:c r="H359" s="18" t="str">
        <x:v>西区</x:v>
      </x:c>
      <x:c r="I359" s="18" t="str">
        <x:v>Shopping Mall</x:v>
      </x:c>
      <x:c r="J359" s="18" t="str">
        <x:v>Regional Mall</x:v>
      </x:c>
      <x:c r="K359" s="18" t="str">
        <x:v>正常</x:v>
      </x:c>
      <x:c r="L359" s="62" t="n">
        <x:v>5</x:v>
      </x:c>
      <x:c r="M359" s="62" t="n">
        <x:v>45</x:v>
      </x:c>
      <x:c r="N359" s="63" t="n">
        <x:f>'Drivers'!C359</x:f>
        <x:v>1782</x:v>
      </x:c>
      <x:c r="O359" s="63" t="n">
        <x:f>'Drivers'!D359</x:f>
        <x:v>948.065</x:v>
      </x:c>
      <x:c r="P359" s="64" t="n">
        <x:f>ROUND(N359*O359/1000,3)</x:f>
        <x:v>1689.452</x:v>
      </x:c>
      <x:c r="Q359" s="64" t="n">
        <x:f>ROUND(P359*'Drivers'!E359,3)</x:f>
        <x:v>1627.04</x:v>
      </x:c>
      <x:c r="R359" s="64" t="n">
        <x:f>-ROUND(Q359*'Drivers'!F359,3)</x:f>
        <x:v>-321.339</x:v>
      </x:c>
      <x:c r="S359" s="65" t="n">
        <x:f>R359/Q359</x:f>
        <x:v>-0.19749913954174453</x:v>
      </x:c>
      <x:c r="T359" s="64" t="n">
        <x:f>-ROUND(Q359*'Drivers'!G359,3)</x:f>
        <x:v>-15.866</x:v>
      </x:c>
      <x:c r="U359" s="65" t="n">
        <x:f>T359/Q359</x:f>
        <x:v>-0.009751450486773528</x:v>
      </x:c>
      <x:c r="V359" s="64" t="n">
        <x:f>-ROUND(Q359*'Drivers'!H359,3)</x:f>
        <x:v>-17.644</x:v>
      </x:c>
      <x:c r="W359" s="64" t="n">
        <x:f>-ROUND(Q359*'Drivers'!I359,3)</x:f>
        <x:v>-12.762</x:v>
      </x:c>
      <x:c r="X359" s="64" t="n">
        <x:f>-ROUND(Q359*'Drivers'!J359,3)</x:f>
        <x:v>-28.54</x:v>
      </x:c>
      <x:c r="Y359" s="64" t="n">
        <x:f>-ROUND(Q359*'Drivers'!K359,3)</x:f>
        <x:v>-17.475</x:v>
      </x:c>
      <x:c r="Z359" s="64" t="n">
        <x:f>-ROUND(Q359*'Drivers'!L359,3)</x:f>
        <x:v>-14.163</x:v>
      </x:c>
      <x:c r="AA359" s="64" t="n">
        <x:f>-ROUND(Q359*'Drivers'!M359,3)</x:f>
        <x:v>-13.043</x:v>
      </x:c>
      <x:c r="AB359" s="64" t="n">
        <x:f>-ROUND(Q359*'Drivers'!N359,3)</x:f>
        <x:v>-14.616</x:v>
      </x:c>
      <x:c r="AC359" s="64" t="n">
        <x:f>SUM(V359:AB359)</x:f>
        <x:v>-118.24299999999998</x:v>
      </x:c>
      <x:c r="AD359" s="65" t="n">
        <x:f>AC359/Q359</x:f>
        <x:v>-0.0726736896449995</x:v>
      </x:c>
      <x:c r="AE359" s="64" t="n">
        <x:f>-ROUND(Q359*'Drivers'!O359,3)</x:f>
        <x:v>-25.728</x:v>
      </x:c>
      <x:c r="AF359" s="65" t="n">
        <x:f>AE359/Q359</x:f>
        <x:v>-0.01581276428360704</x:v>
      </x:c>
      <x:c r="AG359" s="64" t="n">
        <x:f>-ROUND(Q359*'Drivers'!P359,3)</x:f>
        <x:v>-2.79</x:v>
      </x:c>
      <x:c r="AH359" s="64" t="n">
        <x:f>-ROUND(Q359*'Drivers'!Q359,3)</x:f>
        <x:v>-2.166</x:v>
      </x:c>
      <x:c r="AI359" s="64" t="n">
        <x:f>SUM(R359,T359,AC359,AE359,AG359,AH359)</x:f>
        <x:v>-486.132</x:v>
      </x:c>
      <x:c r="AJ359" s="65" t="n">
        <x:f>AI359/Q359</x:f>
        <x:v>-0.2987830661815321</x:v>
      </x:c>
      <x:c r="AK359" s="64" t="n">
        <x:f>Q359+AI359</x:f>
        <x:v>1140.908</x:v>
      </x:c>
      <x:c r="AL359" s="65" t="n">
        <x:f>AK359/Q359</x:f>
        <x:v>0.7012169338184678</x:v>
      </x:c>
      <x:c r="AM359" s="64" t="n">
        <x:f>AK359/L359</x:f>
        <x:v>228.18159999999997</x:v>
      </x:c>
      <x:c r="AN359" s="66" t="str">
        <x:f>IF(AM359&lt;=200,"≤200K",IF(AM359&lt;=350,"200–350K",IF(AM359&lt;=500,"350–500K",IF(AM359&lt;=700,"500–700K","&gt;700K"))))</x:f>
        <x:v>200–350K</x:v>
      </x:c>
      <x:c r="AO359" s="64" t="n">
        <x:f>-ROUND(Q359*'Drivers'!R359,3)</x:f>
        <x:v>-578.403</x:v>
      </x:c>
      <x:c r="AP359" s="64" t="n">
        <x:f>-ROUND(AK359*'Drivers'!S359,3)</x:f>
        <x:v>-16.591</x:v>
      </x:c>
      <x:c r="AQ359" s="64" t="n">
        <x:f>-ROUND(AK359*'Drivers'!T359,3)</x:f>
        <x:v>-7.816</x:v>
      </x:c>
      <x:c r="AR359" s="64" t="n">
        <x:f>-ROUND(AK359*'Drivers'!U359,3)</x:f>
        <x:v>-10.303</x:v>
      </x:c>
      <x:c r="AS359" s="64" t="n">
        <x:f>-ROUND(AK359*'Drivers'!V359,3)</x:f>
        <x:v>-36.421</x:v>
      </x:c>
      <x:c r="AT359" s="64" t="n">
        <x:f>SUM(AO359:AS359)</x:f>
        <x:v>-649.5340000000001</x:v>
      </x:c>
      <x:c r="AU359" s="65" t="n">
        <x:f>AT359/AK359</x:f>
        <x:v>-0.5693132136859416</x:v>
      </x:c>
      <x:c r="AV359" s="64" t="n">
        <x:f>AK359+AT359</x:f>
        <x:v>491.3739999999998</x:v>
      </x:c>
      <x:c r="AW359" s="65" t="n">
        <x:f>AV359/AK359</x:f>
        <x:v>0.4306867863140585</x:v>
      </x:c>
      <x:c r="AX359" s="64" t="n">
        <x:f>-ROUND(AK359*'Drivers'!W359,3)</x:f>
        <x:v>-14.966</x:v>
      </x:c>
      <x:c r="AY359" s="64" t="n">
        <x:f>-ROUND(AK359*'Drivers'!X359,3)</x:f>
        <x:v>-28.774</x:v>
      </x:c>
      <x:c r="AZ359" s="64" t="n">
        <x:f>-ROUND(AK359*'Drivers'!Y359,3)</x:f>
        <x:v>-20.265</x:v>
      </x:c>
      <x:c r="BA359" s="64" t="n">
        <x:f>-ROUND(AK359*'Drivers'!Z359,3)</x:f>
        <x:v>-5.414</x:v>
      </x:c>
      <x:c r="BB359" s="64" t="n">
        <x:f>-ROUND(AK359*'Drivers'!AA359,3)</x:f>
        <x:v>-9.56</x:v>
      </x:c>
      <x:c r="BC359" s="64" t="n">
        <x:f>SUM(BA359,BB359)</x:f>
        <x:v>-14.974</x:v>
      </x:c>
      <x:c r="BD359" s="64" t="n">
        <x:f>-ROUND(AK359*'Drivers'!AB359,3)</x:f>
        <x:v>-6.611</x:v>
      </x:c>
      <x:c r="BE359" s="64" t="n">
        <x:f>SUM(AX359:BB359,BD359)</x:f>
        <x:v>-85.59</x:v>
      </x:c>
      <x:c r="BF359" s="67" t="n">
        <x:f>'Drivers'!AF359</x:f>
        <x:v>9</x:v>
      </x:c>
      <x:c r="BG359" s="64" t="n">
        <x:f>BJ359</x:f>
        <x:v>-25.769</x:v>
      </x:c>
      <x:c r="BH359" s="64" t="n">
        <x:f>BE359/BF359</x:f>
        <x:v>-9.51</x:v>
      </x:c>
      <x:c r="BI359" s="68" t="n">
        <x:f>BF359/L359</x:f>
        <x:v>1.8</x:v>
      </x:c>
      <x:c r="BJ359" s="64" t="n">
        <x:f>-ROUND(AK359*'Drivers'!AC359,3)</x:f>
        <x:v>-25.769</x:v>
      </x:c>
      <x:c r="BK359" s="64" t="n">
        <x:f>-ROUND(AK359*'Drivers'!AD359,3)</x:f>
        <x:v>-112.775</x:v>
      </x:c>
      <x:c r="BL359" s="64" t="n">
        <x:f>SUM(AV359,BE359,BJ359,BK359)</x:f>
        <x:v>267.2399999999998</x:v>
      </x:c>
      <x:c r="BM359" s="65" t="n">
        <x:f>BL359/AK359</x:f>
        <x:v>0.2342344869174375</x:v>
      </x:c>
      <x:c r="BN359" s="64" t="n">
        <x:f>-ROUND(AK359*'Drivers'!AE359,3)</x:f>
        <x:v>-95.083</x:v>
      </x:c>
      <x:c r="BO359" s="64" t="n">
        <x:f>BL359+BN359</x:f>
        <x:v>172.15699999999978</x:v>
      </x:c>
      <x:c r="BP359" s="65" t="n">
        <x:f>BO359/AK359</x:f>
        <x:v>0.15089472595511627</x:v>
      </x:c>
    </x:row>
    <x:row r="360">
      <x:c r="A360" s="61" t="n">
        <x:v>2026</x:v>
      </x:c>
      <x:c r="B360" s="18" t="str">
        <x:v>S1</x:v>
      </x:c>
      <x:c r="C360" s="18" t="str">
        <x:v>2026 S1</x:v>
      </x:c>
      <x:c r="D360" s="18" t="str">
        <x:v>CNCT0090</x:v>
      </x:c>
      <x:c r="E360" s="18" t="str">
        <x:v>西安高新万达广场</x:v>
      </x:c>
      <x:c r="F360" s="18" t="str">
        <x:v>西安</x:v>
      </x:c>
      <x:c r="G360" s="18" t="str">
        <x:v>陕西省</x:v>
      </x:c>
      <x:c r="H360" s="18" t="str">
        <x:v>西区</x:v>
      </x:c>
      <x:c r="I360" s="18" t="str">
        <x:v>Shopping Mall</x:v>
      </x:c>
      <x:c r="J360" s="18" t="str">
        <x:v>Regional Mall</x:v>
      </x:c>
      <x:c r="K360" s="18" t="str">
        <x:v>正常</x:v>
      </x:c>
      <x:c r="L360" s="62" t="n">
        <x:v>5</x:v>
      </x:c>
      <x:c r="M360" s="62" t="n">
        <x:v>45</x:v>
      </x:c>
      <x:c r="N360" s="63" t="n">
        <x:f>'Drivers'!C360</x:f>
        <x:v>1272</x:v>
      </x:c>
      <x:c r="O360" s="63" t="n">
        <x:f>'Drivers'!D360</x:f>
        <x:v>984.576</x:v>
      </x:c>
      <x:c r="P360" s="64" t="n">
        <x:f>ROUND(N360*O360/1000,3)</x:f>
        <x:v>1252.381</x:v>
      </x:c>
      <x:c r="Q360" s="64" t="n">
        <x:f>ROUND(P360*'Drivers'!E360,3)</x:f>
        <x:v>1208.848</x:v>
      </x:c>
      <x:c r="R360" s="64" t="n">
        <x:f>-ROUND(Q360*'Drivers'!F360,3)</x:f>
        <x:v>-253.253</x:v>
      </x:c>
      <x:c r="S360" s="65" t="n">
        <x:f>R360/Q360</x:f>
        <x:v>-0.2094994573345863</x:v>
      </x:c>
      <x:c r="T360" s="64" t="n">
        <x:f>-ROUND(Q360*'Drivers'!G360,3)</x:f>
        <x:v>-9.699</x:v>
      </x:c>
      <x:c r="U360" s="65" t="n">
        <x:f>T360/Q360</x:f>
        <x:v>-0.008023341230659273</x:v>
      </x:c>
      <x:c r="V360" s="64" t="n">
        <x:f>-ROUND(Q360*'Drivers'!H360,3)</x:f>
        <x:v>-13.109</x:v>
      </x:c>
      <x:c r="W360" s="64" t="n">
        <x:f>-ROUND(Q360*'Drivers'!I360,3)</x:f>
        <x:v>-9.482</x:v>
      </x:c>
      <x:c r="X360" s="64" t="n">
        <x:f>-ROUND(Q360*'Drivers'!J360,3)</x:f>
        <x:v>-21.205</x:v>
      </x:c>
      <x:c r="Y360" s="64" t="n">
        <x:f>-ROUND(Q360*'Drivers'!K360,3)</x:f>
        <x:v>-12.983</x:v>
      </x:c>
      <x:c r="Z360" s="64" t="n">
        <x:f>-ROUND(Q360*'Drivers'!L360,3)</x:f>
        <x:v>-10.523</x:v>
      </x:c>
      <x:c r="AA360" s="64" t="n">
        <x:f>-ROUND(Q360*'Drivers'!M360,3)</x:f>
        <x:v>-9.69</x:v>
      </x:c>
      <x:c r="AB360" s="64" t="n">
        <x:f>-ROUND(Q360*'Drivers'!N360,3)</x:f>
        <x:v>-10.859</x:v>
      </x:c>
      <x:c r="AC360" s="64" t="n">
        <x:f>SUM(V360:AB360)</x:f>
        <x:v>-87.85099999999998</x:v>
      </x:c>
      <x:c r="AD360" s="65" t="n">
        <x:f>AC360/Q360</x:f>
        <x:v>-0.07267332203883366</x:v>
      </x:c>
      <x:c r="AE360" s="64" t="n">
        <x:f>-ROUND(Q360*'Drivers'!O360,3)</x:f>
        <x:v>-20.184</x:v>
      </x:c>
      <x:c r="AF360" s="65" t="n">
        <x:f>AE360/Q360</x:f>
        <x:v>-0.016696888277103493</x:v>
      </x:c>
      <x:c r="AG360" s="64" t="n">
        <x:f>-ROUND(Q360*'Drivers'!P360,3)</x:f>
        <x:v>-2.073</x:v>
      </x:c>
      <x:c r="AH360" s="64" t="n">
        <x:f>-ROUND(Q360*'Drivers'!Q360,3)</x:f>
        <x:v>-1.609</x:v>
      </x:c>
      <x:c r="AI360" s="64" t="n">
        <x:f>SUM(R360,T360,AC360,AE360,AG360,AH360)</x:f>
        <x:v>-374.669</x:v>
      </x:c>
      <x:c r="AJ360" s="65" t="n">
        <x:f>AI360/Q360</x:f>
        <x:v>-0.30993888396225167</x:v>
      </x:c>
      <x:c r="AK360" s="64" t="n">
        <x:f>Q360+AI360</x:f>
        <x:v>834.179</x:v>
      </x:c>
      <x:c r="AL360" s="65" t="n">
        <x:f>AK360/Q360</x:f>
        <x:v>0.6900611160377483</x:v>
      </x:c>
      <x:c r="AM360" s="64" t="n">
        <x:f>AK360/L360</x:f>
        <x:v>166.8358</x:v>
      </x:c>
      <x:c r="AN360" s="66" t="str">
        <x:f>IF(AM360&lt;=200,"≤200K",IF(AM360&lt;=350,"200–350K",IF(AM360&lt;=500,"350–500K",IF(AM360&lt;=700,"500–700K","&gt;700K"))))</x:f>
        <x:v>≤200K</x:v>
      </x:c>
      <x:c r="AO360" s="64" t="n">
        <x:f>-ROUND(Q360*'Drivers'!R360,3)</x:f>
        <x:v>-472.071</x:v>
      </x:c>
      <x:c r="AP360" s="64" t="n">
        <x:f>-ROUND(AK360*'Drivers'!S360,3)</x:f>
        <x:v>-12.131</x:v>
      </x:c>
      <x:c r="AQ360" s="64" t="n">
        <x:f>-ROUND(AK360*'Drivers'!T360,3)</x:f>
        <x:v>-5.715</x:v>
      </x:c>
      <x:c r="AR360" s="64" t="n">
        <x:f>-ROUND(AK360*'Drivers'!U360,3)</x:f>
        <x:v>-7.533</x:v>
      </x:c>
      <x:c r="AS360" s="64" t="n">
        <x:f>-ROUND(AK360*'Drivers'!V360,3)</x:f>
        <x:v>-26.629</x:v>
      </x:c>
      <x:c r="AT360" s="64" t="n">
        <x:f>SUM(AO360:AS360)</x:f>
        <x:v>-524.079</x:v>
      </x:c>
      <x:c r="AU360" s="65" t="n">
        <x:f>AT360/AK360</x:f>
        <x:v>-0.6282572445482324</x:v>
      </x:c>
      <x:c r="AV360" s="64" t="n">
        <x:f>AK360+AT360</x:f>
        <x:v>310.1</x:v>
      </x:c>
      <x:c r="AW360" s="65" t="n">
        <x:f>AV360/AK360</x:f>
        <x:v>0.3717427554517676</x:v>
      </x:c>
      <x:c r="AX360" s="64" t="n">
        <x:f>-ROUND(AK360*'Drivers'!W360,3)</x:f>
        <x:v>-13.464</x:v>
      </x:c>
      <x:c r="AY360" s="64" t="n">
        <x:f>-ROUND(AK360*'Drivers'!X360,3)</x:f>
        <x:v>-25.886</x:v>
      </x:c>
      <x:c r="AZ360" s="64" t="n">
        <x:f>-ROUND(AK360*'Drivers'!Y360,3)</x:f>
        <x:v>-18.231</x:v>
      </x:c>
      <x:c r="BA360" s="64" t="n">
        <x:f>-ROUND(AK360*'Drivers'!Z360,3)</x:f>
        <x:v>-4.871</x:v>
      </x:c>
      <x:c r="BB360" s="64" t="n">
        <x:f>-ROUND(AK360*'Drivers'!AA360,3)</x:f>
        <x:v>-8.6</x:v>
      </x:c>
      <x:c r="BC360" s="64" t="n">
        <x:f>SUM(BA360,BB360)</x:f>
        <x:v>-13.471</x:v>
      </x:c>
      <x:c r="BD360" s="64" t="n">
        <x:f>-ROUND(AK360*'Drivers'!AB360,3)</x:f>
        <x:v>-5.947</x:v>
      </x:c>
      <x:c r="BE360" s="64" t="n">
        <x:f>SUM(AX360:BB360,BD360)</x:f>
        <x:v>-76.99900000000001</x:v>
      </x:c>
      <x:c r="BF360" s="67" t="n">
        <x:f>'Drivers'!AF360</x:f>
        <x:v>9</x:v>
      </x:c>
      <x:c r="BG360" s="64" t="n">
        <x:f>BJ360</x:f>
        <x:v>-33.615</x:v>
      </x:c>
      <x:c r="BH360" s="64" t="n">
        <x:f>BE360/BF360</x:f>
        <x:v>-8.555444444444445</x:v>
      </x:c>
      <x:c r="BI360" s="68" t="n">
        <x:f>BF360/L360</x:f>
        <x:v>1.8</x:v>
      </x:c>
      <x:c r="BJ360" s="64" t="n">
        <x:f>-ROUND(AK360*'Drivers'!AC360,3)</x:f>
        <x:v>-33.615</x:v>
      </x:c>
      <x:c r="BK360" s="64" t="n">
        <x:f>-ROUND(AK360*'Drivers'!AD360,3)</x:f>
        <x:v>-90.701</x:v>
      </x:c>
      <x:c r="BL360" s="64" t="n">
        <x:f>SUM(AV360,BE360,BJ360,BK360)</x:f>
        <x:v>108.785</x:v>
      </x:c>
      <x:c r="BM360" s="65" t="n">
        <x:f>BL360/AK360</x:f>
        <x:v>0.13040966027675116</x:v>
      </x:c>
      <x:c r="BN360" s="64" t="n">
        <x:f>-ROUND(AK360*'Drivers'!AE360,3)</x:f>
        <x:v>-100.267</x:v>
      </x:c>
      <x:c r="BO360" s="64" t="n">
        <x:f>BL360+BN360</x:f>
        <x:v>8.518</x:v>
      </x:c>
      <x:c r="BP360" s="65" t="n">
        <x:f>BO360/AK360</x:f>
        <x:v>0.01021123763604694</x:v>
      </x:c>
    </x:row>
    <x:row r="361">
      <x:c r="A361" s="61" t="n">
        <x:v>2026</x:v>
      </x:c>
      <x:c r="B361" s="18" t="str">
        <x:v>S2</x:v>
      </x:c>
      <x:c r="C361" s="18" t="str">
        <x:v>2026 S2</x:v>
      </x:c>
      <x:c r="D361" s="18" t="str">
        <x:v>CNCT0090</x:v>
      </x:c>
      <x:c r="E361" s="18" t="str">
        <x:v>西安高新万达广场</x:v>
      </x:c>
      <x:c r="F361" s="18" t="str">
        <x:v>西安</x:v>
      </x:c>
      <x:c r="G361" s="18" t="str">
        <x:v>陕西省</x:v>
      </x:c>
      <x:c r="H361" s="18" t="str">
        <x:v>西区</x:v>
      </x:c>
      <x:c r="I361" s="18" t="str">
        <x:v>Shopping Mall</x:v>
      </x:c>
      <x:c r="J361" s="18" t="str">
        <x:v>Regional Mall</x:v>
      </x:c>
      <x:c r="K361" s="18" t="str">
        <x:v>正常</x:v>
      </x:c>
      <x:c r="L361" s="62" t="n">
        <x:v>5</x:v>
      </x:c>
      <x:c r="M361" s="62" t="n">
        <x:v>45</x:v>
      </x:c>
      <x:c r="N361" s="63" t="n">
        <x:f>'Drivers'!C361</x:f>
        <x:v>1558</x:v>
      </x:c>
      <x:c r="O361" s="63" t="n">
        <x:f>'Drivers'!D361</x:f>
        <x:v>991.855</x:v>
      </x:c>
      <x:c r="P361" s="64" t="n">
        <x:f>ROUND(N361*O361/1000,3)</x:f>
        <x:v>1545.31</x:v>
      </x:c>
      <x:c r="Q361" s="64" t="n">
        <x:f>ROUND(P361*'Drivers'!E361,3)</x:f>
        <x:v>1488.223</x:v>
      </x:c>
      <x:c r="R361" s="64" t="n">
        <x:f>-ROUND(Q361*'Drivers'!F361,3)</x:f>
        <x:v>-301.977</x:v>
      </x:c>
      <x:c r="S361" s="65" t="n">
        <x:f>R361/Q361</x:f>
        <x:v>-0.2029111228626355</x:v>
      </x:c>
      <x:c r="T361" s="64" t="n">
        <x:f>-ROUND(Q361*'Drivers'!G361,3)</x:f>
        <x:v>-12.208</x:v>
      </x:c>
      <x:c r="U361" s="65" t="n">
        <x:f>T361/Q361</x:f>
        <x:v>-0.00820307171707466</x:v>
      </x:c>
      <x:c r="V361" s="64" t="n">
        <x:f>-ROUND(Q361*'Drivers'!H361,3)</x:f>
        <x:v>-16.138</x:v>
      </x:c>
      <x:c r="W361" s="64" t="n">
        <x:f>-ROUND(Q361*'Drivers'!I361,3)</x:f>
        <x:v>-11.673</x:v>
      </x:c>
      <x:c r="X361" s="64" t="n">
        <x:f>-ROUND(Q361*'Drivers'!J361,3)</x:f>
        <x:v>-26.105</x:v>
      </x:c>
      <x:c r="Y361" s="64" t="n">
        <x:f>-ROUND(Q361*'Drivers'!K361,3)</x:f>
        <x:v>-15.984</x:v>
      </x:c>
      <x:c r="Z361" s="64" t="n">
        <x:f>-ROUND(Q361*'Drivers'!L361,3)</x:f>
        <x:v>-12.954</x:v>
      </x:c>
      <x:c r="AA361" s="64" t="n">
        <x:f>-ROUND(Q361*'Drivers'!M361,3)</x:f>
        <x:v>-11.93</x:v>
      </x:c>
      <x:c r="AB361" s="64" t="n">
        <x:f>-ROUND(Q361*'Drivers'!N361,3)</x:f>
        <x:v>-13.369</x:v>
      </x:c>
      <x:c r="AC361" s="64" t="n">
        <x:f>SUM(V361:AB361)</x:f>
        <x:v>-108.15299999999999</x:v>
      </x:c>
      <x:c r="AD361" s="65" t="n">
        <x:f>AC361/Q361</x:f>
        <x:v>-0.07267257662326143</x:v>
      </x:c>
      <x:c r="AE361" s="64" t="n">
        <x:f>-ROUND(Q361*'Drivers'!O361,3)</x:f>
        <x:v>-23.533</x:v>
      </x:c>
      <x:c r="AF361" s="65" t="n">
        <x:f>AE361/Q361</x:f>
        <x:v>-0.015812818374665628</x:v>
      </x:c>
      <x:c r="AG361" s="64" t="n">
        <x:f>-ROUND(Q361*'Drivers'!P361,3)</x:f>
        <x:v>-2.552</x:v>
      </x:c>
      <x:c r="AH361" s="64" t="n">
        <x:f>-ROUND(Q361*'Drivers'!Q361,3)</x:f>
        <x:v>-1.981</x:v>
      </x:c>
      <x:c r="AI361" s="64" t="n">
        <x:f>SUM(R361,T361,AC361,AE361,AG361,AH361)</x:f>
        <x:v>-450.404</x:v>
      </x:c>
      <x:c r="AJ361" s="65" t="n">
        <x:f>AI361/Q361</x:f>
        <x:v>-0.30264550406760277</x:v>
      </x:c>
      <x:c r="AK361" s="64" t="n">
        <x:f>Q361+AI361</x:f>
        <x:v>1037.819</x:v>
      </x:c>
      <x:c r="AL361" s="65" t="n">
        <x:f>AK361/Q361</x:f>
        <x:v>0.6973544959323972</x:v>
      </x:c>
      <x:c r="AM361" s="64" t="n">
        <x:f>AK361/L361</x:f>
        <x:v>207.5638</x:v>
      </x:c>
      <x:c r="AN361" s="66" t="str">
        <x:f>IF(AM361&lt;=200,"≤200K",IF(AM361&lt;=350,"200–350K",IF(AM361&lt;=500,"350–500K",IF(AM361&lt;=700,"500–700K","&gt;700K"))))</x:f>
        <x:v>200–350K</x:v>
      </x:c>
      <x:c r="AO361" s="64" t="n">
        <x:f>-ROUND(Q361*'Drivers'!R361,3)</x:f>
        <x:v>-551.168</x:v>
      </x:c>
      <x:c r="AP361" s="64" t="n">
        <x:f>-ROUND(AK361*'Drivers'!S361,3)</x:f>
        <x:v>-15.092</x:v>
      </x:c>
      <x:c r="AQ361" s="64" t="n">
        <x:f>-ROUND(AK361*'Drivers'!T361,3)</x:f>
        <x:v>-7.11</x:v>
      </x:c>
      <x:c r="AR361" s="64" t="n">
        <x:f>-ROUND(AK361*'Drivers'!U361,3)</x:f>
        <x:v>-9.372</x:v>
      </x:c>
      <x:c r="AS361" s="64" t="n">
        <x:f>-ROUND(AK361*'Drivers'!V361,3)</x:f>
        <x:v>-33.13</x:v>
      </x:c>
      <x:c r="AT361" s="64" t="n">
        <x:f>SUM(AO361:AS361)</x:f>
        <x:v>-615.872</x:v>
      </x:c>
      <x:c r="AU361" s="65" t="n">
        <x:f>AT361/AK361</x:f>
        <x:v>-0.5934291046897388</x:v>
      </x:c>
      <x:c r="AV361" s="64" t="n">
        <x:f>AK361+AT361</x:f>
        <x:v>421.947</x:v>
      </x:c>
      <x:c r="AW361" s="65" t="n">
        <x:f>AV361/AK361</x:f>
        <x:v>0.40657089531026125</x:v>
      </x:c>
      <x:c r="AX361" s="64" t="n">
        <x:f>-ROUND(AK361*'Drivers'!W361,3)</x:f>
        <x:v>-14.431</x:v>
      </x:c>
      <x:c r="AY361" s="64" t="n">
        <x:f>-ROUND(AK361*'Drivers'!X361,3)</x:f>
        <x:v>-27.744</x:v>
      </x:c>
      <x:c r="AZ361" s="64" t="n">
        <x:f>-ROUND(AK361*'Drivers'!Y361,3)</x:f>
        <x:v>-19.54</x:v>
      </x:c>
      <x:c r="BA361" s="64" t="n">
        <x:f>-ROUND(AK361*'Drivers'!Z361,3)</x:f>
        <x:v>-5.22</x:v>
      </x:c>
      <x:c r="BB361" s="64" t="n">
        <x:f>-ROUND(AK361*'Drivers'!AA361,3)</x:f>
        <x:v>-9.218</x:v>
      </x:c>
      <x:c r="BC361" s="64" t="n">
        <x:f>SUM(BA361,BB361)</x:f>
        <x:v>-14.437999999999999</x:v>
      </x:c>
      <x:c r="BD361" s="64" t="n">
        <x:f>-ROUND(AK361*'Drivers'!AB361,3)</x:f>
        <x:v>-6.374</x:v>
      </x:c>
      <x:c r="BE361" s="64" t="n">
        <x:f>SUM(AX361:BB361,BD361)</x:f>
        <x:v>-82.527</x:v>
      </x:c>
      <x:c r="BF361" s="67" t="n">
        <x:f>'Drivers'!AF361</x:f>
        <x:v>9</x:v>
      </x:c>
      <x:c r="BG361" s="64" t="n">
        <x:f>BJ361</x:f>
        <x:v>-36.027</x:v>
      </x:c>
      <x:c r="BH361" s="64" t="n">
        <x:f>BE361/BF361</x:f>
        <x:v>-9.169666666666666</x:v>
      </x:c>
      <x:c r="BI361" s="68" t="n">
        <x:f>BF361/L361</x:f>
        <x:v>1.8</x:v>
      </x:c>
      <x:c r="BJ361" s="64" t="n">
        <x:f>-ROUND(AK361*'Drivers'!AC361,3)</x:f>
        <x:v>-36.027</x:v>
      </x:c>
      <x:c r="BK361" s="64" t="n">
        <x:f>-ROUND(AK361*'Drivers'!AD361,3)</x:f>
        <x:v>-110.792</x:v>
      </x:c>
      <x:c r="BL361" s="64" t="n">
        <x:f>SUM(AV361,BE361,BJ361,BK361)</x:f>
        <x:v>192.60100000000003</x:v>
      </x:c>
      <x:c r="BM361" s="65" t="n">
        <x:f>BL361/AK361</x:f>
        <x:v>0.18558245705657733</x:v>
      </x:c>
      <x:c r="BN361" s="64" t="n">
        <x:f>-ROUND(AK361*'Drivers'!AE361,3)</x:f>
        <x:v>-171.847</x:v>
      </x:c>
      <x:c r="BO361" s="64" t="n">
        <x:f>BL361+BN361</x:f>
        <x:v>20.75400000000002</x:v>
      </x:c>
      <x:c r="BP361" s="65" t="n">
        <x:f>BO361/AK361</x:f>
        <x:v>0.019997706729208097</x:v>
      </x:c>
    </x:row>
    <x:row r="362">
      <x:c r="A362" s="61" t="n">
        <x:v>2025</x:v>
      </x:c>
      <x:c r="B362" s="18" t="str">
        <x:v>S1</x:v>
      </x:c>
      <x:c r="C362" s="18" t="str">
        <x:v>2025 S1</x:v>
      </x:c>
      <x:c r="D362" s="18" t="str">
        <x:v>CNCT0091</x:v>
      </x:c>
      <x:c r="E362" s="18" t="str">
        <x:v>苏州中心商场</x:v>
      </x:c>
      <x:c r="F362" s="18" t="str">
        <x:v>苏州</x:v>
      </x:c>
      <x:c r="G362" s="18" t="str">
        <x:v>江苏省</x:v>
      </x:c>
      <x:c r="H362" s="18" t="str">
        <x:v>东区</x:v>
      </x:c>
      <x:c r="I362" s="18" t="str">
        <x:v>Shopping Mall</x:v>
      </x:c>
      <x:c r="J362" s="18" t="str">
        <x:v>Core Shopping Center</x:v>
      </x:c>
      <x:c r="K362" s="18" t="str">
        <x:v>正常</x:v>
      </x:c>
      <x:c r="L362" s="62" t="n">
        <x:v>4</x:v>
      </x:c>
      <x:c r="M362" s="62" t="n">
        <x:v>38</x:v>
      </x:c>
      <x:c r="N362" s="63" t="n">
        <x:f>'Drivers'!C362</x:f>
        <x:v>1812</x:v>
      </x:c>
      <x:c r="O362" s="63" t="n">
        <x:f>'Drivers'!D362</x:f>
        <x:v>1076.569</x:v>
      </x:c>
      <x:c r="P362" s="64" t="n">
        <x:f>ROUND(N362*O362/1000,3)</x:f>
        <x:v>1950.743</x:v>
      </x:c>
      <x:c r="Q362" s="64" t="n">
        <x:f>ROUND(P362*'Drivers'!E362,3)</x:f>
        <x:v>1902.825</x:v>
      </x:c>
      <x:c r="R362" s="64" t="n">
        <x:f>-ROUND(Q362*'Drivers'!F362,3)</x:f>
        <x:v>-353.607</x:v>
      </x:c>
      <x:c r="S362" s="65" t="n">
        <x:f>R362/Q362</x:f>
        <x:v>-0.18583264356942966</x:v>
      </x:c>
      <x:c r="T362" s="64" t="n">
        <x:f>-ROUND(Q362*'Drivers'!G362,3)</x:f>
        <x:v>-37.309</x:v>
      </x:c>
      <x:c r="U362" s="65" t="n">
        <x:f>T362/Q362</x:f>
        <x:v>-0.019607163033910104</x:v>
      </x:c>
      <x:c r="V362" s="64" t="n">
        <x:f>-ROUND(Q362*'Drivers'!H362,3)</x:f>
        <x:v>-16.37</x:v>
      </x:c>
      <x:c r="W362" s="64" t="n">
        <x:f>-ROUND(Q362*'Drivers'!I362,3)</x:f>
        <x:v>-16.379</x:v>
      </x:c>
      <x:c r="X362" s="64" t="n">
        <x:f>-ROUND(Q362*'Drivers'!J362,3)</x:f>
        <x:v>-22.961</x:v>
      </x:c>
      <x:c r="Y362" s="64" t="n">
        <x:f>-ROUND(Q362*'Drivers'!K362,3)</x:f>
        <x:v>-16.396</x:v>
      </x:c>
      <x:c r="Z362" s="64" t="n">
        <x:f>-ROUND(Q362*'Drivers'!L362,3)</x:f>
        <x:v>-18.809</x:v>
      </x:c>
      <x:c r="AA362" s="64" t="n">
        <x:f>-ROUND(Q362*'Drivers'!M362,3)</x:f>
        <x:v>-13.061</x:v>
      </x:c>
      <x:c r="AB362" s="64" t="n">
        <x:f>-ROUND(Q362*'Drivers'!N362,3)</x:f>
        <x:v>-17.03</x:v>
      </x:c>
      <x:c r="AC362" s="64" t="n">
        <x:f>SUM(V362:AB362)</x:f>
        <x:v>-121.006</x:v>
      </x:c>
      <x:c r="AD362" s="65" t="n">
        <x:f>AC362/Q362</x:f>
        <x:v>-0.06359281594471378</x:v>
      </x:c>
      <x:c r="AE362" s="64" t="n">
        <x:f>-ROUND(Q362*'Drivers'!O362,3)</x:f>
        <x:v>-23.423</x:v>
      </x:c>
      <x:c r="AF362" s="65" t="n">
        <x:f>AE362/Q362</x:f>
        <x:v>-0.01230959231668703</x:v>
      </x:c>
      <x:c r="AG362" s="64" t="n">
        <x:f>-ROUND(Q362*'Drivers'!P362,3)</x:f>
        <x:v>-0.769</x:v>
      </x:c>
      <x:c r="AH362" s="64" t="n">
        <x:f>-ROUND(Q362*'Drivers'!Q362,3)</x:f>
        <x:v>-7.668</x:v>
      </x:c>
      <x:c r="AI362" s="64" t="n">
        <x:f>SUM(R362,T362,AC362,AE362,AG362,AH362)</x:f>
        <x:v>-543.782</x:v>
      </x:c>
      <x:c r="AJ362" s="65" t="n">
        <x:f>AI362/Q362</x:f>
        <x:v>-0.2857761486211291</x:v>
      </x:c>
      <x:c r="AK362" s="64" t="n">
        <x:f>Q362+AI362</x:f>
        <x:v>1359.0430000000001</x:v>
      </x:c>
      <x:c r="AL362" s="65" t="n">
        <x:f>AK362/Q362</x:f>
        <x:v>0.7142238513788709</x:v>
      </x:c>
      <x:c r="AM362" s="64" t="n">
        <x:f>AK362/L362</x:f>
        <x:v>339.76075000000003</x:v>
      </x:c>
      <x:c r="AN362" s="66" t="str">
        <x:f>IF(AM362&lt;=200,"≤200K",IF(AM362&lt;=350,"200–350K",IF(AM362&lt;=500,"350–500K",IF(AM362&lt;=700,"500–700K","&gt;700K"))))</x:f>
        <x:v>200–350K</x:v>
      </x:c>
      <x:c r="AO362" s="64" t="n">
        <x:f>-ROUND(Q362*'Drivers'!R362,3)</x:f>
        <x:v>-721.363</x:v>
      </x:c>
      <x:c r="AP362" s="64" t="n">
        <x:f>-ROUND(AK362*'Drivers'!S362,3)</x:f>
        <x:v>-17.741</x:v>
      </x:c>
      <x:c r="AQ362" s="64" t="n">
        <x:f>-ROUND(AK362*'Drivers'!T362,3)</x:f>
        <x:v>-8.317</x:v>
      </x:c>
      <x:c r="AR362" s="64" t="n">
        <x:f>-ROUND(AK362*'Drivers'!U362,3)</x:f>
        <x:v>-8.7</x:v>
      </x:c>
      <x:c r="AS362" s="64" t="n">
        <x:f>-ROUND(AK362*'Drivers'!V362,3)</x:f>
        <x:v>-48.755</x:v>
      </x:c>
      <x:c r="AT362" s="64" t="n">
        <x:f>SUM(AO362:AS362)</x:f>
        <x:v>-804.8760000000001</x:v>
      </x:c>
      <x:c r="AU362" s="65" t="n">
        <x:f>AT362/AK362</x:f>
        <x:v>-0.5922373317106229</x:v>
      </x:c>
      <x:c r="AV362" s="64" t="n">
        <x:f>AK362+AT362</x:f>
        <x:v>554.167</x:v>
      </x:c>
      <x:c r="AW362" s="65" t="n">
        <x:f>AV362/AK362</x:f>
        <x:v>0.40776266828937713</x:v>
      </x:c>
      <x:c r="AX362" s="64" t="n">
        <x:f>-ROUND(AK362*'Drivers'!W362,3)</x:f>
        <x:v>-17.611</x:v>
      </x:c>
      <x:c r="AY362" s="64" t="n">
        <x:f>-ROUND(AK362*'Drivers'!X362,3)</x:f>
        <x:v>-24.633</x:v>
      </x:c>
      <x:c r="AZ362" s="64" t="n">
        <x:f>-ROUND(AK362*'Drivers'!Y362,3)</x:f>
        <x:v>-20.777</x:v>
      </x:c>
      <x:c r="BA362" s="64" t="n">
        <x:f>-ROUND(AK362*'Drivers'!Z362,3)</x:f>
        <x:v>-10.554</x:v>
      </x:c>
      <x:c r="BB362" s="64" t="n">
        <x:f>-ROUND(AK362*'Drivers'!AA362,3)</x:f>
        <x:v>-9.517</x:v>
      </x:c>
      <x:c r="BC362" s="64" t="n">
        <x:f>SUM(BA362,BB362)</x:f>
        <x:v>-20.070999999999998</x:v>
      </x:c>
      <x:c r="BD362" s="64" t="n">
        <x:f>-ROUND(AK362*'Drivers'!AB362,3)</x:f>
        <x:v>-6.983</x:v>
      </x:c>
      <x:c r="BE362" s="64" t="n">
        <x:f>SUM(AX362:BB362,BD362)</x:f>
        <x:v>-90.075</x:v>
      </x:c>
      <x:c r="BF362" s="67" t="n">
        <x:f>'Drivers'!AF362</x:f>
        <x:v>6</x:v>
      </x:c>
      <x:c r="BG362" s="64" t="n">
        <x:f>BJ362</x:f>
        <x:v>-27.233</x:v>
      </x:c>
      <x:c r="BH362" s="64" t="n">
        <x:f>BE362/BF362</x:f>
        <x:v>-15.012500000000001</x:v>
      </x:c>
      <x:c r="BI362" s="68" t="n">
        <x:f>BF362/L362</x:f>
        <x:v>1.5</x:v>
      </x:c>
      <x:c r="BJ362" s="64" t="n">
        <x:f>-ROUND(AK362*'Drivers'!AC362,3)</x:f>
        <x:v>-27.233</x:v>
      </x:c>
      <x:c r="BK362" s="64" t="n">
        <x:f>-ROUND(AK362*'Drivers'!AD362,3)</x:f>
        <x:v>-121.637</x:v>
      </x:c>
      <x:c r="BL362" s="64" t="n">
        <x:f>SUM(AV362,BE362,BJ362,BK362)</x:f>
        <x:v>315.22200000000004</x:v>
      </x:c>
      <x:c r="BM362" s="65" t="n">
        <x:f>BL362/AK362</x:f>
        <x:v>0.2319440959557571</x:v>
      </x:c>
      <x:c r="BN362" s="64" t="n">
        <x:f>-ROUND(AK362*'Drivers'!AE362,3)</x:f>
        <x:v>-108.241</x:v>
      </x:c>
      <x:c r="BO362" s="64" t="n">
        <x:f>BL362+BN362</x:f>
        <x:v>206.98100000000005</x:v>
      </x:c>
      <x:c r="BP362" s="65" t="n">
        <x:f>BO362/AK362</x:f>
        <x:v>0.15229908104452916</x:v>
      </x:c>
    </x:row>
    <x:row r="363">
      <x:c r="A363" s="61" t="n">
        <x:v>2025</x:v>
      </x:c>
      <x:c r="B363" s="18" t="str">
        <x:v>S2</x:v>
      </x:c>
      <x:c r="C363" s="18" t="str">
        <x:v>2025 S2</x:v>
      </x:c>
      <x:c r="D363" s="18" t="str">
        <x:v>CNCT0091</x:v>
      </x:c>
      <x:c r="E363" s="18" t="str">
        <x:v>苏州中心商场</x:v>
      </x:c>
      <x:c r="F363" s="18" t="str">
        <x:v>苏州</x:v>
      </x:c>
      <x:c r="G363" s="18" t="str">
        <x:v>江苏省</x:v>
      </x:c>
      <x:c r="H363" s="18" t="str">
        <x:v>东区</x:v>
      </x:c>
      <x:c r="I363" s="18" t="str">
        <x:v>Shopping Mall</x:v>
      </x:c>
      <x:c r="J363" s="18" t="str">
        <x:v>Core Shopping Center</x:v>
      </x:c>
      <x:c r="K363" s="18" t="str">
        <x:v>正常</x:v>
      </x:c>
      <x:c r="L363" s="62" t="n">
        <x:v>4</x:v>
      </x:c>
      <x:c r="M363" s="62" t="n">
        <x:v>38</x:v>
      </x:c>
      <x:c r="N363" s="63" t="n">
        <x:f>'Drivers'!C363</x:f>
        <x:v>1916</x:v>
      </x:c>
      <x:c r="O363" s="63" t="n">
        <x:f>'Drivers'!D363</x:f>
        <x:v>1089.488</x:v>
      </x:c>
      <x:c r="P363" s="64" t="n">
        <x:f>ROUND(N363*O363/1000,3)</x:f>
        <x:v>2087.459</x:v>
      </x:c>
      <x:c r="Q363" s="64" t="n">
        <x:f>ROUND(P363*'Drivers'!E363,3)</x:f>
        <x:v>2035.504</x:v>
      </x:c>
      <x:c r="R363" s="64" t="n">
        <x:f>-ROUND(Q363*'Drivers'!F363,3)</x:f>
        <x:v>-378.263</x:v>
      </x:c>
      <x:c r="S363" s="65" t="n">
        <x:f>R363/Q363</x:f>
        <x:v>-0.18583259969029783</x:v>
      </x:c>
      <x:c r="T363" s="64" t="n">
        <x:f>-ROUND(Q363*'Drivers'!G363,3)</x:f>
        <x:v>-39.911</x:v>
      </x:c>
      <x:c r="U363" s="65" t="n">
        <x:f>T363/Q363</x:f>
        <x:v>-0.019607428921780554</x:v>
      </x:c>
      <x:c r="V363" s="64" t="n">
        <x:f>-ROUND(Q363*'Drivers'!H363,3)</x:f>
        <x:v>-17.512</x:v>
      </x:c>
      <x:c r="W363" s="64" t="n">
        <x:f>-ROUND(Q363*'Drivers'!I363,3)</x:f>
        <x:v>-17.521</x:v>
      </x:c>
      <x:c r="X363" s="64" t="n">
        <x:f>-ROUND(Q363*'Drivers'!J363,3)</x:f>
        <x:v>-24.562</x:v>
      </x:c>
      <x:c r="Y363" s="64" t="n">
        <x:f>-ROUND(Q363*'Drivers'!K363,3)</x:f>
        <x:v>-17.539</x:v>
      </x:c>
      <x:c r="Z363" s="64" t="n">
        <x:f>-ROUND(Q363*'Drivers'!L363,3)</x:f>
        <x:v>-20.121</x:v>
      </x:c>
      <x:c r="AA363" s="64" t="n">
        <x:f>-ROUND(Q363*'Drivers'!M363,3)</x:f>
        <x:v>-13.972</x:v>
      </x:c>
      <x:c r="AB363" s="64" t="n">
        <x:f>-ROUND(Q363*'Drivers'!N363,3)</x:f>
        <x:v>-18.217</x:v>
      </x:c>
      <x:c r="AC363" s="64" t="n">
        <x:f>SUM(V363:AB363)</x:f>
        <x:v>-129.444</x:v>
      </x:c>
      <x:c r="AD363" s="65" t="n">
        <x:f>AC363/Q363</x:f>
        <x:v>-0.06359309537097446</x:v>
      </x:c>
      <x:c r="AE363" s="64" t="n">
        <x:f>-ROUND(Q363*'Drivers'!O363,3)</x:f>
        <x:v>-25.056</x:v>
      </x:c>
      <x:c r="AF363" s="65" t="n">
        <x:f>AE363/Q363</x:f>
        <x:v>-0.012309482074218475</x:v>
      </x:c>
      <x:c r="AG363" s="64" t="n">
        <x:f>-ROUND(Q363*'Drivers'!P363,3)</x:f>
        <x:v>-0.823</x:v>
      </x:c>
      <x:c r="AH363" s="64" t="n">
        <x:f>-ROUND(Q363*'Drivers'!Q363,3)</x:f>
        <x:v>-8.202</x:v>
      </x:c>
      <x:c r="AI363" s="64" t="n">
        <x:f>SUM(R363,T363,AC363,AE363,AG363,AH363)</x:f>
        <x:v>-581.699</x:v>
      </x:c>
      <x:c r="AJ363" s="65" t="n">
        <x:f>AI363/Q363</x:f>
        <x:v>-0.2857763973934711</x:v>
      </x:c>
      <x:c r="AK363" s="64" t="n">
        <x:f>Q363+AI363</x:f>
        <x:v>1453.8049999999998</x:v>
      </x:c>
      <x:c r="AL363" s="65" t="n">
        <x:f>AK363/Q363</x:f>
        <x:v>0.7142236026065288</x:v>
      </x:c>
      <x:c r="AM363" s="64" t="n">
        <x:f>AK363/L363</x:f>
        <x:v>363.45124999999996</x:v>
      </x:c>
      <x:c r="AN363" s="66" t="str">
        <x:f>IF(AM363&lt;=200,"≤200K",IF(AM363&lt;=350,"200–350K",IF(AM363&lt;=500,"350–500K",IF(AM363&lt;=700,"500–700K","&gt;700K"))))</x:f>
        <x:v>350–500K</x:v>
      </x:c>
      <x:c r="AO363" s="64" t="n">
        <x:f>-ROUND(Q363*'Drivers'!R363,3)</x:f>
        <x:v>-751.155</x:v>
      </x:c>
      <x:c r="AP363" s="64" t="n">
        <x:f>-ROUND(AK363*'Drivers'!S363,3)</x:f>
        <x:v>-18.978</x:v>
      </x:c>
      <x:c r="AQ363" s="64" t="n">
        <x:f>-ROUND(AK363*'Drivers'!T363,3)</x:f>
        <x:v>-8.897</x:v>
      </x:c>
      <x:c r="AR363" s="64" t="n">
        <x:f>-ROUND(AK363*'Drivers'!U363,3)</x:f>
        <x:v>-9.307</x:v>
      </x:c>
      <x:c r="AS363" s="64" t="n">
        <x:f>-ROUND(AK363*'Drivers'!V363,3)</x:f>
        <x:v>-52.154</x:v>
      </x:c>
      <x:c r="AT363" s="64" t="n">
        <x:f>SUM(AO363:AS363)</x:f>
        <x:v>-840.491</x:v>
      </x:c>
      <x:c r="AU363" s="65" t="n">
        <x:f>AT363/AK363</x:f>
        <x:v>-0.5781318677539286</x:v>
      </x:c>
      <x:c r="AV363" s="64" t="n">
        <x:f>AK363+AT363</x:f>
        <x:v>613.3139999999999</x:v>
      </x:c>
      <x:c r="AW363" s="65" t="n">
        <x:f>AV363/AK363</x:f>
        <x:v>0.42186813224607145</x:v>
      </x:c>
      <x:c r="AX363" s="64" t="n">
        <x:f>-ROUND(AK363*'Drivers'!W363,3)</x:f>
        <x:v>-18.839</x:v>
      </x:c>
      <x:c r="AY363" s="64" t="n">
        <x:f>-ROUND(AK363*'Drivers'!X363,3)</x:f>
        <x:v>-26.35</x:v>
      </x:c>
      <x:c r="AZ363" s="64" t="n">
        <x:f>-ROUND(AK363*'Drivers'!Y363,3)</x:f>
        <x:v>-22.225</x:v>
      </x:c>
      <x:c r="BA363" s="64" t="n">
        <x:f>-ROUND(AK363*'Drivers'!Z363,3)</x:f>
        <x:v>-11.29</x:v>
      </x:c>
      <x:c r="BB363" s="64" t="n">
        <x:f>-ROUND(AK363*'Drivers'!AA363,3)</x:f>
        <x:v>-10.181</x:v>
      </x:c>
      <x:c r="BC363" s="64" t="n">
        <x:f>SUM(BA363,BB363)</x:f>
        <x:v>-21.470999999999997</x:v>
      </x:c>
      <x:c r="BD363" s="64" t="n">
        <x:f>-ROUND(AK363*'Drivers'!AB363,3)</x:f>
        <x:v>-7.47</x:v>
      </x:c>
      <x:c r="BE363" s="64" t="n">
        <x:f>SUM(AX363:BB363,BD363)</x:f>
        <x:v>-96.355</x:v>
      </x:c>
      <x:c r="BF363" s="67" t="n">
        <x:f>'Drivers'!AF363</x:f>
        <x:v>6</x:v>
      </x:c>
      <x:c r="BG363" s="64" t="n">
        <x:f>BJ363</x:f>
        <x:v>-29.131</x:v>
      </x:c>
      <x:c r="BH363" s="64" t="n">
        <x:f>BE363/BF363</x:f>
        <x:v>-16.059166666666666</x:v>
      </x:c>
      <x:c r="BI363" s="68" t="n">
        <x:f>BF363/L363</x:f>
        <x:v>1.5</x:v>
      </x:c>
      <x:c r="BJ363" s="64" t="n">
        <x:f>-ROUND(AK363*'Drivers'!AC363,3)</x:f>
        <x:v>-29.131</x:v>
      </x:c>
      <x:c r="BK363" s="64" t="n">
        <x:f>-ROUND(AK363*'Drivers'!AD363,3)</x:f>
        <x:v>-130.119</x:v>
      </x:c>
      <x:c r="BL363" s="64" t="n">
        <x:f>SUM(AV363,BE363,BJ363,BK363)</x:f>
        <x:v>357.70899999999983</x:v>
      </x:c>
      <x:c r="BM363" s="65" t="n">
        <x:f>BL363/AK363</x:f>
        <x:v>0.2460501924260818</x:v>
      </x:c>
      <x:c r="BN363" s="64" t="n">
        <x:f>-ROUND(AK363*'Drivers'!AE363,3)</x:f>
        <x:v>-115.788</x:v>
      </x:c>
      <x:c r="BO363" s="64" t="n">
        <x:f>BL363+BN363</x:f>
        <x:v>241.92099999999982</x:v>
      </x:c>
      <x:c r="BP363" s="65" t="n">
        <x:f>BO363/AK363</x:f>
        <x:v>0.16640539824804554</x:v>
      </x:c>
    </x:row>
    <x:row r="364">
      <x:c r="A364" s="61" t="n">
        <x:v>2026</x:v>
      </x:c>
      <x:c r="B364" s="18" t="str">
        <x:v>S1</x:v>
      </x:c>
      <x:c r="C364" s="18" t="str">
        <x:v>2026 S1</x:v>
      </x:c>
      <x:c r="D364" s="18" t="str">
        <x:v>CNCT0091</x:v>
      </x:c>
      <x:c r="E364" s="18" t="str">
        <x:v>苏州中心商场</x:v>
      </x:c>
      <x:c r="F364" s="18" t="str">
        <x:v>苏州</x:v>
      </x:c>
      <x:c r="G364" s="18" t="str">
        <x:v>江苏省</x:v>
      </x:c>
      <x:c r="H364" s="18" t="str">
        <x:v>东区</x:v>
      </x:c>
      <x:c r="I364" s="18" t="str">
        <x:v>Shopping Mall</x:v>
      </x:c>
      <x:c r="J364" s="18" t="str">
        <x:v>Core Shopping Center</x:v>
      </x:c>
      <x:c r="K364" s="18" t="str">
        <x:v>正常</x:v>
      </x:c>
      <x:c r="L364" s="62" t="n">
        <x:v>4</x:v>
      </x:c>
      <x:c r="M364" s="62" t="n">
        <x:v>38</x:v>
      </x:c>
      <x:c r="N364" s="63" t="n">
        <x:f>'Drivers'!C364</x:f>
        <x:v>1937</x:v>
      </x:c>
      <x:c r="O364" s="63" t="n">
        <x:f>'Drivers'!D364</x:f>
        <x:v>1118.564</x:v>
      </x:c>
      <x:c r="P364" s="64" t="n">
        <x:f>ROUND(N364*O364/1000,3)</x:f>
        <x:v>2166.658</x:v>
      </x:c>
      <x:c r="Q364" s="64" t="n">
        <x:f>ROUND(P364*'Drivers'!E364,3)</x:f>
        <x:v>2118.598</x:v>
      </x:c>
      <x:c r="R364" s="64" t="n">
        <x:f>-ROUND(Q364*'Drivers'!F364,3)</x:f>
        <x:v>-488.731</x:v>
      </x:c>
      <x:c r="S364" s="65" t="n">
        <x:f>R364/Q364</x:f>
        <x:v>-0.23068604803742854</x:v>
      </x:c>
      <x:c r="T364" s="64" t="n">
        <x:f>-ROUND(Q364*'Drivers'!G364,3)</x:f>
        <x:v>-40.94</x:v>
      </x:c>
      <x:c r="U364" s="65" t="n">
        <x:f>T364/Q364</x:f>
        <x:v>-0.019324100183234383</x:v>
      </x:c>
      <x:c r="V364" s="64" t="n">
        <x:f>-ROUND(Q364*'Drivers'!H364,3)</x:f>
        <x:v>-18.227</x:v>
      </x:c>
      <x:c r="W364" s="64" t="n">
        <x:f>-ROUND(Q364*'Drivers'!I364,3)</x:f>
        <x:v>-18.236</x:v>
      </x:c>
      <x:c r="X364" s="64" t="n">
        <x:f>-ROUND(Q364*'Drivers'!J364,3)</x:f>
        <x:v>-25.565</x:v>
      </x:c>
      <x:c r="Y364" s="64" t="n">
        <x:f>-ROUND(Q364*'Drivers'!K364,3)</x:f>
        <x:v>-18.255</x:v>
      </x:c>
      <x:c r="Z364" s="64" t="n">
        <x:f>-ROUND(Q364*'Drivers'!L364,3)</x:f>
        <x:v>-20.942</x:v>
      </x:c>
      <x:c r="AA364" s="64" t="n">
        <x:f>-ROUND(Q364*'Drivers'!M364,3)</x:f>
        <x:v>-14.543</x:v>
      </x:c>
      <x:c r="AB364" s="64" t="n">
        <x:f>-ROUND(Q364*'Drivers'!N364,3)</x:f>
        <x:v>-18.961</x:v>
      </x:c>
      <x:c r="AC364" s="64" t="n">
        <x:f>SUM(V364:AB364)</x:f>
        <x:v>-134.72899999999998</x:v>
      </x:c>
      <x:c r="AD364" s="65" t="n">
        <x:f>AC364/Q364</x:f>
        <x:v>-0.06359347077642856</x:v>
      </x:c>
      <x:c r="AE364" s="64" t="n">
        <x:f>-ROUND(Q364*'Drivers'!O364,3)</x:f>
        <x:v>-26.041</x:v>
      </x:c>
      <x:c r="AF364" s="65" t="n">
        <x:f>AE364/Q364</x:f>
        <x:v>-0.012291619268969385</x:v>
      </x:c>
      <x:c r="AG364" s="64" t="n">
        <x:f>-ROUND(Q364*'Drivers'!P364,3)</x:f>
        <x:v>-0.857</x:v>
      </x:c>
      <x:c r="AH364" s="64" t="n">
        <x:f>-ROUND(Q364*'Drivers'!Q364,3)</x:f>
        <x:v>-8.537</x:v>
      </x:c>
      <x:c r="AI364" s="64" t="n">
        <x:f>SUM(R364,T364,AC364,AE364,AG364,AH364)</x:f>
        <x:v>-699.8350000000002</x:v>
      </x:c>
      <x:c r="AJ364" s="65" t="n">
        <x:f>AI364/Q364</x:f>
        <x:v>-0.33032930268035754</x:v>
      </x:c>
      <x:c r="AK364" s="64" t="n">
        <x:f>Q364+AI364</x:f>
        <x:v>1418.763</x:v>
      </x:c>
      <x:c r="AL364" s="65" t="n">
        <x:f>AK364/Q364</x:f>
        <x:v>0.6696706973196425</x:v>
      </x:c>
      <x:c r="AM364" s="64" t="n">
        <x:f>AK364/L364</x:f>
        <x:v>354.69075</x:v>
      </x:c>
      <x:c r="AN364" s="66" t="str">
        <x:f>IF(AM364&lt;=200,"≤200K",IF(AM364&lt;=350,"200–350K",IF(AM364&lt;=500,"350–500K",IF(AM364&lt;=700,"500–700K","&gt;700K"))))</x:f>
        <x:v>350–500K</x:v>
      </x:c>
      <x:c r="AO364" s="64" t="n">
        <x:f>-ROUND(Q364*'Drivers'!R364,3)</x:f>
        <x:v>-802.683</x:v>
      </x:c>
      <x:c r="AP364" s="64" t="n">
        <x:f>-ROUND(AK364*'Drivers'!S364,3)</x:f>
        <x:v>-18.521</x:v>
      </x:c>
      <x:c r="AQ364" s="64" t="n">
        <x:f>-ROUND(AK364*'Drivers'!T364,3)</x:f>
        <x:v>-8.682</x:v>
      </x:c>
      <x:c r="AR364" s="64" t="n">
        <x:f>-ROUND(AK364*'Drivers'!U364,3)</x:f>
        <x:v>-9.082</x:v>
      </x:c>
      <x:c r="AS364" s="64" t="n">
        <x:f>-ROUND(AK364*'Drivers'!V364,3)</x:f>
        <x:v>-50.897</x:v>
      </x:c>
      <x:c r="AT364" s="64" t="n">
        <x:f>SUM(AO364:AS364)</x:f>
        <x:v>-889.865</x:v>
      </x:c>
      <x:c r="AU364" s="65" t="n">
        <x:f>AT364/AK364</x:f>
        <x:v>-0.627211874005736</x:v>
      </x:c>
      <x:c r="AV364" s="64" t="n">
        <x:f>AK364+AT364</x:f>
        <x:v>528.8979999999999</x:v>
      </x:c>
      <x:c r="AW364" s="65" t="n">
        <x:f>AV364/AK364</x:f>
        <x:v>0.372788125994264</x:v>
      </x:c>
      <x:c r="AX364" s="64" t="n">
        <x:f>-ROUND(AK364*'Drivers'!W364,3)</x:f>
        <x:v>-22.622</x:v>
      </x:c>
      <x:c r="AY364" s="64" t="n">
        <x:f>-ROUND(AK364*'Drivers'!X364,3)</x:f>
        <x:v>-31.641</x:v>
      </x:c>
      <x:c r="AZ364" s="64" t="n">
        <x:f>-ROUND(AK364*'Drivers'!Y364,3)</x:f>
        <x:v>-26.688</x:v>
      </x:c>
      <x:c r="BA364" s="64" t="n">
        <x:f>-ROUND(AK364*'Drivers'!Z364,3)</x:f>
        <x:v>-13.557</x:v>
      </x:c>
      <x:c r="BB364" s="64" t="n">
        <x:f>-ROUND(AK364*'Drivers'!AA364,3)</x:f>
        <x:v>-12.225</x:v>
      </x:c>
      <x:c r="BC364" s="64" t="n">
        <x:f>SUM(BA364,BB364)</x:f>
        <x:v>-25.782</x:v>
      </x:c>
      <x:c r="BD364" s="64" t="n">
        <x:f>-ROUND(AK364*'Drivers'!AB364,3)</x:f>
        <x:v>-8.97</x:v>
      </x:c>
      <x:c r="BE364" s="64" t="n">
        <x:f>SUM(AX364:BB364,BD364)</x:f>
        <x:v>-115.70299999999999</x:v>
      </x:c>
      <x:c r="BF364" s="67" t="n">
        <x:f>'Drivers'!AF364</x:f>
        <x:v>6</x:v>
      </x:c>
      <x:c r="BG364" s="64" t="n">
        <x:f>BJ364</x:f>
        <x:v>-34.981</x:v>
      </x:c>
      <x:c r="BH364" s="64" t="n">
        <x:f>BE364/BF364</x:f>
        <x:v>-19.28383333333333</x:v>
      </x:c>
      <x:c r="BI364" s="68" t="n">
        <x:f>BF364/L364</x:f>
        <x:v>1.5</x:v>
      </x:c>
      <x:c r="BJ364" s="64" t="n">
        <x:f>-ROUND(AK364*'Drivers'!AC364,3)</x:f>
        <x:v>-34.981</x:v>
      </x:c>
      <x:c r="BK364" s="64" t="n">
        <x:f>-ROUND(AK364*'Drivers'!AD364,3)</x:f>
        <x:v>-126.982</x:v>
      </x:c>
      <x:c r="BL364" s="64" t="n">
        <x:f>SUM(AV364,BE364,BJ364,BK364)</x:f>
        <x:v>251.23199999999994</x:v>
      </x:c>
      <x:c r="BM364" s="65" t="n">
        <x:f>BL364/AK364</x:f>
        <x:v>0.1770782012217685</x:v>
      </x:c>
      <x:c r="BN364" s="64" t="n">
        <x:f>-ROUND(AK364*'Drivers'!AE364,3)</x:f>
        <x:v>-112.997</x:v>
      </x:c>
      <x:c r="BO364" s="64" t="n">
        <x:f>BL364+BN364</x:f>
        <x:v>138.23499999999996</x:v>
      </x:c>
      <x:c r="BP364" s="65" t="n">
        <x:f>BO364/AK364</x:f>
        <x:v>0.09743346845103795</x:v>
      </x:c>
    </x:row>
    <x:row r="365">
      <x:c r="A365" s="61" t="n">
        <x:v>2026</x:v>
      </x:c>
      <x:c r="B365" s="18" t="str">
        <x:v>S2</x:v>
      </x:c>
      <x:c r="C365" s="18" t="str">
        <x:v>2026 S2</x:v>
      </x:c>
      <x:c r="D365" s="18" t="str">
        <x:v>CNCT0091</x:v>
      </x:c>
      <x:c r="E365" s="18" t="str">
        <x:v>苏州中心商场</x:v>
      </x:c>
      <x:c r="F365" s="18" t="str">
        <x:v>苏州</x:v>
      </x:c>
      <x:c r="G365" s="18" t="str">
        <x:v>江苏省</x:v>
      </x:c>
      <x:c r="H365" s="18" t="str">
        <x:v>东区</x:v>
      </x:c>
      <x:c r="I365" s="18" t="str">
        <x:v>Shopping Mall</x:v>
      </x:c>
      <x:c r="J365" s="18" t="str">
        <x:v>Core Shopping Center</x:v>
      </x:c>
      <x:c r="K365" s="18" t="str">
        <x:v>正常</x:v>
      </x:c>
      <x:c r="L365" s="62" t="n">
        <x:v>4</x:v>
      </x:c>
      <x:c r="M365" s="62" t="n">
        <x:v>38</x:v>
      </x:c>
      <x:c r="N365" s="63" t="n">
        <x:f>'Drivers'!C365</x:f>
        <x:v>1971</x:v>
      </x:c>
      <x:c r="O365" s="63" t="n">
        <x:f>'Drivers'!D365</x:f>
        <x:v>1134.464</x:v>
      </x:c>
      <x:c r="P365" s="64" t="n">
        <x:f>ROUND(N365*O365/1000,3)</x:f>
        <x:v>2236.029</x:v>
      </x:c>
      <x:c r="Q365" s="64" t="n">
        <x:f>ROUND(P365*'Drivers'!E365,3)</x:f>
        <x:v>2180.376</x:v>
      </x:c>
      <x:c r="R365" s="64" t="n">
        <x:f>-ROUND(Q365*'Drivers'!F365,3)</x:f>
        <x:v>-482.909</x:v>
      </x:c>
      <x:c r="S365" s="65" t="n">
        <x:f>R365/Q365</x:f>
        <x:v>-0.22147968974158583</x:v>
      </x:c>
      <x:c r="T365" s="64" t="n">
        <x:f>-ROUND(Q365*'Drivers'!G365,3)</x:f>
        <x:v>-44.181</x:v>
      </x:c>
      <x:c r="U365" s="65" t="n">
        <x:f>T365/Q365</x:f>
        <x:v>-0.020263018855463458</x:v>
      </x:c>
      <x:c r="V365" s="64" t="n">
        <x:f>-ROUND(Q365*'Drivers'!H365,3)</x:f>
        <x:v>-18.758</x:v>
      </x:c>
      <x:c r="W365" s="64" t="n">
        <x:f>-ROUND(Q365*'Drivers'!I365,3)</x:f>
        <x:v>-18.768</x:v>
      </x:c>
      <x:c r="X365" s="64" t="n">
        <x:f>-ROUND(Q365*'Drivers'!J365,3)</x:f>
        <x:v>-26.31</x:v>
      </x:c>
      <x:c r="Y365" s="64" t="n">
        <x:f>-ROUND(Q365*'Drivers'!K365,3)</x:f>
        <x:v>-18.787</x:v>
      </x:c>
      <x:c r="Z365" s="64" t="n">
        <x:f>-ROUND(Q365*'Drivers'!L365,3)</x:f>
        <x:v>-21.553</x:v>
      </x:c>
      <x:c r="AA365" s="64" t="n">
        <x:f>-ROUND(Q365*'Drivers'!M365,3)</x:f>
        <x:v>-14.967</x:v>
      </x:c>
      <x:c r="AB365" s="64" t="n">
        <x:f>-ROUND(Q365*'Drivers'!N365,3)</x:f>
        <x:v>-19.514</x:v>
      </x:c>
      <x:c r="AC365" s="64" t="n">
        <x:f>SUM(V365:AB365)</x:f>
        <x:v>-138.65699999999998</x:v>
      </x:c>
      <x:c r="AD365" s="65" t="n">
        <x:f>AC365/Q365</x:f>
        <x:v>-0.06359316007881208</x:v>
      </x:c>
      <x:c r="AE365" s="64" t="n">
        <x:f>-ROUND(Q365*'Drivers'!O365,3)</x:f>
        <x:v>-26.84</x:v>
      </x:c>
      <x:c r="AF365" s="65" t="n">
        <x:f>AE365/Q365</x:f>
        <x:v>-0.012309803446744963</x:v>
      </x:c>
      <x:c r="AG365" s="64" t="n">
        <x:f>-ROUND(Q365*'Drivers'!P365,3)</x:f>
        <x:v>-0.882</x:v>
      </x:c>
      <x:c r="AH365" s="64" t="n">
        <x:f>-ROUND(Q365*'Drivers'!Q365,3)</x:f>
        <x:v>-8.786</x:v>
      </x:c>
      <x:c r="AI365" s="64" t="n">
        <x:f>SUM(R365,T365,AC365,AE365,AG365,AH365)</x:f>
        <x:v>-702.255</x:v>
      </x:c>
      <x:c r="AJ365" s="65" t="n">
        <x:f>AI365/Q365</x:f>
        <x:v>-0.32207976972779</x:v>
      </x:c>
      <x:c r="AK365" s="64" t="n">
        <x:f>Q365+AI365</x:f>
        <x:v>1478.121</x:v>
      </x:c>
      <x:c r="AL365" s="65" t="n">
        <x:f>AK365/Q365</x:f>
        <x:v>0.6779202302722099</x:v>
      </x:c>
      <x:c r="AM365" s="64" t="n">
        <x:f>AK365/L365</x:f>
        <x:v>369.53025</x:v>
      </x:c>
      <x:c r="AN365" s="66" t="str">
        <x:f>IF(AM365&lt;=200,"≤200K",IF(AM365&lt;=350,"200–350K",IF(AM365&lt;=500,"350–500K",IF(AM365&lt;=700,"500–700K","&gt;700K"))))</x:f>
        <x:v>350–500K</x:v>
      </x:c>
      <x:c r="AO365" s="64" t="n">
        <x:f>-ROUND(Q365*'Drivers'!R365,3)</x:f>
        <x:v>-804.616</x:v>
      </x:c>
      <x:c r="AP365" s="64" t="n">
        <x:f>-ROUND(AK365*'Drivers'!S365,3)</x:f>
        <x:v>-19.296</x:v>
      </x:c>
      <x:c r="AQ365" s="64" t="n">
        <x:f>-ROUND(AK365*'Drivers'!T365,3)</x:f>
        <x:v>-9.045</x:v>
      </x:c>
      <x:c r="AR365" s="64" t="n">
        <x:f>-ROUND(AK365*'Drivers'!U365,3)</x:f>
        <x:v>-9.462</x:v>
      </x:c>
      <x:c r="AS365" s="64" t="n">
        <x:f>-ROUND(AK365*'Drivers'!V365,3)</x:f>
        <x:v>-53.027</x:v>
      </x:c>
      <x:c r="AT365" s="64" t="n">
        <x:f>SUM(AO365:AS365)</x:f>
        <x:v>-895.446</x:v>
      </x:c>
      <x:c r="AU365" s="65" t="n">
        <x:f>AT365/AK365</x:f>
        <x:v>-0.6058002017426178</x:v>
      </x:c>
      <x:c r="AV365" s="64" t="n">
        <x:f>AK365+AT365</x:f>
        <x:v>582.6750000000001</x:v>
      </x:c>
      <x:c r="AW365" s="65" t="n">
        <x:f>AV365/AK365</x:f>
        <x:v>0.3941997982573822</x:v>
      </x:c>
      <x:c r="AX365" s="64" t="n">
        <x:f>-ROUND(AK365*'Drivers'!W365,3)</x:f>
        <x:v>-20.304</x:v>
      </x:c>
      <x:c r="AY365" s="64" t="n">
        <x:f>-ROUND(AK365*'Drivers'!X365,3)</x:f>
        <x:v>-28.399</x:v>
      </x:c>
      <x:c r="AZ365" s="64" t="n">
        <x:f>-ROUND(AK365*'Drivers'!Y365,3)</x:f>
        <x:v>-23.953</x:v>
      </x:c>
      <x:c r="BA365" s="64" t="n">
        <x:f>-ROUND(AK365*'Drivers'!Z365,3)</x:f>
        <x:v>-12.168</x:v>
      </x:c>
      <x:c r="BB365" s="64" t="n">
        <x:f>-ROUND(AK365*'Drivers'!AA365,3)</x:f>
        <x:v>-10.972</x:v>
      </x:c>
      <x:c r="BC365" s="64" t="n">
        <x:f>SUM(BA365,BB365)</x:f>
        <x:v>-23.14</x:v>
      </x:c>
      <x:c r="BD365" s="64" t="n">
        <x:f>-ROUND(AK365*'Drivers'!AB365,3)</x:f>
        <x:v>-8.051</x:v>
      </x:c>
      <x:c r="BE365" s="64" t="n">
        <x:f>SUM(AX365:BB365,BD365)</x:f>
        <x:v>-103.84700000000001</x:v>
      </x:c>
      <x:c r="BF365" s="67" t="n">
        <x:f>'Drivers'!AF365</x:f>
        <x:v>6</x:v>
      </x:c>
      <x:c r="BG365" s="64" t="n">
        <x:f>BJ365</x:f>
        <x:v>-31.396</x:v>
      </x:c>
      <x:c r="BH365" s="64" t="n">
        <x:f>BE365/BF365</x:f>
        <x:v>-17.307833333333335</x:v>
      </x:c>
      <x:c r="BI365" s="68" t="n">
        <x:f>BF365/L365</x:f>
        <x:v>1.5</x:v>
      </x:c>
      <x:c r="BJ365" s="64" t="n">
        <x:f>-ROUND(AK365*'Drivers'!AC365,3)</x:f>
        <x:v>-31.396</x:v>
      </x:c>
      <x:c r="BK365" s="64" t="n">
        <x:f>-ROUND(AK365*'Drivers'!AD365,3)</x:f>
        <x:v>-132.295</x:v>
      </x:c>
      <x:c r="BL365" s="64" t="n">
        <x:f>SUM(AV365,BE365,BJ365,BK365)</x:f>
        <x:v>315.13700000000006</x:v>
      </x:c>
      <x:c r="BM365" s="65" t="n">
        <x:f>BL365/AK365</x:f>
        <x:v>0.21320108434965745</x:v>
      </x:c>
      <x:c r="BN365" s="64" t="n">
        <x:f>-ROUND(AK365*'Drivers'!AE365,3)</x:f>
        <x:v>-117.725</x:v>
      </x:c>
      <x:c r="BO365" s="64" t="n">
        <x:f>BL365+BN365</x:f>
        <x:v>197.41200000000006</x:v>
      </x:c>
      <x:c r="BP365" s="65" t="n">
        <x:f>BO365/AK365</x:f>
        <x:v>0.1335560485237677</x:v>
      </x:c>
    </x:row>
    <x:row r="366">
      <x:c r="A366" s="61" t="n">
        <x:v>2025</x:v>
      </x:c>
      <x:c r="B366" s="18" t="str">
        <x:v>S1</x:v>
      </x:c>
      <x:c r="C366" s="18" t="str">
        <x:v>2025 S1</x:v>
      </x:c>
      <x:c r="D366" s="18" t="str">
        <x:v>CNCT0092</x:v>
      </x:c>
      <x:c r="E366" s="18" t="str">
        <x:v>苏州久光百货</x:v>
      </x:c>
      <x:c r="F366" s="18" t="str">
        <x:v>苏州</x:v>
      </x:c>
      <x:c r="G366" s="18" t="str">
        <x:v>江苏省</x:v>
      </x:c>
      <x:c r="H366" s="18" t="str">
        <x:v>东区</x:v>
      </x:c>
      <x:c r="I366" s="18" t="str">
        <x:v>Department Store</x:v>
      </x:c>
      <x:c r="J366" s="18" t="str">
        <x:v>Luxury Department Store</x:v>
      </x:c>
      <x:c r="K366" s="18" t="str">
        <x:v>正常</x:v>
      </x:c>
      <x:c r="L366" s="62" t="n">
        <x:v>5</x:v>
      </x:c>
      <x:c r="M366" s="62" t="n">
        <x:v>38</x:v>
      </x:c>
      <x:c r="N366" s="63" t="n">
        <x:f>'Drivers'!C366</x:f>
        <x:v>2312</x:v>
      </x:c>
      <x:c r="O366" s="63" t="n">
        <x:f>'Drivers'!D366</x:f>
        <x:v>1365.46</x:v>
      </x:c>
      <x:c r="P366" s="64" t="n">
        <x:f>ROUND(N366*O366/1000,3)</x:f>
        <x:v>3156.944</x:v>
      </x:c>
      <x:c r="Q366" s="64" t="n">
        <x:f>ROUND(P366*'Drivers'!E366,3)</x:f>
        <x:v>3096.668</x:v>
      </x:c>
      <x:c r="R366" s="64" t="n">
        <x:f>-ROUND(Q366*'Drivers'!F366,3)</x:f>
        <x:v>-651.202</x:v>
      </x:c>
      <x:c r="S366" s="65" t="n">
        <x:f>R366/Q366</x:f>
        <x:v>-0.21029119040207087</x:v>
      </x:c>
      <x:c r="T366" s="64" t="n">
        <x:f>-ROUND(Q366*'Drivers'!G366,3)</x:f>
        <x:v>-40.987</x:v>
      </x:c>
      <x:c r="U366" s="65" t="n">
        <x:f>T366/Q366</x:f>
        <x:v>-0.013235839295655846</x:v>
      </x:c>
      <x:c r="V366" s="64" t="n">
        <x:f>-ROUND(Q366*'Drivers'!H366,3)</x:f>
        <x:v>-25.05</x:v>
      </x:c>
      <x:c r="W366" s="64" t="n">
        <x:f>-ROUND(Q366*'Drivers'!I366,3)</x:f>
        <x:v>-30.477</x:v>
      </x:c>
      <x:c r="X366" s="64" t="n">
        <x:f>-ROUND(Q366*'Drivers'!J366,3)</x:f>
        <x:v>-32.206</x:v>
      </x:c>
      <x:c r="Y366" s="64" t="n">
        <x:f>-ROUND(Q366*'Drivers'!K366,3)</x:f>
        <x:v>-26.237</x:v>
      </x:c>
      <x:c r="Z366" s="64" t="n">
        <x:f>-ROUND(Q366*'Drivers'!L366,3)</x:f>
        <x:v>-32.964</x:v>
      </x:c>
      <x:c r="AA366" s="64" t="n">
        <x:f>-ROUND(Q366*'Drivers'!M366,3)</x:f>
        <x:v>-19.253</x:v>
      </x:c>
      <x:c r="AB366" s="64" t="n">
        <x:f>-ROUND(Q366*'Drivers'!N366,3)</x:f>
        <x:v>-25.292</x:v>
      </x:c>
      <x:c r="AC366" s="64" t="n">
        <x:f>SUM(V366:AB366)</x:f>
        <x:v>-191.479</x:v>
      </x:c>
      <x:c r="AD366" s="65" t="n">
        <x:f>AC366/Q366</x:f>
        <x:v>-0.06183388080349589</x:v>
      </x:c>
      <x:c r="AE366" s="64" t="n">
        <x:f>-ROUND(Q366*'Drivers'!O366,3)</x:f>
        <x:v>-21.506</x:v>
      </x:c>
      <x:c r="AF366" s="65" t="n">
        <x:f>AE366/Q366</x:f>
        <x:v>-0.0069448839849799845</x:v>
      </x:c>
      <x:c r="AG366" s="64" t="n">
        <x:f>-ROUND(Q366*'Drivers'!P366,3)</x:f>
        <x:v>-2.247</x:v>
      </x:c>
      <x:c r="AH366" s="64" t="n">
        <x:f>-ROUND(Q366*'Drivers'!Q366,3)</x:f>
        <x:v>-13.734</x:v>
      </x:c>
      <x:c r="AI366" s="64" t="n">
        <x:f>SUM(R366,T366,AC366,AE366,AG366,AH366)</x:f>
        <x:v>-921.155</x:v>
      </x:c>
      <x:c r="AJ366" s="65" t="n">
        <x:f>AI366/Q366</x:f>
        <x:v>-0.2974665027054886</x:v>
      </x:c>
      <x:c r="AK366" s="64" t="n">
        <x:f>Q366+AI366</x:f>
        <x:v>2175.513</x:v>
      </x:c>
      <x:c r="AL366" s="65" t="n">
        <x:f>AK366/Q366</x:f>
        <x:v>0.7025334972945113</x:v>
      </x:c>
      <x:c r="AM366" s="64" t="n">
        <x:f>AK366/L366</x:f>
        <x:v>435.1026</x:v>
      </x:c>
      <x:c r="AN366" s="66" t="str">
        <x:f>IF(AM366&lt;=200,"≤200K",IF(AM366&lt;=350,"200–350K",IF(AM366&lt;=500,"350–500K",IF(AM366&lt;=700,"500–700K","&gt;700K"))))</x:f>
        <x:v>350–500K</x:v>
      </x:c>
      <x:c r="AO366" s="64" t="n">
        <x:f>-ROUND(Q366*'Drivers'!R366,3)</x:f>
        <x:v>-1097.497</x:v>
      </x:c>
      <x:c r="AP366" s="64" t="n">
        <x:f>-ROUND(AK366*'Drivers'!S366,3)</x:f>
        <x:v>-25.887</x:v>
      </x:c>
      <x:c r="AQ366" s="64" t="n">
        <x:f>-ROUND(AK366*'Drivers'!T366,3)</x:f>
        <x:v>-12.443</x:v>
      </x:c>
      <x:c r="AR366" s="64" t="n">
        <x:f>-ROUND(AK366*'Drivers'!U366,3)</x:f>
        <x:v>-22.74</x:v>
      </x:c>
      <x:c r="AS366" s="64" t="n">
        <x:f>-ROUND(AK366*'Drivers'!V366,3)</x:f>
        <x:v>-82.377</x:v>
      </x:c>
      <x:c r="AT366" s="64" t="n">
        <x:f>SUM(AO366:AS366)</x:f>
        <x:v>-1240.944</x:v>
      </x:c>
      <x:c r="AU366" s="65" t="n">
        <x:f>AT366/AK366</x:f>
        <x:v>-0.5704144263904651</x:v>
      </x:c>
      <x:c r="AV366" s="64" t="n">
        <x:f>AK366+AT366</x:f>
        <x:v>934.569</x:v>
      </x:c>
      <x:c r="AW366" s="65" t="n">
        <x:f>AV366/AK366</x:f>
        <x:v>0.42958557360953487</x:v>
      </x:c>
      <x:c r="AX366" s="64" t="n">
        <x:f>-ROUND(AK366*'Drivers'!W366,3)</x:f>
        <x:v>-20.66</x:v>
      </x:c>
      <x:c r="AY366" s="64" t="n">
        <x:f>-ROUND(AK366*'Drivers'!X366,3)</x:f>
        <x:v>-37.274</x:v>
      </x:c>
      <x:c r="AZ366" s="64" t="n">
        <x:f>-ROUND(AK366*'Drivers'!Y366,3)</x:f>
        <x:v>-42.343</x:v>
      </x:c>
      <x:c r="BA366" s="64" t="n">
        <x:f>-ROUND(AK366*'Drivers'!Z366,3)</x:f>
        <x:v>-13.386</x:v>
      </x:c>
      <x:c r="BB366" s="64" t="n">
        <x:f>-ROUND(AK366*'Drivers'!AA366,3)</x:f>
        <x:v>-16.43</x:v>
      </x:c>
      <x:c r="BC366" s="64" t="n">
        <x:f>SUM(BA366,BB366)</x:f>
        <x:v>-29.816</x:v>
      </x:c>
      <x:c r="BD366" s="64" t="n">
        <x:f>-ROUND(AK366*'Drivers'!AB366,3)</x:f>
        <x:v>-7.159</x:v>
      </x:c>
      <x:c r="BE366" s="64" t="n">
        <x:f>SUM(AX366:BB366,BD366)</x:f>
        <x:v>-137.25199999999998</x:v>
      </x:c>
      <x:c r="BF366" s="67" t="n">
        <x:f>'Drivers'!AF366</x:f>
        <x:v>8</x:v>
      </x:c>
      <x:c r="BG366" s="64" t="n">
        <x:f>BJ366</x:f>
        <x:v>-58.299</x:v>
      </x:c>
      <x:c r="BH366" s="64" t="n">
        <x:f>BE366/BF366</x:f>
        <x:v>-17.156499999999998</x:v>
      </x:c>
      <x:c r="BI366" s="68" t="n">
        <x:f>BF366/L366</x:f>
        <x:v>1.6</x:v>
      </x:c>
      <x:c r="BJ366" s="64" t="n">
        <x:f>-ROUND(AK366*'Drivers'!AC366,3)</x:f>
        <x:v>-58.299</x:v>
      </x:c>
      <x:c r="BK366" s="64" t="n">
        <x:f>-ROUND(AK366*'Drivers'!AD366,3)</x:f>
        <x:v>-214.372</x:v>
      </x:c>
      <x:c r="BL366" s="64" t="n">
        <x:f>SUM(AV366,BE366,BJ366,BK366)</x:f>
        <x:v>524.646</x:v>
      </x:c>
      <x:c r="BM366" s="65" t="n">
        <x:f>BL366/AK366</x:f>
        <x:v>0.24115967130511284</x:v>
      </x:c>
      <x:c r="BN366" s="64" t="n">
        <x:f>-ROUND(AK366*'Drivers'!AE366,3)</x:f>
        <x:v>-144.765</x:v>
      </x:c>
      <x:c r="BO366" s="64" t="n">
        <x:f>BL366+BN366</x:f>
        <x:v>379.881</x:v>
      </x:c>
      <x:c r="BP366" s="65" t="n">
        <x:f>BO366/AK366</x:f>
        <x:v>0.17461674556759715</x:v>
      </x:c>
    </x:row>
    <x:row r="367">
      <x:c r="A367" s="61" t="n">
        <x:v>2025</x:v>
      </x:c>
      <x:c r="B367" s="18" t="str">
        <x:v>S2</x:v>
      </x:c>
      <x:c r="C367" s="18" t="str">
        <x:v>2025 S2</x:v>
      </x:c>
      <x:c r="D367" s="18" t="str">
        <x:v>CNCT0092</x:v>
      </x:c>
      <x:c r="E367" s="18" t="str">
        <x:v>苏州久光百货</x:v>
      </x:c>
      <x:c r="F367" s="18" t="str">
        <x:v>苏州</x:v>
      </x:c>
      <x:c r="G367" s="18" t="str">
        <x:v>江苏省</x:v>
      </x:c>
      <x:c r="H367" s="18" t="str">
        <x:v>东区</x:v>
      </x:c>
      <x:c r="I367" s="18" t="str">
        <x:v>Department Store</x:v>
      </x:c>
      <x:c r="J367" s="18" t="str">
        <x:v>Luxury Department Store</x:v>
      </x:c>
      <x:c r="K367" s="18" t="str">
        <x:v>正常</x:v>
      </x:c>
      <x:c r="L367" s="62" t="n">
        <x:v>5</x:v>
      </x:c>
      <x:c r="M367" s="62" t="n">
        <x:v>38</x:v>
      </x:c>
      <x:c r="N367" s="63" t="n">
        <x:f>'Drivers'!C367</x:f>
        <x:v>2471</x:v>
      </x:c>
      <x:c r="O367" s="63" t="n">
        <x:f>'Drivers'!D367</x:f>
        <x:v>1381.846</x:v>
      </x:c>
      <x:c r="P367" s="64" t="n">
        <x:f>ROUND(N367*O367/1000,3)</x:f>
        <x:v>3414.541</x:v>
      </x:c>
      <x:c r="Q367" s="64" t="n">
        <x:f>ROUND(P367*'Drivers'!E367,3)</x:f>
        <x:v>3334.52</x:v>
      </x:c>
      <x:c r="R367" s="64" t="n">
        <x:f>-ROUND(Q367*'Drivers'!F367,3)</x:f>
        <x:v>-701.22</x:v>
      </x:c>
      <x:c r="S367" s="65" t="n">
        <x:f>R367/Q367</x:f>
        <x:v>-0.21029113635545746</x:v>
      </x:c>
      <x:c r="T367" s="64" t="n">
        <x:f>-ROUND(Q367*'Drivers'!G367,3)</x:f>
        <x:v>-44.135</x:v>
      </x:c>
      <x:c r="U367" s="65" t="n">
        <x:f>T367/Q367</x:f>
        <x:v>-0.013235788059450835</x:v>
      </x:c>
      <x:c r="V367" s="64" t="n">
        <x:f>-ROUND(Q367*'Drivers'!H367,3)</x:f>
        <x:v>-26.974</x:v>
      </x:c>
      <x:c r="W367" s="64" t="n">
        <x:f>-ROUND(Q367*'Drivers'!I367,3)</x:f>
        <x:v>-32.818</x:v>
      </x:c>
      <x:c r="X367" s="64" t="n">
        <x:f>-ROUND(Q367*'Drivers'!J367,3)</x:f>
        <x:v>-34.68</x:v>
      </x:c>
      <x:c r="Y367" s="64" t="n">
        <x:f>-ROUND(Q367*'Drivers'!K367,3)</x:f>
        <x:v>-28.253</x:v>
      </x:c>
      <x:c r="Z367" s="64" t="n">
        <x:f>-ROUND(Q367*'Drivers'!L367,3)</x:f>
        <x:v>-35.496</x:v>
      </x:c>
      <x:c r="AA367" s="64" t="n">
        <x:f>-ROUND(Q367*'Drivers'!M367,3)</x:f>
        <x:v>-20.732</x:v>
      </x:c>
      <x:c r="AB367" s="64" t="n">
        <x:f>-ROUND(Q367*'Drivers'!N367,3)</x:f>
        <x:v>-27.235</x:v>
      </x:c>
      <x:c r="AC367" s="64" t="n">
        <x:f>SUM(V367:AB367)</x:f>
        <x:v>-206.188</x:v>
      </x:c>
      <x:c r="AD367" s="65" t="n">
        <x:f>AC367/Q367</x:f>
        <x:v>-0.061834386958242865</x:v>
      </x:c>
      <x:c r="AE367" s="64" t="n">
        <x:f>-ROUND(Q367*'Drivers'!O367,3)</x:f>
        <x:v>-23.158</x:v>
      </x:c>
      <x:c r="AF367" s="65" t="n">
        <x:f>AE367/Q367</x:f>
        <x:v>-0.0069449276057723455</x:v>
      </x:c>
      <x:c r="AG367" s="64" t="n">
        <x:f>-ROUND(Q367*'Drivers'!P367,3)</x:f>
        <x:v>-2.42</x:v>
      </x:c>
      <x:c r="AH367" s="64" t="n">
        <x:f>-ROUND(Q367*'Drivers'!Q367,3)</x:f>
        <x:v>-14.789</x:v>
      </x:c>
      <x:c r="AI367" s="64" t="n">
        <x:f>SUM(R367,T367,AC367,AE367,AG367,AH367)</x:f>
        <x:v>-991.91</x:v>
      </x:c>
      <x:c r="AJ367" s="65" t="n">
        <x:f>AI367/Q367</x:f>
        <x:v>-0.2974671017117906</x:v>
      </x:c>
      <x:c r="AK367" s="64" t="n">
        <x:f>Q367+AI367</x:f>
        <x:v>2342.61</x:v>
      </x:c>
      <x:c r="AL367" s="65" t="n">
        <x:f>AK367/Q367</x:f>
        <x:v>0.7025328982882094</x:v>
      </x:c>
      <x:c r="AM367" s="64" t="n">
        <x:f>AK367/L367</x:f>
        <x:v>468.52200000000005</x:v>
      </x:c>
      <x:c r="AN367" s="66" t="str">
        <x:f>IF(AM367&lt;=200,"≤200K",IF(AM367&lt;=350,"200–350K",IF(AM367&lt;=500,"350–500K",IF(AM367&lt;=700,"500–700K","&gt;700K"))))</x:f>
        <x:v>350–500K</x:v>
      </x:c>
      <x:c r="AO367" s="64" t="n">
        <x:f>-ROUND(Q367*'Drivers'!R367,3)</x:f>
        <x:v>-1128.33</x:v>
      </x:c>
      <x:c r="AP367" s="64" t="n">
        <x:f>-ROUND(AK367*'Drivers'!S367,3)</x:f>
        <x:v>-27.875</x:v>
      </x:c>
      <x:c r="AQ367" s="64" t="n">
        <x:f>-ROUND(AK367*'Drivers'!T367,3)</x:f>
        <x:v>-13.399</x:v>
      </x:c>
      <x:c r="AR367" s="64" t="n">
        <x:f>-ROUND(AK367*'Drivers'!U367,3)</x:f>
        <x:v>-24.486</x:v>
      </x:c>
      <x:c r="AS367" s="64" t="n">
        <x:f>-ROUND(AK367*'Drivers'!V367,3)</x:f>
        <x:v>-88.705</x:v>
      </x:c>
      <x:c r="AT367" s="64" t="n">
        <x:f>SUM(AO367:AS367)</x:f>
        <x:v>-1282.7949999999998</x:v>
      </x:c>
      <x:c r="AU367" s="65" t="n">
        <x:f>AT367/AK367</x:f>
        <x:v>-0.5475922155202957</x:v>
      </x:c>
      <x:c r="AV367" s="64" t="n">
        <x:f>AK367+AT367</x:f>
        <x:v>1059.8150000000003</x:v>
      </x:c>
      <x:c r="AW367" s="65" t="n">
        <x:f>AV367/AK367</x:f>
        <x:v>0.45240778447970437</x:v>
      </x:c>
      <x:c r="AX367" s="64" t="n">
        <x:f>-ROUND(AK367*'Drivers'!W367,3)</x:f>
        <x:v>-22.247</x:v>
      </x:c>
      <x:c r="AY367" s="64" t="n">
        <x:f>-ROUND(AK367*'Drivers'!X367,3)</x:f>
        <x:v>-40.137</x:v>
      </x:c>
      <x:c r="AZ367" s="64" t="n">
        <x:f>-ROUND(AK367*'Drivers'!Y367,3)</x:f>
        <x:v>-45.595</x:v>
      </x:c>
      <x:c r="BA367" s="64" t="n">
        <x:f>-ROUND(AK367*'Drivers'!Z367,3)</x:f>
        <x:v>-14.415</x:v>
      </x:c>
      <x:c r="BB367" s="64" t="n">
        <x:f>-ROUND(AK367*'Drivers'!AA367,3)</x:f>
        <x:v>-17.692</x:v>
      </x:c>
      <x:c r="BC367" s="64" t="n">
        <x:f>SUM(BA367,BB367)</x:f>
        <x:v>-32.107</x:v>
      </x:c>
      <x:c r="BD367" s="64" t="n">
        <x:f>-ROUND(AK367*'Drivers'!AB367,3)</x:f>
        <x:v>-7.709</x:v>
      </x:c>
      <x:c r="BE367" s="64" t="n">
        <x:f>SUM(AX367:BB367,BD367)</x:f>
        <x:v>-147.79500000000002</x:v>
      </x:c>
      <x:c r="BF367" s="67" t="n">
        <x:f>'Drivers'!AF367</x:f>
        <x:v>8</x:v>
      </x:c>
      <x:c r="BG367" s="64" t="n">
        <x:f>BJ367</x:f>
        <x:v>-62.777</x:v>
      </x:c>
      <x:c r="BH367" s="64" t="n">
        <x:f>BE367/BF367</x:f>
        <x:v>-18.474375000000002</x:v>
      </x:c>
      <x:c r="BI367" s="68" t="n">
        <x:f>BF367/L367</x:f>
        <x:v>1.6</x:v>
      </x:c>
      <x:c r="BJ367" s="64" t="n">
        <x:f>-ROUND(AK367*'Drivers'!AC367,3)</x:f>
        <x:v>-62.777</x:v>
      </x:c>
      <x:c r="BK367" s="64" t="n">
        <x:f>-ROUND(AK367*'Drivers'!AD367,3)</x:f>
        <x:v>-230.837</x:v>
      </x:c>
      <x:c r="BL367" s="64" t="n">
        <x:f>SUM(AV367,BE367,BJ367,BK367)</x:f>
        <x:v>618.4060000000002</x:v>
      </x:c>
      <x:c r="BM367" s="65" t="n">
        <x:f>BL367/AK367</x:f>
        <x:v>0.26398162733020014</x:v>
      </x:c>
      <x:c r="BN367" s="64" t="n">
        <x:f>-ROUND(AK367*'Drivers'!AE367,3)</x:f>
        <x:v>-196.736</x:v>
      </x:c>
      <x:c r="BO367" s="64" t="n">
        <x:f>BL367+BN367</x:f>
        <x:v>421.6700000000002</x:v>
      </x:c>
      <x:c r="BP367" s="65" t="n">
        <x:f>BO367/AK367</x:f>
        <x:v>0.18000008537485973</x:v>
      </x:c>
    </x:row>
    <x:row r="368">
      <x:c r="A368" s="61" t="n">
        <x:v>2026</x:v>
      </x:c>
      <x:c r="B368" s="18" t="str">
        <x:v>S1</x:v>
      </x:c>
      <x:c r="C368" s="18" t="str">
        <x:v>2026 S1</x:v>
      </x:c>
      <x:c r="D368" s="18" t="str">
        <x:v>CNCT0092</x:v>
      </x:c>
      <x:c r="E368" s="18" t="str">
        <x:v>苏州久光百货</x:v>
      </x:c>
      <x:c r="F368" s="18" t="str">
        <x:v>苏州</x:v>
      </x:c>
      <x:c r="G368" s="18" t="str">
        <x:v>江苏省</x:v>
      </x:c>
      <x:c r="H368" s="18" t="str">
        <x:v>东区</x:v>
      </x:c>
      <x:c r="I368" s="18" t="str">
        <x:v>Department Store</x:v>
      </x:c>
      <x:c r="J368" s="18" t="str">
        <x:v>Luxury Department Store</x:v>
      </x:c>
      <x:c r="K368" s="18" t="str">
        <x:v>正常</x:v>
      </x:c>
      <x:c r="L368" s="62" t="n">
        <x:v>5</x:v>
      </x:c>
      <x:c r="M368" s="62" t="n">
        <x:v>38</x:v>
      </x:c>
      <x:c r="N368" s="63" t="n">
        <x:f>'Drivers'!C368</x:f>
        <x:v>2206</x:v>
      </x:c>
      <x:c r="O368" s="63" t="n">
        <x:f>'Drivers'!D368</x:f>
        <x:v>1442.039</x:v>
      </x:c>
      <x:c r="P368" s="64" t="n">
        <x:f>ROUND(N368*O368/1000,3)</x:f>
        <x:v>3181.138</x:v>
      </x:c>
      <x:c r="Q368" s="64" t="n">
        <x:f>ROUND(P368*'Drivers'!E368,3)</x:f>
        <x:v>3110.383</x:v>
      </x:c>
      <x:c r="R368" s="64" t="n">
        <x:f>-ROUND(Q368*'Drivers'!F368,3)</x:f>
        <x:v>-659.672</x:v>
      </x:c>
      <x:c r="S368" s="65" t="n">
        <x:f>R368/Q368</x:f>
        <x:v>-0.21208706451906406</x:v>
      </x:c>
      <x:c r="T368" s="64" t="n">
        <x:f>-ROUND(Q368*'Drivers'!G368,3)</x:f>
        <x:v>-43.77</x:v>
      </x:c>
      <x:c r="U368" s="65" t="n">
        <x:f>T368/Q368</x:f>
        <x:v>-0.014072221973949833</x:v>
      </x:c>
      <x:c r="V368" s="64" t="n">
        <x:f>-ROUND(Q368*'Drivers'!H368,3)</x:f>
        <x:v>-25.161</x:v>
      </x:c>
      <x:c r="W368" s="64" t="n">
        <x:f>-ROUND(Q368*'Drivers'!I368,3)</x:f>
        <x:v>-30.612</x:v>
      </x:c>
      <x:c r="X368" s="64" t="n">
        <x:f>-ROUND(Q368*'Drivers'!J368,3)</x:f>
        <x:v>-32.349</x:v>
      </x:c>
      <x:c r="Y368" s="64" t="n">
        <x:f>-ROUND(Q368*'Drivers'!K368,3)</x:f>
        <x:v>-26.354</x:v>
      </x:c>
      <x:c r="Z368" s="64" t="n">
        <x:f>-ROUND(Q368*'Drivers'!L368,3)</x:f>
        <x:v>-33.11</x:v>
      </x:c>
      <x:c r="AA368" s="64" t="n">
        <x:f>-ROUND(Q368*'Drivers'!M368,3)</x:f>
        <x:v>-19.338</x:v>
      </x:c>
      <x:c r="AB368" s="64" t="n">
        <x:f>-ROUND(Q368*'Drivers'!N368,3)</x:f>
        <x:v>-25.404</x:v>
      </x:c>
      <x:c r="AC368" s="64" t="n">
        <x:f>SUM(V368:AB368)</x:f>
        <x:v>-192.32799999999997</x:v>
      </x:c>
      <x:c r="AD368" s="65" t="n">
        <x:f>AC368/Q368</x:f>
        <x:v>-0.061834185693530344</x:v>
      </x:c>
      <x:c r="AE368" s="64" t="n">
        <x:f>-ROUND(Q368*'Drivers'!O368,3)</x:f>
        <x:v>-21.564</x:v>
      </x:c>
      <x:c r="AF368" s="65" t="n">
        <x:f>AE368/Q368</x:f>
        <x:v>-0.0069329082624229885</x:v>
      </x:c>
      <x:c r="AG368" s="64" t="n">
        <x:f>-ROUND(Q368*'Drivers'!P368,3)</x:f>
        <x:v>-2.257</x:v>
      </x:c>
      <x:c r="AH368" s="64" t="n">
        <x:f>-ROUND(Q368*'Drivers'!Q368,3)</x:f>
        <x:v>-13.795</x:v>
      </x:c>
      <x:c r="AI368" s="64" t="n">
        <x:f>SUM(R368,T368,AC368,AE368,AG368,AH368)</x:f>
        <x:v>-933.3859999999999</x:v>
      </x:c>
      <x:c r="AJ368" s="65" t="n">
        <x:f>AI368/Q368</x:f>
        <x:v>-0.3000871596841932</x:v>
      </x:c>
      <x:c r="AK368" s="64" t="n">
        <x:f>Q368+AI368</x:f>
        <x:v>2176.997</x:v>
      </x:c>
      <x:c r="AL368" s="65" t="n">
        <x:f>AK368/Q368</x:f>
        <x:v>0.6999128403158068</x:v>
      </x:c>
      <x:c r="AM368" s="64" t="n">
        <x:f>AK368/L368</x:f>
        <x:v>435.39939999999996</x:v>
      </x:c>
      <x:c r="AN368" s="66" t="str">
        <x:f>IF(AM368&lt;=200,"≤200K",IF(AM368&lt;=350,"200–350K",IF(AM368&lt;=500,"350–500K",IF(AM368&lt;=700,"500–700K","&gt;700K"))))</x:f>
        <x:v>350–500K</x:v>
      </x:c>
      <x:c r="AO368" s="64" t="n">
        <x:f>-ROUND(Q368*'Drivers'!R368,3)</x:f>
        <x:v>-1097.622</x:v>
      </x:c>
      <x:c r="AP368" s="64" t="n">
        <x:f>-ROUND(AK368*'Drivers'!S368,3)</x:f>
        <x:v>-25.905</x:v>
      </x:c>
      <x:c r="AQ368" s="64" t="n">
        <x:f>-ROUND(AK368*'Drivers'!T368,3)</x:f>
        <x:v>-12.452</x:v>
      </x:c>
      <x:c r="AR368" s="64" t="n">
        <x:f>-ROUND(AK368*'Drivers'!U368,3)</x:f>
        <x:v>-22.755</x:v>
      </x:c>
      <x:c r="AS368" s="64" t="n">
        <x:f>-ROUND(AK368*'Drivers'!V368,3)</x:f>
        <x:v>-82.434</x:v>
      </x:c>
      <x:c r="AT368" s="64" t="n">
        <x:f>SUM(AO368:AS368)</x:f>
        <x:v>-1241.1680000000001</x:v>
      </x:c>
      <x:c r="AU368" s="65" t="n">
        <x:f>AT368/AK368</x:f>
        <x:v>-0.5701284843295605</x:v>
      </x:c>
      <x:c r="AV368" s="64" t="n">
        <x:f>AK368+AT368</x:f>
        <x:v>935.8289999999997</x:v>
      </x:c>
      <x:c r="AW368" s="65" t="n">
        <x:f>AV368/AK368</x:f>
        <x:v>0.4298715156704395</x:v>
      </x:c>
      <x:c r="AX368" s="64" t="n">
        <x:f>-ROUND(AK368*'Drivers'!W368,3)</x:f>
        <x:v>-25.439</x:v>
      </x:c>
      <x:c r="AY368" s="64" t="n">
        <x:f>-ROUND(AK368*'Drivers'!X368,3)</x:f>
        <x:v>-45.895</x:v>
      </x:c>
      <x:c r="AZ368" s="64" t="n">
        <x:f>-ROUND(AK368*'Drivers'!Y368,3)</x:f>
        <x:v>-52.136</x:v>
      </x:c>
      <x:c r="BA368" s="64" t="n">
        <x:f>-ROUND(AK368*'Drivers'!Z368,3)</x:f>
        <x:v>-16.483</x:v>
      </x:c>
      <x:c r="BB368" s="64" t="n">
        <x:f>-ROUND(AK368*'Drivers'!AA368,3)</x:f>
        <x:v>-20.23</x:v>
      </x:c>
      <x:c r="BC368" s="64" t="n">
        <x:f>SUM(BA368,BB368)</x:f>
        <x:v>-36.713</x:v>
      </x:c>
      <x:c r="BD368" s="64" t="n">
        <x:f>-ROUND(AK368*'Drivers'!AB368,3)</x:f>
        <x:v>-8.815</x:v>
      </x:c>
      <x:c r="BE368" s="64" t="n">
        <x:f>SUM(AX368:BB368,BD368)</x:f>
        <x:v>-168.998</x:v>
      </x:c>
      <x:c r="BF368" s="67" t="n">
        <x:f>'Drivers'!AF368</x:f>
        <x:v>8</x:v>
      </x:c>
      <x:c r="BG368" s="64" t="n">
        <x:f>BJ368</x:f>
        <x:v>-71.783</x:v>
      </x:c>
      <x:c r="BH368" s="64" t="n">
        <x:f>BE368/BF368</x:f>
        <x:v>-21.12475</x:v>
      </x:c>
      <x:c r="BI368" s="68" t="n">
        <x:f>BF368/L368</x:f>
        <x:v>1.6</x:v>
      </x:c>
      <x:c r="BJ368" s="64" t="n">
        <x:f>-ROUND(AK368*'Drivers'!AC368,3)</x:f>
        <x:v>-71.783</x:v>
      </x:c>
      <x:c r="BK368" s="64" t="n">
        <x:f>-ROUND(AK368*'Drivers'!AD368,3)</x:f>
        <x:v>-214.518</x:v>
      </x:c>
      <x:c r="BL368" s="64" t="n">
        <x:f>SUM(AV368,BE368,BJ368,BK368)</x:f>
        <x:v>480.52999999999963</x:v>
      </x:c>
      <x:c r="BM368" s="65" t="n">
        <x:f>BL368/AK368</x:f>
        <x:v>0.22073066706109365</x:v>
      </x:c>
      <x:c r="BN368" s="64" t="n">
        <x:f>-ROUND(AK368*'Drivers'!AE368,3)</x:f>
        <x:v>-144.864</x:v>
      </x:c>
      <x:c r="BO368" s="64" t="n">
        <x:f>BL368+BN368</x:f>
        <x:v>335.6659999999996</x:v>
      </x:c>
      <x:c r="BP368" s="65" t="n">
        <x:f>BO368/AK368</x:f>
        <x:v>0.1541876263495079</x:v>
      </x:c>
    </x:row>
    <x:row r="369">
      <x:c r="A369" s="61" t="n">
        <x:v>2026</x:v>
      </x:c>
      <x:c r="B369" s="18" t="str">
        <x:v>S2</x:v>
      </x:c>
      <x:c r="C369" s="18" t="str">
        <x:v>2026 S2</x:v>
      </x:c>
      <x:c r="D369" s="18" t="str">
        <x:v>CNCT0092</x:v>
      </x:c>
      <x:c r="E369" s="18" t="str">
        <x:v>苏州久光百货</x:v>
      </x:c>
      <x:c r="F369" s="18" t="str">
        <x:v>苏州</x:v>
      </x:c>
      <x:c r="G369" s="18" t="str">
        <x:v>江苏省</x:v>
      </x:c>
      <x:c r="H369" s="18" t="str">
        <x:v>东区</x:v>
      </x:c>
      <x:c r="I369" s="18" t="str">
        <x:v>Department Store</x:v>
      </x:c>
      <x:c r="J369" s="18" t="str">
        <x:v>Luxury Department Store</x:v>
      </x:c>
      <x:c r="K369" s="18" t="str">
        <x:v>正常</x:v>
      </x:c>
      <x:c r="L369" s="62" t="n">
        <x:v>5</x:v>
      </x:c>
      <x:c r="M369" s="62" t="n">
        <x:v>38</x:v>
      </x:c>
      <x:c r="N369" s="63" t="n">
        <x:f>'Drivers'!C369</x:f>
        <x:v>2450</x:v>
      </x:c>
      <x:c r="O369" s="63" t="n">
        <x:f>'Drivers'!D369</x:f>
        <x:v>1411.688</x:v>
      </x:c>
      <x:c r="P369" s="64" t="n">
        <x:f>ROUND(N369*O369/1000,3)</x:f>
        <x:v>3458.636</x:v>
      </x:c>
      <x:c r="Q369" s="64" t="n">
        <x:f>ROUND(P369*'Drivers'!E369,3)</x:f>
        <x:v>3377.582</x:v>
      </x:c>
      <x:c r="R369" s="64" t="n">
        <x:f>-ROUND(Q369*'Drivers'!F369,3)</x:f>
        <x:v>-710.442</x:v>
      </x:c>
      <x:c r="S369" s="65" t="n">
        <x:f>R369/Q369</x:f>
        <x:v>-0.21034041512537668</x:v>
      </x:c>
      <x:c r="T369" s="64" t="n">
        <x:f>-ROUND(Q369*'Drivers'!G369,3)</x:f>
        <x:v>-50.263</x:v>
      </x:c>
      <x:c r="U369" s="65" t="n">
        <x:f>T369/Q369</x:f>
        <x:v>-0.014881355952275918</x:v>
      </x:c>
      <x:c r="V369" s="64" t="n">
        <x:f>-ROUND(Q369*'Drivers'!H369,3)</x:f>
        <x:v>-27.322</x:v>
      </x:c>
      <x:c r="W369" s="64" t="n">
        <x:f>-ROUND(Q369*'Drivers'!I369,3)</x:f>
        <x:v>-33.242</x:v>
      </x:c>
      <x:c r="X369" s="64" t="n">
        <x:f>-ROUND(Q369*'Drivers'!J369,3)</x:f>
        <x:v>-35.128</x:v>
      </x:c>
      <x:c r="Y369" s="64" t="n">
        <x:f>-ROUND(Q369*'Drivers'!K369,3)</x:f>
        <x:v>-28.618</x:v>
      </x:c>
      <x:c r="Z369" s="64" t="n">
        <x:f>-ROUND(Q369*'Drivers'!L369,3)</x:f>
        <x:v>-35.954</x:v>
      </x:c>
      <x:c r="AA369" s="64" t="n">
        <x:f>-ROUND(Q369*'Drivers'!M369,3)</x:f>
        <x:v>-21</x:v>
      </x:c>
      <x:c r="AB369" s="64" t="n">
        <x:f>-ROUND(Q369*'Drivers'!N369,3)</x:f>
        <x:v>-27.586</x:v>
      </x:c>
      <x:c r="AC369" s="64" t="n">
        <x:f>SUM(V369:AB369)</x:f>
        <x:v>-208.84999999999997</x:v>
      </x:c>
      <x:c r="AD369" s="65" t="n">
        <x:f>AC369/Q369</x:f>
        <x:v>-0.06183417604665112</x:v>
      </x:c>
      <x:c r="AE369" s="64" t="n">
        <x:f>-ROUND(Q369*'Drivers'!O369,3)</x:f>
        <x:v>-23.457</x:v>
      </x:c>
      <x:c r="AF369" s="65" t="n">
        <x:f>AE369/Q369</x:f>
        <x:v>-0.006944909109534573</x:v>
      </x:c>
      <x:c r="AG369" s="64" t="n">
        <x:f>-ROUND(Q369*'Drivers'!P369,3)</x:f>
        <x:v>-2.451</x:v>
      </x:c>
      <x:c r="AH369" s="64" t="n">
        <x:f>-ROUND(Q369*'Drivers'!Q369,3)</x:f>
        <x:v>-14.98</x:v>
      </x:c>
      <x:c r="AI369" s="64" t="n">
        <x:f>SUM(R369,T369,AC369,AE369,AG369,AH369)</x:f>
        <x:v>-1010.4430000000001</x:v>
      </x:c>
      <x:c r="AJ369" s="65" t="n">
        <x:f>AI369/Q369</x:f>
        <x:v>-0.29916164877714296</x:v>
      </x:c>
      <x:c r="AK369" s="64" t="n">
        <x:f>Q369+AI369</x:f>
        <x:v>2367.1389999999997</x:v>
      </x:c>
      <x:c r="AL369" s="65" t="n">
        <x:f>AK369/Q369</x:f>
        <x:v>0.700838351222857</x:v>
      </x:c>
      <x:c r="AM369" s="64" t="n">
        <x:f>AK369/L369</x:f>
        <x:v>473.42779999999993</x:v>
      </x:c>
      <x:c r="AN369" s="66" t="str">
        <x:f>IF(AM369&lt;=200,"≤200K",IF(AM369&lt;=350,"200–350K",IF(AM369&lt;=500,"350–500K",IF(AM369&lt;=700,"500–700K","&gt;700K"))))</x:f>
        <x:v>350–500K</x:v>
      </x:c>
      <x:c r="AO369" s="64" t="n">
        <x:f>-ROUND(Q369*'Drivers'!R369,3)</x:f>
        <x:v>-1137.707</x:v>
      </x:c>
      <x:c r="AP369" s="64" t="n">
        <x:f>-ROUND(AK369*'Drivers'!S369,3)</x:f>
        <x:v>-28.167</x:v>
      </x:c>
      <x:c r="AQ369" s="64" t="n">
        <x:f>-ROUND(AK369*'Drivers'!T369,3)</x:f>
        <x:v>-13.539</x:v>
      </x:c>
      <x:c r="AR369" s="64" t="n">
        <x:f>-ROUND(AK369*'Drivers'!U369,3)</x:f>
        <x:v>-24.743</x:v>
      </x:c>
      <x:c r="AS369" s="64" t="n">
        <x:f>-ROUND(AK369*'Drivers'!V369,3)</x:f>
        <x:v>-89.633</x:v>
      </x:c>
      <x:c r="AT369" s="64" t="n">
        <x:f>SUM(AO369:AS369)</x:f>
        <x:v>-1293.789</x:v>
      </x:c>
      <x:c r="AU369" s="65" t="n">
        <x:f>AT369/AK369</x:f>
        <x:v>-0.5465623269271471</x:v>
      </x:c>
      <x:c r="AV369" s="64" t="n">
        <x:f>AK369+AT369</x:f>
        <x:v>1073.3499999999997</x:v>
      </x:c>
      <x:c r="AW369" s="65" t="n">
        <x:f>AV369/AK369</x:f>
        <x:v>0.4534376730728529</x:v>
      </x:c>
      <x:c r="AX369" s="64" t="n">
        <x:f>-ROUND(AK369*'Drivers'!W369,3)</x:f>
        <x:v>-23.829</x:v>
      </x:c>
      <x:c r="AY369" s="64" t="n">
        <x:f>-ROUND(AK369*'Drivers'!X369,3)</x:f>
        <x:v>-42.99</x:v>
      </x:c>
      <x:c r="AZ369" s="64" t="n">
        <x:f>-ROUND(AK369*'Drivers'!Y369,3)</x:f>
        <x:v>-48.837</x:v>
      </x:c>
      <x:c r="BA369" s="64" t="n">
        <x:f>-ROUND(AK369*'Drivers'!Z369,3)</x:f>
        <x:v>-15.439</x:v>
      </x:c>
      <x:c r="BB369" s="64" t="n">
        <x:f>-ROUND(AK369*'Drivers'!AA369,3)</x:f>
        <x:v>-18.95</x:v>
      </x:c>
      <x:c r="BC369" s="64" t="n">
        <x:f>SUM(BA369,BB369)</x:f>
        <x:v>-34.388999999999996</x:v>
      </x:c>
      <x:c r="BD369" s="64" t="n">
        <x:f>-ROUND(AK369*'Drivers'!AB369,3)</x:f>
        <x:v>-8.257</x:v>
      </x:c>
      <x:c r="BE369" s="64" t="n">
        <x:f>SUM(AX369:BB369,BD369)</x:f>
        <x:v>-158.302</x:v>
      </x:c>
      <x:c r="BF369" s="67" t="n">
        <x:f>'Drivers'!AF369</x:f>
        <x:v>8</x:v>
      </x:c>
      <x:c r="BG369" s="64" t="n">
        <x:f>BJ369</x:f>
        <x:v>-67.24</x:v>
      </x:c>
      <x:c r="BH369" s="64" t="n">
        <x:f>BE369/BF369</x:f>
        <x:v>-19.78775</x:v>
      </x:c>
      <x:c r="BI369" s="68" t="n">
        <x:f>BF369/L369</x:f>
        <x:v>1.6</x:v>
      </x:c>
      <x:c r="BJ369" s="64" t="n">
        <x:f>-ROUND(AK369*'Drivers'!AC369,3)</x:f>
        <x:v>-67.24</x:v>
      </x:c>
      <x:c r="BK369" s="64" t="n">
        <x:f>-ROUND(AK369*'Drivers'!AD369,3)</x:f>
        <x:v>-233.254</x:v>
      </x:c>
      <x:c r="BL369" s="64" t="n">
        <x:f>SUM(AV369,BE369,BJ369,BK369)</x:f>
        <x:v>614.5539999999996</x:v>
      </x:c>
      <x:c r="BM369" s="65" t="n">
        <x:f>BL369/AK369</x:f>
        <x:v>0.2596188901454455</x:v>
      </x:c>
      <x:c r="BN369" s="64" t="n">
        <x:f>-ROUND(AK369*'Drivers'!AE369,3)</x:f>
        <x:v>-198.796</x:v>
      </x:c>
      <x:c r="BO369" s="64" t="n">
        <x:f>BL369+BN369</x:f>
        <x:v>415.75799999999964</x:v>
      </x:c>
      <x:c r="BP369" s="65" t="n">
        <x:f>BO369/AK369</x:f>
        <x:v>0.1756373411109359</x:v>
      </x:c>
    </x:row>
    <x:row r="370">
      <x:c r="A370" s="61" t="n">
        <x:v>2025</x:v>
      </x:c>
      <x:c r="B370" s="18" t="str">
        <x:v>S1</x:v>
      </x:c>
      <x:c r="C370" s="18" t="str">
        <x:v>2025 S1</x:v>
      </x:c>
      <x:c r="D370" s="18" t="str">
        <x:v>CNCT0093</x:v>
      </x:c>
      <x:c r="E370" s="18" t="str">
        <x:v>苏州美罗百货观前店</x:v>
      </x:c>
      <x:c r="F370" s="18" t="str">
        <x:v>苏州</x:v>
      </x:c>
      <x:c r="G370" s="18" t="str">
        <x:v>江苏省</x:v>
      </x:c>
      <x:c r="H370" s="18" t="str">
        <x:v>东区</x:v>
      </x:c>
      <x:c r="I370" s="18" t="str">
        <x:v>Department Store</x:v>
      </x:c>
      <x:c r="J370" s="18" t="str">
        <x:v>Core Shopping Center</x:v>
      </x:c>
      <x:c r="K370" s="18" t="str">
        <x:v>正常</x:v>
      </x:c>
      <x:c r="L370" s="62" t="n">
        <x:v>4</x:v>
      </x:c>
      <x:c r="M370" s="62" t="n">
        <x:v>38</x:v>
      </x:c>
      <x:c r="N370" s="63" t="n">
        <x:f>'Drivers'!C370</x:f>
        <x:v>1571</x:v>
      </x:c>
      <x:c r="O370" s="63" t="n">
        <x:f>'Drivers'!D370</x:f>
        <x:v>1036.305</x:v>
      </x:c>
      <x:c r="P370" s="64" t="n">
        <x:f>ROUND(N370*O370/1000,3)</x:f>
        <x:v>1628.035</x:v>
      </x:c>
      <x:c r="Q370" s="64" t="n">
        <x:f>ROUND(P370*'Drivers'!E370,3)</x:f>
        <x:v>1595.223</x:v>
      </x:c>
      <x:c r="R370" s="64" t="n">
        <x:f>-ROUND(Q370*'Drivers'!F370,3)</x:f>
        <x:v>-296.205</x:v>
      </x:c>
      <x:c r="S370" s="65" t="n">
        <x:f>R370/Q370</x:f>
        <x:v>-0.18568250332398667</x:v>
      </x:c>
      <x:c r="T370" s="64" t="n">
        <x:f>-ROUND(Q370*'Drivers'!G370,3)</x:f>
        <x:v>-22.055</x:v>
      </x:c>
      <x:c r="U370" s="65" t="n">
        <x:f>T370/Q370</x:f>
        <x:v>-0.01382565321588267</x:v>
      </x:c>
      <x:c r="V370" s="64" t="n">
        <x:f>-ROUND(Q370*'Drivers'!H370,3)</x:f>
        <x:v>-14.655</x:v>
      </x:c>
      <x:c r="W370" s="64" t="n">
        <x:f>-ROUND(Q370*'Drivers'!I370,3)</x:f>
        <x:v>-15.974</x:v>
      </x:c>
      <x:c r="X370" s="64" t="n">
        <x:f>-ROUND(Q370*'Drivers'!J370,3)</x:f>
        <x:v>-21.437</x:v>
      </x:c>
      <x:c r="Y370" s="64" t="n">
        <x:f>-ROUND(Q370*'Drivers'!K370,3)</x:f>
        <x:v>-12.765</x:v>
      </x:c>
      <x:c r="Z370" s="64" t="n">
        <x:f>-ROUND(Q370*'Drivers'!L370,3)</x:f>
        <x:v>-20.993</x:v>
      </x:c>
      <x:c r="AA370" s="64" t="n">
        <x:f>-ROUND(Q370*'Drivers'!M370,3)</x:f>
        <x:v>-10.624</x:v>
      </x:c>
      <x:c r="AB370" s="64" t="n">
        <x:f>-ROUND(Q370*'Drivers'!N370,3)</x:f>
        <x:v>-12.908</x:v>
      </x:c>
      <x:c r="AC370" s="64" t="n">
        <x:f>SUM(V370:AB370)</x:f>
        <x:v>-109.356</x:v>
      </x:c>
      <x:c r="AD370" s="65" t="n">
        <x:f>AC370/Q370</x:f>
        <x:v>-0.0685521710757681</x:v>
      </x:c>
      <x:c r="AE370" s="64" t="n">
        <x:f>-ROUND(Q370*'Drivers'!O370,3)</x:f>
        <x:v>-12.782</x:v>
      </x:c>
      <x:c r="AF370" s="65" t="n">
        <x:f>AE370/Q370</x:f>
        <x:v>-0.00801267283633699</x:v>
      </x:c>
      <x:c r="AG370" s="64" t="n">
        <x:f>-ROUND(Q370*'Drivers'!P370,3)</x:f>
        <x:v>-0.343</x:v>
      </x:c>
      <x:c r="AH370" s="64" t="n">
        <x:f>-ROUND(Q370*'Drivers'!Q370,3)</x:f>
        <x:v>-10.647</x:v>
      </x:c>
      <x:c r="AI370" s="64" t="n">
        <x:f>SUM(R370,T370,AC370,AE370,AG370,AH370)</x:f>
        <x:v>-451.388</x:v>
      </x:c>
      <x:c r="AJ370" s="65" t="n">
        <x:f>AI370/Q370</x:f>
        <x:v>-0.28296231937478333</x:v>
      </x:c>
      <x:c r="AK370" s="64" t="n">
        <x:f>Q370+AI370</x:f>
        <x:v>1143.835</x:v>
      </x:c>
      <x:c r="AL370" s="65" t="n">
        <x:f>AK370/Q370</x:f>
        <x:v>0.7170376806252167</x:v>
      </x:c>
      <x:c r="AM370" s="64" t="n">
        <x:f>AK370/L370</x:f>
        <x:v>285.95875</x:v>
      </x:c>
      <x:c r="AN370" s="66" t="str">
        <x:f>IF(AM370&lt;=200,"≤200K",IF(AM370&lt;=350,"200–350K",IF(AM370&lt;=500,"350–500K",IF(AM370&lt;=700,"500–700K","&gt;700K"))))</x:f>
        <x:v>200–350K</x:v>
      </x:c>
      <x:c r="AO370" s="64" t="n">
        <x:f>-ROUND(Q370*'Drivers'!R370,3)</x:f>
        <x:v>-601.994</x:v>
      </x:c>
      <x:c r="AP370" s="64" t="n">
        <x:f>-ROUND(AK370*'Drivers'!S370,3)</x:f>
        <x:v>-17.878</x:v>
      </x:c>
      <x:c r="AQ370" s="64" t="n">
        <x:f>-ROUND(AK370*'Drivers'!T370,3)</x:f>
        <x:v>-4.613</x:v>
      </x:c>
      <x:c r="AR370" s="64" t="n">
        <x:f>-ROUND(AK370*'Drivers'!U370,3)</x:f>
        <x:v>-13.405</x:v>
      </x:c>
      <x:c r="AS370" s="64" t="n">
        <x:f>-ROUND(AK370*'Drivers'!V370,3)</x:f>
        <x:v>-45.097</x:v>
      </x:c>
      <x:c r="AT370" s="64" t="n">
        <x:f>SUM(AO370:AS370)</x:f>
        <x:v>-682.9870000000001</x:v>
      </x:c>
      <x:c r="AU370" s="65" t="n">
        <x:f>AT370/AK370</x:f>
        <x:v>-0.5971027289775187</x:v>
      </x:c>
      <x:c r="AV370" s="64" t="n">
        <x:f>AK370+AT370</x:f>
        <x:v>460.84799999999996</x:v>
      </x:c>
      <x:c r="AW370" s="65" t="n">
        <x:f>AV370/AK370</x:f>
        <x:v>0.40289727102248135</x:v>
      </x:c>
      <x:c r="AX370" s="64" t="n">
        <x:f>-ROUND(AK370*'Drivers'!W370,3)</x:f>
        <x:v>-11.999</x:v>
      </x:c>
      <x:c r="AY370" s="64" t="n">
        <x:f>-ROUND(AK370*'Drivers'!X370,3)</x:f>
        <x:v>-20.152</x:v>
      </x:c>
      <x:c r="AZ370" s="64" t="n">
        <x:f>-ROUND(AK370*'Drivers'!Y370,3)</x:f>
        <x:v>-16.151</x:v>
      </x:c>
      <x:c r="BA370" s="64" t="n">
        <x:f>-ROUND(AK370*'Drivers'!Z370,3)</x:f>
        <x:v>-7.123</x:v>
      </x:c>
      <x:c r="BB370" s="64" t="n">
        <x:f>-ROUND(AK370*'Drivers'!AA370,3)</x:f>
        <x:v>-8.178</x:v>
      </x:c>
      <x:c r="BC370" s="64" t="n">
        <x:f>SUM(BA370,BB370)</x:f>
        <x:v>-15.301000000000002</x:v>
      </x:c>
      <x:c r="BD370" s="64" t="n">
        <x:f>-ROUND(AK370*'Drivers'!AB370,3)</x:f>
        <x:v>-5.776</x:v>
      </x:c>
      <x:c r="BE370" s="64" t="n">
        <x:f>SUM(AX370:BB370,BD370)</x:f>
        <x:v>-69.379</x:v>
      </x:c>
      <x:c r="BF370" s="67" t="n">
        <x:f>'Drivers'!AF370</x:f>
        <x:v>7</x:v>
      </x:c>
      <x:c r="BG370" s="64" t="n">
        <x:f>BJ370</x:f>
        <x:v>-28.866</x:v>
      </x:c>
      <x:c r="BH370" s="64" t="n">
        <x:f>BE370/BF370</x:f>
        <x:v>-9.911285714285714</x:v>
      </x:c>
      <x:c r="BI370" s="68" t="n">
        <x:f>BF370/L370</x:f>
        <x:v>1.75</x:v>
      </x:c>
      <x:c r="BJ370" s="64" t="n">
        <x:f>-ROUND(AK370*'Drivers'!AC370,3)</x:f>
        <x:v>-28.866</x:v>
      </x:c>
      <x:c r="BK370" s="64" t="n">
        <x:f>-ROUND(AK370*'Drivers'!AD370,3)</x:f>
        <x:v>-115.601</x:v>
      </x:c>
      <x:c r="BL370" s="64" t="n">
        <x:f>SUM(AV370,BE370,BJ370,BK370)</x:f>
        <x:v>247.00199999999995</x:v>
      </x:c>
      <x:c r="BM370" s="65" t="n">
        <x:f>BL370/AK370</x:f>
        <x:v>0.21594198463939288</x:v>
      </x:c>
      <x:c r="BN370" s="64" t="n">
        <x:f>-ROUND(AK370*'Drivers'!AE370,3)</x:f>
        <x:v>-85.837</x:v>
      </x:c>
      <x:c r="BO370" s="64" t="n">
        <x:f>BL370+BN370</x:f>
        <x:v>161.16499999999996</x:v>
      </x:c>
      <x:c r="BP370" s="65" t="n">
        <x:f>BO370/AK370</x:f>
        <x:v>0.140898818448465</x:v>
      </x:c>
    </x:row>
    <x:row r="371">
      <x:c r="A371" s="61" t="n">
        <x:v>2025</x:v>
      </x:c>
      <x:c r="B371" s="18" t="str">
        <x:v>S2</x:v>
      </x:c>
      <x:c r="C371" s="18" t="str">
        <x:v>2025 S2</x:v>
      </x:c>
      <x:c r="D371" s="18" t="str">
        <x:v>CNCT0093</x:v>
      </x:c>
      <x:c r="E371" s="18" t="str">
        <x:v>苏州美罗百货观前店</x:v>
      </x:c>
      <x:c r="F371" s="18" t="str">
        <x:v>苏州</x:v>
      </x:c>
      <x:c r="G371" s="18" t="str">
        <x:v>江苏省</x:v>
      </x:c>
      <x:c r="H371" s="18" t="str">
        <x:v>东区</x:v>
      </x:c>
      <x:c r="I371" s="18" t="str">
        <x:v>Department Store</x:v>
      </x:c>
      <x:c r="J371" s="18" t="str">
        <x:v>Core Shopping Center</x:v>
      </x:c>
      <x:c r="K371" s="18" t="str">
        <x:v>正常</x:v>
      </x:c>
      <x:c r="L371" s="62" t="n">
        <x:v>4</x:v>
      </x:c>
      <x:c r="M371" s="62" t="n">
        <x:v>38</x:v>
      </x:c>
      <x:c r="N371" s="63" t="n">
        <x:f>'Drivers'!C371</x:f>
        <x:v>1687</x:v>
      </x:c>
      <x:c r="O371" s="63" t="n">
        <x:f>'Drivers'!D371</x:f>
        <x:v>1048.741</x:v>
      </x:c>
      <x:c r="P371" s="64" t="n">
        <x:f>ROUND(N371*O371/1000,3)</x:f>
        <x:v>1769.226</x:v>
      </x:c>
      <x:c r="Q371" s="64" t="n">
        <x:f>ROUND(P371*'Drivers'!E371,3)</x:f>
        <x:v>1725.545</x:v>
      </x:c>
      <x:c r="R371" s="64" t="n">
        <x:f>-ROUND(Q371*'Drivers'!F371,3)</x:f>
        <x:v>-320.403</x:v>
      </x:c>
      <x:c r="S371" s="65" t="n">
        <x:f>R371/Q371</x:f>
        <x:v>-0.18568220475270134</x:v>
      </x:c>
      <x:c r="T371" s="64" t="n">
        <x:f>-ROUND(Q371*'Drivers'!G371,3)</x:f>
        <x:v>-23.856</x:v>
      </x:c>
      <x:c r="U371" s="65" t="n">
        <x:f>T371/Q371</x:f>
        <x:v>-0.013825197256518955</x:v>
      </x:c>
      <x:c r="V371" s="64" t="n">
        <x:f>-ROUND(Q371*'Drivers'!H371,3)</x:f>
        <x:v>-15.852</x:v>
      </x:c>
      <x:c r="W371" s="64" t="n">
        <x:f>-ROUND(Q371*'Drivers'!I371,3)</x:f>
        <x:v>-17.278</x:v>
      </x:c>
      <x:c r="X371" s="64" t="n">
        <x:f>-ROUND(Q371*'Drivers'!J371,3)</x:f>
        <x:v>-23.189</x:v>
      </x:c>
      <x:c r="Y371" s="64" t="n">
        <x:f>-ROUND(Q371*'Drivers'!K371,3)</x:f>
        <x:v>-13.807</x:v>
      </x:c>
      <x:c r="Z371" s="64" t="n">
        <x:f>-ROUND(Q371*'Drivers'!L371,3)</x:f>
        <x:v>-22.708</x:v>
      </x:c>
      <x:c r="AA371" s="64" t="n">
        <x:f>-ROUND(Q371*'Drivers'!M371,3)</x:f>
        <x:v>-11.492</x:v>
      </x:c>
      <x:c r="AB371" s="64" t="n">
        <x:f>-ROUND(Q371*'Drivers'!N371,3)</x:f>
        <x:v>-13.962</x:v>
      </x:c>
      <x:c r="AC371" s="64" t="n">
        <x:f>SUM(V371:AB371)</x:f>
        <x:v>-118.288</x:v>
      </x:c>
      <x:c r="AD371" s="65" t="n">
        <x:f>AC371/Q371</x:f>
        <x:v>-0.06855109545100244</x:v>
      </x:c>
      <x:c r="AE371" s="64" t="n">
        <x:f>-ROUND(Q371*'Drivers'!O371,3)</x:f>
        <x:v>-13.827</x:v>
      </x:c>
      <x:c r="AF371" s="65" t="n">
        <x:f>AE371/Q371</x:f>
        <x:v>-0.00801312049236618</x:v>
      </x:c>
      <x:c r="AG371" s="64" t="n">
        <x:f>-ROUND(Q371*'Drivers'!P371,3)</x:f>
        <x:v>-0.371</x:v>
      </x:c>
      <x:c r="AH371" s="64" t="n">
        <x:f>-ROUND(Q371*'Drivers'!Q371,3)</x:f>
        <x:v>-11.517</x:v>
      </x:c>
      <x:c r="AI371" s="64" t="n">
        <x:f>SUM(R371,T371,AC371,AE371,AG371,AH371)</x:f>
        <x:v>-488.262</x:v>
      </x:c>
      <x:c r="AJ371" s="65" t="n">
        <x:f>AI371/Q371</x:f>
        <x:v>-0.2829610354989293</x:v>
      </x:c>
      <x:c r="AK371" s="64" t="n">
        <x:f>Q371+AI371</x:f>
        <x:v>1237.2830000000001</x:v>
      </x:c>
      <x:c r="AL371" s="65" t="n">
        <x:f>AK371/Q371</x:f>
        <x:v>0.7170389645010707</x:v>
      </x:c>
      <x:c r="AM371" s="64" t="n">
        <x:f>AK371/L371</x:f>
        <x:v>309.32075000000003</x:v>
      </x:c>
      <x:c r="AN371" s="66" t="str">
        <x:f>IF(AM371&lt;=200,"≤200K",IF(AM371&lt;=350,"200–350K",IF(AM371&lt;=500,"350–500K",IF(AM371&lt;=700,"500–700K","&gt;700K"))))</x:f>
        <x:v>200–350K</x:v>
      </x:c>
      <x:c r="AO371" s="64" t="n">
        <x:f>-ROUND(Q371*'Drivers'!R371,3)</x:f>
        <x:v>-614.182</x:v>
      </x:c>
      <x:c r="AP371" s="64" t="n">
        <x:f>-ROUND(AK371*'Drivers'!S371,3)</x:f>
        <x:v>-19.339</x:v>
      </x:c>
      <x:c r="AQ371" s="64" t="n">
        <x:f>-ROUND(AK371*'Drivers'!T371,3)</x:f>
        <x:v>-4.99</x:v>
      </x:c>
      <x:c r="AR371" s="64" t="n">
        <x:f>-ROUND(AK371*'Drivers'!U371,3)</x:f>
        <x:v>-14.5</x:v>
      </x:c>
      <x:c r="AS371" s="64" t="n">
        <x:f>-ROUND(AK371*'Drivers'!V371,3)</x:f>
        <x:v>-48.782</x:v>
      </x:c>
      <x:c r="AT371" s="64" t="n">
        <x:f>SUM(AO371:AS371)</x:f>
        <x:v>-701.793</x:v>
      </x:c>
      <x:c r="AU371" s="65" t="n">
        <x:f>AT371/AK371</x:f>
        <x:v>-0.5672049159327333</x:v>
      </x:c>
      <x:c r="AV371" s="64" t="n">
        <x:f>AK371+AT371</x:f>
        <x:v>535.4900000000001</x:v>
      </x:c>
      <x:c r="AW371" s="65" t="n">
        <x:f>AV371/AK371</x:f>
        <x:v>0.4327950840672668</x:v>
      </x:c>
      <x:c r="AX371" s="64" t="n">
        <x:f>-ROUND(AK371*'Drivers'!W371,3)</x:f>
        <x:v>-12.98</x:v>
      </x:c>
      <x:c r="AY371" s="64" t="n">
        <x:f>-ROUND(AK371*'Drivers'!X371,3)</x:f>
        <x:v>-21.798</x:v>
      </x:c>
      <x:c r="AZ371" s="64" t="n">
        <x:f>-ROUND(AK371*'Drivers'!Y371,3)</x:f>
        <x:v>-17.47</x:v>
      </x:c>
      <x:c r="BA371" s="64" t="n">
        <x:f>-ROUND(AK371*'Drivers'!Z371,3)</x:f>
        <x:v>-7.705</x:v>
      </x:c>
      <x:c r="BB371" s="64" t="n">
        <x:f>-ROUND(AK371*'Drivers'!AA371,3)</x:f>
        <x:v>-8.846</x:v>
      </x:c>
      <x:c r="BC371" s="64" t="n">
        <x:f>SUM(BA371,BB371)</x:f>
        <x:v>-16.551000000000002</x:v>
      </x:c>
      <x:c r="BD371" s="64" t="n">
        <x:f>-ROUND(AK371*'Drivers'!AB371,3)</x:f>
        <x:v>-6.247</x:v>
      </x:c>
      <x:c r="BE371" s="64" t="n">
        <x:f>SUM(AX371:BB371,BD371)</x:f>
        <x:v>-75.04599999999999</x:v>
      </x:c>
      <x:c r="BF371" s="67" t="n">
        <x:f>'Drivers'!AF371</x:f>
        <x:v>7</x:v>
      </x:c>
      <x:c r="BG371" s="64" t="n">
        <x:f>BJ371</x:f>
        <x:v>-31.224</x:v>
      </x:c>
      <x:c r="BH371" s="64" t="n">
        <x:f>BE371/BF371</x:f>
        <x:v>-10.720857142857142</x:v>
      </x:c>
      <x:c r="BI371" s="68" t="n">
        <x:f>BF371/L371</x:f>
        <x:v>1.75</x:v>
      </x:c>
      <x:c r="BJ371" s="64" t="n">
        <x:f>-ROUND(AK371*'Drivers'!AC371,3)</x:f>
        <x:v>-31.224</x:v>
      </x:c>
      <x:c r="BK371" s="64" t="n">
        <x:f>-ROUND(AK371*'Drivers'!AD371,3)</x:f>
        <x:v>-125.045</x:v>
      </x:c>
      <x:c r="BL371" s="64" t="n">
        <x:f>SUM(AV371,BE371,BJ371,BK371)</x:f>
        <x:v>304.1750000000001</x:v>
      </x:c>
      <x:c r="BM371" s="65" t="n">
        <x:f>BL371/AK371</x:f>
        <x:v>0.245841088902054</x:v>
      </x:c>
      <x:c r="BN371" s="64" t="n">
        <x:f>-ROUND(AK371*'Drivers'!AE371,3)</x:f>
        <x:v>-92.85</x:v>
      </x:c>
      <x:c r="BO371" s="64" t="n">
        <x:f>BL371+BN371</x:f>
        <x:v>211.32500000000013</x:v>
      </x:c>
      <x:c r="BP371" s="65" t="n">
        <x:f>BO371/AK371</x:f>
        <x:v>0.1707976267353549</x:v>
      </x:c>
    </x:row>
    <x:row r="372">
      <x:c r="A372" s="61" t="n">
        <x:v>2026</x:v>
      </x:c>
      <x:c r="B372" s="18" t="str">
        <x:v>S1</x:v>
      </x:c>
      <x:c r="C372" s="18" t="str">
        <x:v>2026 S1</x:v>
      </x:c>
      <x:c r="D372" s="18" t="str">
        <x:v>CNCT0093</x:v>
      </x:c>
      <x:c r="E372" s="18" t="str">
        <x:v>苏州美罗百货观前店</x:v>
      </x:c>
      <x:c r="F372" s="18" t="str">
        <x:v>苏州</x:v>
      </x:c>
      <x:c r="G372" s="18" t="str">
        <x:v>江苏省</x:v>
      </x:c>
      <x:c r="H372" s="18" t="str">
        <x:v>东区</x:v>
      </x:c>
      <x:c r="I372" s="18" t="str">
        <x:v>Department Store</x:v>
      </x:c>
      <x:c r="J372" s="18" t="str">
        <x:v>Core Shopping Center</x:v>
      </x:c>
      <x:c r="K372" s="18" t="str">
        <x:v>正常</x:v>
      </x:c>
      <x:c r="L372" s="62" t="n">
        <x:v>4</x:v>
      </x:c>
      <x:c r="M372" s="62" t="n">
        <x:v>38</x:v>
      </x:c>
      <x:c r="N372" s="63" t="n">
        <x:f>'Drivers'!C372</x:f>
        <x:v>1541</x:v>
      </x:c>
      <x:c r="O372" s="63" t="n">
        <x:f>'Drivers'!D372</x:f>
        <x:v>1096.242</x:v>
      </x:c>
      <x:c r="P372" s="64" t="n">
        <x:f>ROUND(N372*O372/1000,3)</x:f>
        <x:v>1689.309</x:v>
      </x:c>
      <x:c r="Q372" s="64" t="n">
        <x:f>ROUND(P372*'Drivers'!E372,3)</x:f>
        <x:v>1658.343</x:v>
      </x:c>
      <x:c r="R372" s="64" t="n">
        <x:f>-ROUND(Q372*'Drivers'!F372,3)</x:f>
        <x:v>-310.613</x:v>
      </x:c>
      <x:c r="S372" s="65" t="n">
        <x:f>R372/Q372</x:f>
        <x:v>-0.1873032297902183</x:v>
      </x:c>
      <x:c r="T372" s="64" t="n">
        <x:f>-ROUND(Q372*'Drivers'!G372,3)</x:f>
        <x:v>-22.088</x:v>
      </x:c>
      <x:c r="U372" s="65" t="n">
        <x:f>T372/Q372</x:f>
        <x:v>-0.013319319344671158</x:v>
      </x:c>
      <x:c r="V372" s="64" t="n">
        <x:f>-ROUND(Q372*'Drivers'!H372,3)</x:f>
        <x:v>-15.234</x:v>
      </x:c>
      <x:c r="W372" s="64" t="n">
        <x:f>-ROUND(Q372*'Drivers'!I372,3)</x:f>
        <x:v>-16.606</x:v>
      </x:c>
      <x:c r="X372" s="64" t="n">
        <x:f>-ROUND(Q372*'Drivers'!J372,3)</x:f>
        <x:v>-22.286</x:v>
      </x:c>
      <x:c r="Y372" s="64" t="n">
        <x:f>-ROUND(Q372*'Drivers'!K372,3)</x:f>
        <x:v>-13.27</x:v>
      </x:c>
      <x:c r="Z372" s="64" t="n">
        <x:f>-ROUND(Q372*'Drivers'!L372,3)</x:f>
        <x:v>-21.824</x:v>
      </x:c>
      <x:c r="AA372" s="64" t="n">
        <x:f>-ROUND(Q372*'Drivers'!M372,3)</x:f>
        <x:v>-11.044</x:v>
      </x:c>
      <x:c r="AB372" s="64" t="n">
        <x:f>-ROUND(Q372*'Drivers'!N372,3)</x:f>
        <x:v>-13.419</x:v>
      </x:c>
      <x:c r="AC372" s="64" t="n">
        <x:f>SUM(V372:AB372)</x:f>
        <x:v>-113.68299999999999</x:v>
      </x:c>
      <x:c r="AD372" s="65" t="n">
        <x:f>AC372/Q372</x:f>
        <x:v>-0.06855216321352096</x:v>
      </x:c>
      <x:c r="AE372" s="64" t="n">
        <x:f>-ROUND(Q372*'Drivers'!O372,3)</x:f>
        <x:v>-15.176</x:v>
      </x:c>
      <x:c r="AF372" s="65" t="n">
        <x:f>AE372/Q372</x:f>
        <x:v>-0.00915130343963824</x:v>
      </x:c>
      <x:c r="AG372" s="64" t="n">
        <x:f>-ROUND(Q372*'Drivers'!P372,3)</x:f>
        <x:v>-0.357</x:v>
      </x:c>
      <x:c r="AH372" s="64" t="n">
        <x:f>-ROUND(Q372*'Drivers'!Q372,3)</x:f>
        <x:v>-11.068</x:v>
      </x:c>
      <x:c r="AI372" s="64" t="n">
        <x:f>SUM(R372,T372,AC372,AE372,AG372,AH372)</x:f>
        <x:v>-472.985</x:v>
      </x:c>
      <x:c r="AJ372" s="65" t="n">
        <x:f>AI372/Q372</x:f>
        <x:v>-0.2852154228648717</x:v>
      </x:c>
      <x:c r="AK372" s="64" t="n">
        <x:f>Q372+AI372</x:f>
        <x:v>1185.3580000000002</x:v>
      </x:c>
      <x:c r="AL372" s="65" t="n">
        <x:f>AK372/Q372</x:f>
        <x:v>0.7147845771351283</x:v>
      </x:c>
      <x:c r="AM372" s="64" t="n">
        <x:f>AK372/L372</x:f>
        <x:v>296.33950000000004</x:v>
      </x:c>
      <x:c r="AN372" s="66" t="str">
        <x:f>IF(AM372&lt;=200,"≤200K",IF(AM372&lt;=350,"200–350K",IF(AM372&lt;=500,"350–500K",IF(AM372&lt;=700,"500–700K","&gt;700K"))))</x:f>
        <x:v>200–350K</x:v>
      </x:c>
      <x:c r="AO372" s="64" t="n">
        <x:f>-ROUND(Q372*'Drivers'!R372,3)</x:f>
        <x:v>-617.585</x:v>
      </x:c>
      <x:c r="AP372" s="64" t="n">
        <x:f>-ROUND(AK372*'Drivers'!S372,3)</x:f>
        <x:v>-18.527</x:v>
      </x:c>
      <x:c r="AQ372" s="64" t="n">
        <x:f>-ROUND(AK372*'Drivers'!T372,3)</x:f>
        <x:v>-4.78</x:v>
      </x:c>
      <x:c r="AR372" s="64" t="n">
        <x:f>-ROUND(AK372*'Drivers'!U372,3)</x:f>
        <x:v>-13.891</x:v>
      </x:c>
      <x:c r="AS372" s="64" t="n">
        <x:f>-ROUND(AK372*'Drivers'!V372,3)</x:f>
        <x:v>-46.735</x:v>
      </x:c>
      <x:c r="AT372" s="64" t="n">
        <x:f>SUM(AO372:AS372)</x:f>
        <x:v>-701.518</x:v>
      </x:c>
      <x:c r="AU372" s="65" t="n">
        <x:f>AT372/AK372</x:f>
        <x:v>-0.5918195178165583</x:v>
      </x:c>
      <x:c r="AV372" s="64" t="n">
        <x:f>AK372+AT372</x:f>
        <x:v>483.84000000000015</x:v>
      </x:c>
      <x:c r="AW372" s="65" t="n">
        <x:f>AV372/AK372</x:f>
        <x:v>0.40818048218344166</x:v>
      </x:c>
      <x:c r="AX372" s="64" t="n">
        <x:f>-ROUND(AK372*'Drivers'!W372,3)</x:f>
        <x:v>-15.3</x:v>
      </x:c>
      <x:c r="AY372" s="64" t="n">
        <x:f>-ROUND(AK372*'Drivers'!X372,3)</x:f>
        <x:v>-25.696</x:v>
      </x:c>
      <x:c r="AZ372" s="64" t="n">
        <x:f>-ROUND(AK372*'Drivers'!Y372,3)</x:f>
        <x:v>-20.594</x:v>
      </x:c>
      <x:c r="BA372" s="64" t="n">
        <x:f>-ROUND(AK372*'Drivers'!Z372,3)</x:f>
        <x:v>-9.083</x:v>
      </x:c>
      <x:c r="BB372" s="64" t="n">
        <x:f>-ROUND(AK372*'Drivers'!AA372,3)</x:f>
        <x:v>-10.428</x:v>
      </x:c>
      <x:c r="BC372" s="64" t="n">
        <x:f>SUM(BA372,BB372)</x:f>
        <x:v>-19.511000000000003</x:v>
      </x:c>
      <x:c r="BD372" s="64" t="n">
        <x:f>-ROUND(AK372*'Drivers'!AB372,3)</x:f>
        <x:v>-7.365</x:v>
      </x:c>
      <x:c r="BE372" s="64" t="n">
        <x:f>SUM(AX372:BB372,BD372)</x:f>
        <x:v>-88.466</x:v>
      </x:c>
      <x:c r="BF372" s="67" t="n">
        <x:f>'Drivers'!AF372</x:f>
        <x:v>7</x:v>
      </x:c>
      <x:c r="BG372" s="64" t="n">
        <x:f>BJ372</x:f>
        <x:v>-36.808</x:v>
      </x:c>
      <x:c r="BH372" s="64" t="n">
        <x:f>BE372/BF372</x:f>
        <x:v>-12.638</x:v>
      </x:c>
      <x:c r="BI372" s="68" t="n">
        <x:f>BF372/L372</x:f>
        <x:v>1.75</x:v>
      </x:c>
      <x:c r="BJ372" s="64" t="n">
        <x:f>-ROUND(AK372*'Drivers'!AC372,3)</x:f>
        <x:v>-36.808</x:v>
      </x:c>
      <x:c r="BK372" s="64" t="n">
        <x:f>-ROUND(AK372*'Drivers'!AD372,3)</x:f>
        <x:v>-119.798</x:v>
      </x:c>
      <x:c r="BL372" s="64" t="n">
        <x:f>SUM(AV372,BE372,BJ372,BK372)</x:f>
        <x:v>238.76800000000014</x:v>
      </x:c>
      <x:c r="BM372" s="65" t="n">
        <x:f>BL372/AK372</x:f>
        <x:v>0.2014311288235285</x:v>
      </x:c>
      <x:c r="BN372" s="64" t="n">
        <x:f>-ROUND(AK372*'Drivers'!AE372,3)</x:f>
        <x:v>-88.953</x:v>
      </x:c>
      <x:c r="BO372" s="64" t="n">
        <x:f>BL372+BN372</x:f>
        <x:v>149.81500000000014</x:v>
      </x:c>
      <x:c r="BP372" s="65" t="n">
        <x:f>BO372/AK372</x:f>
        <x:v>0.1263879773030596</x:v>
      </x:c>
    </x:row>
    <x:row r="373">
      <x:c r="A373" s="61" t="n">
        <x:v>2026</x:v>
      </x:c>
      <x:c r="B373" s="18" t="str">
        <x:v>S2</x:v>
      </x:c>
      <x:c r="C373" s="18" t="str">
        <x:v>2026 S2</x:v>
      </x:c>
      <x:c r="D373" s="18" t="str">
        <x:v>CNCT0093</x:v>
      </x:c>
      <x:c r="E373" s="18" t="str">
        <x:v>苏州美罗百货观前店</x:v>
      </x:c>
      <x:c r="F373" s="18" t="str">
        <x:v>苏州</x:v>
      </x:c>
      <x:c r="G373" s="18" t="str">
        <x:v>江苏省</x:v>
      </x:c>
      <x:c r="H373" s="18" t="str">
        <x:v>东区</x:v>
      </x:c>
      <x:c r="I373" s="18" t="str">
        <x:v>Department Store</x:v>
      </x:c>
      <x:c r="J373" s="18" t="str">
        <x:v>Core Shopping Center</x:v>
      </x:c>
      <x:c r="K373" s="18" t="str">
        <x:v>正常</x:v>
      </x:c>
      <x:c r="L373" s="62" t="n">
        <x:v>4</x:v>
      </x:c>
      <x:c r="M373" s="62" t="n">
        <x:v>38</x:v>
      </x:c>
      <x:c r="N373" s="63" t="n">
        <x:f>'Drivers'!C373</x:f>
        <x:v>1704</x:v>
      </x:c>
      <x:c r="O373" s="63" t="n">
        <x:f>'Drivers'!D373</x:f>
        <x:v>1069.686</x:v>
      </x:c>
      <x:c r="P373" s="64" t="n">
        <x:f>ROUND(N373*O373/1000,3)</x:f>
        <x:v>1822.745</x:v>
      </x:c>
      <x:c r="Q373" s="64" t="n">
        <x:f>ROUND(P373*'Drivers'!E373,3)</x:f>
        <x:v>1777.743</x:v>
      </x:c>
      <x:c r="R373" s="64" t="n">
        <x:f>-ROUND(Q373*'Drivers'!F373,3)</x:f>
        <x:v>-324.545</x:v>
      </x:c>
      <x:c r="S373" s="65" t="n">
        <x:f>R373/Q373</x:f>
        <x:v>-0.18256013383261813</x:v>
      </x:c>
      <x:c r="T373" s="64" t="n">
        <x:f>-ROUND(Q373*'Drivers'!G373,3)</x:f>
        <x:v>-27.261</x:v>
      </x:c>
      <x:c r="U373" s="65" t="n">
        <x:f>T373/Q373</x:f>
        <x:v>-0.015334612483356706</x:v>
      </x:c>
      <x:c r="V373" s="64" t="n">
        <x:f>-ROUND(Q373*'Drivers'!H373,3)</x:f>
        <x:v>-16.331</x:v>
      </x:c>
      <x:c r="W373" s="64" t="n">
        <x:f>-ROUND(Q373*'Drivers'!I373,3)</x:f>
        <x:v>-17.801</x:v>
      </x:c>
      <x:c r="X373" s="64" t="n">
        <x:f>-ROUND(Q373*'Drivers'!J373,3)</x:f>
        <x:v>-23.89</x:v>
      </x:c>
      <x:c r="Y373" s="64" t="n">
        <x:f>-ROUND(Q373*'Drivers'!K373,3)</x:f>
        <x:v>-14.225</x:v>
      </x:c>
      <x:c r="Z373" s="64" t="n">
        <x:f>-ROUND(Q373*'Drivers'!L373,3)</x:f>
        <x:v>-23.395</x:v>
      </x:c>
      <x:c r="AA373" s="64" t="n">
        <x:f>-ROUND(Q373*'Drivers'!M373,3)</x:f>
        <x:v>-11.839</x:v>
      </x:c>
      <x:c r="AB373" s="64" t="n">
        <x:f>-ROUND(Q373*'Drivers'!N373,3)</x:f>
        <x:v>-14.385</x:v>
      </x:c>
      <x:c r="AC373" s="64" t="n">
        <x:f>SUM(V373:AB373)</x:f>
        <x:v>-121.866</x:v>
      </x:c>
      <x:c r="AD373" s="65" t="n">
        <x:f>AC373/Q373</x:f>
        <x:v>-0.06855096602827293</x:v>
      </x:c>
      <x:c r="AE373" s="64" t="n">
        <x:f>-ROUND(Q373*'Drivers'!O373,3)</x:f>
        <x:v>-14.245</x:v>
      </x:c>
      <x:c r="AF373" s="65" t="n">
        <x:f>AE373/Q373</x:f>
        <x:v>-0.008012969253711026</x:v>
      </x:c>
      <x:c r="AG373" s="64" t="n">
        <x:f>-ROUND(Q373*'Drivers'!P373,3)</x:f>
        <x:v>-0.382</x:v>
      </x:c>
      <x:c r="AH373" s="64" t="n">
        <x:f>-ROUND(Q373*'Drivers'!Q373,3)</x:f>
        <x:v>-11.865</x:v>
      </x:c>
      <x:c r="AI373" s="64" t="n">
        <x:f>SUM(R373,T373,AC373,AE373,AG373,AH373)</x:f>
        <x:v>-500.16400000000004</x:v>
      </x:c>
      <x:c r="AJ373" s="65" t="n">
        <x:f>AI373/Q373</x:f>
        <x:v>-0.28134775386543504</x:v>
      </x:c>
      <x:c r="AK373" s="64" t="n">
        <x:f>Q373+AI373</x:f>
        <x:v>1277.579</x:v>
      </x:c>
      <x:c r="AL373" s="65" t="n">
        <x:f>AK373/Q373</x:f>
        <x:v>0.718652246134565</x:v>
      </x:c>
      <x:c r="AM373" s="64" t="n">
        <x:f>AK373/L373</x:f>
        <x:v>319.39475</x:v>
      </x:c>
      <x:c r="AN373" s="66" t="str">
        <x:f>IF(AM373&lt;=200,"≤200K",IF(AM373&lt;=350,"200–350K",IF(AM373&lt;=500,"350–500K",IF(AM373&lt;=700,"500–700K","&gt;700K"))))</x:f>
        <x:v>200–350K</x:v>
      </x:c>
      <x:c r="AO373" s="64" t="n">
        <x:f>-ROUND(Q373*'Drivers'!R373,3)</x:f>
        <x:v>-627.197</x:v>
      </x:c>
      <x:c r="AP373" s="64" t="n">
        <x:f>-ROUND(AK373*'Drivers'!S373,3)</x:f>
        <x:v>-19.968</x:v>
      </x:c>
      <x:c r="AQ373" s="64" t="n">
        <x:f>-ROUND(AK373*'Drivers'!T373,3)</x:f>
        <x:v>-5.152</x:v>
      </x:c>
      <x:c r="AR373" s="64" t="n">
        <x:f>-ROUND(AK373*'Drivers'!U373,3)</x:f>
        <x:v>-14.972</x:v>
      </x:c>
      <x:c r="AS373" s="64" t="n">
        <x:f>-ROUND(AK373*'Drivers'!V373,3)</x:f>
        <x:v>-50.371</x:v>
      </x:c>
      <x:c r="AT373" s="64" t="n">
        <x:f>SUM(AO373:AS373)</x:f>
        <x:v>-717.66</x:v>
      </x:c>
      <x:c r="AU373" s="65" t="n">
        <x:f>AT373/AK373</x:f>
        <x:v>-0.5617343428469003</x:v>
      </x:c>
      <x:c r="AV373" s="64" t="n">
        <x:f>AK373+AT373</x:f>
        <x:v>559.919</x:v>
      </x:c>
      <x:c r="AW373" s="65" t="n">
        <x:f>AV373/AK373</x:f>
        <x:v>0.43826565715309973</x:v>
      </x:c>
      <x:c r="AX373" s="64" t="n">
        <x:f>-ROUND(AK373*'Drivers'!W373,3)</x:f>
        <x:v>-14.206</x:v>
      </x:c>
      <x:c r="AY373" s="64" t="n">
        <x:f>-ROUND(AK373*'Drivers'!X373,3)</x:f>
        <x:v>-23.859</x:v>
      </x:c>
      <x:c r="AZ373" s="64" t="n">
        <x:f>-ROUND(AK373*'Drivers'!Y373,3)</x:f>
        <x:v>-19.122</x:v>
      </x:c>
      <x:c r="BA373" s="64" t="n">
        <x:f>-ROUND(AK373*'Drivers'!Z373,3)</x:f>
        <x:v>-8.434</x:v>
      </x:c>
      <x:c r="BB373" s="64" t="n">
        <x:f>-ROUND(AK373*'Drivers'!AA373,3)</x:f>
        <x:v>-9.682</x:v>
      </x:c>
      <x:c r="BC373" s="64" t="n">
        <x:f>SUM(BA373,BB373)</x:f>
        <x:v>-18.116</x:v>
      </x:c>
      <x:c r="BD373" s="64" t="n">
        <x:f>-ROUND(AK373*'Drivers'!AB373,3)</x:f>
        <x:v>-6.838</x:v>
      </x:c>
      <x:c r="BE373" s="64" t="n">
        <x:f>SUM(AX373:BB373,BD373)</x:f>
        <x:v>-82.14099999999999</x:v>
      </x:c>
      <x:c r="BF373" s="67" t="n">
        <x:f>'Drivers'!AF373</x:f>
        <x:v>7</x:v>
      </x:c>
      <x:c r="BG373" s="64" t="n">
        <x:f>BJ373</x:f>
        <x:v>-34.176</x:v>
      </x:c>
      <x:c r="BH373" s="64" t="n">
        <x:f>BE373/BF373</x:f>
        <x:v>-11.73442857142857</x:v>
      </x:c>
      <x:c r="BI373" s="68" t="n">
        <x:f>BF373/L373</x:f>
        <x:v>1.75</x:v>
      </x:c>
      <x:c r="BJ373" s="64" t="n">
        <x:f>-ROUND(AK373*'Drivers'!AC373,3)</x:f>
        <x:v>-34.176</x:v>
      </x:c>
      <x:c r="BK373" s="64" t="n">
        <x:f>-ROUND(AK373*'Drivers'!AD373,3)</x:f>
        <x:v>-129.118</x:v>
      </x:c>
      <x:c r="BL373" s="64" t="n">
        <x:f>SUM(AV373,BE373,BJ373,BK373)</x:f>
        <x:v>314.48400000000004</x:v>
      </x:c>
      <x:c r="BM373" s="65" t="n">
        <x:f>BL373/AK373</x:f>
        <x:v>0.24615620638723715</x:v>
      </x:c>
      <x:c r="BN373" s="64" t="n">
        <x:f>-ROUND(AK373*'Drivers'!AE373,3)</x:f>
        <x:v>-95.874</x:v>
      </x:c>
      <x:c r="BO373" s="64" t="n">
        <x:f>BL373+BN373</x:f>
        <x:v>218.61000000000004</x:v>
      </x:c>
      <x:c r="BP373" s="65" t="n">
        <x:f>BO373/AK373</x:f>
        <x:v>0.17111270614185115</x:v>
      </x:c>
    </x:row>
    <x:row r="374">
      <x:c r="A374" s="61" t="n">
        <x:v>2025</x:v>
      </x:c>
      <x:c r="B374" s="18" t="str">
        <x:v>S1</x:v>
      </x:c>
      <x:c r="C374" s="18" t="str">
        <x:v>2025 S1</x:v>
      </x:c>
      <x:c r="D374" s="18" t="str">
        <x:v>CNCT0094</x:v>
      </x:c>
      <x:c r="E374" s="18" t="str">
        <x:v>苏州比斯特购物村</x:v>
      </x:c>
      <x:c r="F374" s="18" t="str">
        <x:v>苏州</x:v>
      </x:c>
      <x:c r="G374" s="18" t="str">
        <x:v>江苏省</x:v>
      </x:c>
      <x:c r="H374" s="18" t="str">
        <x:v>东区</x:v>
      </x:c>
      <x:c r="I374" s="18" t="str">
        <x:v>Shopping Mall</x:v>
      </x:c>
      <x:c r="J374" s="18" t="str">
        <x:v>Core Shopping Center</x:v>
      </x:c>
      <x:c r="K374" s="18" t="str">
        <x:v>正常</x:v>
      </x:c>
      <x:c r="L374" s="62" t="n">
        <x:v>5</x:v>
      </x:c>
      <x:c r="M374" s="62" t="n">
        <x:v>38</x:v>
      </x:c>
      <x:c r="N374" s="63" t="n">
        <x:f>'Drivers'!C374</x:f>
        <x:v>1581</x:v>
      </x:c>
      <x:c r="O374" s="63" t="n">
        <x:f>'Drivers'!D374</x:f>
        <x:v>1022.512</x:v>
      </x:c>
      <x:c r="P374" s="64" t="n">
        <x:f>ROUND(N374*O374/1000,3)</x:f>
        <x:v>1616.591</x:v>
      </x:c>
      <x:c r="Q374" s="64" t="n">
        <x:f>ROUND(P374*'Drivers'!E374,3)</x:f>
        <x:v>1573.075</x:v>
      </x:c>
      <x:c r="R374" s="64" t="n">
        <x:f>-ROUND(Q374*'Drivers'!F374,3)</x:f>
        <x:v>-318.06</x:v>
      </x:c>
      <x:c r="S374" s="65" t="n">
        <x:f>R374/Q374</x:f>
        <x:v>-0.20218997822735724</x:v>
      </x:c>
      <x:c r="T374" s="64" t="n">
        <x:f>-ROUND(Q374*'Drivers'!G374,3)</x:f>
        <x:v>-20.776</x:v>
      </x:c>
      <x:c r="U374" s="65" t="n">
        <x:f>T374/Q374</x:f>
        <x:v>-0.013207253309600623</x:v>
      </x:c>
      <x:c r="V374" s="64" t="n">
        <x:f>-ROUND(Q374*'Drivers'!H374,3)</x:f>
        <x:v>-11.341</x:v>
      </x:c>
      <x:c r="W374" s="64" t="n">
        <x:f>-ROUND(Q374*'Drivers'!I374,3)</x:f>
        <x:v>-12.587</x:v>
      </x:c>
      <x:c r="X374" s="64" t="n">
        <x:f>-ROUND(Q374*'Drivers'!J374,3)</x:f>
        <x:v>-18.781</x:v>
      </x:c>
      <x:c r="Y374" s="64" t="n">
        <x:f>-ROUND(Q374*'Drivers'!K374,3)</x:f>
        <x:v>-15.43</x:v>
      </x:c>
      <x:c r="Z374" s="64" t="n">
        <x:f>-ROUND(Q374*'Drivers'!L374,3)</x:f>
        <x:v>-17.5</x:v>
      </x:c>
      <x:c r="AA374" s="64" t="n">
        <x:f>-ROUND(Q374*'Drivers'!M374,3)</x:f>
        <x:v>-14.109</x:v>
      </x:c>
      <x:c r="AB374" s="64" t="n">
        <x:f>-ROUND(Q374*'Drivers'!N374,3)</x:f>
        <x:v>-10.112</x:v>
      </x:c>
      <x:c r="AC374" s="64" t="n">
        <x:f>SUM(V374:AB374)</x:f>
        <x:v>-99.85999999999999</x:v>
      </x:c>
      <x:c r="AD374" s="65" t="n">
        <x:f>AC374/Q374</x:f>
        <x:v>-0.06348076220142078</x:v>
      </x:c>
      <x:c r="AE374" s="64" t="n">
        <x:f>-ROUND(Q374*'Drivers'!O374,3)</x:f>
        <x:v>-14.768</x:v>
      </x:c>
      <x:c r="AF374" s="65" t="n">
        <x:f>AE374/Q374</x:f>
        <x:v>-0.009387982136897477</x:v>
      </x:c>
      <x:c r="AG374" s="64" t="n">
        <x:f>-ROUND(Q374*'Drivers'!P374,3)</x:f>
        <x:v>-0.922</x:v>
      </x:c>
      <x:c r="AH374" s="64" t="n">
        <x:f>-ROUND(Q374*'Drivers'!Q374,3)</x:f>
        <x:v>-6.398</x:v>
      </x:c>
      <x:c r="AI374" s="64" t="n">
        <x:f>SUM(R374,T374,AC374,AE374,AG374,AH374)</x:f>
        <x:v>-460.7840000000001</x:v>
      </x:c>
      <x:c r="AJ374" s="65" t="n">
        <x:f>AI374/Q374</x:f>
        <x:v>-0.29291928229741115</x:v>
      </x:c>
      <x:c r="AK374" s="64" t="n">
        <x:f>Q374+AI374</x:f>
        <x:v>1112.291</x:v>
      </x:c>
      <x:c r="AL374" s="65" t="n">
        <x:f>AK374/Q374</x:f>
        <x:v>0.7070807177025888</x:v>
      </x:c>
      <x:c r="AM374" s="64" t="n">
        <x:f>AK374/L374</x:f>
        <x:v>222.45819999999998</x:v>
      </x:c>
      <x:c r="AN374" s="66" t="str">
        <x:f>IF(AM374&lt;=200,"≤200K",IF(AM374&lt;=350,"200–350K",IF(AM374&lt;=500,"350–500K",IF(AM374&lt;=700,"500–700K","&gt;700K"))))</x:f>
        <x:v>200–350K</x:v>
      </x:c>
      <x:c r="AO374" s="64" t="n">
        <x:f>-ROUND(Q374*'Drivers'!R374,3)</x:f>
        <x:v>-552.306</x:v>
      </x:c>
      <x:c r="AP374" s="64" t="n">
        <x:f>-ROUND(AK374*'Drivers'!S374,3)</x:f>
        <x:v>-18.769</x:v>
      </x:c>
      <x:c r="AQ374" s="64" t="n">
        <x:f>-ROUND(AK374*'Drivers'!T374,3)</x:f>
        <x:v>-4.269</x:v>
      </x:c>
      <x:c r="AR374" s="64" t="n">
        <x:f>-ROUND(AK374*'Drivers'!U374,3)</x:f>
        <x:v>-13.482</x:v>
      </x:c>
      <x:c r="AS374" s="64" t="n">
        <x:f>-ROUND(AK374*'Drivers'!V374,3)</x:f>
        <x:v>-33.672</x:v>
      </x:c>
      <x:c r="AT374" s="64" t="n">
        <x:f>SUM(AO374:AS374)</x:f>
        <x:v>-622.498</x:v>
      </x:c>
      <x:c r="AU374" s="65" t="n">
        <x:f>AT374/AK374</x:f>
        <x:v>-0.5596539035198523</x:v>
      </x:c>
      <x:c r="AV374" s="64" t="n">
        <x:f>AK374+AT374</x:f>
        <x:v>489.7929999999999</x:v>
      </x:c>
      <x:c r="AW374" s="65" t="n">
        <x:f>AV374/AK374</x:f>
        <x:v>0.44034609648014766</x:v>
      </x:c>
      <x:c r="AX374" s="64" t="n">
        <x:f>-ROUND(AK374*'Drivers'!W374,3)</x:f>
        <x:v>-11.119</x:v>
      </x:c>
      <x:c r="AY374" s="64" t="n">
        <x:f>-ROUND(AK374*'Drivers'!X374,3)</x:f>
        <x:v>-25.766</x:v>
      </x:c>
      <x:c r="AZ374" s="64" t="n">
        <x:f>-ROUND(AK374*'Drivers'!Y374,3)</x:f>
        <x:v>-17.244</x:v>
      </x:c>
      <x:c r="BA374" s="64" t="n">
        <x:f>-ROUND(AK374*'Drivers'!Z374,3)</x:f>
        <x:v>-5.7</x:v>
      </x:c>
      <x:c r="BB374" s="64" t="n">
        <x:f>-ROUND(AK374*'Drivers'!AA374,3)</x:f>
        <x:v>-9.176</x:v>
      </x:c>
      <x:c r="BC374" s="64" t="n">
        <x:f>SUM(BA374,BB374)</x:f>
        <x:v>-14.876000000000001</x:v>
      </x:c>
      <x:c r="BD374" s="64" t="n">
        <x:f>-ROUND(AK374*'Drivers'!AB374,3)</x:f>
        <x:v>-4.288</x:v>
      </x:c>
      <x:c r="BE374" s="64" t="n">
        <x:f>SUM(AX374:BB374,BD374)</x:f>
        <x:v>-73.29299999999999</x:v>
      </x:c>
      <x:c r="BF374" s="67" t="n">
        <x:f>'Drivers'!AF374</x:f>
        <x:v>9</x:v>
      </x:c>
      <x:c r="BG374" s="64" t="n">
        <x:f>BJ374</x:f>
        <x:v>-26.665</x:v>
      </x:c>
      <x:c r="BH374" s="64" t="n">
        <x:f>BE374/BF374</x:f>
        <x:v>-8.143666666666666</x:v>
      </x:c>
      <x:c r="BI374" s="68" t="n">
        <x:f>BF374/L374</x:f>
        <x:v>1.8</x:v>
      </x:c>
      <x:c r="BJ374" s="64" t="n">
        <x:f>-ROUND(AK374*'Drivers'!AC374,3)</x:f>
        <x:v>-26.665</x:v>
      </x:c>
      <x:c r="BK374" s="64" t="n">
        <x:f>-ROUND(AK374*'Drivers'!AD374,3)</x:f>
        <x:v>-101.036</x:v>
      </x:c>
      <x:c r="BL374" s="64" t="n">
        <x:f>SUM(AV374,BE374,BJ374,BK374)</x:f>
        <x:v>288.79899999999986</x:v>
      </x:c>
      <x:c r="BM374" s="65" t="n">
        <x:f>BL374/AK374</x:f>
        <x:v>0.2596433846897978</x:v>
      </x:c>
      <x:c r="BN374" s="64" t="n">
        <x:f>-ROUND(AK374*'Drivers'!AE374,3)</x:f>
        <x:v>-88.587</x:v>
      </x:c>
      <x:c r="BO374" s="64" t="n">
        <x:f>BL374+BN374</x:f>
        <x:v>200.21199999999988</x:v>
      </x:c>
      <x:c r="BP374" s="65" t="n">
        <x:f>BO374/AK374</x:f>
        <x:v>0.17999965836278445</x:v>
      </x:c>
    </x:row>
    <x:row r="375">
      <x:c r="A375" s="61" t="n">
        <x:v>2025</x:v>
      </x:c>
      <x:c r="B375" s="18" t="str">
        <x:v>S2</x:v>
      </x:c>
      <x:c r="C375" s="18" t="str">
        <x:v>2025 S2</x:v>
      </x:c>
      <x:c r="D375" s="18" t="str">
        <x:v>CNCT0094</x:v>
      </x:c>
      <x:c r="E375" s="18" t="str">
        <x:v>苏州比斯特购物村</x:v>
      </x:c>
      <x:c r="F375" s="18" t="str">
        <x:v>苏州</x:v>
      </x:c>
      <x:c r="G375" s="18" t="str">
        <x:v>江苏省</x:v>
      </x:c>
      <x:c r="H375" s="18" t="str">
        <x:v>东区</x:v>
      </x:c>
      <x:c r="I375" s="18" t="str">
        <x:v>Shopping Mall</x:v>
      </x:c>
      <x:c r="J375" s="18" t="str">
        <x:v>Core Shopping Center</x:v>
      </x:c>
      <x:c r="K375" s="18" t="str">
        <x:v>正常</x:v>
      </x:c>
      <x:c r="L375" s="62" t="n">
        <x:v>5</x:v>
      </x:c>
      <x:c r="M375" s="62" t="n">
        <x:v>38</x:v>
      </x:c>
      <x:c r="N375" s="63" t="n">
        <x:f>'Drivers'!C375</x:f>
        <x:v>1698</x:v>
      </x:c>
      <x:c r="O375" s="63" t="n">
        <x:f>'Drivers'!D375</x:f>
        <x:v>1034.782</x:v>
      </x:c>
      <x:c r="P375" s="64" t="n">
        <x:f>ROUND(N375*O375/1000,3)</x:f>
        <x:v>1757.06</x:v>
      </x:c>
      <x:c r="Q375" s="64" t="n">
        <x:f>ROUND(P375*'Drivers'!E375,3)</x:f>
        <x:v>1696.21</x:v>
      </x:c>
      <x:c r="R375" s="64" t="n">
        <x:f>-ROUND(Q375*'Drivers'!F375,3)</x:f>
        <x:v>-342.957</x:v>
      </x:c>
      <x:c r="S375" s="65" t="n">
        <x:f>R375/Q375</x:f>
        <x:v>-0.20219017692384786</x:v>
      </x:c>
      <x:c r="T375" s="64" t="n">
        <x:f>-ROUND(Q375*'Drivers'!G375,3)</x:f>
        <x:v>-22.402</x:v>
      </x:c>
      <x:c r="U375" s="65" t="n">
        <x:f>T375/Q375</x:f>
        <x:v>-0.013207091103106337</x:v>
      </x:c>
      <x:c r="V375" s="64" t="n">
        <x:f>-ROUND(Q375*'Drivers'!H375,3)</x:f>
        <x:v>-12.229</x:v>
      </x:c>
      <x:c r="W375" s="64" t="n">
        <x:f>-ROUND(Q375*'Drivers'!I375,3)</x:f>
        <x:v>-13.572</x:v>
      </x:c>
      <x:c r="X375" s="64" t="n">
        <x:f>-ROUND(Q375*'Drivers'!J375,3)</x:f>
        <x:v>-20.251</x:v>
      </x:c>
      <x:c r="Y375" s="64" t="n">
        <x:f>-ROUND(Q375*'Drivers'!K375,3)</x:f>
        <x:v>-16.638</x:v>
      </x:c>
      <x:c r="Z375" s="64" t="n">
        <x:f>-ROUND(Q375*'Drivers'!L375,3)</x:f>
        <x:v>-18.869</x:v>
      </x:c>
      <x:c r="AA375" s="64" t="n">
        <x:f>-ROUND(Q375*'Drivers'!M375,3)</x:f>
        <x:v>-15.213</x:v>
      </x:c>
      <x:c r="AB375" s="64" t="n">
        <x:f>-ROUND(Q375*'Drivers'!N375,3)</x:f>
        <x:v>-10.904</x:v>
      </x:c>
      <x:c r="AC375" s="64" t="n">
        <x:f>SUM(V375:AB375)</x:f>
        <x:v>-107.67599999999999</x:v>
      </x:c>
      <x:c r="AD375" s="65" t="n">
        <x:f>AC375/Q375</x:f>
        <x:v>-0.06348034736264967</x:v>
      </x:c>
      <x:c r="AE375" s="64" t="n">
        <x:f>-ROUND(Q375*'Drivers'!O375,3)</x:f>
        <x:v>-15.924</x:v>
      </x:c>
      <x:c r="AF375" s="65" t="n">
        <x:f>AE375/Q375</x:f>
        <x:v>-0.009387988515572954</x:v>
      </x:c>
      <x:c r="AG375" s="64" t="n">
        <x:f>-ROUND(Q375*'Drivers'!P375,3)</x:f>
        <x:v>-0.994</x:v>
      </x:c>
      <x:c r="AH375" s="64" t="n">
        <x:f>-ROUND(Q375*'Drivers'!Q375,3)</x:f>
        <x:v>-6.899</x:v>
      </x:c>
      <x:c r="AI375" s="64" t="n">
        <x:f>SUM(R375,T375,AC375,AE375,AG375,AH375)</x:f>
        <x:v>-496.852</x:v>
      </x:c>
      <x:c r="AJ375" s="65" t="n">
        <x:f>AI375/Q375</x:f>
        <x:v>-0.2929189192375944</x:v>
      </x:c>
      <x:c r="AK375" s="64" t="n">
        <x:f>Q375+AI375</x:f>
        <x:v>1199.3580000000002</x:v>
      </x:c>
      <x:c r="AL375" s="65" t="n">
        <x:f>AK375/Q375</x:f>
        <x:v>0.7070810807624057</x:v>
      </x:c>
      <x:c r="AM375" s="64" t="n">
        <x:f>AK375/L375</x:f>
        <x:v>239.87160000000003</x:v>
      </x:c>
      <x:c r="AN375" s="66" t="str">
        <x:f>IF(AM375&lt;=200,"≤200K",IF(AM375&lt;=350,"200–350K",IF(AM375&lt;=500,"350–500K",IF(AM375&lt;=700,"500–700K","&gt;700K"))))</x:f>
        <x:v>200–350K</x:v>
      </x:c>
      <x:c r="AO375" s="64" t="n">
        <x:f>-ROUND(Q375*'Drivers'!R375,3)</x:f>
        <x:v>-602.725</x:v>
      </x:c>
      <x:c r="AP375" s="64" t="n">
        <x:f>-ROUND(AK375*'Drivers'!S375,3)</x:f>
        <x:v>-20.239</x:v>
      </x:c>
      <x:c r="AQ375" s="64" t="n">
        <x:f>-ROUND(AK375*'Drivers'!T375,3)</x:f>
        <x:v>-4.603</x:v>
      </x:c>
      <x:c r="AR375" s="64" t="n">
        <x:f>-ROUND(AK375*'Drivers'!U375,3)</x:f>
        <x:v>-14.537</x:v>
      </x:c>
      <x:c r="AS375" s="64" t="n">
        <x:f>-ROUND(AK375*'Drivers'!V375,3)</x:f>
        <x:v>-36.307</x:v>
      </x:c>
      <x:c r="AT375" s="64" t="n">
        <x:f>SUM(AO375:AS375)</x:f>
        <x:v>-678.4110000000001</x:v>
      </x:c>
      <x:c r="AU375" s="65" t="n">
        <x:f>AT375/AK375</x:f>
        <x:v>-0.5656451201392745</x:v>
      </x:c>
      <x:c r="AV375" s="64" t="n">
        <x:f>AK375+AT375</x:f>
        <x:v>520.9470000000001</x:v>
      </x:c>
      <x:c r="AW375" s="65" t="n">
        <x:f>AV375/AK375</x:f>
        <x:v>0.4343548798607255</x:v>
      </x:c>
      <x:c r="AX375" s="64" t="n">
        <x:f>-ROUND(AK375*'Drivers'!W375,3)</x:f>
        <x:v>-11.989</x:v>
      </x:c>
      <x:c r="AY375" s="64" t="n">
        <x:f>-ROUND(AK375*'Drivers'!X375,3)</x:f>
        <x:v>-27.783</x:v>
      </x:c>
      <x:c r="AZ375" s="64" t="n">
        <x:f>-ROUND(AK375*'Drivers'!Y375,3)</x:f>
        <x:v>-18.593</x:v>
      </x:c>
      <x:c r="BA375" s="64" t="n">
        <x:f>-ROUND(AK375*'Drivers'!Z375,3)</x:f>
        <x:v>-6.146</x:v>
      </x:c>
      <x:c r="BB375" s="64" t="n">
        <x:f>-ROUND(AK375*'Drivers'!AA375,3)</x:f>
        <x:v>-9.894</x:v>
      </x:c>
      <x:c r="BC375" s="64" t="n">
        <x:f>SUM(BA375,BB375)</x:f>
        <x:v>-16.04</x:v>
      </x:c>
      <x:c r="BD375" s="64" t="n">
        <x:f>-ROUND(AK375*'Drivers'!AB375,3)</x:f>
        <x:v>-4.624</x:v>
      </x:c>
      <x:c r="BE375" s="64" t="n">
        <x:f>SUM(AX375:BB375,BD375)</x:f>
        <x:v>-79.02900000000001</x:v>
      </x:c>
      <x:c r="BF375" s="67" t="n">
        <x:f>'Drivers'!AF375</x:f>
        <x:v>9</x:v>
      </x:c>
      <x:c r="BG375" s="64" t="n">
        <x:f>BJ375</x:f>
        <x:v>-28.752</x:v>
      </x:c>
      <x:c r="BH375" s="64" t="n">
        <x:f>BE375/BF375</x:f>
        <x:v>-8.781</x:v>
      </x:c>
      <x:c r="BI375" s="68" t="n">
        <x:f>BF375/L375</x:f>
        <x:v>1.8</x:v>
      </x:c>
      <x:c r="BJ375" s="64" t="n">
        <x:f>-ROUND(AK375*'Drivers'!AC375,3)</x:f>
        <x:v>-28.752</x:v>
      </x:c>
      <x:c r="BK375" s="64" t="n">
        <x:f>-ROUND(AK375*'Drivers'!AD375,3)</x:f>
        <x:v>-108.945</x:v>
      </x:c>
      <x:c r="BL375" s="64" t="n">
        <x:f>SUM(AV375,BE375,BJ375,BK375)</x:f>
        <x:v>304.2210000000001</x:v>
      </x:c>
      <x:c r="BM375" s="65" t="n">
        <x:f>BL375/AK375</x:f>
        <x:v>0.2536532044643885</x:v>
      </x:c>
      <x:c r="BN375" s="64" t="n">
        <x:f>-ROUND(AK375*'Drivers'!AE375,3)</x:f>
        <x:v>-88.337</x:v>
      </x:c>
      <x:c r="BO375" s="64" t="n">
        <x:f>BL375+BN375</x:f>
        <x:v>215.88400000000013</x:v>
      </x:c>
      <x:c r="BP375" s="65" t="n">
        <x:f>BO375/AK375</x:f>
        <x:v>0.17999963313706174</x:v>
      </x:c>
    </x:row>
    <x:row r="376">
      <x:c r="A376" s="61" t="n">
        <x:v>2026</x:v>
      </x:c>
      <x:c r="B376" s="18" t="str">
        <x:v>S1</x:v>
      </x:c>
      <x:c r="C376" s="18" t="str">
        <x:v>2026 S1</x:v>
      </x:c>
      <x:c r="D376" s="18" t="str">
        <x:v>CNCT0094</x:v>
      </x:c>
      <x:c r="E376" s="18" t="str">
        <x:v>苏州比斯特购物村</x:v>
      </x:c>
      <x:c r="F376" s="18" t="str">
        <x:v>苏州</x:v>
      </x:c>
      <x:c r="G376" s="18" t="str">
        <x:v>江苏省</x:v>
      </x:c>
      <x:c r="H376" s="18" t="str">
        <x:v>东区</x:v>
      </x:c>
      <x:c r="I376" s="18" t="str">
        <x:v>Shopping Mall</x:v>
      </x:c>
      <x:c r="J376" s="18" t="str">
        <x:v>Core Shopping Center</x:v>
      </x:c>
      <x:c r="K376" s="18" t="str">
        <x:v>正常</x:v>
      </x:c>
      <x:c r="L376" s="62" t="n">
        <x:v>5</x:v>
      </x:c>
      <x:c r="M376" s="62" t="n">
        <x:v>38</x:v>
      </x:c>
      <x:c r="N376" s="63" t="n">
        <x:f>'Drivers'!C376</x:f>
        <x:v>1632</x:v>
      </x:c>
      <x:c r="O376" s="63" t="n">
        <x:f>'Drivers'!D376</x:f>
        <x:v>1067.004</x:v>
      </x:c>
      <x:c r="P376" s="64" t="n">
        <x:f>ROUND(N376*O376/1000,3)</x:f>
        <x:v>1741.351</x:v>
      </x:c>
      <x:c r="Q376" s="64" t="n">
        <x:f>ROUND(P376*'Drivers'!E376,3)</x:f>
        <x:v>1698.062</x:v>
      </x:c>
      <x:c r="R376" s="64" t="n">
        <x:f>-ROUND(Q376*'Drivers'!F376,3)</x:f>
        <x:v>-339.296</x:v>
      </x:c>
      <x:c r="S376" s="65" t="n">
        <x:f>R376/Q376</x:f>
        <x:v>-0.199813669936669</x:v>
      </x:c>
      <x:c r="T376" s="64" t="n">
        <x:f>-ROUND(Q376*'Drivers'!G376,3)</x:f>
        <x:v>-20.493</x:v>
      </x:c>
      <x:c r="U376" s="65" t="n">
        <x:f>T376/Q376</x:f>
        <x:v>-0.012068463931234548</x:v>
      </x:c>
      <x:c r="V376" s="64" t="n">
        <x:f>-ROUND(Q376*'Drivers'!H376,3)</x:f>
        <x:v>-12.243</x:v>
      </x:c>
      <x:c r="W376" s="64" t="n">
        <x:f>-ROUND(Q376*'Drivers'!I376,3)</x:f>
        <x:v>-13.587</x:v>
      </x:c>
      <x:c r="X376" s="64" t="n">
        <x:f>-ROUND(Q376*'Drivers'!J376,3)</x:f>
        <x:v>-20.273</x:v>
      </x:c>
      <x:c r="Y376" s="64" t="n">
        <x:f>-ROUND(Q376*'Drivers'!K376,3)</x:f>
        <x:v>-16.656</x:v>
      </x:c>
      <x:c r="Z376" s="64" t="n">
        <x:f>-ROUND(Q376*'Drivers'!L376,3)</x:f>
        <x:v>-18.89</x:v>
      </x:c>
      <x:c r="AA376" s="64" t="n">
        <x:f>-ROUND(Q376*'Drivers'!M376,3)</x:f>
        <x:v>-15.23</x:v>
      </x:c>
      <x:c r="AB376" s="64" t="n">
        <x:f>-ROUND(Q376*'Drivers'!N376,3)</x:f>
        <x:v>-10.916</x:v>
      </x:c>
      <x:c r="AC376" s="64" t="n">
        <x:f>SUM(V376:AB376)</x:f>
        <x:v>-107.795</x:v>
      </x:c>
      <x:c r="AD376" s="65" t="n">
        <x:f>AC376/Q376</x:f>
        <x:v>-0.06348119208839254</x:v>
      </x:c>
      <x:c r="AE376" s="64" t="n">
        <x:f>-ROUND(Q376*'Drivers'!O376,3)</x:f>
        <x:v>-15.615</x:v>
      </x:c>
      <x:c r="AF376" s="65" t="n">
        <x:f>AE376/Q376</x:f>
        <x:v>-0.009195777303773361</x:v>
      </x:c>
      <x:c r="AG376" s="64" t="n">
        <x:f>-ROUND(Q376*'Drivers'!P376,3)</x:f>
        <x:v>-0.995</x:v>
      </x:c>
      <x:c r="AH376" s="64" t="n">
        <x:f>-ROUND(Q376*'Drivers'!Q376,3)</x:f>
        <x:v>-6.907</x:v>
      </x:c>
      <x:c r="AI376" s="64" t="n">
        <x:f>SUM(R376,T376,AC376,AE376,AG376,AH376)</x:f>
        <x:v>-491.101</x:v>
      </x:c>
      <x:c r="AJ376" s="65" t="n">
        <x:f>AI376/Q376</x:f>
        <x:v>-0.2892126435901634</x:v>
      </x:c>
      <x:c r="AK376" s="64" t="n">
        <x:f>Q376+AI376</x:f>
        <x:v>1206.9609999999998</x:v>
      </x:c>
      <x:c r="AL376" s="65" t="n">
        <x:f>AK376/Q376</x:f>
        <x:v>0.7107873564098366</x:v>
      </x:c>
      <x:c r="AM376" s="64" t="n">
        <x:f>AK376/L376</x:f>
        <x:v>241.39219999999995</x:v>
      </x:c>
      <x:c r="AN376" s="66" t="str">
        <x:f>IF(AM376&lt;=200,"≤200K",IF(AM376&lt;=350,"200–350K",IF(AM376&lt;=500,"350–500K",IF(AM376&lt;=700,"500–700K","&gt;700K"))))</x:f>
        <x:v>200–350K</x:v>
      </x:c>
      <x:c r="AO376" s="64" t="n">
        <x:f>-ROUND(Q376*'Drivers'!R376,3)</x:f>
        <x:v>-591.588</x:v>
      </x:c>
      <x:c r="AP376" s="64" t="n">
        <x:f>-ROUND(AK376*'Drivers'!S376,3)</x:f>
        <x:v>-20.367</x:v>
      </x:c>
      <x:c r="AQ376" s="64" t="n">
        <x:f>-ROUND(AK376*'Drivers'!T376,3)</x:f>
        <x:v>-4.632</x:v>
      </x:c>
      <x:c r="AR376" s="64" t="n">
        <x:f>-ROUND(AK376*'Drivers'!U376,3)</x:f>
        <x:v>-14.629</x:v>
      </x:c>
      <x:c r="AS376" s="64" t="n">
        <x:f>-ROUND(AK376*'Drivers'!V376,3)</x:f>
        <x:v>-36.538</x:v>
      </x:c>
      <x:c r="AT376" s="64" t="n">
        <x:f>SUM(AO376:AS376)</x:f>
        <x:v>-667.7539999999999</x:v>
      </x:c>
      <x:c r="AU376" s="65" t="n">
        <x:f>AT376/AK376</x:f>
        <x:v>-0.5532523420392208</x:v>
      </x:c>
      <x:c r="AV376" s="64" t="n">
        <x:f>AK376+AT376</x:f>
        <x:v>539.2069999999999</x:v>
      </x:c>
      <x:c r="AW376" s="65" t="n">
        <x:f>AV376/AK376</x:f>
        <x:v>0.44674765796077914</x:v>
      </x:c>
      <x:c r="AX376" s="64" t="n">
        <x:f>-ROUND(AK376*'Drivers'!W376,3)</x:f>
        <x:v>-14.846</x:v>
      </x:c>
      <x:c r="AY376" s="64" t="n">
        <x:f>-ROUND(AK376*'Drivers'!X376,3)</x:f>
        <x:v>-34.403</x:v>
      </x:c>
      <x:c r="AZ376" s="64" t="n">
        <x:f>-ROUND(AK376*'Drivers'!Y376,3)</x:f>
        <x:v>-23.023</x:v>
      </x:c>
      <x:c r="BA376" s="64" t="n">
        <x:f>-ROUND(AK376*'Drivers'!Z376,3)</x:f>
        <x:v>-7.611</x:v>
      </x:c>
      <x:c r="BB376" s="64" t="n">
        <x:f>-ROUND(AK376*'Drivers'!AA376,3)</x:f>
        <x:v>-12.251</x:v>
      </x:c>
      <x:c r="BC376" s="64" t="n">
        <x:f>SUM(BA376,BB376)</x:f>
        <x:v>-19.862</x:v>
      </x:c>
      <x:c r="BD376" s="64" t="n">
        <x:f>-ROUND(AK376*'Drivers'!AB376,3)</x:f>
        <x:v>-5.726</x:v>
      </x:c>
      <x:c r="BE376" s="64" t="n">
        <x:f>SUM(AX376:BB376,BD376)</x:f>
        <x:v>-97.86</x:v>
      </x:c>
      <x:c r="BF376" s="67" t="n">
        <x:f>'Drivers'!AF376</x:f>
        <x:v>9</x:v>
      </x:c>
      <x:c r="BG376" s="64" t="n">
        <x:f>BJ376</x:f>
        <x:v>-35.603</x:v>
      </x:c>
      <x:c r="BH376" s="64" t="n">
        <x:f>BE376/BF376</x:f>
        <x:v>-10.873333333333333</x:v>
      </x:c>
      <x:c r="BI376" s="68" t="n">
        <x:f>BF376/L376</x:f>
        <x:v>1.8</x:v>
      </x:c>
      <x:c r="BJ376" s="64" t="n">
        <x:f>-ROUND(AK376*'Drivers'!AC376,3)</x:f>
        <x:v>-35.603</x:v>
      </x:c>
      <x:c r="BK376" s="64" t="n">
        <x:f>-ROUND(AK376*'Drivers'!AD376,3)</x:f>
        <x:v>-109.636</x:v>
      </x:c>
      <x:c r="BL376" s="64" t="n">
        <x:f>SUM(AV376,BE376,BJ376,BK376)</x:f>
        <x:v>296.10799999999983</x:v>
      </x:c>
      <x:c r="BM376" s="65" t="n">
        <x:f>BL376/AK376</x:f>
        <x:v>0.24533352776104603</x:v>
      </x:c>
      <x:c r="BN376" s="64" t="n">
        <x:f>-ROUND(AK376*'Drivers'!AE376,3)</x:f>
        <x:v>-96.127</x:v>
      </x:c>
      <x:c r="BO376" s="64" t="n">
        <x:f>BL376+BN376</x:f>
        <x:v>199.98099999999982</x:v>
      </x:c>
      <x:c r="BP376" s="65" t="n">
        <x:f>BO376/AK376</x:f>
        <x:v>0.16568969502742828</x:v>
      </x:c>
    </x:row>
    <x:row r="377">
      <x:c r="A377" s="61" t="n">
        <x:v>2026</x:v>
      </x:c>
      <x:c r="B377" s="18" t="str">
        <x:v>S2</x:v>
      </x:c>
      <x:c r="C377" s="18" t="str">
        <x:v>2026 S2</x:v>
      </x:c>
      <x:c r="D377" s="18" t="str">
        <x:v>CNCT0094</x:v>
      </x:c>
      <x:c r="E377" s="18" t="str">
        <x:v>苏州比斯特购物村</x:v>
      </x:c>
      <x:c r="F377" s="18" t="str">
        <x:v>苏州</x:v>
      </x:c>
      <x:c r="G377" s="18" t="str">
        <x:v>江苏省</x:v>
      </x:c>
      <x:c r="H377" s="18" t="str">
        <x:v>东区</x:v>
      </x:c>
      <x:c r="I377" s="18" t="str">
        <x:v>Shopping Mall</x:v>
      </x:c>
      <x:c r="J377" s="18" t="str">
        <x:v>Core Shopping Center</x:v>
      </x:c>
      <x:c r="K377" s="18" t="str">
        <x:v>正常</x:v>
      </x:c>
      <x:c r="L377" s="62" t="n">
        <x:v>5</x:v>
      </x:c>
      <x:c r="M377" s="62" t="n">
        <x:v>38</x:v>
      </x:c>
      <x:c r="N377" s="63" t="n">
        <x:f>'Drivers'!C377</x:f>
        <x:v>1768</x:v>
      </x:c>
      <x:c r="O377" s="63" t="n">
        <x:f>'Drivers'!D377</x:f>
        <x:v>1076.347</x:v>
      </x:c>
      <x:c r="P377" s="64" t="n">
        <x:f>ROUND(N377*O377/1000,3)</x:f>
        <x:v>1902.981</x:v>
      </x:c>
      <x:c r="Q377" s="64" t="n">
        <x:f>ROUND(P377*'Drivers'!E377,3)</x:f>
        <x:v>1837.077</x:v>
      </x:c>
      <x:c r="R377" s="64" t="n">
        <x:f>-ROUND(Q377*'Drivers'!F377,3)</x:f>
        <x:v>-379.063</x:v>
      </x:c>
      <x:c r="S377" s="65" t="n">
        <x:f>R377/Q377</x:f>
        <x:v>-0.2063402894924927</x:v>
      </x:c>
      <x:c r="T377" s="64" t="n">
        <x:f>-ROUND(Q377*'Drivers'!G377,3)</x:f>
        <x:v>-24.601</x:v>
      </x:c>
      <x:c r="U377" s="65" t="n">
        <x:f>T377/Q377</x:f>
        <x:v>-0.013391382070539231</x:v>
      </x:c>
      <x:c r="V377" s="64" t="n">
        <x:f>-ROUND(Q377*'Drivers'!H377,3)</x:f>
        <x:v>-13.245</x:v>
      </x:c>
      <x:c r="W377" s="64" t="n">
        <x:f>-ROUND(Q377*'Drivers'!I377,3)</x:f>
        <x:v>-14.699</x:v>
      </x:c>
      <x:c r="X377" s="64" t="n">
        <x:f>-ROUND(Q377*'Drivers'!J377,3)</x:f>
        <x:v>-21.932</x:v>
      </x:c>
      <x:c r="Y377" s="64" t="n">
        <x:f>-ROUND(Q377*'Drivers'!K377,3)</x:f>
        <x:v>-18.02</x:v>
      </x:c>
      <x:c r="Z377" s="64" t="n">
        <x:f>-ROUND(Q377*'Drivers'!L377,3)</x:f>
        <x:v>-20.436</x:v>
      </x:c>
      <x:c r="AA377" s="64" t="n">
        <x:f>-ROUND(Q377*'Drivers'!M377,3)</x:f>
        <x:v>-16.477</x:v>
      </x:c>
      <x:c r="AB377" s="64" t="n">
        <x:f>-ROUND(Q377*'Drivers'!N377,3)</x:f>
        <x:v>-11.809</x:v>
      </x:c>
      <x:c r="AC377" s="64" t="n">
        <x:f>SUM(V377:AB377)</x:f>
        <x:v>-116.618</x:v>
      </x:c>
      <x:c r="AD377" s="65" t="n">
        <x:f>AC377/Q377</x:f>
        <x:v>-0.06348019163050868</x:v>
      </x:c>
      <x:c r="AE377" s="64" t="n">
        <x:f>-ROUND(Q377*'Drivers'!O377,3)</x:f>
        <x:v>-17.247</x:v>
      </x:c>
      <x:c r="AF377" s="65" t="n">
        <x:f>AE377/Q377</x:f>
        <x:v>-0.009388283670199997</x:v>
      </x:c>
      <x:c r="AG377" s="64" t="n">
        <x:f>-ROUND(Q377*'Drivers'!P377,3)</x:f>
        <x:v>-1.076</x:v>
      </x:c>
      <x:c r="AH377" s="64" t="n">
        <x:f>-ROUND(Q377*'Drivers'!Q377,3)</x:f>
        <x:v>-7.472</x:v>
      </x:c>
      <x:c r="AI377" s="64" t="n">
        <x:f>SUM(R377,T377,AC377,AE377,AG377,AH377)</x:f>
        <x:v>-546.0769999999999</x:v>
      </x:c>
      <x:c r="AJ377" s="65" t="n">
        <x:f>AI377/Q377</x:f>
        <x:v>-0.2972531908025629</x:v>
      </x:c>
      <x:c r="AK377" s="64" t="n">
        <x:f>Q377+AI377</x:f>
        <x:v>1291</x:v>
      </x:c>
      <x:c r="AL377" s="65" t="n">
        <x:f>AK377/Q377</x:f>
        <x:v>0.702746809197437</x:v>
      </x:c>
      <x:c r="AM377" s="64" t="n">
        <x:f>AK377/L377</x:f>
        <x:v>258.2</x:v>
      </x:c>
      <x:c r="AN377" s="66" t="str">
        <x:f>IF(AM377&lt;=200,"≤200K",IF(AM377&lt;=350,"200–350K",IF(AM377&lt;=500,"350–500K",IF(AM377&lt;=700,"500–700K","&gt;700K"))))</x:f>
        <x:v>200–350K</x:v>
      </x:c>
      <x:c r="AO377" s="64" t="n">
        <x:f>-ROUND(Q377*'Drivers'!R377,3)</x:f>
        <x:v>-636.531</x:v>
      </x:c>
      <x:c r="AP377" s="64" t="n">
        <x:f>-ROUND(AK377*'Drivers'!S377,3)</x:f>
        <x:v>-21.785</x:v>
      </x:c>
      <x:c r="AQ377" s="64" t="n">
        <x:f>-ROUND(AK377*'Drivers'!T377,3)</x:f>
        <x:v>-4.955</x:v>
      </x:c>
      <x:c r="AR377" s="64" t="n">
        <x:f>-ROUND(AK377*'Drivers'!U377,3)</x:f>
        <x:v>-15.648</x:v>
      </x:c>
      <x:c r="AS377" s="64" t="n">
        <x:f>-ROUND(AK377*'Drivers'!V377,3)</x:f>
        <x:v>-39.082</x:v>
      </x:c>
      <x:c r="AT377" s="64" t="n">
        <x:f>SUM(AO377:AS377)</x:f>
        <x:v>-718.001</x:v>
      </x:c>
      <x:c r="AU377" s="65" t="n">
        <x:f>AT377/AK377</x:f>
        <x:v>-0.556158791634392</x:v>
      </x:c>
      <x:c r="AV377" s="64" t="n">
        <x:f>AK377+AT377</x:f>
        <x:v>572.999</x:v>
      </x:c>
      <x:c r="AW377" s="65" t="n">
        <x:f>AV377/AK377</x:f>
        <x:v>0.4438412083656081</x:v>
      </x:c>
      <x:c r="AX377" s="64" t="n">
        <x:f>-ROUND(AK377*'Drivers'!W377,3)</x:f>
        <x:v>-13.68</x:v>
      </x:c>
      <x:c r="AY377" s="64" t="n">
        <x:f>-ROUND(AK377*'Drivers'!X377,3)</x:f>
        <x:v>-31.7</x:v>
      </x:c>
      <x:c r="AZ377" s="64" t="n">
        <x:f>-ROUND(AK377*'Drivers'!Y377,3)</x:f>
        <x:v>-21.215</x:v>
      </x:c>
      <x:c r="BA377" s="64" t="n">
        <x:f>-ROUND(AK377*'Drivers'!Z377,3)</x:f>
        <x:v>-7.013</x:v>
      </x:c>
      <x:c r="BB377" s="64" t="n">
        <x:f>-ROUND(AK377*'Drivers'!AA377,3)</x:f>
        <x:v>-11.289</x:v>
      </x:c>
      <x:c r="BC377" s="64" t="n">
        <x:f>SUM(BA377,BB377)</x:f>
        <x:v>-18.302</x:v>
      </x:c>
      <x:c r="BD377" s="64" t="n">
        <x:f>-ROUND(AK377*'Drivers'!AB377,3)</x:f>
        <x:v>-5.276</x:v>
      </x:c>
      <x:c r="BE377" s="64" t="n">
        <x:f>SUM(AX377:BB377,BD377)</x:f>
        <x:v>-90.173</x:v>
      </x:c>
      <x:c r="BF377" s="67" t="n">
        <x:f>'Drivers'!AF377</x:f>
        <x:v>9</x:v>
      </x:c>
      <x:c r="BG377" s="64" t="n">
        <x:f>BJ377</x:f>
        <x:v>-32.806</x:v>
      </x:c>
      <x:c r="BH377" s="64" t="n">
        <x:f>BE377/BF377</x:f>
        <x:v>-10.019222222222222</x:v>
      </x:c>
      <x:c r="BI377" s="68" t="n">
        <x:f>BF377/L377</x:f>
        <x:v>1.8</x:v>
      </x:c>
      <x:c r="BJ377" s="64" t="n">
        <x:f>-ROUND(AK377*'Drivers'!AC377,3)</x:f>
        <x:v>-32.806</x:v>
      </x:c>
      <x:c r="BK377" s="64" t="n">
        <x:f>-ROUND(AK377*'Drivers'!AD377,3)</x:f>
        <x:v>-117.269</x:v>
      </x:c>
      <x:c r="BL377" s="64" t="n">
        <x:f>SUM(AV377,BE377,BJ377,BK377)</x:f>
        <x:v>332.75100000000003</x:v>
      </x:c>
      <x:c r="BM377" s="65" t="n">
        <x:f>BL377/AK377</x:f>
        <x:v>0.2577467079783114</x:v>
      </x:c>
      <x:c r="BN377" s="64" t="n">
        <x:f>-ROUND(AK377*'Drivers'!AE377,3)</x:f>
        <x:v>-100.371</x:v>
      </x:c>
      <x:c r="BO377" s="64" t="n">
        <x:f>BL377+BN377</x:f>
        <x:v>232.38000000000005</x:v>
      </x:c>
      <x:c r="BP377" s="65" t="n">
        <x:f>BO377/AK377</x:f>
        <x:v>0.18000000000000005</x:v>
      </x:c>
    </x:row>
    <x:row r="378">
      <x:c r="A378" s="61" t="n">
        <x:v>2025</x:v>
      </x:c>
      <x:c r="B378" s="18" t="str">
        <x:v>S1</x:v>
      </x:c>
      <x:c r="C378" s="18" t="str">
        <x:v>2025 S1</x:v>
      </x:c>
      <x:c r="D378" s="18" t="str">
        <x:v>CNCT0095</x:v>
      </x:c>
      <x:c r="E378" s="18" t="str">
        <x:v>苏州仁恒仓街</x:v>
      </x:c>
      <x:c r="F378" s="18" t="str">
        <x:v>苏州</x:v>
      </x:c>
      <x:c r="G378" s="18" t="str">
        <x:v>江苏省</x:v>
      </x:c>
      <x:c r="H378" s="18" t="str">
        <x:v>东区</x:v>
      </x:c>
      <x:c r="I378" s="18" t="str">
        <x:v>Shopping Mall</x:v>
      </x:c>
      <x:c r="J378" s="18" t="str">
        <x:v>Core Shopping Center</x:v>
      </x:c>
      <x:c r="K378" s="18" t="str">
        <x:v>正常</x:v>
      </x:c>
      <x:c r="L378" s="62" t="n">
        <x:v>3</x:v>
      </x:c>
      <x:c r="M378" s="62" t="n">
        <x:v>38</x:v>
      </x:c>
      <x:c r="N378" s="63" t="n">
        <x:f>'Drivers'!C378</x:f>
        <x:v>1252</x:v>
      </x:c>
      <x:c r="O378" s="63" t="n">
        <x:f>'Drivers'!D378</x:f>
        <x:v>1074.403</x:v>
      </x:c>
      <x:c r="P378" s="64" t="n">
        <x:f>ROUND(N378*O378/1000,3)</x:f>
        <x:v>1345.153</x:v>
      </x:c>
      <x:c r="Q378" s="64" t="n">
        <x:f>ROUND(P378*'Drivers'!E378,3)</x:f>
        <x:v>1308.799</x:v>
      </x:c>
      <x:c r="R378" s="64" t="n">
        <x:f>-ROUND(Q378*'Drivers'!F378,3)</x:f>
        <x:v>-271.302</x:v>
      </x:c>
      <x:c r="S378" s="65" t="n">
        <x:f>R378/Q378</x:f>
        <x:v>-0.20729080630410018</x:v>
      </x:c>
      <x:c r="T378" s="64" t="n">
        <x:f>-ROUND(Q378*'Drivers'!G378,3)</x:f>
        <x:v>-19.684</x:v>
      </x:c>
      <x:c r="U378" s="65" t="n">
        <x:f>T378/Q378</x:f>
        <x:v>-0.015039742542590575</x:v>
      </x:c>
      <x:c r="V378" s="64" t="n">
        <x:f>-ROUND(Q378*'Drivers'!H378,3)</x:f>
        <x:v>-9.189</x:v>
      </x:c>
      <x:c r="W378" s="64" t="n">
        <x:f>-ROUND(Q378*'Drivers'!I378,3)</x:f>
        <x:v>-8.846</x:v>
      </x:c>
      <x:c r="X378" s="64" t="n">
        <x:f>-ROUND(Q378*'Drivers'!J378,3)</x:f>
        <x:v>-21.821</x:v>
      </x:c>
      <x:c r="Y378" s="64" t="n">
        <x:f>-ROUND(Q378*'Drivers'!K378,3)</x:f>
        <x:v>-16.437</x:v>
      </x:c>
      <x:c r="Z378" s="64" t="n">
        <x:f>-ROUND(Q378*'Drivers'!L378,3)</x:f>
        <x:v>-11.893</x:v>
      </x:c>
      <x:c r="AA378" s="64" t="n">
        <x:f>-ROUND(Q378*'Drivers'!M378,3)</x:f>
        <x:v>-13.683</x:v>
      </x:c>
      <x:c r="AB378" s="64" t="n">
        <x:f>-ROUND(Q378*'Drivers'!N378,3)</x:f>
        <x:v>-10.211</x:v>
      </x:c>
      <x:c r="AC378" s="64" t="n">
        <x:f>SUM(V378:AB378)</x:f>
        <x:v>-92.08</x:v>
      </x:c>
      <x:c r="AD378" s="65" t="n">
        <x:f>AC378/Q378</x:f>
        <x:v>-0.07035457698240906</x:v>
      </x:c>
      <x:c r="AE378" s="64" t="n">
        <x:f>-ROUND(Q378*'Drivers'!O378,3)</x:f>
        <x:v>-14.203</x:v>
      </x:c>
      <x:c r="AF378" s="65" t="n">
        <x:f>AE378/Q378</x:f>
        <x:v>-0.01085193371938701</x:v>
      </x:c>
      <x:c r="AG378" s="64" t="n">
        <x:f>-ROUND(Q378*'Drivers'!P378,3)</x:f>
        <x:v>-3.652</x:v>
      </x:c>
      <x:c r="AH378" s="64" t="n">
        <x:f>-ROUND(Q378*'Drivers'!Q378,3)</x:f>
        <x:v>-5.295</x:v>
      </x:c>
      <x:c r="AI378" s="64" t="n">
        <x:f>SUM(R378,T378,AC378,AE378,AG378,AH378)</x:f>
        <x:v>-406.216</x:v>
      </x:c>
      <x:c r="AJ378" s="65" t="n">
        <x:f>AI378/Q378</x:f>
        <x:v>-0.31037309777895616</x:v>
      </x:c>
      <x:c r="AK378" s="64" t="n">
        <x:f>Q378+AI378</x:f>
        <x:v>902.583</x:v>
      </x:c>
      <x:c r="AL378" s="65" t="n">
        <x:f>AK378/Q378</x:f>
        <x:v>0.6896269022210438</x:v>
      </x:c>
      <x:c r="AM378" s="64" t="n">
        <x:f>AK378/L378</x:f>
        <x:v>300.861</x:v>
      </x:c>
      <x:c r="AN378" s="66" t="str">
        <x:f>IF(AM378&lt;=200,"≤200K",IF(AM378&lt;=350,"200–350K",IF(AM378&lt;=500,"350–500K",IF(AM378&lt;=700,"500–700K","&gt;700K"))))</x:f>
        <x:v>200–350K</x:v>
      </x:c>
      <x:c r="AO378" s="64" t="n">
        <x:f>-ROUND(Q378*'Drivers'!R378,3)</x:f>
        <x:v>-458.873</x:v>
      </x:c>
      <x:c r="AP378" s="64" t="n">
        <x:f>-ROUND(AK378*'Drivers'!S378,3)</x:f>
        <x:v>-13.838</x:v>
      </x:c>
      <x:c r="AQ378" s="64" t="n">
        <x:f>-ROUND(AK378*'Drivers'!T378,3)</x:f>
        <x:v>-4.352</x:v>
      </x:c>
      <x:c r="AR378" s="64" t="n">
        <x:f>-ROUND(AK378*'Drivers'!U378,3)</x:f>
        <x:v>-9.293</x:v>
      </x:c>
      <x:c r="AS378" s="64" t="n">
        <x:f>-ROUND(AK378*'Drivers'!V378,3)</x:f>
        <x:v>-30.225</x:v>
      </x:c>
      <x:c r="AT378" s="64" t="n">
        <x:f>SUM(AO378:AS378)</x:f>
        <x:v>-516.581</x:v>
      </x:c>
      <x:c r="AU378" s="65" t="n">
        <x:f>AT378/AK378</x:f>
        <x:v>-0.5723362837545135</x:v>
      </x:c>
      <x:c r="AV378" s="64" t="n">
        <x:f>AK378+AT378</x:f>
        <x:v>386.00199999999995</x:v>
      </x:c>
      <x:c r="AW378" s="65" t="n">
        <x:f>AV378/AK378</x:f>
        <x:v>0.42766371624548655</x:v>
      </x:c>
      <x:c r="AX378" s="64" t="n">
        <x:f>-ROUND(AK378*'Drivers'!W378,3)</x:f>
        <x:v>-10.692</x:v>
      </x:c>
      <x:c r="AY378" s="64" t="n">
        <x:f>-ROUND(AK378*'Drivers'!X378,3)</x:f>
        <x:v>-20.357</x:v>
      </x:c>
      <x:c r="AZ378" s="64" t="n">
        <x:f>-ROUND(AK378*'Drivers'!Y378,3)</x:f>
        <x:v>-15.781</x:v>
      </x:c>
      <x:c r="BA378" s="64" t="n">
        <x:f>-ROUND(AK378*'Drivers'!Z378,3)</x:f>
        <x:v>-5.792</x:v>
      </x:c>
      <x:c r="BB378" s="64" t="n">
        <x:f>-ROUND(AK378*'Drivers'!AA378,3)</x:f>
        <x:v>-5.563</x:v>
      </x:c>
      <x:c r="BC378" s="64" t="n">
        <x:f>SUM(BA378,BB378)</x:f>
        <x:v>-11.355</x:v>
      </x:c>
      <x:c r="BD378" s="64" t="n">
        <x:f>-ROUND(AK378*'Drivers'!AB378,3)</x:f>
        <x:v>-6.155</x:v>
      </x:c>
      <x:c r="BE378" s="64" t="n">
        <x:f>SUM(AX378:BB378,BD378)</x:f>
        <x:v>-64.34</x:v>
      </x:c>
      <x:c r="BF378" s="67" t="n">
        <x:f>'Drivers'!AF378</x:f>
        <x:v>5</x:v>
      </x:c>
      <x:c r="BG378" s="64" t="n">
        <x:f>BJ378</x:f>
        <x:v>-14.482</x:v>
      </x:c>
      <x:c r="BH378" s="64" t="n">
        <x:f>BE378/BF378</x:f>
        <x:v>-12.868</x:v>
      </x:c>
      <x:c r="BI378" s="68" t="n">
        <x:f>BF378/L378</x:f>
        <x:v>1.6666666666666667</x:v>
      </x:c>
      <x:c r="BJ378" s="64" t="n">
        <x:f>-ROUND(AK378*'Drivers'!AC378,3)</x:f>
        <x:v>-14.482</x:v>
      </x:c>
      <x:c r="BK378" s="64" t="n">
        <x:f>-ROUND(AK378*'Drivers'!AD378,3)</x:f>
        <x:v>-98.066</x:v>
      </x:c>
      <x:c r="BL378" s="64" t="n">
        <x:f>SUM(AV378,BE378,BJ378,BK378)</x:f>
        <x:v>209.11399999999995</x:v>
      </x:c>
      <x:c r="BM378" s="65" t="n">
        <x:f>BL378/AK378</x:f>
        <x:v>0.23168395593535437</x:v>
      </x:c>
      <x:c r="BN378" s="64" t="n">
        <x:f>-ROUND(AK378*'Drivers'!AE378,3)</x:f>
        <x:v>-74.849</x:v>
      </x:c>
      <x:c r="BO378" s="64" t="n">
        <x:f>BL378+BN378</x:f>
        <x:v>134.26499999999993</x:v>
      </x:c>
      <x:c r="BP378" s="65" t="n">
        <x:f>BO378/AK378</x:f>
        <x:v>0.148756402458278</x:v>
      </x:c>
    </x:row>
    <x:row r="379">
      <x:c r="A379" s="61" t="n">
        <x:v>2025</x:v>
      </x:c>
      <x:c r="B379" s="18" t="str">
        <x:v>S2</x:v>
      </x:c>
      <x:c r="C379" s="18" t="str">
        <x:v>2025 S2</x:v>
      </x:c>
      <x:c r="D379" s="18" t="str">
        <x:v>CNCT0095</x:v>
      </x:c>
      <x:c r="E379" s="18" t="str">
        <x:v>苏州仁恒仓街</x:v>
      </x:c>
      <x:c r="F379" s="18" t="str">
        <x:v>苏州</x:v>
      </x:c>
      <x:c r="G379" s="18" t="str">
        <x:v>江苏省</x:v>
      </x:c>
      <x:c r="H379" s="18" t="str">
        <x:v>东区</x:v>
      </x:c>
      <x:c r="I379" s="18" t="str">
        <x:v>Shopping Mall</x:v>
      </x:c>
      <x:c r="J379" s="18" t="str">
        <x:v>Core Shopping Center</x:v>
      </x:c>
      <x:c r="K379" s="18" t="str">
        <x:v>正常</x:v>
      </x:c>
      <x:c r="L379" s="62" t="n">
        <x:v>3</x:v>
      </x:c>
      <x:c r="M379" s="62" t="n">
        <x:v>38</x:v>
      </x:c>
      <x:c r="N379" s="63" t="n">
        <x:f>'Drivers'!C379</x:f>
        <x:v>1329</x:v>
      </x:c>
      <x:c r="O379" s="63" t="n">
        <x:f>'Drivers'!D379</x:f>
        <x:v>1087.296</x:v>
      </x:c>
      <x:c r="P379" s="64" t="n">
        <x:f>ROUND(N379*O379/1000,3)</x:f>
        <x:v>1445.016</x:v>
      </x:c>
      <x:c r="Q379" s="64" t="n">
        <x:f>ROUND(P379*'Drivers'!E379,3)</x:f>
        <x:v>1416.152</x:v>
      </x:c>
      <x:c r="R379" s="64" t="n">
        <x:f>-ROUND(Q379*'Drivers'!F379,3)</x:f>
        <x:v>-293.555</x:v>
      </x:c>
      <x:c r="S379" s="65" t="n">
        <x:f>R379/Q379</x:f>
        <x:v>-0.20729060157384235</x:v>
      </x:c>
      <x:c r="T379" s="64" t="n">
        <x:f>-ROUND(Q379*'Drivers'!G379,3)</x:f>
        <x:v>-21.299</x:v>
      </x:c>
      <x:c r="U379" s="65" t="n">
        <x:f>T379/Q379</x:f>
        <x:v>-0.015040052197786678</x:v>
      </x:c>
      <x:c r="V379" s="64" t="n">
        <x:f>-ROUND(Q379*'Drivers'!H379,3)</x:f>
        <x:v>-9.942</x:v>
      </x:c>
      <x:c r="W379" s="64" t="n">
        <x:f>-ROUND(Q379*'Drivers'!I379,3)</x:f>
        <x:v>-9.572</x:v>
      </x:c>
      <x:c r="X379" s="64" t="n">
        <x:f>-ROUND(Q379*'Drivers'!J379,3)</x:f>
        <x:v>-23.611</x:v>
      </x:c>
      <x:c r="Y379" s="64" t="n">
        <x:f>-ROUND(Q379*'Drivers'!K379,3)</x:f>
        <x:v>-17.785</x:v>
      </x:c>
      <x:c r="Z379" s="64" t="n">
        <x:f>-ROUND(Q379*'Drivers'!L379,3)</x:f>
        <x:v>-12.869</x:v>
      </x:c>
      <x:c r="AA379" s="64" t="n">
        <x:f>-ROUND(Q379*'Drivers'!M379,3)</x:f>
        <x:v>-14.805</x:v>
      </x:c>
      <x:c r="AB379" s="64" t="n">
        <x:f>-ROUND(Q379*'Drivers'!N379,3)</x:f>
        <x:v>-11.049</x:v>
      </x:c>
      <x:c r="AC379" s="64" t="n">
        <x:f>SUM(V379:AB379)</x:f>
        <x:v>-99.63300000000001</x:v>
      </x:c>
      <x:c r="AD379" s="65" t="n">
        <x:f>AC379/Q379</x:f>
        <x:v>-0.07035473593230106</x:v>
      </x:c>
      <x:c r="AE379" s="64" t="n">
        <x:f>-ROUND(Q379*'Drivers'!O379,3)</x:f>
        <x:v>-15.368</x:v>
      </x:c>
      <x:c r="AF379" s="65" t="n">
        <x:f>AE379/Q379</x:f>
        <x:v>-0.010851942446855988</x:v>
      </x:c>
      <x:c r="AG379" s="64" t="n">
        <x:f>-ROUND(Q379*'Drivers'!P379,3)</x:f>
        <x:v>-3.951</x:v>
      </x:c>
      <x:c r="AH379" s="64" t="n">
        <x:f>-ROUND(Q379*'Drivers'!Q379,3)</x:f>
        <x:v>-5.729</x:v>
      </x:c>
      <x:c r="AI379" s="64" t="n">
        <x:f>SUM(R379,T379,AC379,AE379,AG379,AH379)</x:f>
        <x:v>-439.53499999999997</x:v>
      </x:c>
      <x:c r="AJ379" s="65" t="n">
        <x:f>AI379/Q379</x:f>
        <x:v>-0.31037275659674946</x:v>
      </x:c>
      <x:c r="AK379" s="64" t="n">
        <x:f>Q379+AI379</x:f>
        <x:v>976.6170000000001</x:v>
      </x:c>
      <x:c r="AL379" s="65" t="n">
        <x:f>AK379/Q379</x:f>
        <x:v>0.6896272434032505</x:v>
      </x:c>
      <x:c r="AM379" s="64" t="n">
        <x:f>AK379/L379</x:f>
        <x:v>325.53900000000004</x:v>
      </x:c>
      <x:c r="AN379" s="66" t="str">
        <x:f>IF(AM379&lt;=200,"≤200K",IF(AM379&lt;=350,"200–350K",IF(AM379&lt;=500,"350–500K",IF(AM379&lt;=700,"500–700K","&gt;700K"))))</x:f>
        <x:v>200–350K</x:v>
      </x:c>
      <x:c r="AO379" s="64" t="n">
        <x:f>-ROUND(Q379*'Drivers'!R379,3)</x:f>
        <x:v>-500.054</x:v>
      </x:c>
      <x:c r="AP379" s="64" t="n">
        <x:f>-ROUND(AK379*'Drivers'!S379,3)</x:f>
        <x:v>-14.973</x:v>
      </x:c>
      <x:c r="AQ379" s="64" t="n">
        <x:f>-ROUND(AK379*'Drivers'!T379,3)</x:f>
        <x:v>-4.709</x:v>
      </x:c>
      <x:c r="AR379" s="64" t="n">
        <x:f>-ROUND(AK379*'Drivers'!U379,3)</x:f>
        <x:v>-10.055</x:v>
      </x:c>
      <x:c r="AS379" s="64" t="n">
        <x:f>-ROUND(AK379*'Drivers'!V379,3)</x:f>
        <x:v>-32.704</x:v>
      </x:c>
      <x:c r="AT379" s="64" t="n">
        <x:f>SUM(AO379:AS379)</x:f>
        <x:v>-562.4949999999998</x:v>
      </x:c>
      <x:c r="AU379" s="65" t="n">
        <x:f>AT379/AK379</x:f>
        <x:v>-0.5759627366715916</x:v>
      </x:c>
      <x:c r="AV379" s="64" t="n">
        <x:f>AK379+AT379</x:f>
        <x:v>414.1220000000003</x:v>
      </x:c>
      <x:c r="AW379" s="65" t="n">
        <x:f>AV379/AK379</x:f>
        <x:v>0.42403726332840846</x:v>
      </x:c>
      <x:c r="AX379" s="64" t="n">
        <x:f>-ROUND(AK379*'Drivers'!W379,3)</x:f>
        <x:v>-11.568</x:v>
      </x:c>
      <x:c r="AY379" s="64" t="n">
        <x:f>-ROUND(AK379*'Drivers'!X379,3)</x:f>
        <x:v>-22.026</x:v>
      </x:c>
      <x:c r="AZ379" s="64" t="n">
        <x:f>-ROUND(AK379*'Drivers'!Y379,3)</x:f>
        <x:v>-17.075</x:v>
      </x:c>
      <x:c r="BA379" s="64" t="n">
        <x:f>-ROUND(AK379*'Drivers'!Z379,3)</x:f>
        <x:v>-6.267</x:v>
      </x:c>
      <x:c r="BB379" s="64" t="n">
        <x:f>-ROUND(AK379*'Drivers'!AA379,3)</x:f>
        <x:v>-6.019</x:v>
      </x:c>
      <x:c r="BC379" s="64" t="n">
        <x:f>SUM(BA379,BB379)</x:f>
        <x:v>-12.286000000000001</x:v>
      </x:c>
      <x:c r="BD379" s="64" t="n">
        <x:f>-ROUND(AK379*'Drivers'!AB379,3)</x:f>
        <x:v>-6.659</x:v>
      </x:c>
      <x:c r="BE379" s="64" t="n">
        <x:f>SUM(AX379:BB379,BD379)</x:f>
        <x:v>-69.614</x:v>
      </x:c>
      <x:c r="BF379" s="67" t="n">
        <x:f>'Drivers'!AF379</x:f>
        <x:v>5</x:v>
      </x:c>
      <x:c r="BG379" s="64" t="n">
        <x:f>BJ379</x:f>
        <x:v>-15.669</x:v>
      </x:c>
      <x:c r="BH379" s="64" t="n">
        <x:f>BE379/BF379</x:f>
        <x:v>-13.9228</x:v>
      </x:c>
      <x:c r="BI379" s="68" t="n">
        <x:f>BF379/L379</x:f>
        <x:v>1.6666666666666667</x:v>
      </x:c>
      <x:c r="BJ379" s="64" t="n">
        <x:f>-ROUND(AK379*'Drivers'!AC379,3)</x:f>
        <x:v>-15.669</x:v>
      </x:c>
      <x:c r="BK379" s="64" t="n">
        <x:f>-ROUND(AK379*'Drivers'!AD379,3)</x:f>
        <x:v>-106.11</x:v>
      </x:c>
      <x:c r="BL379" s="64" t="n">
        <x:f>SUM(AV379,BE379,BJ379,BK379)</x:f>
        <x:v>222.72900000000027</x:v>
      </x:c>
      <x:c r="BM379" s="65" t="n">
        <x:f>BL379/AK379</x:f>
        <x:v>0.22806176832883338</x:v>
      </x:c>
      <x:c r="BN379" s="64" t="n">
        <x:f>-ROUND(AK379*'Drivers'!AE379,3)</x:f>
        <x:v>-80.989</x:v>
      </x:c>
      <x:c r="BO379" s="64" t="n">
        <x:f>BL379+BN379</x:f>
        <x:v>141.74000000000026</x:v>
      </x:c>
      <x:c r="BP379" s="65" t="n">
        <x:f>BO379/AK379</x:f>
        <x:v>0.14513366038068173</x:v>
      </x:c>
    </x:row>
    <x:row r="380">
      <x:c r="A380" s="61" t="n">
        <x:v>2026</x:v>
      </x:c>
      <x:c r="B380" s="18" t="str">
        <x:v>S1</x:v>
      </x:c>
      <x:c r="C380" s="18" t="str">
        <x:v>2026 S1</x:v>
      </x:c>
      <x:c r="D380" s="18" t="str">
        <x:v>CNCT0095</x:v>
      </x:c>
      <x:c r="E380" s="18" t="str">
        <x:v>苏州仁恒仓街</x:v>
      </x:c>
      <x:c r="F380" s="18" t="str">
        <x:v>苏州</x:v>
      </x:c>
      <x:c r="G380" s="18" t="str">
        <x:v>江苏省</x:v>
      </x:c>
      <x:c r="H380" s="18" t="str">
        <x:v>东区</x:v>
      </x:c>
      <x:c r="I380" s="18" t="str">
        <x:v>Shopping Mall</x:v>
      </x:c>
      <x:c r="J380" s="18" t="str">
        <x:v>Core Shopping Center</x:v>
      </x:c>
      <x:c r="K380" s="18" t="str">
        <x:v>正常</x:v>
      </x:c>
      <x:c r="L380" s="62" t="n">
        <x:v>3</x:v>
      </x:c>
      <x:c r="M380" s="62" t="n">
        <x:v>38</x:v>
      </x:c>
      <x:c r="N380" s="63" t="n">
        <x:f>'Drivers'!C380</x:f>
        <x:v>1320</x:v>
      </x:c>
      <x:c r="O380" s="63" t="n">
        <x:f>'Drivers'!D380</x:f>
        <x:v>1133.629</x:v>
      </x:c>
      <x:c r="P380" s="64" t="n">
        <x:f>ROUND(N380*O380/1000,3)</x:f>
        <x:v>1496.39</x:v>
      </x:c>
      <x:c r="Q380" s="64" t="n">
        <x:f>ROUND(P380*'Drivers'!E380,3)</x:f>
        <x:v>1454.878</x:v>
      </x:c>
      <x:c r="R380" s="64" t="n">
        <x:f>-ROUND(Q380*'Drivers'!F380,3)</x:f>
        <x:v>-295.415</x:v>
      </x:c>
      <x:c r="S380" s="65" t="n">
        <x:f>R380/Q380</x:f>
        <x:v>-0.2030513898759896</x:v>
      </x:c>
      <x:c r="T380" s="64" t="n">
        <x:f>-ROUND(Q380*'Drivers'!G380,3)</x:f>
        <x:v>-19.916</x:v>
      </x:c>
      <x:c r="U380" s="65" t="n">
        <x:f>T380/Q380</x:f>
        <x:v>-0.013689120324865729</x:v>
      </x:c>
      <x:c r="V380" s="64" t="n">
        <x:f>-ROUND(Q380*'Drivers'!H380,3)</x:f>
        <x:v>-10.214</x:v>
      </x:c>
      <x:c r="W380" s="64" t="n">
        <x:f>-ROUND(Q380*'Drivers'!I380,3)</x:f>
        <x:v>-9.833</x:v>
      </x:c>
      <x:c r="X380" s="64" t="n">
        <x:f>-ROUND(Q380*'Drivers'!J380,3)</x:f>
        <x:v>-24.257</x:v>
      </x:c>
      <x:c r="Y380" s="64" t="n">
        <x:f>-ROUND(Q380*'Drivers'!K380,3)</x:f>
        <x:v>-18.271</x:v>
      </x:c>
      <x:c r="Z380" s="64" t="n">
        <x:f>-ROUND(Q380*'Drivers'!L380,3)</x:f>
        <x:v>-13.221</x:v>
      </x:c>
      <x:c r="AA380" s="64" t="n">
        <x:f>-ROUND(Q380*'Drivers'!M380,3)</x:f>
        <x:v>-15.21</x:v>
      </x:c>
      <x:c r="AB380" s="64" t="n">
        <x:f>-ROUND(Q380*'Drivers'!N380,3)</x:f>
        <x:v>-11.351</x:v>
      </x:c>
      <x:c r="AC380" s="64" t="n">
        <x:f>SUM(V380:AB380)</x:f>
        <x:v>-102.357</x:v>
      </x:c>
      <x:c r="AD380" s="65" t="n">
        <x:f>AC380/Q380</x:f>
        <x:v>-0.07035435273610571</x:v>
      </x:c>
      <x:c r="AE380" s="64" t="n">
        <x:f>-ROUND(Q380*'Drivers'!O380,3)</x:f>
        <x:v>-15.501</x:v>
      </x:c>
      <x:c r="AF380" s="65" t="n">
        <x:f>AE380/Q380</x:f>
        <x:v>-0.010654501614568369</x:v>
      </x:c>
      <x:c r="AG380" s="64" t="n">
        <x:f>-ROUND(Q380*'Drivers'!P380,3)</x:f>
        <x:v>-4.059</x:v>
      </x:c>
      <x:c r="AH380" s="64" t="n">
        <x:f>-ROUND(Q380*'Drivers'!Q380,3)</x:f>
        <x:v>-5.886</x:v>
      </x:c>
      <x:c r="AI380" s="64" t="n">
        <x:f>SUM(R380,T380,AC380,AE380,AG380,AH380)</x:f>
        <x:v>-443.134</x:v>
      </x:c>
      <x:c r="AJ380" s="65" t="n">
        <x:f>AI380/Q380</x:f>
        <x:v>-0.3045849892568312</x:v>
      </x:c>
      <x:c r="AK380" s="64" t="n">
        <x:f>Q380+AI380</x:f>
        <x:v>1011.7439999999999</x:v>
      </x:c>
      <x:c r="AL380" s="65" t="n">
        <x:f>AK380/Q380</x:f>
        <x:v>0.6954150107431688</x:v>
      </x:c>
      <x:c r="AM380" s="64" t="n">
        <x:f>AK380/L380</x:f>
        <x:v>337.248</x:v>
      </x:c>
      <x:c r="AN380" s="66" t="str">
        <x:f>IF(AM380&lt;=200,"≤200K",IF(AM380&lt;=350,"200–350K",IF(AM380&lt;=500,"350–500K",IF(AM380&lt;=700,"500–700K","&gt;700K"))))</x:f>
        <x:v>200–350K</x:v>
      </x:c>
      <x:c r="AO380" s="64" t="n">
        <x:f>-ROUND(Q380*'Drivers'!R380,3)</x:f>
        <x:v>-514.535</x:v>
      </x:c>
      <x:c r="AP380" s="64" t="n">
        <x:f>-ROUND(AK380*'Drivers'!S380,3)</x:f>
        <x:v>-15.511</x:v>
      </x:c>
      <x:c r="AQ380" s="64" t="n">
        <x:f>-ROUND(AK380*'Drivers'!T380,3)</x:f>
        <x:v>-4.879</x:v>
      </x:c>
      <x:c r="AR380" s="64" t="n">
        <x:f>-ROUND(AK380*'Drivers'!U380,3)</x:f>
        <x:v>-10.416</x:v>
      </x:c>
      <x:c r="AS380" s="64" t="n">
        <x:f>-ROUND(AK380*'Drivers'!V380,3)</x:f>
        <x:v>-33.88</x:v>
      </x:c>
      <x:c r="AT380" s="64" t="n">
        <x:f>SUM(AO380:AS380)</x:f>
        <x:v>-579.221</x:v>
      </x:c>
      <x:c r="AU380" s="65" t="n">
        <x:f>AT380/AK380</x:f>
        <x:v>-0.5724975883227378</x:v>
      </x:c>
      <x:c r="AV380" s="64" t="n">
        <x:f>AK380+AT380</x:f>
        <x:v>432.5229999999999</x:v>
      </x:c>
      <x:c r="AW380" s="65" t="n">
        <x:f>AV380/AK380</x:f>
        <x:v>0.42750241167726216</x:v>
      </x:c>
      <x:c r="AX380" s="64" t="n">
        <x:f>-ROUND(AK380*'Drivers'!W380,3)</x:f>
        <x:v>-14.746</x:v>
      </x:c>
      <x:c r="AY380" s="64" t="n">
        <x:f>-ROUND(AK380*'Drivers'!X380,3)</x:f>
        <x:v>-28.077</x:v>
      </x:c>
      <x:c r="AZ380" s="64" t="n">
        <x:f>-ROUND(AK380*'Drivers'!Y380,3)</x:f>
        <x:v>-21.766</x:v>
      </x:c>
      <x:c r="BA380" s="64" t="n">
        <x:f>-ROUND(AK380*'Drivers'!Z380,3)</x:f>
        <x:v>-7.989</x:v>
      </x:c>
      <x:c r="BB380" s="64" t="n">
        <x:f>-ROUND(AK380*'Drivers'!AA380,3)</x:f>
        <x:v>-7.672</x:v>
      </x:c>
      <x:c r="BC380" s="64" t="n">
        <x:f>SUM(BA380,BB380)</x:f>
        <x:v>-15.661</x:v>
      </x:c>
      <x:c r="BD380" s="64" t="n">
        <x:f>-ROUND(AK380*'Drivers'!AB380,3)</x:f>
        <x:v>-8.489</x:v>
      </x:c>
      <x:c r="BE380" s="64" t="n">
        <x:f>SUM(AX380:BB380,BD380)</x:f>
        <x:v>-88.739</x:v>
      </x:c>
      <x:c r="BF380" s="67" t="n">
        <x:f>'Drivers'!AF380</x:f>
        <x:v>5</x:v>
      </x:c>
      <x:c r="BG380" s="64" t="n">
        <x:f>BJ380</x:f>
        <x:v>-19.974</x:v>
      </x:c>
      <x:c r="BH380" s="64" t="n">
        <x:f>BE380/BF380</x:f>
        <x:v>-17.7478</x:v>
      </x:c>
      <x:c r="BI380" s="68" t="n">
        <x:f>BF380/L380</x:f>
        <x:v>1.6666666666666667</x:v>
      </x:c>
      <x:c r="BJ380" s="64" t="n">
        <x:f>-ROUND(AK380*'Drivers'!AC380,3)</x:f>
        <x:v>-19.974</x:v>
      </x:c>
      <x:c r="BK380" s="64" t="n">
        <x:f>-ROUND(AK380*'Drivers'!AD380,3)</x:f>
        <x:v>-109.926</x:v>
      </x:c>
      <x:c r="BL380" s="64" t="n">
        <x:f>SUM(AV380,BE380,BJ380,BK380)</x:f>
        <x:v>213.8839999999999</x:v>
      </x:c>
      <x:c r="BM380" s="65" t="n">
        <x:f>BL380/AK380</x:f>
        <x:v>0.21140130309643537</x:v>
      </x:c>
      <x:c r="BN380" s="64" t="n">
        <x:f>-ROUND(AK380*'Drivers'!AE380,3)</x:f>
        <x:v>-83.902</x:v>
      </x:c>
      <x:c r="BO380" s="64" t="n">
        <x:f>BL380+BN380</x:f>
        <x:v>129.9819999999999</x:v>
      </x:c>
      <x:c r="BP380" s="65" t="n">
        <x:f>BO380/AK380</x:f>
        <x:v>0.12847321061454273</x:v>
      </x:c>
    </x:row>
    <x:row r="381">
      <x:c r="A381" s="61" t="n">
        <x:v>2026</x:v>
      </x:c>
      <x:c r="B381" s="18" t="str">
        <x:v>S2</x:v>
      </x:c>
      <x:c r="C381" s="18" t="str">
        <x:v>2026 S2</x:v>
      </x:c>
      <x:c r="D381" s="18" t="str">
        <x:v>CNCT0095</x:v>
      </x:c>
      <x:c r="E381" s="18" t="str">
        <x:v>苏州仁恒仓街</x:v>
      </x:c>
      <x:c r="F381" s="18" t="str">
        <x:v>苏州</x:v>
      </x:c>
      <x:c r="G381" s="18" t="str">
        <x:v>江苏省</x:v>
      </x:c>
      <x:c r="H381" s="18" t="str">
        <x:v>东区</x:v>
      </x:c>
      <x:c r="I381" s="18" t="str">
        <x:v>Shopping Mall</x:v>
      </x:c>
      <x:c r="J381" s="18" t="str">
        <x:v>Core Shopping Center</x:v>
      </x:c>
      <x:c r="K381" s="18" t="str">
        <x:v>正常</x:v>
      </x:c>
      <x:c r="L381" s="62" t="n">
        <x:v>3</x:v>
      </x:c>
      <x:c r="M381" s="62" t="n">
        <x:v>38</x:v>
      </x:c>
      <x:c r="N381" s="63" t="n">
        <x:f>'Drivers'!C381</x:f>
        <x:v>1453</x:v>
      </x:c>
      <x:c r="O381" s="63" t="n">
        <x:f>'Drivers'!D381</x:f>
        <x:v>1113.267</x:v>
      </x:c>
      <x:c r="P381" s="64" t="n">
        <x:f>ROUND(N381*O381/1000,3)</x:f>
        <x:v>1617.577</x:v>
      </x:c>
      <x:c r="Q381" s="64" t="n">
        <x:f>ROUND(P381*'Drivers'!E381,3)</x:f>
        <x:v>1585.266</x:v>
      </x:c>
      <x:c r="R381" s="64" t="n">
        <x:f>-ROUND(Q381*'Drivers'!F381,3)</x:f>
        <x:v>-328.144</x:v>
      </x:c>
      <x:c r="S381" s="65" t="n">
        <x:f>R381/Q381</x:f>
        <x:v>-0.20699617603607218</x:v>
      </x:c>
      <x:c r="T381" s="64" t="n">
        <x:f>-ROUND(Q381*'Drivers'!G381,3)</x:f>
        <x:v>-21.044</x:v>
      </x:c>
      <x:c r="U381" s="65" t="n">
        <x:f>T381/Q381</x:f>
        <x:v>-0.013274743796940072</x:v>
      </x:c>
      <x:c r="V381" s="64" t="n">
        <x:f>-ROUND(Q381*'Drivers'!H381,3)</x:f>
        <x:v>-11.13</x:v>
      </x:c>
      <x:c r="W381" s="64" t="n">
        <x:f>-ROUND(Q381*'Drivers'!I381,3)</x:f>
        <x:v>-10.715</x:v>
      </x:c>
      <x:c r="X381" s="64" t="n">
        <x:f>-ROUND(Q381*'Drivers'!J381,3)</x:f>
        <x:v>-26.431</x:v>
      </x:c>
      <x:c r="Y381" s="64" t="n">
        <x:f>-ROUND(Q381*'Drivers'!K381,3)</x:f>
        <x:v>-19.909</x:v>
      </x:c>
      <x:c r="Z381" s="64" t="n">
        <x:f>-ROUND(Q381*'Drivers'!L381,3)</x:f>
        <x:v>-14.405</x:v>
      </x:c>
      <x:c r="AA381" s="64" t="n">
        <x:f>-ROUND(Q381*'Drivers'!M381,3)</x:f>
        <x:v>-16.573</x:v>
      </x:c>
      <x:c r="AB381" s="64" t="n">
        <x:f>-ROUND(Q381*'Drivers'!N381,3)</x:f>
        <x:v>-12.368</x:v>
      </x:c>
      <x:c r="AC381" s="64" t="n">
        <x:f>SUM(V381:AB381)</x:f>
        <x:v>-111.531</x:v>
      </x:c>
      <x:c r="AD381" s="65" t="n">
        <x:f>AC381/Q381</x:f>
        <x:v>-0.07035475434406592</x:v>
      </x:c>
      <x:c r="AE381" s="64" t="n">
        <x:f>-ROUND(Q381*'Drivers'!O381,3)</x:f>
        <x:v>-17.204</x:v>
      </x:c>
      <x:c r="AF381" s="65" t="n">
        <x:f>AE381/Q381</x:f>
        <x:v>-0.010852437382748385</x:v>
      </x:c>
      <x:c r="AG381" s="64" t="n">
        <x:f>-ROUND(Q381*'Drivers'!P381,3)</x:f>
        <x:v>-4.423</x:v>
      </x:c>
      <x:c r="AH381" s="64" t="n">
        <x:f>-ROUND(Q381*'Drivers'!Q381,3)</x:f>
        <x:v>-6.413</x:v>
      </x:c>
      <x:c r="AI381" s="64" t="n">
        <x:f>SUM(R381,T381,AC381,AE381,AG381,AH381)</x:f>
        <x:v>-488.759</x:v>
      </x:c>
      <x:c r="AJ381" s="65" t="n">
        <x:f>AI381/Q381</x:f>
        <x:v>-0.3083135574723737</x:v>
      </x:c>
      <x:c r="AK381" s="64" t="n">
        <x:f>Q381+AI381</x:f>
        <x:v>1096.507</x:v>
      </x:c>
      <x:c r="AL381" s="65" t="n">
        <x:f>AK381/Q381</x:f>
        <x:v>0.6916864425276262</x:v>
      </x:c>
      <x:c r="AM381" s="64" t="n">
        <x:f>AK381/L381</x:f>
        <x:v>365.50233333333335</x:v>
      </x:c>
      <x:c r="AN381" s="66" t="str">
        <x:f>IF(AM381&lt;=200,"≤200K",IF(AM381&lt;=350,"200–350K",IF(AM381&lt;=500,"350–500K",IF(AM381&lt;=700,"500–700K","&gt;700K"))))</x:f>
        <x:v>350–500K</x:v>
      </x:c>
      <x:c r="AO381" s="64" t="n">
        <x:f>-ROUND(Q381*'Drivers'!R381,3)</x:f>
        <x:v>-549.313</x:v>
      </x:c>
      <x:c r="AP381" s="64" t="n">
        <x:f>-ROUND(AK381*'Drivers'!S381,3)</x:f>
        <x:v>-16.811</x:v>
      </x:c>
      <x:c r="AQ381" s="64" t="n">
        <x:f>-ROUND(AK381*'Drivers'!T381,3)</x:f>
        <x:v>-5.287</x:v>
      </x:c>
      <x:c r="AR381" s="64" t="n">
        <x:f>-ROUND(AK381*'Drivers'!U381,3)</x:f>
        <x:v>-11.289</x:v>
      </x:c>
      <x:c r="AS381" s="64" t="n">
        <x:f>-ROUND(AK381*'Drivers'!V381,3)</x:f>
        <x:v>-36.718</x:v>
      </x:c>
      <x:c r="AT381" s="64" t="n">
        <x:f>SUM(AO381:AS381)</x:f>
        <x:v>-619.418</x:v>
      </x:c>
      <x:c r="AU381" s="65" t="n">
        <x:f>AT381/AK381</x:f>
        <x:v>-0.5649010904627148</x:v>
      </x:c>
      <x:c r="AV381" s="64" t="n">
        <x:f>AK381+AT381</x:f>
        <x:v>477.08900000000006</x:v>
      </x:c>
      <x:c r="AW381" s="65" t="n">
        <x:f>AV381/AK381</x:f>
        <x:v>0.43509890953728525</x:v>
      </x:c>
      <x:c r="AX381" s="64" t="n">
        <x:f>-ROUND(AK381*'Drivers'!W381,3)</x:f>
        <x:v>-13.768</x:v>
      </x:c>
      <x:c r="AY381" s="64" t="n">
        <x:f>-ROUND(AK381*'Drivers'!X381,3)</x:f>
        <x:v>-26.214</x:v>
      </x:c>
      <x:c r="AZ381" s="64" t="n">
        <x:f>-ROUND(AK381*'Drivers'!Y381,3)</x:f>
        <x:v>-20.322</x:v>
      </x:c>
      <x:c r="BA381" s="64" t="n">
        <x:f>-ROUND(AK381*'Drivers'!Z381,3)</x:f>
        <x:v>-7.459</x:v>
      </x:c>
      <x:c r="BB381" s="64" t="n">
        <x:f>-ROUND(AK381*'Drivers'!AA381,3)</x:f>
        <x:v>-7.163</x:v>
      </x:c>
      <x:c r="BC381" s="64" t="n">
        <x:f>SUM(BA381,BB381)</x:f>
        <x:v>-14.622</x:v>
      </x:c>
      <x:c r="BD381" s="64" t="n">
        <x:f>-ROUND(AK381*'Drivers'!AB381,3)</x:f>
        <x:v>-7.925</x:v>
      </x:c>
      <x:c r="BE381" s="64" t="n">
        <x:f>SUM(AX381:BB381,BD381)</x:f>
        <x:v>-82.851</x:v>
      </x:c>
      <x:c r="BF381" s="67" t="n">
        <x:f>'Drivers'!AF381</x:f>
        <x:v>5</x:v>
      </x:c>
      <x:c r="BG381" s="64" t="n">
        <x:f>BJ381</x:f>
        <x:v>-18.648</x:v>
      </x:c>
      <x:c r="BH381" s="64" t="n">
        <x:f>BE381/BF381</x:f>
        <x:v>-16.5702</x:v>
      </x:c>
      <x:c r="BI381" s="68" t="n">
        <x:f>BF381/L381</x:f>
        <x:v>1.6666666666666667</x:v>
      </x:c>
      <x:c r="BJ381" s="64" t="n">
        <x:f>-ROUND(AK381*'Drivers'!AC381,3)</x:f>
        <x:v>-18.648</x:v>
      </x:c>
      <x:c r="BK381" s="64" t="n">
        <x:f>-ROUND(AK381*'Drivers'!AD381,3)</x:f>
        <x:v>-119.136</x:v>
      </x:c>
      <x:c r="BL381" s="64" t="n">
        <x:f>SUM(AV381,BE381,BJ381,BK381)</x:f>
        <x:v>256.45400000000006</x:v>
      </x:c>
      <x:c r="BM381" s="65" t="n">
        <x:f>BL381/AK381</x:f>
        <x:v>0.2338826838314758</x:v>
      </x:c>
      <x:c r="BN381" s="64" t="n">
        <x:f>-ROUND(AK381*'Drivers'!AE381,3)</x:f>
        <x:v>-90.931</x:v>
      </x:c>
      <x:c r="BO381" s="64" t="n">
        <x:f>BL381+BN381</x:f>
        <x:v>165.52300000000008</x:v>
      </x:c>
      <x:c r="BP381" s="65" t="n">
        <x:f>BO381/AK381</x:f>
        <x:v>0.15095480466608974</x:v>
      </x:c>
    </x:row>
    <x:row r="382">
      <x:c r="A382" s="61" t="n">
        <x:v>2025</x:v>
      </x:c>
      <x:c r="B382" s="18" t="str">
        <x:v>S1</x:v>
      </x:c>
      <x:c r="C382" s="18" t="str">
        <x:v>2025 S1</x:v>
      </x:c>
      <x:c r="D382" s="18" t="str">
        <x:v>CNCT0096</x:v>
      </x:c>
      <x:c r="E382" s="18" t="str">
        <x:v>苏州龙湖狮山天街</x:v>
      </x:c>
      <x:c r="F382" s="18" t="str">
        <x:v>苏州</x:v>
      </x:c>
      <x:c r="G382" s="18" t="str">
        <x:v>江苏省</x:v>
      </x:c>
      <x:c r="H382" s="18" t="str">
        <x:v>东区</x:v>
      </x:c>
      <x:c r="I382" s="18" t="str">
        <x:v>Shopping Mall</x:v>
      </x:c>
      <x:c r="J382" s="18" t="str">
        <x:v>Core Shopping Center</x:v>
      </x:c>
      <x:c r="K382" s="18" t="str">
        <x:v>正常</x:v>
      </x:c>
      <x:c r="L382" s="62" t="n">
        <x:v>4</x:v>
      </x:c>
      <x:c r="M382" s="62" t="n">
        <x:v>38</x:v>
      </x:c>
      <x:c r="N382" s="63" t="n">
        <x:f>'Drivers'!C382</x:f>
        <x:v>1658</x:v>
      </x:c>
      <x:c r="O382" s="63" t="n">
        <x:f>'Drivers'!D382</x:f>
        <x:v>1078.834</x:v>
      </x:c>
      <x:c r="P382" s="64" t="n">
        <x:f>ROUND(N382*O382/1000,3)</x:f>
        <x:v>1788.707</x:v>
      </x:c>
      <x:c r="Q382" s="64" t="n">
        <x:f>ROUND(P382*'Drivers'!E382,3)</x:f>
        <x:v>1723.672</x:v>
      </x:c>
      <x:c r="R382" s="64" t="n">
        <x:f>-ROUND(Q382*'Drivers'!F382,3)</x:f>
        <x:v>-350.921</x:v>
      </x:c>
      <x:c r="S382" s="65" t="n">
        <x:f>R382/Q382</x:f>
        <x:v>-0.2035891979448526</x:v>
      </x:c>
      <x:c r="T382" s="64" t="n">
        <x:f>-ROUND(Q382*'Drivers'!G382,3)</x:f>
        <x:v>-22.892</x:v>
      </x:c>
      <x:c r="U382" s="65" t="n">
        <x:f>T382/Q382</x:f>
        <x:v>-0.013280949043669561</x:v>
      </x:c>
      <x:c r="V382" s="64" t="n">
        <x:f>-ROUND(Q382*'Drivers'!H382,3)</x:f>
        <x:v>-12.967</x:v>
      </x:c>
      <x:c r="W382" s="64" t="n">
        <x:f>-ROUND(Q382*'Drivers'!I382,3)</x:f>
        <x:v>-16.97</x:v>
      </x:c>
      <x:c r="X382" s="64" t="n">
        <x:f>-ROUND(Q382*'Drivers'!J382,3)</x:f>
        <x:v>-27.096</x:v>
      </x:c>
      <x:c r="Y382" s="64" t="n">
        <x:f>-ROUND(Q382*'Drivers'!K382,3)</x:f>
        <x:v>-20.923</x:v>
      </x:c>
      <x:c r="Z382" s="64" t="n">
        <x:f>-ROUND(Q382*'Drivers'!L382,3)</x:f>
        <x:v>-14.35</x:v>
      </x:c>
      <x:c r="AA382" s="64" t="n">
        <x:f>-ROUND(Q382*'Drivers'!M382,3)</x:f>
        <x:v>-10.449</x:v>
      </x:c>
      <x:c r="AB382" s="64" t="n">
        <x:f>-ROUND(Q382*'Drivers'!N382,3)</x:f>
        <x:v>-9.138</x:v>
      </x:c>
      <x:c r="AC382" s="64" t="n">
        <x:f>SUM(V382:AB382)</x:f>
        <x:v>-111.893</x:v>
      </x:c>
      <x:c r="AD382" s="65" t="n">
        <x:f>AC382/Q382</x:f>
        <x:v>-0.06491548276006108</x:v>
      </x:c>
      <x:c r="AE382" s="64" t="n">
        <x:f>-ROUND(Q382*'Drivers'!O382,3)</x:f>
        <x:v>-11.39</x:v>
      </x:c>
      <x:c r="AF382" s="65" t="n">
        <x:f>AE382/Q382</x:f>
        <x:v>-0.006607985742066937</x:v>
      </x:c>
      <x:c r="AG382" s="64" t="n">
        <x:f>-ROUND(Q382*'Drivers'!P382,3)</x:f>
        <x:v>-4.289</x:v>
      </x:c>
      <x:c r="AH382" s="64" t="n">
        <x:f>-ROUND(Q382*'Drivers'!Q382,3)</x:f>
        <x:v>-6.811</x:v>
      </x:c>
      <x:c r="AI382" s="64" t="n">
        <x:f>SUM(R382,T382,AC382,AE382,AG382,AH382)</x:f>
        <x:v>-508.19599999999997</x:v>
      </x:c>
      <x:c r="AJ382" s="65" t="n">
        <x:f>AI382/Q382</x:f>
        <x:v>-0.2948333557660622</x:v>
      </x:c>
      <x:c r="AK382" s="64" t="n">
        <x:f>Q382+AI382</x:f>
        <x:v>1215.476</x:v>
      </x:c>
      <x:c r="AL382" s="65" t="n">
        <x:f>AK382/Q382</x:f>
        <x:v>0.7051666442339378</x:v>
      </x:c>
      <x:c r="AM382" s="64" t="n">
        <x:f>AK382/L382</x:f>
        <x:v>303.869</x:v>
      </x:c>
      <x:c r="AN382" s="66" t="str">
        <x:f>IF(AM382&lt;=200,"≤200K",IF(AM382&lt;=350,"200–350K",IF(AM382&lt;=500,"350–500K",IF(AM382&lt;=700,"500–700K","&gt;700K"))))</x:f>
        <x:v>200–350K</x:v>
      </x:c>
      <x:c r="AO382" s="64" t="n">
        <x:f>-ROUND(Q382*'Drivers'!R382,3)</x:f>
        <x:v>-644.55</x:v>
      </x:c>
      <x:c r="AP382" s="64" t="n">
        <x:f>-ROUND(AK382*'Drivers'!S382,3)</x:f>
        <x:v>-15.245</x:v>
      </x:c>
      <x:c r="AQ382" s="64" t="n">
        <x:f>-ROUND(AK382*'Drivers'!T382,3)</x:f>
        <x:v>-7.651</x:v>
      </x:c>
      <x:c r="AR382" s="64" t="n">
        <x:f>-ROUND(AK382*'Drivers'!U382,3)</x:f>
        <x:v>-7.734</x:v>
      </x:c>
      <x:c r="AS382" s="64" t="n">
        <x:f>-ROUND(AK382*'Drivers'!V382,3)</x:f>
        <x:v>-36.026</x:v>
      </x:c>
      <x:c r="AT382" s="64" t="n">
        <x:f>SUM(AO382:AS382)</x:f>
        <x:v>-711.2059999999999</x:v>
      </x:c>
      <x:c r="AU382" s="65" t="n">
        <x:f>AT382/AK382</x:f>
        <x:v>-0.5851254981587459</x:v>
      </x:c>
      <x:c r="AV382" s="64" t="n">
        <x:f>AK382+AT382</x:f>
        <x:v>504.2700000000002</x:v>
      </x:c>
      <x:c r="AW382" s="65" t="n">
        <x:f>AV382/AK382</x:f>
        <x:v>0.4148745018412541</x:v>
      </x:c>
      <x:c r="AX382" s="64" t="n">
        <x:f>-ROUND(AK382*'Drivers'!W382,3)</x:f>
        <x:v>-16.916</x:v>
      </x:c>
      <x:c r="AY382" s="64" t="n">
        <x:f>-ROUND(AK382*'Drivers'!X382,3)</x:f>
        <x:v>-30.175</x:v>
      </x:c>
      <x:c r="AZ382" s="64" t="n">
        <x:f>-ROUND(AK382*'Drivers'!Y382,3)</x:f>
        <x:v>-23.341</x:v>
      </x:c>
      <x:c r="BA382" s="64" t="n">
        <x:f>-ROUND(AK382*'Drivers'!Z382,3)</x:f>
        <x:v>-8.057</x:v>
      </x:c>
      <x:c r="BB382" s="64" t="n">
        <x:f>-ROUND(AK382*'Drivers'!AA382,3)</x:f>
        <x:v>-7.021</x:v>
      </x:c>
      <x:c r="BC382" s="64" t="n">
        <x:f>SUM(BA382,BB382)</x:f>
        <x:v>-15.078</x:v>
      </x:c>
      <x:c r="BD382" s="64" t="n">
        <x:f>-ROUND(AK382*'Drivers'!AB382,3)</x:f>
        <x:v>-5.147</x:v>
      </x:c>
      <x:c r="BE382" s="64" t="n">
        <x:f>SUM(AX382:BB382,BD382)</x:f>
        <x:v>-90.65700000000001</x:v>
      </x:c>
      <x:c r="BF382" s="67" t="n">
        <x:f>'Drivers'!AF382</x:f>
        <x:v>6</x:v>
      </x:c>
      <x:c r="BG382" s="64" t="n">
        <x:f>BJ382</x:f>
        <x:v>-27.099</x:v>
      </x:c>
      <x:c r="BH382" s="64" t="n">
        <x:f>BE382/BF382</x:f>
        <x:v>-15.109500000000002</x:v>
      </x:c>
      <x:c r="BI382" s="68" t="n">
        <x:f>BF382/L382</x:f>
        <x:v>1.5</x:v>
      </x:c>
      <x:c r="BJ382" s="64" t="n">
        <x:f>-ROUND(AK382*'Drivers'!AC382,3)</x:f>
        <x:v>-27.099</x:v>
      </x:c>
      <x:c r="BK382" s="64" t="n">
        <x:f>-ROUND(AK382*'Drivers'!AD382,3)</x:f>
        <x:v>-115.911</x:v>
      </x:c>
      <x:c r="BL382" s="64" t="n">
        <x:f>SUM(AV382,BE382,BJ382,BK382)</x:f>
        <x:v>270.6030000000002</x:v>
      </x:c>
      <x:c r="BM382" s="65" t="n">
        <x:f>BL382/AK382</x:f>
        <x:v>0.2226312983555415</x:v>
      </x:c>
      <x:c r="BN382" s="64" t="n">
        <x:f>-ROUND(AK382*'Drivers'!AE382,3)</x:f>
        <x:v>-81.562</x:v>
      </x:c>
      <x:c r="BO382" s="64" t="n">
        <x:f>BL382+BN382</x:f>
        <x:v>189.04100000000017</x:v>
      </x:c>
      <x:c r="BP382" s="65" t="n">
        <x:f>BO382/AK382</x:f>
        <x:v>0.15552836913275142</x:v>
      </x:c>
    </x:row>
    <x:row r="383">
      <x:c r="A383" s="61" t="n">
        <x:v>2025</x:v>
      </x:c>
      <x:c r="B383" s="18" t="str">
        <x:v>S2</x:v>
      </x:c>
      <x:c r="C383" s="18" t="str">
        <x:v>2025 S2</x:v>
      </x:c>
      <x:c r="D383" s="18" t="str">
        <x:v>CNCT0096</x:v>
      </x:c>
      <x:c r="E383" s="18" t="str">
        <x:v>苏州龙湖狮山天街</x:v>
      </x:c>
      <x:c r="F383" s="18" t="str">
        <x:v>苏州</x:v>
      </x:c>
      <x:c r="G383" s="18" t="str">
        <x:v>江苏省</x:v>
      </x:c>
      <x:c r="H383" s="18" t="str">
        <x:v>东区</x:v>
      </x:c>
      <x:c r="I383" s="18" t="str">
        <x:v>Shopping Mall</x:v>
      </x:c>
      <x:c r="J383" s="18" t="str">
        <x:v>Core Shopping Center</x:v>
      </x:c>
      <x:c r="K383" s="18" t="str">
        <x:v>正常</x:v>
      </x:c>
      <x:c r="L383" s="62" t="n">
        <x:v>4</x:v>
      </x:c>
      <x:c r="M383" s="62" t="n">
        <x:v>38</x:v>
      </x:c>
      <x:c r="N383" s="63" t="n">
        <x:f>'Drivers'!C383</x:f>
        <x:v>1766</x:v>
      </x:c>
      <x:c r="O383" s="63" t="n">
        <x:f>'Drivers'!D383</x:f>
        <x:v>1091.78</x:v>
      </x:c>
      <x:c r="P383" s="64" t="n">
        <x:f>ROUND(N383*O383/1000,3)</x:f>
        <x:v>1928.083</x:v>
      </x:c>
      <x:c r="Q383" s="64" t="n">
        <x:f>ROUND(P383*'Drivers'!E383,3)</x:f>
        <x:v>1871.267</x:v>
      </x:c>
      <x:c r="R383" s="64" t="n">
        <x:f>-ROUND(Q383*'Drivers'!F383,3)</x:f>
        <x:v>-380.969</x:v>
      </x:c>
      <x:c r="S383" s="65" t="n">
        <x:f>R383/Q383</x:f>
        <x:v>-0.20358879839167793</x:v>
      </x:c>
      <x:c r="T383" s="64" t="n">
        <x:f>-ROUND(Q383*'Drivers'!G383,3)</x:f>
        <x:v>-24.852</x:v>
      </x:c>
      <x:c r="U383" s="65" t="n">
        <x:f>T383/Q383</x:f>
        <x:v>-0.013280841269578313</x:v>
      </x:c>
      <x:c r="V383" s="64" t="n">
        <x:f>-ROUND(Q383*'Drivers'!H383,3)</x:f>
        <x:v>-14.078</x:v>
      </x:c>
      <x:c r="W383" s="64" t="n">
        <x:f>-ROUND(Q383*'Drivers'!I383,3)</x:f>
        <x:v>-18.423</x:v>
      </x:c>
      <x:c r="X383" s="64" t="n">
        <x:f>-ROUND(Q383*'Drivers'!J383,3)</x:f>
        <x:v>-29.416</x:v>
      </x:c>
      <x:c r="Y383" s="64" t="n">
        <x:f>-ROUND(Q383*'Drivers'!K383,3)</x:f>
        <x:v>-22.714</x:v>
      </x:c>
      <x:c r="Z383" s="64" t="n">
        <x:f>-ROUND(Q383*'Drivers'!L383,3)</x:f>
        <x:v>-15.579</x:v>
      </x:c>
      <x:c r="AA383" s="64" t="n">
        <x:f>-ROUND(Q383*'Drivers'!M383,3)</x:f>
        <x:v>-11.344</x:v>
      </x:c>
      <x:c r="AB383" s="64" t="n">
        <x:f>-ROUND(Q383*'Drivers'!N383,3)</x:f>
        <x:v>-9.921</x:v>
      </x:c>
      <x:c r="AC383" s="64" t="n">
        <x:f>SUM(V383:AB383)</x:f>
        <x:v>-121.475</x:v>
      </x:c>
      <x:c r="AD383" s="65" t="n">
        <x:f>AC383/Q383</x:f>
        <x:v>-0.06491590991558126</x:v>
      </x:c>
      <x:c r="AE383" s="64" t="n">
        <x:f>-ROUND(Q383*'Drivers'!O383,3)</x:f>
        <x:v>-12.365</x:v>
      </x:c>
      <x:c r="AF383" s="65" t="n">
        <x:f>AE383/Q383</x:f>
        <x:v>-0.0066078224005446575</x:v>
      </x:c>
      <x:c r="AG383" s="64" t="n">
        <x:f>-ROUND(Q383*'Drivers'!P383,3)</x:f>
        <x:v>-4.656</x:v>
      </x:c>
      <x:c r="AH383" s="64" t="n">
        <x:f>-ROUND(Q383*'Drivers'!Q383,3)</x:f>
        <x:v>-7.395</x:v>
      </x:c>
      <x:c r="AI383" s="64" t="n">
        <x:f>SUM(R383,T383,AC383,AE383,AG383,AH383)</x:f>
        <x:v>-551.7119999999999</x:v>
      </x:c>
      <x:c r="AJ383" s="65" t="n">
        <x:f>AI383/Q383</x:f>
        <x:v>-0.29483339363116</x:v>
      </x:c>
      <x:c r="AK383" s="64" t="n">
        <x:f>Q383+AI383</x:f>
        <x:v>1319.5550000000003</x:v>
      </x:c>
      <x:c r="AL383" s="65" t="n">
        <x:f>AK383/Q383</x:f>
        <x:v>0.7051666063688401</x:v>
      </x:c>
      <x:c r="AM383" s="64" t="n">
        <x:f>AK383/L383</x:f>
        <x:v>329.8887500000001</x:v>
      </x:c>
      <x:c r="AN383" s="66" t="str">
        <x:f>IF(AM383&lt;=200,"≤200K",IF(AM383&lt;=350,"200–350K",IF(AM383&lt;=500,"350–500K",IF(AM383&lt;=700,"500–700K","&gt;700K"))))</x:f>
        <x:v>200–350K</x:v>
      </x:c>
      <x:c r="AO383" s="64" t="n">
        <x:f>-ROUND(Q383*'Drivers'!R383,3)</x:f>
        <x:v>-693.44</x:v>
      </x:c>
      <x:c r="AP383" s="64" t="n">
        <x:f>-ROUND(AK383*'Drivers'!S383,3)</x:f>
        <x:v>-16.55</x:v>
      </x:c>
      <x:c r="AQ383" s="64" t="n">
        <x:f>-ROUND(AK383*'Drivers'!T383,3)</x:f>
        <x:v>-8.307</x:v>
      </x:c>
      <x:c r="AR383" s="64" t="n">
        <x:f>-ROUND(AK383*'Drivers'!U383,3)</x:f>
        <x:v>-8.396</x:v>
      </x:c>
      <x:c r="AS383" s="64" t="n">
        <x:f>-ROUND(AK383*'Drivers'!V383,3)</x:f>
        <x:v>-39.11</x:v>
      </x:c>
      <x:c r="AT383" s="64" t="n">
        <x:f>SUM(AO383:AS383)</x:f>
        <x:v>-765.803</x:v>
      </x:c>
      <x:c r="AU383" s="65" t="n">
        <x:f>AT383/AK383</x:f>
        <x:v>-0.5803494359841006</x:v>
      </x:c>
      <x:c r="AV383" s="64" t="n">
        <x:f>AK383+AT383</x:f>
        <x:v>553.7520000000003</x:v>
      </x:c>
      <x:c r="AW383" s="65" t="n">
        <x:f>AV383/AK383</x:f>
        <x:v>0.41965056401589945</x:v>
      </x:c>
      <x:c r="AX383" s="64" t="n">
        <x:f>-ROUND(AK383*'Drivers'!W383,3)</x:f>
        <x:v>-18.364</x:v>
      </x:c>
      <x:c r="AY383" s="64" t="n">
        <x:f>-ROUND(AK383*'Drivers'!X383,3)</x:f>
        <x:v>-32.759</x:v>
      </x:c>
      <x:c r="AZ383" s="64" t="n">
        <x:f>-ROUND(AK383*'Drivers'!Y383,3)</x:f>
        <x:v>-25.34</x:v>
      </x:c>
      <x:c r="BA383" s="64" t="n">
        <x:f>-ROUND(AK383*'Drivers'!Z383,3)</x:f>
        <x:v>-8.747</x:v>
      </x:c>
      <x:c r="BB383" s="64" t="n">
        <x:f>-ROUND(AK383*'Drivers'!AA383,3)</x:f>
        <x:v>-7.622</x:v>
      </x:c>
      <x:c r="BC383" s="64" t="n">
        <x:f>SUM(BA383,BB383)</x:f>
        <x:v>-16.369</x:v>
      </x:c>
      <x:c r="BD383" s="64" t="n">
        <x:f>-ROUND(AK383*'Drivers'!AB383,3)</x:f>
        <x:v>-5.588</x:v>
      </x:c>
      <x:c r="BE383" s="64" t="n">
        <x:f>SUM(AX383:BB383,BD383)</x:f>
        <x:v>-98.42</x:v>
      </x:c>
      <x:c r="BF383" s="67" t="n">
        <x:f>'Drivers'!AF383</x:f>
        <x:v>6</x:v>
      </x:c>
      <x:c r="BG383" s="64" t="n">
        <x:f>BJ383</x:f>
        <x:v>-29.42</x:v>
      </x:c>
      <x:c r="BH383" s="64" t="n">
        <x:f>BE383/BF383</x:f>
        <x:v>-16.403333333333332</x:v>
      </x:c>
      <x:c r="BI383" s="68" t="n">
        <x:f>BF383/L383</x:f>
        <x:v>1.5</x:v>
      </x:c>
      <x:c r="BJ383" s="64" t="n">
        <x:f>-ROUND(AK383*'Drivers'!AC383,3)</x:f>
        <x:v>-29.42</x:v>
      </x:c>
      <x:c r="BK383" s="64" t="n">
        <x:f>-ROUND(AK383*'Drivers'!AD383,3)</x:f>
        <x:v>-125.836</x:v>
      </x:c>
      <x:c r="BL383" s="64" t="n">
        <x:f>SUM(AV383,BE383,BJ383,BK383)</x:f>
        <x:v>300.07600000000025</x:v>
      </x:c>
      <x:c r="BM383" s="65" t="n">
        <x:f>BL383/AK383</x:f>
        <x:v>0.22740696674257624</x:v>
      </x:c>
      <x:c r="BN383" s="64" t="n">
        <x:f>-ROUND(AK383*'Drivers'!AE383,3)</x:f>
        <x:v>-88.546</x:v>
      </x:c>
      <x:c r="BO383" s="64" t="n">
        <x:f>BL383+BN383</x:f>
        <x:v>211.53000000000026</x:v>
      </x:c>
      <x:c r="BP383" s="65" t="n">
        <x:f>BO383/AK383</x:f>
        <x:v>0.16030404189291103</x:v>
      </x:c>
    </x:row>
    <x:row r="384">
      <x:c r="A384" s="61" t="n">
        <x:v>2026</x:v>
      </x:c>
      <x:c r="B384" s="18" t="str">
        <x:v>S1</x:v>
      </x:c>
      <x:c r="C384" s="18" t="str">
        <x:v>2026 S1</x:v>
      </x:c>
      <x:c r="D384" s="18" t="str">
        <x:v>CNCT0096</x:v>
      </x:c>
      <x:c r="E384" s="18" t="str">
        <x:v>苏州龙湖狮山天街</x:v>
      </x:c>
      <x:c r="F384" s="18" t="str">
        <x:v>苏州</x:v>
      </x:c>
      <x:c r="G384" s="18" t="str">
        <x:v>江苏省</x:v>
      </x:c>
      <x:c r="H384" s="18" t="str">
        <x:v>东区</x:v>
      </x:c>
      <x:c r="I384" s="18" t="str">
        <x:v>Shopping Mall</x:v>
      </x:c>
      <x:c r="J384" s="18" t="str">
        <x:v>Core Shopping Center</x:v>
      </x:c>
      <x:c r="K384" s="18" t="str">
        <x:v>正常</x:v>
      </x:c>
      <x:c r="L384" s="62" t="n">
        <x:v>4</x:v>
      </x:c>
      <x:c r="M384" s="62" t="n">
        <x:v>38</x:v>
      </x:c>
      <x:c r="N384" s="63" t="n">
        <x:f>'Drivers'!C384</x:f>
        <x:v>1532</x:v>
      </x:c>
      <x:c r="O384" s="63" t="n">
        <x:f>'Drivers'!D384</x:f>
        <x:v>1140.117</x:v>
      </x:c>
      <x:c r="P384" s="64" t="n">
        <x:f>ROUND(N384*O384/1000,3)</x:f>
        <x:v>1746.659</x:v>
      </x:c>
      <x:c r="Q384" s="64" t="n">
        <x:f>ROUND(P384*'Drivers'!E384,3)</x:f>
        <x:v>1679.583</x:v>
      </x:c>
      <x:c r="R384" s="64" t="n">
        <x:f>-ROUND(Q384*'Drivers'!F384,3)</x:f>
        <x:v>-332.806</x:v>
      </x:c>
      <x:c r="S384" s="65" t="n">
        <x:f>R384/Q384</x:f>
        <x:v>-0.19814799268627986</x:v>
      </x:c>
      <x:c r="T384" s="64" t="n">
        <x:f>-ROUND(Q384*'Drivers'!G384,3)</x:f>
        <x:v>-22.051</x:v>
      </x:c>
      <x:c r="U384" s="65" t="n">
        <x:f>T384/Q384</x:f>
        <x:v>-0.013128854007214884</x:v>
      </x:c>
      <x:c r="V384" s="64" t="n">
        <x:f>-ROUND(Q384*'Drivers'!H384,3)</x:f>
        <x:v>-12.635</x:v>
      </x:c>
      <x:c r="W384" s="64" t="n">
        <x:f>-ROUND(Q384*'Drivers'!I384,3)</x:f>
        <x:v>-16.536</x:v>
      </x:c>
      <x:c r="X384" s="64" t="n">
        <x:f>-ROUND(Q384*'Drivers'!J384,3)</x:f>
        <x:v>-26.403</x:v>
      </x:c>
      <x:c r="Y384" s="64" t="n">
        <x:f>-ROUND(Q384*'Drivers'!K384,3)</x:f>
        <x:v>-20.387</x:v>
      </x:c>
      <x:c r="Z384" s="64" t="n">
        <x:f>-ROUND(Q384*'Drivers'!L384,3)</x:f>
        <x:v>-13.983</x:v>
      </x:c>
      <x:c r="AA384" s="64" t="n">
        <x:f>-ROUND(Q384*'Drivers'!M384,3)</x:f>
        <x:v>-10.182</x:v>
      </x:c>
      <x:c r="AB384" s="64" t="n">
        <x:f>-ROUND(Q384*'Drivers'!N384,3)</x:f>
        <x:v>-8.905</x:v>
      </x:c>
      <x:c r="AC384" s="64" t="n">
        <x:f>SUM(V384:AB384)</x:f>
        <x:v>-109.031</x:v>
      </x:c>
      <x:c r="AD384" s="65" t="n">
        <x:f>AC384/Q384</x:f>
        <x:v>-0.06491551772076759</x:v>
      </x:c>
      <x:c r="AE384" s="64" t="n">
        <x:f>-ROUND(Q384*'Drivers'!O384,3)</x:f>
        <x:v>-10.911</x:v>
      </x:c>
      <x:c r="AF384" s="65" t="n">
        <x:f>AE384/Q384</x:f>
        <x:v>-0.006496255320517057</x:v>
      </x:c>
      <x:c r="AG384" s="64" t="n">
        <x:f>-ROUND(Q384*'Drivers'!P384,3)</x:f>
        <x:v>-4.179</x:v>
      </x:c>
      <x:c r="AH384" s="64" t="n">
        <x:f>-ROUND(Q384*'Drivers'!Q384,3)</x:f>
        <x:v>-6.637</x:v>
      </x:c>
      <x:c r="AI384" s="64" t="n">
        <x:f>SUM(R384,T384,AC384,AE384,AG384,AH384)</x:f>
        <x:v>-485.61499999999995</x:v>
      </x:c>
      <x:c r="AJ384" s="65" t="n">
        <x:f>AI384/Q384</x:f>
        <x:v>-0.28912831339683714</x:v>
      </x:c>
      <x:c r="AK384" s="64" t="n">
        <x:f>Q384+AI384</x:f>
        <x:v>1193.968</x:v>
      </x:c>
      <x:c r="AL384" s="65" t="n">
        <x:f>AK384/Q384</x:f>
        <x:v>0.7108716866031628</x:v>
      </x:c>
      <x:c r="AM384" s="64" t="n">
        <x:f>AK384/L384</x:f>
        <x:v>298.492</x:v>
      </x:c>
      <x:c r="AN384" s="66" t="str">
        <x:f>IF(AM384&lt;=200,"≤200K",IF(AM384&lt;=350,"200–350K",IF(AM384&lt;=500,"350–500K",IF(AM384&lt;=700,"500–700K","&gt;700K"))))</x:f>
        <x:v>200–350K</x:v>
      </x:c>
      <x:c r="AO384" s="64" t="n">
        <x:f>-ROUND(Q384*'Drivers'!R384,3)</x:f>
        <x:v>-625.732</x:v>
      </x:c>
      <x:c r="AP384" s="64" t="n">
        <x:f>-ROUND(AK384*'Drivers'!S384,3)</x:f>
        <x:v>-14.975</x:v>
      </x:c>
      <x:c r="AQ384" s="64" t="n">
        <x:f>-ROUND(AK384*'Drivers'!T384,3)</x:f>
        <x:v>-7.516</x:v>
      </x:c>
      <x:c r="AR384" s="64" t="n">
        <x:f>-ROUND(AK384*'Drivers'!U384,3)</x:f>
        <x:v>-7.597</x:v>
      </x:c>
      <x:c r="AS384" s="64" t="n">
        <x:f>-ROUND(AK384*'Drivers'!V384,3)</x:f>
        <x:v>-35.388</x:v>
      </x:c>
      <x:c r="AT384" s="64" t="n">
        <x:f>SUM(AO384:AS384)</x:f>
        <x:v>-691.208</x:v>
      </x:c>
      <x:c r="AU384" s="65" t="n">
        <x:f>AT384/AK384</x:f>
        <x:v>-0.5789166878844324</x:v>
      </x:c>
      <x:c r="AV384" s="64" t="n">
        <x:f>AK384+AT384</x:f>
        <x:v>502.7600000000001</x:v>
      </x:c>
      <x:c r="AW384" s="65" t="n">
        <x:f>AV384/AK384</x:f>
        <x:v>0.42108331211556765</x:v>
      </x:c>
      <x:c r="AX384" s="64" t="n">
        <x:f>-ROUND(AK384*'Drivers'!W384,3)</x:f>
        <x:v>-20.446</x:v>
      </x:c>
      <x:c r="AY384" s="64" t="n">
        <x:f>-ROUND(AK384*'Drivers'!X384,3)</x:f>
        <x:v>-36.472</x:v>
      </x:c>
      <x:c r="AZ384" s="64" t="n">
        <x:f>-ROUND(AK384*'Drivers'!Y384,3)</x:f>
        <x:v>-28.212</x:v>
      </x:c>
      <x:c r="BA384" s="64" t="n">
        <x:f>-ROUND(AK384*'Drivers'!Z384,3)</x:f>
        <x:v>-9.738</x:v>
      </x:c>
      <x:c r="BB384" s="64" t="n">
        <x:f>-ROUND(AK384*'Drivers'!AA384,3)</x:f>
        <x:v>-8.486</x:v>
      </x:c>
      <x:c r="BC384" s="64" t="n">
        <x:f>SUM(BA384,BB384)</x:f>
        <x:v>-18.224</x:v>
      </x:c>
      <x:c r="BD384" s="64" t="n">
        <x:f>-ROUND(AK384*'Drivers'!AB384,3)</x:f>
        <x:v>-6.222</x:v>
      </x:c>
      <x:c r="BE384" s="64" t="n">
        <x:f>SUM(AX384:BB384,BD384)</x:f>
        <x:v>-109.57600000000001</x:v>
      </x:c>
      <x:c r="BF384" s="67" t="n">
        <x:f>'Drivers'!AF384</x:f>
        <x:v>6</x:v>
      </x:c>
      <x:c r="BG384" s="64" t="n">
        <x:f>BJ384</x:f>
        <x:v>-32.754</x:v>
      </x:c>
      <x:c r="BH384" s="64" t="n">
        <x:f>BE384/BF384</x:f>
        <x:v>-18.262666666666668</x:v>
      </x:c>
      <x:c r="BI384" s="68" t="n">
        <x:f>BF384/L384</x:f>
        <x:v>1.5</x:v>
      </x:c>
      <x:c r="BJ384" s="64" t="n">
        <x:f>-ROUND(AK384*'Drivers'!AC384,3)</x:f>
        <x:v>-32.754</x:v>
      </x:c>
      <x:c r="BK384" s="64" t="n">
        <x:f>-ROUND(AK384*'Drivers'!AD384,3)</x:f>
        <x:v>-113.86</x:v>
      </x:c>
      <x:c r="BL384" s="64" t="n">
        <x:f>SUM(AV384,BE384,BJ384,BK384)</x:f>
        <x:v>246.57000000000005</x:v>
      </x:c>
      <x:c r="BM384" s="65" t="n">
        <x:f>BL384/AK384</x:f>
        <x:v>0.20651307237714916</x:v>
      </x:c>
      <x:c r="BN384" s="64" t="n">
        <x:f>-ROUND(AK384*'Drivers'!AE384,3)</x:f>
        <x:v>-80.118</x:v>
      </x:c>
      <x:c r="BO384" s="64" t="n">
        <x:f>BL384+BN384</x:f>
        <x:v>166.45200000000006</x:v>
      </x:c>
      <x:c r="BP384" s="65" t="n">
        <x:f>BO384/AK384</x:f>
        <x:v>0.1394107714779626</x:v>
      </x:c>
    </x:row>
    <x:row r="385">
      <x:c r="A385" s="61" t="n">
        <x:v>2026</x:v>
      </x:c>
      <x:c r="B385" s="18" t="str">
        <x:v>S2</x:v>
      </x:c>
      <x:c r="C385" s="18" t="str">
        <x:v>2026 S2</x:v>
      </x:c>
      <x:c r="D385" s="18" t="str">
        <x:v>CNCT0096</x:v>
      </x:c>
      <x:c r="E385" s="18" t="str">
        <x:v>苏州龙湖狮山天街</x:v>
      </x:c>
      <x:c r="F385" s="18" t="str">
        <x:v>苏州</x:v>
      </x:c>
      <x:c r="G385" s="18" t="str">
        <x:v>江苏省</x:v>
      </x:c>
      <x:c r="H385" s="18" t="str">
        <x:v>东区</x:v>
      </x:c>
      <x:c r="I385" s="18" t="str">
        <x:v>Shopping Mall</x:v>
      </x:c>
      <x:c r="J385" s="18" t="str">
        <x:v>Core Shopping Center</x:v>
      </x:c>
      <x:c r="K385" s="18" t="str">
        <x:v>正常</x:v>
      </x:c>
      <x:c r="L385" s="62" t="n">
        <x:v>4</x:v>
      </x:c>
      <x:c r="M385" s="62" t="n">
        <x:v>38</x:v>
      </x:c>
      <x:c r="N385" s="63" t="n">
        <x:f>'Drivers'!C385</x:f>
        <x:v>1741</x:v>
      </x:c>
      <x:c r="O385" s="63" t="n">
        <x:f>'Drivers'!D385</x:f>
        <x:v>1117.995</x:v>
      </x:c>
      <x:c r="P385" s="64" t="n">
        <x:f>ROUND(N385*O385/1000,3)</x:f>
        <x:v>1946.429</x:v>
      </x:c>
      <x:c r="Q385" s="64" t="n">
        <x:f>ROUND(P385*'Drivers'!E385,3)</x:f>
        <x:v>1889.072</x:v>
      </x:c>
      <x:c r="R385" s="64" t="n">
        <x:f>-ROUND(Q385*'Drivers'!F385,3)</x:f>
        <x:v>-386.517</x:v>
      </x:c>
      <x:c r="S385" s="65" t="n">
        <x:f>R385/Q385</x:f>
        <x:v>-0.2046068122337317</x:v>
      </x:c>
      <x:c r="T385" s="64" t="n">
        <x:f>-ROUND(Q385*'Drivers'!G385,3)</x:f>
        <x:v>-25.277</x:v>
      </x:c>
      <x:c r="U385" s="65" t="n">
        <x:f>T385/Q385</x:f>
        <x:v>-0.013380644041095312</x:v>
      </x:c>
      <x:c r="V385" s="64" t="n">
        <x:f>-ROUND(Q385*'Drivers'!H385,3)</x:f>
        <x:v>-14.211</x:v>
      </x:c>
      <x:c r="W385" s="64" t="n">
        <x:f>-ROUND(Q385*'Drivers'!I385,3)</x:f>
        <x:v>-18.598</x:v>
      </x:c>
      <x:c r="X385" s="64" t="n">
        <x:f>-ROUND(Q385*'Drivers'!J385,3)</x:f>
        <x:v>-29.696</x:v>
      </x:c>
      <x:c r="Y385" s="64" t="n">
        <x:f>-ROUND(Q385*'Drivers'!K385,3)</x:f>
        <x:v>-22.93</x:v>
      </x:c>
      <x:c r="Z385" s="64" t="n">
        <x:f>-ROUND(Q385*'Drivers'!L385,3)</x:f>
        <x:v>-15.727</x:v>
      </x:c>
      <x:c r="AA385" s="64" t="n">
        <x:f>-ROUND(Q385*'Drivers'!M385,3)</x:f>
        <x:v>-11.452</x:v>
      </x:c>
      <x:c r="AB385" s="64" t="n">
        <x:f>-ROUND(Q385*'Drivers'!N385,3)</x:f>
        <x:v>-10.015</x:v>
      </x:c>
      <x:c r="AC385" s="64" t="n">
        <x:f>SUM(V385:AB385)</x:f>
        <x:v>-122.629</x:v>
      </x:c>
      <x:c r="AD385" s="65" t="n">
        <x:f>AC385/Q385</x:f>
        <x:v>-0.06491494236323445</x:v>
      </x:c>
      <x:c r="AE385" s="64" t="n">
        <x:f>-ROUND(Q385*'Drivers'!O385,3)</x:f>
        <x:v>-12.483</x:v>
      </x:c>
      <x:c r="AF385" s="65" t="n">
        <x:f>AE385/Q385</x:f>
        <x:v>-0.0066080064709021155</x:v>
      </x:c>
      <x:c r="AG385" s="64" t="n">
        <x:f>-ROUND(Q385*'Drivers'!P385,3)</x:f>
        <x:v>-4.701</x:v>
      </x:c>
      <x:c r="AH385" s="64" t="n">
        <x:f>-ROUND(Q385*'Drivers'!Q385,3)</x:f>
        <x:v>-7.465</x:v>
      </x:c>
      <x:c r="AI385" s="64" t="n">
        <x:f>SUM(R385,T385,AC385,AE385,AG385,AH385)</x:f>
        <x:v>-559.072</x:v>
      </x:c>
      <x:c r="AJ385" s="65" t="n">
        <x:f>AI385/Q385</x:f>
        <x:v>-0.29595060431788733</x:v>
      </x:c>
      <x:c r="AK385" s="64" t="n">
        <x:f>Q385+AI385</x:f>
        <x:v>1330</x:v>
      </x:c>
      <x:c r="AL385" s="65" t="n">
        <x:f>AK385/Q385</x:f>
        <x:v>0.7040493956821128</x:v>
      </x:c>
      <x:c r="AM385" s="64" t="n">
        <x:f>AK385/L385</x:f>
        <x:v>332.5</x:v>
      </x:c>
      <x:c r="AN385" s="66" t="str">
        <x:f>IF(AM385&lt;=200,"≤200K",IF(AM385&lt;=350,"200–350K",IF(AM385&lt;=500,"350–500K",IF(AM385&lt;=700,"500–700K","&gt;700K"))))</x:f>
        <x:v>200–350K</x:v>
      </x:c>
      <x:c r="AO385" s="64" t="n">
        <x:f>-ROUND(Q385*'Drivers'!R385,3)</x:f>
        <x:v>-690.579</x:v>
      </x:c>
      <x:c r="AP385" s="64" t="n">
        <x:f>-ROUND(AK385*'Drivers'!S385,3)</x:f>
        <x:v>-16.681</x:v>
      </x:c>
      <x:c r="AQ385" s="64" t="n">
        <x:f>-ROUND(AK385*'Drivers'!T385,3)</x:f>
        <x:v>-8.372</x:v>
      </x:c>
      <x:c r="AR385" s="64" t="n">
        <x:f>-ROUND(AK385*'Drivers'!U385,3)</x:f>
        <x:v>-8.463</x:v>
      </x:c>
      <x:c r="AS385" s="64" t="n">
        <x:f>-ROUND(AK385*'Drivers'!V385,3)</x:f>
        <x:v>-39.42</x:v>
      </x:c>
      <x:c r="AT385" s="64" t="n">
        <x:f>SUM(AO385:AS385)</x:f>
        <x:v>-763.5149999999999</x:v>
      </x:c>
      <x:c r="AU385" s="65" t="n">
        <x:f>AT385/AK385</x:f>
        <x:v>-0.5740714285714285</x:v>
      </x:c>
      <x:c r="AV385" s="64" t="n">
        <x:f>AK385+AT385</x:f>
        <x:v>566.4850000000001</x:v>
      </x:c>
      <x:c r="AW385" s="65" t="n">
        <x:f>AV385/AK385</x:f>
        <x:v>0.42592857142857155</x:v>
      </x:c>
      <x:c r="AX385" s="64" t="n">
        <x:f>-ROUND(AK385*'Drivers'!W385,3)</x:f>
        <x:v>-19.62</x:v>
      </x:c>
      <x:c r="AY385" s="64" t="n">
        <x:f>-ROUND(AK385*'Drivers'!X385,3)</x:f>
        <x:v>-34.999</x:v>
      </x:c>
      <x:c r="AZ385" s="64" t="n">
        <x:f>-ROUND(AK385*'Drivers'!Y385,3)</x:f>
        <x:v>-27.073</x:v>
      </x:c>
      <x:c r="BA385" s="64" t="n">
        <x:f>-ROUND(AK385*'Drivers'!Z385,3)</x:f>
        <x:v>-9.345</x:v>
      </x:c>
      <x:c r="BB385" s="64" t="n">
        <x:f>-ROUND(AK385*'Drivers'!AA385,3)</x:f>
        <x:v>-8.144</x:v>
      </x:c>
      <x:c r="BC385" s="64" t="n">
        <x:f>SUM(BA385,BB385)</x:f>
        <x:v>-17.489</x:v>
      </x:c>
      <x:c r="BD385" s="64" t="n">
        <x:f>-ROUND(AK385*'Drivers'!AB385,3)</x:f>
        <x:v>-5.97</x:v>
      </x:c>
      <x:c r="BE385" s="64" t="n">
        <x:f>SUM(AX385:BB385,BD385)</x:f>
        <x:v>-105.15100000000001</x:v>
      </x:c>
      <x:c r="BF385" s="67" t="n">
        <x:f>'Drivers'!AF385</x:f>
        <x:v>6</x:v>
      </x:c>
      <x:c r="BG385" s="64" t="n">
        <x:f>BJ385</x:f>
        <x:v>-31.432</x:v>
      </x:c>
      <x:c r="BH385" s="64" t="n">
        <x:f>BE385/BF385</x:f>
        <x:v>-17.525166666666667</x:v>
      </x:c>
      <x:c r="BI385" s="68" t="n">
        <x:f>BF385/L385</x:f>
        <x:v>1.5</x:v>
      </x:c>
      <x:c r="BJ385" s="64" t="n">
        <x:f>-ROUND(AK385*'Drivers'!AC385,3)</x:f>
        <x:v>-31.432</x:v>
      </x:c>
      <x:c r="BK385" s="64" t="n">
        <x:f>-ROUND(AK385*'Drivers'!AD385,3)</x:f>
        <x:v>-126.832</x:v>
      </x:c>
      <x:c r="BL385" s="64" t="n">
        <x:f>SUM(AV385,BE385,BJ385,BK385)</x:f>
        <x:v>303.0700000000001</x:v>
      </x:c>
      <x:c r="BM385" s="65" t="n">
        <x:f>BL385/AK385</x:f>
        <x:v>0.2278721804511279</x:v>
      </x:c>
      <x:c r="BN385" s="64" t="n">
        <x:f>-ROUND(AK385*'Drivers'!AE385,3)</x:f>
        <x:v>-89.247</x:v>
      </x:c>
      <x:c r="BO385" s="64" t="n">
        <x:f>BL385+BN385</x:f>
        <x:v>213.8230000000001</x:v>
      </x:c>
      <x:c r="BP385" s="65" t="n">
        <x:f>BO385/AK385</x:f>
        <x:v>0.1607691729323309</x:v>
      </x:c>
    </x:row>
    <x:row r="386">
      <x:c r="A386" s="61" t="n">
        <x:v>2025</x:v>
      </x:c>
      <x:c r="B386" s="18" t="str">
        <x:v>S1</x:v>
      </x:c>
      <x:c r="C386" s="18" t="str">
        <x:v>2025 S1</x:v>
      </x:c>
      <x:c r="D386" s="18" t="str">
        <x:v>CNCT0097</x:v>
      </x:c>
      <x:c r="E386" s="18" t="str">
        <x:v>苏州大悦城</x:v>
      </x:c>
      <x:c r="F386" s="18" t="str">
        <x:v>苏州</x:v>
      </x:c>
      <x:c r="G386" s="18" t="str">
        <x:v>江苏省</x:v>
      </x:c>
      <x:c r="H386" s="18" t="str">
        <x:v>东区</x:v>
      </x:c>
      <x:c r="I386" s="18" t="str">
        <x:v>Shopping Mall</x:v>
      </x:c>
      <x:c r="J386" s="18" t="str">
        <x:v>Regional Mall</x:v>
      </x:c>
      <x:c r="K386" s="18" t="str">
        <x:v>正常</x:v>
      </x:c>
      <x:c r="L386" s="62" t="n">
        <x:v>5</x:v>
      </x:c>
      <x:c r="M386" s="62" t="n">
        <x:v>38</x:v>
      </x:c>
      <x:c r="N386" s="63" t="n">
        <x:f>'Drivers'!C386</x:f>
        <x:v>1478</x:v>
      </x:c>
      <x:c r="O386" s="63" t="n">
        <x:f>'Drivers'!D386</x:f>
        <x:v>908.971</x:v>
      </x:c>
      <x:c r="P386" s="64" t="n">
        <x:f>ROUND(N386*O386/1000,3)</x:f>
        <x:v>1343.459</x:v>
      </x:c>
      <x:c r="Q386" s="64" t="n">
        <x:f>ROUND(P386*'Drivers'!E386,3)</x:f>
        <x:v>1292.697</x:v>
      </x:c>
      <x:c r="R386" s="64" t="n">
        <x:f>-ROUND(Q386*'Drivers'!F386,3)</x:f>
        <x:v>-256.71</x:v>
      </x:c>
      <x:c r="S386" s="65" t="n">
        <x:f>R386/Q386</x:f>
        <x:v>-0.19858481918036477</x:v>
      </x:c>
      <x:c r="T386" s="64" t="n">
        <x:f>-ROUND(Q386*'Drivers'!G386,3)</x:f>
        <x:v>-19.47</x:v>
      </x:c>
      <x:c r="U386" s="65" t="n">
        <x:f>T386/Q386</x:f>
        <x:v>-0.015061534141411329</x:v>
      </x:c>
      <x:c r="V386" s="64" t="n">
        <x:f>-ROUND(Q386*'Drivers'!H386,3)</x:f>
        <x:v>-13.579</x:v>
      </x:c>
      <x:c r="W386" s="64" t="n">
        <x:f>-ROUND(Q386*'Drivers'!I386,3)</x:f>
        <x:v>-13.486</x:v>
      </x:c>
      <x:c r="X386" s="64" t="n">
        <x:f>-ROUND(Q386*'Drivers'!J386,3)</x:f>
        <x:v>-19.902</x:v>
      </x:c>
      <x:c r="Y386" s="64" t="n">
        <x:f>-ROUND(Q386*'Drivers'!K386,3)</x:f>
        <x:v>-11.536</x:v>
      </x:c>
      <x:c r="Z386" s="64" t="n">
        <x:f>-ROUND(Q386*'Drivers'!L386,3)</x:f>
        <x:v>-12.773</x:v>
      </x:c>
      <x:c r="AA386" s="64" t="n">
        <x:f>-ROUND(Q386*'Drivers'!M386,3)</x:f>
        <x:v>-12.806</x:v>
      </x:c>
      <x:c r="AB386" s="64" t="n">
        <x:f>-ROUND(Q386*'Drivers'!N386,3)</x:f>
        <x:v>-9.856</x:v>
      </x:c>
      <x:c r="AC386" s="64" t="n">
        <x:f>SUM(V386:AB386)</x:f>
        <x:v>-93.93799999999999</x:v>
      </x:c>
      <x:c r="AD386" s="65" t="n">
        <x:f>AC386/Q386</x:f>
        <x:v>-0.07266822774401116</x:v>
      </x:c>
      <x:c r="AE386" s="64" t="n">
        <x:f>-ROUND(Q386*'Drivers'!O386,3)</x:f>
        <x:v>-12.587</x:v>
      </x:c>
      <x:c r="AF386" s="65" t="n">
        <x:f>AE386/Q386</x:f>
        <x:v>-0.009737007202770643</x:v>
      </x:c>
      <x:c r="AG386" s="64" t="n">
        <x:f>-ROUND(Q386*'Drivers'!P386,3)</x:f>
        <x:v>-2.178</x:v>
      </x:c>
      <x:c r="AH386" s="64" t="n">
        <x:f>-ROUND(Q386*'Drivers'!Q386,3)</x:f>
        <x:v>-4.878</x:v>
      </x:c>
      <x:c r="AI386" s="64" t="n">
        <x:f>SUM(R386,T386,AC386,AE386,AG386,AH386)</x:f>
        <x:v>-389.7609999999999</x:v>
      </x:c>
      <x:c r="AJ386" s="65" t="n">
        <x:f>AI386/Q386</x:f>
        <x:v>-0.3015099439389122</x:v>
      </x:c>
      <x:c r="AK386" s="64" t="n">
        <x:f>Q386+AI386</x:f>
        <x:v>902.9359999999999</x:v>
      </x:c>
      <x:c r="AL386" s="65" t="n">
        <x:f>AK386/Q386</x:f>
        <x:v>0.6984900560610878</x:v>
      </x:c>
      <x:c r="AM386" s="64" t="n">
        <x:f>AK386/L386</x:f>
        <x:v>180.5872</x:v>
      </x:c>
      <x:c r="AN386" s="66" t="str">
        <x:f>IF(AM386&lt;=200,"≤200K",IF(AM386&lt;=350,"200–350K",IF(AM386&lt;=500,"350–500K",IF(AM386&lt;=700,"500–700K","&gt;700K"))))</x:f>
        <x:v>≤200K</x:v>
      </x:c>
      <x:c r="AO386" s="64" t="n">
        <x:f>-ROUND(Q386*'Drivers'!R386,3)</x:f>
        <x:v>-472.234</x:v>
      </x:c>
      <x:c r="AP386" s="64" t="n">
        <x:f>-ROUND(AK386*'Drivers'!S386,3)</x:f>
        <x:v>-12.374</x:v>
      </x:c>
      <x:c r="AQ386" s="64" t="n">
        <x:f>-ROUND(AK386*'Drivers'!T386,3)</x:f>
        <x:v>-2.723</x:v>
      </x:c>
      <x:c r="AR386" s="64" t="n">
        <x:f>-ROUND(AK386*'Drivers'!U386,3)</x:f>
        <x:v>-6.452</x:v>
      </x:c>
      <x:c r="AS386" s="64" t="n">
        <x:f>-ROUND(AK386*'Drivers'!V386,3)</x:f>
        <x:v>-29.502</x:v>
      </x:c>
      <x:c r="AT386" s="64" t="n">
        <x:f>SUM(AO386:AS386)</x:f>
        <x:v>-523.285</x:v>
      </x:c>
      <x:c r="AU386" s="65" t="n">
        <x:f>AT386/AK386</x:f>
        <x:v>-0.5795371986497382</x:v>
      </x:c>
      <x:c r="AV386" s="64" t="n">
        <x:f>AK386+AT386</x:f>
        <x:v>379.65099999999995</x:v>
      </x:c>
      <x:c r="AW386" s="65" t="n">
        <x:f>AV386/AK386</x:f>
        <x:v>0.4204628013502618</x:v>
      </x:c>
      <x:c r="AX386" s="64" t="n">
        <x:f>-ROUND(AK386*'Drivers'!W386,3)</x:f>
        <x:v>-8.33</x:v>
      </x:c>
      <x:c r="AY386" s="64" t="n">
        <x:f>-ROUND(AK386*'Drivers'!X386,3)</x:f>
        <x:v>-24.264</x:v>
      </x:c>
      <x:c r="AZ386" s="64" t="n">
        <x:f>-ROUND(AK386*'Drivers'!Y386,3)</x:f>
        <x:v>-15.004</x:v>
      </x:c>
      <x:c r="BA386" s="64" t="n">
        <x:f>-ROUND(AK386*'Drivers'!Z386,3)</x:f>
        <x:v>-4.477</x:v>
      </x:c>
      <x:c r="BB386" s="64" t="n">
        <x:f>-ROUND(AK386*'Drivers'!AA386,3)</x:f>
        <x:v>-5.349</x:v>
      </x:c>
      <x:c r="BC386" s="64" t="n">
        <x:f>SUM(BA386,BB386)</x:f>
        <x:v>-9.826</x:v>
      </x:c>
      <x:c r="BD386" s="64" t="n">
        <x:f>-ROUND(AK386*'Drivers'!AB386,3)</x:f>
        <x:v>-5.766</x:v>
      </x:c>
      <x:c r="BE386" s="64" t="n">
        <x:f>SUM(AX386:BB386,BD386)</x:f>
        <x:v>-63.190000000000005</x:v>
      </x:c>
      <x:c r="BF386" s="67" t="n">
        <x:f>'Drivers'!AF386</x:f>
        <x:v>7</x:v>
      </x:c>
      <x:c r="BG386" s="64" t="n">
        <x:f>BJ386</x:f>
        <x:v>-18.795</x:v>
      </x:c>
      <x:c r="BH386" s="64" t="n">
        <x:f>BE386/BF386</x:f>
        <x:v>-9.027142857142858</x:v>
      </x:c>
      <x:c r="BI386" s="68" t="n">
        <x:f>BF386/L386</x:f>
        <x:v>1.4</x:v>
      </x:c>
      <x:c r="BJ386" s="64" t="n">
        <x:f>-ROUND(AK386*'Drivers'!AC386,3)</x:f>
        <x:v>-18.795</x:v>
      </x:c>
      <x:c r="BK386" s="64" t="n">
        <x:f>-ROUND(AK386*'Drivers'!AD386,3)</x:f>
        <x:v>-108.491</x:v>
      </x:c>
      <x:c r="BL386" s="64" t="n">
        <x:f>SUM(AV386,BE386,BJ386,BK386)</x:f>
        <x:v>189.17499999999995</x:v>
      </x:c>
      <x:c r="BM386" s="65" t="n">
        <x:f>BL386/AK386</x:f>
        <x:v>0.20951097309222355</x:v>
      </x:c>
      <x:c r="BN386" s="64" t="n">
        <x:f>-ROUND(AK386*'Drivers'!AE386,3)</x:f>
        <x:v>-72.074</x:v>
      </x:c>
      <x:c r="BO386" s="64" t="n">
        <x:f>BL386+BN386</x:f>
        <x:v>117.10099999999996</x:v>
      </x:c>
      <x:c r="BP386" s="65" t="n">
        <x:f>BO386/AK386</x:f>
        <x:v>0.12968914740358117</x:v>
      </x:c>
    </x:row>
    <x:row r="387">
      <x:c r="A387" s="61" t="n">
        <x:v>2025</x:v>
      </x:c>
      <x:c r="B387" s="18" t="str">
        <x:v>S2</x:v>
      </x:c>
      <x:c r="C387" s="18" t="str">
        <x:v>2025 S2</x:v>
      </x:c>
      <x:c r="D387" s="18" t="str">
        <x:v>CNCT0097</x:v>
      </x:c>
      <x:c r="E387" s="18" t="str">
        <x:v>苏州大悦城</x:v>
      </x:c>
      <x:c r="F387" s="18" t="str">
        <x:v>苏州</x:v>
      </x:c>
      <x:c r="G387" s="18" t="str">
        <x:v>江苏省</x:v>
      </x:c>
      <x:c r="H387" s="18" t="str">
        <x:v>东区</x:v>
      </x:c>
      <x:c r="I387" s="18" t="str">
        <x:v>Shopping Mall</x:v>
      </x:c>
      <x:c r="J387" s="18" t="str">
        <x:v>Regional Mall</x:v>
      </x:c>
      <x:c r="K387" s="18" t="str">
        <x:v>正常</x:v>
      </x:c>
      <x:c r="L387" s="62" t="n">
        <x:v>5</x:v>
      </x:c>
      <x:c r="M387" s="62" t="n">
        <x:v>38</x:v>
      </x:c>
      <x:c r="N387" s="63" t="n">
        <x:f>'Drivers'!C387</x:f>
        <x:v>1563</x:v>
      </x:c>
      <x:c r="O387" s="63" t="n">
        <x:f>'Drivers'!D387</x:f>
        <x:v>919.879</x:v>
      </x:c>
      <x:c r="P387" s="64" t="n">
        <x:f>ROUND(N387*O387/1000,3)</x:f>
        <x:v>1437.771</x:v>
      </x:c>
      <x:c r="Q387" s="64" t="n">
        <x:f>ROUND(P387*'Drivers'!E387,3)</x:f>
        <x:v>1383.893</x:v>
      </x:c>
      <x:c r="R387" s="64" t="n">
        <x:f>-ROUND(Q387*'Drivers'!F387,3)</x:f>
        <x:v>-274.82</x:v>
      </x:c>
      <x:c r="S387" s="65" t="n">
        <x:f>R387/Q387</x:f>
        <x:v>-0.19858471717105294</x:v>
      </x:c>
      <x:c r="T387" s="64" t="n">
        <x:f>-ROUND(Q387*'Drivers'!G387,3)</x:f>
        <x:v>-20.843</x:v>
      </x:c>
      <x:c r="U387" s="65" t="n">
        <x:f>T387/Q387</x:f>
        <x:v>-0.015061135506863608</x:v>
      </x:c>
      <x:c r="V387" s="64" t="n">
        <x:f>-ROUND(Q387*'Drivers'!H387,3)</x:f>
        <x:v>-14.537</x:v>
      </x:c>
      <x:c r="W387" s="64" t="n">
        <x:f>-ROUND(Q387*'Drivers'!I387,3)</x:f>
        <x:v>-14.437</x:v>
      </x:c>
      <x:c r="X387" s="64" t="n">
        <x:f>-ROUND(Q387*'Drivers'!J387,3)</x:f>
        <x:v>-21.306</x:v>
      </x:c>
      <x:c r="Y387" s="64" t="n">
        <x:f>-ROUND(Q387*'Drivers'!K387,3)</x:f>
        <x:v>-12.35</x:v>
      </x:c>
      <x:c r="Z387" s="64" t="n">
        <x:f>-ROUND(Q387*'Drivers'!L387,3)</x:f>
        <x:v>-13.675</x:v>
      </x:c>
      <x:c r="AA387" s="64" t="n">
        <x:f>-ROUND(Q387*'Drivers'!M387,3)</x:f>
        <x:v>-13.71</x:v>
      </x:c>
      <x:c r="AB387" s="64" t="n">
        <x:f>-ROUND(Q387*'Drivers'!N387,3)</x:f>
        <x:v>-10.551</x:v>
      </x:c>
      <x:c r="AC387" s="64" t="n">
        <x:f>SUM(V387:AB387)</x:f>
        <x:v>-100.56600000000002</x:v>
      </x:c>
      <x:c r="AD387" s="65" t="n">
        <x:f>AC387/Q387</x:f>
        <x:v>-0.07266891298676995</x:v>
      </x:c>
      <x:c r="AE387" s="64" t="n">
        <x:f>-ROUND(Q387*'Drivers'!O387,3)</x:f>
        <x:v>-13.475</x:v>
      </x:c>
      <x:c r="AF387" s="65" t="n">
        <x:f>AE387/Q387</x:f>
        <x:v>-0.009737024466486931</x:v>
      </x:c>
      <x:c r="AG387" s="64" t="n">
        <x:f>-ROUND(Q387*'Drivers'!P387,3)</x:f>
        <x:v>-2.331</x:v>
      </x:c>
      <x:c r="AH387" s="64" t="n">
        <x:f>-ROUND(Q387*'Drivers'!Q387,3)</x:f>
        <x:v>-5.222</x:v>
      </x:c>
      <x:c r="AI387" s="64" t="n">
        <x:f>SUM(R387,T387,AC387,AE387,AG387,AH387)</x:f>
        <x:v>-417.25700000000006</x:v>
      </x:c>
      <x:c r="AJ387" s="65" t="n">
        <x:f>AI387/Q387</x:f>
        <x:v>-0.3015095820269342</x:v>
      </x:c>
      <x:c r="AK387" s="64" t="n">
        <x:f>Q387+AI387</x:f>
        <x:v>966.636</x:v>
      </x:c>
      <x:c r="AL387" s="65" t="n">
        <x:f>AK387/Q387</x:f>
        <x:v>0.6984904179730658</x:v>
      </x:c>
      <x:c r="AM387" s="64" t="n">
        <x:f>AK387/L387</x:f>
        <x:v>193.3272</x:v>
      </x:c>
      <x:c r="AN387" s="66" t="str">
        <x:f>IF(AM387&lt;=200,"≤200K",IF(AM387&lt;=350,"200–350K",IF(AM387&lt;=500,"350–500K",IF(AM387&lt;=700,"500–700K","&gt;700K"))))</x:f>
        <x:v>≤200K</x:v>
      </x:c>
      <x:c r="AO387" s="64" t="n">
        <x:f>-ROUND(Q387*'Drivers'!R387,3)</x:f>
        <x:v>-483.066</x:v>
      </x:c>
      <x:c r="AP387" s="64" t="n">
        <x:f>-ROUND(AK387*'Drivers'!S387,3)</x:f>
        <x:v>-13.247</x:v>
      </x:c>
      <x:c r="AQ387" s="64" t="n">
        <x:f>-ROUND(AK387*'Drivers'!T387,3)</x:f>
        <x:v>-2.916</x:v>
      </x:c>
      <x:c r="AR387" s="64" t="n">
        <x:f>-ROUND(AK387*'Drivers'!U387,3)</x:f>
        <x:v>-6.907</x:v>
      </x:c>
      <x:c r="AS387" s="64" t="n">
        <x:f>-ROUND(AK387*'Drivers'!V387,3)</x:f>
        <x:v>-31.583</x:v>
      </x:c>
      <x:c r="AT387" s="64" t="n">
        <x:f>SUM(AO387:AS387)</x:f>
        <x:v>-537.7189999999999</x:v>
      </x:c>
      <x:c r="AU387" s="65" t="n">
        <x:f>AT387/AK387</x:f>
        <x:v>-0.5562786819443927</x:v>
      </x:c>
      <x:c r="AV387" s="64" t="n">
        <x:f>AK387+AT387</x:f>
        <x:v>428.91700000000003</x:v>
      </x:c>
      <x:c r="AW387" s="65" t="n">
        <x:f>AV387/AK387</x:f>
        <x:v>0.44372131805560733</x:v>
      </x:c>
      <x:c r="AX387" s="64" t="n">
        <x:f>-ROUND(AK387*'Drivers'!W387,3)</x:f>
        <x:v>-8.918</x:v>
      </x:c>
      <x:c r="AY387" s="64" t="n">
        <x:f>-ROUND(AK387*'Drivers'!X387,3)</x:f>
        <x:v>-25.976</x:v>
      </x:c>
      <x:c r="AZ387" s="64" t="n">
        <x:f>-ROUND(AK387*'Drivers'!Y387,3)</x:f>
        <x:v>-16.062</x:v>
      </x:c>
      <x:c r="BA387" s="64" t="n">
        <x:f>-ROUND(AK387*'Drivers'!Z387,3)</x:f>
        <x:v>-4.792</x:v>
      </x:c>
      <x:c r="BB387" s="64" t="n">
        <x:f>-ROUND(AK387*'Drivers'!AA387,3)</x:f>
        <x:v>-5.726</x:v>
      </x:c>
      <x:c r="BC387" s="64" t="n">
        <x:f>SUM(BA387,BB387)</x:f>
        <x:v>-10.518</x:v>
      </x:c>
      <x:c r="BD387" s="64" t="n">
        <x:f>-ROUND(AK387*'Drivers'!AB387,3)</x:f>
        <x:v>-6.172</x:v>
      </x:c>
      <x:c r="BE387" s="64" t="n">
        <x:f>SUM(AX387:BB387,BD387)</x:f>
        <x:v>-67.646</x:v>
      </x:c>
      <x:c r="BF387" s="67" t="n">
        <x:f>'Drivers'!AF387</x:f>
        <x:v>7</x:v>
      </x:c>
      <x:c r="BG387" s="64" t="n">
        <x:f>BJ387</x:f>
        <x:v>-20.121</x:v>
      </x:c>
      <x:c r="BH387" s="64" t="n">
        <x:f>BE387/BF387</x:f>
        <x:v>-9.663714285714287</x:v>
      </x:c>
      <x:c r="BI387" s="68" t="n">
        <x:f>BF387/L387</x:f>
        <x:v>1.4</x:v>
      </x:c>
      <x:c r="BJ387" s="64" t="n">
        <x:f>-ROUND(AK387*'Drivers'!AC387,3)</x:f>
        <x:v>-20.121</x:v>
      </x:c>
      <x:c r="BK387" s="64" t="n">
        <x:f>-ROUND(AK387*'Drivers'!AD387,3)</x:f>
        <x:v>-116.144</x:v>
      </x:c>
      <x:c r="BL387" s="64" t="n">
        <x:f>SUM(AV387,BE387,BJ387,BK387)</x:f>
        <x:v>225.00600000000003</x:v>
      </x:c>
      <x:c r="BM387" s="65" t="n">
        <x:f>BL387/AK387</x:f>
        <x:v>0.2327722120839696</x:v>
      </x:c>
      <x:c r="BN387" s="64" t="n">
        <x:f>-ROUND(AK387*'Drivers'!AE387,3)</x:f>
        <x:v>-77.159</x:v>
      </x:c>
      <x:c r="BO387" s="64" t="n">
        <x:f>BL387+BN387</x:f>
        <x:v>147.84700000000004</x:v>
      </x:c>
      <x:c r="BP387" s="65" t="n">
        <x:f>BO387/AK387</x:f>
        <x:v>0.15295002462147078</x:v>
      </x:c>
    </x:row>
    <x:row r="388">
      <x:c r="A388" s="61" t="n">
        <x:v>2026</x:v>
      </x:c>
      <x:c r="B388" s="18" t="str">
        <x:v>S1</x:v>
      </x:c>
      <x:c r="C388" s="18" t="str">
        <x:v>2026 S1</x:v>
      </x:c>
      <x:c r="D388" s="18" t="str">
        <x:v>CNCT0097</x:v>
      </x:c>
      <x:c r="E388" s="18" t="str">
        <x:v>苏州大悦城</x:v>
      </x:c>
      <x:c r="F388" s="18" t="str">
        <x:v>苏州</x:v>
      </x:c>
      <x:c r="G388" s="18" t="str">
        <x:v>江苏省</x:v>
      </x:c>
      <x:c r="H388" s="18" t="str">
        <x:v>东区</x:v>
      </x:c>
      <x:c r="I388" s="18" t="str">
        <x:v>Shopping Mall</x:v>
      </x:c>
      <x:c r="J388" s="18" t="str">
        <x:v>Regional Mall</x:v>
      </x:c>
      <x:c r="K388" s="18" t="str">
        <x:v>正常</x:v>
      </x:c>
      <x:c r="L388" s="62" t="n">
        <x:v>5</x:v>
      </x:c>
      <x:c r="M388" s="62" t="n">
        <x:v>38</x:v>
      </x:c>
      <x:c r="N388" s="63" t="n">
        <x:f>'Drivers'!C388</x:f>
        <x:v>1403</x:v>
      </x:c>
      <x:c r="O388" s="63" t="n">
        <x:f>'Drivers'!D388</x:f>
        <x:v>958.776</x:v>
      </x:c>
      <x:c r="P388" s="64" t="n">
        <x:f>ROUND(N388*O388/1000,3)</x:f>
        <x:v>1345.163</x:v>
      </x:c>
      <x:c r="Q388" s="64" t="n">
        <x:f>ROUND(P388*'Drivers'!E388,3)</x:f>
        <x:v>1291.138</x:v>
      </x:c>
      <x:c r="R388" s="64" t="n">
        <x:f>-ROUND(Q388*'Drivers'!F388,3)</x:f>
        <x:v>-251.872</x:v>
      </x:c>
      <x:c r="S388" s="65" t="n">
        <x:f>R388/Q388</x:f>
        <x:v>-0.19507752076075527</x:v>
      </x:c>
      <x:c r="T388" s="64" t="n">
        <x:f>-ROUND(Q388*'Drivers'!G388,3)</x:f>
        <x:v>-17.691</x:v>
      </x:c>
      <x:c r="U388" s="65" t="n">
        <x:f>T388/Q388</x:f>
        <x:v>-0.013701866105714494</x:v>
      </x:c>
      <x:c r="V388" s="64" t="n">
        <x:f>-ROUND(Q388*'Drivers'!H388,3)</x:f>
        <x:v>-13.563</x:v>
      </x:c>
      <x:c r="W388" s="64" t="n">
        <x:f>-ROUND(Q388*'Drivers'!I388,3)</x:f>
        <x:v>-13.47</x:v>
      </x:c>
      <x:c r="X388" s="64" t="n">
        <x:f>-ROUND(Q388*'Drivers'!J388,3)</x:f>
        <x:v>-19.878</x:v>
      </x:c>
      <x:c r="Y388" s="64" t="n">
        <x:f>-ROUND(Q388*'Drivers'!K388,3)</x:f>
        <x:v>-11.522</x:v>
      </x:c>
      <x:c r="Z388" s="64" t="n">
        <x:f>-ROUND(Q388*'Drivers'!L388,3)</x:f>
        <x:v>-12.758</x:v>
      </x:c>
      <x:c r="AA388" s="64" t="n">
        <x:f>-ROUND(Q388*'Drivers'!M388,3)</x:f>
        <x:v>-12.791</x:v>
      </x:c>
      <x:c r="AB388" s="64" t="n">
        <x:f>-ROUND(Q388*'Drivers'!N388,3)</x:f>
        <x:v>-9.844</x:v>
      </x:c>
      <x:c r="AC388" s="64" t="n">
        <x:f>SUM(V388:AB388)</x:f>
        <x:v>-93.826</x:v>
      </x:c>
      <x:c r="AD388" s="65" t="n">
        <x:f>AC388/Q388</x:f>
        <x:v>-0.07266922668219819</x:v>
      </x:c>
      <x:c r="AE388" s="64" t="n">
        <x:f>-ROUND(Q388*'Drivers'!O388,3)</x:f>
        <x:v>-12.055</x:v>
      </x:c>
      <x:c r="AF388" s="65" t="n">
        <x:f>AE388/Q388</x:f>
        <x:v>-0.009336724656853103</x:v>
      </x:c>
      <x:c r="AG388" s="64" t="n">
        <x:f>-ROUND(Q388*'Drivers'!P388,3)</x:f>
        <x:v>-2.175</x:v>
      </x:c>
      <x:c r="AH388" s="64" t="n">
        <x:f>-ROUND(Q388*'Drivers'!Q388,3)</x:f>
        <x:v>-4.872</x:v>
      </x:c>
      <x:c r="AI388" s="64" t="n">
        <x:f>SUM(R388,T388,AC388,AE388,AG388,AH388)</x:f>
        <x:v>-382.49100000000004</x:v>
      </x:c>
      <x:c r="AJ388" s="65" t="n">
        <x:f>AI388/Q388</x:f>
        <x:v>-0.29624331403769394</x:v>
      </x:c>
      <x:c r="AK388" s="64" t="n">
        <x:f>Q388+AI388</x:f>
        <x:v>908.6469999999999</x:v>
      </x:c>
      <x:c r="AL388" s="65" t="n">
        <x:f>AK388/Q388</x:f>
        <x:v>0.7037566859623061</x:v>
      </x:c>
      <x:c r="AM388" s="64" t="n">
        <x:f>AK388/L388</x:f>
        <x:v>181.7294</x:v>
      </x:c>
      <x:c r="AN388" s="66" t="str">
        <x:f>IF(AM388&lt;=200,"≤200K",IF(AM388&lt;=350,"200–350K",IF(AM388&lt;=500,"350–500K",IF(AM388&lt;=700,"500–700K","&gt;700K"))))</x:f>
        <x:v>≤200K</x:v>
      </x:c>
      <x:c r="AO388" s="64" t="n">
        <x:f>-ROUND(Q388*'Drivers'!R388,3)</x:f>
        <x:v>-468.852</x:v>
      </x:c>
      <x:c r="AP388" s="64" t="n">
        <x:f>-ROUND(AK388*'Drivers'!S388,3)</x:f>
        <x:v>-12.452</x:v>
      </x:c>
      <x:c r="AQ388" s="64" t="n">
        <x:f>-ROUND(AK388*'Drivers'!T388,3)</x:f>
        <x:v>-2.741</x:v>
      </x:c>
      <x:c r="AR388" s="64" t="n">
        <x:f>-ROUND(AK388*'Drivers'!U388,3)</x:f>
        <x:v>-6.493</x:v>
      </x:c>
      <x:c r="AS388" s="64" t="n">
        <x:f>-ROUND(AK388*'Drivers'!V388,3)</x:f>
        <x:v>-29.688</x:v>
      </x:c>
      <x:c r="AT388" s="64" t="n">
        <x:f>SUM(AO388:AS388)</x:f>
        <x:v>-520.226</x:v>
      </x:c>
      <x:c r="AU388" s="65" t="n">
        <x:f>AT388/AK388</x:f>
        <x:v>-0.5725281655032153</x:v>
      </x:c>
      <x:c r="AV388" s="64" t="n">
        <x:f>AK388+AT388</x:f>
        <x:v>388.42099999999994</x:v>
      </x:c>
      <x:c r="AW388" s="65" t="n">
        <x:f>AV388/AK388</x:f>
        <x:v>0.4274718344967847</x:v>
      </x:c>
      <x:c r="AX388" s="64" t="n">
        <x:f>-ROUND(AK388*'Drivers'!W388,3)</x:f>
        <x:v>-10.314</x:v>
      </x:c>
      <x:c r="AY388" s="64" t="n">
        <x:f>-ROUND(AK388*'Drivers'!X388,3)</x:f>
        <x:v>-30.045</x:v>
      </x:c>
      <x:c r="AZ388" s="64" t="n">
        <x:f>-ROUND(AK388*'Drivers'!Y388,3)</x:f>
        <x:v>-18.578</x:v>
      </x:c>
      <x:c r="BA388" s="64" t="n">
        <x:f>-ROUND(AK388*'Drivers'!Z388,3)</x:f>
        <x:v>-5.543</x:v>
      </x:c>
      <x:c r="BB388" s="64" t="n">
        <x:f>-ROUND(AK388*'Drivers'!AA388,3)</x:f>
        <x:v>-6.623</x:v>
      </x:c>
      <x:c r="BC388" s="64" t="n">
        <x:f>SUM(BA388,BB388)</x:f>
        <x:v>-12.166</x:v>
      </x:c>
      <x:c r="BD388" s="64" t="n">
        <x:f>-ROUND(AK388*'Drivers'!AB388,3)</x:f>
        <x:v>-7.139</x:v>
      </x:c>
      <x:c r="BE388" s="64" t="n">
        <x:f>SUM(AX388:BB388,BD388)</x:f>
        <x:v>-78.242</x:v>
      </x:c>
      <x:c r="BF388" s="67" t="n">
        <x:f>'Drivers'!AF388</x:f>
        <x:v>7</x:v>
      </x:c>
      <x:c r="BG388" s="64" t="n">
        <x:f>BJ388</x:f>
        <x:v>-23.273</x:v>
      </x:c>
      <x:c r="BH388" s="64" t="n">
        <x:f>BE388/BF388</x:f>
        <x:v>-11.177428571428573</x:v>
      </x:c>
      <x:c r="BI388" s="68" t="n">
        <x:f>BF388/L388</x:f>
        <x:v>1.4</x:v>
      </x:c>
      <x:c r="BJ388" s="64" t="n">
        <x:f>-ROUND(AK388*'Drivers'!AC388,3)</x:f>
        <x:v>-23.273</x:v>
      </x:c>
      <x:c r="BK388" s="64" t="n">
        <x:f>-ROUND(AK388*'Drivers'!AD388,3)</x:f>
        <x:v>-109.177</x:v>
      </x:c>
      <x:c r="BL388" s="64" t="n">
        <x:f>SUM(AV388,BE388,BJ388,BK388)</x:f>
        <x:v>177.72899999999987</x:v>
      </x:c>
      <x:c r="BM388" s="65" t="n">
        <x:f>BL388/AK388</x:f>
        <x:v>0.19559741021540805</x:v>
      </x:c>
      <x:c r="BN388" s="64" t="n">
        <x:f>-ROUND(AK388*'Drivers'!AE388,3)</x:f>
        <x:v>-72.53</x:v>
      </x:c>
      <x:c r="BO388" s="64" t="n">
        <x:f>BL388+BN388</x:f>
        <x:v>105.19899999999987</x:v>
      </x:c>
      <x:c r="BP388" s="65" t="n">
        <x:f>BO388/AK388</x:f>
        <x:v>0.11577543314400408</x:v>
      </x:c>
    </x:row>
    <x:row r="389">
      <x:c r="A389" s="61" t="n">
        <x:v>2026</x:v>
      </x:c>
      <x:c r="B389" s="18" t="str">
        <x:v>S2</x:v>
      </x:c>
      <x:c r="C389" s="18" t="str">
        <x:v>2026 S2</x:v>
      </x:c>
      <x:c r="D389" s="18" t="str">
        <x:v>CNCT0097</x:v>
      </x:c>
      <x:c r="E389" s="18" t="str">
        <x:v>苏州大悦城</x:v>
      </x:c>
      <x:c r="F389" s="18" t="str">
        <x:v>苏州</x:v>
      </x:c>
      <x:c r="G389" s="18" t="str">
        <x:v>江苏省</x:v>
      </x:c>
      <x:c r="H389" s="18" t="str">
        <x:v>东区</x:v>
      </x:c>
      <x:c r="I389" s="18" t="str">
        <x:v>Shopping Mall</x:v>
      </x:c>
      <x:c r="J389" s="18" t="str">
        <x:v>Regional Mall</x:v>
      </x:c>
      <x:c r="K389" s="18" t="str">
        <x:v>正常</x:v>
      </x:c>
      <x:c r="L389" s="62" t="n">
        <x:v>5</x:v>
      </x:c>
      <x:c r="M389" s="62" t="n">
        <x:v>38</x:v>
      </x:c>
      <x:c r="N389" s="63" t="n">
        <x:f>'Drivers'!C389</x:f>
        <x:v>1538</x:v>
      </x:c>
      <x:c r="O389" s="63" t="n">
        <x:f>'Drivers'!D389</x:f>
        <x:v>961.464</x:v>
      </x:c>
      <x:c r="P389" s="64" t="n">
        <x:f>ROUND(N389*O389/1000,3)</x:f>
        <x:v>1478.732</x:v>
      </x:c>
      <x:c r="Q389" s="64" t="n">
        <x:f>ROUND(P389*'Drivers'!E389,3)</x:f>
        <x:v>1423.319</x:v>
      </x:c>
      <x:c r="R389" s="64" t="n">
        <x:f>-ROUND(Q389*'Drivers'!F389,3)</x:f>
        <x:v>-275.908</x:v>
      </x:c>
      <x:c r="S389" s="65" t="n">
        <x:f>R389/Q389</x:f>
        <x:v>-0.19384832212596054</x:v>
      </x:c>
      <x:c r="T389" s="64" t="n">
        <x:f>-ROUND(Q389*'Drivers'!G389,3)</x:f>
        <x:v>-21.212</x:v>
      </x:c>
      <x:c r="U389" s="65" t="n">
        <x:f>T389/Q389</x:f>
        <x:v>-0.014903194575495726</x:v>
      </x:c>
      <x:c r="V389" s="64" t="n">
        <x:f>-ROUND(Q389*'Drivers'!H389,3)</x:f>
        <x:v>-14.951</x:v>
      </x:c>
      <x:c r="W389" s="64" t="n">
        <x:f>-ROUND(Q389*'Drivers'!I389,3)</x:f>
        <x:v>-14.849</x:v>
      </x:c>
      <x:c r="X389" s="64" t="n">
        <x:f>-ROUND(Q389*'Drivers'!J389,3)</x:f>
        <x:v>-21.913</x:v>
      </x:c>
      <x:c r="Y389" s="64" t="n">
        <x:f>-ROUND(Q389*'Drivers'!K389,3)</x:f>
        <x:v>-12.702</x:v>
      </x:c>
      <x:c r="Z389" s="64" t="n">
        <x:f>-ROUND(Q389*'Drivers'!L389,3)</x:f>
        <x:v>-14.064</x:v>
      </x:c>
      <x:c r="AA389" s="64" t="n">
        <x:f>-ROUND(Q389*'Drivers'!M389,3)</x:f>
        <x:v>-14.101</x:v>
      </x:c>
      <x:c r="AB389" s="64" t="n">
        <x:f>-ROUND(Q389*'Drivers'!N389,3)</x:f>
        <x:v>-10.852</x:v>
      </x:c>
      <x:c r="AC389" s="64" t="n">
        <x:f>SUM(V389:AB389)</x:f>
        <x:v>-103.43200000000002</x:v>
      </x:c>
      <x:c r="AD389" s="65" t="n">
        <x:f>AC389/Q389</x:f>
        <x:v>-0.0726695842604504</x:v>
      </x:c>
      <x:c r="AE389" s="64" t="n">
        <x:f>-ROUND(Q389*'Drivers'!O389,3)</x:f>
        <x:v>-13.859</x:v>
      </x:c>
      <x:c r="AF389" s="65" t="n">
        <x:f>AE389/Q389</x:f>
        <x:v>-0.00973710039702976</x:v>
      </x:c>
      <x:c r="AG389" s="64" t="n">
        <x:f>-ROUND(Q389*'Drivers'!P389,3)</x:f>
        <x:v>-2.398</x:v>
      </x:c>
      <x:c r="AH389" s="64" t="n">
        <x:f>-ROUND(Q389*'Drivers'!Q389,3)</x:f>
        <x:v>-5.371</x:v>
      </x:c>
      <x:c r="AI389" s="64" t="n">
        <x:f>SUM(R389,T389,AC389,AE389,AG389,AH389)</x:f>
        <x:v>-422.18</x:v>
      </x:c>
      <x:c r="AJ389" s="65" t="n">
        <x:f>AI389/Q389</x:f>
        <x:v>-0.29661657014344645</x:v>
      </x:c>
      <x:c r="AK389" s="64" t="n">
        <x:f>Q389+AI389</x:f>
        <x:v>1001.1389999999999</x:v>
      </x:c>
      <x:c r="AL389" s="65" t="n">
        <x:f>AK389/Q389</x:f>
        <x:v>0.7033834298565536</x:v>
      </x:c>
      <x:c r="AM389" s="64" t="n">
        <x:f>AK389/L389</x:f>
        <x:v>200.22779999999997</x:v>
      </x:c>
      <x:c r="AN389" s="66" t="str">
        <x:f>IF(AM389&lt;=200,"≤200K",IF(AM389&lt;=350,"200–350K",IF(AM389&lt;=500,"350–500K",IF(AM389&lt;=700,"500–700K","&gt;700K"))))</x:f>
        <x:v>200–350K</x:v>
      </x:c>
      <x:c r="AO389" s="64" t="n">
        <x:f>-ROUND(Q389*'Drivers'!R389,3)</x:f>
        <x:v>-490.047</x:v>
      </x:c>
      <x:c r="AP389" s="64" t="n">
        <x:f>-ROUND(AK389*'Drivers'!S389,3)</x:f>
        <x:v>-13.72</x:v>
      </x:c>
      <x:c r="AQ389" s="64" t="n">
        <x:f>-ROUND(AK389*'Drivers'!T389,3)</x:f>
        <x:v>-3.02</x:v>
      </x:c>
      <x:c r="AR389" s="64" t="n">
        <x:f>-ROUND(AK389*'Drivers'!U389,3)</x:f>
        <x:v>-7.154</x:v>
      </x:c>
      <x:c r="AS389" s="64" t="n">
        <x:f>-ROUND(AK389*'Drivers'!V389,3)</x:f>
        <x:v>-32.71</x:v>
      </x:c>
      <x:c r="AT389" s="64" t="n">
        <x:f>SUM(AO389:AS389)</x:f>
        <x:v>-546.6510000000001</x:v>
      </x:c>
      <x:c r="AU389" s="65" t="n">
        <x:f>AT389/AK389</x:f>
        <x:v>-0.546029072885983</x:v>
      </x:c>
      <x:c r="AV389" s="64" t="n">
        <x:f>AK389+AT389</x:f>
        <x:v>454.48799999999983</x:v>
      </x:c>
      <x:c r="AW389" s="65" t="n">
        <x:f>AV389/AK389</x:f>
        <x:v>0.453970927114017</x:v>
      </x:c>
      <x:c r="AX389" s="64" t="n">
        <x:f>-ROUND(AK389*'Drivers'!W389,3)</x:f>
        <x:v>-9.79</x:v>
      </x:c>
      <x:c r="AY389" s="64" t="n">
        <x:f>-ROUND(AK389*'Drivers'!X389,3)</x:f>
        <x:v>-28.518</x:v>
      </x:c>
      <x:c r="AZ389" s="64" t="n">
        <x:f>-ROUND(AK389*'Drivers'!Y389,3)</x:f>
        <x:v>-17.633</x:v>
      </x:c>
      <x:c r="BA389" s="64" t="n">
        <x:f>-ROUND(AK389*'Drivers'!Z389,3)</x:f>
        <x:v>-5.261</x:v>
      </x:c>
      <x:c r="BB389" s="64" t="n">
        <x:f>-ROUND(AK389*'Drivers'!AA389,3)</x:f>
        <x:v>-6.287</x:v>
      </x:c>
      <x:c r="BC389" s="64" t="n">
        <x:f>SUM(BA389,BB389)</x:f>
        <x:v>-11.548</x:v>
      </x:c>
      <x:c r="BD389" s="64" t="n">
        <x:f>-ROUND(AK389*'Drivers'!AB389,3)</x:f>
        <x:v>-6.776</x:v>
      </x:c>
      <x:c r="BE389" s="64" t="n">
        <x:f>SUM(AX389:BB389,BD389)</x:f>
        <x:v>-74.265</x:v>
      </x:c>
      <x:c r="BF389" s="67" t="n">
        <x:f>'Drivers'!AF389</x:f>
        <x:v>7</x:v>
      </x:c>
      <x:c r="BG389" s="64" t="n">
        <x:f>BJ389</x:f>
        <x:v>-22.09</x:v>
      </x:c>
      <x:c r="BH389" s="64" t="n">
        <x:f>BE389/BF389</x:f>
        <x:v>-10.609285714285715</x:v>
      </x:c>
      <x:c r="BI389" s="68" t="n">
        <x:f>BF389/L389</x:f>
        <x:v>1.4</x:v>
      </x:c>
      <x:c r="BJ389" s="64" t="n">
        <x:f>-ROUND(AK389*'Drivers'!AC389,3)</x:f>
        <x:v>-22.09</x:v>
      </x:c>
      <x:c r="BK389" s="64" t="n">
        <x:f>-ROUND(AK389*'Drivers'!AD389,3)</x:f>
        <x:v>-120.29</x:v>
      </x:c>
      <x:c r="BL389" s="64" t="n">
        <x:f>SUM(AV389,BE389,BJ389,BK389)</x:f>
        <x:v>237.84299999999985</x:v>
      </x:c>
      <x:c r="BM389" s="65" t="n">
        <x:f>BL389/AK389</x:f>
        <x:v>0.23757240503066993</x:v>
      </x:c>
      <x:c r="BN389" s="64" t="n">
        <x:f>-ROUND(AK389*'Drivers'!AE389,3)</x:f>
        <x:v>-79.913</x:v>
      </x:c>
      <x:c r="BO389" s="64" t="n">
        <x:f>BL389+BN389</x:f>
        <x:v>157.92999999999984</x:v>
      </x:c>
      <x:c r="BP389" s="65" t="n">
        <x:f>BO389/AK389</x:f>
        <x:v>0.15775032238280584</x:v>
      </x:c>
    </x:row>
    <x:row r="390">
      <x:c r="A390" s="61" t="n">
        <x:v>2025</x:v>
      </x:c>
      <x:c r="B390" s="18" t="str">
        <x:v>S1</x:v>
      </x:c>
      <x:c r="C390" s="18" t="str">
        <x:v>2025 S1</x:v>
      </x:c>
      <x:c r="D390" s="18" t="str">
        <x:v>CNCT0098</x:v>
      </x:c>
      <x:c r="E390" s="18" t="str">
        <x:v>苏州泰华商城</x:v>
      </x:c>
      <x:c r="F390" s="18" t="str">
        <x:v>苏州</x:v>
      </x:c>
      <x:c r="G390" s="18" t="str">
        <x:v>江苏省</x:v>
      </x:c>
      <x:c r="H390" s="18" t="str">
        <x:v>东区</x:v>
      </x:c>
      <x:c r="I390" s="18" t="str">
        <x:v>Department Store</x:v>
      </x:c>
      <x:c r="J390" s="18" t="str">
        <x:v>Regional Mall</x:v>
      </x:c>
      <x:c r="K390" s="18" t="str">
        <x:v>正常</x:v>
      </x:c>
      <x:c r="L390" s="62" t="n">
        <x:v>5</x:v>
      </x:c>
      <x:c r="M390" s="62" t="n">
        <x:v>38</x:v>
      </x:c>
      <x:c r="N390" s="63" t="n">
        <x:f>'Drivers'!C390</x:f>
        <x:v>1313</x:v>
      </x:c>
      <x:c r="O390" s="63" t="n">
        <x:f>'Drivers'!D390</x:f>
        <x:v>974.286</x:v>
      </x:c>
      <x:c r="P390" s="64" t="n">
        <x:f>ROUND(N390*O390/1000,3)</x:f>
        <x:v>1279.238</x:v>
      </x:c>
      <x:c r="Q390" s="64" t="n">
        <x:f>ROUND(P390*'Drivers'!E390,3)</x:f>
        <x:v>1236.822</x:v>
      </x:c>
      <x:c r="R390" s="64" t="n">
        <x:f>-ROUND(Q390*'Drivers'!F390,3)</x:f>
        <x:v>-238.257</x:v>
      </x:c>
      <x:c r="S390" s="65" t="n">
        <x:f>R390/Q390</x:f>
        <x:v>-0.19263645051591904</x:v>
      </x:c>
      <x:c r="T390" s="64" t="n">
        <x:f>-ROUND(Q390*'Drivers'!G390,3)</x:f>
        <x:v>-23.655</x:v>
      </x:c>
      <x:c r="U390" s="65" t="n">
        <x:f>T390/Q390</x:f>
        <x:v>-0.019125630042156432</x:v>
      </x:c>
      <x:c r="V390" s="64" t="n">
        <x:f>-ROUND(Q390*'Drivers'!H390,3)</x:f>
        <x:v>-9.907</x:v>
      </x:c>
      <x:c r="W390" s="64" t="n">
        <x:f>-ROUND(Q390*'Drivers'!I390,3)</x:f>
        <x:v>-12.398</x:v>
      </x:c>
      <x:c r="X390" s="64" t="n">
        <x:f>-ROUND(Q390*'Drivers'!J390,3)</x:f>
        <x:v>-21.074</x:v>
      </x:c>
      <x:c r="Y390" s="64" t="n">
        <x:f>-ROUND(Q390*'Drivers'!K390,3)</x:f>
        <x:v>-15.615</x:v>
      </x:c>
      <x:c r="Z390" s="64" t="n">
        <x:f>-ROUND(Q390*'Drivers'!L390,3)</x:f>
        <x:v>-14.19</x:v>
      </x:c>
      <x:c r="AA390" s="64" t="n">
        <x:f>-ROUND(Q390*'Drivers'!M390,3)</x:f>
        <x:v>-12.813</x:v>
      </x:c>
      <x:c r="AB390" s="64" t="n">
        <x:f>-ROUND(Q390*'Drivers'!N390,3)</x:f>
        <x:v>-8.745</x:v>
      </x:c>
      <x:c r="AC390" s="64" t="n">
        <x:f>SUM(V390:AB390)</x:f>
        <x:v>-94.74200000000002</x:v>
      </x:c>
      <x:c r="AD390" s="65" t="n">
        <x:f>AC390/Q390</x:f>
        <x:v>-0.07660116006992115</x:v>
      </x:c>
      <x:c r="AE390" s="64" t="n">
        <x:f>-ROUND(Q390*'Drivers'!O390,3)</x:f>
        <x:v>-16.911</x:v>
      </x:c>
      <x:c r="AF390" s="65" t="n">
        <x:f>AE390/Q390</x:f>
        <x:v>-0.013672945662350769</x:v>
      </x:c>
      <x:c r="AG390" s="64" t="n">
        <x:f>-ROUND(Q390*'Drivers'!P390,3)</x:f>
        <x:v>-3.445</x:v>
      </x:c>
      <x:c r="AH390" s="64" t="n">
        <x:f>-ROUND(Q390*'Drivers'!Q390,3)</x:f>
        <x:v>-2.086</x:v>
      </x:c>
      <x:c r="AI390" s="64" t="n">
        <x:f>SUM(R390,T390,AC390,AE390,AG390,AH390)</x:f>
        <x:v>-379.09600000000006</x:v>
      </x:c>
      <x:c r="AJ390" s="65" t="n">
        <x:f>AI390/Q390</x:f>
        <x:v>-0.3065081313236667</x:v>
      </x:c>
      <x:c r="AK390" s="64" t="n">
        <x:f>Q390+AI390</x:f>
        <x:v>857.7259999999999</x:v>
      </x:c>
      <x:c r="AL390" s="65" t="n">
        <x:f>AK390/Q390</x:f>
        <x:v>0.6934918686763334</x:v>
      </x:c>
      <x:c r="AM390" s="64" t="n">
        <x:f>AK390/L390</x:f>
        <x:v>171.54519999999997</x:v>
      </x:c>
      <x:c r="AN390" s="66" t="str">
        <x:f>IF(AM390&lt;=200,"≤200K",IF(AM390&lt;=350,"200–350K",IF(AM390&lt;=500,"350–500K",IF(AM390&lt;=700,"500–700K","&gt;700K"))))</x:f>
        <x:v>≤200K</x:v>
      </x:c>
      <x:c r="AO390" s="64" t="n">
        <x:f>-ROUND(Q390*'Drivers'!R390,3)</x:f>
        <x:v>-435.976</x:v>
      </x:c>
      <x:c r="AP390" s="64" t="n">
        <x:f>-ROUND(AK390*'Drivers'!S390,3)</x:f>
        <x:v>-13.631</x:v>
      </x:c>
      <x:c r="AQ390" s="64" t="n">
        <x:f>-ROUND(AK390*'Drivers'!T390,3)</x:f>
        <x:v>-4.457</x:v>
      </x:c>
      <x:c r="AR390" s="64" t="n">
        <x:f>-ROUND(AK390*'Drivers'!U390,3)</x:f>
        <x:v>-10.681</x:v>
      </x:c>
      <x:c r="AS390" s="64" t="n">
        <x:f>-ROUND(AK390*'Drivers'!V390,3)</x:f>
        <x:v>-29.293</x:v>
      </x:c>
      <x:c r="AT390" s="64" t="n">
        <x:f>SUM(AO390:AS390)</x:f>
        <x:v>-494.03799999999995</x:v>
      </x:c>
      <x:c r="AU390" s="65" t="n">
        <x:f>AT390/AK390</x:f>
        <x:v>-0.5759858043244579</x:v>
      </x:c>
      <x:c r="AV390" s="64" t="n">
        <x:f>AK390+AT390</x:f>
        <x:v>363.68799999999993</x:v>
      </x:c>
      <x:c r="AW390" s="65" t="n">
        <x:f>AV390/AK390</x:f>
        <x:v>0.42401419567554205</x:v>
      </x:c>
      <x:c r="AX390" s="64" t="n">
        <x:f>-ROUND(AK390*'Drivers'!W390,3)</x:f>
        <x:v>-9.306</x:v>
      </x:c>
      <x:c r="AY390" s="64" t="n">
        <x:f>-ROUND(AK390*'Drivers'!X390,3)</x:f>
        <x:v>-15.552</x:v>
      </x:c>
      <x:c r="AZ390" s="64" t="n">
        <x:f>-ROUND(AK390*'Drivers'!Y390,3)</x:f>
        <x:v>-14.216</x:v>
      </x:c>
      <x:c r="BA390" s="64" t="n">
        <x:f>-ROUND(AK390*'Drivers'!Z390,3)</x:f>
        <x:v>-4.81</x:v>
      </x:c>
      <x:c r="BB390" s="64" t="n">
        <x:f>-ROUND(AK390*'Drivers'!AA390,3)</x:f>
        <x:v>-5.94</x:v>
      </x:c>
      <x:c r="BC390" s="64" t="n">
        <x:f>SUM(BA390,BB390)</x:f>
        <x:v>-10.75</x:v>
      </x:c>
      <x:c r="BD390" s="64" t="n">
        <x:f>-ROUND(AK390*'Drivers'!AB390,3)</x:f>
        <x:v>-3.709</x:v>
      </x:c>
      <x:c r="BE390" s="64" t="n">
        <x:f>SUM(AX390:BB390,BD390)</x:f>
        <x:v>-53.533</x:v>
      </x:c>
      <x:c r="BF390" s="67" t="n">
        <x:f>'Drivers'!AF390</x:f>
        <x:v>8</x:v>
      </x:c>
      <x:c r="BG390" s="64" t="n">
        <x:f>BJ390</x:f>
        <x:v>-22.782</x:v>
      </x:c>
      <x:c r="BH390" s="64" t="n">
        <x:f>BE390/BF390</x:f>
        <x:v>-6.691625</x:v>
      </x:c>
      <x:c r="BI390" s="68" t="n">
        <x:f>BF390/L390</x:f>
        <x:v>1.6</x:v>
      </x:c>
      <x:c r="BJ390" s="64" t="n">
        <x:f>-ROUND(AK390*'Drivers'!AC390,3)</x:f>
        <x:v>-22.782</x:v>
      </x:c>
      <x:c r="BK390" s="64" t="n">
        <x:f>-ROUND(AK390*'Drivers'!AD390,3)</x:f>
        <x:v>-105.163</x:v>
      </x:c>
      <x:c r="BL390" s="64" t="n">
        <x:f>SUM(AV390,BE390,BJ390,BK390)</x:f>
        <x:v>182.20999999999992</x:v>
      </x:c>
      <x:c r="BM390" s="65" t="n">
        <x:f>BL390/AK390</x:f>
        <x:v>0.2124338075329417</x:v>
      </x:c>
      <x:c r="BN390" s="64" t="n">
        <x:f>-ROUND(AK390*'Drivers'!AE390,3)</x:f>
        <x:v>-58.848</x:v>
      </x:c>
      <x:c r="BO390" s="64" t="n">
        <x:f>BL390+BN390</x:f>
        <x:v>123.36199999999992</x:v>
      </x:c>
      <x:c r="BP390" s="65" t="n">
        <x:f>BO390/AK390</x:f>
        <x:v>0.14382448474221365</x:v>
      </x:c>
    </x:row>
    <x:row r="391">
      <x:c r="A391" s="61" t="n">
        <x:v>2025</x:v>
      </x:c>
      <x:c r="B391" s="18" t="str">
        <x:v>S2</x:v>
      </x:c>
      <x:c r="C391" s="18" t="str">
        <x:v>2025 S2</x:v>
      </x:c>
      <x:c r="D391" s="18" t="str">
        <x:v>CNCT0098</x:v>
      </x:c>
      <x:c r="E391" s="18" t="str">
        <x:v>苏州泰华商城</x:v>
      </x:c>
      <x:c r="F391" s="18" t="str">
        <x:v>苏州</x:v>
      </x:c>
      <x:c r="G391" s="18" t="str">
        <x:v>江苏省</x:v>
      </x:c>
      <x:c r="H391" s="18" t="str">
        <x:v>东区</x:v>
      </x:c>
      <x:c r="I391" s="18" t="str">
        <x:v>Department Store</x:v>
      </x:c>
      <x:c r="J391" s="18" t="str">
        <x:v>Regional Mall</x:v>
      </x:c>
      <x:c r="K391" s="18" t="str">
        <x:v>正常</x:v>
      </x:c>
      <x:c r="L391" s="62" t="n">
        <x:v>5</x:v>
      </x:c>
      <x:c r="M391" s="62" t="n">
        <x:v>38</x:v>
      </x:c>
      <x:c r="N391" s="63" t="n">
        <x:f>'Drivers'!C391</x:f>
        <x:v>1443</x:v>
      </x:c>
      <x:c r="O391" s="63" t="n">
        <x:f>'Drivers'!D391</x:f>
        <x:v>985.977</x:v>
      </x:c>
      <x:c r="P391" s="64" t="n">
        <x:f>ROUND(N391*O391/1000,3)</x:f>
        <x:v>1422.765</x:v>
      </x:c>
      <x:c r="Q391" s="64" t="n">
        <x:f>ROUND(P391*'Drivers'!E391,3)</x:f>
        <x:v>1387.463</x:v>
      </x:c>
      <x:c r="R391" s="64" t="n">
        <x:f>-ROUND(Q391*'Drivers'!F391,3)</x:f>
        <x:v>-267.275</x:v>
      </x:c>
      <x:c r="S391" s="65" t="n">
        <x:f>R391/Q391</x:f>
        <x:v>-0.19263576758443288</x:v>
      </x:c>
      <x:c r="T391" s="64" t="n">
        <x:f>-ROUND(Q391*'Drivers'!G391,3)</x:f>
        <x:v>-26.536</x:v>
      </x:c>
      <x:c r="U391" s="65" t="n">
        <x:f>T391/Q391</x:f>
        <x:v>-0.019125555059846644</x:v>
      </x:c>
      <x:c r="V391" s="64" t="n">
        <x:f>-ROUND(Q391*'Drivers'!H391,3)</x:f>
        <x:v>-11.114</x:v>
      </x:c>
      <x:c r="W391" s="64" t="n">
        <x:f>-ROUND(Q391*'Drivers'!I391,3)</x:f>
        <x:v>-13.908</x:v>
      </x:c>
      <x:c r="X391" s="64" t="n">
        <x:f>-ROUND(Q391*'Drivers'!J391,3)</x:f>
        <x:v>-23.641</x:v>
      </x:c>
      <x:c r="Y391" s="64" t="n">
        <x:f>-ROUND(Q391*'Drivers'!K391,3)</x:f>
        <x:v>-17.517</x:v>
      </x:c>
      <x:c r="Z391" s="64" t="n">
        <x:f>-ROUND(Q391*'Drivers'!L391,3)</x:f>
        <x:v>-15.918</x:v>
      </x:c>
      <x:c r="AA391" s="64" t="n">
        <x:f>-ROUND(Q391*'Drivers'!M391,3)</x:f>
        <x:v>-14.373</x:v>
      </x:c>
      <x:c r="AB391" s="64" t="n">
        <x:f>-ROUND(Q391*'Drivers'!N391,3)</x:f>
        <x:v>-9.81</x:v>
      </x:c>
      <x:c r="AC391" s="64" t="n">
        <x:f>SUM(V391:AB391)</x:f>
        <x:v>-106.28099999999999</x:v>
      </x:c>
      <x:c r="AD391" s="65" t="n">
        <x:f>AC391/Q391</x:f>
        <x:v>-0.07660096161122855</x:v>
      </x:c>
      <x:c r="AE391" s="64" t="n">
        <x:f>-ROUND(Q391*'Drivers'!O391,3)</x:f>
        <x:v>-18.971</x:v>
      </x:c>
      <x:c r="AF391" s="65" t="n">
        <x:f>AE391/Q391</x:f>
        <x:v>-0.013673157410323735</x:v>
      </x:c>
      <x:c r="AG391" s="64" t="n">
        <x:f>-ROUND(Q391*'Drivers'!P391,3)</x:f>
        <x:v>-3.865</x:v>
      </x:c>
      <x:c r="AH391" s="64" t="n">
        <x:f>-ROUND(Q391*'Drivers'!Q391,3)</x:f>
        <x:v>-2.34</x:v>
      </x:c>
      <x:c r="AI391" s="64" t="n">
        <x:f>SUM(R391,T391,AC391,AE391,AG391,AH391)</x:f>
        <x:v>-425.268</x:v>
      </x:c>
      <x:c r="AJ391" s="65" t="n">
        <x:f>AI391/Q391</x:f>
        <x:v>-0.3065076329963394</x:v>
      </x:c>
      <x:c r="AK391" s="64" t="n">
        <x:f>Q391+AI391</x:f>
        <x:v>962.1949999999999</x:v>
      </x:c>
      <x:c r="AL391" s="65" t="n">
        <x:f>AK391/Q391</x:f>
        <x:v>0.6934923670036606</x:v>
      </x:c>
      <x:c r="AM391" s="64" t="n">
        <x:f>AK391/L391</x:f>
        <x:v>192.439</x:v>
      </x:c>
      <x:c r="AN391" s="66" t="str">
        <x:f>IF(AM391&lt;=200,"≤200K",IF(AM391&lt;=350,"200–350K",IF(AM391&lt;=500,"350–500K",IF(AM391&lt;=700,"500–700K","&gt;700K"))))</x:f>
        <x:v>≤200K</x:v>
      </x:c>
      <x:c r="AO391" s="64" t="n">
        <x:f>-ROUND(Q391*'Drivers'!R391,3)</x:f>
        <x:v>-502.96</x:v>
      </x:c>
      <x:c r="AP391" s="64" t="n">
        <x:f>-ROUND(AK391*'Drivers'!S391,3)</x:f>
        <x:v>-15.291</x:v>
      </x:c>
      <x:c r="AQ391" s="64" t="n">
        <x:f>-ROUND(AK391*'Drivers'!T391,3)</x:f>
        <x:v>-5</x:v>
      </x:c>
      <x:c r="AR391" s="64" t="n">
        <x:f>-ROUND(AK391*'Drivers'!U391,3)</x:f>
        <x:v>-11.981</x:v>
      </x:c>
      <x:c r="AS391" s="64" t="n">
        <x:f>-ROUND(AK391*'Drivers'!V391,3)</x:f>
        <x:v>-32.861</x:v>
      </x:c>
      <x:c r="AT391" s="64" t="n">
        <x:f>SUM(AO391:AS391)</x:f>
        <x:v>-568.093</x:v>
      </x:c>
      <x:c r="AU391" s="65" t="n">
        <x:f>AT391/AK391</x:f>
        <x:v>-0.5904135856037498</x:v>
      </x:c>
      <x:c r="AV391" s="64" t="n">
        <x:f>AK391+AT391</x:f>
        <x:v>394.102</x:v>
      </x:c>
      <x:c r="AW391" s="65" t="n">
        <x:f>AV391/AK391</x:f>
        <x:v>0.40958641439625026</x:v>
      </x:c>
      <x:c r="AX391" s="64" t="n">
        <x:f>-ROUND(AK391*'Drivers'!W391,3)</x:f>
        <x:v>-10.44</x:v>
      </x:c>
      <x:c r="AY391" s="64" t="n">
        <x:f>-ROUND(AK391*'Drivers'!X391,3)</x:f>
        <x:v>-17.446</x:v>
      </x:c>
      <x:c r="AZ391" s="64" t="n">
        <x:f>-ROUND(AK391*'Drivers'!Y391,3)</x:f>
        <x:v>-15.948</x:v>
      </x:c>
      <x:c r="BA391" s="64" t="n">
        <x:f>-ROUND(AK391*'Drivers'!Z391,3)</x:f>
        <x:v>-5.396</x:v>
      </x:c>
      <x:c r="BB391" s="64" t="n">
        <x:f>-ROUND(AK391*'Drivers'!AA391,3)</x:f>
        <x:v>-6.664</x:v>
      </x:c>
      <x:c r="BC391" s="64" t="n">
        <x:f>SUM(BA391,BB391)</x:f>
        <x:v>-12.059999999999999</x:v>
      </x:c>
      <x:c r="BD391" s="64" t="n">
        <x:f>-ROUND(AK391*'Drivers'!AB391,3)</x:f>
        <x:v>-4.161</x:v>
      </x:c>
      <x:c r="BE391" s="64" t="n">
        <x:f>SUM(AX391:BB391,BD391)</x:f>
        <x:v>-60.05500000000001</x:v>
      </x:c>
      <x:c r="BF391" s="67" t="n">
        <x:f>'Drivers'!AF391</x:f>
        <x:v>8</x:v>
      </x:c>
      <x:c r="BG391" s="64" t="n">
        <x:f>BJ391</x:f>
        <x:v>-25.556</x:v>
      </x:c>
      <x:c r="BH391" s="64" t="n">
        <x:f>BE391/BF391</x:f>
        <x:v>-7.506875000000001</x:v>
      </x:c>
      <x:c r="BI391" s="68" t="n">
        <x:f>BF391/L391</x:f>
        <x:v>1.6</x:v>
      </x:c>
      <x:c r="BJ391" s="64" t="n">
        <x:f>-ROUND(AK391*'Drivers'!AC391,3)</x:f>
        <x:v>-25.556</x:v>
      </x:c>
      <x:c r="BK391" s="64" t="n">
        <x:f>-ROUND(AK391*'Drivers'!AD391,3)</x:f>
        <x:v>-117.972</x:v>
      </x:c>
      <x:c r="BL391" s="64" t="n">
        <x:f>SUM(AV391,BE391,BJ391,BK391)</x:f>
        <x:v>190.519</x:v>
      </x:c>
      <x:c r="BM391" s="65" t="n">
        <x:f>BL391/AK391</x:f>
        <x:v>0.19800456248473544</x:v>
      </x:c>
      <x:c r="BN391" s="64" t="n">
        <x:f>-ROUND(AK391*'Drivers'!AE391,3)</x:f>
        <x:v>-66.016</x:v>
      </x:c>
      <x:c r="BO391" s="64" t="n">
        <x:f>BL391+BN391</x:f>
        <x:v>124.503</x:v>
      </x:c>
      <x:c r="BP391" s="65" t="n">
        <x:f>BO391/AK391</x:f>
        <x:v>0.12939476925155505</x:v>
      </x:c>
    </x:row>
    <x:row r="392">
      <x:c r="A392" s="61" t="n">
        <x:v>2026</x:v>
      </x:c>
      <x:c r="B392" s="18" t="str">
        <x:v>S1</x:v>
      </x:c>
      <x:c r="C392" s="18" t="str">
        <x:v>2026 S1</x:v>
      </x:c>
      <x:c r="D392" s="18" t="str">
        <x:v>CNCT0098</x:v>
      </x:c>
      <x:c r="E392" s="18" t="str">
        <x:v>苏州泰华商城</x:v>
      </x:c>
      <x:c r="F392" s="18" t="str">
        <x:v>苏州</x:v>
      </x:c>
      <x:c r="G392" s="18" t="str">
        <x:v>江苏省</x:v>
      </x:c>
      <x:c r="H392" s="18" t="str">
        <x:v>东区</x:v>
      </x:c>
      <x:c r="I392" s="18" t="str">
        <x:v>Department Store</x:v>
      </x:c>
      <x:c r="J392" s="18" t="str">
        <x:v>Regional Mall</x:v>
      </x:c>
      <x:c r="K392" s="18" t="str">
        <x:v>正常</x:v>
      </x:c>
      <x:c r="L392" s="62" t="n">
        <x:v>5</x:v>
      </x:c>
      <x:c r="M392" s="62" t="n">
        <x:v>38</x:v>
      </x:c>
      <x:c r="N392" s="63" t="n">
        <x:f>'Drivers'!C392</x:f>
        <x:v>1058</x:v>
      </x:c>
      <x:c r="O392" s="63" t="n">
        <x:f>'Drivers'!D392</x:f>
        <x:v>1021.927</x:v>
      </x:c>
      <x:c r="P392" s="64" t="n">
        <x:f>ROUND(N392*O392/1000,3)</x:f>
        <x:v>1081.199</x:v>
      </x:c>
      <x:c r="Q392" s="64" t="n">
        <x:f>ROUND(P392*'Drivers'!E392,3)</x:f>
        <x:v>1042.881</x:v>
      </x:c>
      <x:c r="R392" s="64" t="n">
        <x:f>-ROUND(Q392*'Drivers'!F392,3)</x:f>
        <x:v>-213.411</x:v>
      </x:c>
      <x:c r="S392" s="65" t="n">
        <x:f>R392/Q392</x:f>
        <x:v>-0.2046360035325219</x:v>
      </x:c>
      <x:c r="T392" s="64" t="n">
        <x:f>-ROUND(Q392*'Drivers'!G392,3)</x:f>
        <x:v>-21</x:v>
      </x:c>
      <x:c r="U392" s="65" t="n">
        <x:f>T392/Q392</x:f>
        <x:v>-0.020136525643865404</x:v>
      </x:c>
      <x:c r="V392" s="64" t="n">
        <x:f>-ROUND(Q392*'Drivers'!H392,3)</x:f>
        <x:v>-8.354</x:v>
      </x:c>
      <x:c r="W392" s="64" t="n">
        <x:f>-ROUND(Q392*'Drivers'!I392,3)</x:f>
        <x:v>-10.454</x:v>
      </x:c>
      <x:c r="X392" s="64" t="n">
        <x:f>-ROUND(Q392*'Drivers'!J392,3)</x:f>
        <x:v>-17.77</x:v>
      </x:c>
      <x:c r="Y392" s="64" t="n">
        <x:f>-ROUND(Q392*'Drivers'!K392,3)</x:f>
        <x:v>-13.166</x:v>
      </x:c>
      <x:c r="Z392" s="64" t="n">
        <x:f>-ROUND(Q392*'Drivers'!L392,3)</x:f>
        <x:v>-11.965</x:v>
      </x:c>
      <x:c r="AA392" s="64" t="n">
        <x:f>-ROUND(Q392*'Drivers'!M392,3)</x:f>
        <x:v>-10.804</x:v>
      </x:c>
      <x:c r="AB392" s="64" t="n">
        <x:f>-ROUND(Q392*'Drivers'!N392,3)</x:f>
        <x:v>-7.373</x:v>
      </x:c>
      <x:c r="AC392" s="64" t="n">
        <x:f>SUM(V392:AB392)</x:f>
        <x:v>-79.88600000000001</x:v>
      </x:c>
      <x:c r="AD392" s="65" t="n">
        <x:f>AC392/Q392</x:f>
        <x:v>-0.07660126131361104</x:v>
      </x:c>
      <x:c r="AE392" s="64" t="n">
        <x:f>-ROUND(Q392*'Drivers'!O392,3)</x:f>
        <x:v>-13.664</x:v>
      </x:c>
      <x:c r="AF392" s="65" t="n">
        <x:f>AE392/Q392</x:f>
        <x:v>-0.013102166018941756</x:v>
      </x:c>
      <x:c r="AG392" s="64" t="n">
        <x:f>-ROUND(Q392*'Drivers'!P392,3)</x:f>
        <x:v>-2.905</x:v>
      </x:c>
      <x:c r="AH392" s="64" t="n">
        <x:f>-ROUND(Q392*'Drivers'!Q392,3)</x:f>
        <x:v>-1.759</x:v>
      </x:c>
      <x:c r="AI392" s="64" t="n">
        <x:f>SUM(R392,T392,AC392,AE392,AG392,AH392)</x:f>
        <x:v>-332.625</x:v>
      </x:c>
      <x:c r="AJ392" s="65" t="n">
        <x:f>AI392/Q392</x:f>
        <x:v>-0.3189481829662253</x:v>
      </x:c>
      <x:c r="AK392" s="64" t="n">
        <x:f>Q392+AI392</x:f>
        <x:v>710.2560000000001</x:v>
      </x:c>
      <x:c r="AL392" s="65" t="n">
        <x:f>AK392/Q392</x:f>
        <x:v>0.6810518170337747</x:v>
      </x:c>
      <x:c r="AM392" s="64" t="n">
        <x:f>AK392/L392</x:f>
        <x:v>142.05120000000002</x:v>
      </x:c>
      <x:c r="AN392" s="66" t="str">
        <x:f>IF(AM392&lt;=200,"≤200K",IF(AM392&lt;=350,"200–350K",IF(AM392&lt;=500,"350–500K",IF(AM392&lt;=700,"500–700K","&gt;700K"))))</x:f>
        <x:v>≤200K</x:v>
      </x:c>
      <x:c r="AO392" s="64" t="n">
        <x:f>-ROUND(Q392*'Drivers'!R392,3)</x:f>
        <x:v>-387.199</x:v>
      </x:c>
      <x:c r="AP392" s="64" t="n">
        <x:f>-ROUND(AK392*'Drivers'!S392,3)</x:f>
        <x:v>-11.288</x:v>
      </x:c>
      <x:c r="AQ392" s="64" t="n">
        <x:f>-ROUND(AK392*'Drivers'!T392,3)</x:f>
        <x:v>-3.691</x:v>
      </x:c>
      <x:c r="AR392" s="64" t="n">
        <x:f>-ROUND(AK392*'Drivers'!U392,3)</x:f>
        <x:v>-8.844</x:v>
      </x:c>
      <x:c r="AS392" s="64" t="n">
        <x:f>-ROUND(AK392*'Drivers'!V392,3)</x:f>
        <x:v>-24.257</x:v>
      </x:c>
      <x:c r="AT392" s="64" t="n">
        <x:f>SUM(AO392:AS392)</x:f>
        <x:v>-435.279</x:v>
      </x:c>
      <x:c r="AU392" s="65" t="n">
        <x:f>AT392/AK392</x:f>
        <x:v>-0.6128480435223356</x:v>
      </x:c>
      <x:c r="AV392" s="64" t="n">
        <x:f>AK392+AT392</x:f>
        <x:v>274.9770000000001</x:v>
      </x:c>
      <x:c r="AW392" s="65" t="n">
        <x:f>AV392/AK392</x:f>
        <x:v>0.3871519564776645</x:v>
      </x:c>
      <x:c r="AX392" s="64" t="n">
        <x:f>-ROUND(AK392*'Drivers'!W392,3)</x:f>
        <x:v>-9.482</x:v>
      </x:c>
      <x:c r="AY392" s="64" t="n">
        <x:f>-ROUND(AK392*'Drivers'!X392,3)</x:f>
        <x:v>-15.846</x:v>
      </x:c>
      <x:c r="AZ392" s="64" t="n">
        <x:f>-ROUND(AK392*'Drivers'!Y392,3)</x:f>
        <x:v>-14.485</x:v>
      </x:c>
      <x:c r="BA392" s="64" t="n">
        <x:f>-ROUND(AK392*'Drivers'!Z392,3)</x:f>
        <x:v>-4.901</x:v>
      </x:c>
      <x:c r="BB392" s="64" t="n">
        <x:f>-ROUND(AK392*'Drivers'!AA392,3)</x:f>
        <x:v>-6.053</x:v>
      </x:c>
      <x:c r="BC392" s="64" t="n">
        <x:f>SUM(BA392,BB392)</x:f>
        <x:v>-10.954</x:v>
      </x:c>
      <x:c r="BD392" s="64" t="n">
        <x:f>-ROUND(AK392*'Drivers'!AB392,3)</x:f>
        <x:v>-3.779</x:v>
      </x:c>
      <x:c r="BE392" s="64" t="n">
        <x:f>SUM(AX392:BB392,BD392)</x:f>
        <x:v>-54.54599999999999</x:v>
      </x:c>
      <x:c r="BF392" s="67" t="n">
        <x:f>'Drivers'!AF392</x:f>
        <x:v>8</x:v>
      </x:c>
      <x:c r="BG392" s="64" t="n">
        <x:f>BJ392</x:f>
        <x:v>-33.658</x:v>
      </x:c>
      <x:c r="BH392" s="64" t="n">
        <x:f>BE392/BF392</x:f>
        <x:v>-6.818249999999999</x:v>
      </x:c>
      <x:c r="BI392" s="68" t="n">
        <x:f>BF392/L392</x:f>
        <x:v>1.6</x:v>
      </x:c>
      <x:c r="BJ392" s="64" t="n">
        <x:f>-ROUND(AK392*'Drivers'!AC392,3)</x:f>
        <x:v>-33.658</x:v>
      </x:c>
      <x:c r="BK392" s="64" t="n">
        <x:f>-ROUND(AK392*'Drivers'!AD392,3)</x:f>
        <x:v>-95.79</x:v>
      </x:c>
      <x:c r="BL392" s="64" t="n">
        <x:f>SUM(AV392,BE392,BJ392,BK392)</x:f>
        <x:v>90.98300000000008</x:v>
      </x:c>
      <x:c r="BM392" s="65" t="n">
        <x:f>BL392/AK392</x:f>
        <x:v>0.1280988826563944</x:v>
      </x:c>
      <x:c r="BN392" s="64" t="n">
        <x:f>-ROUND(AK392*'Drivers'!AE392,3)</x:f>
        <x:v>-72.864</x:v>
      </x:c>
      <x:c r="BO392" s="64" t="n">
        <x:f>BL392+BN392</x:f>
        <x:v>18.11900000000007</x:v>
      </x:c>
      <x:c r="BP392" s="65" t="n">
        <x:f>BO392/AK392</x:f>
        <x:v>0.02551052015048105</x:v>
      </x:c>
    </x:row>
    <x:row r="393">
      <x:c r="A393" s="61" t="n">
        <x:v>2026</x:v>
      </x:c>
      <x:c r="B393" s="18" t="str">
        <x:v>S2</x:v>
      </x:c>
      <x:c r="C393" s="18" t="str">
        <x:v>2026 S2</x:v>
      </x:c>
      <x:c r="D393" s="18" t="str">
        <x:v>CNCT0098</x:v>
      </x:c>
      <x:c r="E393" s="18" t="str">
        <x:v>苏州泰华商城</x:v>
      </x:c>
      <x:c r="F393" s="18" t="str">
        <x:v>苏州</x:v>
      </x:c>
      <x:c r="G393" s="18" t="str">
        <x:v>江苏省</x:v>
      </x:c>
      <x:c r="H393" s="18" t="str">
        <x:v>东区</x:v>
      </x:c>
      <x:c r="I393" s="18" t="str">
        <x:v>Department Store</x:v>
      </x:c>
      <x:c r="J393" s="18" t="str">
        <x:v>Regional Mall</x:v>
      </x:c>
      <x:c r="K393" s="18" t="str">
        <x:v>正常</x:v>
      </x:c>
      <x:c r="L393" s="62" t="n">
        <x:v>5</x:v>
      </x:c>
      <x:c r="M393" s="62" t="n">
        <x:v>38</x:v>
      </x:c>
      <x:c r="N393" s="63" t="n">
        <x:f>'Drivers'!C393</x:f>
        <x:v>1266</x:v>
      </x:c>
      <x:c r="O393" s="63" t="n">
        <x:f>'Drivers'!D393</x:f>
        <x:v>1024.898</x:v>
      </x:c>
      <x:c r="P393" s="64" t="n">
        <x:f>ROUND(N393*O393/1000,3)</x:f>
        <x:v>1297.521</x:v>
      </x:c>
      <x:c r="Q393" s="64" t="n">
        <x:f>ROUND(P393*'Drivers'!E393,3)</x:f>
        <x:v>1265.326</x:v>
      </x:c>
      <x:c r="R393" s="64" t="n">
        <x:f>-ROUND(Q393*'Drivers'!F393,3)</x:f>
        <x:v>-244.72</x:v>
      </x:c>
      <x:c r="S393" s="65" t="n">
        <x:f>R393/Q393</x:f>
        <x:v>-0.19340470360997877</x:v>
      </x:c>
      <x:c r="T393" s="64" t="n">
        <x:f>-ROUND(Q393*'Drivers'!G393,3)</x:f>
        <x:v>-25.412</x:v>
      </x:c>
      <x:c r="U393" s="65" t="n">
        <x:f>T393/Q393</x:f>
        <x:v>-0.020083361916217637</x:v>
      </x:c>
      <x:c r="V393" s="64" t="n">
        <x:f>-ROUND(Q393*'Drivers'!H393,3)</x:f>
        <x:v>-10.136</x:v>
      </x:c>
      <x:c r="W393" s="64" t="n">
        <x:f>-ROUND(Q393*'Drivers'!I393,3)</x:f>
        <x:v>-12.684</x:v>
      </x:c>
      <x:c r="X393" s="64" t="n">
        <x:f>-ROUND(Q393*'Drivers'!J393,3)</x:f>
        <x:v>-21.56</x:v>
      </x:c>
      <x:c r="Y393" s="64" t="n">
        <x:f>-ROUND(Q393*'Drivers'!K393,3)</x:f>
        <x:v>-15.975</x:v>
      </x:c>
      <x:c r="Z393" s="64" t="n">
        <x:f>-ROUND(Q393*'Drivers'!L393,3)</x:f>
        <x:v>-14.517</x:v>
      </x:c>
      <x:c r="AA393" s="64" t="n">
        <x:f>-ROUND(Q393*'Drivers'!M393,3)</x:f>
        <x:v>-13.108</x:v>
      </x:c>
      <x:c r="AB393" s="64" t="n">
        <x:f>-ROUND(Q393*'Drivers'!N393,3)</x:f>
        <x:v>-8.946</x:v>
      </x:c>
      <x:c r="AC393" s="64" t="n">
        <x:f>SUM(V393:AB393)</x:f>
        <x:v>-96.926</x:v>
      </x:c>
      <x:c r="AD393" s="65" t="n">
        <x:f>AC393/Q393</x:f>
        <x:v>-0.07660160306513894</x:v>
      </x:c>
      <x:c r="AE393" s="64" t="n">
        <x:f>-ROUND(Q393*'Drivers'!O393,3)</x:f>
        <x:v>-17.301</x:v>
      </x:c>
      <x:c r="AF393" s="65" t="n">
        <x:f>AE393/Q393</x:f>
        <x:v>-0.013673156166869248</x:v>
      </x:c>
      <x:c r="AG393" s="64" t="n">
        <x:f>-ROUND(Q393*'Drivers'!P393,3)</x:f>
        <x:v>-3.525</x:v>
      </x:c>
      <x:c r="AH393" s="64" t="n">
        <x:f>-ROUND(Q393*'Drivers'!Q393,3)</x:f>
        <x:v>-2.134</x:v>
      </x:c>
      <x:c r="AI393" s="64" t="n">
        <x:f>SUM(R393,T393,AC393,AE393,AG393,AH393)</x:f>
        <x:v>-390.018</x:v>
      </x:c>
      <x:c r="AJ393" s="65" t="n">
        <x:f>AI393/Q393</x:f>
        <x:v>-0.3082351899826606</x:v>
      </x:c>
      <x:c r="AK393" s="64" t="n">
        <x:f>Q393+AI393</x:f>
        <x:v>875.308</x:v>
      </x:c>
      <x:c r="AL393" s="65" t="n">
        <x:f>AK393/Q393</x:f>
        <x:v>0.6917648100173394</x:v>
      </x:c>
      <x:c r="AM393" s="64" t="n">
        <x:f>AK393/L393</x:f>
        <x:v>175.0616</x:v>
      </x:c>
      <x:c r="AN393" s="66" t="str">
        <x:f>IF(AM393&lt;=200,"≤200K",IF(AM393&lt;=350,"200–350K",IF(AM393&lt;=500,"350–500K",IF(AM393&lt;=700,"500–700K","&gt;700K"))))</x:f>
        <x:v>≤200K</x:v>
      </x:c>
      <x:c r="AO393" s="64" t="n">
        <x:f>-ROUND(Q393*'Drivers'!R393,3)</x:f>
        <x:v>-475.076</x:v>
      </x:c>
      <x:c r="AP393" s="64" t="n">
        <x:f>-ROUND(AK393*'Drivers'!S393,3)</x:f>
        <x:v>-13.911</x:v>
      </x:c>
      <x:c r="AQ393" s="64" t="n">
        <x:f>-ROUND(AK393*'Drivers'!T393,3)</x:f>
        <x:v>-4.549</x:v>
      </x:c>
      <x:c r="AR393" s="64" t="n">
        <x:f>-ROUND(AK393*'Drivers'!U393,3)</x:f>
        <x:v>-10.9</x:v>
      </x:c>
      <x:c r="AS393" s="64" t="n">
        <x:f>-ROUND(AK393*'Drivers'!V393,3)</x:f>
        <x:v>-29.894</x:v>
      </x:c>
      <x:c r="AT393" s="64" t="n">
        <x:f>SUM(AO393:AS393)</x:f>
        <x:v>-534.3299999999999</x:v>
      </x:c>
      <x:c r="AU393" s="65" t="n">
        <x:f>AT393/AK393</x:f>
        <x:v>-0.6104479794540892</x:v>
      </x:c>
      <x:c r="AV393" s="64" t="n">
        <x:f>AK393+AT393</x:f>
        <x:v>340.97800000000007</x:v>
      </x:c>
      <x:c r="AW393" s="65" t="n">
        <x:f>AV393/AK393</x:f>
        <x:v>0.38955202054591076</x:v>
      </x:c>
      <x:c r="AX393" s="64" t="n">
        <x:f>-ROUND(AK393*'Drivers'!W393,3)</x:f>
        <x:v>-10.067</x:v>
      </x:c>
      <x:c r="AY393" s="64" t="n">
        <x:f>-ROUND(AK393*'Drivers'!X393,3)</x:f>
        <x:v>-16.823</x:v>
      </x:c>
      <x:c r="AZ393" s="64" t="n">
        <x:f>-ROUND(AK393*'Drivers'!Y393,3)</x:f>
        <x:v>-15.378</x:v>
      </x:c>
      <x:c r="BA393" s="64" t="n">
        <x:f>-ROUND(AK393*'Drivers'!Z393,3)</x:f>
        <x:v>-5.203</x:v>
      </x:c>
      <x:c r="BB393" s="64" t="n">
        <x:f>-ROUND(AK393*'Drivers'!AA393,3)</x:f>
        <x:v>-6.426</x:v>
      </x:c>
      <x:c r="BC393" s="64" t="n">
        <x:f>SUM(BA393,BB393)</x:f>
        <x:v>-11.629000000000001</x:v>
      </x:c>
      <x:c r="BD393" s="64" t="n">
        <x:f>-ROUND(AK393*'Drivers'!AB393,3)</x:f>
        <x:v>-4.012</x:v>
      </x:c>
      <x:c r="BE393" s="64" t="n">
        <x:f>SUM(AX393:BB393,BD393)</x:f>
        <x:v>-57.909000000000006</x:v>
      </x:c>
      <x:c r="BF393" s="67" t="n">
        <x:f>'Drivers'!AF393</x:f>
        <x:v>8</x:v>
      </x:c>
      <x:c r="BG393" s="64" t="n">
        <x:f>BJ393</x:f>
        <x:v>-35.733</x:v>
      </x:c>
      <x:c r="BH393" s="64" t="n">
        <x:f>BE393/BF393</x:f>
        <x:v>-7.238625000000001</x:v>
      </x:c>
      <x:c r="BI393" s="68" t="n">
        <x:f>BF393/L393</x:f>
        <x:v>1.6</x:v>
      </x:c>
      <x:c r="BJ393" s="64" t="n">
        <x:f>-ROUND(AK393*'Drivers'!AC393,3)</x:f>
        <x:v>-35.733</x:v>
      </x:c>
      <x:c r="BK393" s="64" t="n">
        <x:f>-ROUND(AK393*'Drivers'!AD393,3)</x:f>
        <x:v>-115.904</x:v>
      </x:c>
      <x:c r="BL393" s="64" t="n">
        <x:f>SUM(AV393,BE393,BJ393,BK393)</x:f>
        <x:v>131.43200000000007</x:v>
      </x:c>
      <x:c r="BM393" s="65" t="n">
        <x:f>BL393/AK393</x:f>
        <x:v>0.1501551453888232</x:v>
      </x:c>
      <x:c r="BN393" s="64" t="n">
        <x:f>-ROUND(AK393*'Drivers'!AE393,3)</x:f>
        <x:v>-106.104</x:v>
      </x:c>
      <x:c r="BO393" s="64" t="n">
        <x:f>BL393+BN393</x:f>
        <x:v>25.328000000000074</x:v>
      </x:c>
      <x:c r="BP393" s="65" t="n">
        <x:f>BO393/AK393</x:f>
        <x:v>0.02893610020701293</x:v>
      </x:c>
    </x:row>
    <x:row r="394">
      <x:c r="A394" s="61" t="n">
        <x:v>2025</x:v>
      </x:c>
      <x:c r="B394" s="18" t="str">
        <x:v>S1</x:v>
      </x:c>
      <x:c r="C394" s="18" t="str">
        <x:v>2025 S1</x:v>
      </x:c>
      <x:c r="D394" s="18" t="str">
        <x:v>CNCT0099</x:v>
      </x:c>
      <x:c r="E394" s="18" t="str">
        <x:v>苏州圆融时代广场</x:v>
      </x:c>
      <x:c r="F394" s="18" t="str">
        <x:v>苏州</x:v>
      </x:c>
      <x:c r="G394" s="18" t="str">
        <x:v>江苏省</x:v>
      </x:c>
      <x:c r="H394" s="18" t="str">
        <x:v>东区</x:v>
      </x:c>
      <x:c r="I394" s="18" t="str">
        <x:v>Shopping Mall</x:v>
      </x:c>
      <x:c r="J394" s="18" t="str">
        <x:v>Regional Mall</x:v>
      </x:c>
      <x:c r="K394" s="18" t="str">
        <x:v>正常</x:v>
      </x:c>
      <x:c r="L394" s="62" t="n">
        <x:v>3</x:v>
      </x:c>
      <x:c r="M394" s="62" t="n">
        <x:v>38</x:v>
      </x:c>
      <x:c r="N394" s="63" t="n">
        <x:f>'Drivers'!C394</x:f>
        <x:v>1269</x:v>
      </x:c>
      <x:c r="O394" s="63" t="n">
        <x:f>'Drivers'!D394</x:f>
        <x:v>1000.617</x:v>
      </x:c>
      <x:c r="P394" s="64" t="n">
        <x:f>ROUND(N394*O394/1000,3)</x:f>
        <x:v>1269.783</x:v>
      </x:c>
      <x:c r="Q394" s="64" t="n">
        <x:f>ROUND(P394*'Drivers'!E394,3)</x:f>
        <x:v>1221.9</x:v>
      </x:c>
      <x:c r="R394" s="64" t="n">
        <x:f>-ROUND(Q394*'Drivers'!F394,3)</x:f>
        <x:v>-212.241</x:v>
      </x:c>
      <x:c r="S394" s="65" t="n">
        <x:f>R394/Q394</x:f>
        <x:v>-0.17369752025534005</x:v>
      </x:c>
      <x:c r="T394" s="64" t="n">
        <x:f>-ROUND(Q394*'Drivers'!G394,3)</x:f>
        <x:v>-11.034</x:v>
      </x:c>
      <x:c r="U394" s="65" t="n">
        <x:f>T394/Q394</x:f>
        <x:v>-0.009030198870611343</x:v>
      </x:c>
      <x:c r="V394" s="64" t="n">
        <x:f>-ROUND(Q394*'Drivers'!H394,3)</x:f>
        <x:v>-14.521</x:v>
      </x:c>
      <x:c r="W394" s="64" t="n">
        <x:f>-ROUND(Q394*'Drivers'!I394,3)</x:f>
        <x:v>-12.829</x:v>
      </x:c>
      <x:c r="X394" s="64" t="n">
        <x:f>-ROUND(Q394*'Drivers'!J394,3)</x:f>
        <x:v>-13.866</x:v>
      </x:c>
      <x:c r="Y394" s="64" t="n">
        <x:f>-ROUND(Q394*'Drivers'!K394,3)</x:f>
        <x:v>-12.087</x:v>
      </x:c>
      <x:c r="Z394" s="64" t="n">
        <x:f>-ROUND(Q394*'Drivers'!L394,3)</x:f>
        <x:v>-12.137</x:v>
      </x:c>
      <x:c r="AA394" s="64" t="n">
        <x:f>-ROUND(Q394*'Drivers'!M394,3)</x:f>
        <x:v>-9.327</x:v>
      </x:c>
      <x:c r="AB394" s="64" t="n">
        <x:f>-ROUND(Q394*'Drivers'!N394,3)</x:f>
        <x:v>-10.4</x:v>
      </x:c>
      <x:c r="AC394" s="64" t="n">
        <x:f>SUM(V394:AB394)</x:f>
        <x:v>-85.167</x:v>
      </x:c>
      <x:c r="AD394" s="65" t="n">
        <x:f>AC394/Q394</x:f>
        <x:v>-0.06970046648661919</x:v>
      </x:c>
      <x:c r="AE394" s="64" t="n">
        <x:f>-ROUND(Q394*'Drivers'!O394,3)</x:f>
        <x:v>-16.822</x:v>
      </x:c>
      <x:c r="AF394" s="65" t="n">
        <x:f>AE394/Q394</x:f>
        <x:v>-0.013767084049431211</x:v>
      </x:c>
      <x:c r="AG394" s="64" t="n">
        <x:f>-ROUND(Q394*'Drivers'!P394,3)</x:f>
        <x:v>-1.383</x:v>
      </x:c>
      <x:c r="AH394" s="64" t="n">
        <x:f>-ROUND(Q394*'Drivers'!Q394,3)</x:f>
        <x:v>-3.653</x:v>
      </x:c>
      <x:c r="AI394" s="64" t="n">
        <x:f>SUM(R394,T394,AC394,AE394,AG394,AH394)</x:f>
        <x:v>-330.3</x:v>
      </x:c>
      <x:c r="AJ394" s="65" t="n">
        <x:f>AI394/Q394</x:f>
        <x:v>-0.2703167198625092</x:v>
      </x:c>
      <x:c r="AK394" s="64" t="n">
        <x:f>Q394+AI394</x:f>
        <x:v>891.6000000000001</x:v>
      </x:c>
      <x:c r="AL394" s="65" t="n">
        <x:f>AK394/Q394</x:f>
        <x:v>0.7296832801374908</x:v>
      </x:c>
      <x:c r="AM394" s="64" t="n">
        <x:f>AK394/L394</x:f>
        <x:v>297.20000000000005</x:v>
      </x:c>
      <x:c r="AN394" s="66" t="str">
        <x:f>IF(AM394&lt;=200,"≤200K",IF(AM394&lt;=350,"200–350K",IF(AM394&lt;=500,"350–500K",IF(AM394&lt;=700,"500–700K","&gt;700K"))))</x:f>
        <x:v>200–350K</x:v>
      </x:c>
      <x:c r="AO394" s="64" t="n">
        <x:f>-ROUND(Q394*'Drivers'!R394,3)</x:f>
        <x:v>-481.371</x:v>
      </x:c>
      <x:c r="AP394" s="64" t="n">
        <x:f>-ROUND(AK394*'Drivers'!S394,3)</x:f>
        <x:v>-10.387</x:v>
      </x:c>
      <x:c r="AQ394" s="64" t="n">
        <x:f>-ROUND(AK394*'Drivers'!T394,3)</x:f>
        <x:v>-6.24</x:v>
      </x:c>
      <x:c r="AR394" s="64" t="n">
        <x:f>-ROUND(AK394*'Drivers'!U394,3)</x:f>
        <x:v>-6.302</x:v>
      </x:c>
      <x:c r="AS394" s="64" t="n">
        <x:f>-ROUND(AK394*'Drivers'!V394,3)</x:f>
        <x:v>-28.466</x:v>
      </x:c>
      <x:c r="AT394" s="64" t="n">
        <x:f>SUM(AO394:AS394)</x:f>
        <x:v>-532.766</x:v>
      </x:c>
      <x:c r="AU394" s="65" t="n">
        <x:f>AT394/AK394</x:f>
        <x:v>-0.597539255271422</x:v>
      </x:c>
      <x:c r="AV394" s="64" t="n">
        <x:f>AK394+AT394</x:f>
        <x:v>358.8340000000002</x:v>
      </x:c>
      <x:c r="AW394" s="65" t="n">
        <x:f>AV394/AK394</x:f>
        <x:v>0.40246074472857796</x:v>
      </x:c>
      <x:c r="AX394" s="64" t="n">
        <x:f>-ROUND(AK394*'Drivers'!W394,3)</x:f>
        <x:v>-10.315</x:v>
      </x:c>
      <x:c r="AY394" s="64" t="n">
        <x:f>-ROUND(AK394*'Drivers'!X394,3)</x:f>
        <x:v>-16.955</x:v>
      </x:c>
      <x:c r="AZ394" s="64" t="n">
        <x:f>-ROUND(AK394*'Drivers'!Y394,3)</x:f>
        <x:v>-14.067</x:v>
      </x:c>
      <x:c r="BA394" s="64" t="n">
        <x:f>-ROUND(AK394*'Drivers'!Z394,3)</x:f>
        <x:v>-5.039</x:v>
      </x:c>
      <x:c r="BB394" s="64" t="n">
        <x:f>-ROUND(AK394*'Drivers'!AA394,3)</x:f>
        <x:v>-5.978</x:v>
      </x:c>
      <x:c r="BC394" s="64" t="n">
        <x:f>SUM(BA394,BB394)</x:f>
        <x:v>-11.017</x:v>
      </x:c>
      <x:c r="BD394" s="64" t="n">
        <x:f>-ROUND(AK394*'Drivers'!AB394,3)</x:f>
        <x:v>-3.059</x:v>
      </x:c>
      <x:c r="BE394" s="64" t="n">
        <x:f>SUM(AX394:BB394,BD394)</x:f>
        <x:v>-55.413</x:v>
      </x:c>
      <x:c r="BF394" s="67" t="n">
        <x:f>'Drivers'!AF394</x:f>
        <x:v>5</x:v>
      </x:c>
      <x:c r="BG394" s="64" t="n">
        <x:f>BJ394</x:f>
        <x:v>-15.986</x:v>
      </x:c>
      <x:c r="BH394" s="64" t="n">
        <x:f>BE394/BF394</x:f>
        <x:v>-11.0826</x:v>
      </x:c>
      <x:c r="BI394" s="68" t="n">
        <x:f>BF394/L394</x:f>
        <x:v>1.6666666666666667</x:v>
      </x:c>
      <x:c r="BJ394" s="64" t="n">
        <x:f>-ROUND(AK394*'Drivers'!AC394,3)</x:f>
        <x:v>-15.986</x:v>
      </x:c>
      <x:c r="BK394" s="64" t="n">
        <x:f>-ROUND(AK394*'Drivers'!AD394,3)</x:f>
        <x:v>-78.593</x:v>
      </x:c>
      <x:c r="BL394" s="64" t="n">
        <x:f>SUM(AV394,BE394,BJ394,BK394)</x:f>
        <x:v>208.84200000000016</x:v>
      </x:c>
      <x:c r="BM394" s="65" t="n">
        <x:f>BL394/AK394</x:f>
        <x:v>0.23423283983849275</x:v>
      </x:c>
      <x:c r="BN394" s="64" t="n">
        <x:f>-ROUND(AK394*'Drivers'!AE394,3)</x:f>
        <x:v>-78.421</x:v>
      </x:c>
      <x:c r="BO394" s="64" t="n">
        <x:f>BL394+BN394</x:f>
        <x:v>130.42100000000016</x:v>
      </x:c>
      <x:c r="BP394" s="65" t="n">
        <x:f>BO394/AK394</x:f>
        <x:v>0.14627747868999566</x:v>
      </x:c>
    </x:row>
    <x:row r="395">
      <x:c r="A395" s="61" t="n">
        <x:v>2025</x:v>
      </x:c>
      <x:c r="B395" s="18" t="str">
        <x:v>S2</x:v>
      </x:c>
      <x:c r="C395" s="18" t="str">
        <x:v>2025 S2</x:v>
      </x:c>
      <x:c r="D395" s="18" t="str">
        <x:v>CNCT0099</x:v>
      </x:c>
      <x:c r="E395" s="18" t="str">
        <x:v>苏州圆融时代广场</x:v>
      </x:c>
      <x:c r="F395" s="18" t="str">
        <x:v>苏州</x:v>
      </x:c>
      <x:c r="G395" s="18" t="str">
        <x:v>江苏省</x:v>
      </x:c>
      <x:c r="H395" s="18" t="str">
        <x:v>东区</x:v>
      </x:c>
      <x:c r="I395" s="18" t="str">
        <x:v>Shopping Mall</x:v>
      </x:c>
      <x:c r="J395" s="18" t="str">
        <x:v>Regional Mall</x:v>
      </x:c>
      <x:c r="K395" s="18" t="str">
        <x:v>正常</x:v>
      </x:c>
      <x:c r="L395" s="62" t="n">
        <x:v>3</x:v>
      </x:c>
      <x:c r="M395" s="62" t="n">
        <x:v>38</x:v>
      </x:c>
      <x:c r="N395" s="63" t="n">
        <x:f>'Drivers'!C395</x:f>
        <x:v>1343</x:v>
      </x:c>
      <x:c r="O395" s="63" t="n">
        <x:f>'Drivers'!D395</x:f>
        <x:v>1012.624</x:v>
      </x:c>
      <x:c r="P395" s="64" t="n">
        <x:f>ROUND(N395*O395/1000,3)</x:f>
        <x:v>1359.954</x:v>
      </x:c>
      <x:c r="Q395" s="64" t="n">
        <x:f>ROUND(P395*'Drivers'!E395,3)</x:f>
        <x:v>1331.277</x:v>
      </x:c>
      <x:c r="R395" s="64" t="n">
        <x:f>-ROUND(Q395*'Drivers'!F395,3)</x:f>
        <x:v>-231.24</x:v>
      </x:c>
      <x:c r="S395" s="65" t="n">
        <x:f>R395/Q395</x:f>
        <x:v>-0.17369788556401108</x:v>
      </x:c>
      <x:c r="T395" s="64" t="n">
        <x:f>-ROUND(Q395*'Drivers'!G395,3)</x:f>
        <x:v>-12.021</x:v>
      </x:c>
      <x:c r="U395" s="65" t="n">
        <x:f>T395/Q395</x:f>
        <x:v>-0.009029676017838512</x:v>
      </x:c>
      <x:c r="V395" s="64" t="n">
        <x:f>-ROUND(Q395*'Drivers'!H395,3)</x:f>
        <x:v>-15.82</x:v>
      </x:c>
      <x:c r="W395" s="64" t="n">
        <x:f>-ROUND(Q395*'Drivers'!I395,3)</x:f>
        <x:v>-13.978</x:v>
      </x:c>
      <x:c r="X395" s="64" t="n">
        <x:f>-ROUND(Q395*'Drivers'!J395,3)</x:f>
        <x:v>-15.107</x:v>
      </x:c>
      <x:c r="Y395" s="64" t="n">
        <x:f>-ROUND(Q395*'Drivers'!K395,3)</x:f>
        <x:v>-13.168</x:v>
      </x:c>
      <x:c r="Z395" s="64" t="n">
        <x:f>-ROUND(Q395*'Drivers'!L395,3)</x:f>
        <x:v>-13.223</x:v>
      </x:c>
      <x:c r="AA395" s="64" t="n">
        <x:f>-ROUND(Q395*'Drivers'!M395,3)</x:f>
        <x:v>-10.162</x:v>
      </x:c>
      <x:c r="AB395" s="64" t="n">
        <x:f>-ROUND(Q395*'Drivers'!N395,3)</x:f>
        <x:v>-11.331</x:v>
      </x:c>
      <x:c r="AC395" s="64" t="n">
        <x:f>SUM(V395:AB395)</x:f>
        <x:v>-92.78900000000002</x:v>
      </x:c>
      <x:c r="AD395" s="65" t="n">
        <x:f>AC395/Q395</x:f>
        <x:v>-0.06969924365853238</x:v>
      </x:c>
      <x:c r="AE395" s="64" t="n">
        <x:f>-ROUND(Q395*'Drivers'!O395,3)</x:f>
        <x:v>-18.328</x:v>
      </x:c>
      <x:c r="AF395" s="65" t="n">
        <x:f>AE395/Q395</x:f>
        <x:v>-0.013767232514345248</x:v>
      </x:c>
      <x:c r="AG395" s="64" t="n">
        <x:f>-ROUND(Q395*'Drivers'!P395,3)</x:f>
        <x:v>-1.507</x:v>
      </x:c>
      <x:c r="AH395" s="64" t="n">
        <x:f>-ROUND(Q395*'Drivers'!Q395,3)</x:f>
        <x:v>-3.98</x:v>
      </x:c>
      <x:c r="AI395" s="64" t="n">
        <x:f>SUM(R395,T395,AC395,AE395,AG395,AH395)</x:f>
        <x:v>-359.86500000000007</x:v>
      </x:c>
      <x:c r="AJ395" s="65" t="n">
        <x:f>AI395/Q395</x:f>
        <x:v>-0.27031564430242544</x:v>
      </x:c>
      <x:c r="AK395" s="64" t="n">
        <x:f>Q395+AI395</x:f>
        <x:v>971.412</x:v>
      </x:c>
      <x:c r="AL395" s="65" t="n">
        <x:f>AK395/Q395</x:f>
        <x:v>0.7296843556975746</x:v>
      </x:c>
      <x:c r="AM395" s="64" t="n">
        <x:f>AK395/L395</x:f>
        <x:v>323.80400000000003</x:v>
      </x:c>
      <x:c r="AN395" s="66" t="str">
        <x:f>IF(AM395&lt;=200,"≤200K",IF(AM395&lt;=350,"200–350K",IF(AM395&lt;=500,"350–500K",IF(AM395&lt;=700,"500–700K","&gt;700K"))))</x:f>
        <x:v>200–350K</x:v>
      </x:c>
      <x:c r="AO395" s="64" t="n">
        <x:f>-ROUND(Q395*'Drivers'!R395,3)</x:f>
        <x:v>-523.148</x:v>
      </x:c>
      <x:c r="AP395" s="64" t="n">
        <x:f>-ROUND(AK395*'Drivers'!S395,3)</x:f>
        <x:v>-11.317</x:v>
      </x:c>
      <x:c r="AQ395" s="64" t="n">
        <x:f>-ROUND(AK395*'Drivers'!T395,3)</x:f>
        <x:v>-6.799</x:v>
      </x:c>
      <x:c r="AR395" s="64" t="n">
        <x:f>-ROUND(AK395*'Drivers'!U395,3)</x:f>
        <x:v>-6.866</x:v>
      </x:c>
      <x:c r="AS395" s="64" t="n">
        <x:f>-ROUND(AK395*'Drivers'!V395,3)</x:f>
        <x:v>-31.014</x:v>
      </x:c>
      <x:c r="AT395" s="64" t="n">
        <x:f>SUM(AO395:AS395)</x:f>
        <x:v>-579.144</x:v>
      </x:c>
      <x:c r="AU395" s="65" t="n">
        <x:f>AT395/AK395</x:f>
        <x:v>-0.5961878173215895</x:v>
      </x:c>
      <x:c r="AV395" s="64" t="n">
        <x:f>AK395+AT395</x:f>
        <x:v>392.26800000000003</x:v>
      </x:c>
      <x:c r="AW395" s="65" t="n">
        <x:f>AV395/AK395</x:f>
        <x:v>0.4038121826784104</x:v>
      </x:c>
      <x:c r="AX395" s="64" t="n">
        <x:f>-ROUND(AK395*'Drivers'!W395,3)</x:f>
        <x:v>-11.238</x:v>
      </x:c>
      <x:c r="AY395" s="64" t="n">
        <x:f>-ROUND(AK395*'Drivers'!X395,3)</x:f>
        <x:v>-18.473</x:v>
      </x:c>
      <x:c r="AZ395" s="64" t="n">
        <x:f>-ROUND(AK395*'Drivers'!Y395,3)</x:f>
        <x:v>-15.326</x:v>
      </x:c>
      <x:c r="BA395" s="64" t="n">
        <x:f>-ROUND(AK395*'Drivers'!Z395,3)</x:f>
        <x:v>-5.49</x:v>
      </x:c>
      <x:c r="BB395" s="64" t="n">
        <x:f>-ROUND(AK395*'Drivers'!AA395,3)</x:f>
        <x:v>-6.513</x:v>
      </x:c>
      <x:c r="BC395" s="64" t="n">
        <x:f>SUM(BA395,BB395)</x:f>
        <x:v>-12.003</x:v>
      </x:c>
      <x:c r="BD395" s="64" t="n">
        <x:f>-ROUND(AK395*'Drivers'!AB395,3)</x:f>
        <x:v>-3.333</x:v>
      </x:c>
      <x:c r="BE395" s="64" t="n">
        <x:f>SUM(AX395:BB395,BD395)</x:f>
        <x:v>-60.373</x:v>
      </x:c>
      <x:c r="BF395" s="67" t="n">
        <x:f>'Drivers'!AF395</x:f>
        <x:v>5</x:v>
      </x:c>
      <x:c r="BG395" s="64" t="n">
        <x:f>BJ395</x:f>
        <x:v>-17.417</x:v>
      </x:c>
      <x:c r="BH395" s="64" t="n">
        <x:f>BE395/BF395</x:f>
        <x:v>-12.0746</x:v>
      </x:c>
      <x:c r="BI395" s="68" t="n">
        <x:f>BF395/L395</x:f>
        <x:v>1.6666666666666667</x:v>
      </x:c>
      <x:c r="BJ395" s="64" t="n">
        <x:f>-ROUND(AK395*'Drivers'!AC395,3)</x:f>
        <x:v>-17.417</x:v>
      </x:c>
      <x:c r="BK395" s="64" t="n">
        <x:f>-ROUND(AK395*'Drivers'!AD395,3)</x:f>
        <x:v>-85.628</x:v>
      </x:c>
      <x:c r="BL395" s="64" t="n">
        <x:f>SUM(AV395,BE395,BJ395,BK395)</x:f>
        <x:v>228.85000000000008</x:v>
      </x:c>
      <x:c r="BM395" s="65" t="n">
        <x:f>BL395/AK395</x:f>
        <x:v>0.23558490115419622</x:v>
      </x:c>
      <x:c r="BN395" s="64" t="n">
        <x:f>-ROUND(AK395*'Drivers'!AE395,3)</x:f>
        <x:v>-85.441</x:v>
      </x:c>
      <x:c r="BO395" s="64" t="n">
        <x:f>BL395+BN395</x:f>
        <x:v>143.40900000000008</x:v>
      </x:c>
      <x:c r="BP395" s="65" t="n">
        <x:f>BO395/AK395</x:f>
        <x:v>0.14762943014910263</x:v>
      </x:c>
    </x:row>
    <x:row r="396">
      <x:c r="A396" s="61" t="n">
        <x:v>2026</x:v>
      </x:c>
      <x:c r="B396" s="18" t="str">
        <x:v>S1</x:v>
      </x:c>
      <x:c r="C396" s="18" t="str">
        <x:v>2026 S1</x:v>
      </x:c>
      <x:c r="D396" s="18" t="str">
        <x:v>CNCT0099</x:v>
      </x:c>
      <x:c r="E396" s="18" t="str">
        <x:v>苏州圆融时代广场</x:v>
      </x:c>
      <x:c r="F396" s="18" t="str">
        <x:v>苏州</x:v>
      </x:c>
      <x:c r="G396" s="18" t="str">
        <x:v>江苏省</x:v>
      </x:c>
      <x:c r="H396" s="18" t="str">
        <x:v>东区</x:v>
      </x:c>
      <x:c r="I396" s="18" t="str">
        <x:v>Shopping Mall</x:v>
      </x:c>
      <x:c r="J396" s="18" t="str">
        <x:v>Regional Mall</x:v>
      </x:c>
      <x:c r="K396" s="18" t="str">
        <x:v>正常</x:v>
      </x:c>
      <x:c r="L396" s="62" t="n">
        <x:v>3</x:v>
      </x:c>
      <x:c r="M396" s="62" t="n">
        <x:v>38</x:v>
      </x:c>
      <x:c r="N396" s="63" t="n">
        <x:f>'Drivers'!C396</x:f>
        <x:v>1339</x:v>
      </x:c>
      <x:c r="O396" s="63" t="n">
        <x:f>'Drivers'!D396</x:f>
        <x:v>1035.636</x:v>
      </x:c>
      <x:c r="P396" s="64" t="n">
        <x:f>ROUND(N396*O396/1000,3)</x:f>
        <x:v>1386.717</x:v>
      </x:c>
      <x:c r="Q396" s="64" t="n">
        <x:f>ROUND(P396*'Drivers'!E396,3)</x:f>
        <x:v>1339.546</x:v>
      </x:c>
      <x:c r="R396" s="64" t="n">
        <x:f>-ROUND(Q396*'Drivers'!F396,3)</x:f>
        <x:v>-226.521</x:v>
      </x:c>
      <x:c r="S396" s="65" t="n">
        <x:f>R396/Q396</x:f>
        <x:v>-0.1691028154314969</x:v>
      </x:c>
      <x:c r="T396" s="64" t="n">
        <x:f>-ROUND(Q396*'Drivers'!G396,3)</x:f>
        <x:v>-10.93</x:v>
      </x:c>
      <x:c r="U396" s="65" t="n">
        <x:f>T396/Q396</x:f>
        <x:v>-0.008159480898752264</x:v>
      </x:c>
      <x:c r="V396" s="64" t="n">
        <x:f>-ROUND(Q396*'Drivers'!H396,3)</x:f>
        <x:v>-15.919</x:v>
      </x:c>
      <x:c r="W396" s="64" t="n">
        <x:f>-ROUND(Q396*'Drivers'!I396,3)</x:f>
        <x:v>-14.065</x:v>
      </x:c>
      <x:c r="X396" s="64" t="n">
        <x:f>-ROUND(Q396*'Drivers'!J396,3)</x:f>
        <x:v>-15.201</x:v>
      </x:c>
      <x:c r="Y396" s="64" t="n">
        <x:f>-ROUND(Q396*'Drivers'!K396,3)</x:f>
        <x:v>-13.25</x:v>
      </x:c>
      <x:c r="Z396" s="64" t="n">
        <x:f>-ROUND(Q396*'Drivers'!L396,3)</x:f>
        <x:v>-13.305</x:v>
      </x:c>
      <x:c r="AA396" s="64" t="n">
        <x:f>-ROUND(Q396*'Drivers'!M396,3)</x:f>
        <x:v>-10.225</x:v>
      </x:c>
      <x:c r="AB396" s="64" t="n">
        <x:f>-ROUND(Q396*'Drivers'!N396,3)</x:f>
        <x:v>-11.401</x:v>
      </x:c>
      <x:c r="AC396" s="64" t="n">
        <x:f>SUM(V396:AB396)</x:f>
        <x:v>-93.366</x:v>
      </x:c>
      <x:c r="AD396" s="65" t="n">
        <x:f>AC396/Q396</x:f>
        <x:v>-0.06969973408901224</x:v>
      </x:c>
      <x:c r="AE396" s="64" t="n">
        <x:f>-ROUND(Q396*'Drivers'!O396,3)</x:f>
        <x:v>-19.333</x:v>
      </x:c>
      <x:c r="AF396" s="65" t="n">
        <x:f>AE396/Q396</x:f>
        <x:v>-0.014432501758058325</x:v>
      </x:c>
      <x:c r="AG396" s="64" t="n">
        <x:f>-ROUND(Q396*'Drivers'!P396,3)</x:f>
        <x:v>-1.516</x:v>
      </x:c>
      <x:c r="AH396" s="64" t="n">
        <x:f>-ROUND(Q396*'Drivers'!Q396,3)</x:f>
        <x:v>-4.005</x:v>
      </x:c>
      <x:c r="AI396" s="64" t="n">
        <x:f>SUM(R396,T396,AC396,AE396,AG396,AH396)</x:f>
        <x:v>-355.671</x:v>
      </x:c>
      <x:c r="AJ396" s="65" t="n">
        <x:f>AI396/Q396</x:f>
        <x:v>-0.26551607783532627</x:v>
      </x:c>
      <x:c r="AK396" s="64" t="n">
        <x:f>Q396+AI396</x:f>
        <x:v>983.875</x:v>
      </x:c>
      <x:c r="AL396" s="65" t="n">
        <x:f>AK396/Q396</x:f>
        <x:v>0.7344839221646737</x:v>
      </x:c>
      <x:c r="AM396" s="64" t="n">
        <x:f>AK396/L396</x:f>
        <x:v>327.9583333333333</x:v>
      </x:c>
      <x:c r="AN396" s="66" t="str">
        <x:f>IF(AM396&lt;=200,"≤200K",IF(AM396&lt;=350,"200–350K",IF(AM396&lt;=500,"350–500K",IF(AM396&lt;=700,"500–700K","&gt;700K"))))</x:f>
        <x:v>200–350K</x:v>
      </x:c>
      <x:c r="AO396" s="64" t="n">
        <x:f>-ROUND(Q396*'Drivers'!R396,3)</x:f>
        <x:v>-538.981</x:v>
      </x:c>
      <x:c r="AP396" s="64" t="n">
        <x:f>-ROUND(AK396*'Drivers'!S396,3)</x:f>
        <x:v>-11.462</x:v>
      </x:c>
      <x:c r="AQ396" s="64" t="n">
        <x:f>-ROUND(AK396*'Drivers'!T396,3)</x:f>
        <x:v>-6.886</x:v>
      </x:c>
      <x:c r="AR396" s="64" t="n">
        <x:f>-ROUND(AK396*'Drivers'!U396,3)</x:f>
        <x:v>-6.954</x:v>
      </x:c>
      <x:c r="AS396" s="64" t="n">
        <x:f>-ROUND(AK396*'Drivers'!V396,3)</x:f>
        <x:v>-31.412</x:v>
      </x:c>
      <x:c r="AT396" s="64" t="n">
        <x:f>SUM(AO396:AS396)</x:f>
        <x:v>-595.6949999999999</x:v>
      </x:c>
      <x:c r="AU396" s="65" t="n">
        <x:f>AT396/AK396</x:f>
        <x:v>-0.6054580104179901</x:v>
      </x:c>
      <x:c r="AV396" s="64" t="n">
        <x:f>AK396+AT396</x:f>
        <x:v>388.18000000000006</x:v>
      </x:c>
      <x:c r="AW396" s="65" t="n">
        <x:f>AV396/AK396</x:f>
        <x:v>0.39454198958201</x:v>
      </x:c>
      <x:c r="AX396" s="64" t="n">
        <x:f>-ROUND(AK396*'Drivers'!W396,3)</x:f>
        <x:v>-14.006</x:v>
      </x:c>
      <x:c r="AY396" s="64" t="n">
        <x:f>-ROUND(AK396*'Drivers'!X396,3)</x:f>
        <x:v>-23.022</x:v>
      </x:c>
      <x:c r="AZ396" s="64" t="n">
        <x:f>-ROUND(AK396*'Drivers'!Y396,3)</x:f>
        <x:v>-19.1</x:v>
      </x:c>
      <x:c r="BA396" s="64" t="n">
        <x:f>-ROUND(AK396*'Drivers'!Z396,3)</x:f>
        <x:v>-6.841</x:v>
      </x:c>
      <x:c r="BB396" s="64" t="n">
        <x:f>-ROUND(AK396*'Drivers'!AA396,3)</x:f>
        <x:v>-8.117</x:v>
      </x:c>
      <x:c r="BC396" s="64" t="n">
        <x:f>SUM(BA396,BB396)</x:f>
        <x:v>-14.958000000000002</x:v>
      </x:c>
      <x:c r="BD396" s="64" t="n">
        <x:f>-ROUND(AK396*'Drivers'!AB396,3)</x:f>
        <x:v>-4.154</x:v>
      </x:c>
      <x:c r="BE396" s="64" t="n">
        <x:f>SUM(AX396:BB396,BD396)</x:f>
        <x:v>-75.24</x:v>
      </x:c>
      <x:c r="BF396" s="67" t="n">
        <x:f>'Drivers'!AF396</x:f>
        <x:v>5</x:v>
      </x:c>
      <x:c r="BG396" s="64" t="n">
        <x:f>BJ396</x:f>
        <x:v>-21.706</x:v>
      </x:c>
      <x:c r="BH396" s="64" t="n">
        <x:f>BE396/BF396</x:f>
        <x:v>-15.047999999999998</x:v>
      </x:c>
      <x:c r="BI396" s="68" t="n">
        <x:f>BF396/L396</x:f>
        <x:v>1.6666666666666667</x:v>
      </x:c>
      <x:c r="BJ396" s="64" t="n">
        <x:f>-ROUND(AK396*'Drivers'!AC396,3)</x:f>
        <x:v>-21.706</x:v>
      </x:c>
      <x:c r="BK396" s="64" t="n">
        <x:f>-ROUND(AK396*'Drivers'!AD396,3)</x:f>
        <x:v>-86.727</x:v>
      </x:c>
      <x:c r="BL396" s="64" t="n">
        <x:f>SUM(AV396,BE396,BJ396,BK396)</x:f>
        <x:v>204.50700000000003</x:v>
      </x:c>
      <x:c r="BM396" s="65" t="n">
        <x:f>BL396/AK396</x:f>
        <x:v>0.2078587218904841</x:v>
      </x:c>
      <x:c r="BN396" s="64" t="n">
        <x:f>-ROUND(AK396*'Drivers'!AE396,3)</x:f>
        <x:v>-86.537</x:v>
      </x:c>
      <x:c r="BO396" s="64" t="n">
        <x:f>BL396+BN396</x:f>
        <x:v>117.97000000000003</x:v>
      </x:c>
      <x:c r="BP396" s="65" t="n">
        <x:f>BO396/AK396</x:f>
        <x:v>0.11990344301867618</x:v>
      </x:c>
    </x:row>
    <x:row r="397">
      <x:c r="A397" s="61" t="n">
        <x:v>2026</x:v>
      </x:c>
      <x:c r="B397" s="18" t="str">
        <x:v>S2</x:v>
      </x:c>
      <x:c r="C397" s="18" t="str">
        <x:v>2026 S2</x:v>
      </x:c>
      <x:c r="D397" s="18" t="str">
        <x:v>CNCT0099</x:v>
      </x:c>
      <x:c r="E397" s="18" t="str">
        <x:v>苏州圆融时代广场</x:v>
      </x:c>
      <x:c r="F397" s="18" t="str">
        <x:v>苏州</x:v>
      </x:c>
      <x:c r="G397" s="18" t="str">
        <x:v>江苏省</x:v>
      </x:c>
      <x:c r="H397" s="18" t="str">
        <x:v>东区</x:v>
      </x:c>
      <x:c r="I397" s="18" t="str">
        <x:v>Shopping Mall</x:v>
      </x:c>
      <x:c r="J397" s="18" t="str">
        <x:v>Regional Mall</x:v>
      </x:c>
      <x:c r="K397" s="18" t="str">
        <x:v>正常</x:v>
      </x:c>
      <x:c r="L397" s="62" t="n">
        <x:v>3</x:v>
      </x:c>
      <x:c r="M397" s="62" t="n">
        <x:v>38</x:v>
      </x:c>
      <x:c r="N397" s="63" t="n">
        <x:f>'Drivers'!C397</x:f>
        <x:v>1408</x:v>
      </x:c>
      <x:c r="O397" s="63" t="n">
        <x:f>'Drivers'!D397</x:f>
        <x:v>1053.506</x:v>
      </x:c>
      <x:c r="P397" s="64" t="n">
        <x:f>ROUND(N397*O397/1000,3)</x:f>
        <x:v>1483.336</x:v>
      </x:c>
      <x:c r="Q397" s="64" t="n">
        <x:f>ROUND(P397*'Drivers'!E397,3)</x:f>
        <x:v>1452.057</x:v>
      </x:c>
      <x:c r="R397" s="64" t="n">
        <x:f>-ROUND(Q397*'Drivers'!F397,3)</x:f>
        <x:v>-258.725</x:v>
      </x:c>
      <x:c r="S397" s="65" t="n">
        <x:f>R397/Q397</x:f>
        <x:v>-0.17817826710659432</x:v>
      </x:c>
      <x:c r="T397" s="64" t="n">
        <x:f>-ROUND(Q397*'Drivers'!G397,3)</x:f>
        <x:v>-14.254</x:v>
      </x:c>
      <x:c r="U397" s="65" t="n">
        <x:f>T397/Q397</x:f>
        <x:v>-0.009816419052420118</x:v>
      </x:c>
      <x:c r="V397" s="64" t="n">
        <x:f>-ROUND(Q397*'Drivers'!H397,3)</x:f>
        <x:v>-17.256</x:v>
      </x:c>
      <x:c r="W397" s="64" t="n">
        <x:f>-ROUND(Q397*'Drivers'!I397,3)</x:f>
        <x:v>-15.246</x:v>
      </x:c>
      <x:c r="X397" s="64" t="n">
        <x:f>-ROUND(Q397*'Drivers'!J397,3)</x:f>
        <x:v>-16.477</x:v>
      </x:c>
      <x:c r="Y397" s="64" t="n">
        <x:f>-ROUND(Q397*'Drivers'!K397,3)</x:f>
        <x:v>-14.363</x:v>
      </x:c>
      <x:c r="Z397" s="64" t="n">
        <x:f>-ROUND(Q397*'Drivers'!L397,3)</x:f>
        <x:v>-14.423</x:v>
      </x:c>
      <x:c r="AA397" s="64" t="n">
        <x:f>-ROUND(Q397*'Drivers'!M397,3)</x:f>
        <x:v>-11.084</x:v>
      </x:c>
      <x:c r="AB397" s="64" t="n">
        <x:f>-ROUND(Q397*'Drivers'!N397,3)</x:f>
        <x:v>-12.359</x:v>
      </x:c>
      <x:c r="AC397" s="64" t="n">
        <x:f>SUM(V397:AB397)</x:f>
        <x:v>-101.208</x:v>
      </x:c>
      <x:c r="AD397" s="65" t="n">
        <x:f>AC397/Q397</x:f>
        <x:v>-0.06969974319189949</x:v>
      </x:c>
      <x:c r="AE397" s="64" t="n">
        <x:f>-ROUND(Q397*'Drivers'!O397,3)</x:f>
        <x:v>-19.991</x:v>
      </x:c>
      <x:c r="AF397" s="65" t="n">
        <x:f>AE397/Q397</x:f>
        <x:v>-0.013767365881642388</x:v>
      </x:c>
      <x:c r="AG397" s="64" t="n">
        <x:f>-ROUND(Q397*'Drivers'!P397,3)</x:f>
        <x:v>-1.644</x:v>
      </x:c>
      <x:c r="AH397" s="64" t="n">
        <x:f>-ROUND(Q397*'Drivers'!Q397,3)</x:f>
        <x:v>-4.341</x:v>
      </x:c>
      <x:c r="AI397" s="64" t="n">
        <x:f>SUM(R397,T397,AC397,AE397,AG397,AH397)</x:f>
        <x:v>-400.163</x:v>
      </x:c>
      <x:c r="AJ397" s="65" t="n">
        <x:f>AI397/Q397</x:f>
        <x:v>-0.275583534255198</x:v>
      </x:c>
      <x:c r="AK397" s="64" t="n">
        <x:f>Q397+AI397</x:f>
        <x:v>1051.894</x:v>
      </x:c>
      <x:c r="AL397" s="65" t="n">
        <x:f>AK397/Q397</x:f>
        <x:v>0.724416465744802</x:v>
      </x:c>
      <x:c r="AM397" s="64" t="n">
        <x:f>AK397/L397</x:f>
        <x:v>350.6313333333333</x:v>
      </x:c>
      <x:c r="AN397" s="66" t="str">
        <x:f>IF(AM397&lt;=200,"≤200K",IF(AM397&lt;=350,"200–350K",IF(AM397&lt;=500,"350–500K",IF(AM397&lt;=700,"500–700K","&gt;700K"))))</x:f>
        <x:v>350–500K</x:v>
      </x:c>
      <x:c r="AO397" s="64" t="n">
        <x:f>-ROUND(Q397*'Drivers'!R397,3)</x:f>
        <x:v>-563.073</x:v>
      </x:c>
      <x:c r="AP397" s="64" t="n">
        <x:f>-ROUND(AK397*'Drivers'!S397,3)</x:f>
        <x:v>-12.255</x:v>
      </x:c>
      <x:c r="AQ397" s="64" t="n">
        <x:f>-ROUND(AK397*'Drivers'!T397,3)</x:f>
        <x:v>-7.362</x:v>
      </x:c>
      <x:c r="AR397" s="64" t="n">
        <x:f>-ROUND(AK397*'Drivers'!U397,3)</x:f>
        <x:v>-7.435</x:v>
      </x:c>
      <x:c r="AS397" s="64" t="n">
        <x:f>-ROUND(AK397*'Drivers'!V397,3)</x:f>
        <x:v>-33.584</x:v>
      </x:c>
      <x:c r="AT397" s="64" t="n">
        <x:f>SUM(AO397:AS397)</x:f>
        <x:v>-623.7089999999998</x:v>
      </x:c>
      <x:c r="AU397" s="65" t="n">
        <x:f>AT397/AK397</x:f>
        <x:v>-0.5929390223729766</x:v>
      </x:c>
      <x:c r="AV397" s="64" t="n">
        <x:f>AK397+AT397</x:f>
        <x:v>428.1850000000002</x:v>
      </x:c>
      <x:c r="AW397" s="65" t="n">
        <x:f>AV397/AK397</x:f>
        <x:v>0.4070609776270234</x:v>
      </x:c>
      <x:c r="AX397" s="64" t="n">
        <x:f>-ROUND(AK397*'Drivers'!W397,3)</x:f>
        <x:v>-12.9</x:v>
      </x:c>
      <x:c r="AY397" s="64" t="n">
        <x:f>-ROUND(AK397*'Drivers'!X397,3)</x:f>
        <x:v>-21.204</x:v>
      </x:c>
      <x:c r="AZ397" s="64" t="n">
        <x:f>-ROUND(AK397*'Drivers'!Y397,3)</x:f>
        <x:v>-17.592</x:v>
      </x:c>
      <x:c r="BA397" s="64" t="n">
        <x:f>-ROUND(AK397*'Drivers'!Z397,3)</x:f>
        <x:v>-6.301</x:v>
      </x:c>
      <x:c r="BB397" s="64" t="n">
        <x:f>-ROUND(AK397*'Drivers'!AA397,3)</x:f>
        <x:v>-7.476</x:v>
      </x:c>
      <x:c r="BC397" s="64" t="n">
        <x:f>SUM(BA397,BB397)</x:f>
        <x:v>-13.777000000000001</x:v>
      </x:c>
      <x:c r="BD397" s="64" t="n">
        <x:f>-ROUND(AK397*'Drivers'!AB397,3)</x:f>
        <x:v>-3.826</x:v>
      </x:c>
      <x:c r="BE397" s="64" t="n">
        <x:f>SUM(AX397:BB397,BD397)</x:f>
        <x:v>-69.29899999999999</x:v>
      </x:c>
      <x:c r="BF397" s="67" t="n">
        <x:f>'Drivers'!AF397</x:f>
        <x:v>5</x:v>
      </x:c>
      <x:c r="BG397" s="64" t="n">
        <x:f>BJ397</x:f>
        <x:v>-19.992</x:v>
      </x:c>
      <x:c r="BH397" s="64" t="n">
        <x:f>BE397/BF397</x:f>
        <x:v>-13.859799999999998</x:v>
      </x:c>
      <x:c r="BI397" s="68" t="n">
        <x:f>BF397/L397</x:f>
        <x:v>1.6666666666666667</x:v>
      </x:c>
      <x:c r="BJ397" s="64" t="n">
        <x:f>-ROUND(AK397*'Drivers'!AC397,3)</x:f>
        <x:v>-19.992</x:v>
      </x:c>
      <x:c r="BK397" s="64" t="n">
        <x:f>-ROUND(AK397*'Drivers'!AD397,3)</x:f>
        <x:v>-92.722</x:v>
      </x:c>
      <x:c r="BL397" s="64" t="n">
        <x:f>SUM(AV397,BE397,BJ397,BK397)</x:f>
        <x:v>246.1720000000002</x:v>
      </x:c>
      <x:c r="BM397" s="65" t="n">
        <x:f>BL397/AK397</x:f>
        <x:v>0.23402738298725936</x:v>
      </x:c>
      <x:c r="BN397" s="64" t="n">
        <x:f>-ROUND(AK397*'Drivers'!AE397,3)</x:f>
        <x:v>-92.52</x:v>
      </x:c>
      <x:c r="BO397" s="64" t="n">
        <x:f>BL397+BN397</x:f>
        <x:v>153.6520000000002</x:v>
      </x:c>
      <x:c r="BP397" s="65" t="n">
        <x:f>BO397/AK397</x:f>
        <x:v>0.1460717524769608</x:v>
      </x:c>
    </x:row>
    <x:row r="398">
      <x:c r="A398" s="61" t="n">
        <x:v>2025</x:v>
      </x:c>
      <x:c r="B398" s="18" t="str">
        <x:v>S1</x:v>
      </x:c>
      <x:c r="C398" s="18" t="str">
        <x:v>2025 S1</x:v>
      </x:c>
      <x:c r="D398" s="18" t="str">
        <x:v>CNCT0100</x:v>
      </x:c>
      <x:c r="E398" s="18" t="str">
        <x:v>长沙IFS</x:v>
      </x:c>
      <x:c r="F398" s="18" t="str">
        <x:v>长沙</x:v>
      </x:c>
      <x:c r="G398" s="18" t="str">
        <x:v>湖南省</x:v>
      </x:c>
      <x:c r="H398" s="18" t="str">
        <x:v>南区</x:v>
      </x:c>
      <x:c r="I398" s="18" t="str">
        <x:v>Shopping Mall</x:v>
      </x:c>
      <x:c r="J398" s="18" t="str">
        <x:v>Prestige Shopping Center</x:v>
      </x:c>
      <x:c r="K398" s="18" t="str">
        <x:v>正常</x:v>
      </x:c>
      <x:c r="L398" s="62" t="n">
        <x:v>4</x:v>
      </x:c>
      <x:c r="M398" s="62" t="n">
        <x:v>43</x:v>
      </x:c>
      <x:c r="N398" s="63" t="n">
        <x:f>'Drivers'!C398</x:f>
        <x:v>1828</x:v>
      </x:c>
      <x:c r="O398" s="63" t="n">
        <x:f>'Drivers'!D398</x:f>
        <x:v>1231.946</x:v>
      </x:c>
      <x:c r="P398" s="64" t="n">
        <x:f>ROUND(N398*O398/1000,3)</x:f>
        <x:v>2251.997</x:v>
      </x:c>
      <x:c r="Q398" s="64" t="n">
        <x:f>ROUND(P398*'Drivers'!E398,3)</x:f>
        <x:v>2165.63</x:v>
      </x:c>
      <x:c r="R398" s="64" t="n">
        <x:f>-ROUND(Q398*'Drivers'!F398,3)</x:f>
        <x:v>-403.312</x:v>
      </x:c>
      <x:c r="S398" s="65" t="n">
        <x:f>R398/Q398</x:f>
        <x:v>-0.1862331053781117</x:v>
      </x:c>
      <x:c r="T398" s="64" t="n">
        <x:f>-ROUND(Q398*'Drivers'!G398,3)</x:f>
        <x:v>-36.158</x:v>
      </x:c>
      <x:c r="U398" s="65" t="n">
        <x:f>T398/Q398</x:f>
        <x:v>-0.016696296227887496</x:v>
      </x:c>
      <x:c r="V398" s="64" t="n">
        <x:f>-ROUND(Q398*'Drivers'!H398,3)</x:f>
        <x:v>-26.041</x:v>
      </x:c>
      <x:c r="W398" s="64" t="n">
        <x:f>-ROUND(Q398*'Drivers'!I398,3)</x:f>
        <x:v>-22.446</x:v>
      </x:c>
      <x:c r="X398" s="64" t="n">
        <x:f>-ROUND(Q398*'Drivers'!J398,3)</x:f>
        <x:v>-27.191</x:v>
      </x:c>
      <x:c r="Y398" s="64" t="n">
        <x:f>-ROUND(Q398*'Drivers'!K398,3)</x:f>
        <x:v>-17.654</x:v>
      </x:c>
      <x:c r="Z398" s="64" t="n">
        <x:f>-ROUND(Q398*'Drivers'!L398,3)</x:f>
        <x:v>-19.761</x:v>
      </x:c>
      <x:c r="AA398" s="64" t="n">
        <x:f>-ROUND(Q398*'Drivers'!M398,3)</x:f>
        <x:v>-17.332</x:v>
      </x:c>
      <x:c r="AB398" s="64" t="n">
        <x:f>-ROUND(Q398*'Drivers'!N398,3)</x:f>
        <x:v>-15.27</x:v>
      </x:c>
      <x:c r="AC398" s="64" t="n">
        <x:f>SUM(V398:AB398)</x:f>
        <x:v>-145.695</x:v>
      </x:c>
      <x:c r="AD398" s="65" t="n">
        <x:f>AC398/Q398</x:f>
        <x:v>-0.0672760351491252</x:v>
      </x:c>
      <x:c r="AE398" s="64" t="n">
        <x:f>-ROUND(Q398*'Drivers'!O398,3)</x:f>
        <x:v>-33.393</x:v>
      </x:c>
      <x:c r="AF398" s="65" t="n">
        <x:f>AE398/Q398</x:f>
        <x:v>-0.015419531498917173</x:v>
      </x:c>
      <x:c r="AG398" s="64" t="n">
        <x:f>-ROUND(Q398*'Drivers'!P398,3)</x:f>
        <x:v>-2.625</x:v>
      </x:c>
      <x:c r="AH398" s="64" t="n">
        <x:f>-ROUND(Q398*'Drivers'!Q398,3)</x:f>
        <x:v>-15.002</x:v>
      </x:c>
      <x:c r="AI398" s="64" t="n">
        <x:f>SUM(R398,T398,AC398,AE398,AG398,AH398)</x:f>
        <x:v>-636.185</x:v>
      </x:c>
      <x:c r="AJ398" s="65" t="n">
        <x:f>AI398/Q398</x:f>
        <x:v>-0.29376440112115176</x:v>
      </x:c>
      <x:c r="AK398" s="64" t="n">
        <x:f>Q398+AI398</x:f>
        <x:v>1529.4450000000002</x:v>
      </x:c>
      <x:c r="AL398" s="65" t="n">
        <x:f>AK398/Q398</x:f>
        <x:v>0.7062355988788482</x:v>
      </x:c>
      <x:c r="AM398" s="64" t="n">
        <x:f>AK398/L398</x:f>
        <x:v>382.36125000000004</x:v>
      </x:c>
      <x:c r="AN398" s="66" t="str">
        <x:f>IF(AM398&lt;=200,"≤200K",IF(AM398&lt;=350,"200–350K",IF(AM398&lt;=500,"350–500K",IF(AM398&lt;=700,"500–700K","&gt;700K"))))</x:f>
        <x:v>350–500K</x:v>
      </x:c>
      <x:c r="AO398" s="64" t="n">
        <x:f>-ROUND(Q398*'Drivers'!R398,3)</x:f>
        <x:v>-798.935</x:v>
      </x:c>
      <x:c r="AP398" s="64" t="n">
        <x:f>-ROUND(AK398*'Drivers'!S398,3)</x:f>
        <x:v>-16.991</x:v>
      </x:c>
      <x:c r="AQ398" s="64" t="n">
        <x:f>-ROUND(AK398*'Drivers'!T398,3)</x:f>
        <x:v>-8.388</x:v>
      </x:c>
      <x:c r="AR398" s="64" t="n">
        <x:f>-ROUND(AK398*'Drivers'!U398,3)</x:f>
        <x:v>-16.94</x:v>
      </x:c>
      <x:c r="AS398" s="64" t="n">
        <x:f>-ROUND(AK398*'Drivers'!V398,3)</x:f>
        <x:v>-60.831</x:v>
      </x:c>
      <x:c r="AT398" s="64" t="n">
        <x:f>SUM(AO398:AS398)</x:f>
        <x:v>-902.085</x:v>
      </x:c>
      <x:c r="AU398" s="65" t="n">
        <x:f>AT398/AK398</x:f>
        <x:v>-0.5898119906240499</x:v>
      </x:c>
      <x:c r="AV398" s="64" t="n">
        <x:f>AK398+AT398</x:f>
        <x:v>627.3600000000001</x:v>
      </x:c>
      <x:c r="AW398" s="65" t="n">
        <x:f>AV398/AK398</x:f>
        <x:v>0.4101880093759501</x:v>
      </x:c>
      <x:c r="AX398" s="64" t="n">
        <x:f>-ROUND(AK398*'Drivers'!W398,3)</x:f>
        <x:v>-21.713</x:v>
      </x:c>
      <x:c r="AY398" s="64" t="n">
        <x:f>-ROUND(AK398*'Drivers'!X398,3)</x:f>
        <x:v>-33.017</x:v>
      </x:c>
      <x:c r="AZ398" s="64" t="n">
        <x:f>-ROUND(AK398*'Drivers'!Y398,3)</x:f>
        <x:v>-27.521</x:v>
      </x:c>
      <x:c r="BA398" s="64" t="n">
        <x:f>-ROUND(AK398*'Drivers'!Z398,3)</x:f>
        <x:v>-11.615</x:v>
      </x:c>
      <x:c r="BB398" s="64" t="n">
        <x:f>-ROUND(AK398*'Drivers'!AA398,3)</x:f>
        <x:v>-8.741</x:v>
      </x:c>
      <x:c r="BC398" s="64" t="n">
        <x:f>SUM(BA398,BB398)</x:f>
        <x:v>-20.356</x:v>
      </x:c>
      <x:c r="BD398" s="64" t="n">
        <x:f>-ROUND(AK398*'Drivers'!AB398,3)</x:f>
        <x:v>-6.32</x:v>
      </x:c>
      <x:c r="BE398" s="64" t="n">
        <x:f>SUM(AX398:BB398,BD398)</x:f>
        <x:v>-108.92699999999999</x:v>
      </x:c>
      <x:c r="BF398" s="67" t="n">
        <x:f>'Drivers'!AF398</x:f>
        <x:v>8</x:v>
      </x:c>
      <x:c r="BG398" s="64" t="n">
        <x:f>BJ398</x:f>
        <x:v>-31.819</x:v>
      </x:c>
      <x:c r="BH398" s="64" t="n">
        <x:f>BE398/BF398</x:f>
        <x:v>-13.615874999999999</x:v>
      </x:c>
      <x:c r="BI398" s="68" t="n">
        <x:f>BF398/L398</x:f>
        <x:v>2</x:v>
      </x:c>
      <x:c r="BJ398" s="64" t="n">
        <x:f>-ROUND(AK398*'Drivers'!AC398,3)</x:f>
        <x:v>-31.819</x:v>
      </x:c>
      <x:c r="BK398" s="64" t="n">
        <x:f>-ROUND(AK398*'Drivers'!AD398,3)</x:f>
        <x:v>-150.181</x:v>
      </x:c>
      <x:c r="BL398" s="64" t="n">
        <x:f>SUM(AV398,BE398,BJ398,BK398)</x:f>
        <x:v>336.4330000000001</x:v>
      </x:c>
      <x:c r="BM398" s="65" t="n">
        <x:f>BL398/AK398</x:f>
        <x:v>0.21997064294564372</x:v>
      </x:c>
      <x:c r="BN398" s="64" t="n">
        <x:f>-ROUND(AK398*'Drivers'!AE398,3)</x:f>
        <x:v>-143.488</x:v>
      </x:c>
      <x:c r="BO398" s="64" t="n">
        <x:f>BL398+BN398</x:f>
        <x:v>192.9450000000001</x:v>
      </x:c>
      <x:c r="BP398" s="65" t="n">
        <x:f>BO398/AK398</x:f>
        <x:v>0.126153604738974</x:v>
      </x:c>
    </x:row>
    <x:row r="399">
      <x:c r="A399" s="61" t="n">
        <x:v>2025</x:v>
      </x:c>
      <x:c r="B399" s="18" t="str">
        <x:v>S2</x:v>
      </x:c>
      <x:c r="C399" s="18" t="str">
        <x:v>2025 S2</x:v>
      </x:c>
      <x:c r="D399" s="18" t="str">
        <x:v>CNCT0100</x:v>
      </x:c>
      <x:c r="E399" s="18" t="str">
        <x:v>长沙IFS</x:v>
      </x:c>
      <x:c r="F399" s="18" t="str">
        <x:v>长沙</x:v>
      </x:c>
      <x:c r="G399" s="18" t="str">
        <x:v>湖南省</x:v>
      </x:c>
      <x:c r="H399" s="18" t="str">
        <x:v>南区</x:v>
      </x:c>
      <x:c r="I399" s="18" t="str">
        <x:v>Shopping Mall</x:v>
      </x:c>
      <x:c r="J399" s="18" t="str">
        <x:v>Prestige Shopping Center</x:v>
      </x:c>
      <x:c r="K399" s="18" t="str">
        <x:v>正常</x:v>
      </x:c>
      <x:c r="L399" s="62" t="n">
        <x:v>4</x:v>
      </x:c>
      <x:c r="M399" s="62" t="n">
        <x:v>43</x:v>
      </x:c>
      <x:c r="N399" s="63" t="n">
        <x:f>'Drivers'!C399</x:f>
        <x:v>1980</x:v>
      </x:c>
      <x:c r="O399" s="63" t="n">
        <x:f>'Drivers'!D399</x:f>
        <x:v>1246.73</x:v>
      </x:c>
      <x:c r="P399" s="64" t="n">
        <x:f>ROUND(N399*O399/1000,3)</x:f>
        <x:v>2468.525</x:v>
      </x:c>
      <x:c r="Q399" s="64" t="n">
        <x:f>ROUND(P399*'Drivers'!E399,3)</x:f>
        <x:v>2381.28</x:v>
      </x:c>
      <x:c r="R399" s="64" t="n">
        <x:f>-ROUND(Q399*'Drivers'!F399,3)</x:f>
        <x:v>-443.473</x:v>
      </x:c>
      <x:c r="S399" s="65" t="n">
        <x:f>R399/Q399</x:f>
        <x:v>-0.18623303433447558</x:v>
      </x:c>
      <x:c r="T399" s="64" t="n">
        <x:f>-ROUND(Q399*'Drivers'!G399,3)</x:f>
        <x:v>-39.758</x:v>
      </x:c>
      <x:c r="U399" s="65" t="n">
        <x:f>T399/Q399</x:f>
        <x:v>-0.016696062621783244</x:v>
      </x:c>
      <x:c r="V399" s="64" t="n">
        <x:f>-ROUND(Q399*'Drivers'!H399,3)</x:f>
        <x:v>-28.634</x:v>
      </x:c>
      <x:c r="W399" s="64" t="n">
        <x:f>-ROUND(Q399*'Drivers'!I399,3)</x:f>
        <x:v>-24.681</x:v>
      </x:c>
      <x:c r="X399" s="64" t="n">
        <x:f>-ROUND(Q399*'Drivers'!J399,3)</x:f>
        <x:v>-29.899</x:v>
      </x:c>
      <x:c r="Y399" s="64" t="n">
        <x:f>-ROUND(Q399*'Drivers'!K399,3)</x:f>
        <x:v>-19.412</x:v>
      </x:c>
      <x:c r="Z399" s="64" t="n">
        <x:f>-ROUND(Q399*'Drivers'!L399,3)</x:f>
        <x:v>-21.728</x:v>
      </x:c>
      <x:c r="AA399" s="64" t="n">
        <x:f>-ROUND(Q399*'Drivers'!M399,3)</x:f>
        <x:v>-19.057</x:v>
      </x:c>
      <x:c r="AB399" s="64" t="n">
        <x:f>-ROUND(Q399*'Drivers'!N399,3)</x:f>
        <x:v>-16.791</x:v>
      </x:c>
      <x:c r="AC399" s="64" t="n">
        <x:f>SUM(V399:AB399)</x:f>
        <x:v>-160.202</x:v>
      </x:c>
      <x:c r="AD399" s="65" t="n">
        <x:f>AC399/Q399</x:f>
        <x:v>-0.06727558287979574</x:v>
      </x:c>
      <x:c r="AE399" s="64" t="n">
        <x:f>-ROUND(Q399*'Drivers'!O399,3)</x:f>
        <x:v>-36.718</x:v>
      </x:c>
      <x:c r="AF399" s="65" t="n">
        <x:f>AE399/Q399</x:f>
        <x:v>-0.015419438285291943</x:v>
      </x:c>
      <x:c r="AG399" s="64" t="n">
        <x:f>-ROUND(Q399*'Drivers'!P399,3)</x:f>
        <x:v>-2.886</x:v>
      </x:c>
      <x:c r="AH399" s="64" t="n">
        <x:f>-ROUND(Q399*'Drivers'!Q399,3)</x:f>
        <x:v>-16.496</x:v>
      </x:c>
      <x:c r="AI399" s="64" t="n">
        <x:f>SUM(R399,T399,AC399,AE399,AG399,AH399)</x:f>
        <x:v>-699.5329999999999</x:v>
      </x:c>
      <x:c r="AJ399" s="65" t="n">
        <x:f>AI399/Q399</x:f>
        <x:v>-0.2937634381509104</x:v>
      </x:c>
      <x:c r="AK399" s="64" t="n">
        <x:f>Q399+AI399</x:f>
        <x:v>1681.7470000000003</x:v>
      </x:c>
      <x:c r="AL399" s="65" t="n">
        <x:f>AK399/Q399</x:f>
        <x:v>0.7062365618490897</x:v>
      </x:c>
      <x:c r="AM399" s="64" t="n">
        <x:f>AK399/L399</x:f>
        <x:v>420.4367500000001</x:v>
      </x:c>
      <x:c r="AN399" s="66" t="str">
        <x:f>IF(AM399&lt;=200,"≤200K",IF(AM399&lt;=350,"200–350K",IF(AM399&lt;=500,"350–500K",IF(AM399&lt;=700,"500–700K","&gt;700K"))))</x:f>
        <x:v>350–500K</x:v>
      </x:c>
      <x:c r="AO399" s="64" t="n">
        <x:f>-ROUND(Q399*'Drivers'!R399,3)</x:f>
        <x:v>-832.923</x:v>
      </x:c>
      <x:c r="AP399" s="64" t="n">
        <x:f>-ROUND(AK399*'Drivers'!S399,3)</x:f>
        <x:v>-18.682</x:v>
      </x:c>
      <x:c r="AQ399" s="64" t="n">
        <x:f>-ROUND(AK399*'Drivers'!T399,3)</x:f>
        <x:v>-9.224</x:v>
      </x:c>
      <x:c r="AR399" s="64" t="n">
        <x:f>-ROUND(AK399*'Drivers'!U399,3)</x:f>
        <x:v>-18.627</x:v>
      </x:c>
      <x:c r="AS399" s="64" t="n">
        <x:f>-ROUND(AK399*'Drivers'!V399,3)</x:f>
        <x:v>-66.888</x:v>
      </x:c>
      <x:c r="AT399" s="64" t="n">
        <x:f>SUM(AO399:AS399)</x:f>
        <x:v>-946.344</x:v>
      </x:c>
      <x:c r="AU399" s="65" t="n">
        <x:f>AT399/AK399</x:f>
        <x:v>-0.5627148435525676</x:v>
      </x:c>
      <x:c r="AV399" s="64" t="n">
        <x:f>AK399+AT399</x:f>
        <x:v>735.4030000000002</x:v>
      </x:c>
      <x:c r="AW399" s="65" t="n">
        <x:f>AV399/AK399</x:f>
        <x:v>0.43728515644743243</x:v>
      </x:c>
      <x:c r="AX399" s="64" t="n">
        <x:f>-ROUND(AK399*'Drivers'!W399,3)</x:f>
        <x:v>-23.876</x:v>
      </x:c>
      <x:c r="AY399" s="64" t="n">
        <x:f>-ROUND(AK399*'Drivers'!X399,3)</x:f>
        <x:v>-36.305</x:v>
      </x:c>
      <x:c r="AZ399" s="64" t="n">
        <x:f>-ROUND(AK399*'Drivers'!Y399,3)</x:f>
        <x:v>-30.262</x:v>
      </x:c>
      <x:c r="BA399" s="64" t="n">
        <x:f>-ROUND(AK399*'Drivers'!Z399,3)</x:f>
        <x:v>-12.771</x:v>
      </x:c>
      <x:c r="BB399" s="64" t="n">
        <x:f>-ROUND(AK399*'Drivers'!AA399,3)</x:f>
        <x:v>-9.612</x:v>
      </x:c>
      <x:c r="BC399" s="64" t="n">
        <x:f>SUM(BA399,BB399)</x:f>
        <x:v>-22.383000000000003</x:v>
      </x:c>
      <x:c r="BD399" s="64" t="n">
        <x:f>-ROUND(AK399*'Drivers'!AB399,3)</x:f>
        <x:v>-6.95</x:v>
      </x:c>
      <x:c r="BE399" s="64" t="n">
        <x:f>SUM(AX399:BB399,BD399)</x:f>
        <x:v>-119.776</x:v>
      </x:c>
      <x:c r="BF399" s="67" t="n">
        <x:f>'Drivers'!AF399</x:f>
        <x:v>8</x:v>
      </x:c>
      <x:c r="BG399" s="64" t="n">
        <x:f>BJ399</x:f>
        <x:v>-34.987</x:v>
      </x:c>
      <x:c r="BH399" s="64" t="n">
        <x:f>BE399/BF399</x:f>
        <x:v>-14.972</x:v>
      </x:c>
      <x:c r="BI399" s="68" t="n">
        <x:f>BF399/L399</x:f>
        <x:v>2</x:v>
      </x:c>
      <x:c r="BJ399" s="64" t="n">
        <x:f>-ROUND(AK399*'Drivers'!AC399,3)</x:f>
        <x:v>-34.987</x:v>
      </x:c>
      <x:c r="BK399" s="64" t="n">
        <x:f>-ROUND(AK399*'Drivers'!AD399,3)</x:f>
        <x:v>-165.136</x:v>
      </x:c>
      <x:c r="BL399" s="64" t="n">
        <x:f>SUM(AV399,BE399,BJ399,BK399)</x:f>
        <x:v>415.50400000000036</x:v>
      </x:c>
      <x:c r="BM399" s="65" t="n">
        <x:f>BL399/AK399</x:f>
        <x:v>0.24706688937158816</x:v>
      </x:c>
      <x:c r="BN399" s="64" t="n">
        <x:f>-ROUND(AK399*'Drivers'!AE399,3)</x:f>
        <x:v>-157.776</x:v>
      </x:c>
      <x:c r="BO399" s="64" t="n">
        <x:f>BL399+BN399</x:f>
        <x:v>257.72800000000035</x:v>
      </x:c>
      <x:c r="BP399" s="65" t="n">
        <x:f>BO399/AK399</x:f>
        <x:v>0.15325016188523025</x:v>
      </x:c>
    </x:row>
    <x:row r="400">
      <x:c r="A400" s="61" t="n">
        <x:v>2026</x:v>
      </x:c>
      <x:c r="B400" s="18" t="str">
        <x:v>S1</x:v>
      </x:c>
      <x:c r="C400" s="18" t="str">
        <x:v>2026 S1</x:v>
      </x:c>
      <x:c r="D400" s="18" t="str">
        <x:v>CNCT0100</x:v>
      </x:c>
      <x:c r="E400" s="18" t="str">
        <x:v>长沙IFS</x:v>
      </x:c>
      <x:c r="F400" s="18" t="str">
        <x:v>长沙</x:v>
      </x:c>
      <x:c r="G400" s="18" t="str">
        <x:v>湖南省</x:v>
      </x:c>
      <x:c r="H400" s="18" t="str">
        <x:v>南区</x:v>
      </x:c>
      <x:c r="I400" s="18" t="str">
        <x:v>Shopping Mall</x:v>
      </x:c>
      <x:c r="J400" s="18" t="str">
        <x:v>Prestige Shopping Center</x:v>
      </x:c>
      <x:c r="K400" s="18" t="str">
        <x:v>正常</x:v>
      </x:c>
      <x:c r="L400" s="62" t="n">
        <x:v>4</x:v>
      </x:c>
      <x:c r="M400" s="62" t="n">
        <x:v>43</x:v>
      </x:c>
      <x:c r="N400" s="63" t="n">
        <x:f>'Drivers'!C400</x:f>
        <x:v>1907</x:v>
      </x:c>
      <x:c r="O400" s="63" t="n">
        <x:f>'Drivers'!D400</x:f>
        <x:v>1301.164</x:v>
      </x:c>
      <x:c r="P400" s="64" t="n">
        <x:f>ROUND(N400*O400/1000,3)</x:f>
        <x:v>2481.32</x:v>
      </x:c>
      <x:c r="Q400" s="64" t="n">
        <x:f>ROUND(P400*'Drivers'!E400,3)</x:f>
        <x:v>2377.678</x:v>
      </x:c>
      <x:c r="R400" s="64" t="n">
        <x:f>-ROUND(Q400*'Drivers'!F400,3)</x:f>
        <x:v>-446.537</x:v>
      </x:c>
      <x:c r="S400" s="65" t="n">
        <x:f>R400/Q400</x:f>
        <x:v>-0.18780381531897927</x:v>
      </x:c>
      <x:c r="T400" s="64" t="n">
        <x:f>-ROUND(Q400*'Drivers'!G400,3)</x:f>
        <x:v>-41.143</x:v>
      </x:c>
      <x:c r="U400" s="65" t="n">
        <x:f>T400/Q400</x:f>
        <x:v>-0.017303856956240503</x:v>
      </x:c>
      <x:c r="V400" s="64" t="n">
        <x:f>-ROUND(Q400*'Drivers'!H400,3)</x:f>
        <x:v>-28.59</x:v>
      </x:c>
      <x:c r="W400" s="64" t="n">
        <x:f>-ROUND(Q400*'Drivers'!I400,3)</x:f>
        <x:v>-24.643</x:v>
      </x:c>
      <x:c r="X400" s="64" t="n">
        <x:f>-ROUND(Q400*'Drivers'!J400,3)</x:f>
        <x:v>-29.854</x:v>
      </x:c>
      <x:c r="Y400" s="64" t="n">
        <x:f>-ROUND(Q400*'Drivers'!K400,3)</x:f>
        <x:v>-19.383</x:v>
      </x:c>
      <x:c r="Z400" s="64" t="n">
        <x:f>-ROUND(Q400*'Drivers'!L400,3)</x:f>
        <x:v>-21.695</x:v>
      </x:c>
      <x:c r="AA400" s="64" t="n">
        <x:f>-ROUND(Q400*'Drivers'!M400,3)</x:f>
        <x:v>-19.029</x:v>
      </x:c>
      <x:c r="AB400" s="64" t="n">
        <x:f>-ROUND(Q400*'Drivers'!N400,3)</x:f>
        <x:v>-16.765</x:v>
      </x:c>
      <x:c r="AC400" s="64" t="n">
        <x:f>SUM(V400:AB400)</x:f>
        <x:v>-159.959</x:v>
      </x:c>
      <x:c r="AD400" s="65" t="n">
        <x:f>AC400/Q400</x:f>
        <x:v>-0.06727529968313624</x:v>
      </x:c>
      <x:c r="AE400" s="64" t="n">
        <x:f>-ROUND(Q400*'Drivers'!O400,3)</x:f>
        <x:v>-37.398</x:v>
      </x:c>
      <x:c r="AF400" s="65" t="n">
        <x:f>AE400/Q400</x:f>
        <x:v>-0.015728790862345535</x:v>
      </x:c>
      <x:c r="AG400" s="64" t="n">
        <x:f>-ROUND(Q400*'Drivers'!P400,3)</x:f>
        <x:v>-2.882</x:v>
      </x:c>
      <x:c r="AH400" s="64" t="n">
        <x:f>-ROUND(Q400*'Drivers'!Q400,3)</x:f>
        <x:v>-16.471</x:v>
      </x:c>
      <x:c r="AI400" s="64" t="n">
        <x:f>SUM(R400,T400,AC400,AE400,AG400,AH400)</x:f>
        <x:v>-704.3899999999999</x:v>
      </x:c>
      <x:c r="AJ400" s="65" t="n">
        <x:f>AI400/Q400</x:f>
        <x:v>-0.29625121652301106</x:v>
      </x:c>
      <x:c r="AK400" s="64" t="n">
        <x:f>Q400+AI400</x:f>
        <x:v>1673.288</x:v>
      </x:c>
      <x:c r="AL400" s="65" t="n">
        <x:f>AK400/Q400</x:f>
        <x:v>0.7037487834769889</x:v>
      </x:c>
      <x:c r="AM400" s="64" t="n">
        <x:f>AK400/L400</x:f>
        <x:v>418.322</x:v>
      </x:c>
      <x:c r="AN400" s="66" t="str">
        <x:f>IF(AM400&lt;=200,"≤200K",IF(AM400&lt;=350,"200–350K",IF(AM400&lt;=500,"350–500K",IF(AM400&lt;=700,"500–700K","&gt;700K"))))</x:f>
        <x:v>350–500K</x:v>
      </x:c>
      <x:c r="AO400" s="64" t="n">
        <x:f>-ROUND(Q400*'Drivers'!R400,3)</x:f>
        <x:v>-881.745</x:v>
      </x:c>
      <x:c r="AP400" s="64" t="n">
        <x:f>-ROUND(AK400*'Drivers'!S400,3)</x:f>
        <x:v>-18.588</x:v>
      </x:c>
      <x:c r="AQ400" s="64" t="n">
        <x:f>-ROUND(AK400*'Drivers'!T400,3)</x:f>
        <x:v>-9.177</x:v>
      </x:c>
      <x:c r="AR400" s="64" t="n">
        <x:f>-ROUND(AK400*'Drivers'!U400,3)</x:f>
        <x:v>-18.533</x:v>
      </x:c>
      <x:c r="AS400" s="64" t="n">
        <x:f>-ROUND(AK400*'Drivers'!V400,3)</x:f>
        <x:v>-66.552</x:v>
      </x:c>
      <x:c r="AT400" s="64" t="n">
        <x:f>SUM(AO400:AS400)</x:f>
        <x:v>-994.595</x:v>
      </x:c>
      <x:c r="AU400" s="65" t="n">
        <x:f>AT400/AK400</x:f>
        <x:v>-0.5943955852190418</x:v>
      </x:c>
      <x:c r="AV400" s="64" t="n">
        <x:f>AK400+AT400</x:f>
        <x:v>678.693</x:v>
      </x:c>
      <x:c r="AW400" s="65" t="n">
        <x:f>AV400/AK400</x:f>
        <x:v>0.4056044147809582</x:v>
      </x:c>
      <x:c r="AX400" s="64" t="n">
        <x:f>-ROUND(AK400*'Drivers'!W400,3)</x:f>
        <x:v>-29.23</x:v>
      </x:c>
      <x:c r="AY400" s="64" t="n">
        <x:f>-ROUND(AK400*'Drivers'!X400,3)</x:f>
        <x:v>-44.447</x:v>
      </x:c>
      <x:c r="AZ400" s="64" t="n">
        <x:f>-ROUND(AK400*'Drivers'!Y400,3)</x:f>
        <x:v>-37.048</x:v>
      </x:c>
      <x:c r="BA400" s="64" t="n">
        <x:f>-ROUND(AK400*'Drivers'!Z400,3)</x:f>
        <x:v>-15.635</x:v>
      </x:c>
      <x:c r="BB400" s="64" t="n">
        <x:f>-ROUND(AK400*'Drivers'!AA400,3)</x:f>
        <x:v>-11.767</x:v>
      </x:c>
      <x:c r="BC400" s="64" t="n">
        <x:f>SUM(BA400,BB400)</x:f>
        <x:v>-27.402</x:v>
      </x:c>
      <x:c r="BD400" s="64" t="n">
        <x:f>-ROUND(AK400*'Drivers'!AB400,3)</x:f>
        <x:v>-8.508</x:v>
      </x:c>
      <x:c r="BE400" s="64" t="n">
        <x:f>SUM(AX400:BB400,BD400)</x:f>
        <x:v>-146.63500000000002</x:v>
      </x:c>
      <x:c r="BF400" s="67" t="n">
        <x:f>'Drivers'!AF400</x:f>
        <x:v>8</x:v>
      </x:c>
      <x:c r="BG400" s="64" t="n">
        <x:f>BJ400</x:f>
        <x:v>-42.833</x:v>
      </x:c>
      <x:c r="BH400" s="64" t="n">
        <x:f>BE400/BF400</x:f>
        <x:v>-18.329375000000002</x:v>
      </x:c>
      <x:c r="BI400" s="68" t="n">
        <x:f>BF400/L400</x:f>
        <x:v>2</x:v>
      </x:c>
      <x:c r="BJ400" s="64" t="n">
        <x:f>-ROUND(AK400*'Drivers'!AC400,3)</x:f>
        <x:v>-42.833</x:v>
      </x:c>
      <x:c r="BK400" s="64" t="n">
        <x:f>-ROUND(AK400*'Drivers'!AD400,3)</x:f>
        <x:v>-164.305</x:v>
      </x:c>
      <x:c r="BL400" s="64" t="n">
        <x:f>SUM(AV400,BE400,BJ400,BK400)</x:f>
        <x:v>324.92</x:v>
      </x:c>
      <x:c r="BM400" s="65" t="n">
        <x:f>BL400/AK400</x:f>
        <x:v>0.19418055947332438</x:v>
      </x:c>
      <x:c r="BN400" s="64" t="n">
        <x:f>-ROUND(AK400*'Drivers'!AE400,3)</x:f>
        <x:v>-156.983</x:v>
      </x:c>
      <x:c r="BO400" s="64" t="n">
        <x:f>BL400+BN400</x:f>
        <x:v>167.937</x:v>
      </x:c>
      <x:c r="BP400" s="65" t="n">
        <x:f>BO400/AK400</x:f>
        <x:v>0.10036347598261627</x:v>
      </x:c>
    </x:row>
    <x:row r="401">
      <x:c r="A401" s="61" t="n">
        <x:v>2026</x:v>
      </x:c>
      <x:c r="B401" s="18" t="str">
        <x:v>S2</x:v>
      </x:c>
      <x:c r="C401" s="18" t="str">
        <x:v>2026 S2</x:v>
      </x:c>
      <x:c r="D401" s="18" t="str">
        <x:v>CNCT0100</x:v>
      </x:c>
      <x:c r="E401" s="18" t="str">
        <x:v>长沙IFS</x:v>
      </x:c>
      <x:c r="F401" s="18" t="str">
        <x:v>长沙</x:v>
      </x:c>
      <x:c r="G401" s="18" t="str">
        <x:v>湖南省</x:v>
      </x:c>
      <x:c r="H401" s="18" t="str">
        <x:v>南区</x:v>
      </x:c>
      <x:c r="I401" s="18" t="str">
        <x:v>Shopping Mall</x:v>
      </x:c>
      <x:c r="J401" s="18" t="str">
        <x:v>Prestige Shopping Center</x:v>
      </x:c>
      <x:c r="K401" s="18" t="str">
        <x:v>正常</x:v>
      </x:c>
      <x:c r="L401" s="62" t="n">
        <x:v>4</x:v>
      </x:c>
      <x:c r="M401" s="62" t="n">
        <x:v>43</x:v>
      </x:c>
      <x:c r="N401" s="63" t="n">
        <x:f>'Drivers'!C401</x:f>
        <x:v>2114</x:v>
      </x:c>
      <x:c r="O401" s="63" t="n">
        <x:f>'Drivers'!D401</x:f>
        <x:v>1292.637</x:v>
      </x:c>
      <x:c r="P401" s="64" t="n">
        <x:f>ROUND(N401*O401/1000,3)</x:f>
        <x:v>2732.635</x:v>
      </x:c>
      <x:c r="Q401" s="64" t="n">
        <x:f>ROUND(P401*'Drivers'!E401,3)</x:f>
        <x:v>2636.055</x:v>
      </x:c>
      <x:c r="R401" s="64" t="n">
        <x:f>-ROUND(Q401*'Drivers'!F401,3)</x:f>
        <x:v>-478.454</x:v>
      </x:c>
      <x:c r="S401" s="65" t="n">
        <x:f>R401/Q401</x:f>
        <x:v>-0.1815038001862632</x:v>
      </x:c>
      <x:c r="T401" s="64" t="n">
        <x:f>-ROUND(Q401*'Drivers'!G401,3)</x:f>
        <x:v>-44.437</x:v>
      </x:c>
      <x:c r="U401" s="65" t="n">
        <x:f>T401/Q401</x:f>
        <x:v>-0.01685738726999247</x:v>
      </x:c>
      <x:c r="V401" s="64" t="n">
        <x:f>-ROUND(Q401*'Drivers'!H401,3)</x:f>
        <x:v>-31.697</x:v>
      </x:c>
      <x:c r="W401" s="64" t="n">
        <x:f>-ROUND(Q401*'Drivers'!I401,3)</x:f>
        <x:v>-27.321</x:v>
      </x:c>
      <x:c r="X401" s="64" t="n">
        <x:f>-ROUND(Q401*'Drivers'!J401,3)</x:f>
        <x:v>-33.098</x:v>
      </x:c>
      <x:c r="Y401" s="64" t="n">
        <x:f>-ROUND(Q401*'Drivers'!K401,3)</x:f>
        <x:v>-21.489</x:v>
      </x:c>
      <x:c r="Z401" s="64" t="n">
        <x:f>-ROUND(Q401*'Drivers'!L401,3)</x:f>
        <x:v>-24.053</x:v>
      </x:c>
      <x:c r="AA401" s="64" t="n">
        <x:f>-ROUND(Q401*'Drivers'!M401,3)</x:f>
        <x:v>-21.096</x:v>
      </x:c>
      <x:c r="AB401" s="64" t="n">
        <x:f>-ROUND(Q401*'Drivers'!N401,3)</x:f>
        <x:v>-18.587</x:v>
      </x:c>
      <x:c r="AC401" s="64" t="n">
        <x:f>SUM(V401:AB401)</x:f>
        <x:v>-177.341</x:v>
      </x:c>
      <x:c r="AD401" s="65" t="n">
        <x:f>AC401/Q401</x:f>
        <x:v>-0.06727515169448287</x:v>
      </x:c>
      <x:c r="AE401" s="64" t="n">
        <x:f>-ROUND(Q401*'Drivers'!O401,3)</x:f>
        <x:v>-40.647</x:v>
      </x:c>
      <x:c r="AF401" s="65" t="n">
        <x:f>AE401/Q401</x:f>
        <x:v>-0.015419632746661204</x:v>
      </x:c>
      <x:c r="AG401" s="64" t="n">
        <x:f>-ROUND(Q401*'Drivers'!P401,3)</x:f>
        <x:v>-3.195</x:v>
      </x:c>
      <x:c r="AH401" s="64" t="n">
        <x:f>-ROUND(Q401*'Drivers'!Q401,3)</x:f>
        <x:v>-18.26</x:v>
      </x:c>
      <x:c r="AI401" s="64" t="n">
        <x:f>SUM(R401,T401,AC401,AE401,AG401,AH401)</x:f>
        <x:v>-762.3340000000001</x:v>
      </x:c>
      <x:c r="AJ401" s="65" t="n">
        <x:f>AI401/Q401</x:f>
        <x:v>-0.2891950281765745</x:v>
      </x:c>
      <x:c r="AK401" s="64" t="n">
        <x:f>Q401+AI401</x:f>
        <x:v>1873.7209999999998</x:v>
      </x:c>
      <x:c r="AL401" s="65" t="n">
        <x:f>AK401/Q401</x:f>
        <x:v>0.7108049718234255</x:v>
      </x:c>
      <x:c r="AM401" s="64" t="n">
        <x:f>AK401/L401</x:f>
        <x:v>468.43024999999994</x:v>
      </x:c>
      <x:c r="AN401" s="66" t="str">
        <x:f>IF(AM401&lt;=200,"≤200K",IF(AM401&lt;=350,"200–350K",IF(AM401&lt;=500,"350–500K",IF(AM401&lt;=700,"500–700K","&gt;700K"))))</x:f>
        <x:v>350–500K</x:v>
      </x:c>
      <x:c r="AO401" s="64" t="n">
        <x:f>-ROUND(Q401*'Drivers'!R401,3)</x:f>
        <x:v>-924.628</x:v>
      </x:c>
      <x:c r="AP401" s="64" t="n">
        <x:f>-ROUND(AK401*'Drivers'!S401,3)</x:f>
        <x:v>-20.815</x:v>
      </x:c>
      <x:c r="AQ401" s="64" t="n">
        <x:f>-ROUND(AK401*'Drivers'!T401,3)</x:f>
        <x:v>-10.277</x:v>
      </x:c>
      <x:c r="AR401" s="64" t="n">
        <x:f>-ROUND(AK401*'Drivers'!U401,3)</x:f>
        <x:v>-20.753</x:v>
      </x:c>
      <x:c r="AS401" s="64" t="n">
        <x:f>-ROUND(AK401*'Drivers'!V401,3)</x:f>
        <x:v>-74.524</x:v>
      </x:c>
      <x:c r="AT401" s="64" t="n">
        <x:f>SUM(AO401:AS401)</x:f>
        <x:v>-1050.9970000000003</x:v>
      </x:c>
      <x:c r="AU401" s="65" t="n">
        <x:f>AT401/AK401</x:f>
        <x:v>-0.5609143517097799</x:v>
      </x:c>
      <x:c r="AV401" s="64" t="n">
        <x:f>AK401+AT401</x:f>
        <x:v>822.7239999999995</x:v>
      </x:c>
      <x:c r="AW401" s="65" t="n">
        <x:f>AV401/AK401</x:f>
        <x:v>0.4390856482902201</x:v>
      </x:c>
      <x:c r="AX401" s="64" t="n">
        <x:f>-ROUND(AK401*'Drivers'!W401,3)</x:f>
        <x:v>-28.197</x:v>
      </x:c>
      <x:c r="AY401" s="64" t="n">
        <x:f>-ROUND(AK401*'Drivers'!X401,3)</x:f>
        <x:v>-42.877</x:v>
      </x:c>
      <x:c r="AZ401" s="64" t="n">
        <x:f>-ROUND(AK401*'Drivers'!Y401,3)</x:f>
        <x:v>-35.739</x:v>
      </x:c>
      <x:c r="BA401" s="64" t="n">
        <x:f>-ROUND(AK401*'Drivers'!Z401,3)</x:f>
        <x:v>-15.083</x:v>
      </x:c>
      <x:c r="BB401" s="64" t="n">
        <x:f>-ROUND(AK401*'Drivers'!AA401,3)</x:f>
        <x:v>-11.352</x:v>
      </x:c>
      <x:c r="BC401" s="64" t="n">
        <x:f>SUM(BA401,BB401)</x:f>
        <x:v>-26.435000000000002</x:v>
      </x:c>
      <x:c r="BD401" s="64" t="n">
        <x:f>-ROUND(AK401*'Drivers'!AB401,3)</x:f>
        <x:v>-8.208</x:v>
      </x:c>
      <x:c r="BE401" s="64" t="n">
        <x:f>SUM(AX401:BB401,BD401)</x:f>
        <x:v>-141.456</x:v>
      </x:c>
      <x:c r="BF401" s="67" t="n">
        <x:f>'Drivers'!AF401</x:f>
        <x:v>8</x:v>
      </x:c>
      <x:c r="BG401" s="64" t="n">
        <x:f>BJ401</x:f>
        <x:v>-41.32</x:v>
      </x:c>
      <x:c r="BH401" s="64" t="n">
        <x:f>BE401/BF401</x:f>
        <x:v>-17.682</x:v>
      </x:c>
      <x:c r="BI401" s="68" t="n">
        <x:f>BF401/L401</x:f>
        <x:v>2</x:v>
      </x:c>
      <x:c r="BJ401" s="64" t="n">
        <x:f>-ROUND(AK401*'Drivers'!AC401,3)</x:f>
        <x:v>-41.32</x:v>
      </x:c>
      <x:c r="BK401" s="64" t="n">
        <x:f>-ROUND(AK401*'Drivers'!AD401,3)</x:f>
        <x:v>-183.986</x:v>
      </x:c>
      <x:c r="BL401" s="64" t="n">
        <x:f>SUM(AV401,BE401,BJ401,BK401)</x:f>
        <x:v>455.9619999999994</x:v>
      </x:c>
      <x:c r="BM401" s="65" t="n">
        <x:f>BL401/AK401</x:f>
        <x:v>0.24334572756562983</x:v>
      </x:c>
      <x:c r="BN401" s="64" t="n">
        <x:f>-ROUND(AK401*'Drivers'!AE401,3)</x:f>
        <x:v>-175.787</x:v>
      </x:c>
      <x:c r="BO401" s="64" t="n">
        <x:f>BL401+BN401</x:f>
        <x:v>280.1749999999994</x:v>
      </x:c>
      <x:c r="BP401" s="65" t="n">
        <x:f>BO401/AK401</x:f>
        <x:v>0.14952866515345636</x:v>
      </x:c>
    </x:row>
    <x:row r="402">
      <x:c r="A402" s="61" t="n">
        <x:v>2025</x:v>
      </x:c>
      <x:c r="B402" s="18" t="str">
        <x:v>S1</x:v>
      </x:c>
      <x:c r="C402" s="18" t="str">
        <x:v>2025 S1</x:v>
      </x:c>
      <x:c r="D402" s="18" t="str">
        <x:v>CNCT0101</x:v>
      </x:c>
      <x:c r="E402" s="18" t="str">
        <x:v>长沙海信广场</x:v>
      </x:c>
      <x:c r="F402" s="18" t="str">
        <x:v>长沙</x:v>
      </x:c>
      <x:c r="G402" s="18" t="str">
        <x:v>湖南省</x:v>
      </x:c>
      <x:c r="H402" s="18" t="str">
        <x:v>南区</x:v>
      </x:c>
      <x:c r="I402" s="18" t="str">
        <x:v>Shopping Mall</x:v>
      </x:c>
      <x:c r="J402" s="18" t="str">
        <x:v>Prestige Shopping Center</x:v>
      </x:c>
      <x:c r="K402" s="18" t="str">
        <x:v>正常</x:v>
      </x:c>
      <x:c r="L402" s="62" t="n">
        <x:v>4</x:v>
      </x:c>
      <x:c r="M402" s="62" t="n">
        <x:v>43</x:v>
      </x:c>
      <x:c r="N402" s="63" t="n">
        <x:f>'Drivers'!C402</x:f>
        <x:v>1547</x:v>
      </x:c>
      <x:c r="O402" s="63" t="n">
        <x:f>'Drivers'!D402</x:f>
        <x:v>1208.133</x:v>
      </x:c>
      <x:c r="P402" s="64" t="n">
        <x:f>ROUND(N402*O402/1000,3)</x:f>
        <x:v>1868.982</x:v>
      </x:c>
      <x:c r="Q402" s="64" t="n">
        <x:f>ROUND(P402*'Drivers'!E402,3)</x:f>
        <x:v>1797.797</x:v>
      </x:c>
      <x:c r="R402" s="64" t="n">
        <x:f>-ROUND(Q402*'Drivers'!F402,3)</x:f>
        <x:v>-292.447</x:v>
      </x:c>
      <x:c r="S402" s="65" t="n">
        <x:f>R402/Q402</x:f>
        <x:v>-0.16266964512678572</x:v>
      </x:c>
      <x:c r="T402" s="64" t="n">
        <x:f>-ROUND(Q402*'Drivers'!G402,3)</x:f>
        <x:v>-33.833</x:v>
      </x:c>
      <x:c r="U402" s="65" t="n">
        <x:f>T402/Q402</x:f>
        <x:v>-0.018819143651925104</x:v>
      </x:c>
      <x:c r="V402" s="64" t="n">
        <x:f>-ROUND(Q402*'Drivers'!H402,3)</x:f>
        <x:v>-14.96</x:v>
      </x:c>
      <x:c r="W402" s="64" t="n">
        <x:f>-ROUND(Q402*'Drivers'!I402,3)</x:f>
        <x:v>-12.044</x:v>
      </x:c>
      <x:c r="X402" s="64" t="n">
        <x:f>-ROUND(Q402*'Drivers'!J402,3)</x:f>
        <x:v>-25.631</x:v>
      </x:c>
      <x:c r="Y402" s="64" t="n">
        <x:f>-ROUND(Q402*'Drivers'!K402,3)</x:f>
        <x:v>-20.343</x:v>
      </x:c>
      <x:c r="Z402" s="64" t="n">
        <x:f>-ROUND(Q402*'Drivers'!L402,3)</x:f>
        <x:v>-20.354</x:v>
      </x:c>
      <x:c r="AA402" s="64" t="n">
        <x:f>-ROUND(Q402*'Drivers'!M402,3)</x:f>
        <x:v>-15.52</x:v>
      </x:c>
      <x:c r="AB402" s="64" t="n">
        <x:f>-ROUND(Q402*'Drivers'!N402,3)</x:f>
        <x:v>-12.75</x:v>
      </x:c>
      <x:c r="AC402" s="64" t="n">
        <x:f>SUM(V402:AB402)</x:f>
        <x:v>-121.602</x:v>
      </x:c>
      <x:c r="AD402" s="65" t="n">
        <x:f>AC402/Q402</x:f>
        <x:v>-0.06763944983777367</x:v>
      </x:c>
      <x:c r="AE402" s="64" t="n">
        <x:f>-ROUND(Q402*'Drivers'!O402,3)</x:f>
        <x:v>-28.545</x:v>
      </x:c>
      <x:c r="AF402" s="65" t="n">
        <x:f>AE402/Q402</x:f>
        <x:v>-0.015877765954665626</x:v>
      </x:c>
      <x:c r="AG402" s="64" t="n">
        <x:f>-ROUND(Q402*'Drivers'!P402,3)</x:f>
        <x:v>-0.901</x:v>
      </x:c>
      <x:c r="AH402" s="64" t="n">
        <x:f>-ROUND(Q402*'Drivers'!Q402,3)</x:f>
        <x:v>-3.846</x:v>
      </x:c>
      <x:c r="AI402" s="64" t="n">
        <x:f>SUM(R402,T402,AC402,AE402,AG402,AH402)</x:f>
        <x:v>-481.174</x:v>
      </x:c>
      <x:c r="AJ402" s="65" t="n">
        <x:f>AI402/Q402</x:f>
        <x:v>-0.26764645841549406</x:v>
      </x:c>
      <x:c r="AK402" s="64" t="n">
        <x:f>Q402+AI402</x:f>
        <x:v>1316.623</x:v>
      </x:c>
      <x:c r="AL402" s="65" t="n">
        <x:f>AK402/Q402</x:f>
        <x:v>0.7323535415845059</x:v>
      </x:c>
      <x:c r="AM402" s="64" t="n">
        <x:f>AK402/L402</x:f>
        <x:v>329.15575</x:v>
      </x:c>
      <x:c r="AN402" s="66" t="str">
        <x:f>IF(AM402&lt;=200,"≤200K",IF(AM402&lt;=350,"200–350K",IF(AM402&lt;=500,"350–500K",IF(AM402&lt;=700,"500–700K","&gt;700K"))))</x:f>
        <x:v>200–350K</x:v>
      </x:c>
      <x:c r="AO402" s="64" t="n">
        <x:f>-ROUND(Q402*'Drivers'!R402,3)</x:f>
        <x:v>-680.855</x:v>
      </x:c>
      <x:c r="AP402" s="64" t="n">
        <x:f>-ROUND(AK402*'Drivers'!S402,3)</x:f>
        <x:v>-17.804</x:v>
      </x:c>
      <x:c r="AQ402" s="64" t="n">
        <x:f>-ROUND(AK402*'Drivers'!T402,3)</x:f>
        <x:v>-5.402</x:v>
      </x:c>
      <x:c r="AR402" s="64" t="n">
        <x:f>-ROUND(AK402*'Drivers'!U402,3)</x:f>
        <x:v>-15.631</x:v>
      </x:c>
      <x:c r="AS402" s="64" t="n">
        <x:f>-ROUND(AK402*'Drivers'!V402,3)</x:f>
        <x:v>-49.332</x:v>
      </x:c>
      <x:c r="AT402" s="64" t="n">
        <x:f>SUM(AO402:AS402)</x:f>
        <x:v>-769.024</x:v>
      </x:c>
      <x:c r="AU402" s="65" t="n">
        <x:f>AT402/AK402</x:f>
        <x:v>-0.5840882317869276</x:v>
      </x:c>
      <x:c r="AV402" s="64" t="n">
        <x:f>AK402+AT402</x:f>
        <x:v>547.599</x:v>
      </x:c>
      <x:c r="AW402" s="65" t="n">
        <x:f>AV402/AK402</x:f>
        <x:v>0.4159117682130724</x:v>
      </x:c>
      <x:c r="AX402" s="64" t="n">
        <x:f>-ROUND(AK402*'Drivers'!W402,3)</x:f>
        <x:v>-13.347</x:v>
      </x:c>
      <x:c r="AY402" s="64" t="n">
        <x:f>-ROUND(AK402*'Drivers'!X402,3)</x:f>
        <x:v>-26.408</x:v>
      </x:c>
      <x:c r="AZ402" s="64" t="n">
        <x:f>-ROUND(AK402*'Drivers'!Y402,3)</x:f>
        <x:v>-22.982</x:v>
      </x:c>
      <x:c r="BA402" s="64" t="n">
        <x:f>-ROUND(AK402*'Drivers'!Z402,3)</x:f>
        <x:v>-6.287</x:v>
      </x:c>
      <x:c r="BB402" s="64" t="n">
        <x:f>-ROUND(AK402*'Drivers'!AA402,3)</x:f>
        <x:v>-10.124</x:v>
      </x:c>
      <x:c r="BC402" s="64" t="n">
        <x:f>SUM(BA402,BB402)</x:f>
        <x:v>-16.411</x:v>
      </x:c>
      <x:c r="BD402" s="64" t="n">
        <x:f>-ROUND(AK402*'Drivers'!AB402,3)</x:f>
        <x:v>-5.02</x:v>
      </x:c>
      <x:c r="BE402" s="64" t="n">
        <x:f>SUM(AX402:BB402,BD402)</x:f>
        <x:v>-84.16799999999999</x:v>
      </x:c>
      <x:c r="BF402" s="67" t="n">
        <x:f>'Drivers'!AF402</x:f>
        <x:v>8</x:v>
      </x:c>
      <x:c r="BG402" s="64" t="n">
        <x:f>BJ402</x:f>
        <x:v>-27.057</x:v>
      </x:c>
      <x:c r="BH402" s="64" t="n">
        <x:f>BE402/BF402</x:f>
        <x:v>-10.520999999999999</x:v>
      </x:c>
      <x:c r="BI402" s="68" t="n">
        <x:f>BF402/L402</x:f>
        <x:v>2</x:v>
      </x:c>
      <x:c r="BJ402" s="64" t="n">
        <x:f>-ROUND(AK402*'Drivers'!AC402,3)</x:f>
        <x:v>-27.057</x:v>
      </x:c>
      <x:c r="BK402" s="64" t="n">
        <x:f>-ROUND(AK402*'Drivers'!AD402,3)</x:f>
        <x:v>-105.859</x:v>
      </x:c>
      <x:c r="BL402" s="64" t="n">
        <x:f>SUM(AV402,BE402,BJ402,BK402)</x:f>
        <x:v>330.51500000000004</x:v>
      </x:c>
      <x:c r="BM402" s="65" t="n">
        <x:f>BL402/AK402</x:f>
        <x:v>0.2510323760104449</x:v>
      </x:c>
      <x:c r="BN402" s="64" t="n">
        <x:f>-ROUND(AK402*'Drivers'!AE402,3)</x:f>
        <x:v>-93.523</x:v>
      </x:c>
      <x:c r="BO402" s="64" t="n">
        <x:f>BL402+BN402</x:f>
        <x:v>236.99200000000005</x:v>
      </x:c>
      <x:c r="BP402" s="65" t="n">
        <x:f>BO402/AK402</x:f>
        <x:v>0.17999989366735963</x:v>
      </x:c>
    </x:row>
    <x:row r="403">
      <x:c r="A403" s="61" t="n">
        <x:v>2025</x:v>
      </x:c>
      <x:c r="B403" s="18" t="str">
        <x:v>S2</x:v>
      </x:c>
      <x:c r="C403" s="18" t="str">
        <x:v>2025 S2</x:v>
      </x:c>
      <x:c r="D403" s="18" t="str">
        <x:v>CNCT0101</x:v>
      </x:c>
      <x:c r="E403" s="18" t="str">
        <x:v>长沙海信广场</x:v>
      </x:c>
      <x:c r="F403" s="18" t="str">
        <x:v>长沙</x:v>
      </x:c>
      <x:c r="G403" s="18" t="str">
        <x:v>湖南省</x:v>
      </x:c>
      <x:c r="H403" s="18" t="str">
        <x:v>南区</x:v>
      </x:c>
      <x:c r="I403" s="18" t="str">
        <x:v>Shopping Mall</x:v>
      </x:c>
      <x:c r="J403" s="18" t="str">
        <x:v>Prestige Shopping Center</x:v>
      </x:c>
      <x:c r="K403" s="18" t="str">
        <x:v>正常</x:v>
      </x:c>
      <x:c r="L403" s="62" t="n">
        <x:v>4</x:v>
      </x:c>
      <x:c r="M403" s="62" t="n">
        <x:v>43</x:v>
      </x:c>
      <x:c r="N403" s="63" t="n">
        <x:f>'Drivers'!C403</x:f>
        <x:v>1660</x:v>
      </x:c>
      <x:c r="O403" s="63" t="n">
        <x:f>'Drivers'!D403</x:f>
        <x:v>1222.63</x:v>
      </x:c>
      <x:c r="P403" s="64" t="n">
        <x:f>ROUND(N403*O403/1000,3)</x:f>
        <x:v>2029.566</x:v>
      </x:c>
      <x:c r="Q403" s="64" t="n">
        <x:f>ROUND(P403*'Drivers'!E403,3)</x:f>
        <x:v>1996.152</x:v>
      </x:c>
      <x:c r="R403" s="64" t="n">
        <x:f>-ROUND(Q403*'Drivers'!F403,3)</x:f>
        <x:v>-324.713</x:v>
      </x:c>
      <x:c r="S403" s="65" t="n">
        <x:f>R403/Q403</x:f>
        <x:v>-0.16266947607196247</x:v>
      </x:c>
      <x:c r="T403" s="64" t="n">
        <x:f>-ROUND(Q403*'Drivers'!G403,3)</x:f>
        <x:v>-37.566</x:v>
      </x:c>
      <x:c r="U403" s="65" t="n">
        <x:f>T403/Q403</x:f>
        <x:v>-0.018819208156493093</x:v>
      </x:c>
      <x:c r="V403" s="64" t="n">
        <x:f>-ROUND(Q403*'Drivers'!H403,3)</x:f>
        <x:v>-16.61</x:v>
      </x:c>
      <x:c r="W403" s="64" t="n">
        <x:f>-ROUND(Q403*'Drivers'!I403,3)</x:f>
        <x:v>-13.373</x:v>
      </x:c>
      <x:c r="X403" s="64" t="n">
        <x:f>-ROUND(Q403*'Drivers'!J403,3)</x:f>
        <x:v>-28.459</x:v>
      </x:c>
      <x:c r="Y403" s="64" t="n">
        <x:f>-ROUND(Q403*'Drivers'!K403,3)</x:f>
        <x:v>-22.588</x:v>
      </x:c>
      <x:c r="Z403" s="64" t="n">
        <x:f>-ROUND(Q403*'Drivers'!L403,3)</x:f>
        <x:v>-22.6</x:v>
      </x:c>
      <x:c r="AA403" s="64" t="n">
        <x:f>-ROUND(Q403*'Drivers'!M403,3)</x:f>
        <x:v>-17.232</x:v>
      </x:c>
      <x:c r="AB403" s="64" t="n">
        <x:f>-ROUND(Q403*'Drivers'!N403,3)</x:f>
        <x:v>-14.157</x:v>
      </x:c>
      <x:c r="AC403" s="64" t="n">
        <x:f>SUM(V403:AB403)</x:f>
        <x:v>-135.019</x:v>
      </x:c>
      <x:c r="AD403" s="65" t="n">
        <x:f>AC403/Q403</x:f>
        <x:v>-0.06763963866479106</x:v>
      </x:c>
      <x:c r="AE403" s="64" t="n">
        <x:f>-ROUND(Q403*'Drivers'!O403,3)</x:f>
        <x:v>-31.694</x:v>
      </x:c>
      <x:c r="AF403" s="65" t="n">
        <x:f>AE403/Q403</x:f>
        <x:v>-0.015877548403127616</x:v>
      </x:c>
      <x:c r="AG403" s="64" t="n">
        <x:f>-ROUND(Q403*'Drivers'!P403,3)</x:f>
        <x:v>-1.001</x:v>
      </x:c>
      <x:c r="AH403" s="64" t="n">
        <x:f>-ROUND(Q403*'Drivers'!Q403,3)</x:f>
        <x:v>-4.271</x:v>
      </x:c>
      <x:c r="AI403" s="64" t="n">
        <x:f>SUM(R403,T403,AC403,AE403,AG403,AH403)</x:f>
        <x:v>-534.2639999999999</x:v>
      </x:c>
      <x:c r="AJ403" s="65" t="n">
        <x:f>AI403/Q403</x:f>
        <x:v>-0.26764695273706607</x:v>
      </x:c>
      <x:c r="AK403" s="64" t="n">
        <x:f>Q403+AI403</x:f>
        <x:v>1461.8880000000001</x:v>
      </x:c>
      <x:c r="AL403" s="65" t="n">
        <x:f>AK403/Q403</x:f>
        <x:v>0.7323530472629339</x:v>
      </x:c>
      <x:c r="AM403" s="64" t="n">
        <x:f>AK403/L403</x:f>
        <x:v>365.47200000000004</x:v>
      </x:c>
      <x:c r="AN403" s="66" t="str">
        <x:f>IF(AM403&lt;=200,"≤200K",IF(AM403&lt;=350,"200–350K",IF(AM403&lt;=500,"350–500K",IF(AM403&lt;=700,"500–700K","&gt;700K"))))</x:f>
        <x:v>350–500K</x:v>
      </x:c>
      <x:c r="AO403" s="64" t="n">
        <x:f>-ROUND(Q403*'Drivers'!R403,3)</x:f>
        <x:v>-743.563</x:v>
      </x:c>
      <x:c r="AP403" s="64" t="n">
        <x:f>-ROUND(AK403*'Drivers'!S403,3)</x:f>
        <x:v>-19.768</x:v>
      </x:c>
      <x:c r="AQ403" s="64" t="n">
        <x:f>-ROUND(AK403*'Drivers'!T403,3)</x:f>
        <x:v>-5.998</x:v>
      </x:c>
      <x:c r="AR403" s="64" t="n">
        <x:f>-ROUND(AK403*'Drivers'!U403,3)</x:f>
        <x:v>-17.356</x:v>
      </x:c>
      <x:c r="AS403" s="64" t="n">
        <x:f>-ROUND(AK403*'Drivers'!V403,3)</x:f>
        <x:v>-54.775</x:v>
      </x:c>
      <x:c r="AT403" s="64" t="n">
        <x:f>SUM(AO403:AS403)</x:f>
        <x:v>-841.46</x:v>
      </x:c>
      <x:c r="AU403" s="65" t="n">
        <x:f>AT403/AK403</x:f>
        <x:v>-0.5755981306365466</x:v>
      </x:c>
      <x:c r="AV403" s="64" t="n">
        <x:f>AK403+AT403</x:f>
        <x:v>620.4280000000001</x:v>
      </x:c>
      <x:c r="AW403" s="65" t="n">
        <x:f>AV403/AK403</x:f>
        <x:v>0.4244018693634533</x:v>
      </x:c>
      <x:c r="AX403" s="64" t="n">
        <x:f>-ROUND(AK403*'Drivers'!W403,3)</x:f>
        <x:v>-14.819</x:v>
      </x:c>
      <x:c r="AY403" s="64" t="n">
        <x:f>-ROUND(AK403*'Drivers'!X403,3)</x:f>
        <x:v>-29.321</x:v>
      </x:c>
      <x:c r="AZ403" s="64" t="n">
        <x:f>-ROUND(AK403*'Drivers'!Y403,3)</x:f>
        <x:v>-25.518</x:v>
      </x:c>
      <x:c r="BA403" s="64" t="n">
        <x:f>-ROUND(AK403*'Drivers'!Z403,3)</x:f>
        <x:v>-6.98</x:v>
      </x:c>
      <x:c r="BB403" s="64" t="n">
        <x:f>-ROUND(AK403*'Drivers'!AA403,3)</x:f>
        <x:v>-11.241</x:v>
      </x:c>
      <x:c r="BC403" s="64" t="n">
        <x:f>SUM(BA403,BB403)</x:f>
        <x:v>-18.221</x:v>
      </x:c>
      <x:c r="BD403" s="64" t="n">
        <x:f>-ROUND(AK403*'Drivers'!AB403,3)</x:f>
        <x:v>-5.573</x:v>
      </x:c>
      <x:c r="BE403" s="64" t="n">
        <x:f>SUM(AX403:BB403,BD403)</x:f>
        <x:v>-93.452</x:v>
      </x:c>
      <x:c r="BF403" s="67" t="n">
        <x:f>'Drivers'!AF403</x:f>
        <x:v>8</x:v>
      </x:c>
      <x:c r="BG403" s="64" t="n">
        <x:f>BJ403</x:f>
        <x:v>-30.043</x:v>
      </x:c>
      <x:c r="BH403" s="64" t="n">
        <x:f>BE403/BF403</x:f>
        <x:v>-11.6815</x:v>
      </x:c>
      <x:c r="BI403" s="68" t="n">
        <x:f>BF403/L403</x:f>
        <x:v>2</x:v>
      </x:c>
      <x:c r="BJ403" s="64" t="n">
        <x:f>-ROUND(AK403*'Drivers'!AC403,3)</x:f>
        <x:v>-30.043</x:v>
      </x:c>
      <x:c r="BK403" s="64" t="n">
        <x:f>-ROUND(AK403*'Drivers'!AD403,3)</x:f>
        <x:v>-117.539</x:v>
      </x:c>
      <x:c r="BL403" s="64" t="n">
        <x:f>SUM(AV403,BE403,BJ403,BK403)</x:f>
        <x:v>379.3940000000001</x:v>
      </x:c>
      <x:c r="BM403" s="65" t="n">
        <x:f>BL403/AK403</x:f>
        <x:v>0.2595233013746608</x:v>
      </x:c>
      <x:c r="BN403" s="64" t="n">
        <x:f>-ROUND(AK403*'Drivers'!AE403,3)</x:f>
        <x:v>-116.254</x:v>
      </x:c>
      <x:c r="BO403" s="64" t="n">
        <x:f>BL403+BN403</x:f>
        <x:v>263.1400000000001</x:v>
      </x:c>
      <x:c r="BP403" s="65" t="n">
        <x:f>BO403/AK403</x:f>
        <x:v>0.18000010944750902</x:v>
      </x:c>
    </x:row>
    <x:row r="404">
      <x:c r="A404" s="61" t="n">
        <x:v>2026</x:v>
      </x:c>
      <x:c r="B404" s="18" t="str">
        <x:v>S1</x:v>
      </x:c>
      <x:c r="C404" s="18" t="str">
        <x:v>2026 S1</x:v>
      </x:c>
      <x:c r="D404" s="18" t="str">
        <x:v>CNCT0101</x:v>
      </x:c>
      <x:c r="E404" s="18" t="str">
        <x:v>长沙海信广场</x:v>
      </x:c>
      <x:c r="F404" s="18" t="str">
        <x:v>长沙</x:v>
      </x:c>
      <x:c r="G404" s="18" t="str">
        <x:v>湖南省</x:v>
      </x:c>
      <x:c r="H404" s="18" t="str">
        <x:v>南区</x:v>
      </x:c>
      <x:c r="I404" s="18" t="str">
        <x:v>Shopping Mall</x:v>
      </x:c>
      <x:c r="J404" s="18" t="str">
        <x:v>Prestige Shopping Center</x:v>
      </x:c>
      <x:c r="K404" s="18" t="str">
        <x:v>正常</x:v>
      </x:c>
      <x:c r="L404" s="62" t="n">
        <x:v>4</x:v>
      </x:c>
      <x:c r="M404" s="62" t="n">
        <x:v>43</x:v>
      </x:c>
      <x:c r="N404" s="63" t="n">
        <x:f>'Drivers'!C404</x:f>
        <x:v>1483</x:v>
      </x:c>
      <x:c r="O404" s="63" t="n">
        <x:f>'Drivers'!D404</x:f>
        <x:v>1253.129</x:v>
      </x:c>
      <x:c r="P404" s="64" t="n">
        <x:f>ROUND(N404*O404/1000,3)</x:f>
        <x:v>1858.39</x:v>
      </x:c>
      <x:c r="Q404" s="64" t="n">
        <x:f>ROUND(P404*'Drivers'!E404,3)</x:f>
        <x:v>1782.13</x:v>
      </x:c>
      <x:c r="R404" s="64" t="n">
        <x:f>-ROUND(Q404*'Drivers'!F404,3)</x:f>
        <x:v>-291.168</x:v>
      </x:c>
      <x:c r="S404" s="65" t="n">
        <x:f>R404/Q404</x:f>
        <x:v>-0.16338202039132946</x:v>
      </x:c>
      <x:c r="T404" s="64" t="n">
        <x:f>-ROUND(Q404*'Drivers'!G404,3)</x:f>
        <x:v>-32.74</x:v>
      </x:c>
      <x:c r="U404" s="65" t="n">
        <x:f>T404/Q404</x:f>
        <x:v>-0.018371274822824375</x:v>
      </x:c>
      <x:c r="V404" s="64" t="n">
        <x:f>-ROUND(Q404*'Drivers'!H404,3)</x:f>
        <x:v>-14.829</x:v>
      </x:c>
      <x:c r="W404" s="64" t="n">
        <x:f>-ROUND(Q404*'Drivers'!I404,3)</x:f>
        <x:v>-11.939</x:v>
      </x:c>
      <x:c r="X404" s="64" t="n">
        <x:f>-ROUND(Q404*'Drivers'!J404,3)</x:f>
        <x:v>-25.407</x:v>
      </x:c>
      <x:c r="Y404" s="64" t="n">
        <x:f>-ROUND(Q404*'Drivers'!K404,3)</x:f>
        <x:v>-20.166</x:v>
      </x:c>
      <x:c r="Z404" s="64" t="n">
        <x:f>-ROUND(Q404*'Drivers'!L404,3)</x:f>
        <x:v>-20.177</x:v>
      </x:c>
      <x:c r="AA404" s="64" t="n">
        <x:f>-ROUND(Q404*'Drivers'!M404,3)</x:f>
        <x:v>-15.384</x:v>
      </x:c>
      <x:c r="AB404" s="64" t="n">
        <x:f>-ROUND(Q404*'Drivers'!N404,3)</x:f>
        <x:v>-12.639</x:v>
      </x:c>
      <x:c r="AC404" s="64" t="n">
        <x:f>SUM(V404:AB404)</x:f>
        <x:v>-120.541</x:v>
      </x:c>
      <x:c r="AD404" s="65" t="n">
        <x:f>AC404/Q404</x:f>
        <x:v>-0.06763872444771143</x:v>
      </x:c>
      <x:c r="AE404" s="64" t="n">
        <x:f>-ROUND(Q404*'Drivers'!O404,3)</x:f>
        <x:v>-30.829</x:v>
      </x:c>
      <x:c r="AF404" s="65" t="n">
        <x:f>AE404/Q404</x:f>
        <x:v>-0.017298962477484806</x:v>
      </x:c>
      <x:c r="AG404" s="64" t="n">
        <x:f>-ROUND(Q404*'Drivers'!P404,3)</x:f>
        <x:v>-0.893</x:v>
      </x:c>
      <x:c r="AH404" s="64" t="n">
        <x:f>-ROUND(Q404*'Drivers'!Q404,3)</x:f>
        <x:v>-3.813</x:v>
      </x:c>
      <x:c r="AI404" s="64" t="n">
        <x:f>SUM(R404,T404,AC404,AE404,AG404,AH404)</x:f>
        <x:v>-479.984</x:v>
      </x:c>
      <x:c r="AJ404" s="65" t="n">
        <x:f>AI404/Q404</x:f>
        <x:v>-0.2693316424727713</x:v>
      </x:c>
      <x:c r="AK404" s="64" t="n">
        <x:f>Q404+AI404</x:f>
        <x:v>1302.1460000000002</x:v>
      </x:c>
      <x:c r="AL404" s="65" t="n">
        <x:f>AK404/Q404</x:f>
        <x:v>0.7306683575272287</x:v>
      </x:c>
      <x:c r="AM404" s="64" t="n">
        <x:f>AK404/L404</x:f>
        <x:v>325.53650000000005</x:v>
      </x:c>
      <x:c r="AN404" s="66" t="str">
        <x:f>IF(AM404&lt;=200,"≤200K",IF(AM404&lt;=350,"200–350K",IF(AM404&lt;=500,"350–500K",IF(AM404&lt;=700,"500–700K","&gt;700K"))))</x:f>
        <x:v>200–350K</x:v>
      </x:c>
      <x:c r="AO404" s="64" t="n">
        <x:f>-ROUND(Q404*'Drivers'!R404,3)</x:f>
        <x:v>-668.387</x:v>
      </x:c>
      <x:c r="AP404" s="64" t="n">
        <x:f>-ROUND(AK404*'Drivers'!S404,3)</x:f>
        <x:v>-17.608</x:v>
      </x:c>
      <x:c r="AQ404" s="64" t="n">
        <x:f>-ROUND(AK404*'Drivers'!T404,3)</x:f>
        <x:v>-5.342</x:v>
      </x:c>
      <x:c r="AR404" s="64" t="n">
        <x:f>-ROUND(AK404*'Drivers'!U404,3)</x:f>
        <x:v>-15.459</x:v>
      </x:c>
      <x:c r="AS404" s="64" t="n">
        <x:f>-ROUND(AK404*'Drivers'!V404,3)</x:f>
        <x:v>-48.789</x:v>
      </x:c>
      <x:c r="AT404" s="64" t="n">
        <x:f>SUM(AO404:AS404)</x:f>
        <x:v>-755.5849999999998</x:v>
      </x:c>
      <x:c r="AU404" s="65" t="n">
        <x:f>AT404/AK404</x:f>
        <x:v>-0.5802613531815939</x:v>
      </x:c>
      <x:c r="AV404" s="64" t="n">
        <x:f>AK404+AT404</x:f>
        <x:v>546.5610000000004</x:v>
      </x:c>
      <x:c r="AW404" s="65" t="n">
        <x:f>AV404/AK404</x:f>
        <x:v>0.41973864681840617</x:v>
      </x:c>
      <x:c r="AX404" s="64" t="n">
        <x:f>-ROUND(AK404*'Drivers'!W404,3)</x:f>
        <x:v>-16.242</x:v>
      </x:c>
      <x:c r="AY404" s="64" t="n">
        <x:f>-ROUND(AK404*'Drivers'!X404,3)</x:f>
        <x:v>-32.136</x:v>
      </x:c>
      <x:c r="AZ404" s="64" t="n">
        <x:f>-ROUND(AK404*'Drivers'!Y404,3)</x:f>
        <x:v>-27.968</x:v>
      </x:c>
      <x:c r="BA404" s="64" t="n">
        <x:f>-ROUND(AK404*'Drivers'!Z404,3)</x:f>
        <x:v>-7.65</x:v>
      </x:c>
      <x:c r="BB404" s="64" t="n">
        <x:f>-ROUND(AK404*'Drivers'!AA404,3)</x:f>
        <x:v>-12.32</x:v>
      </x:c>
      <x:c r="BC404" s="64" t="n">
        <x:f>SUM(BA404,BB404)</x:f>
        <x:v>-19.97</x:v>
      </x:c>
      <x:c r="BD404" s="64" t="n">
        <x:f>-ROUND(AK404*'Drivers'!AB404,3)</x:f>
        <x:v>-6.109</x:v>
      </x:c>
      <x:c r="BE404" s="64" t="n">
        <x:f>SUM(AX404:BB404,BD404)</x:f>
        <x:v>-102.425</x:v>
      </x:c>
      <x:c r="BF404" s="67" t="n">
        <x:f>'Drivers'!AF404</x:f>
        <x:v>8</x:v>
      </x:c>
      <x:c r="BG404" s="64" t="n">
        <x:f>BJ404</x:f>
        <x:v>-32.927</x:v>
      </x:c>
      <x:c r="BH404" s="64" t="n">
        <x:f>BE404/BF404</x:f>
        <x:v>-12.803125</x:v>
      </x:c>
      <x:c r="BI404" s="68" t="n">
        <x:f>BF404/L404</x:f>
        <x:v>2</x:v>
      </x:c>
      <x:c r="BJ404" s="64" t="n">
        <x:f>-ROUND(AK404*'Drivers'!AC404,3)</x:f>
        <x:v>-32.927</x:v>
      </x:c>
      <x:c r="BK404" s="64" t="n">
        <x:f>-ROUND(AK404*'Drivers'!AD404,3)</x:f>
        <x:v>-104.695</x:v>
      </x:c>
      <x:c r="BL404" s="64" t="n">
        <x:f>SUM(AV404,BE404,BJ404,BK404)</x:f>
        <x:v>306.51400000000035</x:v>
      </x:c>
      <x:c r="BM404" s="65" t="n">
        <x:f>BL404/AK404</x:f>
        <x:v>0.23539142308159017</x:v>
      </x:c>
      <x:c r="BN404" s="64" t="n">
        <x:f>-ROUND(AK404*'Drivers'!AE404,3)</x:f>
        <x:v>-92.494</x:v>
      </x:c>
      <x:c r="BO404" s="64" t="n">
        <x:f>BL404+BN404</x:f>
        <x:v>214.02000000000035</x:v>
      </x:c>
      <x:c r="BP404" s="65" t="n">
        <x:f>BO404/AK404</x:f>
        <x:v>0.1643594497084047</x:v>
      </x:c>
    </x:row>
    <x:row r="405">
      <x:c r="A405" s="61" t="n">
        <x:v>2026</x:v>
      </x:c>
      <x:c r="B405" s="18" t="str">
        <x:v>S2</x:v>
      </x:c>
      <x:c r="C405" s="18" t="str">
        <x:v>2026 S2</x:v>
      </x:c>
      <x:c r="D405" s="18" t="str">
        <x:v>CNCT0101</x:v>
      </x:c>
      <x:c r="E405" s="18" t="str">
        <x:v>长沙海信广场</x:v>
      </x:c>
      <x:c r="F405" s="18" t="str">
        <x:v>长沙</x:v>
      </x:c>
      <x:c r="G405" s="18" t="str">
        <x:v>湖南省</x:v>
      </x:c>
      <x:c r="H405" s="18" t="str">
        <x:v>南区</x:v>
      </x:c>
      <x:c r="I405" s="18" t="str">
        <x:v>Shopping Mall</x:v>
      </x:c>
      <x:c r="J405" s="18" t="str">
        <x:v>Prestige Shopping Center</x:v>
      </x:c>
      <x:c r="K405" s="18" t="str">
        <x:v>正常</x:v>
      </x:c>
      <x:c r="L405" s="62" t="n">
        <x:v>4</x:v>
      </x:c>
      <x:c r="M405" s="62" t="n">
        <x:v>43</x:v>
      </x:c>
      <x:c r="N405" s="63" t="n">
        <x:f>'Drivers'!C405</x:f>
        <x:v>1616</x:v>
      </x:c>
      <x:c r="O405" s="63" t="n">
        <x:f>'Drivers'!D405</x:f>
        <x:v>1253.926</x:v>
      </x:c>
      <x:c r="P405" s="64" t="n">
        <x:f>ROUND(N405*O405/1000,3)</x:f>
        <x:v>2026.344</x:v>
      </x:c>
      <x:c r="Q405" s="64" t="n">
        <x:f>ROUND(P405*'Drivers'!E405,3)</x:f>
        <x:v>1992.983</x:v>
      </x:c>
      <x:c r="R405" s="64" t="n">
        <x:f>-ROUND(Q405*'Drivers'!F405,3)</x:f>
        <x:v>-328.767</x:v>
      </x:c>
      <x:c r="S405" s="65" t="n">
        <x:f>R405/Q405</x:f>
        <x:v>-0.16496227012473264</x:v>
      </x:c>
      <x:c r="T405" s="64" t="n">
        <x:f>-ROUND(Q405*'Drivers'!G405,3)</x:f>
        <x:v>-39.011</x:v>
      </x:c>
      <x:c r="U405" s="65" t="n">
        <x:f>T405/Q405</x:f>
        <x:v>-0.019574175996483666</x:v>
      </x:c>
      <x:c r="V405" s="64" t="n">
        <x:f>-ROUND(Q405*'Drivers'!H405,3)</x:f>
        <x:v>-16.584</x:v>
      </x:c>
      <x:c r="W405" s="64" t="n">
        <x:f>-ROUND(Q405*'Drivers'!I405,3)</x:f>
        <x:v>-13.352</x:v>
      </x:c>
      <x:c r="X405" s="64" t="n">
        <x:f>-ROUND(Q405*'Drivers'!J405,3)</x:f>
        <x:v>-28.413</x:v>
      </x:c>
      <x:c r="Y405" s="64" t="n">
        <x:f>-ROUND(Q405*'Drivers'!K405,3)</x:f>
        <x:v>-22.552</x:v>
      </x:c>
      <x:c r="Z405" s="64" t="n">
        <x:f>-ROUND(Q405*'Drivers'!L405,3)</x:f>
        <x:v>-22.564</x:v>
      </x:c>
      <x:c r="AA405" s="64" t="n">
        <x:f>-ROUND(Q405*'Drivers'!M405,3)</x:f>
        <x:v>-17.204</x:v>
      </x:c>
      <x:c r="AB405" s="64" t="n">
        <x:f>-ROUND(Q405*'Drivers'!N405,3)</x:f>
        <x:v>-14.134</x:v>
      </x:c>
      <x:c r="AC405" s="64" t="n">
        <x:f>SUM(V405:AB405)</x:f>
        <x:v>-134.803</x:v>
      </x:c>
      <x:c r="AD405" s="65" t="n">
        <x:f>AC405/Q405</x:f>
        <x:v>-0.06763881076757805</x:v>
      </x:c>
      <x:c r="AE405" s="64" t="n">
        <x:f>-ROUND(Q405*'Drivers'!O405,3)</x:f>
        <x:v>-31.644</x:v>
      </x:c>
      <x:c r="AF405" s="65" t="n">
        <x:f>AE405/Q405</x:f>
        <x:v>-0.01587770693478068</x:v>
      </x:c>
      <x:c r="AG405" s="64" t="n">
        <x:f>-ROUND(Q405*'Drivers'!P405,3)</x:f>
        <x:v>-0.999</x:v>
      </x:c>
      <x:c r="AH405" s="64" t="n">
        <x:f>-ROUND(Q405*'Drivers'!Q405,3)</x:f>
        <x:v>-4.264</x:v>
      </x:c>
      <x:c r="AI405" s="64" t="n">
        <x:f>SUM(R405,T405,AC405,AE405,AG405,AH405)</x:f>
        <x:v>-539.488</x:v>
      </x:c>
      <x:c r="AJ405" s="65" t="n">
        <x:f>AI405/Q405</x:f>
        <x:v>-0.27069372894801413</x:v>
      </x:c>
      <x:c r="AK405" s="64" t="n">
        <x:f>Q405+AI405</x:f>
        <x:v>1453.495</x:v>
      </x:c>
      <x:c r="AL405" s="65" t="n">
        <x:f>AK405/Q405</x:f>
        <x:v>0.7293062710519859</x:v>
      </x:c>
      <x:c r="AM405" s="64" t="n">
        <x:f>AK405/L405</x:f>
        <x:v>363.37375</x:v>
      </x:c>
      <x:c r="AN405" s="66" t="str">
        <x:f>IF(AM405&lt;=200,"≤200K",IF(AM405&lt;=350,"200–350K",IF(AM405&lt;=500,"350–500K",IF(AM405&lt;=700,"500–700K","&gt;700K"))))</x:f>
        <x:v>350–500K</x:v>
      </x:c>
      <x:c r="AO405" s="64" t="n">
        <x:f>-ROUND(Q405*'Drivers'!R405,3)</x:f>
        <x:v>-742.829</x:v>
      </x:c>
      <x:c r="AP405" s="64" t="n">
        <x:f>-ROUND(AK405*'Drivers'!S405,3)</x:f>
        <x:v>-19.655</x:v>
      </x:c>
      <x:c r="AQ405" s="64" t="n">
        <x:f>-ROUND(AK405*'Drivers'!T405,3)</x:f>
        <x:v>-5.963</x:v>
      </x:c>
      <x:c r="AR405" s="64" t="n">
        <x:f>-ROUND(AK405*'Drivers'!U405,3)</x:f>
        <x:v>-17.256</x:v>
      </x:c>
      <x:c r="AS405" s="64" t="n">
        <x:f>-ROUND(AK405*'Drivers'!V405,3)</x:f>
        <x:v>-54.46</x:v>
      </x:c>
      <x:c r="AT405" s="64" t="n">
        <x:f>SUM(AO405:AS405)</x:f>
        <x:v>-840.1629999999999</x:v>
      </x:c>
      <x:c r="AU405" s="65" t="n">
        <x:f>AT405/AK405</x:f>
        <x:v>-0.5780295081854426</x:v>
      </x:c>
      <x:c r="AV405" s="64" t="n">
        <x:f>AK405+AT405</x:f>
        <x:v>613.332</x:v>
      </x:c>
      <x:c r="AW405" s="65" t="n">
        <x:f>AV405/AK405</x:f>
        <x:v>0.42197049181455737</x:v>
      </x:c>
      <x:c r="AX405" s="64" t="n">
        <x:f>-ROUND(AK405*'Drivers'!W405,3)</x:f>
        <x:v>-15.618</x:v>
      </x:c>
      <x:c r="AY405" s="64" t="n">
        <x:f>-ROUND(AK405*'Drivers'!X405,3)</x:f>
        <x:v>-30.902</x:v>
      </x:c>
      <x:c r="AZ405" s="64" t="n">
        <x:f>-ROUND(AK405*'Drivers'!Y405,3)</x:f>
        <x:v>-26.894</x:v>
      </x:c>
      <x:c r="BA405" s="64" t="n">
        <x:f>-ROUND(AK405*'Drivers'!Z405,3)</x:f>
        <x:v>-7.357</x:v>
      </x:c>
      <x:c r="BB405" s="64" t="n">
        <x:f>-ROUND(AK405*'Drivers'!AA405,3)</x:f>
        <x:v>-11.847</x:v>
      </x:c>
      <x:c r="BC405" s="64" t="n">
        <x:f>SUM(BA405,BB405)</x:f>
        <x:v>-19.204</x:v>
      </x:c>
      <x:c r="BD405" s="64" t="n">
        <x:f>-ROUND(AK405*'Drivers'!AB405,3)</x:f>
        <x:v>-5.874</x:v>
      </x:c>
      <x:c r="BE405" s="64" t="n">
        <x:f>SUM(AX405:BB405,BD405)</x:f>
        <x:v>-98.49199999999999</x:v>
      </x:c>
      <x:c r="BF405" s="67" t="n">
        <x:f>'Drivers'!AF405</x:f>
        <x:v>8</x:v>
      </x:c>
      <x:c r="BG405" s="64" t="n">
        <x:f>BJ405</x:f>
        <x:v>-31.662</x:v>
      </x:c>
      <x:c r="BH405" s="64" t="n">
        <x:f>BE405/BF405</x:f>
        <x:v>-12.311499999999999</x:v>
      </x:c>
      <x:c r="BI405" s="68" t="n">
        <x:f>BF405/L405</x:f>
        <x:v>2</x:v>
      </x:c>
      <x:c r="BJ405" s="64" t="n">
        <x:f>-ROUND(AK405*'Drivers'!AC405,3)</x:f>
        <x:v>-31.662</x:v>
      </x:c>
      <x:c r="BK405" s="64" t="n">
        <x:f>-ROUND(AK405*'Drivers'!AD405,3)</x:f>
        <x:v>-116.864</x:v>
      </x:c>
      <x:c r="BL405" s="64" t="n">
        <x:f>SUM(AV405,BE405,BJ405,BK405)</x:f>
        <x:v>366.3140000000001</x:v>
      </x:c>
      <x:c r="BM405" s="65" t="n">
        <x:f>BL405/AK405</x:f>
        <x:v>0.2520228827756546</x:v>
      </x:c>
      <x:c r="BN405" s="64" t="n">
        <x:f>-ROUND(AK405*'Drivers'!AE405,3)</x:f>
        <x:v>-115.587</x:v>
      </x:c>
      <x:c r="BO405" s="64" t="n">
        <x:f>BL405+BN405</x:f>
        <x:v>250.7270000000001</x:v>
      </x:c>
      <x:c r="BP405" s="65" t="n">
        <x:f>BO405/AK405</x:f>
        <x:v>0.1724993894027844</x:v>
      </x:c>
    </x:row>
    <x:row r="406">
      <x:c r="A406" s="61" t="n">
        <x:v>2025</x:v>
      </x:c>
      <x:c r="B406" s="18" t="str">
        <x:v>S1</x:v>
      </x:c>
      <x:c r="C406" s="18" t="str">
        <x:v>2025 S1</x:v>
      </x:c>
      <x:c r="D406" s="18" t="str">
        <x:v>CNCT0102</x:v>
      </x:c>
      <x:c r="E406" s="18" t="str">
        <x:v>长沙友谊商店</x:v>
      </x:c>
      <x:c r="F406" s="18" t="str">
        <x:v>长沙</x:v>
      </x:c>
      <x:c r="G406" s="18" t="str">
        <x:v>湖南省</x:v>
      </x:c>
      <x:c r="H406" s="18" t="str">
        <x:v>南区</x:v>
      </x:c>
      <x:c r="I406" s="18" t="str">
        <x:v>Department Store</x:v>
      </x:c>
      <x:c r="J406" s="18" t="str">
        <x:v>Core Shopping Center</x:v>
      </x:c>
      <x:c r="K406" s="18" t="str">
        <x:v>正常</x:v>
      </x:c>
      <x:c r="L406" s="62" t="n">
        <x:v>5</x:v>
      </x:c>
      <x:c r="M406" s="62" t="n">
        <x:v>43</x:v>
      </x:c>
      <x:c r="N406" s="63" t="n">
        <x:f>'Drivers'!C406</x:f>
        <x:v>1745</x:v>
      </x:c>
      <x:c r="O406" s="63" t="n">
        <x:f>'Drivers'!D406</x:f>
        <x:v>1087.244</x:v>
      </x:c>
      <x:c r="P406" s="64" t="n">
        <x:f>ROUND(N406*O406/1000,3)</x:f>
        <x:v>1897.241</x:v>
      </x:c>
      <x:c r="Q406" s="64" t="n">
        <x:f>ROUND(P406*'Drivers'!E406,3)</x:f>
        <x:v>1828.935</x:v>
      </x:c>
      <x:c r="R406" s="64" t="n">
        <x:f>-ROUND(Q406*'Drivers'!F406,3)</x:f>
        <x:v>-290.861</x:v>
      </x:c>
      <x:c r="S406" s="65" t="n">
        <x:f>R406/Q406</x:f>
        <x:v>-0.15903298914395536</x:v>
      </x:c>
      <x:c r="T406" s="64" t="n">
        <x:f>-ROUND(Q406*'Drivers'!G406,3)</x:f>
        <x:v>-32.862</x:v>
      </x:c>
      <x:c r="U406" s="65" t="n">
        <x:f>T406/Q406</x:f>
        <x:v>-0.017967833739307302</x:v>
      </x:c>
      <x:c r="V406" s="64" t="n">
        <x:f>-ROUND(Q406*'Drivers'!H406,3)</x:f>
        <x:v>-12.865</x:v>
      </x:c>
      <x:c r="W406" s="64" t="n">
        <x:f>-ROUND(Q406*'Drivers'!I406,3)</x:f>
        <x:v>-14.329</x:v>
      </x:c>
      <x:c r="X406" s="64" t="n">
        <x:f>-ROUND(Q406*'Drivers'!J406,3)</x:f>
        <x:v>-20.381</x:v>
      </x:c>
      <x:c r="Y406" s="64" t="n">
        <x:f>-ROUND(Q406*'Drivers'!K406,3)</x:f>
        <x:v>-21.206</x:v>
      </x:c>
      <x:c r="Z406" s="64" t="n">
        <x:f>-ROUND(Q406*'Drivers'!L406,3)</x:f>
        <x:v>-21.088</x:v>
      </x:c>
      <x:c r="AA406" s="64" t="n">
        <x:f>-ROUND(Q406*'Drivers'!M406,3)</x:f>
        <x:v>-13.95</x:v>
      </x:c>
      <x:c r="AB406" s="64" t="n">
        <x:f>-ROUND(Q406*'Drivers'!N406,3)</x:f>
        <x:v>-9.229</x:v>
      </x:c>
      <x:c r="AC406" s="64" t="n">
        <x:f>SUM(V406:AB406)</x:f>
        <x:v>-113.048</x:v>
      </x:c>
      <x:c r="AD406" s="65" t="n">
        <x:f>AC406/Q406</x:f>
        <x:v>-0.06181083526751908</x:v>
      </x:c>
      <x:c r="AE406" s="64" t="n">
        <x:f>-ROUND(Q406*'Drivers'!O406,3)</x:f>
        <x:v>-16.964</x:v>
      </x:c>
      <x:c r="AF406" s="65" t="n">
        <x:f>AE406/Q406</x:f>
        <x:v>-0.009275343300882753</x:v>
      </x:c>
      <x:c r="AG406" s="64" t="n">
        <x:f>-ROUND(Q406*'Drivers'!P406,3)</x:f>
        <x:v>-3.502</x:v>
      </x:c>
      <x:c r="AH406" s="64" t="n">
        <x:f>-ROUND(Q406*'Drivers'!Q406,3)</x:f>
        <x:v>-2.496</x:v>
      </x:c>
      <x:c r="AI406" s="64" t="n">
        <x:f>SUM(R406,T406,AC406,AE406,AG406,AH406)</x:f>
        <x:v>-459.733</x:v>
      </x:c>
      <x:c r="AJ406" s="65" t="n">
        <x:f>AI406/Q406</x:f>
        <x:v>-0.251366505643995</x:v>
      </x:c>
      <x:c r="AK406" s="64" t="n">
        <x:f>Q406+AI406</x:f>
        <x:v>1369.202</x:v>
      </x:c>
      <x:c r="AL406" s="65" t="n">
        <x:f>AK406/Q406</x:f>
        <x:v>0.748633494356005</x:v>
      </x:c>
      <x:c r="AM406" s="64" t="n">
        <x:f>AK406/L406</x:f>
        <x:v>273.8404</x:v>
      </x:c>
      <x:c r="AN406" s="66" t="str">
        <x:f>IF(AM406&lt;=200,"≤200K",IF(AM406&lt;=350,"200–350K",IF(AM406&lt;=500,"350–500K",IF(AM406&lt;=700,"500–700K","&gt;700K"))))</x:f>
        <x:v>200–350K</x:v>
      </x:c>
      <x:c r="AO406" s="64" t="n">
        <x:f>-ROUND(Q406*'Drivers'!R406,3)</x:f>
        <x:v>-713.132</x:v>
      </x:c>
      <x:c r="AP406" s="64" t="n">
        <x:f>-ROUND(AK406*'Drivers'!S406,3)</x:f>
        <x:v>-17.098</x:v>
      </x:c>
      <x:c r="AQ406" s="64" t="n">
        <x:f>-ROUND(AK406*'Drivers'!T406,3)</x:f>
        <x:v>-6.792</x:v>
      </x:c>
      <x:c r="AR406" s="64" t="n">
        <x:f>-ROUND(AK406*'Drivers'!U406,3)</x:f>
        <x:v>-9.339</x:v>
      </x:c>
      <x:c r="AS406" s="64" t="n">
        <x:f>-ROUND(AK406*'Drivers'!V406,3)</x:f>
        <x:v>-41.882</x:v>
      </x:c>
      <x:c r="AT406" s="64" t="n">
        <x:f>SUM(AO406:AS406)</x:f>
        <x:v>-788.2429999999999</x:v>
      </x:c>
      <x:c r="AU406" s="65" t="n">
        <x:f>AT406/AK406</x:f>
        <x:v>-0.5756951859550307</x:v>
      </x:c>
      <x:c r="AV406" s="64" t="n">
        <x:f>AK406+AT406</x:f>
        <x:v>580.9590000000001</x:v>
      </x:c>
      <x:c r="AW406" s="65" t="n">
        <x:f>AV406/AK406</x:f>
        <x:v>0.4243048140449693</x:v>
      </x:c>
      <x:c r="AX406" s="64" t="n">
        <x:f>-ROUND(AK406*'Drivers'!W406,3)</x:f>
        <x:v>-13.801</x:v>
      </x:c>
      <x:c r="AY406" s="64" t="n">
        <x:f>-ROUND(AK406*'Drivers'!X406,3)</x:f>
        <x:v>-37.055</x:v>
      </x:c>
      <x:c r="AZ406" s="64" t="n">
        <x:f>-ROUND(AK406*'Drivers'!Y406,3)</x:f>
        <x:v>-22.187</x:v>
      </x:c>
      <x:c r="BA406" s="64" t="n">
        <x:f>-ROUND(AK406*'Drivers'!Z406,3)</x:f>
        <x:v>-11.218</x:v>
      </x:c>
      <x:c r="BB406" s="64" t="n">
        <x:f>-ROUND(AK406*'Drivers'!AA406,3)</x:f>
        <x:v>-11.181</x:v>
      </x:c>
      <x:c r="BC406" s="64" t="n">
        <x:f>SUM(BA406,BB406)</x:f>
        <x:v>-22.399</x:v>
      </x:c>
      <x:c r="BD406" s="64" t="n">
        <x:f>-ROUND(AK406*'Drivers'!AB406,3)</x:f>
        <x:v>-6.822</x:v>
      </x:c>
      <x:c r="BE406" s="64" t="n">
        <x:f>SUM(AX406:BB406,BD406)</x:f>
        <x:v>-102.26400000000001</x:v>
      </x:c>
      <x:c r="BF406" s="67" t="n">
        <x:f>'Drivers'!AF406</x:f>
        <x:v>9</x:v>
      </x:c>
      <x:c r="BG406" s="64" t="n">
        <x:f>BJ406</x:f>
        <x:v>-33.647</x:v>
      </x:c>
      <x:c r="BH406" s="64" t="n">
        <x:f>BE406/BF406</x:f>
        <x:v>-11.362666666666668</x:v>
      </x:c>
      <x:c r="BI406" s="68" t="n">
        <x:f>BF406/L406</x:f>
        <x:v>1.8</x:v>
      </x:c>
      <x:c r="BJ406" s="64" t="n">
        <x:f>-ROUND(AK406*'Drivers'!AC406,3)</x:f>
        <x:v>-33.647</x:v>
      </x:c>
      <x:c r="BK406" s="64" t="n">
        <x:f>-ROUND(AK406*'Drivers'!AD406,3)</x:f>
        <x:v>-142.807</x:v>
      </x:c>
      <x:c r="BL406" s="64" t="n">
        <x:f>SUM(AV406,BE406,BJ406,BK406)</x:f>
        <x:v>302.2410000000001</x:v>
      </x:c>
      <x:c r="BM406" s="65" t="n">
        <x:f>BL406/AK406</x:f>
        <x:v>0.2207424470604046</x:v>
      </x:c>
      <x:c r="BN406" s="64" t="n">
        <x:f>-ROUND(AK406*'Drivers'!AE406,3)</x:f>
        <x:v>-121.306</x:v>
      </x:c>
      <x:c r="BO406" s="64" t="n">
        <x:f>BL406+BN406</x:f>
        <x:v>180.93500000000012</x:v>
      </x:c>
      <x:c r="BP406" s="65" t="n">
        <x:f>BO406/AK406</x:f>
        <x:v>0.1321463158832664</x:v>
      </x:c>
    </x:row>
    <x:row r="407">
      <x:c r="A407" s="61" t="n">
        <x:v>2025</x:v>
      </x:c>
      <x:c r="B407" s="18" t="str">
        <x:v>S2</x:v>
      </x:c>
      <x:c r="C407" s="18" t="str">
        <x:v>2025 S2</x:v>
      </x:c>
      <x:c r="D407" s="18" t="str">
        <x:v>CNCT0102</x:v>
      </x:c>
      <x:c r="E407" s="18" t="str">
        <x:v>长沙友谊商店</x:v>
      </x:c>
      <x:c r="F407" s="18" t="str">
        <x:v>长沙</x:v>
      </x:c>
      <x:c r="G407" s="18" t="str">
        <x:v>湖南省</x:v>
      </x:c>
      <x:c r="H407" s="18" t="str">
        <x:v>南区</x:v>
      </x:c>
      <x:c r="I407" s="18" t="str">
        <x:v>Department Store</x:v>
      </x:c>
      <x:c r="J407" s="18" t="str">
        <x:v>Core Shopping Center</x:v>
      </x:c>
      <x:c r="K407" s="18" t="str">
        <x:v>正常</x:v>
      </x:c>
      <x:c r="L407" s="62" t="n">
        <x:v>5</x:v>
      </x:c>
      <x:c r="M407" s="62" t="n">
        <x:v>43</x:v>
      </x:c>
      <x:c r="N407" s="63" t="n">
        <x:f>'Drivers'!C407</x:f>
        <x:v>1892</x:v>
      </x:c>
      <x:c r="O407" s="63" t="n">
        <x:f>'Drivers'!D407</x:f>
        <x:v>1100.291</x:v>
      </x:c>
      <x:c r="P407" s="64" t="n">
        <x:f>ROUND(N407*O407/1000,3)</x:f>
        <x:v>2081.751</x:v>
      </x:c>
      <x:c r="Q407" s="64" t="n">
        <x:f>ROUND(P407*'Drivers'!E407,3)</x:f>
        <x:v>2041.493</x:v>
      </x:c>
      <x:c r="R407" s="64" t="n">
        <x:f>-ROUND(Q407*'Drivers'!F407,3)</x:f>
        <x:v>-324.664</x:v>
      </x:c>
      <x:c r="S407" s="65" t="n">
        <x:f>R407/Q407</x:f>
        <x:v>-0.15903262955101977</x:v>
      </x:c>
      <x:c r="T407" s="64" t="n">
        <x:f>-ROUND(Q407*'Drivers'!G407,3)</x:f>
        <x:v>-36.681</x:v>
      </x:c>
      <x:c r="U407" s="65" t="n">
        <x:f>T407/Q407</x:f>
        <x:v>-0.017967732438955216</x:v>
      </x:c>
      <x:c r="V407" s="64" t="n">
        <x:f>-ROUND(Q407*'Drivers'!H407,3)</x:f>
        <x:v>-14.36</x:v>
      </x:c>
      <x:c r="W407" s="64" t="n">
        <x:f>-ROUND(Q407*'Drivers'!I407,3)</x:f>
        <x:v>-15.994</x:v>
      </x:c>
      <x:c r="X407" s="64" t="n">
        <x:f>-ROUND(Q407*'Drivers'!J407,3)</x:f>
        <x:v>-22.75</x:v>
      </x:c>
      <x:c r="Y407" s="64" t="n">
        <x:f>-ROUND(Q407*'Drivers'!K407,3)</x:f>
        <x:v>-23.671</x:v>
      </x:c>
      <x:c r="Z407" s="64" t="n">
        <x:f>-ROUND(Q407*'Drivers'!L407,3)</x:f>
        <x:v>-23.539</x:v>
      </x:c>
      <x:c r="AA407" s="64" t="n">
        <x:f>-ROUND(Q407*'Drivers'!M407,3)</x:f>
        <x:v>-15.571</x:v>
      </x:c>
      <x:c r="AB407" s="64" t="n">
        <x:f>-ROUND(Q407*'Drivers'!N407,3)</x:f>
        <x:v>-10.302</x:v>
      </x:c>
      <x:c r="AC407" s="64" t="n">
        <x:f>SUM(V407:AB407)</x:f>
        <x:v>-126.18700000000001</x:v>
      </x:c>
      <x:c r="AD407" s="65" t="n">
        <x:f>AC407/Q407</x:f>
        <x:v>-0.061811135281874596</x:v>
      </x:c>
      <x:c r="AE407" s="64" t="n">
        <x:f>-ROUND(Q407*'Drivers'!O407,3)</x:f>
        <x:v>-18.935</x:v>
      </x:c>
      <x:c r="AF407" s="65" t="n">
        <x:f>AE407/Q407</x:f>
        <x:v>-0.009275074663493825</x:v>
      </x:c>
      <x:c r="AG407" s="64" t="n">
        <x:f>-ROUND(Q407*'Drivers'!P407,3)</x:f>
        <x:v>-3.909</x:v>
      </x:c>
      <x:c r="AH407" s="64" t="n">
        <x:f>-ROUND(Q407*'Drivers'!Q407,3)</x:f>
        <x:v>-2.786</x:v>
      </x:c>
      <x:c r="AI407" s="64" t="n">
        <x:f>SUM(R407,T407,AC407,AE407,AG407,AH407)</x:f>
        <x:v>-513.1619999999999</x:v>
      </x:c>
      <x:c r="AJ407" s="65" t="n">
        <x:f>AI407/Q407</x:f>
        <x:v>-0.2513660345639196</x:v>
      </x:c>
      <x:c r="AK407" s="64" t="n">
        <x:f>Q407+AI407</x:f>
        <x:v>1528.3310000000001</x:v>
      </x:c>
      <x:c r="AL407" s="65" t="n">
        <x:f>AK407/Q407</x:f>
        <x:v>0.7486339654360804</x:v>
      </x:c>
      <x:c r="AM407" s="64" t="n">
        <x:f>AK407/L407</x:f>
        <x:v>305.6662</x:v>
      </x:c>
      <x:c r="AN407" s="66" t="str">
        <x:f>IF(AM407&lt;=200,"≤200K",IF(AM407&lt;=350,"200–350K",IF(AM407&lt;=500,"350–500K",IF(AM407&lt;=700,"500–700K","&gt;700K"))))</x:f>
        <x:v>200–350K</x:v>
      </x:c>
      <x:c r="AO407" s="64" t="n">
        <x:f>-ROUND(Q407*'Drivers'!R407,3)</x:f>
        <x:v>-778.725</x:v>
      </x:c>
      <x:c r="AP407" s="64" t="n">
        <x:f>-ROUND(AK407*'Drivers'!S407,3)</x:f>
        <x:v>-19.085</x:v>
      </x:c>
      <x:c r="AQ407" s="64" t="n">
        <x:f>-ROUND(AK407*'Drivers'!T407,3)</x:f>
        <x:v>-7.582</x:v>
      </x:c>
      <x:c r="AR407" s="64" t="n">
        <x:f>-ROUND(AK407*'Drivers'!U407,3)</x:f>
        <x:v>-10.425</x:v>
      </x:c>
      <x:c r="AS407" s="64" t="n">
        <x:f>-ROUND(AK407*'Drivers'!V407,3)</x:f>
        <x:v>-46.749</x:v>
      </x:c>
      <x:c r="AT407" s="64" t="n">
        <x:f>SUM(AO407:AS407)</x:f>
        <x:v>-862.566</x:v>
      </x:c>
      <x:c r="AU407" s="65" t="n">
        <x:f>AT407/AK407</x:f>
        <x:v>-0.5643842858647766</x:v>
      </x:c>
      <x:c r="AV407" s="64" t="n">
        <x:f>AK407+AT407</x:f>
        <x:v>665.7650000000001</x:v>
      </x:c>
      <x:c r="AW407" s="65" t="n">
        <x:f>AV407/AK407</x:f>
        <x:v>0.4356157141352234</x:v>
      </x:c>
      <x:c r="AX407" s="64" t="n">
        <x:f>-ROUND(AK407*'Drivers'!W407,3)</x:f>
        <x:v>-15.404</x:v>
      </x:c>
      <x:c r="AY407" s="64" t="n">
        <x:f>-ROUND(AK407*'Drivers'!X407,3)</x:f>
        <x:v>-41.362</x:v>
      </x:c>
      <x:c r="AZ407" s="64" t="n">
        <x:f>-ROUND(AK407*'Drivers'!Y407,3)</x:f>
        <x:v>-24.765</x:v>
      </x:c>
      <x:c r="BA407" s="64" t="n">
        <x:f>-ROUND(AK407*'Drivers'!Z407,3)</x:f>
        <x:v>-12.521</x:v>
      </x:c>
      <x:c r="BB407" s="64" t="n">
        <x:f>-ROUND(AK407*'Drivers'!AA407,3)</x:f>
        <x:v>-12.481</x:v>
      </x:c>
      <x:c r="BC407" s="64" t="n">
        <x:f>SUM(BA407,BB407)</x:f>
        <x:v>-25.002000000000002</x:v>
      </x:c>
      <x:c r="BD407" s="64" t="n">
        <x:f>-ROUND(AK407*'Drivers'!AB407,3)</x:f>
        <x:v>-7.615</x:v>
      </x:c>
      <x:c r="BE407" s="64" t="n">
        <x:f>SUM(AX407:BB407,BD407)</x:f>
        <x:v>-114.148</x:v>
      </x:c>
      <x:c r="BF407" s="67" t="n">
        <x:f>'Drivers'!AF407</x:f>
        <x:v>9</x:v>
      </x:c>
      <x:c r="BG407" s="64" t="n">
        <x:f>BJ407</x:f>
        <x:v>-37.558</x:v>
      </x:c>
      <x:c r="BH407" s="64" t="n">
        <x:f>BE407/BF407</x:f>
        <x:v>-12.68311111111111</x:v>
      </x:c>
      <x:c r="BI407" s="68" t="n">
        <x:f>BF407/L407</x:f>
        <x:v>1.8</x:v>
      </x:c>
      <x:c r="BJ407" s="64" t="n">
        <x:f>-ROUND(AK407*'Drivers'!AC407,3)</x:f>
        <x:v>-37.558</x:v>
      </x:c>
      <x:c r="BK407" s="64" t="n">
        <x:f>-ROUND(AK407*'Drivers'!AD407,3)</x:f>
        <x:v>-159.404</x:v>
      </x:c>
      <x:c r="BL407" s="64" t="n">
        <x:f>SUM(AV407,BE407,BJ407,BK407)</x:f>
        <x:v>354.6550000000001</x:v>
      </x:c>
      <x:c r="BM407" s="65" t="n">
        <x:f>BL407/AK407</x:f>
        <x:v>0.23205378939509835</x:v>
      </x:c>
      <x:c r="BN407" s="64" t="n">
        <x:f>-ROUND(AK407*'Drivers'!AE407,3)</x:f>
        <x:v>-135.405</x:v>
      </x:c>
      <x:c r="BO407" s="64" t="n">
        <x:f>BL407+BN407</x:f>
        <x:v>219.25000000000009</x:v>
      </x:c>
      <x:c r="BP407" s="65" t="n">
        <x:f>BO407/AK407</x:f>
        <x:v>0.14345714377317484</x:v>
      </x:c>
    </x:row>
    <x:row r="408">
      <x:c r="A408" s="61" t="n">
        <x:v>2026</x:v>
      </x:c>
      <x:c r="B408" s="18" t="str">
        <x:v>S1</x:v>
      </x:c>
      <x:c r="C408" s="18" t="str">
        <x:v>2026 S1</x:v>
      </x:c>
      <x:c r="D408" s="18" t="str">
        <x:v>CNCT0102</x:v>
      </x:c>
      <x:c r="E408" s="18" t="str">
        <x:v>长沙友谊商店</x:v>
      </x:c>
      <x:c r="F408" s="18" t="str">
        <x:v>长沙</x:v>
      </x:c>
      <x:c r="G408" s="18" t="str">
        <x:v>湖南省</x:v>
      </x:c>
      <x:c r="H408" s="18" t="str">
        <x:v>南区</x:v>
      </x:c>
      <x:c r="I408" s="18" t="str">
        <x:v>Department Store</x:v>
      </x:c>
      <x:c r="J408" s="18" t="str">
        <x:v>Core Shopping Center</x:v>
      </x:c>
      <x:c r="K408" s="18" t="str">
        <x:v>正常</x:v>
      </x:c>
      <x:c r="L408" s="62" t="n">
        <x:v>5</x:v>
      </x:c>
      <x:c r="M408" s="62" t="n">
        <x:v>43</x:v>
      </x:c>
      <x:c r="N408" s="63" t="n">
        <x:f>'Drivers'!C408</x:f>
        <x:v>1685</x:v>
      </x:c>
      <x:c r="O408" s="63" t="n">
        <x:f>'Drivers'!D408</x:f>
        <x:v>1148.832</x:v>
      </x:c>
      <x:c r="P408" s="64" t="n">
        <x:f>ROUND(N408*O408/1000,3)</x:f>
        <x:v>1935.782</x:v>
      </x:c>
      <x:c r="Q408" s="64" t="n">
        <x:f>ROUND(P408*'Drivers'!E408,3)</x:f>
        <x:v>1869.172</x:v>
      </x:c>
      <x:c r="R408" s="64" t="n">
        <x:f>-ROUND(Q408*'Drivers'!F408,3)</x:f>
        <x:v>-290.272</x:v>
      </x:c>
      <x:c r="S408" s="65" t="n">
        <x:f>R408/Q408</x:f>
        <x:v>-0.15529442983310257</x:v>
      </x:c>
      <x:c r="T408" s="64" t="n">
        <x:f>-ROUND(Q408*'Drivers'!G408,3)</x:f>
        <x:v>-31.492</x:v>
      </x:c>
      <x:c r="U408" s="65" t="n">
        <x:f>T408/Q408</x:f>
        <x:v>-0.016848101726325882</x:v>
      </x:c>
      <x:c r="V408" s="64" t="n">
        <x:f>-ROUND(Q408*'Drivers'!H408,3)</x:f>
        <x:v>-13.148</x:v>
      </x:c>
      <x:c r="W408" s="64" t="n">
        <x:f>-ROUND(Q408*'Drivers'!I408,3)</x:f>
        <x:v>-14.644</x:v>
      </x:c>
      <x:c r="X408" s="64" t="n">
        <x:f>-ROUND(Q408*'Drivers'!J408,3)</x:f>
        <x:v>-20.829</x:v>
      </x:c>
      <x:c r="Y408" s="64" t="n">
        <x:f>-ROUND(Q408*'Drivers'!K408,3)</x:f>
        <x:v>-21.673</x:v>
      </x:c>
      <x:c r="Z408" s="64" t="n">
        <x:f>-ROUND(Q408*'Drivers'!L408,3)</x:f>
        <x:v>-21.552</x:v>
      </x:c>
      <x:c r="AA408" s="64" t="n">
        <x:f>-ROUND(Q408*'Drivers'!M408,3)</x:f>
        <x:v>-14.257</x:v>
      </x:c>
      <x:c r="AB408" s="64" t="n">
        <x:f>-ROUND(Q408*'Drivers'!N408,3)</x:f>
        <x:v>-9.433</x:v>
      </x:c>
      <x:c r="AC408" s="64" t="n">
        <x:f>SUM(V408:AB408)</x:f>
        <x:v>-115.536</x:v>
      </x:c>
      <x:c r="AD408" s="65" t="n">
        <x:f>AC408/Q408</x:f>
        <x:v>-0.061811326084490886</x:v>
      </x:c>
      <x:c r="AE408" s="64" t="n">
        <x:f>-ROUND(Q408*'Drivers'!O408,3)</x:f>
        <x:v>-17.672</x:v>
      </x:c>
      <x:c r="AF408" s="65" t="n">
        <x:f>AE408/Q408</x:f>
        <x:v>-0.009454453629735519</x:v>
      </x:c>
      <x:c r="AG408" s="64" t="n">
        <x:f>-ROUND(Q408*'Drivers'!P408,3)</x:f>
        <x:v>-3.579</x:v>
      </x:c>
      <x:c r="AH408" s="64" t="n">
        <x:f>-ROUND(Q408*'Drivers'!Q408,3)</x:f>
        <x:v>-2.551</x:v>
      </x:c>
      <x:c r="AI408" s="64" t="n">
        <x:f>SUM(R408,T408,AC408,AE408,AG408,AH408)</x:f>
        <x:v>-461.10200000000003</x:v>
      </x:c>
      <x:c r="AJ408" s="65" t="n">
        <x:f>AI408/Q408</x:f>
        <x:v>-0.2466878382513755</x:v>
      </x:c>
      <x:c r="AK408" s="64" t="n">
        <x:f>Q408+AI408</x:f>
        <x:v>1408.07</x:v>
      </x:c>
      <x:c r="AL408" s="65" t="n">
        <x:f>AK408/Q408</x:f>
        <x:v>0.7533121617486245</x:v>
      </x:c>
      <x:c r="AM408" s="64" t="n">
        <x:f>AK408/L408</x:f>
        <x:v>281.614</x:v>
      </x:c>
      <x:c r="AN408" s="66" t="str">
        <x:f>IF(AM408&lt;=200,"≤200K",IF(AM408&lt;=350,"200–350K",IF(AM408&lt;=500,"350–500K",IF(AM408&lt;=700,"500–700K","&gt;700K"))))</x:f>
        <x:v>200–350K</x:v>
      </x:c>
      <x:c r="AO408" s="64" t="n">
        <x:f>-ROUND(Q408*'Drivers'!R408,3)</x:f>
        <x:v>-734.569</x:v>
      </x:c>
      <x:c r="AP408" s="64" t="n">
        <x:f>-ROUND(AK408*'Drivers'!S408,3)</x:f>
        <x:v>-17.583</x:v>
      </x:c>
      <x:c r="AQ408" s="64" t="n">
        <x:f>-ROUND(AK408*'Drivers'!T408,3)</x:f>
        <x:v>-6.985</x:v>
      </x:c>
      <x:c r="AR408" s="64" t="n">
        <x:f>-ROUND(AK408*'Drivers'!U408,3)</x:f>
        <x:v>-9.604</x:v>
      </x:c>
      <x:c r="AS408" s="64" t="n">
        <x:f>-ROUND(AK408*'Drivers'!V408,3)</x:f>
        <x:v>-43.071</x:v>
      </x:c>
      <x:c r="AT408" s="64" t="n">
        <x:f>SUM(AO408:AS408)</x:f>
        <x:v>-811.812</x:v>
      </x:c>
      <x:c r="AU408" s="65" t="n">
        <x:f>AT408/AK408</x:f>
        <x:v>-0.5765423593997457</x:v>
      </x:c>
      <x:c r="AV408" s="64" t="n">
        <x:f>AK408+AT408</x:f>
        <x:v>596.2579999999999</x:v>
      </x:c>
      <x:c r="AW408" s="65" t="n">
        <x:f>AV408/AK408</x:f>
        <x:v>0.4234576406002542</x:v>
      </x:c>
      <x:c r="AX408" s="64" t="n">
        <x:f>-ROUND(AK408*'Drivers'!W408,3)</x:f>
        <x:v>-17.463</x:v>
      </x:c>
      <x:c r="AY408" s="64" t="n">
        <x:f>-ROUND(AK408*'Drivers'!X408,3)</x:f>
        <x:v>-46.889</x:v>
      </x:c>
      <x:c r="AZ408" s="64" t="n">
        <x:f>-ROUND(AK408*'Drivers'!Y408,3)</x:f>
        <x:v>-28.074</x:v>
      </x:c>
      <x:c r="BA408" s="64" t="n">
        <x:f>-ROUND(AK408*'Drivers'!Z408,3)</x:f>
        <x:v>-14.195</x:v>
      </x:c>
      <x:c r="BB408" s="64" t="n">
        <x:f>-ROUND(AK408*'Drivers'!AA408,3)</x:f>
        <x:v>-14.148</x:v>
      </x:c>
      <x:c r="BC408" s="64" t="n">
        <x:f>SUM(BA408,BB408)</x:f>
        <x:v>-28.343</x:v>
      </x:c>
      <x:c r="BD408" s="64" t="n">
        <x:f>-ROUND(AK408*'Drivers'!AB408,3)</x:f>
        <x:v>-8.633</x:v>
      </x:c>
      <x:c r="BE408" s="64" t="n">
        <x:f>SUM(AX408:BB408,BD408)</x:f>
        <x:v>-129.40200000000002</x:v>
      </x:c>
      <x:c r="BF408" s="67" t="n">
        <x:f>'Drivers'!AF408</x:f>
        <x:v>9</x:v>
      </x:c>
      <x:c r="BG408" s="64" t="n">
        <x:f>BJ408</x:f>
        <x:v>-42.577</x:v>
      </x:c>
      <x:c r="BH408" s="64" t="n">
        <x:f>BE408/BF408</x:f>
        <x:v>-14.378000000000002</x:v>
      </x:c>
      <x:c r="BI408" s="68" t="n">
        <x:f>BF408/L408</x:f>
        <x:v>1.8</x:v>
      </x:c>
      <x:c r="BJ408" s="64" t="n">
        <x:f>-ROUND(AK408*'Drivers'!AC408,3)</x:f>
        <x:v>-42.577</x:v>
      </x:c>
      <x:c r="BK408" s="64" t="n">
        <x:f>-ROUND(AK408*'Drivers'!AD408,3)</x:f>
        <x:v>-146.861</x:v>
      </x:c>
      <x:c r="BL408" s="64" t="n">
        <x:f>SUM(AV408,BE408,BJ408,BK408)</x:f>
        <x:v>277.4179999999999</x:v>
      </x:c>
      <x:c r="BM408" s="65" t="n">
        <x:f>BL408/AK408</x:f>
        <x:v>0.19702003451532943</x:v>
      </x:c>
      <x:c r="BN408" s="64" t="n">
        <x:f>-ROUND(AK408*'Drivers'!AE408,3)</x:f>
        <x:v>-124.75</x:v>
      </x:c>
      <x:c r="BO408" s="64" t="n">
        <x:f>BL408+BN408</x:f>
        <x:v>152.6679999999999</x:v>
      </x:c>
      <x:c r="BP408" s="65" t="n">
        <x:f>BO408/AK408</x:f>
        <x:v>0.1084235868955378</x:v>
      </x:c>
    </x:row>
    <x:row r="409">
      <x:c r="A409" s="61" t="n">
        <x:v>2026</x:v>
      </x:c>
      <x:c r="B409" s="18" t="str">
        <x:v>S2</x:v>
      </x:c>
      <x:c r="C409" s="18" t="str">
        <x:v>2026 S2</x:v>
      </x:c>
      <x:c r="D409" s="18" t="str">
        <x:v>CNCT0102</x:v>
      </x:c>
      <x:c r="E409" s="18" t="str">
        <x:v>长沙友谊商店</x:v>
      </x:c>
      <x:c r="F409" s="18" t="str">
        <x:v>长沙</x:v>
      </x:c>
      <x:c r="G409" s="18" t="str">
        <x:v>湖南省</x:v>
      </x:c>
      <x:c r="H409" s="18" t="str">
        <x:v>南区</x:v>
      </x:c>
      <x:c r="I409" s="18" t="str">
        <x:v>Department Store</x:v>
      </x:c>
      <x:c r="J409" s="18" t="str">
        <x:v>Core Shopping Center</x:v>
      </x:c>
      <x:c r="K409" s="18" t="str">
        <x:v>正常</x:v>
      </x:c>
      <x:c r="L409" s="62" t="n">
        <x:v>5</x:v>
      </x:c>
      <x:c r="M409" s="62" t="n">
        <x:v>43</x:v>
      </x:c>
      <x:c r="N409" s="63" t="n">
        <x:f>'Drivers'!C409</x:f>
        <x:v>1884</x:v>
      </x:c>
      <x:c r="O409" s="63" t="n">
        <x:f>'Drivers'!D409</x:f>
        <x:v>1136.104</x:v>
      </x:c>
      <x:c r="P409" s="64" t="n">
        <x:f>ROUND(N409*O409/1000,3)</x:f>
        <x:v>2140.42</x:v>
      </x:c>
      <x:c r="Q409" s="64" t="n">
        <x:f>ROUND(P409*'Drivers'!E409,3)</x:f>
        <x:v>2099.027</x:v>
      </x:c>
      <x:c r="R409" s="64" t="n">
        <x:f>-ROUND(Q409*'Drivers'!F409,3)</x:f>
        <x:v>-320.12</x:v>
      </x:c>
      <x:c r="S409" s="65" t="n">
        <x:f>R409/Q409</x:f>
        <x:v>-0.15250875762913008</x:v>
      </x:c>
      <x:c r="T409" s="64" t="n">
        <x:f>-ROUND(Q409*'Drivers'!G409,3)</x:f>
        <x:v>-35.379</x:v>
      </x:c>
      <x:c r="U409" s="65" t="n">
        <x:f>T409/Q409</x:f>
        <x:v>-0.016854952318383708</x:v>
      </x:c>
      <x:c r="V409" s="64" t="n">
        <x:f>-ROUND(Q409*'Drivers'!H409,3)</x:f>
        <x:v>-14.765</x:v>
      </x:c>
      <x:c r="W409" s="64" t="n">
        <x:f>-ROUND(Q409*'Drivers'!I409,3)</x:f>
        <x:v>-16.445</x:v>
      </x:c>
      <x:c r="X409" s="64" t="n">
        <x:f>-ROUND(Q409*'Drivers'!J409,3)</x:f>
        <x:v>-23.391</x:v>
      </x:c>
      <x:c r="Y409" s="64" t="n">
        <x:f>-ROUND(Q409*'Drivers'!K409,3)</x:f>
        <x:v>-24.338</x:v>
      </x:c>
      <x:c r="Z409" s="64" t="n">
        <x:f>-ROUND(Q409*'Drivers'!L409,3)</x:f>
        <x:v>-24.202</x:v>
      </x:c>
      <x:c r="AA409" s="64" t="n">
        <x:f>-ROUND(Q409*'Drivers'!M409,3)</x:f>
        <x:v>-16.01</x:v>
      </x:c>
      <x:c r="AB409" s="64" t="n">
        <x:f>-ROUND(Q409*'Drivers'!N409,3)</x:f>
        <x:v>-10.592</x:v>
      </x:c>
      <x:c r="AC409" s="64" t="n">
        <x:f>SUM(V409:AB409)</x:f>
        <x:v>-129.743</x:v>
      </x:c>
      <x:c r="AD409" s="65" t="n">
        <x:f>AC409/Q409</x:f>
        <x:v>-0.06181102005834131</x:v>
      </x:c>
      <x:c r="AE409" s="64" t="n">
        <x:f>-ROUND(Q409*'Drivers'!O409,3)</x:f>
        <x:v>-19.469</x:v>
      </x:c>
      <x:c r="AF409" s="65" t="n">
        <x:f>AE409/Q409</x:f>
        <x:v>-0.009275249913412262</x:v>
      </x:c>
      <x:c r="AG409" s="64" t="n">
        <x:f>-ROUND(Q409*'Drivers'!P409,3)</x:f>
        <x:v>-4.019</x:v>
      </x:c>
      <x:c r="AH409" s="64" t="n">
        <x:f>-ROUND(Q409*'Drivers'!Q409,3)</x:f>
        <x:v>-2.864</x:v>
      </x:c>
      <x:c r="AI409" s="64" t="n">
        <x:f>SUM(R409,T409,AC409,AE409,AG409,AH409)</x:f>
        <x:v>-511.594</x:v>
      </x:c>
      <x:c r="AJ409" s="65" t="n">
        <x:f>AI409/Q409</x:f>
        <x:v>-0.24372911830100327</x:v>
      </x:c>
      <x:c r="AK409" s="64" t="n">
        <x:f>Q409+AI409</x:f>
        <x:v>1587.433</x:v>
      </x:c>
      <x:c r="AL409" s="65" t="n">
        <x:f>AK409/Q409</x:f>
        <x:v>0.7562708816989967</x:v>
      </x:c>
      <x:c r="AM409" s="64" t="n">
        <x:f>AK409/L409</x:f>
        <x:v>317.4866</x:v>
      </x:c>
      <x:c r="AN409" s="66" t="str">
        <x:f>IF(AM409&lt;=200,"≤200K",IF(AM409&lt;=350,"200–350K",IF(AM409&lt;=500,"350–500K",IF(AM409&lt;=700,"500–700K","&gt;700K"))))</x:f>
        <x:v>200–350K</x:v>
      </x:c>
      <x:c r="AO409" s="64" t="n">
        <x:f>-ROUND(Q409*'Drivers'!R409,3)</x:f>
        <x:v>-799.315</x:v>
      </x:c>
      <x:c r="AP409" s="64" t="n">
        <x:f>-ROUND(AK409*'Drivers'!S409,3)</x:f>
        <x:v>-19.823</x:v>
      </x:c>
      <x:c r="AQ409" s="64" t="n">
        <x:f>-ROUND(AK409*'Drivers'!T409,3)</x:f>
        <x:v>-7.875</x:v>
      </x:c>
      <x:c r="AR409" s="64" t="n">
        <x:f>-ROUND(AK409*'Drivers'!U409,3)</x:f>
        <x:v>-10.828</x:v>
      </x:c>
      <x:c r="AS409" s="64" t="n">
        <x:f>-ROUND(AK409*'Drivers'!V409,3)</x:f>
        <x:v>-48.557</x:v>
      </x:c>
      <x:c r="AT409" s="64" t="n">
        <x:f>SUM(AO409:AS409)</x:f>
        <x:v>-886.398</x:v>
      </x:c>
      <x:c r="AU409" s="65" t="n">
        <x:f>AT409/AK409</x:f>
        <x:v>-0.5583845113463056</x:v>
      </x:c>
      <x:c r="AV409" s="64" t="n">
        <x:f>AK409+AT409</x:f>
        <x:v>701.035</x:v>
      </x:c>
      <x:c r="AW409" s="65" t="n">
        <x:f>AV409/AK409</x:f>
        <x:v>0.4416154886536943</x:v>
      </x:c>
      <x:c r="AX409" s="64" t="n">
        <x:f>-ROUND(AK409*'Drivers'!W409,3)</x:f>
        <x:v>-16.96</x:v>
      </x:c>
      <x:c r="AY409" s="64" t="n">
        <x:f>-ROUND(AK409*'Drivers'!X409,3)</x:f>
        <x:v>-45.539</x:v>
      </x:c>
      <x:c r="AZ409" s="64" t="n">
        <x:f>-ROUND(AK409*'Drivers'!Y409,3)</x:f>
        <x:v>-27.266</x:v>
      </x:c>
      <x:c r="BA409" s="64" t="n">
        <x:f>-ROUND(AK409*'Drivers'!Z409,3)</x:f>
        <x:v>-13.786</x:v>
      </x:c>
      <x:c r="BB409" s="64" t="n">
        <x:f>-ROUND(AK409*'Drivers'!AA409,3)</x:f>
        <x:v>-13.741</x:v>
      </x:c>
      <x:c r="BC409" s="64" t="n">
        <x:f>SUM(BA409,BB409)</x:f>
        <x:v>-27.527</x:v>
      </x:c>
      <x:c r="BD409" s="64" t="n">
        <x:f>-ROUND(AK409*'Drivers'!AB409,3)</x:f>
        <x:v>-8.384</x:v>
      </x:c>
      <x:c r="BE409" s="64" t="n">
        <x:f>SUM(AX409:BB409,BD409)</x:f>
        <x:v>-125.676</x:v>
      </x:c>
      <x:c r="BF409" s="67" t="n">
        <x:f>'Drivers'!AF409</x:f>
        <x:v>9</x:v>
      </x:c>
      <x:c r="BG409" s="64" t="n">
        <x:f>BJ409</x:f>
        <x:v>-41.351</x:v>
      </x:c>
      <x:c r="BH409" s="64" t="n">
        <x:f>BE409/BF409</x:f>
        <x:v>-13.964</x:v>
      </x:c>
      <x:c r="BI409" s="68" t="n">
        <x:f>BF409/L409</x:f>
        <x:v>1.8</x:v>
      </x:c>
      <x:c r="BJ409" s="64" t="n">
        <x:f>-ROUND(AK409*'Drivers'!AC409,3)</x:f>
        <x:v>-41.351</x:v>
      </x:c>
      <x:c r="BK409" s="64" t="n">
        <x:f>-ROUND(AK409*'Drivers'!AD409,3)</x:f>
        <x:v>-165.568</x:v>
      </x:c>
      <x:c r="BL409" s="64" t="n">
        <x:f>SUM(AV409,BE409,BJ409,BK409)</x:f>
        <x:v>368.43999999999994</x:v>
      </x:c>
      <x:c r="BM409" s="65" t="n">
        <x:f>BL409/AK409</x:f>
        <x:v>0.23209798460785427</x:v>
      </x:c>
      <x:c r="BN409" s="64" t="n">
        <x:f>-ROUND(AK409*'Drivers'!AE409,3)</x:f>
        <x:v>-140.641</x:v>
      </x:c>
      <x:c r="BO409" s="64" t="n">
        <x:f>BL409+BN409</x:f>
        <x:v>227.79899999999995</x:v>
      </x:c>
      <x:c r="BP409" s="65" t="n">
        <x:f>BO409/AK409</x:f>
        <x:v>0.1435014895116833</x:v>
      </x:c>
    </x:row>
    <x:row r="410">
      <x:c r="A410" s="61" t="n">
        <x:v>2025</x:v>
      </x:c>
      <x:c r="B410" s="18" t="str">
        <x:v>S1</x:v>
      </x:c>
      <x:c r="C410" s="18" t="str">
        <x:v>2025 S1</x:v>
      </x:c>
      <x:c r="D410" s="18" t="str">
        <x:v>CNCT0103</x:v>
      </x:c>
      <x:c r="E410" s="18" t="str">
        <x:v>长沙王府井百货</x:v>
      </x:c>
      <x:c r="F410" s="18" t="str">
        <x:v>长沙</x:v>
      </x:c>
      <x:c r="G410" s="18" t="str">
        <x:v>湖南省</x:v>
      </x:c>
      <x:c r="H410" s="18" t="str">
        <x:v>南区</x:v>
      </x:c>
      <x:c r="I410" s="18" t="str">
        <x:v>Department Store</x:v>
      </x:c>
      <x:c r="J410" s="18" t="str">
        <x:v>Core Shopping Center</x:v>
      </x:c>
      <x:c r="K410" s="18" t="str">
        <x:v>正常</x:v>
      </x:c>
      <x:c r="L410" s="62" t="n">
        <x:v>6</x:v>
      </x:c>
      <x:c r="M410" s="62" t="n">
        <x:v>43</x:v>
      </x:c>
      <x:c r="N410" s="63" t="n">
        <x:f>'Drivers'!C410</x:f>
        <x:v>1715</x:v>
      </x:c>
      <x:c r="O410" s="63" t="n">
        <x:f>'Drivers'!D410</x:f>
        <x:v>1143.12</x:v>
      </x:c>
      <x:c r="P410" s="64" t="n">
        <x:f>ROUND(N410*O410/1000,3)</x:f>
        <x:v>1960.451</x:v>
      </x:c>
      <x:c r="Q410" s="64" t="n">
        <x:f>ROUND(P410*'Drivers'!E410,3)</x:f>
        <x:v>1893.173</x:v>
      </x:c>
      <x:c r="R410" s="64" t="n">
        <x:f>-ROUND(Q410*'Drivers'!F410,3)</x:f>
        <x:v>-292.586</x:v>
      </x:c>
      <x:c r="S410" s="65" t="n">
        <x:f>R410/Q410</x:f>
        <x:v>-0.15454794675394168</x:v>
      </x:c>
      <x:c r="T410" s="64" t="n">
        <x:f>-ROUND(Q410*'Drivers'!G410,3)</x:f>
        <x:v>-28.073</x:v>
      </x:c>
      <x:c r="U410" s="65" t="n">
        <x:f>T410/Q410</x:f>
        <x:v>-0.014828544459486798</x:v>
      </x:c>
      <x:c r="V410" s="64" t="n">
        <x:f>-ROUND(Q410*'Drivers'!H410,3)</x:f>
        <x:v>-17.526</x:v>
      </x:c>
      <x:c r="W410" s="64" t="n">
        <x:f>-ROUND(Q410*'Drivers'!I410,3)</x:f>
        <x:v>-11.633</x:v>
      </x:c>
      <x:c r="X410" s="64" t="n">
        <x:f>-ROUND(Q410*'Drivers'!J410,3)</x:f>
        <x:v>-27.311</x:v>
      </x:c>
      <x:c r="Y410" s="64" t="n">
        <x:f>-ROUND(Q410*'Drivers'!K410,3)</x:f>
        <x:v>-15.33</x:v>
      </x:c>
      <x:c r="Z410" s="64" t="n">
        <x:f>-ROUND(Q410*'Drivers'!L410,3)</x:f>
        <x:v>-26.246</x:v>
      </x:c>
      <x:c r="AA410" s="64" t="n">
        <x:f>-ROUND(Q410*'Drivers'!M410,3)</x:f>
        <x:v>-12.765</x:v>
      </x:c>
      <x:c r="AB410" s="64" t="n">
        <x:f>-ROUND(Q410*'Drivers'!N410,3)</x:f>
        <x:v>-10.641</x:v>
      </x:c>
      <x:c r="AC410" s="64" t="n">
        <x:f>SUM(V410:AB410)</x:f>
        <x:v>-121.452</x:v>
      </x:c>
      <x:c r="AD410" s="65" t="n">
        <x:f>AC410/Q410</x:f>
        <x:v>-0.06415261574087523</x:v>
      </x:c>
      <x:c r="AE410" s="64" t="n">
        <x:f>-ROUND(Q410*'Drivers'!O410,3)</x:f>
        <x:v>-24.703</x:v>
      </x:c>
      <x:c r="AF410" s="65" t="n">
        <x:f>AE410/Q410</x:f>
        <x:v>-0.013048464139304754</x:v>
      </x:c>
      <x:c r="AG410" s="64" t="n">
        <x:f>-ROUND(Q410*'Drivers'!P410,3)</x:f>
        <x:v>-0.846</x:v>
      </x:c>
      <x:c r="AH410" s="64" t="n">
        <x:f>-ROUND(Q410*'Drivers'!Q410,3)</x:f>
        <x:v>-12.836</x:v>
      </x:c>
      <x:c r="AI410" s="64" t="n">
        <x:f>SUM(R410,T410,AC410,AE410,AG410,AH410)</x:f>
        <x:v>-480.496</x:v>
      </x:c>
      <x:c r="AJ410" s="65" t="n">
        <x:f>AI410/Q410</x:f>
        <x:v>-0.2538045915507986</x:v>
      </x:c>
      <x:c r="AK410" s="64" t="n">
        <x:f>Q410+AI410</x:f>
        <x:v>1412.6770000000001</x:v>
      </x:c>
      <x:c r="AL410" s="65" t="n">
        <x:f>AK410/Q410</x:f>
        <x:v>0.7461954084492015</x:v>
      </x:c>
      <x:c r="AM410" s="64" t="n">
        <x:f>AK410/L410</x:f>
        <x:v>235.4461666666667</x:v>
      </x:c>
      <x:c r="AN410" s="66" t="str">
        <x:f>IF(AM410&lt;=200,"≤200K",IF(AM410&lt;=350,"200–350K",IF(AM410&lt;=500,"350–500K",IF(AM410&lt;=700,"500–700K","&gt;700K"))))</x:f>
        <x:v>200–350K</x:v>
      </x:c>
      <x:c r="AO410" s="64" t="n">
        <x:f>-ROUND(Q410*'Drivers'!R410,3)</x:f>
        <x:v>-758.631</x:v>
      </x:c>
      <x:c r="AP410" s="64" t="n">
        <x:f>-ROUND(AK410*'Drivers'!S410,3)</x:f>
        <x:v>-16.267</x:v>
      </x:c>
      <x:c r="AQ410" s="64" t="n">
        <x:f>-ROUND(AK410*'Drivers'!T410,3)</x:f>
        <x:v>-9.054</x:v>
      </x:c>
      <x:c r="AR410" s="64" t="n">
        <x:f>-ROUND(AK410*'Drivers'!U410,3)</x:f>
        <x:v>-8.731</x:v>
      </x:c>
      <x:c r="AS410" s="64" t="n">
        <x:f>-ROUND(AK410*'Drivers'!V410,3)</x:f>
        <x:v>-42.458</x:v>
      </x:c>
      <x:c r="AT410" s="64" t="n">
        <x:f>SUM(AO410:AS410)</x:f>
        <x:v>-835.141</x:v>
      </x:c>
      <x:c r="AU410" s="65" t="n">
        <x:f>AT410/AK410</x:f>
        <x:v>-0.5911761853558881</x:v>
      </x:c>
      <x:c r="AV410" s="64" t="n">
        <x:f>AK410+AT410</x:f>
        <x:v>577.5360000000002</x:v>
      </x:c>
      <x:c r="AW410" s="65" t="n">
        <x:f>AV410/AK410</x:f>
        <x:v>0.40882381464411194</x:v>
      </x:c>
      <x:c r="AX410" s="64" t="n">
        <x:f>-ROUND(AK410*'Drivers'!W410,3)</x:f>
        <x:v>-19.112</x:v>
      </x:c>
      <x:c r="AY410" s="64" t="n">
        <x:f>-ROUND(AK410*'Drivers'!X410,3)</x:f>
        <x:v>-26.549</x:v>
      </x:c>
      <x:c r="AZ410" s="64" t="n">
        <x:f>-ROUND(AK410*'Drivers'!Y410,3)</x:f>
        <x:v>-22.96</x:v>
      </x:c>
      <x:c r="BA410" s="64" t="n">
        <x:f>-ROUND(AK410*'Drivers'!Z410,3)</x:f>
        <x:v>-11.326</x:v>
      </x:c>
      <x:c r="BB410" s="64" t="n">
        <x:f>-ROUND(AK410*'Drivers'!AA410,3)</x:f>
        <x:v>-9.239</x:v>
      </x:c>
      <x:c r="BC410" s="64" t="n">
        <x:f>SUM(BA410,BB410)</x:f>
        <x:v>-20.565</x:v>
      </x:c>
      <x:c r="BD410" s="64" t="n">
        <x:f>-ROUND(AK410*'Drivers'!AB410,3)</x:f>
        <x:v>-5.059</x:v>
      </x:c>
      <x:c r="BE410" s="64" t="n">
        <x:f>SUM(AX410:BB410,BD410)</x:f>
        <x:v>-94.245</x:v>
      </x:c>
      <x:c r="BF410" s="67" t="n">
        <x:f>'Drivers'!AF410</x:f>
        <x:v>8</x:v>
      </x:c>
      <x:c r="BG410" s="64" t="n">
        <x:f>BJ410</x:f>
        <x:v>-28.012</x:v>
      </x:c>
      <x:c r="BH410" s="64" t="n">
        <x:f>BE410/BF410</x:f>
        <x:v>-11.780625</x:v>
      </x:c>
      <x:c r="BI410" s="68" t="n">
        <x:f>BF410/L410</x:f>
        <x:v>1.3333333333333333</x:v>
      </x:c>
      <x:c r="BJ410" s="64" t="n">
        <x:f>-ROUND(AK410*'Drivers'!AC410,3)</x:f>
        <x:v>-28.012</x:v>
      </x:c>
      <x:c r="BK410" s="64" t="n">
        <x:f>-ROUND(AK410*'Drivers'!AD410,3)</x:f>
        <x:v>-149.415</x:v>
      </x:c>
      <x:c r="BL410" s="64" t="n">
        <x:f>SUM(AV410,BE410,BJ410,BK410)</x:f>
        <x:v>305.86400000000015</x:v>
      </x:c>
      <x:c r="BM410" s="65" t="n">
        <x:f>BL410/AK410</x:f>
        <x:v>0.21651375367476083</x:v>
      </x:c>
      <x:c r="BN410" s="64" t="n">
        <x:f>-ROUND(AK410*'Drivers'!AE410,3)</x:f>
        <x:v>-123.626</x:v>
      </x:c>
      <x:c r="BO410" s="64" t="n">
        <x:f>BL410+BN410</x:f>
        <x:v>182.23800000000014</x:v>
      </x:c>
      <x:c r="BP410" s="65" t="n">
        <x:f>BO410/AK410</x:f>
        <x:v>0.12900188790502012</x:v>
      </x:c>
    </x:row>
    <x:row r="411">
      <x:c r="A411" s="61" t="n">
        <x:v>2025</x:v>
      </x:c>
      <x:c r="B411" s="18" t="str">
        <x:v>S2</x:v>
      </x:c>
      <x:c r="C411" s="18" t="str">
        <x:v>2025 S2</x:v>
      </x:c>
      <x:c r="D411" s="18" t="str">
        <x:v>CNCT0103</x:v>
      </x:c>
      <x:c r="E411" s="18" t="str">
        <x:v>长沙王府井百货</x:v>
      </x:c>
      <x:c r="F411" s="18" t="str">
        <x:v>长沙</x:v>
      </x:c>
      <x:c r="G411" s="18" t="str">
        <x:v>湖南省</x:v>
      </x:c>
      <x:c r="H411" s="18" t="str">
        <x:v>南区</x:v>
      </x:c>
      <x:c r="I411" s="18" t="str">
        <x:v>Department Store</x:v>
      </x:c>
      <x:c r="J411" s="18" t="str">
        <x:v>Core Shopping Center</x:v>
      </x:c>
      <x:c r="K411" s="18" t="str">
        <x:v>正常</x:v>
      </x:c>
      <x:c r="L411" s="62" t="n">
        <x:v>6</x:v>
      </x:c>
      <x:c r="M411" s="62" t="n">
        <x:v>43</x:v>
      </x:c>
      <x:c r="N411" s="63" t="n">
        <x:f>'Drivers'!C411</x:f>
        <x:v>1820</x:v>
      </x:c>
      <x:c r="O411" s="63" t="n">
        <x:f>'Drivers'!D411</x:f>
        <x:v>1156.838</x:v>
      </x:c>
      <x:c r="P411" s="64" t="n">
        <x:f>ROUND(N411*O411/1000,3)</x:f>
        <x:v>2105.445</x:v>
      </x:c>
      <x:c r="Q411" s="64" t="n">
        <x:f>ROUND(P411*'Drivers'!E411,3)</x:f>
        <x:v>2042.897</x:v>
      </x:c>
      <x:c r="R411" s="64" t="n">
        <x:f>-ROUND(Q411*'Drivers'!F411,3)</x:f>
        <x:v>-315.725</x:v>
      </x:c>
      <x:c r="S411" s="65" t="n">
        <x:f>R411/Q411</x:f>
        <x:v>-0.15454768399973176</x:v>
      </x:c>
      <x:c r="T411" s="64" t="n">
        <x:f>-ROUND(Q411*'Drivers'!G411,3)</x:f>
        <x:v>-30.293</x:v>
      </x:c>
      <x:c r="U411" s="65" t="n">
        <x:f>T411/Q411</x:f>
        <x:v>-0.014828451948385063</x:v>
      </x:c>
      <x:c r="V411" s="64" t="n">
        <x:f>-ROUND(Q411*'Drivers'!H411,3)</x:f>
        <x:v>-18.912</x:v>
      </x:c>
      <x:c r="W411" s="64" t="n">
        <x:f>-ROUND(Q411*'Drivers'!I411,3)</x:f>
        <x:v>-12.553</x:v>
      </x:c>
      <x:c r="X411" s="64" t="n">
        <x:f>-ROUND(Q411*'Drivers'!J411,3)</x:f>
        <x:v>-29.471</x:v>
      </x:c>
      <x:c r="Y411" s="64" t="n">
        <x:f>-ROUND(Q411*'Drivers'!K411,3)</x:f>
        <x:v>-16.542</x:v>
      </x:c>
      <x:c r="Z411" s="64" t="n">
        <x:f>-ROUND(Q411*'Drivers'!L411,3)</x:f>
        <x:v>-28.322</x:v>
      </x:c>
      <x:c r="AA411" s="64" t="n">
        <x:f>-ROUND(Q411*'Drivers'!M411,3)</x:f>
        <x:v>-13.775</x:v>
      </x:c>
      <x:c r="AB411" s="64" t="n">
        <x:f>-ROUND(Q411*'Drivers'!N411,3)</x:f>
        <x:v>-11.483</x:v>
      </x:c>
      <x:c r="AC411" s="64" t="n">
        <x:f>SUM(V411:AB411)</x:f>
        <x:v>-131.05800000000002</x:v>
      </x:c>
      <x:c r="AD411" s="65" t="n">
        <x:f>AC411/Q411</x:f>
        <x:v>-0.06415301407755752</x:v>
      </x:c>
      <x:c r="AE411" s="64" t="n">
        <x:f>-ROUND(Q411*'Drivers'!O411,3)</x:f>
        <x:v>-26.656</x:v>
      </x:c>
      <x:c r="AF411" s="65" t="n">
        <x:f>AE411/Q411</x:f>
        <x:v>-0.013048137032850897</x:v>
      </x:c>
      <x:c r="AG411" s="64" t="n">
        <x:f>-ROUND(Q411*'Drivers'!P411,3)</x:f>
        <x:v>-0.913</x:v>
      </x:c>
      <x:c r="AH411" s="64" t="n">
        <x:f>-ROUND(Q411*'Drivers'!Q411,3)</x:f>
        <x:v>-13.851</x:v>
      </x:c>
      <x:c r="AI411" s="64" t="n">
        <x:f>SUM(R411,T411,AC411,AE411,AG411,AH411)</x:f>
        <x:v>-518.4960000000001</x:v>
      </x:c>
      <x:c r="AJ411" s="65" t="n">
        <x:f>AI411/Q411</x:f>
        <x:v>-0.25380427892350915</x:v>
      </x:c>
      <x:c r="AK411" s="64" t="n">
        <x:f>Q411+AI411</x:f>
        <x:v>1524.4009999999998</x:v>
      </x:c>
      <x:c r="AL411" s="65" t="n">
        <x:f>AK411/Q411</x:f>
        <x:v>0.7461957210764908</x:v>
      </x:c>
      <x:c r="AM411" s="64" t="n">
        <x:f>AK411/L411</x:f>
        <x:v>254.0668333333333</x:v>
      </x:c>
      <x:c r="AN411" s="66" t="str">
        <x:f>IF(AM411&lt;=200,"≤200K",IF(AM411&lt;=350,"200–350K",IF(AM411&lt;=500,"350–500K",IF(AM411&lt;=700,"500–700K","&gt;700K"))))</x:f>
        <x:v>200–350K</x:v>
      </x:c>
      <x:c r="AO411" s="64" t="n">
        <x:f>-ROUND(Q411*'Drivers'!R411,3)</x:f>
        <x:v>-772.479</x:v>
      </x:c>
      <x:c r="AP411" s="64" t="n">
        <x:f>-ROUND(AK411*'Drivers'!S411,3)</x:f>
        <x:v>-17.554</x:v>
      </x:c>
      <x:c r="AQ411" s="64" t="n">
        <x:f>-ROUND(AK411*'Drivers'!T411,3)</x:f>
        <x:v>-9.77</x:v>
      </x:c>
      <x:c r="AR411" s="64" t="n">
        <x:f>-ROUND(AK411*'Drivers'!U411,3)</x:f>
        <x:v>-9.422</x:v>
      </x:c>
      <x:c r="AS411" s="64" t="n">
        <x:f>-ROUND(AK411*'Drivers'!V411,3)</x:f>
        <x:v>-45.816</x:v>
      </x:c>
      <x:c r="AT411" s="64" t="n">
        <x:f>SUM(AO411:AS411)</x:f>
        <x:v>-855.041</x:v>
      </x:c>
      <x:c r="AU411" s="65" t="n">
        <x:f>AT411/AK411</x:f>
        <x:v>-0.5609029382688677</x:v>
      </x:c>
      <x:c r="AV411" s="64" t="n">
        <x:f>AK411+AT411</x:f>
        <x:v>669.3599999999998</x:v>
      </x:c>
      <x:c r="AW411" s="65" t="n">
        <x:f>AV411/AK411</x:f>
        <x:v>0.43909706173113233</x:v>
      </x:c>
      <x:c r="AX411" s="64" t="n">
        <x:f>-ROUND(AK411*'Drivers'!W411,3)</x:f>
        <x:v>-20.623</x:v>
      </x:c>
      <x:c r="AY411" s="64" t="n">
        <x:f>-ROUND(AK411*'Drivers'!X411,3)</x:f>
        <x:v>-28.649</x:v>
      </x:c>
      <x:c r="AZ411" s="64" t="n">
        <x:f>-ROUND(AK411*'Drivers'!Y411,3)</x:f>
        <x:v>-24.776</x:v>
      </x:c>
      <x:c r="BA411" s="64" t="n">
        <x:f>-ROUND(AK411*'Drivers'!Z411,3)</x:f>
        <x:v>-12.222</x:v>
      </x:c>
      <x:c r="BB411" s="64" t="n">
        <x:f>-ROUND(AK411*'Drivers'!AA411,3)</x:f>
        <x:v>-9.97</x:v>
      </x:c>
      <x:c r="BC411" s="64" t="n">
        <x:f>SUM(BA411,BB411)</x:f>
        <x:v>-22.192</x:v>
      </x:c>
      <x:c r="BD411" s="64" t="n">
        <x:f>-ROUND(AK411*'Drivers'!AB411,3)</x:f>
        <x:v>-5.459</x:v>
      </x:c>
      <x:c r="BE411" s="64" t="n">
        <x:f>SUM(AX411:BB411,BD411)</x:f>
        <x:v>-101.699</x:v>
      </x:c>
      <x:c r="BF411" s="67" t="n">
        <x:f>'Drivers'!AF411</x:f>
        <x:v>8</x:v>
      </x:c>
      <x:c r="BG411" s="64" t="n">
        <x:f>BJ411</x:f>
        <x:v>-30.227</x:v>
      </x:c>
      <x:c r="BH411" s="64" t="n">
        <x:f>BE411/BF411</x:f>
        <x:v>-12.712375</x:v>
      </x:c>
      <x:c r="BI411" s="68" t="n">
        <x:f>BF411/L411</x:f>
        <x:v>1.3333333333333333</x:v>
      </x:c>
      <x:c r="BJ411" s="64" t="n">
        <x:f>-ROUND(AK411*'Drivers'!AC411,3)</x:f>
        <x:v>-30.227</x:v>
      </x:c>
      <x:c r="BK411" s="64" t="n">
        <x:f>-ROUND(AK411*'Drivers'!AD411,3)</x:f>
        <x:v>-161.232</x:v>
      </x:c>
      <x:c r="BL411" s="64" t="n">
        <x:f>SUM(AV411,BE411,BJ411,BK411)</x:f>
        <x:v>376.2019999999999</x:v>
      </x:c>
      <x:c r="BM411" s="65" t="n">
        <x:f>BL411/AK411</x:f>
        <x:v>0.2467867706725461</x:v>
      </x:c>
      <x:c r="BN411" s="64" t="n">
        <x:f>-ROUND(AK411*'Drivers'!AE411,3)</x:f>
        <x:v>-133.403</x:v>
      </x:c>
      <x:c r="BO411" s="64" t="n">
        <x:f>BL411+BN411</x:f>
        <x:v>242.7989999999999</x:v>
      </x:c>
      <x:c r="BP411" s="65" t="n">
        <x:f>BO411/AK411</x:f>
        <x:v>0.15927502015545772</x:v>
      </x:c>
    </x:row>
    <x:row r="412">
      <x:c r="A412" s="61" t="n">
        <x:v>2026</x:v>
      </x:c>
      <x:c r="B412" s="18" t="str">
        <x:v>S1</x:v>
      </x:c>
      <x:c r="C412" s="18" t="str">
        <x:v>2026 S1</x:v>
      </x:c>
      <x:c r="D412" s="18" t="str">
        <x:v>CNCT0103</x:v>
      </x:c>
      <x:c r="E412" s="18" t="str">
        <x:v>长沙王府井百货</x:v>
      </x:c>
      <x:c r="F412" s="18" t="str">
        <x:v>长沙</x:v>
      </x:c>
      <x:c r="G412" s="18" t="str">
        <x:v>湖南省</x:v>
      </x:c>
      <x:c r="H412" s="18" t="str">
        <x:v>南区</x:v>
      </x:c>
      <x:c r="I412" s="18" t="str">
        <x:v>Department Store</x:v>
      </x:c>
      <x:c r="J412" s="18" t="str">
        <x:v>Core Shopping Center</x:v>
      </x:c>
      <x:c r="K412" s="18" t="str">
        <x:v>正常</x:v>
      </x:c>
      <x:c r="L412" s="62" t="n">
        <x:v>6</x:v>
      </x:c>
      <x:c r="M412" s="62" t="n">
        <x:v>43</x:v>
      </x:c>
      <x:c r="N412" s="63" t="n">
        <x:f>'Drivers'!C412</x:f>
        <x:v>1678</x:v>
      </x:c>
      <x:c r="O412" s="63" t="n">
        <x:f>'Drivers'!D412</x:f>
        <x:v>1208.15</x:v>
      </x:c>
      <x:c r="P412" s="64" t="n">
        <x:f>ROUND(N412*O412/1000,3)</x:f>
        <x:v>2027.276</x:v>
      </x:c>
      <x:c r="Q412" s="64" t="n">
        <x:f>ROUND(P412*'Drivers'!E412,3)</x:f>
        <x:v>1958.023</x:v>
      </x:c>
      <x:c r="R412" s="64" t="n">
        <x:f>-ROUND(Q412*'Drivers'!F412,3)</x:f>
        <x:v>-297.769</x:v>
      </x:c>
      <x:c r="S412" s="65" t="n">
        <x:f>R412/Q412</x:f>
        <x:v>-0.15207635456784727</x:v>
      </x:c>
      <x:c r="T412" s="64" t="n">
        <x:f>-ROUND(Q412*'Drivers'!G412,3)</x:f>
        <x:v>-27.419</x:v>
      </x:c>
      <x:c r="U412" s="65" t="n">
        <x:f>T412/Q412</x:f>
        <x:v>-0.014003410583021753</x:v>
      </x:c>
      <x:c r="V412" s="64" t="n">
        <x:f>-ROUND(Q412*'Drivers'!H412,3)</x:f>
        <x:v>-18.126</x:v>
      </x:c>
      <x:c r="W412" s="64" t="n">
        <x:f>-ROUND(Q412*'Drivers'!I412,3)</x:f>
        <x:v>-12.031</x:v>
      </x:c>
      <x:c r="X412" s="64" t="n">
        <x:f>-ROUND(Q412*'Drivers'!J412,3)</x:f>
        <x:v>-28.247</x:v>
      </x:c>
      <x:c r="Y412" s="64" t="n">
        <x:f>-ROUND(Q412*'Drivers'!K412,3)</x:f>
        <x:v>-15.855</x:v>
      </x:c>
      <x:c r="Z412" s="64" t="n">
        <x:f>-ROUND(Q412*'Drivers'!L412,3)</x:f>
        <x:v>-27.145</x:v>
      </x:c>
      <x:c r="AA412" s="64" t="n">
        <x:f>-ROUND(Q412*'Drivers'!M412,3)</x:f>
        <x:v>-13.203</x:v>
      </x:c>
      <x:c r="AB412" s="64" t="n">
        <x:f>-ROUND(Q412*'Drivers'!N412,3)</x:f>
        <x:v>-11.006</x:v>
      </x:c>
      <x:c r="AC412" s="64" t="n">
        <x:f>SUM(V412:AB412)</x:f>
        <x:v>-125.613</x:v>
      </x:c>
      <x:c r="AD412" s="65" t="n">
        <x:f>AC412/Q412</x:f>
        <x:v>-0.06415297470969443</x:v>
      </x:c>
      <x:c r="AE412" s="64" t="n">
        <x:f>-ROUND(Q412*'Drivers'!O412,3)</x:f>
        <x:v>-22.53</x:v>
      </x:c>
      <x:c r="AF412" s="65" t="n">
        <x:f>AE412/Q412</x:f>
        <x:v>-0.011506504264760936</x:v>
      </x:c>
      <x:c r="AG412" s="64" t="n">
        <x:f>-ROUND(Q412*'Drivers'!P412,3)</x:f>
        <x:v>-0.875</x:v>
      </x:c>
      <x:c r="AH412" s="64" t="n">
        <x:f>-ROUND(Q412*'Drivers'!Q412,3)</x:f>
        <x:v>-13.275</x:v>
      </x:c>
      <x:c r="AI412" s="64" t="n">
        <x:f>SUM(R412,T412,AC412,AE412,AG412,AH412)</x:f>
        <x:v>-487.481</x:v>
      </x:c>
      <x:c r="AJ412" s="65" t="n">
        <x:f>AI412/Q412</x:f>
        <x:v>-0.2489659212379017</x:v>
      </x:c>
      <x:c r="AK412" s="64" t="n">
        <x:f>Q412+AI412</x:f>
        <x:v>1470.542</x:v>
      </x:c>
      <x:c r="AL412" s="65" t="n">
        <x:f>AK412/Q412</x:f>
        <x:v>0.7510340787620983</x:v>
      </x:c>
      <x:c r="AM412" s="64" t="n">
        <x:f>AK412/L412</x:f>
        <x:v>245.09033333333332</x:v>
      </x:c>
      <x:c r="AN412" s="66" t="str">
        <x:f>IF(AM412&lt;=200,"≤200K",IF(AM412&lt;=350,"200–350K",IF(AM412&lt;=500,"350–500K",IF(AM412&lt;=700,"500–700K","&gt;700K"))))</x:f>
        <x:v>200–350K</x:v>
      </x:c>
      <x:c r="AO412" s="64" t="n">
        <x:f>-ROUND(Q412*'Drivers'!R412,3)</x:f>
        <x:v>-788.432</x:v>
      </x:c>
      <x:c r="AP412" s="64" t="n">
        <x:f>-ROUND(AK412*'Drivers'!S412,3)</x:f>
        <x:v>-16.934</x:v>
      </x:c>
      <x:c r="AQ412" s="64" t="n">
        <x:f>-ROUND(AK412*'Drivers'!T412,3)</x:f>
        <x:v>-9.425</x:v>
      </x:c>
      <x:c r="AR412" s="64" t="n">
        <x:f>-ROUND(AK412*'Drivers'!U412,3)</x:f>
        <x:v>-9.089</x:v>
      </x:c>
      <x:c r="AS412" s="64" t="n">
        <x:f>-ROUND(AK412*'Drivers'!V412,3)</x:f>
        <x:v>-44.197</x:v>
      </x:c>
      <x:c r="AT412" s="64" t="n">
        <x:f>SUM(AO412:AS412)</x:f>
        <x:v>-868.077</x:v>
      </x:c>
      <x:c r="AU412" s="65" t="n">
        <x:f>AT412/AK412</x:f>
        <x:v>-0.5903109193753052</x:v>
      </x:c>
      <x:c r="AV412" s="64" t="n">
        <x:f>AK412+AT412</x:f>
        <x:v>602.4649999999999</x:v>
      </x:c>
      <x:c r="AW412" s="65" t="n">
        <x:f>AV412/AK412</x:f>
        <x:v>0.40968908062469483</x:v>
      </x:c>
      <x:c r="AX412" s="64" t="n">
        <x:f>-ROUND(AK412*'Drivers'!W412,3)</x:f>
        <x:v>-24.479</x:v>
      </x:c>
      <x:c r="AY412" s="64" t="n">
        <x:f>-ROUND(AK412*'Drivers'!X412,3)</x:f>
        <x:v>-34.006</x:v>
      </x:c>
      <x:c r="AZ412" s="64" t="n">
        <x:f>-ROUND(AK412*'Drivers'!Y412,3)</x:f>
        <x:v>-29.409</x:v>
      </x:c>
      <x:c r="BA412" s="64" t="n">
        <x:f>-ROUND(AK412*'Drivers'!Z412,3)</x:f>
        <x:v>-14.507</x:v>
      </x:c>
      <x:c r="BB412" s="64" t="n">
        <x:f>-ROUND(AK412*'Drivers'!AA412,3)</x:f>
        <x:v>-11.834</x:v>
      </x:c>
      <x:c r="BC412" s="64" t="n">
        <x:f>SUM(BA412,BB412)</x:f>
        <x:v>-26.341</x:v>
      </x:c>
      <x:c r="BD412" s="64" t="n">
        <x:f>-ROUND(AK412*'Drivers'!AB412,3)</x:f>
        <x:v>-6.48</x:v>
      </x:c>
      <x:c r="BE412" s="64" t="n">
        <x:f>SUM(AX412:BB412,BD412)</x:f>
        <x:v>-120.71500000000002</x:v>
      </x:c>
      <x:c r="BF412" s="67" t="n">
        <x:f>'Drivers'!AF412</x:f>
        <x:v>8</x:v>
      </x:c>
      <x:c r="BG412" s="64" t="n">
        <x:f>BJ412</x:f>
        <x:v>-35.879</x:v>
      </x:c>
      <x:c r="BH412" s="64" t="n">
        <x:f>BE412/BF412</x:f>
        <x:v>-15.089375000000002</x:v>
      </x:c>
      <x:c r="BI412" s="68" t="n">
        <x:f>BF412/L412</x:f>
        <x:v>1.3333333333333333</x:v>
      </x:c>
      <x:c r="BJ412" s="64" t="n">
        <x:f>-ROUND(AK412*'Drivers'!AC412,3)</x:f>
        <x:v>-35.879</x:v>
      </x:c>
      <x:c r="BK412" s="64" t="n">
        <x:f>-ROUND(AK412*'Drivers'!AD412,3)</x:f>
        <x:v>-155.536</x:v>
      </x:c>
      <x:c r="BL412" s="64" t="n">
        <x:f>SUM(AV412,BE412,BJ412,BK412)</x:f>
        <x:v>290.33499999999987</x:v>
      </x:c>
      <x:c r="BM412" s="65" t="n">
        <x:f>BL412/AK412</x:f>
        <x:v>0.19743400732519023</x:v>
      </x:c>
      <x:c r="BN412" s="64" t="n">
        <x:f>-ROUND(AK412*'Drivers'!AE412,3)</x:f>
        <x:v>-128.69</x:v>
      </x:c>
      <x:c r="BO412" s="64" t="n">
        <x:f>BL412+BN412</x:f>
        <x:v>161.64499999999987</x:v>
      </x:c>
      <x:c r="BP412" s="65" t="n">
        <x:f>BO412/AK412</x:f>
        <x:v>0.10992205594943896</x:v>
      </x:c>
    </x:row>
    <x:row r="413">
      <x:c r="A413" s="61" t="n">
        <x:v>2026</x:v>
      </x:c>
      <x:c r="B413" s="18" t="str">
        <x:v>S2</x:v>
      </x:c>
      <x:c r="C413" s="18" t="str">
        <x:v>2026 S2</x:v>
      </x:c>
      <x:c r="D413" s="18" t="str">
        <x:v>CNCT0103</x:v>
      </x:c>
      <x:c r="E413" s="18" t="str">
        <x:v>长沙王府井百货</x:v>
      </x:c>
      <x:c r="F413" s="18" t="str">
        <x:v>长沙</x:v>
      </x:c>
      <x:c r="G413" s="18" t="str">
        <x:v>湖南省</x:v>
      </x:c>
      <x:c r="H413" s="18" t="str">
        <x:v>南区</x:v>
      </x:c>
      <x:c r="I413" s="18" t="str">
        <x:v>Department Store</x:v>
      </x:c>
      <x:c r="J413" s="18" t="str">
        <x:v>Core Shopping Center</x:v>
      </x:c>
      <x:c r="K413" s="18" t="str">
        <x:v>正常</x:v>
      </x:c>
      <x:c r="L413" s="62" t="n">
        <x:v>6</x:v>
      </x:c>
      <x:c r="M413" s="62" t="n">
        <x:v>43</x:v>
      </x:c>
      <x:c r="N413" s="63" t="n">
        <x:f>'Drivers'!C413</x:f>
        <x:v>1829</x:v>
      </x:c>
      <x:c r="O413" s="63" t="n">
        <x:f>'Drivers'!D413</x:f>
        <x:v>1186.548</x:v>
      </x:c>
      <x:c r="P413" s="64" t="n">
        <x:f>ROUND(N413*O413/1000,3)</x:f>
        <x:v>2170.196</x:v>
      </x:c>
      <x:c r="Q413" s="64" t="n">
        <x:f>ROUND(P413*'Drivers'!E413,3)</x:f>
        <x:v>2105.724</x:v>
      </x:c>
      <x:c r="R413" s="64" t="n">
        <x:f>-ROUND(Q413*'Drivers'!F413,3)</x:f>
        <x:v>-331.12</x:v>
      </x:c>
      <x:c r="S413" s="65" t="n">
        <x:f>R413/Q413</x:f>
        <x:v>-0.15724757850506524</x:v>
      </x:c>
      <x:c r="T413" s="64" t="n">
        <x:f>-ROUND(Q413*'Drivers'!G413,3)</x:f>
        <x:v>-34.039</x:v>
      </x:c>
      <x:c r="U413" s="65" t="n">
        <x:f>T413/Q413</x:f>
        <x:v>-0.016164986484458552</x:v>
      </x:c>
      <x:c r="V413" s="64" t="n">
        <x:f>-ROUND(Q413*'Drivers'!H413,3)</x:f>
        <x:v>-19.494</x:v>
      </x:c>
      <x:c r="W413" s="64" t="n">
        <x:f>-ROUND(Q413*'Drivers'!I413,3)</x:f>
        <x:v>-12.939</x:v>
      </x:c>
      <x:c r="X413" s="64" t="n">
        <x:f>-ROUND(Q413*'Drivers'!J413,3)</x:f>
        <x:v>-30.378</x:v>
      </x:c>
      <x:c r="Y413" s="64" t="n">
        <x:f>-ROUND(Q413*'Drivers'!K413,3)</x:f>
        <x:v>-17.051</x:v>
      </x:c>
      <x:c r="Z413" s="64" t="n">
        <x:f>-ROUND(Q413*'Drivers'!L413,3)</x:f>
        <x:v>-29.193</x:v>
      </x:c>
      <x:c r="AA413" s="64" t="n">
        <x:f>-ROUND(Q413*'Drivers'!M413,3)</x:f>
        <x:v>-14.199</x:v>
      </x:c>
      <x:c r="AB413" s="64" t="n">
        <x:f>-ROUND(Q413*'Drivers'!N413,3)</x:f>
        <x:v>-11.836</x:v>
      </x:c>
      <x:c r="AC413" s="64" t="n">
        <x:f>SUM(V413:AB413)</x:f>
        <x:v>-135.09</x:v>
      </x:c>
      <x:c r="AD413" s="65" t="n">
        <x:f>AC413/Q413</x:f>
        <x:v>-0.06415370675359164</x:v>
      </x:c>
      <x:c r="AE413" s="64" t="n">
        <x:f>-ROUND(Q413*'Drivers'!O413,3)</x:f>
        <x:v>-27.476</x:v>
      </x:c>
      <x:c r="AF413" s="65" t="n">
        <x:f>AE413/Q413</x:f>
        <x:v>-0.013048243739445435</x:v>
      </x:c>
      <x:c r="AG413" s="64" t="n">
        <x:f>-ROUND(Q413*'Drivers'!P413,3)</x:f>
        <x:v>-0.941</x:v>
      </x:c>
      <x:c r="AH413" s="64" t="n">
        <x:f>-ROUND(Q413*'Drivers'!Q413,3)</x:f>
        <x:v>-14.277</x:v>
      </x:c>
      <x:c r="AI413" s="64" t="n">
        <x:f>SUM(R413,T413,AC413,AE413,AG413,AH413)</x:f>
        <x:v>-542.9430000000001</x:v>
      </x:c>
      <x:c r="AJ413" s="65" t="n">
        <x:f>AI413/Q413</x:f>
        <x:v>-0.25784148349926206</x:v>
      </x:c>
      <x:c r="AK413" s="64" t="n">
        <x:f>Q413+AI413</x:f>
        <x:v>1562.781</x:v>
      </x:c>
      <x:c r="AL413" s="65" t="n">
        <x:f>AK413/Q413</x:f>
        <x:v>0.7421585165007379</x:v>
      </x:c>
      <x:c r="AM413" s="64" t="n">
        <x:f>AK413/L413</x:f>
        <x:v>260.4635</x:v>
      </x:c>
      <x:c r="AN413" s="66" t="str">
        <x:f>IF(AM413&lt;=200,"≤200K",IF(AM413&lt;=350,"200–350K",IF(AM413&lt;=500,"350–500K",IF(AM413&lt;=700,"500–700K","&gt;700K"))))</x:f>
        <x:v>200–350K</x:v>
      </x:c>
      <x:c r="AO413" s="64" t="n">
        <x:f>-ROUND(Q413*'Drivers'!R413,3)</x:f>
        <x:v>-779.114</x:v>
      </x:c>
      <x:c r="AP413" s="64" t="n">
        <x:f>-ROUND(AK413*'Drivers'!S413,3)</x:f>
        <x:v>-17.996</x:v>
      </x:c>
      <x:c r="AQ413" s="64" t="n">
        <x:f>-ROUND(AK413*'Drivers'!T413,3)</x:f>
        <x:v>-10.016</x:v>
      </x:c>
      <x:c r="AR413" s="64" t="n">
        <x:f>-ROUND(AK413*'Drivers'!U413,3)</x:f>
        <x:v>-9.659</x:v>
      </x:c>
      <x:c r="AS413" s="64" t="n">
        <x:f>-ROUND(AK413*'Drivers'!V413,3)</x:f>
        <x:v>-46.969</x:v>
      </x:c>
      <x:c r="AT413" s="64" t="n">
        <x:f>SUM(AO413:AS413)</x:f>
        <x:v>-863.754</x:v>
      </x:c>
      <x:c r="AU413" s="65" t="n">
        <x:f>AT413/AK413</x:f>
        <x:v>-0.5527031618633705</x:v>
      </x:c>
      <x:c r="AV413" s="64" t="n">
        <x:f>AK413+AT413</x:f>
        <x:v>699.0269999999999</x:v>
      </x:c>
      <x:c r="AW413" s="65" t="n">
        <x:f>AV413/AK413</x:f>
        <x:v>0.44729683813662946</x:v>
      </x:c>
      <x:c r="AX413" s="64" t="n">
        <x:f>-ROUND(AK413*'Drivers'!W413,3)</x:f>
        <x:v>-22.411</x:v>
      </x:c>
      <x:c r="AY413" s="64" t="n">
        <x:f>-ROUND(AK413*'Drivers'!X413,3)</x:f>
        <x:v>-31.133</x:v>
      </x:c>
      <x:c r="AZ413" s="64" t="n">
        <x:f>-ROUND(AK413*'Drivers'!Y413,3)</x:f>
        <x:v>-26.924</x:v>
      </x:c>
      <x:c r="BA413" s="64" t="n">
        <x:f>-ROUND(AK413*'Drivers'!Z413,3)</x:f>
        <x:v>-13.281</x:v>
      </x:c>
      <x:c r="BB413" s="64" t="n">
        <x:f>-ROUND(AK413*'Drivers'!AA413,3)</x:f>
        <x:v>-10.834</x:v>
      </x:c>
      <x:c r="BC413" s="64" t="n">
        <x:f>SUM(BA413,BB413)</x:f>
        <x:v>-24.115000000000002</x:v>
      </x:c>
      <x:c r="BD413" s="64" t="n">
        <x:f>-ROUND(AK413*'Drivers'!AB413,3)</x:f>
        <x:v>-5.933</x:v>
      </x:c>
      <x:c r="BE413" s="64" t="n">
        <x:f>SUM(AX413:BB413,BD413)</x:f>
        <x:v>-110.51599999999999</x:v>
      </x:c>
      <x:c r="BF413" s="67" t="n">
        <x:f>'Drivers'!AF413</x:f>
        <x:v>8</x:v>
      </x:c>
      <x:c r="BG413" s="64" t="n">
        <x:f>BJ413</x:f>
        <x:v>-32.847</x:v>
      </x:c>
      <x:c r="BH413" s="64" t="n">
        <x:f>BE413/BF413</x:f>
        <x:v>-13.814499999999999</x:v>
      </x:c>
      <x:c r="BI413" s="68" t="n">
        <x:f>BF413/L413</x:f>
        <x:v>1.3333333333333333</x:v>
      </x:c>
      <x:c r="BJ413" s="64" t="n">
        <x:f>-ROUND(AK413*'Drivers'!AC413,3)</x:f>
        <x:v>-32.847</x:v>
      </x:c>
      <x:c r="BK413" s="64" t="n">
        <x:f>-ROUND(AK413*'Drivers'!AD413,3)</x:f>
        <x:v>-165.292</x:v>
      </x:c>
      <x:c r="BL413" s="64" t="n">
        <x:f>SUM(AV413,BE413,BJ413,BK413)</x:f>
        <x:v>390.37199999999996</x:v>
      </x:c>
      <x:c r="BM413" s="65" t="n">
        <x:f>BL413/AK413</x:f>
        <x:v>0.2497931571986094</x:v>
      </x:c>
      <x:c r="BN413" s="64" t="n">
        <x:f>-ROUND(AK413*'Drivers'!AE413,3)</x:f>
        <x:v>-136.762</x:v>
      </x:c>
      <x:c r="BO413" s="64" t="n">
        <x:f>BL413+BN413</x:f>
        <x:v>253.60999999999996</x:v>
      </x:c>
      <x:c r="BP413" s="65" t="n">
        <x:f>BO413/AK413</x:f>
        <x:v>0.1622812153462321</x:v>
      </x:c>
    </x:row>
    <x:row r="414">
      <x:c r="A414" s="61" t="n">
        <x:v>2025</x:v>
      </x:c>
      <x:c r="B414" s="18" t="str">
        <x:v>S1</x:v>
      </x:c>
      <x:c r="C414" s="18" t="str">
        <x:v>2025 S1</x:v>
      </x:c>
      <x:c r="D414" s="18" t="str">
        <x:v>CNCT0104</x:v>
      </x:c>
      <x:c r="E414" s="18" t="str">
        <x:v>长沙万象城</x:v>
      </x:c>
      <x:c r="F414" s="18" t="str">
        <x:v>长沙</x:v>
      </x:c>
      <x:c r="G414" s="18" t="str">
        <x:v>湖南省</x:v>
      </x:c>
      <x:c r="H414" s="18" t="str">
        <x:v>南区</x:v>
      </x:c>
      <x:c r="I414" s="18" t="str">
        <x:v>Shopping Mall</x:v>
      </x:c>
      <x:c r="J414" s="18" t="str">
        <x:v>Prestige Shopping Center</x:v>
      </x:c>
      <x:c r="K414" s="18" t="str">
        <x:v>正常</x:v>
      </x:c>
      <x:c r="L414" s="62" t="n">
        <x:v>6</x:v>
      </x:c>
      <x:c r="M414" s="62" t="n">
        <x:v>43</x:v>
      </x:c>
      <x:c r="N414" s="63" t="n">
        <x:f>'Drivers'!C414</x:f>
        <x:v>2295</x:v>
      </x:c>
      <x:c r="O414" s="63" t="n">
        <x:f>'Drivers'!D414</x:f>
        <x:v>1158.386</x:v>
      </x:c>
      <x:c r="P414" s="64" t="n">
        <x:f>ROUND(N414*O414/1000,3)</x:f>
        <x:v>2658.496</x:v>
      </x:c>
      <x:c r="Q414" s="64" t="n">
        <x:f>ROUND(P414*'Drivers'!E414,3)</x:f>
        <x:v>2579.074</x:v>
      </x:c>
      <x:c r="R414" s="64" t="n">
        <x:f>-ROUND(Q414*'Drivers'!F414,3)</x:f>
        <x:v>-441.38</x:v>
      </x:c>
      <x:c r="S414" s="65" t="n">
        <x:f>R414/Q414</x:f>
        <x:v>-0.17113894366737828</x:v>
      </x:c>
      <x:c r="T414" s="64" t="n">
        <x:f>-ROUND(Q414*'Drivers'!G414,3)</x:f>
        <x:v>-27.341</x:v>
      </x:c>
      <x:c r="U414" s="65" t="n">
        <x:f>T414/Q414</x:f>
        <x:v>-0.010601091709660134</x:v>
      </x:c>
      <x:c r="V414" s="64" t="n">
        <x:f>-ROUND(Q414*'Drivers'!H414,3)</x:f>
        <x:v>-26.632</x:v>
      </x:c>
      <x:c r="W414" s="64" t="n">
        <x:f>-ROUND(Q414*'Drivers'!I414,3)</x:f>
        <x:v>-16.761</x:v>
      </x:c>
      <x:c r="X414" s="64" t="n">
        <x:f>-ROUND(Q414*'Drivers'!J414,3)</x:f>
        <x:v>-29.275</x:v>
      </x:c>
      <x:c r="Y414" s="64" t="n">
        <x:f>-ROUND(Q414*'Drivers'!K414,3)</x:f>
        <x:v>-23.688</x:v>
      </x:c>
      <x:c r="Z414" s="64" t="n">
        <x:f>-ROUND(Q414*'Drivers'!L414,3)</x:f>
        <x:v>-31.709</x:v>
      </x:c>
      <x:c r="AA414" s="64" t="n">
        <x:f>-ROUND(Q414*'Drivers'!M414,3)</x:f>
        <x:v>-16.815</x:v>
      </x:c>
      <x:c r="AB414" s="64" t="n">
        <x:f>-ROUND(Q414*'Drivers'!N414,3)</x:f>
        <x:v>-19.984</x:v>
      </x:c>
      <x:c r="AC414" s="64" t="n">
        <x:f>SUM(V414:AB414)</x:f>
        <x:v>-164.864</x:v>
      </x:c>
      <x:c r="AD414" s="65" t="n">
        <x:f>AC414/Q414</x:f>
        <x:v>-0.0639237183578292</x:v>
      </x:c>
      <x:c r="AE414" s="64" t="n">
        <x:f>-ROUND(Q414*'Drivers'!O414,3)</x:f>
        <x:v>-22.433</x:v>
      </x:c>
      <x:c r="AF414" s="65" t="n">
        <x:f>AE414/Q414</x:f>
        <x:v>-0.00869808311044972</x:v>
      </x:c>
      <x:c r="AG414" s="64" t="n">
        <x:f>-ROUND(Q414*'Drivers'!P414,3)</x:f>
        <x:v>-4.331</x:v>
      </x:c>
      <x:c r="AH414" s="64" t="n">
        <x:f>-ROUND(Q414*'Drivers'!Q414,3)</x:f>
        <x:v>-9.158</x:v>
      </x:c>
      <x:c r="AI414" s="64" t="n">
        <x:f>SUM(R414,T414,AC414,AE414,AG414,AH414)</x:f>
        <x:v>-669.5070000000001</x:v>
      </x:c>
      <x:c r="AJ414" s="65" t="n">
        <x:f>AI414/Q414</x:f>
        <x:v>-0.2595920086046387</x:v>
      </x:c>
      <x:c r="AK414" s="64" t="n">
        <x:f>Q414+AI414</x:f>
        <x:v>1909.567</x:v>
      </x:c>
      <x:c r="AL414" s="65" t="n">
        <x:f>AK414/Q414</x:f>
        <x:v>0.7404079913953613</x:v>
      </x:c>
      <x:c r="AM414" s="64" t="n">
        <x:f>AK414/L414</x:f>
        <x:v>318.26116666666667</x:v>
      </x:c>
      <x:c r="AN414" s="66" t="str">
        <x:f>IF(AM414&lt;=200,"≤200K",IF(AM414&lt;=350,"200–350K",IF(AM414&lt;=500,"350–500K",IF(AM414&lt;=700,"500–700K","&gt;700K"))))</x:f>
        <x:v>200–350K</x:v>
      </x:c>
      <x:c r="AO414" s="64" t="n">
        <x:f>-ROUND(Q414*'Drivers'!R414,3)</x:f>
        <x:v>-959.059</x:v>
      </x:c>
      <x:c r="AP414" s="64" t="n">
        <x:f>-ROUND(AK414*'Drivers'!S414,3)</x:f>
        <x:v>-22.931</x:v>
      </x:c>
      <x:c r="AQ414" s="64" t="n">
        <x:f>-ROUND(AK414*'Drivers'!T414,3)</x:f>
        <x:v>-11.497</x:v>
      </x:c>
      <x:c r="AR414" s="64" t="n">
        <x:f>-ROUND(AK414*'Drivers'!U414,3)</x:f>
        <x:v>-13.087</x:v>
      </x:c>
      <x:c r="AS414" s="64" t="n">
        <x:f>-ROUND(AK414*'Drivers'!V414,3)</x:f>
        <x:v>-63.122</x:v>
      </x:c>
      <x:c r="AT414" s="64" t="n">
        <x:f>SUM(AO414:AS414)</x:f>
        <x:v>-1069.696</x:v>
      </x:c>
      <x:c r="AU414" s="65" t="n">
        <x:f>AT414/AK414</x:f>
        <x:v>-0.5601772548436372</x:v>
      </x:c>
      <x:c r="AV414" s="64" t="n">
        <x:f>AK414+AT414</x:f>
        <x:v>839.8710000000001</x:v>
      </x:c>
      <x:c r="AW414" s="65" t="n">
        <x:f>AV414/AK414</x:f>
        <x:v>0.4398227451563627</x:v>
      </x:c>
      <x:c r="AX414" s="64" t="n">
        <x:f>-ROUND(AK414*'Drivers'!W414,3)</x:f>
        <x:v>-18.365</x:v>
      </x:c>
      <x:c r="AY414" s="64" t="n">
        <x:f>-ROUND(AK414*'Drivers'!X414,3)</x:f>
        <x:v>-40.658</x:v>
      </x:c>
      <x:c r="AZ414" s="64" t="n">
        <x:f>-ROUND(AK414*'Drivers'!Y414,3)</x:f>
        <x:v>-31.94</x:v>
      </x:c>
      <x:c r="BA414" s="64" t="n">
        <x:f>-ROUND(AK414*'Drivers'!Z414,3)</x:f>
        <x:v>-11.683</x:v>
      </x:c>
      <x:c r="BB414" s="64" t="n">
        <x:f>-ROUND(AK414*'Drivers'!AA414,3)</x:f>
        <x:v>-10.719</x:v>
      </x:c>
      <x:c r="BC414" s="64" t="n">
        <x:f>SUM(BA414,BB414)</x:f>
        <x:v>-22.402</x:v>
      </x:c>
      <x:c r="BD414" s="64" t="n">
        <x:f>-ROUND(AK414*'Drivers'!AB414,3)</x:f>
        <x:v>-8.742</x:v>
      </x:c>
      <x:c r="BE414" s="64" t="n">
        <x:f>SUM(AX414:BB414,BD414)</x:f>
        <x:v>-122.10699999999999</x:v>
      </x:c>
      <x:c r="BF414" s="67" t="n">
        <x:f>'Drivers'!AF414</x:f>
        <x:v>8</x:v>
      </x:c>
      <x:c r="BG414" s="64" t="n">
        <x:f>BJ414</x:f>
        <x:v>-43.2</x:v>
      </x:c>
      <x:c r="BH414" s="64" t="n">
        <x:f>BE414/BF414</x:f>
        <x:v>-15.263374999999998</x:v>
      </x:c>
      <x:c r="BI414" s="68" t="n">
        <x:f>BF414/L414</x:f>
        <x:v>1.3333333333333333</x:v>
      </x:c>
      <x:c r="BJ414" s="64" t="n">
        <x:f>-ROUND(AK414*'Drivers'!AC414,3)</x:f>
        <x:v>-43.2</x:v>
      </x:c>
      <x:c r="BK414" s="64" t="n">
        <x:f>-ROUND(AK414*'Drivers'!AD414,3)</x:f>
        <x:v>-208.762</x:v>
      </x:c>
      <x:c r="BL414" s="64" t="n">
        <x:f>SUM(AV414,BE414,BJ414,BK414)</x:f>
        <x:v>465.8020000000001</x:v>
      </x:c>
      <x:c r="BM414" s="65" t="n">
        <x:f>BL414/AK414</x:f>
        <x:v>0.24393069214120272</x:v>
      </x:c>
      <x:c r="BN414" s="64" t="n">
        <x:f>-ROUND(AK414*'Drivers'!AE414,3)</x:f>
        <x:v>-155.38</x:v>
      </x:c>
      <x:c r="BO414" s="64" t="n">
        <x:f>BL414+BN414</x:f>
        <x:v>310.4220000000001</x:v>
      </x:c>
      <x:c r="BP414" s="65" t="n">
        <x:f>BO414/AK414</x:f>
        <x:v>0.1625614602682179</x:v>
      </x:c>
    </x:row>
    <x:row r="415">
      <x:c r="A415" s="61" t="n">
        <x:v>2025</x:v>
      </x:c>
      <x:c r="B415" s="18" t="str">
        <x:v>S2</x:v>
      </x:c>
      <x:c r="C415" s="18" t="str">
        <x:v>2025 S2</x:v>
      </x:c>
      <x:c r="D415" s="18" t="str">
        <x:v>CNCT0104</x:v>
      </x:c>
      <x:c r="E415" s="18" t="str">
        <x:v>长沙万象城</x:v>
      </x:c>
      <x:c r="F415" s="18" t="str">
        <x:v>长沙</x:v>
      </x:c>
      <x:c r="G415" s="18" t="str">
        <x:v>湖南省</x:v>
      </x:c>
      <x:c r="H415" s="18" t="str">
        <x:v>南区</x:v>
      </x:c>
      <x:c r="I415" s="18" t="str">
        <x:v>Shopping Mall</x:v>
      </x:c>
      <x:c r="J415" s="18" t="str">
        <x:v>Prestige Shopping Center</x:v>
      </x:c>
      <x:c r="K415" s="18" t="str">
        <x:v>正常</x:v>
      </x:c>
      <x:c r="L415" s="62" t="n">
        <x:v>6</x:v>
      </x:c>
      <x:c r="M415" s="62" t="n">
        <x:v>43</x:v>
      </x:c>
      <x:c r="N415" s="63" t="n">
        <x:f>'Drivers'!C415</x:f>
        <x:v>2472</x:v>
      </x:c>
      <x:c r="O415" s="63" t="n">
        <x:f>'Drivers'!D415</x:f>
        <x:v>1172.286</x:v>
      </x:c>
      <x:c r="P415" s="64" t="n">
        <x:f>ROUND(N415*O415/1000,3)</x:f>
        <x:v>2897.891</x:v>
      </x:c>
      <x:c r="Q415" s="64" t="n">
        <x:f>ROUND(P415*'Drivers'!E415,3)</x:f>
        <x:v>2838.471</x:v>
      </x:c>
      <x:c r="R415" s="64" t="n">
        <x:f>-ROUND(Q415*'Drivers'!F415,3)</x:f>
        <x:v>-485.772</x:v>
      </x:c>
      <x:c r="S415" s="65" t="n">
        <x:f>R415/Q415</x:f>
        <x:v>-0.17113861652981482</x:v>
      </x:c>
      <x:c r="T415" s="64" t="n">
        <x:f>-ROUND(Q415*'Drivers'!G415,3)</x:f>
        <x:v>-30.091</x:v>
      </x:c>
      <x:c r="U415" s="65" t="n">
        <x:f>T415/Q415</x:f>
        <x:v>-0.010601129974553201</x:v>
      </x:c>
      <x:c r="V415" s="64" t="n">
        <x:f>-ROUND(Q415*'Drivers'!H415,3)</x:f>
        <x:v>-29.31</x:v>
      </x:c>
      <x:c r="W415" s="64" t="n">
        <x:f>-ROUND(Q415*'Drivers'!I415,3)</x:f>
        <x:v>-18.446</x:v>
      </x:c>
      <x:c r="X415" s="64" t="n">
        <x:f>-ROUND(Q415*'Drivers'!J415,3)</x:f>
        <x:v>-32.22</x:v>
      </x:c>
      <x:c r="Y415" s="64" t="n">
        <x:f>-ROUND(Q415*'Drivers'!K415,3)</x:f>
        <x:v>-26.07</x:v>
      </x:c>
      <x:c r="Z415" s="64" t="n">
        <x:f>-ROUND(Q415*'Drivers'!L415,3)</x:f>
        <x:v>-34.898</x:v>
      </x:c>
      <x:c r="AA415" s="64" t="n">
        <x:f>-ROUND(Q415*'Drivers'!M415,3)</x:f>
        <x:v>-18.507</x:v>
      </x:c>
      <x:c r="AB415" s="64" t="n">
        <x:f>-ROUND(Q415*'Drivers'!N415,3)</x:f>
        <x:v>-21.994</x:v>
      </x:c>
      <x:c r="AC415" s="64" t="n">
        <x:f>SUM(V415:AB415)</x:f>
        <x:v>-181.445</x:v>
      </x:c>
      <x:c r="AD415" s="65" t="n">
        <x:f>AC415/Q415</x:f>
        <x:v>-0.06392349965879517</x:v>
      </x:c>
      <x:c r="AE415" s="64" t="n">
        <x:f>-ROUND(Q415*'Drivers'!O415,3)</x:f>
        <x:v>-24.69</x:v>
      </x:c>
      <x:c r="AF415" s="65" t="n">
        <x:f>AE415/Q415</x:f>
        <x:v>-0.00869834498925654</x:v>
      </x:c>
      <x:c r="AG415" s="64" t="n">
        <x:f>-ROUND(Q415*'Drivers'!P415,3)</x:f>
        <x:v>-4.766</x:v>
      </x:c>
      <x:c r="AH415" s="64" t="n">
        <x:f>-ROUND(Q415*'Drivers'!Q415,3)</x:f>
        <x:v>-10.079</x:v>
      </x:c>
      <x:c r="AI415" s="64" t="n">
        <x:f>SUM(R415,T415,AC415,AE415,AG415,AH415)</x:f>
        <x:v>-736.843</x:v>
      </x:c>
      <x:c r="AJ415" s="65" t="n">
        <x:f>AI415/Q415</x:f>
        <x:v>-0.2595915195187832</x:v>
      </x:c>
      <x:c r="AK415" s="64" t="n">
        <x:f>Q415+AI415</x:f>
        <x:v>2101.628</x:v>
      </x:c>
      <x:c r="AL415" s="65" t="n">
        <x:f>AK415/Q415</x:f>
        <x:v>0.7404084804812169</x:v>
      </x:c>
      <x:c r="AM415" s="64" t="n">
        <x:f>AK415/L415</x:f>
        <x:v>350.27133333333336</x:v>
      </x:c>
      <x:c r="AN415" s="66" t="str">
        <x:f>IF(AM415&lt;=200,"≤200K",IF(AM415&lt;=350,"200–350K",IF(AM415&lt;=500,"350–500K",IF(AM415&lt;=700,"500–700K","&gt;700K"))))</x:f>
        <x:v>350–500K</x:v>
      </x:c>
      <x:c r="AO415" s="64" t="n">
        <x:f>-ROUND(Q415*'Drivers'!R415,3)</x:f>
        <x:v>-1041.905</x:v>
      </x:c>
      <x:c r="AP415" s="64" t="n">
        <x:f>-ROUND(AK415*'Drivers'!S415,3)</x:f>
        <x:v>-25.238</x:v>
      </x:c>
      <x:c r="AQ415" s="64" t="n">
        <x:f>-ROUND(AK415*'Drivers'!T415,3)</x:f>
        <x:v>-12.654</x:v>
      </x:c>
      <x:c r="AR415" s="64" t="n">
        <x:f>-ROUND(AK415*'Drivers'!U415,3)</x:f>
        <x:v>-14.403</x:v>
      </x:c>
      <x:c r="AS415" s="64" t="n">
        <x:f>-ROUND(AK415*'Drivers'!V415,3)</x:f>
        <x:v>-69.471</x:v>
      </x:c>
      <x:c r="AT415" s="64" t="n">
        <x:f>SUM(AO415:AS415)</x:f>
        <x:v>-1163.671</x:v>
      </x:c>
      <x:c r="AU415" s="65" t="n">
        <x:f>AT415/AK415</x:f>
        <x:v>-0.5536997984419697</x:v>
      </x:c>
      <x:c r="AV415" s="64" t="n">
        <x:f>AK415+AT415</x:f>
        <x:v>937.9570000000001</x:v>
      </x:c>
      <x:c r="AW415" s="65" t="n">
        <x:f>AV415/AK415</x:f>
        <x:v>0.4463002015580303</x:v>
      </x:c>
      <x:c r="AX415" s="64" t="n">
        <x:f>-ROUND(AK415*'Drivers'!W415,3)</x:f>
        <x:v>-20.212</x:v>
      </x:c>
      <x:c r="AY415" s="64" t="n">
        <x:f>-ROUND(AK415*'Drivers'!X415,3)</x:f>
        <x:v>-44.747</x:v>
      </x:c>
      <x:c r="AZ415" s="64" t="n">
        <x:f>-ROUND(AK415*'Drivers'!Y415,3)</x:f>
        <x:v>-35.152</x:v>
      </x:c>
      <x:c r="BA415" s="64" t="n">
        <x:f>-ROUND(AK415*'Drivers'!Z415,3)</x:f>
        <x:v>-12.858</x:v>
      </x:c>
      <x:c r="BB415" s="64" t="n">
        <x:f>-ROUND(AK415*'Drivers'!AA415,3)</x:f>
        <x:v>-11.797</x:v>
      </x:c>
      <x:c r="BC415" s="64" t="n">
        <x:f>SUM(BA415,BB415)</x:f>
        <x:v>-24.655</x:v>
      </x:c>
      <x:c r="BD415" s="64" t="n">
        <x:f>-ROUND(AK415*'Drivers'!AB415,3)</x:f>
        <x:v>-9.621</x:v>
      </x:c>
      <x:c r="BE415" s="64" t="n">
        <x:f>SUM(AX415:BB415,BD415)</x:f>
        <x:v>-134.387</x:v>
      </x:c>
      <x:c r="BF415" s="67" t="n">
        <x:f>'Drivers'!AF415</x:f>
        <x:v>8</x:v>
      </x:c>
      <x:c r="BG415" s="64" t="n">
        <x:f>BJ415</x:f>
        <x:v>-47.545</x:v>
      </x:c>
      <x:c r="BH415" s="64" t="n">
        <x:f>BE415/BF415</x:f>
        <x:v>-16.798375</x:v>
      </x:c>
      <x:c r="BI415" s="68" t="n">
        <x:f>BF415/L415</x:f>
        <x:v>1.3333333333333333</x:v>
      </x:c>
      <x:c r="BJ415" s="64" t="n">
        <x:f>-ROUND(AK415*'Drivers'!AC415,3)</x:f>
        <x:v>-47.545</x:v>
      </x:c>
      <x:c r="BK415" s="64" t="n">
        <x:f>-ROUND(AK415*'Drivers'!AD415,3)</x:f>
        <x:v>-229.759</x:v>
      </x:c>
      <x:c r="BL415" s="64" t="n">
        <x:f>SUM(AV415,BE415,BJ415,BK415)</x:f>
        <x:v>526.2660000000002</x:v>
      </x:c>
      <x:c r="BM415" s="65" t="n">
        <x:f>BL415/AK415</x:f>
        <x:v>0.25040873075539544</x:v>
      </x:c>
      <x:c r="BN415" s="64" t="n">
        <x:f>-ROUND(AK415*'Drivers'!AE415,3)</x:f>
        <x:v>-171.008</x:v>
      </x:c>
      <x:c r="BO415" s="64" t="n">
        <x:f>BL415+BN415</x:f>
        <x:v>355.25800000000015</x:v>
      </x:c>
      <x:c r="BP415" s="65" t="n">
        <x:f>BO415/AK415</x:f>
        <x:v>0.16903943038444488</x:v>
      </x:c>
    </x:row>
    <x:row r="416">
      <x:c r="A416" s="61" t="n">
        <x:v>2026</x:v>
      </x:c>
      <x:c r="B416" s="18" t="str">
        <x:v>S1</x:v>
      </x:c>
      <x:c r="C416" s="18" t="str">
        <x:v>2026 S1</x:v>
      </x:c>
      <x:c r="D416" s="18" t="str">
        <x:v>CNCT0104</x:v>
      </x:c>
      <x:c r="E416" s="18" t="str">
        <x:v>长沙万象城</x:v>
      </x:c>
      <x:c r="F416" s="18" t="str">
        <x:v>长沙</x:v>
      </x:c>
      <x:c r="G416" s="18" t="str">
        <x:v>湖南省</x:v>
      </x:c>
      <x:c r="H416" s="18" t="str">
        <x:v>南区</x:v>
      </x:c>
      <x:c r="I416" s="18" t="str">
        <x:v>Shopping Mall</x:v>
      </x:c>
      <x:c r="J416" s="18" t="str">
        <x:v>Prestige Shopping Center</x:v>
      </x:c>
      <x:c r="K416" s="18" t="str">
        <x:v>正常</x:v>
      </x:c>
      <x:c r="L416" s="62" t="n">
        <x:v>6</x:v>
      </x:c>
      <x:c r="M416" s="62" t="n">
        <x:v>43</x:v>
      </x:c>
      <x:c r="N416" s="63" t="n">
        <x:f>'Drivers'!C416</x:f>
        <x:v>2366</x:v>
      </x:c>
      <x:c r="O416" s="63" t="n">
        <x:f>'Drivers'!D416</x:f>
        <x:v>1223.531</x:v>
      </x:c>
      <x:c r="P416" s="64" t="n">
        <x:f>ROUND(N416*O416/1000,3)</x:f>
        <x:v>2894.874</x:v>
      </x:c>
      <x:c r="Q416" s="64" t="n">
        <x:f>ROUND(P416*'Drivers'!E416,3)</x:f>
        <x:v>2809.588</x:v>
      </x:c>
      <x:c r="R416" s="64" t="n">
        <x:f>-ROUND(Q416*'Drivers'!F416,3)</x:f>
        <x:v>-471.11</x:v>
      </x:c>
      <x:c r="S416" s="65" t="n">
        <x:f>R416/Q416</x:f>
        <x:v>-0.16767938929124127</x:v>
      </x:c>
      <x:c r="T416" s="64" t="n">
        <x:f>-ROUND(Q416*'Drivers'!G416,3)</x:f>
        <x:v>-26.094</x:v>
      </x:c>
      <x:c r="U416" s="65" t="n">
        <x:f>T416/Q416</x:f>
        <x:v>-0.009287482719886333</x:v>
      </x:c>
      <x:c r="V416" s="64" t="n">
        <x:f>-ROUND(Q416*'Drivers'!H416,3)</x:f>
        <x:v>-29.012</x:v>
      </x:c>
      <x:c r="W416" s="64" t="n">
        <x:f>-ROUND(Q416*'Drivers'!I416,3)</x:f>
        <x:v>-18.259</x:v>
      </x:c>
      <x:c r="X416" s="64" t="n">
        <x:f>-ROUND(Q416*'Drivers'!J416,3)</x:f>
        <x:v>-31.892</x:v>
      </x:c>
      <x:c r="Y416" s="64" t="n">
        <x:f>-ROUND(Q416*'Drivers'!K416,3)</x:f>
        <x:v>-25.805</x:v>
      </x:c>
      <x:c r="Z416" s="64" t="n">
        <x:f>-ROUND(Q416*'Drivers'!L416,3)</x:f>
        <x:v>-34.543</x:v>
      </x:c>
      <x:c r="AA416" s="64" t="n">
        <x:f>-ROUND(Q416*'Drivers'!M416,3)</x:f>
        <x:v>-18.318</x:v>
      </x:c>
      <x:c r="AB416" s="64" t="n">
        <x:f>-ROUND(Q416*'Drivers'!N416,3)</x:f>
        <x:v>-21.771</x:v>
      </x:c>
      <x:c r="AC416" s="64" t="n">
        <x:f>SUM(V416:AB416)</x:f>
        <x:v>-179.60000000000002</x:v>
      </x:c>
      <x:c r="AD416" s="65" t="n">
        <x:f>AC416/Q416</x:f>
        <x:v>-0.06392396322877233</x:v>
      </x:c>
      <x:c r="AE416" s="64" t="n">
        <x:f>-ROUND(Q416*'Drivers'!O416,3)</x:f>
        <x:v>-26.563</x:v>
      </x:c>
      <x:c r="AF416" s="65" t="n">
        <x:f>AE416/Q416</x:f>
        <x:v>-0.009454411109386855</x:v>
      </x:c>
      <x:c r="AG416" s="64" t="n">
        <x:f>-ROUND(Q416*'Drivers'!P416,3)</x:f>
        <x:v>-4.718</x:v>
      </x:c>
      <x:c r="AH416" s="64" t="n">
        <x:f>-ROUND(Q416*'Drivers'!Q416,3)</x:f>
        <x:v>-9.976</x:v>
      </x:c>
      <x:c r="AI416" s="64" t="n">
        <x:f>SUM(R416,T416,AC416,AE416,AG416,AH416)</x:f>
        <x:v>-718.061</x:v>
      </x:c>
      <x:c r="AJ416" s="65" t="n">
        <x:f>AI416/Q416</x:f>
        <x:v>-0.25557519465487466</x:v>
      </x:c>
      <x:c r="AK416" s="64" t="n">
        <x:f>Q416+AI416</x:f>
        <x:v>2091.527</x:v>
      </x:c>
      <x:c r="AL416" s="65" t="n">
        <x:f>AK416/Q416</x:f>
        <x:v>0.7444248053451253</x:v>
      </x:c>
      <x:c r="AM416" s="64" t="n">
        <x:f>AK416/L416</x:f>
        <x:v>348.5878333333333</x:v>
      </x:c>
      <x:c r="AN416" s="66" t="str">
        <x:f>IF(AM416&lt;=200,"≤200K",IF(AM416&lt;=350,"200–350K",IF(AM416&lt;=500,"350–500K",IF(AM416&lt;=700,"500–700K","&gt;700K"))))</x:f>
        <x:v>200–350K</x:v>
      </x:c>
      <x:c r="AO416" s="64" t="n">
        <x:f>-ROUND(Q416*'Drivers'!R416,3)</x:f>
        <x:v>-1040.542</x:v>
      </x:c>
      <x:c r="AP416" s="64" t="n">
        <x:f>-ROUND(AK416*'Drivers'!S416,3)</x:f>
        <x:v>-25.117</x:v>
      </x:c>
      <x:c r="AQ416" s="64" t="n">
        <x:f>-ROUND(AK416*'Drivers'!T416,3)</x:f>
        <x:v>-12.593</x:v>
      </x:c>
      <x:c r="AR416" s="64" t="n">
        <x:f>-ROUND(AK416*'Drivers'!U416,3)</x:f>
        <x:v>-14.334</x:v>
      </x:c>
      <x:c r="AS416" s="64" t="n">
        <x:f>-ROUND(AK416*'Drivers'!V416,3)</x:f>
        <x:v>-69.137</x:v>
      </x:c>
      <x:c r="AT416" s="64" t="n">
        <x:f>SUM(AO416:AS416)</x:f>
        <x:v>-1161.723</x:v>
      </x:c>
      <x:c r="AU416" s="65" t="n">
        <x:f>AT416/AK416</x:f>
        <x:v>-0.5554425068383052</x:v>
      </x:c>
      <x:c r="AV416" s="64" t="n">
        <x:f>AK416+AT416</x:f>
        <x:v>929.8040000000001</x:v>
      </x:c>
      <x:c r="AW416" s="65" t="n">
        <x:f>AV416/AK416</x:f>
        <x:v>0.4445574931616948</x:v>
      </x:c>
      <x:c r="AX416" s="64" t="n">
        <x:f>-ROUND(AK416*'Drivers'!W416,3)</x:f>
        <x:v>-24.75</x:v>
      </x:c>
      <x:c r="AY416" s="64" t="n">
        <x:f>-ROUND(AK416*'Drivers'!X416,3)</x:f>
        <x:v>-54.795</x:v>
      </x:c>
      <x:c r="AZ416" s="64" t="n">
        <x:f>-ROUND(AK416*'Drivers'!Y416,3)</x:f>
        <x:v>-43.045</x:v>
      </x:c>
      <x:c r="BA416" s="64" t="n">
        <x:f>-ROUND(AK416*'Drivers'!Z416,3)</x:f>
        <x:v>-15.745</x:v>
      </x:c>
      <x:c r="BB416" s="64" t="n">
        <x:f>-ROUND(AK416*'Drivers'!AA416,3)</x:f>
        <x:v>-14.446</x:v>
      </x:c>
      <x:c r="BC416" s="64" t="n">
        <x:f>SUM(BA416,BB416)</x:f>
        <x:v>-30.191</x:v>
      </x:c>
      <x:c r="BD416" s="64" t="n">
        <x:f>-ROUND(AK416*'Drivers'!AB416,3)</x:f>
        <x:v>-11.782</x:v>
      </x:c>
      <x:c r="BE416" s="64" t="n">
        <x:f>SUM(AX416:BB416,BD416)</x:f>
        <x:v>-164.56300000000002</x:v>
      </x:c>
      <x:c r="BF416" s="67" t="n">
        <x:f>'Drivers'!AF416</x:f>
        <x:v>8</x:v>
      </x:c>
      <x:c r="BG416" s="64" t="n">
        <x:f>BJ416</x:f>
        <x:v>-58.22</x:v>
      </x:c>
      <x:c r="BH416" s="64" t="n">
        <x:f>BE416/BF416</x:f>
        <x:v>-20.570375000000002</x:v>
      </x:c>
      <x:c r="BI416" s="68" t="n">
        <x:f>BF416/L416</x:f>
        <x:v>1.3333333333333333</x:v>
      </x:c>
      <x:c r="BJ416" s="64" t="n">
        <x:f>-ROUND(AK416*'Drivers'!AC416,3)</x:f>
        <x:v>-58.22</x:v>
      </x:c>
      <x:c r="BK416" s="64" t="n">
        <x:f>-ROUND(AK416*'Drivers'!AD416,3)</x:f>
        <x:v>-228.655</x:v>
      </x:c>
      <x:c r="BL416" s="64" t="n">
        <x:f>SUM(AV416,BE416,BJ416,BK416)</x:f>
        <x:v>478.3660000000001</x:v>
      </x:c>
      <x:c r="BM416" s="65" t="n">
        <x:f>BL416/AK416</x:f>
        <x:v>0.2287161485364521</x:v>
      </x:c>
      <x:c r="BN416" s="64" t="n">
        <x:f>-ROUND(AK416*'Drivers'!AE416,3)</x:f>
        <x:v>-170.186</x:v>
      </x:c>
      <x:c r="BO416" s="64" t="n">
        <x:f>BL416+BN416</x:f>
        <x:v>308.18000000000006</x:v>
      </x:c>
      <x:c r="BP416" s="65" t="n">
        <x:f>BO416/AK416</x:f>
        <x:v>0.14734689057325107</x:v>
      </x:c>
    </x:row>
    <x:row r="417">
      <x:c r="A417" s="61" t="n">
        <x:v>2026</x:v>
      </x:c>
      <x:c r="B417" s="18" t="str">
        <x:v>S2</x:v>
      </x:c>
      <x:c r="C417" s="18" t="str">
        <x:v>2026 S2</x:v>
      </x:c>
      <x:c r="D417" s="18" t="str">
        <x:v>CNCT0104</x:v>
      </x:c>
      <x:c r="E417" s="18" t="str">
        <x:v>长沙万象城</x:v>
      </x:c>
      <x:c r="F417" s="18" t="str">
        <x:v>长沙</x:v>
      </x:c>
      <x:c r="G417" s="18" t="str">
        <x:v>湖南省</x:v>
      </x:c>
      <x:c r="H417" s="18" t="str">
        <x:v>南区</x:v>
      </x:c>
      <x:c r="I417" s="18" t="str">
        <x:v>Shopping Mall</x:v>
      </x:c>
      <x:c r="J417" s="18" t="str">
        <x:v>Prestige Shopping Center</x:v>
      </x:c>
      <x:c r="K417" s="18" t="str">
        <x:v>正常</x:v>
      </x:c>
      <x:c r="L417" s="62" t="n">
        <x:v>6</x:v>
      </x:c>
      <x:c r="M417" s="62" t="n">
        <x:v>43</x:v>
      </x:c>
      <x:c r="N417" s="63" t="n">
        <x:f>'Drivers'!C417</x:f>
        <x:v>2630</x:v>
      </x:c>
      <x:c r="O417" s="63" t="n">
        <x:f>'Drivers'!D417</x:f>
        <x:v>1195.746</x:v>
      </x:c>
      <x:c r="P417" s="64" t="n">
        <x:f>ROUND(N417*O417/1000,3)</x:f>
        <x:v>3144.812</x:v>
      </x:c>
      <x:c r="Q417" s="64" t="n">
        <x:f>ROUND(P417*'Drivers'!E417,3)</x:f>
        <x:v>3080.329</x:v>
      </x:c>
      <x:c r="R417" s="64" t="n">
        <x:f>-ROUND(Q417*'Drivers'!F417,3)</x:f>
        <x:v>-524.521</x:v>
      </x:c>
      <x:c r="S417" s="65" t="n">
        <x:f>R417/Q417</x:f>
        <x:v>-0.17028083688463144</x:v>
      </x:c>
      <x:c r="T417" s="64" t="n">
        <x:f>-ROUND(Q417*'Drivers'!G417,3)</x:f>
        <x:v>-33.301</x:v>
      </x:c>
      <x:c r="U417" s="65" t="n">
        <x:f>T417/Q417</x:f>
        <x:v>-0.010810858190797152</x:v>
      </x:c>
      <x:c r="V417" s="64" t="n">
        <x:f>-ROUND(Q417*'Drivers'!H417,3)</x:f>
        <x:v>-31.808</x:v>
      </x:c>
      <x:c r="W417" s="64" t="n">
        <x:f>-ROUND(Q417*'Drivers'!I417,3)</x:f>
        <x:v>-20.018</x:v>
      </x:c>
      <x:c r="X417" s="64" t="n">
        <x:f>-ROUND(Q417*'Drivers'!J417,3)</x:f>
        <x:v>-34.965</x:v>
      </x:c>
      <x:c r="Y417" s="64" t="n">
        <x:f>-ROUND(Q417*'Drivers'!K417,3)</x:f>
        <x:v>-28.291</x:v>
      </x:c>
      <x:c r="Z417" s="64" t="n">
        <x:f>-ROUND(Q417*'Drivers'!L417,3)</x:f>
        <x:v>-37.871</x:v>
      </x:c>
      <x:c r="AA417" s="64" t="n">
        <x:f>-ROUND(Q417*'Drivers'!M417,3)</x:f>
        <x:v>-20.084</x:v>
      </x:c>
      <x:c r="AB417" s="64" t="n">
        <x:f>-ROUND(Q417*'Drivers'!N417,3)</x:f>
        <x:v>-23.868</x:v>
      </x:c>
      <x:c r="AC417" s="64" t="n">
        <x:f>SUM(V417:AB417)</x:f>
        <x:v>-196.905</x:v>
      </x:c>
      <x:c r="AD417" s="65" t="n">
        <x:f>AC417/Q417</x:f>
        <x:v>-0.06392336662739596</x:v>
      </x:c>
      <x:c r="AE417" s="64" t="n">
        <x:f>-ROUND(Q417*'Drivers'!O417,3)</x:f>
        <x:v>-26.793</x:v>
      </x:c>
      <x:c r="AF417" s="65" t="n">
        <x:f>AE417/Q417</x:f>
        <x:v>-0.008698096859134202</x:v>
      </x:c>
      <x:c r="AG417" s="64" t="n">
        <x:f>-ROUND(Q417*'Drivers'!P417,3)</x:f>
        <x:v>-5.172</x:v>
      </x:c>
      <x:c r="AH417" s="64" t="n">
        <x:f>-ROUND(Q417*'Drivers'!Q417,3)</x:f>
        <x:v>-10.938</x:v>
      </x:c>
      <x:c r="AI417" s="64" t="n">
        <x:f>SUM(R417,T417,AC417,AE417,AG417,AH417)</x:f>
        <x:v>-797.63</x:v>
      </x:c>
      <x:c r="AJ417" s="65" t="n">
        <x:f>AI417/Q417</x:f>
        <x:v>-0.2589431193875719</x:v>
      </x:c>
      <x:c r="AK417" s="64" t="n">
        <x:f>Q417+AI417</x:f>
        <x:v>2282.699</x:v>
      </x:c>
      <x:c r="AL417" s="65" t="n">
        <x:f>AK417/Q417</x:f>
        <x:v>0.741056880612428</x:v>
      </x:c>
      <x:c r="AM417" s="64" t="n">
        <x:f>AK417/L417</x:f>
        <x:v>380.44983333333334</x:v>
      </x:c>
      <x:c r="AN417" s="66" t="str">
        <x:f>IF(AM417&lt;=200,"≤200K",IF(AM417&lt;=350,"200–350K",IF(AM417&lt;=500,"350–500K",IF(AM417&lt;=700,"500–700K","&gt;700K"))))</x:f>
        <x:v>350–500K</x:v>
      </x:c>
      <x:c r="AO417" s="64" t="n">
        <x:f>-ROUND(Q417*'Drivers'!R417,3)</x:f>
        <x:v>-1126.57</x:v>
      </x:c>
      <x:c r="AP417" s="64" t="n">
        <x:f>-ROUND(AK417*'Drivers'!S417,3)</x:f>
        <x:v>-27.412</x:v>
      </x:c>
      <x:c r="AQ417" s="64" t="n">
        <x:f>-ROUND(AK417*'Drivers'!T417,3)</x:f>
        <x:v>-13.744</x:v>
      </x:c>
      <x:c r="AR417" s="64" t="n">
        <x:f>-ROUND(AK417*'Drivers'!U417,3)</x:f>
        <x:v>-15.644</x:v>
      </x:c>
      <x:c r="AS417" s="64" t="n">
        <x:f>-ROUND(AK417*'Drivers'!V417,3)</x:f>
        <x:v>-75.456</x:v>
      </x:c>
      <x:c r="AT417" s="64" t="n">
        <x:f>SUM(AO417:AS417)</x:f>
        <x:v>-1258.8259999999998</x:v>
      </x:c>
      <x:c r="AU417" s="65" t="n">
        <x:f>AT417/AK417</x:f>
        <x:v>-0.5514638592297976</x:v>
      </x:c>
      <x:c r="AV417" s="64" t="n">
        <x:f>AK417+AT417</x:f>
        <x:v>1023.8730000000003</x:v>
      </x:c>
      <x:c r="AW417" s="65" t="n">
        <x:f>AV417/AK417</x:f>
        <x:v>0.4485361407702024</x:v>
      </x:c>
      <x:c r="AX417" s="64" t="n">
        <x:f>-ROUND(AK417*'Drivers'!W417,3)</x:f>
        <x:v>-23.27</x:v>
      </x:c>
      <x:c r="AY417" s="64" t="n">
        <x:f>-ROUND(AK417*'Drivers'!X417,3)</x:f>
        <x:v>-51.519</x:v>
      </x:c>
      <x:c r="AZ417" s="64" t="n">
        <x:f>-ROUND(AK417*'Drivers'!Y417,3)</x:f>
        <x:v>-40.472</x:v>
      </x:c>
      <x:c r="BA417" s="64" t="n">
        <x:f>-ROUND(AK417*'Drivers'!Z417,3)</x:f>
        <x:v>-14.804</x:v>
      </x:c>
      <x:c r="BB417" s="64" t="n">
        <x:f>-ROUND(AK417*'Drivers'!AA417,3)</x:f>
        <x:v>-13.582</x:v>
      </x:c>
      <x:c r="BC417" s="64" t="n">
        <x:f>SUM(BA417,BB417)</x:f>
        <x:v>-28.386000000000003</x:v>
      </x:c>
      <x:c r="BD417" s="64" t="n">
        <x:f>-ROUND(AK417*'Drivers'!AB417,3)</x:f>
        <x:v>-11.077</x:v>
      </x:c>
      <x:c r="BE417" s="64" t="n">
        <x:f>SUM(AX417:BB417,BD417)</x:f>
        <x:v>-154.724</x:v>
      </x:c>
      <x:c r="BF417" s="67" t="n">
        <x:f>'Drivers'!AF417</x:f>
        <x:v>8</x:v>
      </x:c>
      <x:c r="BG417" s="64" t="n">
        <x:f>BJ417</x:f>
        <x:v>-54.739</x:v>
      </x:c>
      <x:c r="BH417" s="64" t="n">
        <x:f>BE417/BF417</x:f>
        <x:v>-19.3405</x:v>
      </x:c>
      <x:c r="BI417" s="68" t="n">
        <x:f>BF417/L417</x:f>
        <x:v>1.3333333333333333</x:v>
      </x:c>
      <x:c r="BJ417" s="64" t="n">
        <x:f>-ROUND(AK417*'Drivers'!AC417,3)</x:f>
        <x:v>-54.739</x:v>
      </x:c>
      <x:c r="BK417" s="64" t="n">
        <x:f>-ROUND(AK417*'Drivers'!AD417,3)</x:f>
        <x:v>-249.555</x:v>
      </x:c>
      <x:c r="BL417" s="64" t="n">
        <x:f>SUM(AV417,BE417,BJ417,BK417)</x:f>
        <x:v>564.8550000000002</x:v>
      </x:c>
      <x:c r="BM417" s="65" t="n">
        <x:f>BL417/AK417</x:f>
        <x:v>0.24745049610132577</x:v>
      </x:c>
      <x:c r="BN417" s="64" t="n">
        <x:f>-ROUND(AK417*'Drivers'!AE417,3)</x:f>
        <x:v>-185.742</x:v>
      </x:c>
      <x:c r="BO417" s="64" t="n">
        <x:f>BL417+BN417</x:f>
        <x:v>379.1130000000003</x:v>
      </x:c>
      <x:c r="BP417" s="65" t="n">
        <x:f>BO417/AK417</x:f>
        <x:v>0.16608102951812756</x:v>
      </x:c>
    </x:row>
    <x:row r="418">
      <x:c r="A418" s="61" t="n">
        <x:v>2025</x:v>
      </x:c>
      <x:c r="B418" s="18" t="str">
        <x:v>S1</x:v>
      </x:c>
      <x:c r="C418" s="18" t="str">
        <x:v>2025 S1</x:v>
      </x:c>
      <x:c r="D418" s="18" t="str">
        <x:v>CNCT0105</x:v>
      </x:c>
      <x:c r="E418" s="18" t="str">
        <x:v>长沙德思勤城市广场</x:v>
      </x:c>
      <x:c r="F418" s="18" t="str">
        <x:v>长沙</x:v>
      </x:c>
      <x:c r="G418" s="18" t="str">
        <x:v>湖南省</x:v>
      </x:c>
      <x:c r="H418" s="18" t="str">
        <x:v>南区</x:v>
      </x:c>
      <x:c r="I418" s="18" t="str">
        <x:v>Shopping Mall</x:v>
      </x:c>
      <x:c r="J418" s="18" t="str">
        <x:v>Core Shopping Center</x:v>
      </x:c>
      <x:c r="K418" s="18" t="str">
        <x:v>正常</x:v>
      </x:c>
      <x:c r="L418" s="62" t="n">
        <x:v>5</x:v>
      </x:c>
      <x:c r="M418" s="62" t="n">
        <x:v>43</x:v>
      </x:c>
      <x:c r="N418" s="63" t="n">
        <x:f>'Drivers'!C418</x:f>
        <x:v>1802</x:v>
      </x:c>
      <x:c r="O418" s="63" t="n">
        <x:f>'Drivers'!D418</x:f>
        <x:v>1072.606</x:v>
      </x:c>
      <x:c r="P418" s="64" t="n">
        <x:f>ROUND(N418*O418/1000,3)</x:f>
        <x:v>1932.836</x:v>
      </x:c>
      <x:c r="Q418" s="64" t="n">
        <x:f>ROUND(P418*'Drivers'!E418,3)</x:f>
        <x:v>1883.498</x:v>
      </x:c>
      <x:c r="R418" s="64" t="n">
        <x:f>-ROUND(Q418*'Drivers'!F418,3)</x:f>
        <x:v>-338.83</x:v>
      </x:c>
      <x:c r="S418" s="65" t="n">
        <x:f>R418/Q418</x:f>
        <x:v>-0.1798940057276408</x:v>
      </x:c>
      <x:c r="T418" s="64" t="n">
        <x:f>-ROUND(Q418*'Drivers'!G418,3)</x:f>
        <x:v>-30.407</x:v>
      </x:c>
      <x:c r="U418" s="65" t="n">
        <x:f>T418/Q418</x:f>
        <x:v>-0.016143898214917136</x:v>
      </x:c>
      <x:c r="V418" s="64" t="n">
        <x:f>-ROUND(Q418*'Drivers'!H418,3)</x:f>
        <x:v>-17.442</x:v>
      </x:c>
      <x:c r="W418" s="64" t="n">
        <x:f>-ROUND(Q418*'Drivers'!I418,3)</x:f>
        <x:v>-19.601</x:v>
      </x:c>
      <x:c r="X418" s="64" t="n">
        <x:f>-ROUND(Q418*'Drivers'!J418,3)</x:f>
        <x:v>-31.905</x:v>
      </x:c>
      <x:c r="Y418" s="64" t="n">
        <x:f>-ROUND(Q418*'Drivers'!K418,3)</x:f>
        <x:v>-25.301</x:v>
      </x:c>
      <x:c r="Z418" s="64" t="n">
        <x:f>-ROUND(Q418*'Drivers'!L418,3)</x:f>
        <x:v>-22.057</x:v>
      </x:c>
      <x:c r="AA418" s="64" t="n">
        <x:f>-ROUND(Q418*'Drivers'!M418,3)</x:f>
        <x:v>-10.711</x:v>
      </x:c>
      <x:c r="AB418" s="64" t="n">
        <x:f>-ROUND(Q418*'Drivers'!N418,3)</x:f>
        <x:v>-12.974</x:v>
      </x:c>
      <x:c r="AC418" s="64" t="n">
        <x:f>SUM(V418:AB418)</x:f>
        <x:v>-139.991</x:v>
      </x:c>
      <x:c r="AD418" s="65" t="n">
        <x:f>AC418/Q418</x:f>
        <x:v>-0.0743250059198364</x:v>
      </x:c>
      <x:c r="AE418" s="64" t="n">
        <x:f>-ROUND(Q418*'Drivers'!O418,3)</x:f>
        <x:v>-14.531</x:v>
      </x:c>
      <x:c r="AF418" s="65" t="n">
        <x:f>AE418/Q418</x:f>
        <x:v>-0.007714900679480414</x:v>
      </x:c>
      <x:c r="AG418" s="64" t="n">
        <x:f>-ROUND(Q418*'Drivers'!P418,3)</x:f>
        <x:v>-5.394</x:v>
      </x:c>
      <x:c r="AH418" s="64" t="n">
        <x:f>-ROUND(Q418*'Drivers'!Q418,3)</x:f>
        <x:v>-12.439</x:v>
      </x:c>
      <x:c r="AI418" s="64" t="n">
        <x:f>SUM(R418,T418,AC418,AE418,AG418,AH418)</x:f>
        <x:v>-541.5919999999999</x:v>
      </x:c>
      <x:c r="AJ418" s="65" t="n">
        <x:f>AI418/Q418</x:f>
        <x:v>-0.2875458322759036</x:v>
      </x:c>
      <x:c r="AK418" s="64" t="n">
        <x:f>Q418+AI418</x:f>
        <x:v>1341.9060000000002</x:v>
      </x:c>
      <x:c r="AL418" s="65" t="n">
        <x:f>AK418/Q418</x:f>
        <x:v>0.7124541677240964</x:v>
      </x:c>
      <x:c r="AM418" s="64" t="n">
        <x:f>AK418/L418</x:f>
        <x:v>268.38120000000004</x:v>
      </x:c>
      <x:c r="AN418" s="66" t="str">
        <x:f>IF(AM418&lt;=200,"≤200K",IF(AM418&lt;=350,"200–350K",IF(AM418&lt;=500,"350–500K",IF(AM418&lt;=700,"500–700K","&gt;700K"))))</x:f>
        <x:v>200–350K</x:v>
      </x:c>
      <x:c r="AO418" s="64" t="n">
        <x:f>-ROUND(Q418*'Drivers'!R418,3)</x:f>
        <x:v>-692.46</x:v>
      </x:c>
      <x:c r="AP418" s="64" t="n">
        <x:f>-ROUND(AK418*'Drivers'!S418,3)</x:f>
        <x:v>-19.455</x:v>
      </x:c>
      <x:c r="AQ418" s="64" t="n">
        <x:f>-ROUND(AK418*'Drivers'!T418,3)</x:f>
        <x:v>-5.912</x:v>
      </x:c>
      <x:c r="AR418" s="64" t="n">
        <x:f>-ROUND(AK418*'Drivers'!U418,3)</x:f>
        <x:v>-7.133</x:v>
      </x:c>
      <x:c r="AS418" s="64" t="n">
        <x:f>-ROUND(AK418*'Drivers'!V418,3)</x:f>
        <x:v>-49.054</x:v>
      </x:c>
      <x:c r="AT418" s="64" t="n">
        <x:f>SUM(AO418:AS418)</x:f>
        <x:v>-774.0140000000001</x:v>
      </x:c>
      <x:c r="AU418" s="65" t="n">
        <x:f>AT418/AK418</x:f>
        <x:v>-0.5768019518505767</x:v>
      </x:c>
      <x:c r="AV418" s="64" t="n">
        <x:f>AK418+AT418</x:f>
        <x:v>567.892</x:v>
      </x:c>
      <x:c r="AW418" s="65" t="n">
        <x:f>AV418/AK418</x:f>
        <x:v>0.42319804814942324</x:v>
      </x:c>
      <x:c r="AX418" s="64" t="n">
        <x:f>-ROUND(AK418*'Drivers'!W418,3)</x:f>
        <x:v>-14.505</x:v>
      </x:c>
      <x:c r="AY418" s="64" t="n">
        <x:f>-ROUND(AK418*'Drivers'!X418,3)</x:f>
        <x:v>-27.211</x:v>
      </x:c>
      <x:c r="AZ418" s="64" t="n">
        <x:f>-ROUND(AK418*'Drivers'!Y418,3)</x:f>
        <x:v>-26.476</x:v>
      </x:c>
      <x:c r="BA418" s="64" t="n">
        <x:f>-ROUND(AK418*'Drivers'!Z418,3)</x:f>
        <x:v>-7.92</x:v>
      </x:c>
      <x:c r="BB418" s="64" t="n">
        <x:f>-ROUND(AK418*'Drivers'!AA418,3)</x:f>
        <x:v>-11.796</x:v>
      </x:c>
      <x:c r="BC418" s="64" t="n">
        <x:f>SUM(BA418,BB418)</x:f>
        <x:v>-19.716</x:v>
      </x:c>
      <x:c r="BD418" s="64" t="n">
        <x:f>-ROUND(AK418*'Drivers'!AB418,3)</x:f>
        <x:v>-5.549</x:v>
      </x:c>
      <x:c r="BE418" s="64" t="n">
        <x:f>SUM(AX418:BB418,BD418)</x:f>
        <x:v>-93.45700000000002</x:v>
      </x:c>
      <x:c r="BF418" s="67" t="n">
        <x:f>'Drivers'!AF418</x:f>
        <x:v>10</x:v>
      </x:c>
      <x:c r="BG418" s="64" t="n">
        <x:f>BJ418</x:f>
        <x:v>-31.843</x:v>
      </x:c>
      <x:c r="BH418" s="64" t="n">
        <x:f>BE418/BF418</x:f>
        <x:v>-9.345700000000003</x:v>
      </x:c>
      <x:c r="BI418" s="68" t="n">
        <x:f>BF418/L418</x:f>
        <x:v>2</x:v>
      </x:c>
      <x:c r="BJ418" s="64" t="n">
        <x:f>-ROUND(AK418*'Drivers'!AC418,3)</x:f>
        <x:v>-31.843</x:v>
      </x:c>
      <x:c r="BK418" s="64" t="n">
        <x:f>-ROUND(AK418*'Drivers'!AD418,3)</x:f>
        <x:v>-130.439</x:v>
      </x:c>
      <x:c r="BL418" s="64" t="n">
        <x:f>SUM(AV418,BE418,BJ418,BK418)</x:f>
        <x:v>312.153</x:v>
      </x:c>
      <x:c r="BM418" s="65" t="n">
        <x:f>BL418/AK418</x:f>
        <x:v>0.23261912533366716</x:v>
      </x:c>
      <x:c r="BN418" s="64" t="n">
        <x:f>-ROUND(AK418*'Drivers'!AE418,3)</x:f>
        <x:v>-86.385</x:v>
      </x:c>
      <x:c r="BO418" s="64" t="n">
        <x:f>BL418+BN418</x:f>
        <x:v>225.76800000000003</x:v>
      </x:c>
      <x:c r="BP418" s="65" t="n">
        <x:f>BO418/AK418</x:f>
        <x:v>0.1682442734438925</x:v>
      </x:c>
    </x:row>
    <x:row r="419">
      <x:c r="A419" s="61" t="n">
        <x:v>2025</x:v>
      </x:c>
      <x:c r="B419" s="18" t="str">
        <x:v>S2</x:v>
      </x:c>
      <x:c r="C419" s="18" t="str">
        <x:v>2025 S2</x:v>
      </x:c>
      <x:c r="D419" s="18" t="str">
        <x:v>CNCT0105</x:v>
      </x:c>
      <x:c r="E419" s="18" t="str">
        <x:v>长沙德思勤城市广场</x:v>
      </x:c>
      <x:c r="F419" s="18" t="str">
        <x:v>长沙</x:v>
      </x:c>
      <x:c r="G419" s="18" t="str">
        <x:v>湖南省</x:v>
      </x:c>
      <x:c r="H419" s="18" t="str">
        <x:v>南区</x:v>
      </x:c>
      <x:c r="I419" s="18" t="str">
        <x:v>Shopping Mall</x:v>
      </x:c>
      <x:c r="J419" s="18" t="str">
        <x:v>Core Shopping Center</x:v>
      </x:c>
      <x:c r="K419" s="18" t="str">
        <x:v>正常</x:v>
      </x:c>
      <x:c r="L419" s="62" t="n">
        <x:v>5</x:v>
      </x:c>
      <x:c r="M419" s="62" t="n">
        <x:v>43</x:v>
      </x:c>
      <x:c r="N419" s="63" t="n">
        <x:f>'Drivers'!C419</x:f>
        <x:v>1935</x:v>
      </x:c>
      <x:c r="O419" s="63" t="n">
        <x:f>'Drivers'!D419</x:f>
        <x:v>1085.478</x:v>
      </x:c>
      <x:c r="P419" s="64" t="n">
        <x:f>ROUND(N419*O419/1000,3)</x:f>
        <x:v>2100.4</x:v>
      </x:c>
      <x:c r="Q419" s="64" t="n">
        <x:f>ROUND(P419*'Drivers'!E419,3)</x:f>
        <x:v>2043.305</x:v>
      </x:c>
      <x:c r="R419" s="64" t="n">
        <x:f>-ROUND(Q419*'Drivers'!F419,3)</x:f>
        <x:v>-367.578</x:v>
      </x:c>
      <x:c r="S419" s="65" t="n">
        <x:f>R419/Q419</x:f>
        <x:v>-0.17989384844651188</x:v>
      </x:c>
      <x:c r="T419" s="64" t="n">
        <x:f>-ROUND(Q419*'Drivers'!G419,3)</x:f>
        <x:v>-32.987</x:v>
      </x:c>
      <x:c r="U419" s="65" t="n">
        <x:f>T419/Q419</x:f>
        <x:v>-0.016143943268381374</x:v>
      </x:c>
      <x:c r="V419" s="64" t="n">
        <x:f>-ROUND(Q419*'Drivers'!H419,3)</x:f>
        <x:v>-18.922</x:v>
      </x:c>
      <x:c r="W419" s="64" t="n">
        <x:f>-ROUND(Q419*'Drivers'!I419,3)</x:f>
        <x:v>-21.264</x:v>
      </x:c>
      <x:c r="X419" s="64" t="n">
        <x:f>-ROUND(Q419*'Drivers'!J419,3)</x:f>
        <x:v>-34.612</x:v>
      </x:c>
      <x:c r="Y419" s="64" t="n">
        <x:f>-ROUND(Q419*'Drivers'!K419,3)</x:f>
        <x:v>-27.447</x:v>
      </x:c>
      <x:c r="Z419" s="64" t="n">
        <x:f>-ROUND(Q419*'Drivers'!L419,3)</x:f>
        <x:v>-23.928</x:v>
      </x:c>
      <x:c r="AA419" s="64" t="n">
        <x:f>-ROUND(Q419*'Drivers'!M419,3)</x:f>
        <x:v>-11.62</x:v>
      </x:c>
      <x:c r="AB419" s="64" t="n">
        <x:f>-ROUND(Q419*'Drivers'!N419,3)</x:f>
        <x:v>-14.074</x:v>
      </x:c>
      <x:c r="AC419" s="64" t="n">
        <x:f>SUM(V419:AB419)</x:f>
        <x:v>-151.86700000000002</x:v>
      </x:c>
      <x:c r="AD419" s="65" t="n">
        <x:f>AC419/Q419</x:f>
        <x:v>-0.07432419535996829</x:v>
      </x:c>
      <x:c r="AE419" s="64" t="n">
        <x:f>-ROUND(Q419*'Drivers'!O419,3)</x:f>
        <x:v>-15.764</x:v>
      </x:c>
      <x:c r="AF419" s="65" t="n">
        <x:f>AE419/Q419</x:f>
        <x:v>-0.007714952001781427</x:v>
      </x:c>
      <x:c r="AG419" s="64" t="n">
        <x:f>-ROUND(Q419*'Drivers'!P419,3)</x:f>
        <x:v>-5.851</x:v>
      </x:c>
      <x:c r="AH419" s="64" t="n">
        <x:f>-ROUND(Q419*'Drivers'!Q419,3)</x:f>
        <x:v>-13.495</x:v>
      </x:c>
      <x:c r="AI419" s="64" t="n">
        <x:f>SUM(R419,T419,AC419,AE419,AG419,AH419)</x:f>
        <x:v>-587.542</x:v>
      </x:c>
      <x:c r="AJ419" s="65" t="n">
        <x:f>AI419/Q419</x:f>
        <x:v>-0.28754493333104947</x:v>
      </x:c>
      <x:c r="AK419" s="64" t="n">
        <x:f>Q419+AI419</x:f>
        <x:v>1455.763</x:v>
      </x:c>
      <x:c r="AL419" s="65" t="n">
        <x:f>AK419/Q419</x:f>
        <x:v>0.7124550666689505</x:v>
      </x:c>
      <x:c r="AM419" s="64" t="n">
        <x:f>AK419/L419</x:f>
        <x:v>291.1526</x:v>
      </x:c>
      <x:c r="AN419" s="66" t="str">
        <x:f>IF(AM419&lt;=200,"≤200K",IF(AM419&lt;=350,"200–350K",IF(AM419&lt;=500,"350–500K",IF(AM419&lt;=700,"500–700K","&gt;700K"))))</x:f>
        <x:v>200–350K</x:v>
      </x:c>
      <x:c r="AO419" s="64" t="n">
        <x:f>-ROUND(Q419*'Drivers'!R419,3)</x:f>
        <x:v>-759.647</x:v>
      </x:c>
      <x:c r="AP419" s="64" t="n">
        <x:f>-ROUND(AK419*'Drivers'!S419,3)</x:f>
        <x:v>-21.106</x:v>
      </x:c>
      <x:c r="AQ419" s="64" t="n">
        <x:f>-ROUND(AK419*'Drivers'!T419,3)</x:f>
        <x:v>-6.414</x:v>
      </x:c>
      <x:c r="AR419" s="64" t="n">
        <x:f>-ROUND(AK419*'Drivers'!U419,3)</x:f>
        <x:v>-7.739</x:v>
      </x:c>
      <x:c r="AS419" s="64" t="n">
        <x:f>-ROUND(AK419*'Drivers'!V419,3)</x:f>
        <x:v>-53.216</x:v>
      </x:c>
      <x:c r="AT419" s="64" t="n">
        <x:f>SUM(AO419:AS419)</x:f>
        <x:v>-848.1220000000001</x:v>
      </x:c>
      <x:c r="AU419" s="65" t="n">
        <x:f>AT419/AK419</x:f>
        <x:v>-0.5825962055636804</x:v>
      </x:c>
      <x:c r="AV419" s="64" t="n">
        <x:f>AK419+AT419</x:f>
        <x:v>607.6409999999998</x:v>
      </x:c>
      <x:c r="AW419" s="65" t="n">
        <x:f>AV419/AK419</x:f>
        <x:v>0.4174037944363196</x:v>
      </x:c>
      <x:c r="AX419" s="64" t="n">
        <x:f>-ROUND(AK419*'Drivers'!W419,3)</x:f>
        <x:v>-15.736</x:v>
      </x:c>
      <x:c r="AY419" s="64" t="n">
        <x:f>-ROUND(AK419*'Drivers'!X419,3)</x:f>
        <x:v>-29.52</x:v>
      </x:c>
      <x:c r="AZ419" s="64" t="n">
        <x:f>-ROUND(AK419*'Drivers'!Y419,3)</x:f>
        <x:v>-28.722</x:v>
      </x:c>
      <x:c r="BA419" s="64" t="n">
        <x:f>-ROUND(AK419*'Drivers'!Z419,3)</x:f>
        <x:v>-8.592</x:v>
      </x:c>
      <x:c r="BB419" s="64" t="n">
        <x:f>-ROUND(AK419*'Drivers'!AA419,3)</x:f>
        <x:v>-12.797</x:v>
      </x:c>
      <x:c r="BC419" s="64" t="n">
        <x:f>SUM(BA419,BB419)</x:f>
        <x:v>-21.389000000000003</x:v>
      </x:c>
      <x:c r="BD419" s="64" t="n">
        <x:f>-ROUND(AK419*'Drivers'!AB419,3)</x:f>
        <x:v>-6.02</x:v>
      </x:c>
      <x:c r="BE419" s="64" t="n">
        <x:f>SUM(AX419:BB419,BD419)</x:f>
        <x:v>-101.387</x:v>
      </x:c>
      <x:c r="BF419" s="67" t="n">
        <x:f>'Drivers'!AF419</x:f>
        <x:v>10</x:v>
      </x:c>
      <x:c r="BG419" s="64" t="n">
        <x:f>BJ419</x:f>
        <x:v>-34.545</x:v>
      </x:c>
      <x:c r="BH419" s="64" t="n">
        <x:f>BE419/BF419</x:f>
        <x:v>-10.1387</x:v>
      </x:c>
      <x:c r="BI419" s="68" t="n">
        <x:f>BF419/L419</x:f>
        <x:v>2</x:v>
      </x:c>
      <x:c r="BJ419" s="64" t="n">
        <x:f>-ROUND(AK419*'Drivers'!AC419,3)</x:f>
        <x:v>-34.545</x:v>
      </x:c>
      <x:c r="BK419" s="64" t="n">
        <x:f>-ROUND(AK419*'Drivers'!AD419,3)</x:f>
        <x:v>-141.507</x:v>
      </x:c>
      <x:c r="BL419" s="64" t="n">
        <x:f>SUM(AV419,BE419,BJ419,BK419)</x:f>
        <x:v>330.2019999999998</x:v>
      </x:c>
      <x:c r="BM419" s="65" t="n">
        <x:f>BL419/AK419</x:f>
        <x:v>0.2268240091278593</x:v>
      </x:c>
      <x:c r="BN419" s="64" t="n">
        <x:f>-ROUND(AK419*'Drivers'!AE419,3)</x:f>
        <x:v>-93.714</x:v>
      </x:c>
      <x:c r="BO419" s="64" t="n">
        <x:f>BL419+BN419</x:f>
        <x:v>236.48799999999983</x:v>
      </x:c>
      <x:c r="BP419" s="65" t="n">
        <x:f>BO419/AK419</x:f>
        <x:v>0.16244951959900056</x:v>
      </x:c>
    </x:row>
    <x:row r="420">
      <x:c r="A420" s="61" t="n">
        <x:v>2026</x:v>
      </x:c>
      <x:c r="B420" s="18" t="str">
        <x:v>S1</x:v>
      </x:c>
      <x:c r="C420" s="18" t="str">
        <x:v>2026 S1</x:v>
      </x:c>
      <x:c r="D420" s="18" t="str">
        <x:v>CNCT0105</x:v>
      </x:c>
      <x:c r="E420" s="18" t="str">
        <x:v>长沙德思勤城市广场</x:v>
      </x:c>
      <x:c r="F420" s="18" t="str">
        <x:v>长沙</x:v>
      </x:c>
      <x:c r="G420" s="18" t="str">
        <x:v>湖南省</x:v>
      </x:c>
      <x:c r="H420" s="18" t="str">
        <x:v>南区</x:v>
      </x:c>
      <x:c r="I420" s="18" t="str">
        <x:v>Shopping Mall</x:v>
      </x:c>
      <x:c r="J420" s="18" t="str">
        <x:v>Core Shopping Center</x:v>
      </x:c>
      <x:c r="K420" s="18" t="str">
        <x:v>正常</x:v>
      </x:c>
      <x:c r="L420" s="62" t="n">
        <x:v>5</x:v>
      </x:c>
      <x:c r="M420" s="62" t="n">
        <x:v>43</x:v>
      </x:c>
      <x:c r="N420" s="63" t="n">
        <x:f>'Drivers'!C420</x:f>
        <x:v>1909</x:v>
      </x:c>
      <x:c r="O420" s="63" t="n">
        <x:f>'Drivers'!D420</x:f>
        <x:v>1129.55</x:v>
      </x:c>
      <x:c r="P420" s="64" t="n">
        <x:f>ROUND(N420*O420/1000,3)</x:f>
        <x:v>2156.311</x:v>
      </x:c>
      <x:c r="Q420" s="64" t="n">
        <x:f>ROUND(P420*'Drivers'!E420,3)</x:f>
        <x:v>2103.198</x:v>
      </x:c>
      <x:c r="R420" s="64" t="n">
        <x:f>-ROUND(Q420*'Drivers'!F420,3)</x:f>
        <x:v>-366.56</x:v>
      </x:c>
      <x:c r="S420" s="65" t="n">
        <x:f>R420/Q420</x:f>
        <x:v>-0.17428696680008254</x:v>
      </x:c>
      <x:c r="T420" s="64" t="n">
        <x:f>-ROUND(Q420*'Drivers'!G420,3)</x:f>
        <x:v>-37.738</x:v>
      </x:c>
      <x:c r="U420" s="65" t="n">
        <x:f>T420/Q420</x:f>
        <x:v>-0.017943151334301383</x:v>
      </x:c>
      <x:c r="V420" s="64" t="n">
        <x:f>-ROUND(Q420*'Drivers'!H420,3)</x:f>
        <x:v>-19.477</x:v>
      </x:c>
      <x:c r="W420" s="64" t="n">
        <x:f>-ROUND(Q420*'Drivers'!I420,3)</x:f>
        <x:v>-21.887</x:v>
      </x:c>
      <x:c r="X420" s="64" t="n">
        <x:f>-ROUND(Q420*'Drivers'!J420,3)</x:f>
        <x:v>-35.627</x:v>
      </x:c>
      <x:c r="Y420" s="64" t="n">
        <x:f>-ROUND(Q420*'Drivers'!K420,3)</x:f>
        <x:v>-28.252</x:v>
      </x:c>
      <x:c r="Z420" s="64" t="n">
        <x:f>-ROUND(Q420*'Drivers'!L420,3)</x:f>
        <x:v>-24.63</x:v>
      </x:c>
      <x:c r="AA420" s="64" t="n">
        <x:f>-ROUND(Q420*'Drivers'!M420,3)</x:f>
        <x:v>-11.961</x:v>
      </x:c>
      <x:c r="AB420" s="64" t="n">
        <x:f>-ROUND(Q420*'Drivers'!N420,3)</x:f>
        <x:v>-14.487</x:v>
      </x:c>
      <x:c r="AC420" s="64" t="n">
        <x:f>SUM(V420:AB420)</x:f>
        <x:v>-156.32100000000003</x:v>
      </x:c>
      <x:c r="AD420" s="65" t="n">
        <x:f>AC420/Q420</x:f>
        <x:v>-0.07432538448591147</x:v>
      </x:c>
      <x:c r="AE420" s="64" t="n">
        <x:f>-ROUND(Q420*'Drivers'!O420,3)</x:f>
        <x:v>-17.727</x:v>
      </x:c>
      <x:c r="AF420" s="65" t="n">
        <x:f>AE420/Q420</x:f>
        <x:v>-0.008428593028331143</x:v>
      </x:c>
      <x:c r="AG420" s="64" t="n">
        <x:f>-ROUND(Q420*'Drivers'!P420,3)</x:f>
        <x:v>-6.023</x:v>
      </x:c>
      <x:c r="AH420" s="64" t="n">
        <x:f>-ROUND(Q420*'Drivers'!Q420,3)</x:f>
        <x:v>-13.89</x:v>
      </x:c>
      <x:c r="AI420" s="64" t="n">
        <x:f>SUM(R420,T420,AC420,AE420,AG420,AH420)</x:f>
        <x:v>-598.259</x:v>
      </x:c>
      <x:c r="AJ420" s="65" t="n">
        <x:f>AI420/Q420</x:f>
        <x:v>-0.28445205824653697</x:v>
      </x:c>
      <x:c r="AK420" s="64" t="n">
        <x:f>Q420+AI420</x:f>
        <x:v>1504.9389999999999</x:v>
      </x:c>
      <x:c r="AL420" s="65" t="n">
        <x:f>AK420/Q420</x:f>
        <x:v>0.715547941753463</x:v>
      </x:c>
      <x:c r="AM420" s="64" t="n">
        <x:f>AK420/L420</x:f>
        <x:v>300.9878</x:v>
      </x:c>
      <x:c r="AN420" s="66" t="str">
        <x:f>IF(AM420&lt;=200,"≤200K",IF(AM420&lt;=350,"200–350K",IF(AM420&lt;=500,"350–500K",IF(AM420&lt;=700,"500–700K","&gt;700K"))))</x:f>
        <x:v>200–350K</x:v>
      </x:c>
      <x:c r="AO420" s="64" t="n">
        <x:f>-ROUND(Q420*'Drivers'!R420,3)</x:f>
        <x:v>-775.092</x:v>
      </x:c>
      <x:c r="AP420" s="64" t="n">
        <x:f>-ROUND(AK420*'Drivers'!S420,3)</x:f>
        <x:v>-21.819</x:v>
      </x:c>
      <x:c r="AQ420" s="64" t="n">
        <x:f>-ROUND(AK420*'Drivers'!T420,3)</x:f>
        <x:v>-6.631</x:v>
      </x:c>
      <x:c r="AR420" s="64" t="n">
        <x:f>-ROUND(AK420*'Drivers'!U420,3)</x:f>
        <x:v>-8</x:v>
      </x:c>
      <x:c r="AS420" s="64" t="n">
        <x:f>-ROUND(AK420*'Drivers'!V420,3)</x:f>
        <x:v>-55.013</x:v>
      </x:c>
      <x:c r="AT420" s="64" t="n">
        <x:f>SUM(AO420:AS420)</x:f>
        <x:v>-866.555</x:v>
      </x:c>
      <x:c r="AU420" s="65" t="n">
        <x:f>AT420/AK420</x:f>
        <x:v>-0.5758073915288261</x:v>
      </x:c>
      <x:c r="AV420" s="64" t="n">
        <x:f>AK420+AT420</x:f>
        <x:v>638.3839999999999</x:v>
      </x:c>
      <x:c r="AW420" s="65" t="n">
        <x:f>AV420/AK420</x:f>
        <x:v>0.4241926084711739</x:v>
      </x:c>
      <x:c r="AX420" s="64" t="n">
        <x:f>-ROUND(AK420*'Drivers'!W420,3)</x:f>
        <x:v>-20.016</x:v>
      </x:c>
      <x:c r="AY420" s="64" t="n">
        <x:f>-ROUND(AK420*'Drivers'!X420,3)</x:f>
        <x:v>-37.55</x:v>
      </x:c>
      <x:c r="AZ420" s="64" t="n">
        <x:f>-ROUND(AK420*'Drivers'!Y420,3)</x:f>
        <x:v>-36.535</x:v>
      </x:c>
      <x:c r="BA420" s="64" t="n">
        <x:f>-ROUND(AK420*'Drivers'!Z420,3)</x:f>
        <x:v>-10.929</x:v>
      </x:c>
      <x:c r="BB420" s="64" t="n">
        <x:f>-ROUND(AK420*'Drivers'!AA420,3)</x:f>
        <x:v>-16.278</x:v>
      </x:c>
      <x:c r="BC420" s="64" t="n">
        <x:f>SUM(BA420,BB420)</x:f>
        <x:v>-27.207</x:v>
      </x:c>
      <x:c r="BD420" s="64" t="n">
        <x:f>-ROUND(AK420*'Drivers'!AB420,3)</x:f>
        <x:v>-7.658</x:v>
      </x:c>
      <x:c r="BE420" s="64" t="n">
        <x:f>SUM(AX420:BB420,BD420)</x:f>
        <x:v>-128.96599999999998</x:v>
      </x:c>
      <x:c r="BF420" s="67" t="n">
        <x:f>'Drivers'!AF420</x:f>
        <x:v>10</x:v>
      </x:c>
      <x:c r="BG420" s="64" t="n">
        <x:f>BJ420</x:f>
        <x:v>-43.942</x:v>
      </x:c>
      <x:c r="BH420" s="64" t="n">
        <x:f>BE420/BF420</x:f>
        <x:v>-12.896599999999998</x:v>
      </x:c>
      <x:c r="BI420" s="68" t="n">
        <x:f>BF420/L420</x:f>
        <x:v>2</x:v>
      </x:c>
      <x:c r="BJ420" s="64" t="n">
        <x:f>-ROUND(AK420*'Drivers'!AC420,3)</x:f>
        <x:v>-43.942</x:v>
      </x:c>
      <x:c r="BK420" s="64" t="n">
        <x:f>-ROUND(AK420*'Drivers'!AD420,3)</x:f>
        <x:v>-146.287</x:v>
      </x:c>
      <x:c r="BL420" s="64" t="n">
        <x:f>SUM(AV420,BE420,BJ420,BK420)</x:f>
        <x:v>319.18899999999985</x:v>
      </x:c>
      <x:c r="BM420" s="65" t="n">
        <x:f>BL420/AK420</x:f>
        <x:v>0.21209431079930807</x:v>
      </x:c>
      <x:c r="BN420" s="64" t="n">
        <x:f>-ROUND(AK420*'Drivers'!AE420,3)</x:f>
        <x:v>-96.88</x:v>
      </x:c>
      <x:c r="BO420" s="64" t="n">
        <x:f>BL420+BN420</x:f>
        <x:v>222.30899999999986</x:v>
      </x:c>
      <x:c r="BP420" s="65" t="n">
        <x:f>BO420/AK420</x:f>
        <x:v>0.14771960856885222</x:v>
      </x:c>
    </x:row>
    <x:row r="421">
      <x:c r="A421" s="61" t="n">
        <x:v>2026</x:v>
      </x:c>
      <x:c r="B421" s="18" t="str">
        <x:v>S2</x:v>
      </x:c>
      <x:c r="C421" s="18" t="str">
        <x:v>2026 S2</x:v>
      </x:c>
      <x:c r="D421" s="18" t="str">
        <x:v>CNCT0105</x:v>
      </x:c>
      <x:c r="E421" s="18" t="str">
        <x:v>长沙德思勤城市广场</x:v>
      </x:c>
      <x:c r="F421" s="18" t="str">
        <x:v>长沙</x:v>
      </x:c>
      <x:c r="G421" s="18" t="str">
        <x:v>湖南省</x:v>
      </x:c>
      <x:c r="H421" s="18" t="str">
        <x:v>南区</x:v>
      </x:c>
      <x:c r="I421" s="18" t="str">
        <x:v>Shopping Mall</x:v>
      </x:c>
      <x:c r="J421" s="18" t="str">
        <x:v>Core Shopping Center</x:v>
      </x:c>
      <x:c r="K421" s="18" t="str">
        <x:v>正常</x:v>
      </x:c>
      <x:c r="L421" s="62" t="n">
        <x:v>5</x:v>
      </x:c>
      <x:c r="M421" s="62" t="n">
        <x:v>43</x:v>
      </x:c>
      <x:c r="N421" s="63" t="n">
        <x:f>'Drivers'!C421</x:f>
        <x:v>2074</x:v>
      </x:c>
      <x:c r="O421" s="63" t="n">
        <x:f>'Drivers'!D421</x:f>
        <x:v>1126.113</x:v>
      </x:c>
      <x:c r="P421" s="64" t="n">
        <x:f>ROUND(N421*O421/1000,3)</x:f>
        <x:v>2335.558</x:v>
      </x:c>
      <x:c r="Q421" s="64" t="n">
        <x:f>ROUND(P421*'Drivers'!E421,3)</x:f>
        <x:v>2272.07</x:v>
      </x:c>
      <x:c r="R421" s="64" t="n">
        <x:f>-ROUND(Q421*'Drivers'!F421,3)</x:f>
        <x:v>-402.887</x:v>
      </x:c>
      <x:c r="S421" s="65" t="n">
        <x:f>R421/Q421</x:f>
        <x:v>-0.17732156139555558</x:v>
      </x:c>
      <x:c r="T421" s="64" t="n">
        <x:f>-ROUND(Q421*'Drivers'!G421,3)</x:f>
        <x:v>-40.721</x:v>
      </x:c>
      <x:c r="U421" s="65" t="n">
        <x:f>T421/Q421</x:f>
        <x:v>-0.017922423164779253</x:v>
      </x:c>
      <x:c r="V421" s="64" t="n">
        <x:f>-ROUND(Q421*'Drivers'!H421,3)</x:f>
        <x:v>-21.041</x:v>
      </x:c>
      <x:c r="W421" s="64" t="n">
        <x:f>-ROUND(Q421*'Drivers'!I421,3)</x:f>
        <x:v>-23.645</x:v>
      </x:c>
      <x:c r="X421" s="64" t="n">
        <x:f>-ROUND(Q421*'Drivers'!J421,3)</x:f>
        <x:v>-38.488</x:v>
      </x:c>
      <x:c r="Y421" s="64" t="n">
        <x:f>-ROUND(Q421*'Drivers'!K421,3)</x:f>
        <x:v>-30.52</x:v>
      </x:c>
      <x:c r="Z421" s="64" t="n">
        <x:f>-ROUND(Q421*'Drivers'!L421,3)</x:f>
        <x:v>-26.607</x:v>
      </x:c>
      <x:c r="AA421" s="64" t="n">
        <x:f>-ROUND(Q421*'Drivers'!M421,3)</x:f>
        <x:v>-12.921</x:v>
      </x:c>
      <x:c r="AB421" s="64" t="n">
        <x:f>-ROUND(Q421*'Drivers'!N421,3)</x:f>
        <x:v>-15.65</x:v>
      </x:c>
      <x:c r="AC421" s="64" t="n">
        <x:f>SUM(V421:AB421)</x:f>
        <x:v>-168.87199999999999</x:v>
      </x:c>
      <x:c r="AD421" s="65" t="n">
        <x:f>AC421/Q421</x:f>
        <x:v>-0.07432517484056388</x:v>
      </x:c>
      <x:c r="AE421" s="64" t="n">
        <x:f>-ROUND(Q421*'Drivers'!O421,3)</x:f>
        <x:v>-17.529</x:v>
      </x:c>
      <x:c r="AF421" s="65" t="n">
        <x:f>AE421/Q421</x:f>
        <x:v>-0.007714991175447939</x:v>
      </x:c>
      <x:c r="AG421" s="64" t="n">
        <x:f>-ROUND(Q421*'Drivers'!P421,3)</x:f>
        <x:v>-6.506</x:v>
      </x:c>
      <x:c r="AH421" s="64" t="n">
        <x:f>-ROUND(Q421*'Drivers'!Q421,3)</x:f>
        <x:v>-15.006</x:v>
      </x:c>
      <x:c r="AI421" s="64" t="n">
        <x:f>SUM(R421,T421,AC421,AE421,AG421,AH421)</x:f>
        <x:v>-651.521</x:v>
      </x:c>
      <x:c r="AJ421" s="65" t="n">
        <x:f>AI421/Q421</x:f>
        <x:v>-0.2867521687271959</x:v>
      </x:c>
      <x:c r="AK421" s="64" t="n">
        <x:f>Q421+AI421</x:f>
        <x:v>1620.5490000000002</x:v>
      </x:c>
      <x:c r="AL421" s="65" t="n">
        <x:f>AK421/Q421</x:f>
        <x:v>0.7132478312728041</x:v>
      </x:c>
      <x:c r="AM421" s="64" t="n">
        <x:f>AK421/L421</x:f>
        <x:v>324.10980000000006</x:v>
      </x:c>
      <x:c r="AN421" s="66" t="str">
        <x:f>IF(AM421&lt;=200,"≤200K",IF(AM421&lt;=350,"200–350K",IF(AM421&lt;=500,"350–500K",IF(AM421&lt;=700,"500–700K","&gt;700K"))))</x:f>
        <x:v>200–350K</x:v>
      </x:c>
      <x:c r="AO421" s="64" t="n">
        <x:f>-ROUND(Q421*'Drivers'!R421,3)</x:f>
        <x:v>-851.227</x:v>
      </x:c>
      <x:c r="AP421" s="64" t="n">
        <x:f>-ROUND(AK421*'Drivers'!S421,3)</x:f>
        <x:v>-23.495</x:v>
      </x:c>
      <x:c r="AQ421" s="64" t="n">
        <x:f>-ROUND(AK421*'Drivers'!T421,3)</x:f>
        <x:v>-7.14</x:v>
      </x:c>
      <x:c r="AR421" s="64" t="n">
        <x:f>-ROUND(AK421*'Drivers'!U421,3)</x:f>
        <x:v>-8.615</x:v>
      </x:c>
      <x:c r="AS421" s="64" t="n">
        <x:f>-ROUND(AK421*'Drivers'!V421,3)</x:f>
        <x:v>-59.239</x:v>
      </x:c>
      <x:c r="AT421" s="64" t="n">
        <x:f>SUM(AO421:AS421)</x:f>
        <x:v>-949.716</x:v>
      </x:c>
      <x:c r="AU421" s="65" t="n">
        <x:f>AT421/AK421</x:f>
        <x:v>-0.5860458400208818</x:v>
      </x:c>
      <x:c r="AV421" s="64" t="n">
        <x:f>AK421+AT421</x:f>
        <x:v>670.8330000000002</x:v>
      </x:c>
      <x:c r="AW421" s="65" t="n">
        <x:f>AV421/AK421</x:f>
        <x:v>0.4139541599791183</x:v>
      </x:c>
      <x:c r="AX421" s="64" t="n">
        <x:f>-ROUND(AK421*'Drivers'!W421,3)</x:f>
        <x:v>-18.568</x:v>
      </x:c>
      <x:c r="AY421" s="64" t="n">
        <x:f>-ROUND(AK421*'Drivers'!X421,3)</x:f>
        <x:v>-34.833</x:v>
      </x:c>
      <x:c r="AZ421" s="64" t="n">
        <x:f>-ROUND(AK421*'Drivers'!Y421,3)</x:f>
        <x:v>-33.892</x:v>
      </x:c>
      <x:c r="BA421" s="64" t="n">
        <x:f>-ROUND(AK421*'Drivers'!Z421,3)</x:f>
        <x:v>-10.139</x:v>
      </x:c>
      <x:c r="BB421" s="64" t="n">
        <x:f>-ROUND(AK421*'Drivers'!AA421,3)</x:f>
        <x:v>-15.1</x:v>
      </x:c>
      <x:c r="BC421" s="64" t="n">
        <x:f>SUM(BA421,BB421)</x:f>
        <x:v>-25.238999999999997</x:v>
      </x:c>
      <x:c r="BD421" s="64" t="n">
        <x:f>-ROUND(AK421*'Drivers'!AB421,3)</x:f>
        <x:v>-7.104</x:v>
      </x:c>
      <x:c r="BE421" s="64" t="n">
        <x:f>SUM(AX421:BB421,BD421)</x:f>
        <x:v>-119.636</x:v>
      </x:c>
      <x:c r="BF421" s="67" t="n">
        <x:f>'Drivers'!AF421</x:f>
        <x:v>10</x:v>
      </x:c>
      <x:c r="BG421" s="64" t="n">
        <x:f>BJ421</x:f>
        <x:v>-40.762</x:v>
      </x:c>
      <x:c r="BH421" s="64" t="n">
        <x:f>BE421/BF421</x:f>
        <x:v>-11.9636</x:v>
      </x:c>
      <x:c r="BI421" s="68" t="n">
        <x:f>BF421/L421</x:f>
        <x:v>2</x:v>
      </x:c>
      <x:c r="BJ421" s="64" t="n">
        <x:f>-ROUND(AK421*'Drivers'!AC421,3)</x:f>
        <x:v>-40.762</x:v>
      </x:c>
      <x:c r="BK421" s="64" t="n">
        <x:f>-ROUND(AK421*'Drivers'!AD421,3)</x:f>
        <x:v>-157.524</x:v>
      </x:c>
      <x:c r="BL421" s="64" t="n">
        <x:f>SUM(AV421,BE421,BJ421,BK421)</x:f>
        <x:v>352.91100000000023</x:v>
      </x:c>
      <x:c r="BM421" s="65" t="n">
        <x:f>BL421/AK421</x:f>
        <x:v>0.21777249561722611</x:v>
      </x:c>
      <x:c r="BN421" s="64" t="n">
        <x:f>-ROUND(AK421*'Drivers'!AE421,3)</x:f>
        <x:v>-104.322</x:v>
      </x:c>
      <x:c r="BO421" s="64" t="n">
        <x:f>BL421+BN421</x:f>
        <x:v>248.58900000000023</x:v>
      </x:c>
      <x:c r="BP421" s="65" t="n">
        <x:f>BO421/AK421</x:f>
        <x:v>0.15339801511709933</x:v>
      </x:c>
    </x:row>
    <x:row r="422">
      <x:c r="A422" s="61" t="n">
        <x:v>2025</x:v>
      </x:c>
      <x:c r="B422" s="18" t="str">
        <x:v>S1</x:v>
      </x:c>
      <x:c r="C422" s="18" t="str">
        <x:v>2025 S1</x:v>
      </x:c>
      <x:c r="D422" s="18" t="str">
        <x:v>CNCT0106</x:v>
      </x:c>
      <x:c r="E422" s="18" t="str">
        <x:v>长沙运达汇</x:v>
      </x:c>
      <x:c r="F422" s="18" t="str">
        <x:v>长沙</x:v>
      </x:c>
      <x:c r="G422" s="18" t="str">
        <x:v>湖南省</x:v>
      </x:c>
      <x:c r="H422" s="18" t="str">
        <x:v>南区</x:v>
      </x:c>
      <x:c r="I422" s="18" t="str">
        <x:v>Shopping Mall</x:v>
      </x:c>
      <x:c r="J422" s="18" t="str">
        <x:v>Regional Mall</x:v>
      </x:c>
      <x:c r="K422" s="18" t="str">
        <x:v>正常</x:v>
      </x:c>
      <x:c r="L422" s="62" t="n">
        <x:v>5</x:v>
      </x:c>
      <x:c r="M422" s="62" t="n">
        <x:v>43</x:v>
      </x:c>
      <x:c r="N422" s="63" t="n">
        <x:f>'Drivers'!C422</x:f>
        <x:v>1438</x:v>
      </x:c>
      <x:c r="O422" s="63" t="n">
        <x:f>'Drivers'!D422</x:f>
        <x:v>920.249</x:v>
      </x:c>
      <x:c r="P422" s="64" t="n">
        <x:f>ROUND(N422*O422/1000,3)</x:f>
        <x:v>1323.318</x:v>
      </x:c>
      <x:c r="Q422" s="64" t="n">
        <x:f>ROUND(P422*'Drivers'!E422,3)</x:f>
        <x:v>1292.045</x:v>
      </x:c>
      <x:c r="R422" s="64" t="n">
        <x:f>-ROUND(Q422*'Drivers'!F422,3)</x:f>
        <x:v>-235.774</x:v>
      </x:c>
      <x:c r="S422" s="65" t="n">
        <x:f>R422/Q422</x:f>
        <x:v>-0.18248126032762016</x:v>
      </x:c>
      <x:c r="T422" s="64" t="n">
        <x:f>-ROUND(Q422*'Drivers'!G422,3)</x:f>
        <x:v>-18.81</x:v>
      </x:c>
      <x:c r="U422" s="65" t="n">
        <x:f>T422/Q422</x:f>
        <x:v>-0.014558316467305703</x:v>
      </x:c>
      <x:c r="V422" s="64" t="n">
        <x:f>-ROUND(Q422*'Drivers'!H422,3)</x:f>
        <x:v>-9.157</x:v>
      </x:c>
      <x:c r="W422" s="64" t="n">
        <x:f>-ROUND(Q422*'Drivers'!I422,3)</x:f>
        <x:v>-7.275</x:v>
      </x:c>
      <x:c r="X422" s="64" t="n">
        <x:f>-ROUND(Q422*'Drivers'!J422,3)</x:f>
        <x:v>-22.273</x:v>
      </x:c>
      <x:c r="Y422" s="64" t="n">
        <x:f>-ROUND(Q422*'Drivers'!K422,3)</x:f>
        <x:v>-11.227</x:v>
      </x:c>
      <x:c r="Z422" s="64" t="n">
        <x:f>-ROUND(Q422*'Drivers'!L422,3)</x:f>
        <x:v>-16.813</x:v>
      </x:c>
      <x:c r="AA422" s="64" t="n">
        <x:f>-ROUND(Q422*'Drivers'!M422,3)</x:f>
        <x:v>-9.618</x:v>
      </x:c>
      <x:c r="AB422" s="64" t="n">
        <x:f>-ROUND(Q422*'Drivers'!N422,3)</x:f>
        <x:v>-7.609</x:v>
      </x:c>
      <x:c r="AC422" s="64" t="n">
        <x:f>SUM(V422:AB422)</x:f>
        <x:v>-83.972</x:v>
      </x:c>
      <x:c r="AD422" s="65" t="n">
        <x:f>AC422/Q422</x:f>
        <x:v>-0.06499154441215282</x:v>
      </x:c>
      <x:c r="AE422" s="64" t="n">
        <x:f>-ROUND(Q422*'Drivers'!O422,3)</x:f>
        <x:v>-13.599</x:v>
      </x:c>
      <x:c r="AF422" s="65" t="n">
        <x:f>AE422/Q422</x:f>
        <x:v>-0.010525175206745894</x:v>
      </x:c>
      <x:c r="AG422" s="64" t="n">
        <x:f>-ROUND(Q422*'Drivers'!P422,3)</x:f>
        <x:v>-0.86</x:v>
      </x:c>
      <x:c r="AH422" s="64" t="n">
        <x:f>-ROUND(Q422*'Drivers'!Q422,3)</x:f>
        <x:v>-4.142</x:v>
      </x:c>
      <x:c r="AI422" s="64" t="n">
        <x:f>SUM(R422,T422,AC422,AE422,AG422,AH422)</x:f>
        <x:v>-357.157</x:v>
      </x:c>
      <x:c r="AJ422" s="65" t="n">
        <x:f>AI422/Q422</x:f>
        <x:v>-0.27642767860252543</x:v>
      </x:c>
      <x:c r="AK422" s="64" t="n">
        <x:f>Q422+AI422</x:f>
        <x:v>934.8880000000001</x:v>
      </x:c>
      <x:c r="AL422" s="65" t="n">
        <x:f>AK422/Q422</x:f>
        <x:v>0.7235723213974746</x:v>
      </x:c>
      <x:c r="AM422" s="64" t="n">
        <x:f>AK422/L422</x:f>
        <x:v>186.97760000000002</x:v>
      </x:c>
      <x:c r="AN422" s="66" t="str">
        <x:f>IF(AM422&lt;=200,"≤200K",IF(AM422&lt;=350,"200–350K",IF(AM422&lt;=500,"350–500K",IF(AM422&lt;=700,"500–700K","&gt;700K"))))</x:f>
        <x:v>≤200K</x:v>
      </x:c>
      <x:c r="AO422" s="64" t="n">
        <x:f>-ROUND(Q422*'Drivers'!R422,3)</x:f>
        <x:v>-489.082</x:v>
      </x:c>
      <x:c r="AP422" s="64" t="n">
        <x:f>-ROUND(AK422*'Drivers'!S422,3)</x:f>
        <x:v>-14.988</x:v>
      </x:c>
      <x:c r="AQ422" s="64" t="n">
        <x:f>-ROUND(AK422*'Drivers'!T422,3)</x:f>
        <x:v>-4.722</x:v>
      </x:c>
      <x:c r="AR422" s="64" t="n">
        <x:f>-ROUND(AK422*'Drivers'!U422,3)</x:f>
        <x:v>-6.086</x:v>
      </x:c>
      <x:c r="AS422" s="64" t="n">
        <x:f>-ROUND(AK422*'Drivers'!V422,3)</x:f>
        <x:v>-34.62</x:v>
      </x:c>
      <x:c r="AT422" s="64" t="n">
        <x:f>SUM(AO422:AS422)</x:f>
        <x:v>-549.4979999999999</x:v>
      </x:c>
      <x:c r="AU422" s="65" t="n">
        <x:f>AT422/AK422</x:f>
        <x:v>-0.5877688022522483</x:v>
      </x:c>
      <x:c r="AV422" s="64" t="n">
        <x:f>AK422+AT422</x:f>
        <x:v>385.3900000000002</x:v>
      </x:c>
      <x:c r="AW422" s="65" t="n">
        <x:f>AV422/AK422</x:f>
        <x:v>0.41223119774775174</x:v>
      </x:c>
      <x:c r="AX422" s="64" t="n">
        <x:f>-ROUND(AK422*'Drivers'!W422,3)</x:f>
        <x:v>-10.616</x:v>
      </x:c>
      <x:c r="AY422" s="64" t="n">
        <x:f>-ROUND(AK422*'Drivers'!X422,3)</x:f>
        <x:v>-23.638</x:v>
      </x:c>
      <x:c r="AZ422" s="64" t="n">
        <x:f>-ROUND(AK422*'Drivers'!Y422,3)</x:f>
        <x:v>-14.624</x:v>
      </x:c>
      <x:c r="BA422" s="64" t="n">
        <x:f>-ROUND(AK422*'Drivers'!Z422,3)</x:f>
        <x:v>-4.322</x:v>
      </x:c>
      <x:c r="BB422" s="64" t="n">
        <x:f>-ROUND(AK422*'Drivers'!AA422,3)</x:f>
        <x:v>-7.609</x:v>
      </x:c>
      <x:c r="BC422" s="64" t="n">
        <x:f>SUM(BA422,BB422)</x:f>
        <x:v>-11.931000000000001</x:v>
      </x:c>
      <x:c r="BD422" s="64" t="n">
        <x:f>-ROUND(AK422*'Drivers'!AB422,3)</x:f>
        <x:v>-4.929</x:v>
      </x:c>
      <x:c r="BE422" s="64" t="n">
        <x:f>SUM(AX422:BB422,BD422)</x:f>
        <x:v>-65.73800000000001</x:v>
      </x:c>
      <x:c r="BF422" s="67" t="n">
        <x:f>'Drivers'!AF422</x:f>
        <x:v>8</x:v>
      </x:c>
      <x:c r="BG422" s="64" t="n">
        <x:f>BJ422</x:f>
        <x:v>-20.643</x:v>
      </x:c>
      <x:c r="BH422" s="64" t="n">
        <x:f>BE422/BF422</x:f>
        <x:v>-8.217250000000002</x:v>
      </x:c>
      <x:c r="BI422" s="68" t="n">
        <x:f>BF422/L422</x:f>
        <x:v>1.6</x:v>
      </x:c>
      <x:c r="BJ422" s="64" t="n">
        <x:f>-ROUND(AK422*'Drivers'!AC422,3)</x:f>
        <x:v>-20.643</x:v>
      </x:c>
      <x:c r="BK422" s="64" t="n">
        <x:f>-ROUND(AK422*'Drivers'!AD422,3)</x:f>
        <x:v>-105.47</x:v>
      </x:c>
      <x:c r="BL422" s="64" t="n">
        <x:f>SUM(AV422,BE422,BJ422,BK422)</x:f>
        <x:v>193.53900000000024</x:v>
      </x:c>
      <x:c r="BM422" s="65" t="n">
        <x:f>BL422/AK422</x:f>
        <x:v>0.20701838081139154</x:v>
      </x:c>
      <x:c r="BN422" s="64" t="n">
        <x:f>-ROUND(AK422*'Drivers'!AE422,3)</x:f>
        <x:v>-84.226</x:v>
      </x:c>
      <x:c r="BO422" s="64" t="n">
        <x:f>BL422+BN422</x:f>
        <x:v>109.31300000000024</x:v>
      </x:c>
      <x:c r="BP422" s="65" t="n">
        <x:f>BO422/AK422</x:f>
        <x:v>0.11692630561093974</x:v>
      </x:c>
    </x:row>
    <x:row r="423">
      <x:c r="A423" s="61" t="n">
        <x:v>2025</x:v>
      </x:c>
      <x:c r="B423" s="18" t="str">
        <x:v>S2</x:v>
      </x:c>
      <x:c r="C423" s="18" t="str">
        <x:v>2025 S2</x:v>
      </x:c>
      <x:c r="D423" s="18" t="str">
        <x:v>CNCT0106</x:v>
      </x:c>
      <x:c r="E423" s="18" t="str">
        <x:v>长沙运达汇</x:v>
      </x:c>
      <x:c r="F423" s="18" t="str">
        <x:v>长沙</x:v>
      </x:c>
      <x:c r="G423" s="18" t="str">
        <x:v>湖南省</x:v>
      </x:c>
      <x:c r="H423" s="18" t="str">
        <x:v>南区</x:v>
      </x:c>
      <x:c r="I423" s="18" t="str">
        <x:v>Shopping Mall</x:v>
      </x:c>
      <x:c r="J423" s="18" t="str">
        <x:v>Regional Mall</x:v>
      </x:c>
      <x:c r="K423" s="18" t="str">
        <x:v>正常</x:v>
      </x:c>
      <x:c r="L423" s="62" t="n">
        <x:v>5</x:v>
      </x:c>
      <x:c r="M423" s="62" t="n">
        <x:v>43</x:v>
      </x:c>
      <x:c r="N423" s="63" t="n">
        <x:f>'Drivers'!C423</x:f>
        <x:v>1573</x:v>
      </x:c>
      <x:c r="O423" s="63" t="n">
        <x:f>'Drivers'!D423</x:f>
        <x:v>931.292</x:v>
      </x:c>
      <x:c r="P423" s="64" t="n">
        <x:f>ROUND(N423*O423/1000,3)</x:f>
        <x:v>1464.922</x:v>
      </x:c>
      <x:c r="Q423" s="64" t="n">
        <x:f>ROUND(P423*'Drivers'!E423,3)</x:f>
        <x:v>1442.001</x:v>
      </x:c>
      <x:c r="R423" s="64" t="n">
        <x:f>-ROUND(Q423*'Drivers'!F423,3)</x:f>
        <x:v>-263.138</x:v>
      </x:c>
      <x:c r="S423" s="65" t="n">
        <x:f>R423/Q423</x:f>
        <x:v>-0.18248114945828747</x:v>
      </x:c>
      <x:c r="T423" s="64" t="n">
        <x:f>-ROUND(Q423*'Drivers'!G423,3)</x:f>
        <x:v>-20.993</x:v>
      </x:c>
      <x:c r="U423" s="65" t="n">
        <x:f>T423/Q423</x:f>
        <x:v>-0.014558242331315996</x:v>
      </x:c>
      <x:c r="V423" s="64" t="n">
        <x:f>-ROUND(Q423*'Drivers'!H423,3)</x:f>
        <x:v>-10.22</x:v>
      </x:c>
      <x:c r="W423" s="64" t="n">
        <x:f>-ROUND(Q423*'Drivers'!I423,3)</x:f>
        <x:v>-8.12</x:v>
      </x:c>
      <x:c r="X423" s="64" t="n">
        <x:f>-ROUND(Q423*'Drivers'!J423,3)</x:f>
        <x:v>-24.859</x:v>
      </x:c>
      <x:c r="Y423" s="64" t="n">
        <x:f>-ROUND(Q423*'Drivers'!K423,3)</x:f>
        <x:v>-12.53</x:v>
      </x:c>
      <x:c r="Z423" s="64" t="n">
        <x:f>-ROUND(Q423*'Drivers'!L423,3)</x:f>
        <x:v>-18.764</x:v>
      </x:c>
      <x:c r="AA423" s="64" t="n">
        <x:f>-ROUND(Q423*'Drivers'!M423,3)</x:f>
        <x:v>-10.734</x:v>
      </x:c>
      <x:c r="AB423" s="64" t="n">
        <x:f>-ROUND(Q423*'Drivers'!N423,3)</x:f>
        <x:v>-8.492</x:v>
      </x:c>
      <x:c r="AC423" s="64" t="n">
        <x:f>SUM(V423:AB423)</x:f>
        <x:v>-93.719</x:v>
      </x:c>
      <x:c r="AD423" s="65" t="n">
        <x:f>AC423/Q423</x:f>
        <x:v>-0.06499232663500233</x:v>
      </x:c>
      <x:c r="AE423" s="64" t="n">
        <x:f>-ROUND(Q423*'Drivers'!O423,3)</x:f>
        <x:v>-15.177</x:v>
      </x:c>
      <x:c r="AF423" s="65" t="n">
        <x:f>AE423/Q423</x:f>
        <x:v>-0.010524958027074876</x:v>
      </x:c>
      <x:c r="AG423" s="64" t="n">
        <x:f>-ROUND(Q423*'Drivers'!P423,3)</x:f>
        <x:v>-0.96</x:v>
      </x:c>
      <x:c r="AH423" s="64" t="n">
        <x:f>-ROUND(Q423*'Drivers'!Q423,3)</x:f>
        <x:v>-4.623</x:v>
      </x:c>
      <x:c r="AI423" s="64" t="n">
        <x:f>SUM(R423,T423,AC423,AE423,AG423,AH423)</x:f>
        <x:v>-398.60999999999996</x:v>
      </x:c>
      <x:c r="AJ423" s="65" t="n">
        <x:f>AI423/Q423</x:f>
        <x:v>-0.2764283797306659</x:v>
      </x:c>
      <x:c r="AK423" s="64" t="n">
        <x:f>Q423+AI423</x:f>
        <x:v>1043.391</x:v>
      </x:c>
      <x:c r="AL423" s="65" t="n">
        <x:f>AK423/Q423</x:f>
        <x:v>0.7235716202693341</x:v>
      </x:c>
      <x:c r="AM423" s="64" t="n">
        <x:f>AK423/L423</x:f>
        <x:v>208.6782</x:v>
      </x:c>
      <x:c r="AN423" s="66" t="str">
        <x:f>IF(AM423&lt;=200,"≤200K",IF(AM423&lt;=350,"200–350K",IF(AM423&lt;=500,"350–500K",IF(AM423&lt;=700,"500–700K","&gt;700K"))))</x:f>
        <x:v>200–350K</x:v>
      </x:c>
      <x:c r="AO423" s="64" t="n">
        <x:f>-ROUND(Q423*'Drivers'!R423,3)</x:f>
        <x:v>-555.406</x:v>
      </x:c>
      <x:c r="AP423" s="64" t="n">
        <x:f>-ROUND(AK423*'Drivers'!S423,3)</x:f>
        <x:v>-16.727</x:v>
      </x:c>
      <x:c r="AQ423" s="64" t="n">
        <x:f>-ROUND(AK423*'Drivers'!T423,3)</x:f>
        <x:v>-5.27</x:v>
      </x:c>
      <x:c r="AR423" s="64" t="n">
        <x:f>-ROUND(AK423*'Drivers'!U423,3)</x:f>
        <x:v>-6.792</x:v>
      </x:c>
      <x:c r="AS423" s="64" t="n">
        <x:f>-ROUND(AK423*'Drivers'!V423,3)</x:f>
        <x:v>-38.638</x:v>
      </x:c>
      <x:c r="AT423" s="64" t="n">
        <x:f>SUM(AO423:AS423)</x:f>
        <x:v>-622.833</x:v>
      </x:c>
      <x:c r="AU423" s="65" t="n">
        <x:f>AT423/AK423</x:f>
        <x:v>-0.5969315434003167</x:v>
      </x:c>
      <x:c r="AV423" s="64" t="n">
        <x:f>AK423+AT423</x:f>
        <x:v>420.5580000000001</x:v>
      </x:c>
      <x:c r="AW423" s="65" t="n">
        <x:f>AV423/AK423</x:f>
        <x:v>0.4030684565996832</x:v>
      </x:c>
      <x:c r="AX423" s="64" t="n">
        <x:f>-ROUND(AK423*'Drivers'!W423,3)</x:f>
        <x:v>-11.849</x:v>
      </x:c>
      <x:c r="AY423" s="64" t="n">
        <x:f>-ROUND(AK423*'Drivers'!X423,3)</x:f>
        <x:v>-26.381</x:v>
      </x:c>
      <x:c r="AZ423" s="64" t="n">
        <x:f>-ROUND(AK423*'Drivers'!Y423,3)</x:f>
        <x:v>-16.321</x:v>
      </x:c>
      <x:c r="BA423" s="64" t="n">
        <x:f>-ROUND(AK423*'Drivers'!Z423,3)</x:f>
        <x:v>-4.824</x:v>
      </x:c>
      <x:c r="BB423" s="64" t="n">
        <x:f>-ROUND(AK423*'Drivers'!AA423,3)</x:f>
        <x:v>-8.492</x:v>
      </x:c>
      <x:c r="BC423" s="64" t="n">
        <x:f>SUM(BA423,BB423)</x:f>
        <x:v>-13.316</x:v>
      </x:c>
      <x:c r="BD423" s="64" t="n">
        <x:f>-ROUND(AK423*'Drivers'!AB423,3)</x:f>
        <x:v>-5.501</x:v>
      </x:c>
      <x:c r="BE423" s="64" t="n">
        <x:f>SUM(AX423:BB423,BD423)</x:f>
        <x:v>-73.36800000000001</x:v>
      </x:c>
      <x:c r="BF423" s="67" t="n">
        <x:f>'Drivers'!AF423</x:f>
        <x:v>8</x:v>
      </x:c>
      <x:c r="BG423" s="64" t="n">
        <x:f>BJ423</x:f>
        <x:v>-23.039</x:v>
      </x:c>
      <x:c r="BH423" s="64" t="n">
        <x:f>BE423/BF423</x:f>
        <x:v>-9.171000000000001</x:v>
      </x:c>
      <x:c r="BI423" s="68" t="n">
        <x:f>BF423/L423</x:f>
        <x:v>1.6</x:v>
      </x:c>
      <x:c r="BJ423" s="64" t="n">
        <x:f>-ROUND(AK423*'Drivers'!AC423,3)</x:f>
        <x:v>-23.039</x:v>
      </x:c>
      <x:c r="BK423" s="64" t="n">
        <x:f>-ROUND(AK423*'Drivers'!AD423,3)</x:f>
        <x:v>-117.711</x:v>
      </x:c>
      <x:c r="BL423" s="64" t="n">
        <x:f>SUM(AV423,BE423,BJ423,BK423)</x:f>
        <x:v>206.4400000000001</x:v>
      </x:c>
      <x:c r="BM423" s="65" t="n">
        <x:f>BL423/AK423</x:f>
        <x:v>0.1978548789475854</x:v>
      </x:c>
      <x:c r="BN423" s="64" t="n">
        <x:f>-ROUND(AK423*'Drivers'!AE423,3)</x:f>
        <x:v>-94.001</x:v>
      </x:c>
      <x:c r="BO423" s="64" t="n">
        <x:f>BL423+BN423</x:f>
        <x:v>112.4390000000001</x:v>
      </x:c>
      <x:c r="BP423" s="65" t="n">
        <x:f>BO423/AK423</x:f>
        <x:v>0.10776305335200333</x:v>
      </x:c>
    </x:row>
    <x:row r="424">
      <x:c r="A424" s="61" t="n">
        <x:v>2026</x:v>
      </x:c>
      <x:c r="B424" s="18" t="str">
        <x:v>S1</x:v>
      </x:c>
      <x:c r="C424" s="18" t="str">
        <x:v>2026 S1</x:v>
      </x:c>
      <x:c r="D424" s="18" t="str">
        <x:v>CNCT0106</x:v>
      </x:c>
      <x:c r="E424" s="18" t="str">
        <x:v>长沙运达汇</x:v>
      </x:c>
      <x:c r="F424" s="18" t="str">
        <x:v>长沙</x:v>
      </x:c>
      <x:c r="G424" s="18" t="str">
        <x:v>湖南省</x:v>
      </x:c>
      <x:c r="H424" s="18" t="str">
        <x:v>南区</x:v>
      </x:c>
      <x:c r="I424" s="18" t="str">
        <x:v>Shopping Mall</x:v>
      </x:c>
      <x:c r="J424" s="18" t="str">
        <x:v>Regional Mall</x:v>
      </x:c>
      <x:c r="K424" s="18" t="str">
        <x:v>正常</x:v>
      </x:c>
      <x:c r="L424" s="62" t="n">
        <x:v>5</x:v>
      </x:c>
      <x:c r="M424" s="62" t="n">
        <x:v>43</x:v>
      </x:c>
      <x:c r="N424" s="63" t="n">
        <x:f>'Drivers'!C424</x:f>
        <x:v>1342</x:v>
      </x:c>
      <x:c r="O424" s="63" t="n">
        <x:f>'Drivers'!D424</x:f>
        <x:v>968.798</x:v>
      </x:c>
      <x:c r="P424" s="64" t="n">
        <x:f>ROUND(N424*O424/1000,3)</x:f>
        <x:v>1300.127</x:v>
      </x:c>
      <x:c r="Q424" s="64" t="n">
        <x:f>ROUND(P424*'Drivers'!E424,3)</x:f>
        <x:v>1268.729</x:v>
      </x:c>
      <x:c r="R424" s="64" t="n">
        <x:f>-ROUND(Q424*'Drivers'!F424,3)</x:f>
        <x:v>-237.074</x:v>
      </x:c>
      <x:c r="S424" s="65" t="n">
        <x:f>R424/Q424</x:f>
        <x:v>-0.18685944752583097</x:v>
      </x:c>
      <x:c r="T424" s="64" t="n">
        <x:f>-ROUND(Q424*'Drivers'!G424,3)</x:f>
        <x:v>-16.691</x:v>
      </x:c>
      <x:c r="U424" s="65" t="n">
        <x:f>T424/Q424</x:f>
        <x:v>-0.013155685729576606</x:v>
      </x:c>
      <x:c r="V424" s="64" t="n">
        <x:f>-ROUND(Q424*'Drivers'!H424,3)</x:f>
        <x:v>-8.992</x:v>
      </x:c>
      <x:c r="W424" s="64" t="n">
        <x:f>-ROUND(Q424*'Drivers'!I424,3)</x:f>
        <x:v>-7.144</x:v>
      </x:c>
      <x:c r="X424" s="64" t="n">
        <x:f>-ROUND(Q424*'Drivers'!J424,3)</x:f>
        <x:v>-21.872</x:v>
      </x:c>
      <x:c r="Y424" s="64" t="n">
        <x:f>-ROUND(Q424*'Drivers'!K424,3)</x:f>
        <x:v>-11.024</x:v>
      </x:c>
      <x:c r="Z424" s="64" t="n">
        <x:f>-ROUND(Q424*'Drivers'!L424,3)</x:f>
        <x:v>-16.51</x:v>
      </x:c>
      <x:c r="AA424" s="64" t="n">
        <x:f>-ROUND(Q424*'Drivers'!M424,3)</x:f>
        <x:v>-9.445</x:v>
      </x:c>
      <x:c r="AB424" s="64" t="n">
        <x:f>-ROUND(Q424*'Drivers'!N424,3)</x:f>
        <x:v>-7.472</x:v>
      </x:c>
      <x:c r="AC424" s="64" t="n">
        <x:f>SUM(V424:AB424)</x:f>
        <x:v>-82.45899999999999</x:v>
      </x:c>
      <x:c r="AD424" s="65" t="n">
        <x:f>AC424/Q424</x:f>
        <x:v>-0.06499339102361495</x:v>
      </x:c>
      <x:c r="AE424" s="64" t="n">
        <x:f>-ROUND(Q424*'Drivers'!O424,3)</x:f>
        <x:v>-11.778</x:v>
      </x:c>
      <x:c r="AF424" s="65" t="n">
        <x:f>AE424/Q424</x:f>
        <x:v>-0.009283306364085633</x:v>
      </x:c>
      <x:c r="AG424" s="64" t="n">
        <x:f>-ROUND(Q424*'Drivers'!P424,3)</x:f>
        <x:v>-0.845</x:v>
      </x:c>
      <x:c r="AH424" s="64" t="n">
        <x:f>-ROUND(Q424*'Drivers'!Q424,3)</x:f>
        <x:v>-4.067</x:v>
      </x:c>
      <x:c r="AI424" s="64" t="n">
        <x:f>SUM(R424,T424,AC424,AE424,AG424,AH424)</x:f>
        <x:v>-352.91400000000004</x:v>
      </x:c>
      <x:c r="AJ424" s="65" t="n">
        <x:f>AI424/Q424</x:f>
        <x:v>-0.27816342181821335</x:v>
      </x:c>
      <x:c r="AK424" s="64" t="n">
        <x:f>Q424+AI424</x:f>
        <x:v>915.815</x:v>
      </x:c>
      <x:c r="AL424" s="65" t="n">
        <x:f>AK424/Q424</x:f>
        <x:v>0.7218365781817867</x:v>
      </x:c>
      <x:c r="AM424" s="64" t="n">
        <x:f>AK424/L424</x:f>
        <x:v>183.163</x:v>
      </x:c>
      <x:c r="AN424" s="66" t="str">
        <x:f>IF(AM424&lt;=200,"≤200K",IF(AM424&lt;=350,"200–350K",IF(AM424&lt;=500,"350–500K",IF(AM424&lt;=700,"500–700K","&gt;700K"))))</x:f>
        <x:v>≤200K</x:v>
      </x:c>
      <x:c r="AO424" s="64" t="n">
        <x:f>-ROUND(Q424*'Drivers'!R424,3)</x:f>
        <x:v>-480.242</x:v>
      </x:c>
      <x:c r="AP424" s="64" t="n">
        <x:f>-ROUND(AK424*'Drivers'!S424,3)</x:f>
        <x:v>-14.682</x:v>
      </x:c>
      <x:c r="AQ424" s="64" t="n">
        <x:f>-ROUND(AK424*'Drivers'!T424,3)</x:f>
        <x:v>-4.626</x:v>
      </x:c>
      <x:c r="AR424" s="64" t="n">
        <x:f>-ROUND(AK424*'Drivers'!U424,3)</x:f>
        <x:v>-5.962</x:v>
      </x:c>
      <x:c r="AS424" s="64" t="n">
        <x:f>-ROUND(AK424*'Drivers'!V424,3)</x:f>
        <x:v>-33.914</x:v>
      </x:c>
      <x:c r="AT424" s="64" t="n">
        <x:f>SUM(AO424:AS424)</x:f>
        <x:v>-539.426</x:v>
      </x:c>
      <x:c r="AU424" s="65" t="n">
        <x:f>AT424/AK424</x:f>
        <x:v>-0.5890119729421335</x:v>
      </x:c>
      <x:c r="AV424" s="64" t="n">
        <x:f>AK424+AT424</x:f>
        <x:v>376.389</x:v>
      </x:c>
      <x:c r="AW424" s="65" t="n">
        <x:f>AV424/AK424</x:f>
        <x:v>0.41098802705786647</x:v>
      </x:c>
      <x:c r="AX424" s="64" t="n">
        <x:f>-ROUND(AK424*'Drivers'!W424,3)</x:f>
        <x:v>-12.796</x:v>
      </x:c>
      <x:c r="AY424" s="64" t="n">
        <x:f>-ROUND(AK424*'Drivers'!X424,3)</x:f>
        <x:v>-28.492</x:v>
      </x:c>
      <x:c r="AZ424" s="64" t="n">
        <x:f>-ROUND(AK424*'Drivers'!Y424,3)</x:f>
        <x:v>-17.627</x:v>
      </x:c>
      <x:c r="BA424" s="64" t="n">
        <x:f>-ROUND(AK424*'Drivers'!Z424,3)</x:f>
        <x:v>-5.21</x:v>
      </x:c>
      <x:c r="BB424" s="64" t="n">
        <x:f>-ROUND(AK424*'Drivers'!AA424,3)</x:f>
        <x:v>-9.171</x:v>
      </x:c>
      <x:c r="BC424" s="64" t="n">
        <x:f>SUM(BA424,BB424)</x:f>
        <x:v>-14.381</x:v>
      </x:c>
      <x:c r="BD424" s="64" t="n">
        <x:f>-ROUND(AK424*'Drivers'!AB424,3)</x:f>
        <x:v>-5.941</x:v>
      </x:c>
      <x:c r="BE424" s="64" t="n">
        <x:f>SUM(AX424:BB424,BD424)</x:f>
        <x:v>-79.237</x:v>
      </x:c>
      <x:c r="BF424" s="67" t="n">
        <x:f>'Drivers'!AF424</x:f>
        <x:v>8</x:v>
      </x:c>
      <x:c r="BG424" s="64" t="n">
        <x:f>BJ424</x:f>
        <x:v>-24.882</x:v>
      </x:c>
      <x:c r="BH424" s="64" t="n">
        <x:f>BE424/BF424</x:f>
        <x:v>-9.904625</x:v>
      </x:c>
      <x:c r="BI424" s="68" t="n">
        <x:f>BF424/L424</x:f>
        <x:v>1.6</x:v>
      </x:c>
      <x:c r="BJ424" s="64" t="n">
        <x:f>-ROUND(AK424*'Drivers'!AC424,3)</x:f>
        <x:v>-24.882</x:v>
      </x:c>
      <x:c r="BK424" s="64" t="n">
        <x:f>-ROUND(AK424*'Drivers'!AD424,3)</x:f>
        <x:v>-103.319</x:v>
      </x:c>
      <x:c r="BL424" s="64" t="n">
        <x:f>SUM(AV424,BE424,BJ424,BK424)</x:f>
        <x:v>168.95100000000002</x:v>
      </x:c>
      <x:c r="BM424" s="65" t="n">
        <x:f>BL424/AK424</x:f>
        <x:v>0.18448158197889314</x:v>
      </x:c>
      <x:c r="BN424" s="64" t="n">
        <x:f>-ROUND(AK424*'Drivers'!AE424,3)</x:f>
        <x:v>-82.507</x:v>
      </x:c>
      <x:c r="BO424" s="64" t="n">
        <x:f>BL424+BN424</x:f>
        <x:v>86.44400000000002</x:v>
      </x:c>
      <x:c r="BP424" s="65" t="n">
        <x:f>BO424/AK424</x:f>
        <x:v>0.0943902425708249</x:v>
      </x:c>
    </x:row>
    <x:row r="425">
      <x:c r="A425" s="61" t="n">
        <x:v>2026</x:v>
      </x:c>
      <x:c r="B425" s="18" t="str">
        <x:v>S2</x:v>
      </x:c>
      <x:c r="C425" s="18" t="str">
        <x:v>2026 S2</x:v>
      </x:c>
      <x:c r="D425" s="18" t="str">
        <x:v>CNCT0106</x:v>
      </x:c>
      <x:c r="E425" s="18" t="str">
        <x:v>长沙运达汇</x:v>
      </x:c>
      <x:c r="F425" s="18" t="str">
        <x:v>长沙</x:v>
      </x:c>
      <x:c r="G425" s="18" t="str">
        <x:v>湖南省</x:v>
      </x:c>
      <x:c r="H425" s="18" t="str">
        <x:v>南区</x:v>
      </x:c>
      <x:c r="I425" s="18" t="str">
        <x:v>Shopping Mall</x:v>
      </x:c>
      <x:c r="J425" s="18" t="str">
        <x:v>Regional Mall</x:v>
      </x:c>
      <x:c r="K425" s="18" t="str">
        <x:v>正常</x:v>
      </x:c>
      <x:c r="L425" s="62" t="n">
        <x:v>5</x:v>
      </x:c>
      <x:c r="M425" s="62" t="n">
        <x:v>43</x:v>
      </x:c>
      <x:c r="N425" s="63" t="n">
        <x:f>'Drivers'!C425</x:f>
        <x:v>1550</x:v>
      </x:c>
      <x:c r="O425" s="63" t="n">
        <x:f>'Drivers'!D425</x:f>
        <x:v>964.879</x:v>
      </x:c>
      <x:c r="P425" s="64" t="n">
        <x:f>ROUND(N425*O425/1000,3)</x:f>
        <x:v>1495.562</x:v>
      </x:c>
      <x:c r="Q425" s="64" t="n">
        <x:f>ROUND(P425*'Drivers'!E425,3)</x:f>
        <x:v>1472.161</x:v>
      </x:c>
      <x:c r="R425" s="64" t="n">
        <x:f>-ROUND(Q425*'Drivers'!F425,3)</x:f>
        <x:v>-262.891</x:v>
      </x:c>
      <x:c r="S425" s="65" t="n">
        <x:f>R425/Q425</x:f>
        <x:v>-0.17857489771838814</x:v>
      </x:c>
      <x:c r="T425" s="64" t="n">
        <x:f>-ROUND(Q425*'Drivers'!G425,3)</x:f>
        <x:v>-19.818</x:v>
      </x:c>
      <x:c r="U425" s="65" t="n">
        <x:f>T425/Q425</x:f>
        <x:v>-0.013461842828331957</x:v>
      </x:c>
      <x:c r="V425" s="64" t="n">
        <x:f>-ROUND(Q425*'Drivers'!H425,3)</x:f>
        <x:v>-10.433</x:v>
      </x:c>
      <x:c r="W425" s="64" t="n">
        <x:f>-ROUND(Q425*'Drivers'!I425,3)</x:f>
        <x:v>-8.289</x:v>
      </x:c>
      <x:c r="X425" s="64" t="n">
        <x:f>-ROUND(Q425*'Drivers'!J425,3)</x:f>
        <x:v>-25.379</x:v>
      </x:c>
      <x:c r="Y425" s="64" t="n">
        <x:f>-ROUND(Q425*'Drivers'!K425,3)</x:f>
        <x:v>-12.792</x:v>
      </x:c>
      <x:c r="Z425" s="64" t="n">
        <x:f>-ROUND(Q425*'Drivers'!L425,3)</x:f>
        <x:v>-19.157</x:v>
      </x:c>
      <x:c r="AA425" s="64" t="n">
        <x:f>-ROUND(Q425*'Drivers'!M425,3)</x:f>
        <x:v>-10.959</x:v>
      </x:c>
      <x:c r="AB425" s="64" t="n">
        <x:f>-ROUND(Q425*'Drivers'!N425,3)</x:f>
        <x:v>-8.67</x:v>
      </x:c>
      <x:c r="AC425" s="64" t="n">
        <x:f>SUM(V425:AB425)</x:f>
        <x:v>-95.679</x:v>
      </x:c>
      <x:c r="AD425" s="65" t="n">
        <x:f>AC425/Q425</x:f>
        <x:v>-0.0649922121289723</x:v>
      </x:c>
      <x:c r="AE425" s="64" t="n">
        <x:f>-ROUND(Q425*'Drivers'!O425,3)</x:f>
        <x:v>-15.494</x:v>
      </x:c>
      <x:c r="AF425" s="65" t="n">
        <x:f>AE425/Q425</x:f>
        <x:v>-0.010524664082257306</x:v>
      </x:c>
      <x:c r="AG425" s="64" t="n">
        <x:f>-ROUND(Q425*'Drivers'!P425,3)</x:f>
        <x:v>-0.98</x:v>
      </x:c>
      <x:c r="AH425" s="64" t="n">
        <x:f>-ROUND(Q425*'Drivers'!Q425,3)</x:f>
        <x:v>-4.719</x:v>
      </x:c>
      <x:c r="AI425" s="64" t="n">
        <x:f>SUM(R425,T425,AC425,AE425,AG425,AH425)</x:f>
        <x:v>-399.5810000000001</x:v>
      </x:c>
      <x:c r="AJ425" s="65" t="n">
        <x:f>AI425/Q425</x:f>
        <x:v>-0.27142479660852314</x:v>
      </x:c>
      <x:c r="AK425" s="64" t="n">
        <x:f>Q425+AI425</x:f>
        <x:v>1072.58</x:v>
      </x:c>
      <x:c r="AL425" s="65" t="n">
        <x:f>AK425/Q425</x:f>
        <x:v>0.7285752033914769</x:v>
      </x:c>
      <x:c r="AM425" s="64" t="n">
        <x:f>AK425/L425</x:f>
        <x:v>214.516</x:v>
      </x:c>
      <x:c r="AN425" s="66" t="str">
        <x:f>IF(AM425&lt;=200,"≤200K",IF(AM425&lt;=350,"200–350K",IF(AM425&lt;=500,"350–500K",IF(AM425&lt;=700,"500–700K","&gt;700K"))))</x:f>
        <x:v>200–350K</x:v>
      </x:c>
      <x:c r="AO425" s="64" t="n">
        <x:f>-ROUND(Q425*'Drivers'!R425,3)</x:f>
        <x:v>-562.607</x:v>
      </x:c>
      <x:c r="AP425" s="64" t="n">
        <x:f>-ROUND(AK425*'Drivers'!S425,3)</x:f>
        <x:v>-17.195</x:v>
      </x:c>
      <x:c r="AQ425" s="64" t="n">
        <x:f>-ROUND(AK425*'Drivers'!T425,3)</x:f>
        <x:v>-5.417</x:v>
      </x:c>
      <x:c r="AR425" s="64" t="n">
        <x:f>-ROUND(AK425*'Drivers'!U425,3)</x:f>
        <x:v>-6.982</x:v>
      </x:c>
      <x:c r="AS425" s="64" t="n">
        <x:f>-ROUND(AK425*'Drivers'!V425,3)</x:f>
        <x:v>-39.719</x:v>
      </x:c>
      <x:c r="AT425" s="64" t="n">
        <x:f>SUM(AO425:AS425)</x:f>
        <x:v>-631.9200000000001</x:v>
      </x:c>
      <x:c r="AU425" s="65" t="n">
        <x:f>AT425/AK425</x:f>
        <x:v>-0.5891588506218651</x:v>
      </x:c>
      <x:c r="AV425" s="64" t="n">
        <x:f>AK425+AT425</x:f>
        <x:v>440.65999999999985</x:v>
      </x:c>
      <x:c r="AW425" s="65" t="n">
        <x:f>AV425/AK425</x:f>
        <x:v>0.4108411493781349</x:v>
      </x:c>
      <x:c r="AX425" s="64" t="n">
        <x:f>-ROUND(AK425*'Drivers'!W425,3)</x:f>
        <x:v>-12.911</x:v>
      </x:c>
      <x:c r="AY425" s="64" t="n">
        <x:f>-ROUND(AK425*'Drivers'!X425,3)</x:f>
        <x:v>-28.747</x:v>
      </x:c>
      <x:c r="AZ425" s="64" t="n">
        <x:f>-ROUND(AK425*'Drivers'!Y425,3)</x:f>
        <x:v>-17.784</x:v>
      </x:c>
      <x:c r="BA425" s="64" t="n">
        <x:f>-ROUND(AK425*'Drivers'!Z425,3)</x:f>
        <x:v>-5.256</x:v>
      </x:c>
      <x:c r="BB425" s="64" t="n">
        <x:f>-ROUND(AK425*'Drivers'!AA425,3)</x:f>
        <x:v>-9.253</x:v>
      </x:c>
      <x:c r="BC425" s="64" t="n">
        <x:f>SUM(BA425,BB425)</x:f>
        <x:v>-14.509</x:v>
      </x:c>
      <x:c r="BD425" s="64" t="n">
        <x:f>-ROUND(AK425*'Drivers'!AB425,3)</x:f>
        <x:v>-5.994</x:v>
      </x:c>
      <x:c r="BE425" s="64" t="n">
        <x:f>SUM(AX425:BB425,BD425)</x:f>
        <x:v>-79.94500000000001</x:v>
      </x:c>
      <x:c r="BF425" s="67" t="n">
        <x:f>'Drivers'!AF425</x:f>
        <x:v>8</x:v>
      </x:c>
      <x:c r="BG425" s="64" t="n">
        <x:f>BJ425</x:f>
        <x:v>-25.105</x:v>
      </x:c>
      <x:c r="BH425" s="64" t="n">
        <x:f>BE425/BF425</x:f>
        <x:v>-9.993125000000001</x:v>
      </x:c>
      <x:c r="BI425" s="68" t="n">
        <x:f>BF425/L425</x:f>
        <x:v>1.6</x:v>
      </x:c>
      <x:c r="BJ425" s="64" t="n">
        <x:f>-ROUND(AK425*'Drivers'!AC425,3)</x:f>
        <x:v>-25.105</x:v>
      </x:c>
      <x:c r="BK425" s="64" t="n">
        <x:f>-ROUND(AK425*'Drivers'!AD425,3)</x:f>
        <x:v>-121.004</x:v>
      </x:c>
      <x:c r="BL425" s="64" t="n">
        <x:f>SUM(AV425,BE425,BJ425,BK425)</x:f>
        <x:v>214.60599999999982</x:v>
      </x:c>
      <x:c r="BM425" s="65" t="n">
        <x:f>BL425/AK425</x:f>
        <x:v>0.200083909824908</x:v>
      </x:c>
      <x:c r="BN425" s="64" t="n">
        <x:f>-ROUND(AK425*'Drivers'!AE425,3)</x:f>
        <x:v>-96.631</x:v>
      </x:c>
      <x:c r="BO425" s="64" t="n">
        <x:f>BL425+BN425</x:f>
        <x:v>117.97499999999982</x:v>
      </x:c>
      <x:c r="BP425" s="65" t="n">
        <x:f>BO425/AK425</x:f>
        <x:v>0.1099917954837866</x:v>
      </x:c>
    </x:row>
    <x:row r="426">
      <x:c r="A426" s="61" t="n">
        <x:v>2025</x:v>
      </x:c>
      <x:c r="B426" s="18" t="str">
        <x:v>S1</x:v>
      </x:c>
      <x:c r="C426" s="18" t="str">
        <x:v>2025 S1</x:v>
      </x:c>
      <x:c r="D426" s="18" t="str">
        <x:v>CNCT0107</x:v>
      </x:c>
      <x:c r="E426" s="18" t="str">
        <x:v>长沙荟聚</x:v>
      </x:c>
      <x:c r="F426" s="18" t="str">
        <x:v>长沙</x:v>
      </x:c>
      <x:c r="G426" s="18" t="str">
        <x:v>湖南省</x:v>
      </x:c>
      <x:c r="H426" s="18" t="str">
        <x:v>南区</x:v>
      </x:c>
      <x:c r="I426" s="18" t="str">
        <x:v>Shopping Mall</x:v>
      </x:c>
      <x:c r="J426" s="18" t="str">
        <x:v>Regional Mall</x:v>
      </x:c>
      <x:c r="K426" s="18" t="str">
        <x:v>正常</x:v>
      </x:c>
      <x:c r="L426" s="62" t="n">
        <x:v>3</x:v>
      </x:c>
      <x:c r="M426" s="62" t="n">
        <x:v>43</x:v>
      </x:c>
      <x:c r="N426" s="63" t="n">
        <x:f>'Drivers'!C426</x:f>
        <x:v>1029</x:v>
      </x:c>
      <x:c r="O426" s="63" t="n">
        <x:f>'Drivers'!D426</x:f>
        <x:v>976.912</x:v>
      </x:c>
      <x:c r="P426" s="64" t="n">
        <x:f>ROUND(N426*O426/1000,3)</x:f>
        <x:v>1005.242</x:v>
      </x:c>
      <x:c r="Q426" s="64" t="n">
        <x:f>ROUND(P426*'Drivers'!E426,3)</x:f>
        <x:v>979.069</x:v>
      </x:c>
      <x:c r="R426" s="64" t="n">
        <x:f>-ROUND(Q426*'Drivers'!F426,3)</x:f>
        <x:v>-186.345</x:v>
      </x:c>
      <x:c r="S426" s="65" t="n">
        <x:f>R426/Q426</x:f>
        <x:v>-0.19032877151661426</x:v>
      </x:c>
      <x:c r="T426" s="64" t="n">
        <x:f>-ROUND(Q426*'Drivers'!G426,3)</x:f>
        <x:v>-16.297</x:v>
      </x:c>
      <x:c r="U426" s="65" t="n">
        <x:f>T426/Q426</x:f>
        <x:v>-0.01664540497145758</x:v>
      </x:c>
      <x:c r="V426" s="64" t="n">
        <x:f>-ROUND(Q426*'Drivers'!H426,3)</x:f>
        <x:v>-11.858</x:v>
      </x:c>
      <x:c r="W426" s="64" t="n">
        <x:f>-ROUND(Q426*'Drivers'!I426,3)</x:f>
        <x:v>-9.963</x:v>
      </x:c>
      <x:c r="X426" s="64" t="n">
        <x:f>-ROUND(Q426*'Drivers'!J426,3)</x:f>
        <x:v>-10.798</x:v>
      </x:c>
      <x:c r="Y426" s="64" t="n">
        <x:f>-ROUND(Q426*'Drivers'!K426,3)</x:f>
        <x:v>-8.253</x:v>
      </x:c>
      <x:c r="Z426" s="64" t="n">
        <x:f>-ROUND(Q426*'Drivers'!L426,3)</x:f>
        <x:v>-13.221</x:v>
      </x:c>
      <x:c r="AA426" s="64" t="n">
        <x:f>-ROUND(Q426*'Drivers'!M426,3)</x:f>
        <x:v>-7.099</x:v>
      </x:c>
      <x:c r="AB426" s="64" t="n">
        <x:f>-ROUND(Q426*'Drivers'!N426,3)</x:f>
        <x:v>-4.983</x:v>
      </x:c>
      <x:c r="AC426" s="64" t="n">
        <x:f>SUM(V426:AB426)</x:f>
        <x:v>-66.17500000000001</x:v>
      </x:c>
      <x:c r="AD426" s="65" t="n">
        <x:f>AC426/Q426</x:f>
        <x:v>-0.06758972043849822</x:v>
      </x:c>
      <x:c r="AE426" s="64" t="n">
        <x:f>-ROUND(Q426*'Drivers'!O426,3)</x:f>
        <x:v>-11.044</x:v>
      </x:c>
      <x:c r="AF426" s="65" t="n">
        <x:f>AE426/Q426</x:f>
        <x:v>-0.011280103853763117</x:v>
      </x:c>
      <x:c r="AG426" s="64" t="n">
        <x:f>-ROUND(Q426*'Drivers'!P426,3)</x:f>
        <x:v>-0.841</x:v>
      </x:c>
      <x:c r="AH426" s="64" t="n">
        <x:f>-ROUND(Q426*'Drivers'!Q426,3)</x:f>
        <x:v>-4.287</x:v>
      </x:c>
      <x:c r="AI426" s="64" t="n">
        <x:f>SUM(R426,T426,AC426,AE426,AG426,AH426)</x:f>
        <x:v>-284.989</x:v>
      </x:c>
      <x:c r="AJ426" s="65" t="n">
        <x:f>AI426/Q426</x:f>
        <x:v>-0.2910816295889258</x:v>
      </x:c>
      <x:c r="AK426" s="64" t="n">
        <x:f>Q426+AI426</x:f>
        <x:v>694.0799999999999</x:v>
      </x:c>
      <x:c r="AL426" s="65" t="n">
        <x:f>AK426/Q426</x:f>
        <x:v>0.7089183704110742</x:v>
      </x:c>
      <x:c r="AM426" s="64" t="n">
        <x:f>AK426/L426</x:f>
        <x:v>231.35999999999999</x:v>
      </x:c>
      <x:c r="AN426" s="66" t="str">
        <x:f>IF(AM426&lt;=200,"≤200K",IF(AM426&lt;=350,"200–350K",IF(AM426&lt;=500,"350–500K",IF(AM426&lt;=700,"500–700K","&gt;700K"))))</x:f>
        <x:v>200–350K</x:v>
      </x:c>
      <x:c r="AO426" s="64" t="n">
        <x:f>-ROUND(Q426*'Drivers'!R426,3)</x:f>
        <x:v>-344.711</x:v>
      </x:c>
      <x:c r="AP426" s="64" t="n">
        <x:f>-ROUND(AK426*'Drivers'!S426,3)</x:f>
        <x:v>-10.37</x:v>
      </x:c>
      <x:c r="AQ426" s="64" t="n">
        <x:f>-ROUND(AK426*'Drivers'!T426,3)</x:f>
        <x:v>-3.335</x:v>
      </x:c>
      <x:c r="AR426" s="64" t="n">
        <x:f>-ROUND(AK426*'Drivers'!U426,3)</x:f>
        <x:v>-3.612</x:v>
      </x:c>
      <x:c r="AS426" s="64" t="n">
        <x:f>-ROUND(AK426*'Drivers'!V426,3)</x:f>
        <x:v>-26.694</x:v>
      </x:c>
      <x:c r="AT426" s="64" t="n">
        <x:f>SUM(AO426:AS426)</x:f>
        <x:v>-388.72200000000004</x:v>
      </x:c>
      <x:c r="AU426" s="65" t="n">
        <x:f>AT426/AK426</x:f>
        <x:v>-0.5600535961272477</x:v>
      </x:c>
      <x:c r="AV426" s="64" t="n">
        <x:f>AK426+AT426</x:f>
        <x:v>305.3579999999999</x:v>
      </x:c>
      <x:c r="AW426" s="65" t="n">
        <x:f>AV426/AK426</x:f>
        <x:v>0.4399464038727523</x:v>
      </x:c>
      <x:c r="AX426" s="64" t="n">
        <x:f>-ROUND(AK426*'Drivers'!W426,3)</x:f>
        <x:v>-7.39</x:v>
      </x:c>
      <x:c r="AY426" s="64" t="n">
        <x:f>-ROUND(AK426*'Drivers'!X426,3)</x:f>
        <x:v>-17.36</x:v>
      </x:c>
      <x:c r="AZ426" s="64" t="n">
        <x:f>-ROUND(AK426*'Drivers'!Y426,3)</x:f>
        <x:v>-14.124</x:v>
      </x:c>
      <x:c r="BA426" s="64" t="n">
        <x:f>-ROUND(AK426*'Drivers'!Z426,3)</x:f>
        <x:v>-5.442</x:v>
      </x:c>
      <x:c r="BB426" s="64" t="n">
        <x:f>-ROUND(AK426*'Drivers'!AA426,3)</x:f>
        <x:v>-5.505</x:v>
      </x:c>
      <x:c r="BC426" s="64" t="n">
        <x:f>SUM(BA426,BB426)</x:f>
        <x:v>-10.947</x:v>
      </x:c>
      <x:c r="BD426" s="64" t="n">
        <x:f>-ROUND(AK426*'Drivers'!AB426,3)</x:f>
        <x:v>-4.385</x:v>
      </x:c>
      <x:c r="BE426" s="64" t="n">
        <x:f>SUM(AX426:BB426,BD426)</x:f>
        <x:v>-54.206</x:v>
      </x:c>
      <x:c r="BF426" s="67" t="n">
        <x:f>'Drivers'!AF426</x:f>
        <x:v>6</x:v>
      </x:c>
      <x:c r="BG426" s="64" t="n">
        <x:f>BJ426</x:f>
        <x:v>-17.515</x:v>
      </x:c>
      <x:c r="BH426" s="64" t="n">
        <x:f>BE426/BF426</x:f>
        <x:v>-9.034333333333334</x:v>
      </x:c>
      <x:c r="BI426" s="68" t="n">
        <x:f>BF426/L426</x:f>
        <x:v>2</x:v>
      </x:c>
      <x:c r="BJ426" s="64" t="n">
        <x:f>-ROUND(AK426*'Drivers'!AC426,3)</x:f>
        <x:v>-17.515</x:v>
      </x:c>
      <x:c r="BK426" s="64" t="n">
        <x:f>-ROUND(AK426*'Drivers'!AD426,3)</x:f>
        <x:v>-75.235</x:v>
      </x:c>
      <x:c r="BL426" s="64" t="n">
        <x:f>SUM(AV426,BE426,BJ426,BK426)</x:f>
        <x:v>158.40199999999987</x:v>
      </x:c>
      <x:c r="BM426" s="65" t="n">
        <x:f>BL426/AK426</x:f>
        <x:v>0.2282186491470722</x:v>
      </x:c>
      <x:c r="BN426" s="64" t="n">
        <x:f>-ROUND(AK426*'Drivers'!AE426,3)</x:f>
        <x:v>-42.856</x:v>
      </x:c>
      <x:c r="BO426" s="64" t="n">
        <x:f>BL426+BN426</x:f>
        <x:v>115.54599999999988</x:v>
      </x:c>
      <x:c r="BP426" s="65" t="n">
        <x:f>BO426/AK426</x:f>
        <x:v>0.16647360534808653</x:v>
      </x:c>
    </x:row>
    <x:row r="427">
      <x:c r="A427" s="61" t="n">
        <x:v>2025</x:v>
      </x:c>
      <x:c r="B427" s="18" t="str">
        <x:v>S2</x:v>
      </x:c>
      <x:c r="C427" s="18" t="str">
        <x:v>2025 S2</x:v>
      </x:c>
      <x:c r="D427" s="18" t="str">
        <x:v>CNCT0107</x:v>
      </x:c>
      <x:c r="E427" s="18" t="str">
        <x:v>长沙荟聚</x:v>
      </x:c>
      <x:c r="F427" s="18" t="str">
        <x:v>长沙</x:v>
      </x:c>
      <x:c r="G427" s="18" t="str">
        <x:v>湖南省</x:v>
      </x:c>
      <x:c r="H427" s="18" t="str">
        <x:v>南区</x:v>
      </x:c>
      <x:c r="I427" s="18" t="str">
        <x:v>Shopping Mall</x:v>
      </x:c>
      <x:c r="J427" s="18" t="str">
        <x:v>Regional Mall</x:v>
      </x:c>
      <x:c r="K427" s="18" t="str">
        <x:v>正常</x:v>
      </x:c>
      <x:c r="L427" s="62" t="n">
        <x:v>3</x:v>
      </x:c>
      <x:c r="M427" s="62" t="n">
        <x:v>43</x:v>
      </x:c>
      <x:c r="N427" s="63" t="n">
        <x:f>'Drivers'!C427</x:f>
        <x:v>1097</x:v>
      </x:c>
      <x:c r="O427" s="63" t="n">
        <x:f>'Drivers'!D427</x:f>
        <x:v>988.635</x:v>
      </x:c>
      <x:c r="P427" s="64" t="n">
        <x:f>ROUND(N427*O427/1000,3)</x:f>
        <x:v>1084.533</x:v>
      </x:c>
      <x:c r="Q427" s="64" t="n">
        <x:f>ROUND(P427*'Drivers'!E427,3)</x:f>
        <x:v>1067.57</x:v>
      </x:c>
      <x:c r="R427" s="64" t="n">
        <x:f>-ROUND(Q427*'Drivers'!F427,3)</x:f>
        <x:v>-203.189</x:v>
      </x:c>
      <x:c r="S427" s="65" t="n">
        <x:f>R427/Q427</x:f>
        <x:v>-0.1903285030489804</x:v>
      </x:c>
      <x:c r="T427" s="64" t="n">
        <x:f>-ROUND(Q427*'Drivers'!G427,3)</x:f>
        <x:v>-17.77</x:v>
      </x:c>
      <x:c r="U427" s="65" t="n">
        <x:f>T427/Q427</x:f>
        <x:v>-0.016645278529745122</x:v>
      </x:c>
      <x:c r="V427" s="64" t="n">
        <x:f>-ROUND(Q427*'Drivers'!H427,3)</x:f>
        <x:v>-12.93</x:v>
      </x:c>
      <x:c r="W427" s="64" t="n">
        <x:f>-ROUND(Q427*'Drivers'!I427,3)</x:f>
        <x:v>-10.864</x:v>
      </x:c>
      <x:c r="X427" s="64" t="n">
        <x:f>-ROUND(Q427*'Drivers'!J427,3)</x:f>
        <x:v>-11.774</x:v>
      </x:c>
      <x:c r="Y427" s="64" t="n">
        <x:f>-ROUND(Q427*'Drivers'!K427,3)</x:f>
        <x:v>-8.999</x:v>
      </x:c>
      <x:c r="Z427" s="64" t="n">
        <x:f>-ROUND(Q427*'Drivers'!L427,3)</x:f>
        <x:v>-14.417</x:v>
      </x:c>
      <x:c r="AA427" s="64" t="n">
        <x:f>-ROUND(Q427*'Drivers'!M427,3)</x:f>
        <x:v>-7.74</x:v>
      </x:c>
      <x:c r="AB427" s="64" t="n">
        <x:f>-ROUND(Q427*'Drivers'!N427,3)</x:f>
        <x:v>-5.434</x:v>
      </x:c>
      <x:c r="AC427" s="64" t="n">
        <x:f>SUM(V427:AB427)</x:f>
        <x:v>-72.158</x:v>
      </x:c>
      <x:c r="AD427" s="65" t="n">
        <x:f>AC427/Q427</x:f>
        <x:v>-0.0675908839701378</x:v>
      </x:c>
      <x:c r="AE427" s="64" t="n">
        <x:f>-ROUND(Q427*'Drivers'!O427,3)</x:f>
        <x:v>-12.042</x:v>
      </x:c>
      <x:c r="AF427" s="65" t="n">
        <x:f>AE427/Q427</x:f>
        <x:v>-0.011279822400404657</x:v>
      </x:c>
      <x:c r="AG427" s="64" t="n">
        <x:f>-ROUND(Q427*'Drivers'!P427,3)</x:f>
        <x:v>-0.917</x:v>
      </x:c>
      <x:c r="AH427" s="64" t="n">
        <x:f>-ROUND(Q427*'Drivers'!Q427,3)</x:f>
        <x:v>-4.674</x:v>
      </x:c>
      <x:c r="AI427" s="64" t="n">
        <x:f>SUM(R427,T427,AC427,AE427,AG427,AH427)</x:f>
        <x:v>-310.74999999999994</x:v>
      </x:c>
      <x:c r="AJ427" s="65" t="n">
        <x:f>AI427/Q427</x:f>
        <x:v>-0.29108161525707915</x:v>
      </x:c>
      <x:c r="AK427" s="64" t="n">
        <x:f>Q427+AI427</x:f>
        <x:v>756.8199999999999</x:v>
      </x:c>
      <x:c r="AL427" s="65" t="n">
        <x:f>AK427/Q427</x:f>
        <x:v>0.7089183847429208</x:v>
      </x:c>
      <x:c r="AM427" s="64" t="n">
        <x:f>AK427/L427</x:f>
        <x:v>252.2733333333333</x:v>
      </x:c>
      <x:c r="AN427" s="66" t="str">
        <x:f>IF(AM427&lt;=200,"≤200K",IF(AM427&lt;=350,"200–350K",IF(AM427&lt;=500,"350–500K",IF(AM427&lt;=700,"500–700K","&gt;700K"))))</x:f>
        <x:v>200–350K</x:v>
      </x:c>
      <x:c r="AO427" s="64" t="n">
        <x:f>-ROUND(Q427*'Drivers'!R427,3)</x:f>
        <x:v>-382.157</x:v>
      </x:c>
      <x:c r="AP427" s="64" t="n">
        <x:f>-ROUND(AK427*'Drivers'!S427,3)</x:f>
        <x:v>-11.308</x:v>
      </x:c>
      <x:c r="AQ427" s="64" t="n">
        <x:f>-ROUND(AK427*'Drivers'!T427,3)</x:f>
        <x:v>-3.636</x:v>
      </x:c>
      <x:c r="AR427" s="64" t="n">
        <x:f>-ROUND(AK427*'Drivers'!U427,3)</x:f>
        <x:v>-3.939</x:v>
      </x:c>
      <x:c r="AS427" s="64" t="n">
        <x:f>-ROUND(AK427*'Drivers'!V427,3)</x:f>
        <x:v>-29.107</x:v>
      </x:c>
      <x:c r="AT427" s="64" t="n">
        <x:f>SUM(AO427:AS427)</x:f>
        <x:v>-430.14700000000005</x:v>
      </x:c>
      <x:c r="AU427" s="65" t="n">
        <x:f>AT427/AK427</x:f>
        <x:v>-0.5683610369704819</x:v>
      </x:c>
      <x:c r="AV427" s="64" t="n">
        <x:f>AK427+AT427</x:f>
        <x:v>326.6729999999999</x:v>
      </x:c>
      <x:c r="AW427" s="65" t="n">
        <x:f>AV427/AK427</x:f>
        <x:v>0.43163896302951815</x:v>
      </x:c>
      <x:c r="AX427" s="64" t="n">
        <x:f>-ROUND(AK427*'Drivers'!W427,3)</x:f>
        <x:v>-8.058</x:v>
      </x:c>
      <x:c r="AY427" s="64" t="n">
        <x:f>-ROUND(AK427*'Drivers'!X427,3)</x:f>
        <x:v>-18.929</x:v>
      </x:c>
      <x:c r="AZ427" s="64" t="n">
        <x:f>-ROUND(AK427*'Drivers'!Y427,3)</x:f>
        <x:v>-15.4</x:v>
      </x:c>
      <x:c r="BA427" s="64" t="n">
        <x:f>-ROUND(AK427*'Drivers'!Z427,3)</x:f>
        <x:v>-5.934</x:v>
      </x:c>
      <x:c r="BB427" s="64" t="n">
        <x:f>-ROUND(AK427*'Drivers'!AA427,3)</x:f>
        <x:v>-6.002</x:v>
      </x:c>
      <x:c r="BC427" s="64" t="n">
        <x:f>SUM(BA427,BB427)</x:f>
        <x:v>-11.936</x:v>
      </x:c>
      <x:c r="BD427" s="64" t="n">
        <x:f>-ROUND(AK427*'Drivers'!AB427,3)</x:f>
        <x:v>-4.781</x:v>
      </x:c>
      <x:c r="BE427" s="64" t="n">
        <x:f>SUM(AX427:BB427,BD427)</x:f>
        <x:v>-59.104</x:v>
      </x:c>
      <x:c r="BF427" s="67" t="n">
        <x:f>'Drivers'!AF427</x:f>
        <x:v>6</x:v>
      </x:c>
      <x:c r="BG427" s="64" t="n">
        <x:f>BJ427</x:f>
        <x:v>-19.098</x:v>
      </x:c>
      <x:c r="BH427" s="64" t="n">
        <x:f>BE427/BF427</x:f>
        <x:v>-9.850666666666667</x:v>
      </x:c>
      <x:c r="BI427" s="68" t="n">
        <x:f>BF427/L427</x:f>
        <x:v>2</x:v>
      </x:c>
      <x:c r="BJ427" s="64" t="n">
        <x:f>-ROUND(AK427*'Drivers'!AC427,3)</x:f>
        <x:v>-19.098</x:v>
      </x:c>
      <x:c r="BK427" s="64" t="n">
        <x:f>-ROUND(AK427*'Drivers'!AD427,3)</x:f>
        <x:v>-82.036</x:v>
      </x:c>
      <x:c r="BL427" s="64" t="n">
        <x:f>SUM(AV427,BE427,BJ427,BK427)</x:f>
        <x:v>166.4349999999999</x:v>
      </x:c>
      <x:c r="BM427" s="65" t="n">
        <x:f>BL427/AK427</x:f>
        <x:v>0.21991358579318715</x:v>
      </x:c>
      <x:c r="BN427" s="64" t="n">
        <x:f>-ROUND(AK427*'Drivers'!AE427,3)</x:f>
        <x:v>-46.73</x:v>
      </x:c>
      <x:c r="BO427" s="64" t="n">
        <x:f>BL427+BN427</x:f>
        <x:v>119.7049999999999</x:v>
      </x:c>
      <x:c r="BP427" s="65" t="n">
        <x:f>BO427/AK427</x:f>
        <x:v>0.15816838878465145</x:v>
      </x:c>
    </x:row>
    <x:row r="428">
      <x:c r="A428" s="61" t="n">
        <x:v>2026</x:v>
      </x:c>
      <x:c r="B428" s="18" t="str">
        <x:v>S1</x:v>
      </x:c>
      <x:c r="C428" s="18" t="str">
        <x:v>2026 S1</x:v>
      </x:c>
      <x:c r="D428" s="18" t="str">
        <x:v>CNCT0107</x:v>
      </x:c>
      <x:c r="E428" s="18" t="str">
        <x:v>长沙荟聚</x:v>
      </x:c>
      <x:c r="F428" s="18" t="str">
        <x:v>长沙</x:v>
      </x:c>
      <x:c r="G428" s="18" t="str">
        <x:v>湖南省</x:v>
      </x:c>
      <x:c r="H428" s="18" t="str">
        <x:v>南区</x:v>
      </x:c>
      <x:c r="I428" s="18" t="str">
        <x:v>Shopping Mall</x:v>
      </x:c>
      <x:c r="J428" s="18" t="str">
        <x:v>Regional Mall</x:v>
      </x:c>
      <x:c r="K428" s="18" t="str">
        <x:v>正常</x:v>
      </x:c>
      <x:c r="L428" s="62" t="n">
        <x:v>3</x:v>
      </x:c>
      <x:c r="M428" s="62" t="n">
        <x:v>43</x:v>
      </x:c>
      <x:c r="N428" s="63" t="n">
        <x:f>'Drivers'!C428</x:f>
        <x:v>991</x:v>
      </x:c>
      <x:c r="O428" s="63" t="n">
        <x:f>'Drivers'!D428</x:f>
        <x:v>1025.211</x:v>
      </x:c>
      <x:c r="P428" s="64" t="n">
        <x:f>ROUND(N428*O428/1000,3)</x:f>
        <x:v>1015.984</x:v>
      </x:c>
      <x:c r="Q428" s="64" t="n">
        <x:f>ROUND(P428*'Drivers'!E428,3)</x:f>
        <x:v>992.856</x:v>
      </x:c>
      <x:c r="R428" s="64" t="n">
        <x:f>-ROUND(Q428*'Drivers'!F428,3)</x:f>
        <x:v>-187.338</x:v>
      </x:c>
      <x:c r="S428" s="65" t="n">
        <x:f>R428/Q428</x:f>
        <x:v>-0.18868597258816988</x:v>
      </x:c>
      <x:c r="T428" s="64" t="n">
        <x:f>-ROUND(Q428*'Drivers'!G428,3)</x:f>
        <x:v>-14.842</x:v>
      </x:c>
      <x:c r="U428" s="65" t="n">
        <x:f>T428/Q428</x:f>
        <x:v>-0.014948794185662372</x:v>
      </x:c>
      <x:c r="V428" s="64" t="n">
        <x:f>-ROUND(Q428*'Drivers'!H428,3)</x:f>
        <x:v>-12.025</x:v>
      </x:c>
      <x:c r="W428" s="64" t="n">
        <x:f>-ROUND(Q428*'Drivers'!I428,3)</x:f>
        <x:v>-10.104</x:v>
      </x:c>
      <x:c r="X428" s="64" t="n">
        <x:f>-ROUND(Q428*'Drivers'!J428,3)</x:f>
        <x:v>-10.95</x:v>
      </x:c>
      <x:c r="Y428" s="64" t="n">
        <x:f>-ROUND(Q428*'Drivers'!K428,3)</x:f>
        <x:v>-8.369</x:v>
      </x:c>
      <x:c r="Z428" s="64" t="n">
        <x:f>-ROUND(Q428*'Drivers'!L428,3)</x:f>
        <x:v>-13.408</x:v>
      </x:c>
      <x:c r="AA428" s="64" t="n">
        <x:f>-ROUND(Q428*'Drivers'!M428,3)</x:f>
        <x:v>-7.199</x:v>
      </x:c>
      <x:c r="AB428" s="64" t="n">
        <x:f>-ROUND(Q428*'Drivers'!N428,3)</x:f>
        <x:v>-5.054</x:v>
      </x:c>
      <x:c r="AC428" s="64" t="n">
        <x:f>SUM(V428:AB428)</x:f>
        <x:v>-67.109</x:v>
      </x:c>
      <x:c r="AD428" s="65" t="n">
        <x:f>AC428/Q428</x:f>
        <x:v>-0.06759187636474977</x:v>
      </x:c>
      <x:c r="AE428" s="64" t="n">
        <x:f>-ROUND(Q428*'Drivers'!O428,3)</x:f>
        <x:v>-11.328</x:v>
      </x:c>
      <x:c r="AF428" s="65" t="n">
        <x:f>AE428/Q428</x:f>
        <x:v>-0.011409509536126084</x:v>
      </x:c>
      <x:c r="AG428" s="64" t="n">
        <x:f>-ROUND(Q428*'Drivers'!P428,3)</x:f>
        <x:v>-0.853</x:v>
      </x:c>
      <x:c r="AH428" s="64" t="n">
        <x:f>-ROUND(Q428*'Drivers'!Q428,3)</x:f>
        <x:v>-4.347</x:v>
      </x:c>
      <x:c r="AI428" s="64" t="n">
        <x:f>SUM(R428,T428,AC428,AE428,AG428,AH428)</x:f>
        <x:v>-285.81699999999995</x:v>
      </x:c>
      <x:c r="AJ428" s="65" t="n">
        <x:f>AI428/Q428</x:f>
        <x:v>-0.28787356877533093</x:v>
      </x:c>
      <x:c r="AK428" s="64" t="n">
        <x:f>Q428+AI428</x:f>
        <x:v>707.039</x:v>
      </x:c>
      <x:c r="AL428" s="65" t="n">
        <x:f>AK428/Q428</x:f>
        <x:v>0.712126431224669</x:v>
      </x:c>
      <x:c r="AM428" s="64" t="n">
        <x:f>AK428/L428</x:f>
        <x:v>235.67966666666666</x:v>
      </x:c>
      <x:c r="AN428" s="66" t="str">
        <x:f>IF(AM428&lt;=200,"≤200K",IF(AM428&lt;=350,"200–350K",IF(AM428&lt;=500,"350–500K",IF(AM428&lt;=700,"500–700K","&gt;700K"))))</x:f>
        <x:v>200–350K</x:v>
      </x:c>
      <x:c r="AO428" s="64" t="n">
        <x:f>-ROUND(Q428*'Drivers'!R428,3)</x:f>
        <x:v>-348.716</x:v>
      </x:c>
      <x:c r="AP428" s="64" t="n">
        <x:f>-ROUND(AK428*'Drivers'!S428,3)</x:f>
        <x:v>-10.564</x:v>
      </x:c>
      <x:c r="AQ428" s="64" t="n">
        <x:f>-ROUND(AK428*'Drivers'!T428,3)</x:f>
        <x:v>-3.397</x:v>
      </x:c>
      <x:c r="AR428" s="64" t="n">
        <x:f>-ROUND(AK428*'Drivers'!U428,3)</x:f>
        <x:v>-3.68</x:v>
      </x:c>
      <x:c r="AS428" s="64" t="n">
        <x:f>-ROUND(AK428*'Drivers'!V428,3)</x:f>
        <x:v>-27.193</x:v>
      </x:c>
      <x:c r="AT428" s="64" t="n">
        <x:f>SUM(AO428:AS428)</x:f>
        <x:v>-393.55</x:v>
      </x:c>
      <x:c r="AU428" s="65" t="n">
        <x:f>AT428/AK428</x:f>
        <x:v>-0.5566171031583831</x:v>
      </x:c>
      <x:c r="AV428" s="64" t="n">
        <x:f>AK428+AT428</x:f>
        <x:v>313.489</x:v>
      </x:c>
      <x:c r="AW428" s="65" t="n">
        <x:f>AV428/AK428</x:f>
        <x:v>0.4433828968416169</x:v>
      </x:c>
      <x:c r="AX428" s="64" t="n">
        <x:f>-ROUND(AK428*'Drivers'!W428,3)</x:f>
        <x:v>-9.263</x:v>
      </x:c>
      <x:c r="AY428" s="64" t="n">
        <x:f>-ROUND(AK428*'Drivers'!X428,3)</x:f>
        <x:v>-21.76</x:v>
      </x:c>
      <x:c r="AZ428" s="64" t="n">
        <x:f>-ROUND(AK428*'Drivers'!Y428,3)</x:f>
        <x:v>-17.703</x:v>
      </x:c>
      <x:c r="BA428" s="64" t="n">
        <x:f>-ROUND(AK428*'Drivers'!Z428,3)</x:f>
        <x:v>-6.821</x:v>
      </x:c>
      <x:c r="BB428" s="64" t="n">
        <x:f>-ROUND(AK428*'Drivers'!AA428,3)</x:f>
        <x:v>-6.9</x:v>
      </x:c>
      <x:c r="BC428" s="64" t="n">
        <x:f>SUM(BA428,BB428)</x:f>
        <x:v>-13.721</x:v>
      </x:c>
      <x:c r="BD428" s="64" t="n">
        <x:f>-ROUND(AK428*'Drivers'!AB428,3)</x:f>
        <x:v>-5.496</x:v>
      </x:c>
      <x:c r="BE428" s="64" t="n">
        <x:f>SUM(AX428:BB428,BD428)</x:f>
        <x:v>-67.943</x:v>
      </x:c>
      <x:c r="BF428" s="67" t="n">
        <x:f>'Drivers'!AF428</x:f>
        <x:v>6</x:v>
      </x:c>
      <x:c r="BG428" s="64" t="n">
        <x:f>BJ428</x:f>
        <x:v>-21.953</x:v>
      </x:c>
      <x:c r="BH428" s="64" t="n">
        <x:f>BE428/BF428</x:f>
        <x:v>-11.323833333333333</x:v>
      </x:c>
      <x:c r="BI428" s="68" t="n">
        <x:f>BF428/L428</x:f>
        <x:v>2</x:v>
      </x:c>
      <x:c r="BJ428" s="64" t="n">
        <x:f>-ROUND(AK428*'Drivers'!AC428,3)</x:f>
        <x:v>-21.953</x:v>
      </x:c>
      <x:c r="BK428" s="64" t="n">
        <x:f>-ROUND(AK428*'Drivers'!AD428,3)</x:f>
        <x:v>-76.64</x:v>
      </x:c>
      <x:c r="BL428" s="64" t="n">
        <x:f>SUM(AV428,BE428,BJ428,BK428)</x:f>
        <x:v>146.95299999999997</x:v>
      </x:c>
      <x:c r="BM428" s="65" t="n">
        <x:f>BL428/AK428</x:f>
        <x:v>0.20784284883860718</x:v>
      </x:c>
      <x:c r="BN428" s="64" t="n">
        <x:f>-ROUND(AK428*'Drivers'!AE428,3)</x:f>
        <x:v>-43.656</x:v>
      </x:c>
      <x:c r="BO428" s="64" t="n">
        <x:f>BL428+BN428</x:f>
        <x:v>103.29699999999997</x:v>
      </x:c>
      <x:c r="BP428" s="65" t="n">
        <x:f>BO428/AK428</x:f>
        <x:v>0.1460980228813403</x:v>
      </x:c>
    </x:row>
    <x:row r="429">
      <x:c r="A429" s="61" t="n">
        <x:v>2026</x:v>
      </x:c>
      <x:c r="B429" s="18" t="str">
        <x:v>S2</x:v>
      </x:c>
      <x:c r="C429" s="18" t="str">
        <x:v>2026 S2</x:v>
      </x:c>
      <x:c r="D429" s="18" t="str">
        <x:v>CNCT0107</x:v>
      </x:c>
      <x:c r="E429" s="18" t="str">
        <x:v>长沙荟聚</x:v>
      </x:c>
      <x:c r="F429" s="18" t="str">
        <x:v>长沙</x:v>
      </x:c>
      <x:c r="G429" s="18" t="str">
        <x:v>湖南省</x:v>
      </x:c>
      <x:c r="H429" s="18" t="str">
        <x:v>南区</x:v>
      </x:c>
      <x:c r="I429" s="18" t="str">
        <x:v>Shopping Mall</x:v>
      </x:c>
      <x:c r="J429" s="18" t="str">
        <x:v>Regional Mall</x:v>
      </x:c>
      <x:c r="K429" s="18" t="str">
        <x:v>正常</x:v>
      </x:c>
      <x:c r="L429" s="62" t="n">
        <x:v>3</x:v>
      </x:c>
      <x:c r="M429" s="62" t="n">
        <x:v>43</x:v>
      </x:c>
      <x:c r="N429" s="63" t="n">
        <x:f>'Drivers'!C429</x:f>
        <x:v>1113</x:v>
      </x:c>
      <x:c r="O429" s="63" t="n">
        <x:f>'Drivers'!D429</x:f>
        <x:v>1011.301</x:v>
      </x:c>
      <x:c r="P429" s="64" t="n">
        <x:f>ROUND(N429*O429/1000,3)</x:f>
        <x:v>1125.578</x:v>
      </x:c>
      <x:c r="Q429" s="64" t="n">
        <x:f>ROUND(P429*'Drivers'!E429,3)</x:f>
        <x:v>1107.973</x:v>
      </x:c>
      <x:c r="R429" s="64" t="n">
        <x:f>-ROUND(Q429*'Drivers'!F429,3)</x:f>
        <x:v>-207.239</x:v>
      </x:c>
      <x:c r="S429" s="65" t="n">
        <x:f>R429/Q429</x:f>
        <x:v>-0.18704336658023257</x:v>
      </x:c>
      <x:c r="T429" s="64" t="n">
        <x:f>-ROUND(Q429*'Drivers'!G429,3)</x:f>
        <x:v>-17.596</x:v>
      </x:c>
      <x:c r="U429" s="65" t="n">
        <x:f>T429/Q429</x:f>
        <x:v>-0.015881253424045533</x:v>
      </x:c>
      <x:c r="V429" s="64" t="n">
        <x:f>-ROUND(Q429*'Drivers'!H429,3)</x:f>
        <x:v>-13.419</x:v>
      </x:c>
      <x:c r="W429" s="64" t="n">
        <x:f>-ROUND(Q429*'Drivers'!I429,3)</x:f>
        <x:v>-11.275</x:v>
      </x:c>
      <x:c r="X429" s="64" t="n">
        <x:f>-ROUND(Q429*'Drivers'!J429,3)</x:f>
        <x:v>-12.22</x:v>
      </x:c>
      <x:c r="Y429" s="64" t="n">
        <x:f>-ROUND(Q429*'Drivers'!K429,3)</x:f>
        <x:v>-9.339</x:v>
      </x:c>
      <x:c r="Z429" s="64" t="n">
        <x:f>-ROUND(Q429*'Drivers'!L429,3)</x:f>
        <x:v>-14.962</x:v>
      </x:c>
      <x:c r="AA429" s="64" t="n">
        <x:f>-ROUND(Q429*'Drivers'!M429,3)</x:f>
        <x:v>-8.033</x:v>
      </x:c>
      <x:c r="AB429" s="64" t="n">
        <x:f>-ROUND(Q429*'Drivers'!N429,3)</x:f>
        <x:v>-5.64</x:v>
      </x:c>
      <x:c r="AC429" s="64" t="n">
        <x:f>SUM(V429:AB429)</x:f>
        <x:v>-74.888</x:v>
      </x:c>
      <x:c r="AD429" s="65" t="n">
        <x:f>AC429/Q429</x:f>
        <x:v>-0.06759009470447386</x:v>
      </x:c>
      <x:c r="AE429" s="64" t="n">
        <x:f>-ROUND(Q429*'Drivers'!O429,3)</x:f>
        <x:v>-12.498</x:v>
      </x:c>
      <x:c r="AF429" s="65" t="n">
        <x:f>AE429/Q429</x:f>
        <x:v>-0.011280058268567917</x:v>
      </x:c>
      <x:c r="AG429" s="64" t="n">
        <x:f>-ROUND(Q429*'Drivers'!P429,3)</x:f>
        <x:v>-0.952</x:v>
      </x:c>
      <x:c r="AH429" s="64" t="n">
        <x:f>-ROUND(Q429*'Drivers'!Q429,3)</x:f>
        <x:v>-4.851</x:v>
      </x:c>
      <x:c r="AI429" s="64" t="n">
        <x:f>SUM(R429,T429,AC429,AE429,AG429,AH429)</x:f>
        <x:v>-318.024</x:v>
      </x:c>
      <x:c r="AJ429" s="65" t="n">
        <x:f>AI429/Q429</x:f>
        <x:v>-0.28703226522667974</x:v>
      </x:c>
      <x:c r="AK429" s="64" t="n">
        <x:f>Q429+AI429</x:f>
        <x:v>789.949</x:v>
      </x:c>
      <x:c r="AL429" s="65" t="n">
        <x:f>AK429/Q429</x:f>
        <x:v>0.7129677347733203</x:v>
      </x:c>
      <x:c r="AM429" s="64" t="n">
        <x:f>AK429/L429</x:f>
        <x:v>263.3163333333333</x:v>
      </x:c>
      <x:c r="AN429" s="66" t="str">
        <x:f>IF(AM429&lt;=200,"≤200K",IF(AM429&lt;=350,"200–350K",IF(AM429&lt;=500,"350–500K",IF(AM429&lt;=700,"500–700K","&gt;700K"))))</x:f>
        <x:v>200–350K</x:v>
      </x:c>
      <x:c r="AO429" s="64" t="n">
        <x:f>-ROUND(Q429*'Drivers'!R429,3)</x:f>
        <x:v>-394.707</x:v>
      </x:c>
      <x:c r="AP429" s="64" t="n">
        <x:f>-ROUND(AK429*'Drivers'!S429,3)</x:f>
        <x:v>-11.803</x:v>
      </x:c>
      <x:c r="AQ429" s="64" t="n">
        <x:f>-ROUND(AK429*'Drivers'!T429,3)</x:f>
        <x:v>-3.796</x:v>
      </x:c>
      <x:c r="AR429" s="64" t="n">
        <x:f>-ROUND(AK429*'Drivers'!U429,3)</x:f>
        <x:v>-4.111</x:v>
      </x:c>
      <x:c r="AS429" s="64" t="n">
        <x:f>-ROUND(AK429*'Drivers'!V429,3)</x:f>
        <x:v>-30.382</x:v>
      </x:c>
      <x:c r="AT429" s="64" t="n">
        <x:f>SUM(AO429:AS429)</x:f>
        <x:v>-444.799</x:v>
      </x:c>
      <x:c r="AU429" s="65" t="n">
        <x:f>AT429/AK429</x:f>
        <x:v>-0.5630730591468563</x:v>
      </x:c>
      <x:c r="AV429" s="64" t="n">
        <x:f>AK429+AT429</x:f>
        <x:v>345.15</x:v>
      </x:c>
      <x:c r="AW429" s="65" t="n">
        <x:f>AV429/AK429</x:f>
        <x:v>0.43692694085314365</x:v>
      </x:c>
      <x:c r="AX429" s="64" t="n">
        <x:f>-ROUND(AK429*'Drivers'!W429,3)</x:f>
        <x:v>-8.915</x:v>
      </x:c>
      <x:c r="AY429" s="64" t="n">
        <x:f>-ROUND(AK429*'Drivers'!X429,3)</x:f>
        <x:v>-20.943</x:v>
      </x:c>
      <x:c r="AZ429" s="64" t="n">
        <x:f>-ROUND(AK429*'Drivers'!Y429,3)</x:f>
        <x:v>-17.039</x:v>
      </x:c>
      <x:c r="BA429" s="64" t="n">
        <x:f>-ROUND(AK429*'Drivers'!Z429,3)</x:f>
        <x:v>-6.565</x:v>
      </x:c>
      <x:c r="BB429" s="64" t="n">
        <x:f>-ROUND(AK429*'Drivers'!AA429,3)</x:f>
        <x:v>-6.641</x:v>
      </x:c>
      <x:c r="BC429" s="64" t="n">
        <x:f>SUM(BA429,BB429)</x:f>
        <x:v>-13.206</x:v>
      </x:c>
      <x:c r="BD429" s="64" t="n">
        <x:f>-ROUND(AK429*'Drivers'!AB429,3)</x:f>
        <x:v>-5.29</x:v>
      </x:c>
      <x:c r="BE429" s="64" t="n">
        <x:f>SUM(AX429:BB429,BD429)</x:f>
        <x:v>-65.393</x:v>
      </x:c>
      <x:c r="BF429" s="67" t="n">
        <x:f>'Drivers'!AF429</x:f>
        <x:v>6</x:v>
      </x:c>
      <x:c r="BG429" s="64" t="n">
        <x:f>BJ429</x:f>
        <x:v>-21.13</x:v>
      </x:c>
      <x:c r="BH429" s="64" t="n">
        <x:f>BE429/BF429</x:f>
        <x:v>-10.898833333333334</x:v>
      </x:c>
      <x:c r="BI429" s="68" t="n">
        <x:f>BF429/L429</x:f>
        <x:v>2</x:v>
      </x:c>
      <x:c r="BJ429" s="64" t="n">
        <x:f>-ROUND(AK429*'Drivers'!AC429,3)</x:f>
        <x:v>-21.13</x:v>
      </x:c>
      <x:c r="BK429" s="64" t="n">
        <x:f>-ROUND(AK429*'Drivers'!AD429,3)</x:f>
        <x:v>-85.627</x:v>
      </x:c>
      <x:c r="BL429" s="64" t="n">
        <x:f>SUM(AV429,BE429,BJ429,BK429)</x:f>
        <x:v>172.99999999999994</x:v>
      </x:c>
      <x:c r="BM429" s="65" t="n">
        <x:f>BL429/AK429</x:f>
        <x:v>0.2190014798423695</x:v>
      </x:c>
      <x:c r="BN429" s="64" t="n">
        <x:f>-ROUND(AK429*'Drivers'!AE429,3)</x:f>
        <x:v>-48.776</x:v>
      </x:c>
      <x:c r="BO429" s="64" t="n">
        <x:f>BL429+BN429</x:f>
        <x:v>124.22399999999993</x:v>
      </x:c>
      <x:c r="BP429" s="65" t="n">
        <x:f>BO429/AK429</x:f>
        <x:v>0.15725572157189888</x:v>
      </x:c>
    </x:row>
    <x:row r="430">
      <x:c r="A430" s="61" t="n">
        <x:v>2025</x:v>
      </x:c>
      <x:c r="B430" s="18" t="str">
        <x:v>S1</x:v>
      </x:c>
      <x:c r="C430" s="18" t="str">
        <x:v>2025 S1</x:v>
      </x:c>
      <x:c r="D430" s="18" t="str">
        <x:v>CNCT0108</x:v>
      </x:c>
      <x:c r="E430" s="18" t="str">
        <x:v>长沙梅溪湖步步高</x:v>
      </x:c>
      <x:c r="F430" s="18" t="str">
        <x:v>长沙</x:v>
      </x:c>
      <x:c r="G430" s="18" t="str">
        <x:v>湖南省</x:v>
      </x:c>
      <x:c r="H430" s="18" t="str">
        <x:v>南区</x:v>
      </x:c>
      <x:c r="I430" s="18" t="str">
        <x:v>Shopping Mall</x:v>
      </x:c>
      <x:c r="J430" s="18" t="str">
        <x:v>Regional Mall</x:v>
      </x:c>
      <x:c r="K430" s="18" t="str">
        <x:v>正常</x:v>
      </x:c>
      <x:c r="L430" s="62" t="n">
        <x:v>5</x:v>
      </x:c>
      <x:c r="M430" s="62" t="n">
        <x:v>43</x:v>
      </x:c>
      <x:c r="N430" s="63" t="n">
        <x:f>'Drivers'!C430</x:f>
        <x:v>1508</x:v>
      </x:c>
      <x:c r="O430" s="63" t="n">
        <x:f>'Drivers'!D430</x:f>
        <x:v>910.76</x:v>
      </x:c>
      <x:c r="P430" s="64" t="n">
        <x:f>ROUND(N430*O430/1000,3)</x:f>
        <x:v>1373.426</x:v>
      </x:c>
      <x:c r="Q430" s="64" t="n">
        <x:f>ROUND(P430*'Drivers'!E430,3)</x:f>
        <x:v>1336.108</x:v>
      </x:c>
      <x:c r="R430" s="64" t="n">
        <x:f>-ROUND(Q430*'Drivers'!F430,3)</x:f>
        <x:v>-268.84</x:v>
      </x:c>
      <x:c r="S430" s="65" t="n">
        <x:f>R430/Q430</x:f>
        <x:v>-0.201211279327719</x:v>
      </x:c>
      <x:c r="T430" s="64" t="n">
        <x:f>-ROUND(Q430*'Drivers'!G430,3)</x:f>
        <x:v>-27.592</x:v>
      </x:c>
      <x:c r="U430" s="65" t="n">
        <x:f>T430/Q430</x:f>
        <x:v>-0.020651025216524413</x:v>
      </x:c>
      <x:c r="V430" s="64" t="n">
        <x:f>-ROUND(Q430*'Drivers'!H430,3)</x:f>
        <x:v>-13.251</x:v>
      </x:c>
      <x:c r="W430" s="64" t="n">
        <x:f>-ROUND(Q430*'Drivers'!I430,3)</x:f>
        <x:v>-12.688</x:v>
      </x:c>
      <x:c r="X430" s="64" t="n">
        <x:f>-ROUND(Q430*'Drivers'!J430,3)</x:f>
        <x:v>-18.972</x:v>
      </x:c>
      <x:c r="Y430" s="64" t="n">
        <x:f>-ROUND(Q430*'Drivers'!K430,3)</x:f>
        <x:v>-13.922</x:v>
      </x:c>
      <x:c r="Z430" s="64" t="n">
        <x:f>-ROUND(Q430*'Drivers'!L430,3)</x:f>
        <x:v>-18.356</x:v>
      </x:c>
      <x:c r="AA430" s="64" t="n">
        <x:f>-ROUND(Q430*'Drivers'!M430,3)</x:f>
        <x:v>-10.879</x:v>
      </x:c>
      <x:c r="AB430" s="64" t="n">
        <x:f>-ROUND(Q430*'Drivers'!N430,3)</x:f>
        <x:v>-11.152</x:v>
      </x:c>
      <x:c r="AC430" s="64" t="n">
        <x:f>SUM(V430:AB430)</x:f>
        <x:v>-99.22</x:v>
      </x:c>
      <x:c r="AD430" s="65" t="n">
        <x:f>AC430/Q430</x:f>
        <x:v>-0.07426046397446913</x:v>
      </x:c>
      <x:c r="AE430" s="64" t="n">
        <x:f>-ROUND(Q430*'Drivers'!O430,3)</x:f>
        <x:v>-8.28</x:v>
      </x:c>
      <x:c r="AF430" s="65" t="n">
        <x:f>AE430/Q430</x:f>
        <x:v>-0.006197103826936145</x:v>
      </x:c>
      <x:c r="AG430" s="64" t="n">
        <x:f>-ROUND(Q430*'Drivers'!P430,3)</x:f>
        <x:v>-2.743</x:v>
      </x:c>
      <x:c r="AH430" s="64" t="n">
        <x:f>-ROUND(Q430*'Drivers'!Q430,3)</x:f>
        <x:v>-6.115</x:v>
      </x:c>
      <x:c r="AI430" s="64" t="n">
        <x:f>SUM(R430,T430,AC430,AE430,AG430,AH430)</x:f>
        <x:v>-412.7899999999999</x:v>
      </x:c>
      <x:c r="AJ430" s="65" t="n">
        <x:f>AI430/Q430</x:f>
        <x:v>-0.30894957593248445</x:v>
      </x:c>
      <x:c r="AK430" s="64" t="n">
        <x:f>Q430+AI430</x:f>
        <x:v>923.318</x:v>
      </x:c>
      <x:c r="AL430" s="65" t="n">
        <x:f>AK430/Q430</x:f>
        <x:v>0.6910504240675155</x:v>
      </x:c>
      <x:c r="AM430" s="64" t="n">
        <x:f>AK430/L430</x:f>
        <x:v>184.6636</x:v>
      </x:c>
      <x:c r="AN430" s="66" t="str">
        <x:f>IF(AM430&lt;=200,"≤200K",IF(AM430&lt;=350,"200–350K",IF(AM430&lt;=500,"350–500K",IF(AM430&lt;=700,"500–700K","&gt;700K"))))</x:f>
        <x:v>≤200K</x:v>
      </x:c>
      <x:c r="AO430" s="64" t="n">
        <x:f>-ROUND(Q430*'Drivers'!R430,3)</x:f>
        <x:v>-492.392</x:v>
      </x:c>
      <x:c r="AP430" s="64" t="n">
        <x:f>-ROUND(AK430*'Drivers'!S430,3)</x:f>
        <x:v>-12.602</x:v>
      </x:c>
      <x:c r="AQ430" s="64" t="n">
        <x:f>-ROUND(AK430*'Drivers'!T430,3)</x:f>
        <x:v>-2.96</x:v>
      </x:c>
      <x:c r="AR430" s="64" t="n">
        <x:f>-ROUND(AK430*'Drivers'!U430,3)</x:f>
        <x:v>-7.783</x:v>
      </x:c>
      <x:c r="AS430" s="64" t="n">
        <x:f>-ROUND(AK430*'Drivers'!V430,3)</x:f>
        <x:v>-35.111</x:v>
      </x:c>
      <x:c r="AT430" s="64" t="n">
        <x:f>SUM(AO430:AS430)</x:f>
        <x:v>-550.848</x:v>
      </x:c>
      <x:c r="AU430" s="65" t="n">
        <x:f>AT430/AK430</x:f>
        <x:v>-0.5965961889619827</x:v>
      </x:c>
      <x:c r="AV430" s="64" t="n">
        <x:f>AK430+AT430</x:f>
        <x:v>372.47</x:v>
      </x:c>
      <x:c r="AW430" s="65" t="n">
        <x:f>AV430/AK430</x:f>
        <x:v>0.40340381103801726</x:v>
      </x:c>
      <x:c r="AX430" s="64" t="n">
        <x:f>-ROUND(AK430*'Drivers'!W430,3)</x:f>
        <x:v>-13.473</x:v>
      </x:c>
      <x:c r="AY430" s="64" t="n">
        <x:f>-ROUND(AK430*'Drivers'!X430,3)</x:f>
        <x:v>-22.61</x:v>
      </x:c>
      <x:c r="AZ430" s="64" t="n">
        <x:f>-ROUND(AK430*'Drivers'!Y430,3)</x:f>
        <x:v>-17.205</x:v>
      </x:c>
      <x:c r="BA430" s="64" t="n">
        <x:f>-ROUND(AK430*'Drivers'!Z430,3)</x:f>
        <x:v>-6.948</x:v>
      </x:c>
      <x:c r="BB430" s="64" t="n">
        <x:f>-ROUND(AK430*'Drivers'!AA430,3)</x:f>
        <x:v>-6.15</x:v>
      </x:c>
      <x:c r="BC430" s="64" t="n">
        <x:f>SUM(BA430,BB430)</x:f>
        <x:v>-13.098</x:v>
      </x:c>
      <x:c r="BD430" s="64" t="n">
        <x:f>-ROUND(AK430*'Drivers'!AB430,3)</x:f>
        <x:v>-6.303</x:v>
      </x:c>
      <x:c r="BE430" s="64" t="n">
        <x:f>SUM(AX430:BB430,BD430)</x:f>
        <x:v>-72.689</x:v>
      </x:c>
      <x:c r="BF430" s="67" t="n">
        <x:f>'Drivers'!AF430</x:f>
        <x:v>10</x:v>
      </x:c>
      <x:c r="BG430" s="64" t="n">
        <x:f>BJ430</x:f>
        <x:v>-24.004</x:v>
      </x:c>
      <x:c r="BH430" s="64" t="n">
        <x:f>BE430/BF430</x:f>
        <x:v>-7.2688999999999995</x:v>
      </x:c>
      <x:c r="BI430" s="68" t="n">
        <x:f>BF430/L430</x:f>
        <x:v>2</x:v>
      </x:c>
      <x:c r="BJ430" s="64" t="n">
        <x:f>-ROUND(AK430*'Drivers'!AC430,3)</x:f>
        <x:v>-24.004</x:v>
      </x:c>
      <x:c r="BK430" s="64" t="n">
        <x:f>-ROUND(AK430*'Drivers'!AD430,3)</x:f>
        <x:v>-88.468</x:v>
      </x:c>
      <x:c r="BL430" s="64" t="n">
        <x:f>SUM(AV430,BE430,BJ430,BK430)</x:f>
        <x:v>187.30900000000003</x:v>
      </x:c>
      <x:c r="BM430" s="65" t="n">
        <x:f>BL430/AK430</x:f>
        <x:v>0.2028651017309313</x:v>
      </x:c>
      <x:c r="BN430" s="64" t="n">
        <x:f>-ROUND(AK430*'Drivers'!AE430,3)</x:f>
        <x:v>-86.971</x:v>
      </x:c>
      <x:c r="BO430" s="64" t="n">
        <x:f>BL430+BN430</x:f>
        <x:v>100.33800000000002</x:v>
      </x:c>
      <x:c r="BP430" s="65" t="n">
        <x:f>BO430/AK430</x:f>
        <x:v>0.10867111872615938</x:v>
      </x:c>
    </x:row>
    <x:row r="431">
      <x:c r="A431" s="61" t="n">
        <x:v>2025</x:v>
      </x:c>
      <x:c r="B431" s="18" t="str">
        <x:v>S2</x:v>
      </x:c>
      <x:c r="C431" s="18" t="str">
        <x:v>2025 S2</x:v>
      </x:c>
      <x:c r="D431" s="18" t="str">
        <x:v>CNCT0108</x:v>
      </x:c>
      <x:c r="E431" s="18" t="str">
        <x:v>长沙梅溪湖步步高</x:v>
      </x:c>
      <x:c r="F431" s="18" t="str">
        <x:v>长沙</x:v>
      </x:c>
      <x:c r="G431" s="18" t="str">
        <x:v>湖南省</x:v>
      </x:c>
      <x:c r="H431" s="18" t="str">
        <x:v>南区</x:v>
      </x:c>
      <x:c r="I431" s="18" t="str">
        <x:v>Shopping Mall</x:v>
      </x:c>
      <x:c r="J431" s="18" t="str">
        <x:v>Regional Mall</x:v>
      </x:c>
      <x:c r="K431" s="18" t="str">
        <x:v>正常</x:v>
      </x:c>
      <x:c r="L431" s="62" t="n">
        <x:v>5</x:v>
      </x:c>
      <x:c r="M431" s="62" t="n">
        <x:v>43</x:v>
      </x:c>
      <x:c r="N431" s="63" t="n">
        <x:f>'Drivers'!C431</x:f>
        <x:v>1619</x:v>
      </x:c>
      <x:c r="O431" s="63" t="n">
        <x:f>'Drivers'!D431</x:f>
        <x:v>921.689</x:v>
      </x:c>
      <x:c r="P431" s="64" t="n">
        <x:f>ROUND(N431*O431/1000,3)</x:f>
        <x:v>1492.214</x:v>
      </x:c>
      <x:c r="Q431" s="64" t="n">
        <x:f>ROUND(P431*'Drivers'!E431,3)</x:f>
        <x:v>1458.648</x:v>
      </x:c>
      <x:c r="R431" s="64" t="n">
        <x:f>-ROUND(Q431*'Drivers'!F431,3)</x:f>
        <x:v>-293.497</x:v>
      </x:c>
      <x:c r="S431" s="65" t="n">
        <x:f>R431/Q431</x:f>
        <x:v>-0.20121166998480788</x:v>
      </x:c>
      <x:c r="T431" s="64" t="n">
        <x:f>-ROUND(Q431*'Drivers'!G431,3)</x:f>
        <x:v>-30.123</x:v>
      </x:c>
      <x:c r="U431" s="65" t="n">
        <x:f>T431/Q431</x:f>
        <x:v>-0.020651315464731725</x:v>
      </x:c>
      <x:c r="V431" s="64" t="n">
        <x:f>-ROUND(Q431*'Drivers'!H431,3)</x:f>
        <x:v>-14.467</x:v>
      </x:c>
      <x:c r="W431" s="64" t="n">
        <x:f>-ROUND(Q431*'Drivers'!I431,3)</x:f>
        <x:v>-13.851</x:v>
      </x:c>
      <x:c r="X431" s="64" t="n">
        <x:f>-ROUND(Q431*'Drivers'!J431,3)</x:f>
        <x:v>-20.712</x:v>
      </x:c>
      <x:c r="Y431" s="64" t="n">
        <x:f>-ROUND(Q431*'Drivers'!K431,3)</x:f>
        <x:v>-15.199</x:v>
      </x:c>
      <x:c r="Z431" s="64" t="n">
        <x:f>-ROUND(Q431*'Drivers'!L431,3)</x:f>
        <x:v>-20.04</x:v>
      </x:c>
      <x:c r="AA431" s="64" t="n">
        <x:f>-ROUND(Q431*'Drivers'!M431,3)</x:f>
        <x:v>-11.877</x:v>
      </x:c>
      <x:c r="AB431" s="64" t="n">
        <x:f>-ROUND(Q431*'Drivers'!N431,3)</x:f>
        <x:v>-12.174</x:v>
      </x:c>
      <x:c r="AC431" s="64" t="n">
        <x:f>SUM(V431:AB431)</x:f>
        <x:v>-108.32</x:v>
      </x:c>
      <x:c r="AD431" s="65" t="n">
        <x:f>AC431/Q431</x:f>
        <x:v>-0.07426054812401621</x:v>
      </x:c>
      <x:c r="AE431" s="64" t="n">
        <x:f>-ROUND(Q431*'Drivers'!O431,3)</x:f>
        <x:v>-9.039</x:v>
      </x:c>
      <x:c r="AF431" s="65" t="n">
        <x:f>AE431/Q431</x:f>
        <x:v>-0.006196834328775688</x:v>
      </x:c>
      <x:c r="AG431" s="64" t="n">
        <x:f>-ROUND(Q431*'Drivers'!P431,3)</x:f>
        <x:v>-2.994</x:v>
      </x:c>
      <x:c r="AH431" s="64" t="n">
        <x:f>-ROUND(Q431*'Drivers'!Q431,3)</x:f>
        <x:v>-6.676</x:v>
      </x:c>
      <x:c r="AI431" s="64" t="n">
        <x:f>SUM(R431,T431,AC431,AE431,AG431,AH431)</x:f>
        <x:v>-450.649</x:v>
      </x:c>
      <x:c r="AJ431" s="65" t="n">
        <x:f>AI431/Q431</x:f>
        <x:v>-0.30894979460431854</x:v>
      </x:c>
      <x:c r="AK431" s="64" t="n">
        <x:f>Q431+AI431</x:f>
        <x:v>1007.9989999999999</x:v>
      </x:c>
      <x:c r="AL431" s="65" t="n">
        <x:f>AK431/Q431</x:f>
        <x:v>0.6910502053956815</x:v>
      </x:c>
      <x:c r="AM431" s="64" t="n">
        <x:f>AK431/L431</x:f>
        <x:v>201.5998</x:v>
      </x:c>
      <x:c r="AN431" s="66" t="str">
        <x:f>IF(AM431&lt;=200,"≤200K",IF(AM431&lt;=350,"200–350K",IF(AM431&lt;=500,"350–500K",IF(AM431&lt;=700,"500–700K","&gt;700K"))))</x:f>
        <x:v>200–350K</x:v>
      </x:c>
      <x:c r="AO431" s="64" t="n">
        <x:f>-ROUND(Q431*'Drivers'!R431,3)</x:f>
        <x:v>-530.96</x:v>
      </x:c>
      <x:c r="AP431" s="64" t="n">
        <x:f>-ROUND(AK431*'Drivers'!S431,3)</x:f>
        <x:v>-13.757</x:v>
      </x:c>
      <x:c r="AQ431" s="64" t="n">
        <x:f>-ROUND(AK431*'Drivers'!T431,3)</x:f>
        <x:v>-3.232</x:v>
      </x:c>
      <x:c r="AR431" s="64" t="n">
        <x:f>-ROUND(AK431*'Drivers'!U431,3)</x:f>
        <x:v>-8.497</x:v>
      </x:c>
      <x:c r="AS431" s="64" t="n">
        <x:f>-ROUND(AK431*'Drivers'!V431,3)</x:f>
        <x:v>-38.331</x:v>
      </x:c>
      <x:c r="AT431" s="64" t="n">
        <x:f>SUM(AO431:AS431)</x:f>
        <x:v>-594.7769999999999</x:v>
      </x:c>
      <x:c r="AU431" s="65" t="n">
        <x:f>AT431/AK431</x:f>
        <x:v>-0.5900571329931875</x:v>
      </x:c>
      <x:c r="AV431" s="64" t="n">
        <x:f>AK431+AT431</x:f>
        <x:v>413.222</x:v>
      </x:c>
      <x:c r="AW431" s="65" t="n">
        <x:f>AV431/AK431</x:f>
        <x:v>0.40994286700681254</x:v>
      </x:c>
      <x:c r="AX431" s="64" t="n">
        <x:f>-ROUND(AK431*'Drivers'!W431,3)</x:f>
        <x:v>-14.708</x:v>
      </x:c>
      <x:c r="AY431" s="64" t="n">
        <x:f>-ROUND(AK431*'Drivers'!X431,3)</x:f>
        <x:v>-24.684</x:v>
      </x:c>
      <x:c r="AZ431" s="64" t="n">
        <x:f>-ROUND(AK431*'Drivers'!Y431,3)</x:f>
        <x:v>-18.783</x:v>
      </x:c>
      <x:c r="BA431" s="64" t="n">
        <x:f>-ROUND(AK431*'Drivers'!Z431,3)</x:f>
        <x:v>-7.586</x:v>
      </x:c>
      <x:c r="BB431" s="64" t="n">
        <x:f>-ROUND(AK431*'Drivers'!AA431,3)</x:f>
        <x:v>-6.714</x:v>
      </x:c>
      <x:c r="BC431" s="64" t="n">
        <x:f>SUM(BA431,BB431)</x:f>
        <x:v>-14.3</x:v>
      </x:c>
      <x:c r="BD431" s="64" t="n">
        <x:f>-ROUND(AK431*'Drivers'!AB431,3)</x:f>
        <x:v>-6.881</x:v>
      </x:c>
      <x:c r="BE431" s="64" t="n">
        <x:f>SUM(AX431:BB431,BD431)</x:f>
        <x:v>-79.35600000000001</x:v>
      </x:c>
      <x:c r="BF431" s="67" t="n">
        <x:f>'Drivers'!AF431</x:f>
        <x:v>10</x:v>
      </x:c>
      <x:c r="BG431" s="64" t="n">
        <x:f>BJ431</x:f>
        <x:v>-26.206</x:v>
      </x:c>
      <x:c r="BH431" s="64" t="n">
        <x:f>BE431/BF431</x:f>
        <x:v>-7.935600000000001</x:v>
      </x:c>
      <x:c r="BI431" s="68" t="n">
        <x:f>BF431/L431</x:f>
        <x:v>2</x:v>
      </x:c>
      <x:c r="BJ431" s="64" t="n">
        <x:f>-ROUND(AK431*'Drivers'!AC431,3)</x:f>
        <x:v>-26.206</x:v>
      </x:c>
      <x:c r="BK431" s="64" t="n">
        <x:f>-ROUND(AK431*'Drivers'!AD431,3)</x:f>
        <x:v>-96.582</x:v>
      </x:c>
      <x:c r="BL431" s="64" t="n">
        <x:f>SUM(AV431,BE431,BJ431,BK431)</x:f>
        <x:v>211.07799999999997</x:v>
      </x:c>
      <x:c r="BM431" s="65" t="n">
        <x:f>BL431/AK431</x:f>
        <x:v>0.20940298551883482</x:v>
      </x:c>
      <x:c r="BN431" s="64" t="n">
        <x:f>-ROUND(AK431*'Drivers'!AE431,3)</x:f>
        <x:v>-94.948</x:v>
      </x:c>
      <x:c r="BO431" s="64" t="n">
        <x:f>BL431+BN431</x:f>
        <x:v>116.12999999999998</x:v>
      </x:c>
      <x:c r="BP431" s="65" t="n">
        <x:f>BO431/AK431</x:f>
        <x:v>0.1152084476274282</x:v>
      </x:c>
    </x:row>
    <x:row r="432">
      <x:c r="A432" s="61" t="n">
        <x:v>2026</x:v>
      </x:c>
      <x:c r="B432" s="18" t="str">
        <x:v>S1</x:v>
      </x:c>
      <x:c r="C432" s="18" t="str">
        <x:v>2026 S1</x:v>
      </x:c>
      <x:c r="D432" s="18" t="str">
        <x:v>CNCT0108</x:v>
      </x:c>
      <x:c r="E432" s="18" t="str">
        <x:v>长沙梅溪湖步步高</x:v>
      </x:c>
      <x:c r="F432" s="18" t="str">
        <x:v>长沙</x:v>
      </x:c>
      <x:c r="G432" s="18" t="str">
        <x:v>湖南省</x:v>
      </x:c>
      <x:c r="H432" s="18" t="str">
        <x:v>南区</x:v>
      </x:c>
      <x:c r="I432" s="18" t="str">
        <x:v>Shopping Mall</x:v>
      </x:c>
      <x:c r="J432" s="18" t="str">
        <x:v>Regional Mall</x:v>
      </x:c>
      <x:c r="K432" s="18" t="str">
        <x:v>正常</x:v>
      </x:c>
      <x:c r="L432" s="62" t="n">
        <x:v>5</x:v>
      </x:c>
      <x:c r="M432" s="62" t="n">
        <x:v>43</x:v>
      </x:c>
      <x:c r="N432" s="63" t="n">
        <x:f>'Drivers'!C432</x:f>
        <x:v>1211</x:v>
      </x:c>
      <x:c r="O432" s="63" t="n">
        <x:f>'Drivers'!D432</x:f>
        <x:v>953.242</x:v>
      </x:c>
      <x:c r="P432" s="64" t="n">
        <x:f>ROUND(N432*O432/1000,3)</x:f>
        <x:v>1154.376</x:v>
      </x:c>
      <x:c r="Q432" s="64" t="n">
        <x:f>ROUND(P432*'Drivers'!E432,3)</x:f>
        <x:v>1121.685</x:v>
      </x:c>
      <x:c r="R432" s="64" t="n">
        <x:f>-ROUND(Q432*'Drivers'!F432,3)</x:f>
        <x:v>-239.156</x:v>
      </x:c>
      <x:c r="S432" s="65" t="n">
        <x:f>R432/Q432</x:f>
        <x:v>-0.2132113739597124</x:v>
      </x:c>
      <x:c r="T432" s="64" t="n">
        <x:f>-ROUND(Q432*'Drivers'!G432,3)</x:f>
        <x:v>-23.498</x:v>
      </x:c>
      <x:c r="U432" s="65" t="n">
        <x:f>T432/Q432</x:f>
        <x:v>-0.020948840360707332</x:v>
      </x:c>
      <x:c r="V432" s="64" t="n">
        <x:f>-ROUND(Q432*'Drivers'!H432,3)</x:f>
        <x:v>-11.125</x:v>
      </x:c>
      <x:c r="W432" s="64" t="n">
        <x:f>-ROUND(Q432*'Drivers'!I432,3)</x:f>
        <x:v>-10.651</x:v>
      </x:c>
      <x:c r="X432" s="64" t="n">
        <x:f>-ROUND(Q432*'Drivers'!J432,3)</x:f>
        <x:v>-15.927</x:v>
      </x:c>
      <x:c r="Y432" s="64" t="n">
        <x:f>-ROUND(Q432*'Drivers'!K432,3)</x:f>
        <x:v>-11.688</x:v>
      </x:c>
      <x:c r="Z432" s="64" t="n">
        <x:f>-ROUND(Q432*'Drivers'!L432,3)</x:f>
        <x:v>-15.41</x:v>
      </x:c>
      <x:c r="AA432" s="64" t="n">
        <x:f>-ROUND(Q432*'Drivers'!M432,3)</x:f>
        <x:v>-9.133</x:v>
      </x:c>
      <x:c r="AB432" s="64" t="n">
        <x:f>-ROUND(Q432*'Drivers'!N432,3)</x:f>
        <x:v>-9.362</x:v>
      </x:c>
      <x:c r="AC432" s="64" t="n">
        <x:f>SUM(V432:AB432)</x:f>
        <x:v>-83.29599999999999</x:v>
      </x:c>
      <x:c r="AD432" s="65" t="n">
        <x:f>AC432/Q432</x:f>
        <x:v>-0.0742597074936368</x:v>
      </x:c>
      <x:c r="AE432" s="64" t="n">
        <x:f>-ROUND(Q432*'Drivers'!O432,3)</x:f>
        <x:v>-5.45</x:v>
      </x:c>
      <x:c r="AF432" s="65" t="n">
        <x:f>AE432/Q432</x:f>
        <x:v>-0.004858761595278532</x:v>
      </x:c>
      <x:c r="AG432" s="64" t="n">
        <x:f>-ROUND(Q432*'Drivers'!P432,3)</x:f>
        <x:v>-2.302</x:v>
      </x:c>
      <x:c r="AH432" s="64" t="n">
        <x:f>-ROUND(Q432*'Drivers'!Q432,3)</x:f>
        <x:v>-5.134</x:v>
      </x:c>
      <x:c r="AI432" s="64" t="n">
        <x:f>SUM(R432,T432,AC432,AE432,AG432,AH432)</x:f>
        <x:v>-358.836</x:v>
      </x:c>
      <x:c r="AJ432" s="65" t="n">
        <x:f>AI432/Q432</x:f>
        <x:v>-0.3199079955602509</x:v>
      </x:c>
      <x:c r="AK432" s="64" t="n">
        <x:f>Q432+AI432</x:f>
        <x:v>762.8489999999999</x:v>
      </x:c>
      <x:c r="AL432" s="65" t="n">
        <x:f>AK432/Q432</x:f>
        <x:v>0.6800920044397492</x:v>
      </x:c>
      <x:c r="AM432" s="64" t="n">
        <x:f>AK432/L432</x:f>
        <x:v>152.5698</x:v>
      </x:c>
      <x:c r="AN432" s="66" t="str">
        <x:f>IF(AM432&lt;=200,"≤200K",IF(AM432&lt;=350,"200–350K",IF(AM432&lt;=500,"350–500K",IF(AM432&lt;=700,"500–700K","&gt;700K"))))</x:f>
        <x:v>≤200K</x:v>
      </x:c>
      <x:c r="AO432" s="64" t="n">
        <x:f>-ROUND(Q432*'Drivers'!R432,3)</x:f>
        <x:v>-432.421</x:v>
      </x:c>
      <x:c r="AP432" s="64" t="n">
        <x:f>-ROUND(AK432*'Drivers'!S432,3)</x:f>
        <x:v>-10.412</x:v>
      </x:c>
      <x:c r="AQ432" s="64" t="n">
        <x:f>-ROUND(AK432*'Drivers'!T432,3)</x:f>
        <x:v>-2.446</x:v>
      </x:c>
      <x:c r="AR432" s="64" t="n">
        <x:f>-ROUND(AK432*'Drivers'!U432,3)</x:f>
        <x:v>-6.431</x:v>
      </x:c>
      <x:c r="AS432" s="64" t="n">
        <x:f>-ROUND(AK432*'Drivers'!V432,3)</x:f>
        <x:v>-29.008</x:v>
      </x:c>
      <x:c r="AT432" s="64" t="n">
        <x:f>SUM(AO432:AS432)</x:f>
        <x:v>-480.71799999999996</x:v>
      </x:c>
      <x:c r="AU432" s="65" t="n">
        <x:f>AT432/AK432</x:f>
        <x:v>-0.6301614080899366</x:v>
      </x:c>
      <x:c r="AV432" s="64" t="n">
        <x:f>AK432+AT432</x:f>
        <x:v>282.131</x:v>
      </x:c>
      <x:c r="AW432" s="65" t="n">
        <x:f>AV432/AK432</x:f>
        <x:v>0.36983859191006346</x:v>
      </x:c>
      <x:c r="AX432" s="64" t="n">
        <x:f>-ROUND(AK432*'Drivers'!W432,3)</x:f>
        <x:v>-13.696</x:v>
      </x:c>
      <x:c r="AY432" s="64" t="n">
        <x:f>-ROUND(AK432*'Drivers'!X432,3)</x:f>
        <x:v>-22.986</x:v>
      </x:c>
      <x:c r="AZ432" s="64" t="n">
        <x:f>-ROUND(AK432*'Drivers'!Y432,3)</x:f>
        <x:v>-17.491</x:v>
      </x:c>
      <x:c r="BA432" s="64" t="n">
        <x:f>-ROUND(AK432*'Drivers'!Z432,3)</x:f>
        <x:v>-7.064</x:v>
      </x:c>
      <x:c r="BB432" s="64" t="n">
        <x:f>-ROUND(AK432*'Drivers'!AA432,3)</x:f>
        <x:v>-6.252</x:v>
      </x:c>
      <x:c r="BC432" s="64" t="n">
        <x:f>SUM(BA432,BB432)</x:f>
        <x:v>-13.315999999999999</x:v>
      </x:c>
      <x:c r="BD432" s="64" t="n">
        <x:f>-ROUND(AK432*'Drivers'!AB432,3)</x:f>
        <x:v>-6.408</x:v>
      </x:c>
      <x:c r="BE432" s="64" t="n">
        <x:f>SUM(AX432:BB432,BD432)</x:f>
        <x:v>-73.897</x:v>
      </x:c>
      <x:c r="BF432" s="67" t="n">
        <x:f>'Drivers'!AF432</x:f>
        <x:v>10</x:v>
      </x:c>
      <x:c r="BG432" s="64" t="n">
        <x:f>BJ432</x:f>
        <x:v>-35.384</x:v>
      </x:c>
      <x:c r="BH432" s="64" t="n">
        <x:f>BE432/BF432</x:f>
        <x:v>-7.3897</x:v>
      </x:c>
      <x:c r="BI432" s="68" t="n">
        <x:f>BF432/L432</x:f>
        <x:v>2</x:v>
      </x:c>
      <x:c r="BJ432" s="64" t="n">
        <x:f>-ROUND(AK432*'Drivers'!AC432,3)</x:f>
        <x:v>-35.384</x:v>
      </x:c>
      <x:c r="BK432" s="64" t="n">
        <x:f>-ROUND(AK432*'Drivers'!AD432,3)</x:f>
        <x:v>-80.402</x:v>
      </x:c>
      <x:c r="BL432" s="64" t="n">
        <x:f>SUM(AV432,BE432,BJ432,BK432)</x:f>
        <x:v>92.44799999999996</x:v>
      </x:c>
      <x:c r="BM432" s="65" t="n">
        <x:f>BL432/AK432</x:f>
        <x:v>0.12118781043168435</x:v>
      </x:c>
      <x:c r="BN432" s="64" t="n">
        <x:f>-ROUND(AK432*'Drivers'!AE432,3)</x:f>
        <x:v>-85.72</x:v>
      </x:c>
      <x:c r="BO432" s="64" t="n">
        <x:f>BL432+BN432</x:f>
        <x:v>6.727999999999966</x:v>
      </x:c>
      <x:c r="BP432" s="65" t="n">
        <x:f>BO432/AK432</x:f>
        <x:v>0.008819569796906028</x:v>
      </x:c>
    </x:row>
    <x:row r="433">
      <x:c r="A433" s="61" t="n">
        <x:v>2026</x:v>
      </x:c>
      <x:c r="B433" s="18" t="str">
        <x:v>S2</x:v>
      </x:c>
      <x:c r="C433" s="18" t="str">
        <x:v>2026 S2</x:v>
      </x:c>
      <x:c r="D433" s="18" t="str">
        <x:v>CNCT0108</x:v>
      </x:c>
      <x:c r="E433" s="18" t="str">
        <x:v>长沙梅溪湖步步高</x:v>
      </x:c>
      <x:c r="F433" s="18" t="str">
        <x:v>长沙</x:v>
      </x:c>
      <x:c r="G433" s="18" t="str">
        <x:v>湖南省</x:v>
      </x:c>
      <x:c r="H433" s="18" t="str">
        <x:v>南区</x:v>
      </x:c>
      <x:c r="I433" s="18" t="str">
        <x:v>Shopping Mall</x:v>
      </x:c>
      <x:c r="J433" s="18" t="str">
        <x:v>Regional Mall</x:v>
      </x:c>
      <x:c r="K433" s="18" t="str">
        <x:v>正常</x:v>
      </x:c>
      <x:c r="L433" s="62" t="n">
        <x:v>5</x:v>
      </x:c>
      <x:c r="M433" s="62" t="n">
        <x:v>43</x:v>
      </x:c>
      <x:c r="N433" s="63" t="n">
        <x:f>'Drivers'!C433</x:f>
        <x:v>1384</x:v>
      </x:c>
      <x:c r="O433" s="63" t="n">
        <x:f>'Drivers'!D433</x:f>
        <x:v>955.909</x:v>
      </x:c>
      <x:c r="P433" s="64" t="n">
        <x:f>ROUND(N433*O433/1000,3)</x:f>
        <x:v>1322.978</x:v>
      </x:c>
      <x:c r="Q433" s="64" t="n">
        <x:f>ROUND(P433*'Drivers'!E433,3)</x:f>
        <x:v>1293.218</x:v>
      </x:c>
      <x:c r="R433" s="64" t="n">
        <x:f>-ROUND(Q433*'Drivers'!F433,3)</x:f>
        <x:v>-258.763</x:v>
      </x:c>
      <x:c r="S433" s="65" t="n">
        <x:f>R433/Q433</x:f>
        <x:v>-0.20009232782098607</x:v>
      </x:c>
      <x:c r="T433" s="64" t="n">
        <x:f>-ROUND(Q433*'Drivers'!G433,3)</x:f>
        <x:v>-25.348</x:v>
      </x:c>
      <x:c r="U433" s="65" t="n">
        <x:f>T433/Q433</x:f>
        <x:v>-0.01960071697115258</x:v>
      </x:c>
      <x:c r="V433" s="64" t="n">
        <x:f>-ROUND(Q433*'Drivers'!H433,3)</x:f>
        <x:v>-12.826</x:v>
      </x:c>
      <x:c r="W433" s="64" t="n">
        <x:f>-ROUND(Q433*'Drivers'!I433,3)</x:f>
        <x:v>-12.28</x:v>
      </x:c>
      <x:c r="X433" s="64" t="n">
        <x:f>-ROUND(Q433*'Drivers'!J433,3)</x:f>
        <x:v>-18.363</x:v>
      </x:c>
      <x:c r="Y433" s="64" t="n">
        <x:f>-ROUND(Q433*'Drivers'!K433,3)</x:f>
        <x:v>-13.475</x:v>
      </x:c>
      <x:c r="Z433" s="64" t="n">
        <x:f>-ROUND(Q433*'Drivers'!L433,3)</x:f>
        <x:v>-17.767</x:v>
      </x:c>
      <x:c r="AA433" s="64" t="n">
        <x:f>-ROUND(Q433*'Drivers'!M433,3)</x:f>
        <x:v>-10.53</x:v>
      </x:c>
      <x:c r="AB433" s="64" t="n">
        <x:f>-ROUND(Q433*'Drivers'!N433,3)</x:f>
        <x:v>-10.794</x:v>
      </x:c>
      <x:c r="AC433" s="64" t="n">
        <x:f>SUM(V433:AB433)</x:f>
        <x:v>-96.035</x:v>
      </x:c>
      <x:c r="AD433" s="65" t="n">
        <x:f>AC433/Q433</x:f>
        <x:v>-0.07426048817755397</x:v>
      </x:c>
      <x:c r="AE433" s="64" t="n">
        <x:f>-ROUND(Q433*'Drivers'!O433,3)</x:f>
        <x:v>-8.014</x:v>
      </x:c>
      <x:c r="AF433" s="65" t="n">
        <x:f>AE433/Q433</x:f>
        <x:v>-0.006196944366688369</x:v>
      </x:c>
      <x:c r="AG433" s="64" t="n">
        <x:f>-ROUND(Q433*'Drivers'!P433,3)</x:f>
        <x:v>-2.655</x:v>
      </x:c>
      <x:c r="AH433" s="64" t="n">
        <x:f>-ROUND(Q433*'Drivers'!Q433,3)</x:f>
        <x:v>-5.919</x:v>
      </x:c>
      <x:c r="AI433" s="64" t="n">
        <x:f>SUM(R433,T433,AC433,AE433,AG433,AH433)</x:f>
        <x:v>-396.7339999999999</x:v>
      </x:c>
      <x:c r="AJ433" s="65" t="n">
        <x:f>AI433/Q433</x:f>
        <x:v>-0.3067804500092018</x:v>
      </x:c>
      <x:c r="AK433" s="64" t="n">
        <x:f>Q433+AI433</x:f>
        <x:v>896.4840000000002</x:v>
      </x:c>
      <x:c r="AL433" s="65" t="n">
        <x:f>AK433/Q433</x:f>
        <x:v>0.6932195499907983</x:v>
      </x:c>
      <x:c r="AM433" s="64" t="n">
        <x:f>AK433/L433</x:f>
        <x:v>179.29680000000002</x:v>
      </x:c>
      <x:c r="AN433" s="66" t="str">
        <x:f>IF(AM433&lt;=200,"≤200K",IF(AM433&lt;=350,"200–350K",IF(AM433&lt;=500,"350–500K",IF(AM433&lt;=700,"500–700K","&gt;700K"))))</x:f>
        <x:v>≤200K</x:v>
      </x:c>
      <x:c r="AO433" s="64" t="n">
        <x:f>-ROUND(Q433*'Drivers'!R433,3)</x:f>
        <x:v>-491.078</x:v>
      </x:c>
      <x:c r="AP433" s="64" t="n">
        <x:f>-ROUND(AK433*'Drivers'!S433,3)</x:f>
        <x:v>-12.235</x:v>
      </x:c>
      <x:c r="AQ433" s="64" t="n">
        <x:f>-ROUND(AK433*'Drivers'!T433,3)</x:f>
        <x:v>-2.874</x:v>
      </x:c>
      <x:c r="AR433" s="64" t="n">
        <x:f>-ROUND(AK433*'Drivers'!U433,3)</x:f>
        <x:v>-7.557</x:v>
      </x:c>
      <x:c r="AS433" s="64" t="n">
        <x:f>-ROUND(AK433*'Drivers'!V433,3)</x:f>
        <x:v>-34.09</x:v>
      </x:c>
      <x:c r="AT433" s="64" t="n">
        <x:f>SUM(AO433:AS433)</x:f>
        <x:v>-547.8340000000001</x:v>
      </x:c>
      <x:c r="AU433" s="65" t="n">
        <x:f>AT433/AK433</x:f>
        <x:v>-0.6110917763172572</x:v>
      </x:c>
      <x:c r="AV433" s="64" t="n">
        <x:f>AK433+AT433</x:f>
        <x:v>348.6500000000001</x:v>
      </x:c>
      <x:c r="AW433" s="65" t="n">
        <x:f>AV433/AK433</x:f>
        <x:v>0.38890822368274286</x:v>
      </x:c>
      <x:c r="AX433" s="64" t="n">
        <x:f>-ROUND(AK433*'Drivers'!W433,3)</x:f>
        <x:v>-13.866</x:v>
      </x:c>
      <x:c r="AY433" s="64" t="n">
        <x:f>-ROUND(AK433*'Drivers'!X433,3)</x:f>
        <x:v>-23.27</x:v>
      </x:c>
      <x:c r="AZ433" s="64" t="n">
        <x:f>-ROUND(AK433*'Drivers'!Y433,3)</x:f>
        <x:v>-17.707</x:v>
      </x:c>
      <x:c r="BA433" s="64" t="n">
        <x:f>-ROUND(AK433*'Drivers'!Z433,3)</x:f>
        <x:v>-7.151</x:v>
      </x:c>
      <x:c r="BB433" s="64" t="n">
        <x:f>-ROUND(AK433*'Drivers'!AA433,3)</x:f>
        <x:v>-6.329</x:v>
      </x:c>
      <x:c r="BC433" s="64" t="n">
        <x:f>SUM(BA433,BB433)</x:f>
        <x:v>-13.48</x:v>
      </x:c>
      <x:c r="BD433" s="64" t="n">
        <x:f>-ROUND(AK433*'Drivers'!AB433,3)</x:f>
        <x:v>-6.487</x:v>
      </x:c>
      <x:c r="BE433" s="64" t="n">
        <x:f>SUM(AX433:BB433,BD433)</x:f>
        <x:v>-74.80999999999999</x:v>
      </x:c>
      <x:c r="BF433" s="67" t="n">
        <x:f>'Drivers'!AF433</x:f>
        <x:v>10</x:v>
      </x:c>
      <x:c r="BG433" s="64" t="n">
        <x:f>BJ433</x:f>
        <x:v>-35.822</x:v>
      </x:c>
      <x:c r="BH433" s="64" t="n">
        <x:f>BE433/BF433</x:f>
        <x:v>-7.480999999999999</x:v>
      </x:c>
      <x:c r="BI433" s="68" t="n">
        <x:f>BF433/L433</x:f>
        <x:v>2</x:v>
      </x:c>
      <x:c r="BJ433" s="64" t="n">
        <x:f>-ROUND(AK433*'Drivers'!AC433,3)</x:f>
        <x:v>-35.822</x:v>
      </x:c>
      <x:c r="BK433" s="64" t="n">
        <x:f>-ROUND(AK433*'Drivers'!AD433,3)</x:f>
        <x:v>-92.769</x:v>
      </x:c>
      <x:c r="BL433" s="64" t="n">
        <x:f>SUM(AV433,BE433,BJ433,BK433)</x:f>
        <x:v>145.24900000000008</x:v>
      </x:c>
      <x:c r="BM433" s="65" t="n">
        <x:f>BL433/AK433</x:f>
        <x:v>0.16202073879734613</x:v>
      </x:c>
      <x:c r="BN433" s="64" t="n">
        <x:f>-ROUND(AK433*'Drivers'!AE433,3)</x:f>
        <x:v>-137.8</x:v>
      </x:c>
      <x:c r="BO433" s="64" t="n">
        <x:f>BL433+BN433</x:f>
        <x:v>7.449000000000069</x:v>
      </x:c>
      <x:c r="BP433" s="65" t="n">
        <x:f>BO433/AK433</x:f>
        <x:v>0.008309127658720142</x:v>
      </x:c>
    </x:row>
    <x:row r="434">
      <x:c r="A434" s="61" t="n">
        <x:v>2025</x:v>
      </x:c>
      <x:c r="B434" s="18" t="str">
        <x:v>S1</x:v>
      </x:c>
      <x:c r="C434" s="18" t="str">
        <x:v>2025 S1</x:v>
      </x:c>
      <x:c r="D434" s="18" t="str">
        <x:v>CNCT0109</x:v>
      </x:c>
      <x:c r="E434" s="18" t="str">
        <x:v>昆明恒隆广场</x:v>
      </x:c>
      <x:c r="F434" s="18" t="str">
        <x:v>昆明</x:v>
      </x:c>
      <x:c r="G434" s="18" t="str">
        <x:v>云南省</x:v>
      </x:c>
      <x:c r="H434" s="18" t="str">
        <x:v>西区</x:v>
      </x:c>
      <x:c r="I434" s="18" t="str">
        <x:v>Shopping Mall</x:v>
      </x:c>
      <x:c r="J434" s="18" t="str">
        <x:v>Prestige Shopping Center</x:v>
      </x:c>
      <x:c r="K434" s="18" t="str">
        <x:v>正常</x:v>
      </x:c>
      <x:c r="L434" s="62" t="n">
        <x:v>3</x:v>
      </x:c>
      <x:c r="M434" s="62" t="n">
        <x:v>31</x:v>
      </x:c>
      <x:c r="N434" s="63" t="n">
        <x:f>'Drivers'!C434</x:f>
        <x:v>1220</x:v>
      </x:c>
      <x:c r="O434" s="63" t="n">
        <x:f>'Drivers'!D434</x:f>
        <x:v>1140.57</x:v>
      </x:c>
      <x:c r="P434" s="64" t="n">
        <x:f>ROUND(N434*O434/1000,3)</x:f>
        <x:v>1391.495</x:v>
      </x:c>
      <x:c r="Q434" s="64" t="n">
        <x:f>ROUND(P434*'Drivers'!E434,3)</x:f>
        <x:v>1366.061</x:v>
      </x:c>
      <x:c r="R434" s="64" t="n">
        <x:f>-ROUND(Q434*'Drivers'!F434,3)</x:f>
        <x:v>-255.354</x:v>
      </x:c>
      <x:c r="S434" s="65" t="n">
        <x:f>R434/Q434</x:f>
        <x:v>-0.186927230921606</x:v>
      </x:c>
      <x:c r="T434" s="64" t="n">
        <x:f>-ROUND(Q434*'Drivers'!G434,3)</x:f>
        <x:v>-26.314</x:v>
      </x:c>
      <x:c r="U434" s="65" t="n">
        <x:f>T434/Q434</x:f>
        <x:v>-0.019262682998782633</x:v>
      </x:c>
      <x:c r="V434" s="64" t="n">
        <x:f>-ROUND(Q434*'Drivers'!H434,3)</x:f>
        <x:v>-13.331</x:v>
      </x:c>
      <x:c r="W434" s="64" t="n">
        <x:f>-ROUND(Q434*'Drivers'!I434,3)</x:f>
        <x:v>-11.67</x:v>
      </x:c>
      <x:c r="X434" s="64" t="n">
        <x:f>-ROUND(Q434*'Drivers'!J434,3)</x:f>
        <x:v>-14.17</x:v>
      </x:c>
      <x:c r="Y434" s="64" t="n">
        <x:f>-ROUND(Q434*'Drivers'!K434,3)</x:f>
        <x:v>-15.359</x:v>
      </x:c>
      <x:c r="Z434" s="64" t="n">
        <x:f>-ROUND(Q434*'Drivers'!L434,3)</x:f>
        <x:v>-15.789</x:v>
      </x:c>
      <x:c r="AA434" s="64" t="n">
        <x:f>-ROUND(Q434*'Drivers'!M434,3)</x:f>
        <x:v>-11.907</x:v>
      </x:c>
      <x:c r="AB434" s="64" t="n">
        <x:f>-ROUND(Q434*'Drivers'!N434,3)</x:f>
        <x:v>-7.29</x:v>
      </x:c>
      <x:c r="AC434" s="64" t="n">
        <x:f>SUM(V434:AB434)</x:f>
        <x:v>-89.516</x:v>
      </x:c>
      <x:c r="AD434" s="65" t="n">
        <x:f>AC434/Q434</x:f>
        <x:v>-0.06552855253169515</x:v>
      </x:c>
      <x:c r="AE434" s="64" t="n">
        <x:f>-ROUND(Q434*'Drivers'!O434,3)</x:f>
        <x:v>-13.738</x:v>
      </x:c>
      <x:c r="AF434" s="65" t="n">
        <x:f>AE434/Q434</x:f>
        <x:v>-0.01005665193574811</x:v>
      </x:c>
      <x:c r="AG434" s="64" t="n">
        <x:f>-ROUND(Q434*'Drivers'!P434,3)</x:f>
        <x:v>-2.648</x:v>
      </x:c>
      <x:c r="AH434" s="64" t="n">
        <x:f>-ROUND(Q434*'Drivers'!Q434,3)</x:f>
        <x:v>-7.525</x:v>
      </x:c>
      <x:c r="AI434" s="64" t="n">
        <x:f>SUM(R434,T434,AC434,AE434,AG434,AH434)</x:f>
        <x:v>-395.095</x:v>
      </x:c>
      <x:c r="AJ434" s="65" t="n">
        <x:f>AI434/Q434</x:f>
        <x:v>-0.28922207719860243</x:v>
      </x:c>
      <x:c r="AK434" s="64" t="n">
        <x:f>Q434+AI434</x:f>
        <x:v>970.9659999999999</x:v>
      </x:c>
      <x:c r="AL434" s="65" t="n">
        <x:f>AK434/Q434</x:f>
        <x:v>0.7107779228013975</x:v>
      </x:c>
      <x:c r="AM434" s="64" t="n">
        <x:f>AK434/L434</x:f>
        <x:v>323.6553333333333</x:v>
      </x:c>
      <x:c r="AN434" s="66" t="str">
        <x:f>IF(AM434&lt;=200,"≤200K",IF(AM434&lt;=350,"200–350K",IF(AM434&lt;=500,"350–500K",IF(AM434&lt;=700,"500–700K","&gt;700K"))))</x:f>
        <x:v>200–350K</x:v>
      </x:c>
      <x:c r="AO434" s="64" t="n">
        <x:f>-ROUND(Q434*'Drivers'!R434,3)</x:f>
        <x:v>-478.445</x:v>
      </x:c>
      <x:c r="AP434" s="64" t="n">
        <x:f>-ROUND(AK434*'Drivers'!S434,3)</x:f>
        <x:v>-14.89</x:v>
      </x:c>
      <x:c r="AQ434" s="64" t="n">
        <x:f>-ROUND(AK434*'Drivers'!T434,3)</x:f>
        <x:v>-5.126</x:v>
      </x:c>
      <x:c r="AR434" s="64" t="n">
        <x:f>-ROUND(AK434*'Drivers'!U434,3)</x:f>
        <x:v>-7.81</x:v>
      </x:c>
      <x:c r="AS434" s="64" t="n">
        <x:f>-ROUND(AK434*'Drivers'!V434,3)</x:f>
        <x:v>-36.441</x:v>
      </x:c>
      <x:c r="AT434" s="64" t="n">
        <x:f>SUM(AO434:AS434)</x:f>
        <x:v>-542.712</x:v>
      </x:c>
      <x:c r="AU434" s="65" t="n">
        <x:f>AT434/AK434</x:f>
        <x:v>-0.5589402718529795</x:v>
      </x:c>
      <x:c r="AV434" s="64" t="n">
        <x:f>AK434+AT434</x:f>
        <x:v>428.2539999999999</x:v>
      </x:c>
      <x:c r="AW434" s="65" t="n">
        <x:f>AV434/AK434</x:f>
        <x:v>0.44105972814702055</x:v>
      </x:c>
      <x:c r="AX434" s="64" t="n">
        <x:f>-ROUND(AK434*'Drivers'!W434,3)</x:f>
        <x:v>-14.074</x:v>
      </x:c>
      <x:c r="AY434" s="64" t="n">
        <x:f>-ROUND(AK434*'Drivers'!X434,3)</x:f>
        <x:v>-19.862</x:v>
      </x:c>
      <x:c r="AZ434" s="64" t="n">
        <x:f>-ROUND(AK434*'Drivers'!Y434,3)</x:f>
        <x:v>-15.256</x:v>
      </x:c>
      <x:c r="BA434" s="64" t="n">
        <x:f>-ROUND(AK434*'Drivers'!Z434,3)</x:f>
        <x:v>-6.615</x:v>
      </x:c>
      <x:c r="BB434" s="64" t="n">
        <x:f>-ROUND(AK434*'Drivers'!AA434,3)</x:f>
        <x:v>-7.167</x:v>
      </x:c>
      <x:c r="BC434" s="64" t="n">
        <x:f>SUM(BA434,BB434)</x:f>
        <x:v>-13.782</x:v>
      </x:c>
      <x:c r="BD434" s="64" t="n">
        <x:f>-ROUND(AK434*'Drivers'!AB434,3)</x:f>
        <x:v>-6.199</x:v>
      </x:c>
      <x:c r="BE434" s="64" t="n">
        <x:f>SUM(AX434:BB434,BD434)</x:f>
        <x:v>-69.173</x:v>
      </x:c>
      <x:c r="BF434" s="67" t="n">
        <x:f>'Drivers'!AF434</x:f>
        <x:v>4</x:v>
      </x:c>
      <x:c r="BG434" s="64" t="n">
        <x:f>BJ434</x:f>
        <x:v>-21.688</x:v>
      </x:c>
      <x:c r="BH434" s="64" t="n">
        <x:f>BE434/BF434</x:f>
        <x:v>-17.29325</x:v>
      </x:c>
      <x:c r="BI434" s="68" t="n">
        <x:f>BF434/L434</x:f>
        <x:v>1.3333333333333333</x:v>
      </x:c>
      <x:c r="BJ434" s="64" t="n">
        <x:f>-ROUND(AK434*'Drivers'!AC434,3)</x:f>
        <x:v>-21.688</x:v>
      </x:c>
      <x:c r="BK434" s="64" t="n">
        <x:f>-ROUND(AK434*'Drivers'!AD434,3)</x:f>
        <x:v>-93.623</x:v>
      </x:c>
      <x:c r="BL434" s="64" t="n">
        <x:f>SUM(AV434,BE434,BJ434,BK434)</x:f>
        <x:v>243.76999999999992</x:v>
      </x:c>
      <x:c r="BM434" s="65" t="n">
        <x:f>BL434/AK434</x:f>
        <x:v>0.2510592543920178</x:v>
      </x:c>
      <x:c r="BN434" s="64" t="n">
        <x:f>-ROUND(AK434*'Drivers'!AE434,3)</x:f>
        <x:v>-71.048</x:v>
      </x:c>
      <x:c r="BO434" s="64" t="n">
        <x:f>BL434+BN434</x:f>
        <x:v>172.72199999999992</x:v>
      </x:c>
      <x:c r="BP434" s="65" t="n">
        <x:f>BO434/AK434</x:f>
        <x:v>0.1778867643151253</x:v>
      </x:c>
    </x:row>
    <x:row r="435">
      <x:c r="A435" s="61" t="n">
        <x:v>2025</x:v>
      </x:c>
      <x:c r="B435" s="18" t="str">
        <x:v>S2</x:v>
      </x:c>
      <x:c r="C435" s="18" t="str">
        <x:v>2025 S2</x:v>
      </x:c>
      <x:c r="D435" s="18" t="str">
        <x:v>CNCT0109</x:v>
      </x:c>
      <x:c r="E435" s="18" t="str">
        <x:v>昆明恒隆广场</x:v>
      </x:c>
      <x:c r="F435" s="18" t="str">
        <x:v>昆明</x:v>
      </x:c>
      <x:c r="G435" s="18" t="str">
        <x:v>云南省</x:v>
      </x:c>
      <x:c r="H435" s="18" t="str">
        <x:v>西区</x:v>
      </x:c>
      <x:c r="I435" s="18" t="str">
        <x:v>Shopping Mall</x:v>
      </x:c>
      <x:c r="J435" s="18" t="str">
        <x:v>Prestige Shopping Center</x:v>
      </x:c>
      <x:c r="K435" s="18" t="str">
        <x:v>正常</x:v>
      </x:c>
      <x:c r="L435" s="62" t="n">
        <x:v>3</x:v>
      </x:c>
      <x:c r="M435" s="62" t="n">
        <x:v>31</x:v>
      </x:c>
      <x:c r="N435" s="63" t="n">
        <x:f>'Drivers'!C435</x:f>
        <x:v>1304</x:v>
      </x:c>
      <x:c r="O435" s="63" t="n">
        <x:f>'Drivers'!D435</x:f>
        <x:v>1154.257</x:v>
      </x:c>
      <x:c r="P435" s="64" t="n">
        <x:f>ROUND(N435*O435/1000,3)</x:f>
        <x:v>1505.151</x:v>
      </x:c>
      <x:c r="Q435" s="64" t="n">
        <x:f>ROUND(P435*'Drivers'!E435,3)</x:f>
        <x:v>1464.896</x:v>
      </x:c>
      <x:c r="R435" s="64" t="n">
        <x:f>-ROUND(Q435*'Drivers'!F435,3)</x:f>
        <x:v>-273.829</x:v>
      </x:c>
      <x:c r="S435" s="65" t="n">
        <x:f>R435/Q435</x:f>
        <x:v>-0.18692726309581023</x:v>
      </x:c>
      <x:c r="T435" s="64" t="n">
        <x:f>-ROUND(Q435*'Drivers'!G435,3)</x:f>
        <x:v>-28.218</x:v>
      </x:c>
      <x:c r="U435" s="65" t="n">
        <x:f>T435/Q435</x:f>
        <x:v>-0.019262800908733453</x:v>
      </x:c>
      <x:c r="V435" s="64" t="n">
        <x:f>-ROUND(Q435*'Drivers'!H435,3)</x:f>
        <x:v>-14.295</x:v>
      </x:c>
      <x:c r="W435" s="64" t="n">
        <x:f>-ROUND(Q435*'Drivers'!I435,3)</x:f>
        <x:v>-12.514</x:v>
      </x:c>
      <x:c r="X435" s="64" t="n">
        <x:f>-ROUND(Q435*'Drivers'!J435,3)</x:f>
        <x:v>-15.195</x:v>
      </x:c>
      <x:c r="Y435" s="64" t="n">
        <x:f>-ROUND(Q435*'Drivers'!K435,3)</x:f>
        <x:v>-16.47</x:v>
      </x:c>
      <x:c r="Z435" s="64" t="n">
        <x:f>-ROUND(Q435*'Drivers'!L435,3)</x:f>
        <x:v>-16.932</x:v>
      </x:c>
      <x:c r="AA435" s="64" t="n">
        <x:f>-ROUND(Q435*'Drivers'!M435,3)</x:f>
        <x:v>-12.769</x:v>
      </x:c>
      <x:c r="AB435" s="64" t="n">
        <x:f>-ROUND(Q435*'Drivers'!N435,3)</x:f>
        <x:v>-7.818</x:v>
      </x:c>
      <x:c r="AC435" s="64" t="n">
        <x:f>SUM(V435:AB435)</x:f>
        <x:v>-95.993</x:v>
      </x:c>
      <x:c r="AD435" s="65" t="n">
        <x:f>AC435/Q435</x:f>
        <x:v>-0.06552888396172835</x:v>
      </x:c>
      <x:c r="AE435" s="64" t="n">
        <x:f>-ROUND(Q435*'Drivers'!O435,3)</x:f>
        <x:v>-14.732</x:v>
      </x:c>
      <x:c r="AF435" s="65" t="n">
        <x:f>AE435/Q435</x:f>
        <x:v>-0.010056686618026126</x:v>
      </x:c>
      <x:c r="AG435" s="64" t="n">
        <x:f>-ROUND(Q435*'Drivers'!P435,3)</x:f>
        <x:v>-2.84</x:v>
      </x:c>
      <x:c r="AH435" s="64" t="n">
        <x:f>-ROUND(Q435*'Drivers'!Q435,3)</x:f>
        <x:v>-8.07</x:v>
      </x:c>
      <x:c r="AI435" s="64" t="n">
        <x:f>SUM(R435,T435,AC435,AE435,AG435,AH435)</x:f>
        <x:v>-423.682</x:v>
      </x:c>
      <x:c r="AJ435" s="65" t="n">
        <x:f>AI435/Q435</x:f>
        <x:v>-0.28922326226571715</x:v>
      </x:c>
      <x:c r="AK435" s="64" t="n">
        <x:f>Q435+AI435</x:f>
        <x:v>1041.214</x:v>
      </x:c>
      <x:c r="AL435" s="65" t="n">
        <x:f>AK435/Q435</x:f>
        <x:v>0.7107767377342828</x:v>
      </x:c>
      <x:c r="AM435" s="64" t="n">
        <x:f>AK435/L435</x:f>
        <x:v>347.0713333333333</x:v>
      </x:c>
      <x:c r="AN435" s="66" t="str">
        <x:f>IF(AM435&lt;=200,"≤200K",IF(AM435&lt;=350,"200–350K",IF(AM435&lt;=500,"350–500K",IF(AM435&lt;=700,"500–700K","&gt;700K"))))</x:f>
        <x:v>200–350K</x:v>
      </x:c>
      <x:c r="AO435" s="64" t="n">
        <x:f>-ROUND(Q435*'Drivers'!R435,3)</x:f>
        <x:v>-536.163</x:v>
      </x:c>
      <x:c r="AP435" s="64" t="n">
        <x:f>-ROUND(AK435*'Drivers'!S435,3)</x:f>
        <x:v>-15.967</x:v>
      </x:c>
      <x:c r="AQ435" s="64" t="n">
        <x:f>-ROUND(AK435*'Drivers'!T435,3)</x:f>
        <x:v>-5.497</x:v>
      </x:c>
      <x:c r="AR435" s="64" t="n">
        <x:f>-ROUND(AK435*'Drivers'!U435,3)</x:f>
        <x:v>-8.375</x:v>
      </x:c>
      <x:c r="AS435" s="64" t="n">
        <x:f>-ROUND(AK435*'Drivers'!V435,3)</x:f>
        <x:v>-39.078</x:v>
      </x:c>
      <x:c r="AT435" s="64" t="n">
        <x:f>SUM(AO435:AS435)</x:f>
        <x:v>-605.0799999999999</x:v>
      </x:c>
      <x:c r="AU435" s="65" t="n">
        <x:f>AT435/AK435</x:f>
        <x:v>-0.5811293355640627</x:v>
      </x:c>
      <x:c r="AV435" s="64" t="n">
        <x:f>AK435+AT435</x:f>
        <x:v>436.134</x:v>
      </x:c>
      <x:c r="AW435" s="65" t="n">
        <x:f>AV435/AK435</x:f>
        <x:v>0.41887066443593735</x:v>
      </x:c>
      <x:c r="AX435" s="64" t="n">
        <x:f>-ROUND(AK435*'Drivers'!W435,3)</x:f>
        <x:v>-15.092</x:v>
      </x:c>
      <x:c r="AY435" s="64" t="n">
        <x:f>-ROUND(AK435*'Drivers'!X435,3)</x:f>
        <x:v>-21.299</x:v>
      </x:c>
      <x:c r="AZ435" s="64" t="n">
        <x:f>-ROUND(AK435*'Drivers'!Y435,3)</x:f>
        <x:v>-16.359</x:v>
      </x:c>
      <x:c r="BA435" s="64" t="n">
        <x:f>-ROUND(AK435*'Drivers'!Z435,3)</x:f>
        <x:v>-7.094</x:v>
      </x:c>
      <x:c r="BB435" s="64" t="n">
        <x:f>-ROUND(AK435*'Drivers'!AA435,3)</x:f>
        <x:v>-7.685</x:v>
      </x:c>
      <x:c r="BC435" s="64" t="n">
        <x:f>SUM(BA435,BB435)</x:f>
        <x:v>-14.779</x:v>
      </x:c>
      <x:c r="BD435" s="64" t="n">
        <x:f>-ROUND(AK435*'Drivers'!AB435,3)</x:f>
        <x:v>-6.647</x:v>
      </x:c>
      <x:c r="BE435" s="64" t="n">
        <x:f>SUM(AX435:BB435,BD435)</x:f>
        <x:v>-74.176</x:v>
      </x:c>
      <x:c r="BF435" s="67" t="n">
        <x:f>'Drivers'!AF435</x:f>
        <x:v>4</x:v>
      </x:c>
      <x:c r="BG435" s="64" t="n">
        <x:f>BJ435</x:f>
        <x:v>-23.257</x:v>
      </x:c>
      <x:c r="BH435" s="64" t="n">
        <x:f>BE435/BF435</x:f>
        <x:v>-18.544</x:v>
      </x:c>
      <x:c r="BI435" s="68" t="n">
        <x:f>BF435/L435</x:f>
        <x:v>1.3333333333333333</x:v>
      </x:c>
      <x:c r="BJ435" s="64" t="n">
        <x:f>-ROUND(AK435*'Drivers'!AC435,3)</x:f>
        <x:v>-23.257</x:v>
      </x:c>
      <x:c r="BK435" s="64" t="n">
        <x:f>-ROUND(AK435*'Drivers'!AD435,3)</x:f>
        <x:v>-100.397</x:v>
      </x:c>
      <x:c r="BL435" s="64" t="n">
        <x:f>SUM(AV435,BE435,BJ435,BK435)</x:f>
        <x:v>238.30400000000003</x:v>
      </x:c>
      <x:c r="BM435" s="65" t="n">
        <x:f>BL435/AK435</x:f>
        <x:v>0.22887129831139424</x:v>
      </x:c>
      <x:c r="BN435" s="64" t="n">
        <x:f>-ROUND(AK435*'Drivers'!AE435,3)</x:f>
        <x:v>-76.188</x:v>
      </x:c>
      <x:c r="BO435" s="64" t="n">
        <x:f>BL435+BN435</x:f>
        <x:v>162.11600000000004</x:v>
      </x:c>
      <x:c r="BP435" s="65" t="n">
        <x:f>BO435/AK435</x:f>
        <x:v>0.15569902056637738</x:v>
      </x:c>
    </x:row>
    <x:row r="436">
      <x:c r="A436" s="61" t="n">
        <x:v>2026</x:v>
      </x:c>
      <x:c r="B436" s="18" t="str">
        <x:v>S1</x:v>
      </x:c>
      <x:c r="C436" s="18" t="str">
        <x:v>2026 S1</x:v>
      </x:c>
      <x:c r="D436" s="18" t="str">
        <x:v>CNCT0109</x:v>
      </x:c>
      <x:c r="E436" s="18" t="str">
        <x:v>昆明恒隆广场</x:v>
      </x:c>
      <x:c r="F436" s="18" t="str">
        <x:v>昆明</x:v>
      </x:c>
      <x:c r="G436" s="18" t="str">
        <x:v>云南省</x:v>
      </x:c>
      <x:c r="H436" s="18" t="str">
        <x:v>西区</x:v>
      </x:c>
      <x:c r="I436" s="18" t="str">
        <x:v>Shopping Mall</x:v>
      </x:c>
      <x:c r="J436" s="18" t="str">
        <x:v>Prestige Shopping Center</x:v>
      </x:c>
      <x:c r="K436" s="18" t="str">
        <x:v>正常</x:v>
      </x:c>
      <x:c r="L436" s="62" t="n">
        <x:v>3</x:v>
      </x:c>
      <x:c r="M436" s="62" t="n">
        <x:v>31</x:v>
      </x:c>
      <x:c r="N436" s="63" t="n">
        <x:f>'Drivers'!C436</x:f>
        <x:v>1274</x:v>
      </x:c>
      <x:c r="O436" s="63" t="n">
        <x:f>'Drivers'!D436</x:f>
        <x:v>1193.033</x:v>
      </x:c>
      <x:c r="P436" s="64" t="n">
        <x:f>ROUND(N436*O436/1000,3)</x:f>
        <x:v>1519.924</x:v>
      </x:c>
      <x:c r="Q436" s="64" t="n">
        <x:f>ROUND(P436*'Drivers'!E436,3)</x:f>
        <x:v>1489.804</x:v>
      </x:c>
      <x:c r="R436" s="64" t="n">
        <x:f>-ROUND(Q436*'Drivers'!F436,3)</x:f>
        <x:v>-279.23</x:v>
      </x:c>
      <x:c r="S436" s="65" t="n">
        <x:f>R436/Q436</x:f>
        <x:v>-0.18742733943525458</x:v>
      </x:c>
      <x:c r="T436" s="64" t="n">
        <x:f>-ROUND(Q436*'Drivers'!G436,3)</x:f>
        <x:v>-31.364</x:v>
      </x:c>
      <x:c r="U436" s="65" t="n">
        <x:f>T436/Q436</x:f>
        <x:v>-0.02105243374296216</x:v>
      </x:c>
      <x:c r="V436" s="64" t="n">
        <x:f>-ROUND(Q436*'Drivers'!H436,3)</x:f>
        <x:v>-14.538</x:v>
      </x:c>
      <x:c r="W436" s="64" t="n">
        <x:f>-ROUND(Q436*'Drivers'!I436,3)</x:f>
        <x:v>-12.727</x:v>
      </x:c>
      <x:c r="X436" s="64" t="n">
        <x:f>-ROUND(Q436*'Drivers'!J436,3)</x:f>
        <x:v>-15.453</x:v>
      </x:c>
      <x:c r="Y436" s="64" t="n">
        <x:f>-ROUND(Q436*'Drivers'!K436,3)</x:f>
        <x:v>-16.75</x:v>
      </x:c>
      <x:c r="Z436" s="64" t="n">
        <x:f>-ROUND(Q436*'Drivers'!L436,3)</x:f>
        <x:v>-17.22</x:v>
      </x:c>
      <x:c r="AA436" s="64" t="n">
        <x:f>-ROUND(Q436*'Drivers'!M436,3)</x:f>
        <x:v>-12.986</x:v>
      </x:c>
      <x:c r="AB436" s="64" t="n">
        <x:f>-ROUND(Q436*'Drivers'!N436,3)</x:f>
        <x:v>-7.951</x:v>
      </x:c>
      <x:c r="AC436" s="64" t="n">
        <x:f>SUM(V436:AB436)</x:f>
        <x:v>-97.625</x:v>
      </x:c>
      <x:c r="AD436" s="65" t="n">
        <x:f>AC436/Q436</x:f>
        <x:v>-0.06552875411799136</x:v>
      </x:c>
      <x:c r="AE436" s="64" t="n">
        <x:f>-ROUND(Q436*'Drivers'!O436,3)</x:f>
        <x:v>-17.85</x:v>
      </x:c>
      <x:c r="AF436" s="65" t="n">
        <x:f>AE436/Q436</x:f>
        <x:v>-0.011981441854096244</x:v>
      </x:c>
      <x:c r="AG436" s="64" t="n">
        <x:f>-ROUND(Q436*'Drivers'!P436,3)</x:f>
        <x:v>-2.888</x:v>
      </x:c>
      <x:c r="AH436" s="64" t="n">
        <x:f>-ROUND(Q436*'Drivers'!Q436,3)</x:f>
        <x:v>-8.207</x:v>
      </x:c>
      <x:c r="AI436" s="64" t="n">
        <x:f>SUM(R436,T436,AC436,AE436,AG436,AH436)</x:f>
        <x:v>-437.164</x:v>
      </x:c>
      <x:c r="AJ436" s="65" t="n">
        <x:f>AI436/Q436</x:f>
        <x:v>-0.29343725751843863</x:v>
      </x:c>
      <x:c r="AK436" s="64" t="n">
        <x:f>Q436+AI436</x:f>
        <x:v>1052.64</x:v>
      </x:c>
      <x:c r="AL436" s="65" t="n">
        <x:f>AK436/Q436</x:f>
        <x:v>0.7065627424815614</x:v>
      </x:c>
      <x:c r="AM436" s="64" t="n">
        <x:f>AK436/L436</x:f>
        <x:v>350.88000000000005</x:v>
      </x:c>
      <x:c r="AN436" s="66" t="str">
        <x:f>IF(AM436&lt;=200,"≤200K",IF(AM436&lt;=350,"200–350K",IF(AM436&lt;=500,"350–500K",IF(AM436&lt;=700,"500–700K","&gt;700K"))))</x:f>
        <x:v>350–500K</x:v>
      </x:c>
      <x:c r="AO436" s="64" t="n">
        <x:f>-ROUND(Q436*'Drivers'!R436,3)</x:f>
        <x:v>-526.779</x:v>
      </x:c>
      <x:c r="AP436" s="64" t="n">
        <x:f>-ROUND(AK436*'Drivers'!S436,3)</x:f>
        <x:v>-16.143</x:v>
      </x:c>
      <x:c r="AQ436" s="64" t="n">
        <x:f>-ROUND(AK436*'Drivers'!T436,3)</x:f>
        <x:v>-5.557</x:v>
      </x:c>
      <x:c r="AR436" s="64" t="n">
        <x:f>-ROUND(AK436*'Drivers'!U436,3)</x:f>
        <x:v>-8.467</x:v>
      </x:c>
      <x:c r="AS436" s="64" t="n">
        <x:f>-ROUND(AK436*'Drivers'!V436,3)</x:f>
        <x:v>-39.506</x:v>
      </x:c>
      <x:c r="AT436" s="64" t="n">
        <x:f>SUM(AO436:AS436)</x:f>
        <x:v>-596.452</x:v>
      </x:c>
      <x:c r="AU436" s="65" t="n">
        <x:f>AT436/AK436</x:f>
        <x:v>-0.566624867001064</x:v>
      </x:c>
      <x:c r="AV436" s="64" t="n">
        <x:f>AK436+AT436</x:f>
        <x:v>456.1880000000001</x:v>
      </x:c>
      <x:c r="AW436" s="65" t="n">
        <x:f>AV436/AK436</x:f>
        <x:v>0.43337513299893604</x:v>
      </x:c>
      <x:c r="AX436" s="64" t="n">
        <x:f>-ROUND(AK436*'Drivers'!W436,3)</x:f>
        <x:v>-18.774</x:v>
      </x:c>
      <x:c r="AY436" s="64" t="n">
        <x:f>-ROUND(AK436*'Drivers'!X436,3)</x:f>
        <x:v>-26.495</x:v>
      </x:c>
      <x:c r="AZ436" s="64" t="n">
        <x:f>-ROUND(AK436*'Drivers'!Y436,3)</x:f>
        <x:v>-20.35</x:v>
      </x:c>
      <x:c r="BA436" s="64" t="n">
        <x:f>-ROUND(AK436*'Drivers'!Z436,3)</x:f>
        <x:v>-8.825</x:v>
      </x:c>
      <x:c r="BB436" s="64" t="n">
        <x:f>-ROUND(AK436*'Drivers'!AA436,3)</x:f>
        <x:v>-9.56</x:v>
      </x:c>
      <x:c r="BC436" s="64" t="n">
        <x:f>SUM(BA436,BB436)</x:f>
        <x:v>-18.384999999999998</x:v>
      </x:c>
      <x:c r="BD436" s="64" t="n">
        <x:f>-ROUND(AK436*'Drivers'!AB436,3)</x:f>
        <x:v>-8.269</x:v>
      </x:c>
      <x:c r="BE436" s="64" t="n">
        <x:f>SUM(AX436:BB436,BD436)</x:f>
        <x:v>-92.27300000000001</x:v>
      </x:c>
      <x:c r="BF436" s="67" t="n">
        <x:f>'Drivers'!AF436</x:f>
        <x:v>4</x:v>
      </x:c>
      <x:c r="BG436" s="64" t="n">
        <x:f>BJ436</x:f>
        <x:v>-28.93</x:v>
      </x:c>
      <x:c r="BH436" s="64" t="n">
        <x:f>BE436/BF436</x:f>
        <x:v>-23.068250000000003</x:v>
      </x:c>
      <x:c r="BI436" s="68" t="n">
        <x:f>BF436/L436</x:f>
        <x:v>1.3333333333333333</x:v>
      </x:c>
      <x:c r="BJ436" s="64" t="n">
        <x:f>-ROUND(AK436*'Drivers'!AC436,3)</x:f>
        <x:v>-28.93</x:v>
      </x:c>
      <x:c r="BK436" s="64" t="n">
        <x:f>-ROUND(AK436*'Drivers'!AD436,3)</x:f>
        <x:v>-101.499</x:v>
      </x:c>
      <x:c r="BL436" s="64" t="n">
        <x:f>SUM(AV436,BE436,BJ436,BK436)</x:f>
        <x:v>233.48600000000008</x:v>
      </x:c>
      <x:c r="BM436" s="65" t="n">
        <x:f>BL436/AK436</x:f>
        <x:v>0.2218099255205959</x:v>
      </x:c>
      <x:c r="BN436" s="64" t="n">
        <x:f>-ROUND(AK436*'Drivers'!AE436,3)</x:f>
        <x:v>-77.024</x:v>
      </x:c>
      <x:c r="BO436" s="64" t="n">
        <x:f>BL436+BN436</x:f>
        <x:v>156.46200000000007</x:v>
      </x:c>
      <x:c r="BP436" s="65" t="n">
        <x:f>BO436/AK436</x:f>
        <x:v>0.14863771089831287</x:v>
      </x:c>
    </x:row>
    <x:row r="437">
      <x:c r="A437" s="61" t="n">
        <x:v>2026</x:v>
      </x:c>
      <x:c r="B437" s="18" t="str">
        <x:v>S2</x:v>
      </x:c>
      <x:c r="C437" s="18" t="str">
        <x:v>2026 S2</x:v>
      </x:c>
      <x:c r="D437" s="18" t="str">
        <x:v>CNCT0109</x:v>
      </x:c>
      <x:c r="E437" s="18" t="str">
        <x:v>昆明恒隆广场</x:v>
      </x:c>
      <x:c r="F437" s="18" t="str">
        <x:v>昆明</x:v>
      </x:c>
      <x:c r="G437" s="18" t="str">
        <x:v>云南省</x:v>
      </x:c>
      <x:c r="H437" s="18" t="str">
        <x:v>西区</x:v>
      </x:c>
      <x:c r="I437" s="18" t="str">
        <x:v>Shopping Mall</x:v>
      </x:c>
      <x:c r="J437" s="18" t="str">
        <x:v>Prestige Shopping Center</x:v>
      </x:c>
      <x:c r="K437" s="18" t="str">
        <x:v>正常</x:v>
      </x:c>
      <x:c r="L437" s="62" t="n">
        <x:v>3</x:v>
      </x:c>
      <x:c r="M437" s="62" t="n">
        <x:v>31</x:v>
      </x:c>
      <x:c r="N437" s="63" t="n">
        <x:f>'Drivers'!C437</x:f>
        <x:v>1358</x:v>
      </x:c>
      <x:c r="O437" s="63" t="n">
        <x:f>'Drivers'!D437</x:f>
        <x:v>1178.162</x:v>
      </x:c>
      <x:c r="P437" s="64" t="n">
        <x:f>ROUND(N437*O437/1000,3)</x:f>
        <x:v>1599.944</x:v>
      </x:c>
      <x:c r="Q437" s="64" t="n">
        <x:f>ROUND(P437*'Drivers'!E437,3)</x:f>
        <x:v>1557.154</x:v>
      </x:c>
      <x:c r="R437" s="64" t="n">
        <x:f>-ROUND(Q437*'Drivers'!F437,3)</x:f>
        <x:v>-286.445</x:v>
      </x:c>
      <x:c r="S437" s="65" t="n">
        <x:f>R437/Q437</x:f>
        <x:v>-0.18395418821773568</x:v>
      </x:c>
      <x:c r="T437" s="64" t="n">
        <x:f>-ROUND(Q437*'Drivers'!G437,3)</x:f>
        <x:v>-31.18</x:v>
      </x:c>
      <x:c r="U437" s="65" t="n">
        <x:f>T437/Q437</x:f>
        <x:v>-0.020023709922075788</x:v>
      </x:c>
      <x:c r="V437" s="64" t="n">
        <x:f>-ROUND(Q437*'Drivers'!H437,3)</x:f>
        <x:v>-15.195</x:v>
      </x:c>
      <x:c r="W437" s="64" t="n">
        <x:f>-ROUND(Q437*'Drivers'!I437,3)</x:f>
        <x:v>-13.302</x:v>
      </x:c>
      <x:c r="X437" s="64" t="n">
        <x:f>-ROUND(Q437*'Drivers'!J437,3)</x:f>
        <x:v>-16.152</x:v>
      </x:c>
      <x:c r="Y437" s="64" t="n">
        <x:f>-ROUND(Q437*'Drivers'!K437,3)</x:f>
        <x:v>-17.508</x:v>
      </x:c>
      <x:c r="Z437" s="64" t="n">
        <x:f>-ROUND(Q437*'Drivers'!L437,3)</x:f>
        <x:v>-17.998</x:v>
      </x:c>
      <x:c r="AA437" s="64" t="n">
        <x:f>-ROUND(Q437*'Drivers'!M437,3)</x:f>
        <x:v>-13.573</x:v>
      </x:c>
      <x:c r="AB437" s="64" t="n">
        <x:f>-ROUND(Q437*'Drivers'!N437,3)</x:f>
        <x:v>-8.31</x:v>
      </x:c>
      <x:c r="AC437" s="64" t="n">
        <x:f>SUM(V437:AB437)</x:f>
        <x:v>-102.03800000000001</x:v>
      </x:c>
      <x:c r="AD437" s="65" t="n">
        <x:f>AC437/Q437</x:f>
        <x:v>-0.06552852190599004</x:v>
      </x:c>
      <x:c r="AE437" s="64" t="n">
        <x:f>-ROUND(Q437*'Drivers'!O437,3)</x:f>
        <x:v>-15.66</x:v>
      </x:c>
      <x:c r="AF437" s="65" t="n">
        <x:f>AE437/Q437</x:f>
        <x:v>-0.010056808767790469</x:v>
      </x:c>
      <x:c r="AG437" s="64" t="n">
        <x:f>-ROUND(Q437*'Drivers'!P437,3)</x:f>
        <x:v>-3.019</x:v>
      </x:c>
      <x:c r="AH437" s="64" t="n">
        <x:f>-ROUND(Q437*'Drivers'!Q437,3)</x:f>
        <x:v>-8.578</x:v>
      </x:c>
      <x:c r="AI437" s="64" t="n">
        <x:f>SUM(R437,T437,AC437,AE437,AG437,AH437)</x:f>
        <x:v>-446.92</x:v>
      </x:c>
      <x:c r="AJ437" s="65" t="n">
        <x:f>AI437/Q437</x:f>
        <x:v>-0.2870107901980151</x:v>
      </x:c>
      <x:c r="AK437" s="64" t="n">
        <x:f>Q437+AI437</x:f>
        <x:v>1110.234</x:v>
      </x:c>
      <x:c r="AL437" s="65" t="n">
        <x:f>AK437/Q437</x:f>
        <x:v>0.7129892098019849</x:v>
      </x:c>
      <x:c r="AM437" s="64" t="n">
        <x:f>AK437/L437</x:f>
        <x:v>370.078</x:v>
      </x:c>
      <x:c r="AN437" s="66" t="str">
        <x:f>IF(AM437&lt;=200,"≤200K",IF(AM437&lt;=350,"200–350K",IF(AM437&lt;=500,"350–500K",IF(AM437&lt;=700,"500–700K","&gt;700K"))))</x:f>
        <x:v>350–500K</x:v>
      </x:c>
      <x:c r="AO437" s="64" t="n">
        <x:f>-ROUND(Q437*'Drivers'!R437,3)</x:f>
        <x:v>-558.534</x:v>
      </x:c>
      <x:c r="AP437" s="64" t="n">
        <x:f>-ROUND(AK437*'Drivers'!S437,3)</x:f>
        <x:v>-17.026</x:v>
      </x:c>
      <x:c r="AQ437" s="64" t="n">
        <x:f>-ROUND(AK437*'Drivers'!T437,3)</x:f>
        <x:v>-5.861</x:v>
      </x:c>
      <x:c r="AR437" s="64" t="n">
        <x:f>-ROUND(AK437*'Drivers'!U437,3)</x:f>
        <x:v>-8.93</x:v>
      </x:c>
      <x:c r="AS437" s="64" t="n">
        <x:f>-ROUND(AK437*'Drivers'!V437,3)</x:f>
        <x:v>-41.668</x:v>
      </x:c>
      <x:c r="AT437" s="64" t="n">
        <x:f>SUM(AO437:AS437)</x:f>
        <x:v>-632.0189999999999</x:v>
      </x:c>
      <x:c r="AU437" s="65" t="n">
        <x:f>AT437/AK437</x:f>
        <x:v>-0.5692664789584898</x:v>
      </x:c>
      <x:c r="AV437" s="64" t="n">
        <x:f>AK437+AT437</x:f>
        <x:v>478.21500000000003</x:v>
      </x:c>
      <x:c r="AW437" s="65" t="n">
        <x:f>AV437/AK437</x:f>
        <x:v>0.43073352104151025</x:v>
      </x:c>
      <x:c r="AX437" s="64" t="n">
        <x:f>-ROUND(AK437*'Drivers'!W437,3)</x:f>
        <x:v>-17.058</x:v>
      </x:c>
      <x:c r="AY437" s="64" t="n">
        <x:f>-ROUND(AK437*'Drivers'!X437,3)</x:f>
        <x:v>-24.074</x:v>
      </x:c>
      <x:c r="AZ437" s="64" t="n">
        <x:f>-ROUND(AK437*'Drivers'!Y437,3)</x:f>
        <x:v>-18.49</x:v>
      </x:c>
      <x:c r="BA437" s="64" t="n">
        <x:f>-ROUND(AK437*'Drivers'!Z437,3)</x:f>
        <x:v>-8.018</x:v>
      </x:c>
      <x:c r="BB437" s="64" t="n">
        <x:f>-ROUND(AK437*'Drivers'!AA437,3)</x:f>
        <x:v>-8.686</x:v>
      </x:c>
      <x:c r="BC437" s="64" t="n">
        <x:f>SUM(BA437,BB437)</x:f>
        <x:v>-16.704</x:v>
      </x:c>
      <x:c r="BD437" s="64" t="n">
        <x:f>-ROUND(AK437*'Drivers'!AB437,3)</x:f>
        <x:v>-7.513</x:v>
      </x:c>
      <x:c r="BE437" s="64" t="n">
        <x:f>SUM(AX437:BB437,BD437)</x:f>
        <x:v>-83.839</x:v>
      </x:c>
      <x:c r="BF437" s="67" t="n">
        <x:f>'Drivers'!AF437</x:f>
        <x:v>4</x:v>
      </x:c>
      <x:c r="BG437" s="64" t="n">
        <x:f>BJ437</x:f>
        <x:v>-26.286</x:v>
      </x:c>
      <x:c r="BH437" s="64" t="n">
        <x:f>BE437/BF437</x:f>
        <x:v>-20.95975</x:v>
      </x:c>
      <x:c r="BI437" s="68" t="n">
        <x:f>BF437/L437</x:f>
        <x:v>1.3333333333333333</x:v>
      </x:c>
      <x:c r="BJ437" s="64" t="n">
        <x:f>-ROUND(AK437*'Drivers'!AC437,3)</x:f>
        <x:v>-26.286</x:v>
      </x:c>
      <x:c r="BK437" s="64" t="n">
        <x:f>-ROUND(AK437*'Drivers'!AD437,3)</x:f>
        <x:v>-107.052</x:v>
      </x:c>
      <x:c r="BL437" s="64" t="n">
        <x:f>SUM(AV437,BE437,BJ437,BK437)</x:f>
        <x:v>261.038</x:v>
      </x:c>
      <x:c r="BM437" s="65" t="n">
        <x:f>BL437/AK437</x:f>
        <x:v>0.23511980357294052</x:v>
      </x:c>
      <x:c r="BN437" s="64" t="n">
        <x:f>-ROUND(AK437*'Drivers'!AE437,3)</x:f>
        <x:v>-81.239</x:v>
      </x:c>
      <x:c r="BO437" s="64" t="n">
        <x:f>BL437+BN437</x:f>
        <x:v>179.799</x:v>
      </x:c>
      <x:c r="BP437" s="65" t="n">
        <x:f>BO437/AK437</x:f>
        <x:v>0.16194694091515843</x:v>
      </x:c>
    </x:row>
    <x:row r="438">
      <x:c r="A438" s="61" t="n">
        <x:v>2025</x:v>
      </x:c>
      <x:c r="B438" s="18" t="str">
        <x:v>S1</x:v>
      </x:c>
      <x:c r="C438" s="18" t="str">
        <x:v>2025 S1</x:v>
      </x:c>
      <x:c r="D438" s="18" t="str">
        <x:v>CNCT0110</x:v>
      </x:c>
      <x:c r="E438" s="18" t="str">
        <x:v>昆明金格中心</x:v>
      </x:c>
      <x:c r="F438" s="18" t="str">
        <x:v>昆明</x:v>
      </x:c>
      <x:c r="G438" s="18" t="str">
        <x:v>云南省</x:v>
      </x:c>
      <x:c r="H438" s="18" t="str">
        <x:v>西区</x:v>
      </x:c>
      <x:c r="I438" s="18" t="str">
        <x:v>Shopping Mall</x:v>
      </x:c>
      <x:c r="J438" s="18" t="str">
        <x:v>Core Shopping Center</x:v>
      </x:c>
      <x:c r="K438" s="18" t="str">
        <x:v>正常</x:v>
      </x:c>
      <x:c r="L438" s="62" t="n">
        <x:v>3</x:v>
      </x:c>
      <x:c r="M438" s="62" t="n">
        <x:v>31</x:v>
      </x:c>
      <x:c r="N438" s="63" t="n">
        <x:f>'Drivers'!C438</x:f>
        <x:v>1086</x:v>
      </x:c>
      <x:c r="O438" s="63" t="n">
        <x:f>'Drivers'!D438</x:f>
        <x:v>1117.366</x:v>
      </x:c>
      <x:c r="P438" s="64" t="n">
        <x:f>ROUND(N438*O438/1000,3)</x:f>
        <x:v>1213.459</x:v>
      </x:c>
      <x:c r="Q438" s="64" t="n">
        <x:f>ROUND(P438*'Drivers'!E438,3)</x:f>
        <x:v>1181.195</x:v>
      </x:c>
      <x:c r="R438" s="64" t="n">
        <x:f>-ROUND(Q438*'Drivers'!F438,3)</x:f>
        <x:v>-197.133</x:v>
      </x:c>
      <x:c r="S438" s="65" t="n">
        <x:f>R438/Q438</x:f>
        <x:v>-0.16689285003746207</x:v>
      </x:c>
      <x:c r="T438" s="64" t="n">
        <x:f>-ROUND(Q438*'Drivers'!G438,3)</x:f>
        <x:v>-24.219</x:v>
      </x:c>
      <x:c r="U438" s="65" t="n">
        <x:f>T438/Q438</x:f>
        <x:v>-0.0205038118176931</x:v>
      </x:c>
      <x:c r="V438" s="64" t="n">
        <x:f>-ROUND(Q438*'Drivers'!H438,3)</x:f>
        <x:v>-15.2</x:v>
      </x:c>
      <x:c r="W438" s="64" t="n">
        <x:f>-ROUND(Q438*'Drivers'!I438,3)</x:f>
        <x:v>-8.617</x:v>
      </x:c>
      <x:c r="X438" s="64" t="n">
        <x:f>-ROUND(Q438*'Drivers'!J438,3)</x:f>
        <x:v>-12.935</x:v>
      </x:c>
      <x:c r="Y438" s="64" t="n">
        <x:f>-ROUND(Q438*'Drivers'!K438,3)</x:f>
        <x:v>-12.543</x:v>
      </x:c>
      <x:c r="Z438" s="64" t="n">
        <x:f>-ROUND(Q438*'Drivers'!L438,3)</x:f>
        <x:v>-10.081</x:v>
      </x:c>
      <x:c r="AA438" s="64" t="n">
        <x:f>-ROUND(Q438*'Drivers'!M438,3)</x:f>
        <x:v>-6.97</x:v>
      </x:c>
      <x:c r="AB438" s="64" t="n">
        <x:f>-ROUND(Q438*'Drivers'!N438,3)</x:f>
        <x:v>-7.198</x:v>
      </x:c>
      <x:c r="AC438" s="64" t="n">
        <x:f>SUM(V438:AB438)</x:f>
        <x:v>-73.54400000000001</x:v>
      </x:c>
      <x:c r="AD438" s="65" t="n">
        <x:f>AC438/Q438</x:f>
        <x:v>-0.06226236988812179</x:v>
      </x:c>
      <x:c r="AE438" s="64" t="n">
        <x:f>-ROUND(Q438*'Drivers'!O438,3)</x:f>
        <x:v>-9.322</x:v>
      </x:c>
      <x:c r="AF438" s="65" t="n">
        <x:f>AE438/Q438</x:f>
        <x:v>-0.0078920076701984</x:v>
      </x:c>
      <x:c r="AG438" s="64" t="n">
        <x:f>-ROUND(Q438*'Drivers'!P438,3)</x:f>
        <x:v>-2.747</x:v>
      </x:c>
      <x:c r="AH438" s="64" t="n">
        <x:f>-ROUND(Q438*'Drivers'!Q438,3)</x:f>
        <x:v>-6.466</x:v>
      </x:c>
      <x:c r="AI438" s="64" t="n">
        <x:f>SUM(R438,T438,AC438,AE438,AG438,AH438)</x:f>
        <x:v>-313.43100000000004</x:v>
      </x:c>
      <x:c r="AJ438" s="65" t="n">
        <x:f>AI438/Q438</x:f>
        <x:v>-0.2653507676547903</x:v>
      </x:c>
      <x:c r="AK438" s="64" t="n">
        <x:f>Q438+AI438</x:f>
        <x:v>867.7639999999999</x:v>
      </x:c>
      <x:c r="AL438" s="65" t="n">
        <x:f>AK438/Q438</x:f>
        <x:v>0.7346492323452096</x:v>
      </x:c>
      <x:c r="AM438" s="64" t="n">
        <x:f>AK438/L438</x:f>
        <x:v>289.25466666666665</x:v>
      </x:c>
      <x:c r="AN438" s="66" t="str">
        <x:f>IF(AM438&lt;=200,"≤200K",IF(AM438&lt;=350,"200–350K",IF(AM438&lt;=500,"350–500K",IF(AM438&lt;=700,"500–700K","&gt;700K"))))</x:f>
        <x:v>200–350K</x:v>
      </x:c>
      <x:c r="AO438" s="64" t="n">
        <x:f>-ROUND(Q438*'Drivers'!R438,3)</x:f>
        <x:v>-473.192</x:v>
      </x:c>
      <x:c r="AP438" s="64" t="n">
        <x:f>-ROUND(AK438*'Drivers'!S438,3)</x:f>
        <x:v>-11.066</x:v>
      </x:c>
      <x:c r="AQ438" s="64" t="n">
        <x:f>-ROUND(AK438*'Drivers'!T438,3)</x:f>
        <x:v>-3.488</x:v>
      </x:c>
      <x:c r="AR438" s="64" t="n">
        <x:f>-ROUND(AK438*'Drivers'!U438,3)</x:f>
        <x:v>-8.485</x:v>
      </x:c>
      <x:c r="AS438" s="64" t="n">
        <x:f>-ROUND(AK438*'Drivers'!V438,3)</x:f>
        <x:v>-27.669</x:v>
      </x:c>
      <x:c r="AT438" s="64" t="n">
        <x:f>SUM(AO438:AS438)</x:f>
        <x:v>-523.9</x:v>
      </x:c>
      <x:c r="AU438" s="65" t="n">
        <x:f>AT438/AK438</x:f>
        <x:v>-0.6037355778760124</x:v>
      </x:c>
      <x:c r="AV438" s="64" t="n">
        <x:f>AK438+AT438</x:f>
        <x:v>343.8639999999999</x:v>
      </x:c>
      <x:c r="AW438" s="65" t="n">
        <x:f>AV438/AK438</x:f>
        <x:v>0.3962644221239876</x:v>
      </x:c>
      <x:c r="AX438" s="64" t="n">
        <x:f>-ROUND(AK438*'Drivers'!W438,3)</x:f>
        <x:v>-9.839</x:v>
      </x:c>
      <x:c r="AY438" s="64" t="n">
        <x:f>-ROUND(AK438*'Drivers'!X438,3)</x:f>
        <x:v>-15.635</x:v>
      </x:c>
      <x:c r="AZ438" s="64" t="n">
        <x:f>-ROUND(AK438*'Drivers'!Y438,3)</x:f>
        <x:v>-17.708</x:v>
      </x:c>
      <x:c r="BA438" s="64" t="n">
        <x:f>-ROUND(AK438*'Drivers'!Z438,3)</x:f>
        <x:v>-5.893</x:v>
      </x:c>
      <x:c r="BB438" s="64" t="n">
        <x:f>-ROUND(AK438*'Drivers'!AA438,3)</x:f>
        <x:v>-6.362</x:v>
      </x:c>
      <x:c r="BC438" s="64" t="n">
        <x:f>SUM(BA438,BB438)</x:f>
        <x:v>-12.254999999999999</x:v>
      </x:c>
      <x:c r="BD438" s="64" t="n">
        <x:f>-ROUND(AK438*'Drivers'!AB438,3)</x:f>
        <x:v>-5.845</x:v>
      </x:c>
      <x:c r="BE438" s="64" t="n">
        <x:f>SUM(AX438:BB438,BD438)</x:f>
        <x:v>-61.282000000000004</x:v>
      </x:c>
      <x:c r="BF438" s="67" t="n">
        <x:f>'Drivers'!AF438</x:f>
        <x:v>4</x:v>
      </x:c>
      <x:c r="BG438" s="64" t="n">
        <x:f>BJ438</x:f>
        <x:v>-21.055</x:v>
      </x:c>
      <x:c r="BH438" s="64" t="n">
        <x:f>BE438/BF438</x:f>
        <x:v>-15.320500000000001</x:v>
      </x:c>
      <x:c r="BI438" s="68" t="n">
        <x:f>BF438/L438</x:f>
        <x:v>1.3333333333333333</x:v>
      </x:c>
      <x:c r="BJ438" s="64" t="n">
        <x:f>-ROUND(AK438*'Drivers'!AC438,3)</x:f>
        <x:v>-21.055</x:v>
      </x:c>
      <x:c r="BK438" s="64" t="n">
        <x:f>-ROUND(AK438*'Drivers'!AD438,3)</x:f>
        <x:v>-81.736</x:v>
      </x:c>
      <x:c r="BL438" s="64" t="n">
        <x:f>SUM(AV438,BE438,BJ438,BK438)</x:f>
        <x:v>179.79099999999994</x:v>
      </x:c>
      <x:c r="BM438" s="65" t="n">
        <x:f>BL438/AK438</x:f>
        <x:v>0.20718882092366123</x:v>
      </x:c>
      <x:c r="BN438" s="64" t="n">
        <x:f>-ROUND(AK438*'Drivers'!AE438,3)</x:f>
        <x:v>-72.568</x:v>
      </x:c>
      <x:c r="BO438" s="64" t="n">
        <x:f>BL438+BN438</x:f>
        <x:v>107.22299999999994</x:v>
      </x:c>
      <x:c r="BP438" s="65" t="n">
        <x:f>BO438/AK438</x:f>
        <x:v>0.12356239714945533</x:v>
      </x:c>
    </x:row>
    <x:row r="439">
      <x:c r="A439" s="61" t="n">
        <x:v>2025</x:v>
      </x:c>
      <x:c r="B439" s="18" t="str">
        <x:v>S2</x:v>
      </x:c>
      <x:c r="C439" s="18" t="str">
        <x:v>2025 S2</x:v>
      </x:c>
      <x:c r="D439" s="18" t="str">
        <x:v>CNCT0110</x:v>
      </x:c>
      <x:c r="E439" s="18" t="str">
        <x:v>昆明金格中心</x:v>
      </x:c>
      <x:c r="F439" s="18" t="str">
        <x:v>昆明</x:v>
      </x:c>
      <x:c r="G439" s="18" t="str">
        <x:v>云南省</x:v>
      </x:c>
      <x:c r="H439" s="18" t="str">
        <x:v>西区</x:v>
      </x:c>
      <x:c r="I439" s="18" t="str">
        <x:v>Shopping Mall</x:v>
      </x:c>
      <x:c r="J439" s="18" t="str">
        <x:v>Core Shopping Center</x:v>
      </x:c>
      <x:c r="K439" s="18" t="str">
        <x:v>正常</x:v>
      </x:c>
      <x:c r="L439" s="62" t="n">
        <x:v>3</x:v>
      </x:c>
      <x:c r="M439" s="62" t="n">
        <x:v>31</x:v>
      </x:c>
      <x:c r="N439" s="63" t="n">
        <x:f>'Drivers'!C439</x:f>
        <x:v>1175</x:v>
      </x:c>
      <x:c r="O439" s="63" t="n">
        <x:f>'Drivers'!D439</x:f>
        <x:v>1130.775</x:v>
      </x:c>
      <x:c r="P439" s="64" t="n">
        <x:f>ROUND(N439*O439/1000,3)</x:f>
        <x:v>1328.661</x:v>
      </x:c>
      <x:c r="Q439" s="64" t="n">
        <x:f>ROUND(P439*'Drivers'!E439,3)</x:f>
        <x:v>1304.509</x:v>
      </x:c>
      <x:c r="R439" s="64" t="n">
        <x:f>-ROUND(Q439*'Drivers'!F439,3)</x:f>
        <x:v>-217.713</x:v>
      </x:c>
      <x:c r="S439" s="65" t="n">
        <x:f>R439/Q439</x:f>
        <x:v>-0.16689267762813442</x:v>
      </x:c>
      <x:c r="T439" s="64" t="n">
        <x:f>-ROUND(Q439*'Drivers'!G439,3)</x:f>
        <x:v>-26.748</x:v>
      </x:c>
      <x:c r="U439" s="65" t="n">
        <x:f>T439/Q439</x:f>
        <x:v>-0.020504266356153926</x:v>
      </x:c>
      <x:c r="V439" s="64" t="n">
        <x:f>-ROUND(Q439*'Drivers'!H439,3)</x:f>
        <x:v>-16.787</x:v>
      </x:c>
      <x:c r="W439" s="64" t="n">
        <x:f>-ROUND(Q439*'Drivers'!I439,3)</x:f>
        <x:v>-9.516</x:v>
      </x:c>
      <x:c r="X439" s="64" t="n">
        <x:f>-ROUND(Q439*'Drivers'!J439,3)</x:f>
        <x:v>-14.285</x:v>
      </x:c>
      <x:c r="Y439" s="64" t="n">
        <x:f>-ROUND(Q439*'Drivers'!K439,3)</x:f>
        <x:v>-13.852</x:v>
      </x:c>
      <x:c r="Z439" s="64" t="n">
        <x:f>-ROUND(Q439*'Drivers'!L439,3)</x:f>
        <x:v>-11.134</x:v>
      </x:c>
      <x:c r="AA439" s="64" t="n">
        <x:f>-ROUND(Q439*'Drivers'!M439,3)</x:f>
        <x:v>-7.697</x:v>
      </x:c>
      <x:c r="AB439" s="64" t="n">
        <x:f>-ROUND(Q439*'Drivers'!N439,3)</x:f>
        <x:v>-7.95</x:v>
      </x:c>
      <x:c r="AC439" s="64" t="n">
        <x:f>SUM(V439:AB439)</x:f>
        <x:v>-81.221</x:v>
      </x:c>
      <x:c r="AD439" s="65" t="n">
        <x:f>AC439/Q439</x:f>
        <x:v>-0.06226173985767826</x:v>
      </x:c>
      <x:c r="AE439" s="64" t="n">
        <x:f>-ROUND(Q439*'Drivers'!O439,3)</x:f>
        <x:v>-10.295</x:v>
      </x:c>
      <x:c r="AF439" s="65" t="n">
        <x:f>AE439/Q439</x:f>
        <x:v>-0.007891858162726358</x:v>
      </x:c>
      <x:c r="AG439" s="64" t="n">
        <x:f>-ROUND(Q439*'Drivers'!P439,3)</x:f>
        <x:v>-3.034</x:v>
      </x:c>
      <x:c r="AH439" s="64" t="n">
        <x:f>-ROUND(Q439*'Drivers'!Q439,3)</x:f>
        <x:v>-7.141</x:v>
      </x:c>
      <x:c r="AI439" s="64" t="n">
        <x:f>SUM(R439,T439,AC439,AE439,AG439,AH439)</x:f>
        <x:v>-346.15200000000004</x:v>
      </x:c>
      <x:c r="AJ439" s="65" t="n">
        <x:f>AI439/Q439</x:f>
        <x:v>-0.2653504115341481</x:v>
      </x:c>
      <x:c r="AK439" s="64" t="n">
        <x:f>Q439+AI439</x:f>
        <x:v>958.357</x:v>
      </x:c>
      <x:c r="AL439" s="65" t="n">
        <x:f>AK439/Q439</x:f>
        <x:v>0.7346495884658518</x:v>
      </x:c>
      <x:c r="AM439" s="64" t="n">
        <x:f>AK439/L439</x:f>
        <x:v>319.45233333333334</x:v>
      </x:c>
      <x:c r="AN439" s="66" t="str">
        <x:f>IF(AM439&lt;=200,"≤200K",IF(AM439&lt;=350,"200–350K",IF(AM439&lt;=500,"350–500K",IF(AM439&lt;=700,"500–700K","&gt;700K"))))</x:f>
        <x:v>200–350K</x:v>
      </x:c>
      <x:c r="AO439" s="64" t="n">
        <x:f>-ROUND(Q439*'Drivers'!R439,3)</x:f>
        <x:v>-495.985</x:v>
      </x:c>
      <x:c r="AP439" s="64" t="n">
        <x:f>-ROUND(AK439*'Drivers'!S439,3)</x:f>
        <x:v>-12.222</x:v>
      </x:c>
      <x:c r="AQ439" s="64" t="n">
        <x:f>-ROUND(AK439*'Drivers'!T439,3)</x:f>
        <x:v>-3.852</x:v>
      </x:c>
      <x:c r="AR439" s="64" t="n">
        <x:f>-ROUND(AK439*'Drivers'!U439,3)</x:f>
        <x:v>-9.371</x:v>
      </x:c>
      <x:c r="AS439" s="64" t="n">
        <x:f>-ROUND(AK439*'Drivers'!V439,3)</x:f>
        <x:v>-30.557</x:v>
      </x:c>
      <x:c r="AT439" s="64" t="n">
        <x:f>SUM(AO439:AS439)</x:f>
        <x:v>-551.987</x:v>
      </x:c>
      <x:c r="AU439" s="65" t="n">
        <x:f>AT439/AK439</x:f>
        <x:v>-0.5759722107732296</x:v>
      </x:c>
      <x:c r="AV439" s="64" t="n">
        <x:f>AK439+AT439</x:f>
        <x:v>406.37</x:v>
      </x:c>
      <x:c r="AW439" s="65" t="n">
        <x:f>AV439/AK439</x:f>
        <x:v>0.4240277892267704</x:v>
      </x:c>
      <x:c r="AX439" s="64" t="n">
        <x:f>-ROUND(AK439*'Drivers'!W439,3)</x:f>
        <x:v>-10.866</x:v>
      </x:c>
      <x:c r="AY439" s="64" t="n">
        <x:f>-ROUND(AK439*'Drivers'!X439,3)</x:f>
        <x:v>-17.267</x:v>
      </x:c>
      <x:c r="AZ439" s="64" t="n">
        <x:f>-ROUND(AK439*'Drivers'!Y439,3)</x:f>
        <x:v>-19.556</x:v>
      </x:c>
      <x:c r="BA439" s="64" t="n">
        <x:f>-ROUND(AK439*'Drivers'!Z439,3)</x:f>
        <x:v>-6.508</x:v>
      </x:c>
      <x:c r="BB439" s="64" t="n">
        <x:f>-ROUND(AK439*'Drivers'!AA439,3)</x:f>
        <x:v>-7.026</x:v>
      </x:c>
      <x:c r="BC439" s="64" t="n">
        <x:f>SUM(BA439,BB439)</x:f>
        <x:v>-13.533999999999999</x:v>
      </x:c>
      <x:c r="BD439" s="64" t="n">
        <x:f>-ROUND(AK439*'Drivers'!AB439,3)</x:f>
        <x:v>-6.456</x:v>
      </x:c>
      <x:c r="BE439" s="64" t="n">
        <x:f>SUM(AX439:BB439,BD439)</x:f>
        <x:v>-67.679</x:v>
      </x:c>
      <x:c r="BF439" s="67" t="n">
        <x:f>'Drivers'!AF439</x:f>
        <x:v>4</x:v>
      </x:c>
      <x:c r="BG439" s="64" t="n">
        <x:f>BJ439</x:f>
        <x:v>-23.253</x:v>
      </x:c>
      <x:c r="BH439" s="64" t="n">
        <x:f>BE439/BF439</x:f>
        <x:v>-16.91975</x:v>
      </x:c>
      <x:c r="BI439" s="68" t="n">
        <x:f>BF439/L439</x:f>
        <x:v>1.3333333333333333</x:v>
      </x:c>
      <x:c r="BJ439" s="64" t="n">
        <x:f>-ROUND(AK439*'Drivers'!AC439,3)</x:f>
        <x:v>-23.253</x:v>
      </x:c>
      <x:c r="BK439" s="64" t="n">
        <x:f>-ROUND(AK439*'Drivers'!AD439,3)</x:f>
        <x:v>-90.269</x:v>
      </x:c>
      <x:c r="BL439" s="64" t="n">
        <x:f>SUM(AV439,BE439,BJ439,BK439)</x:f>
        <x:v>225.16900000000004</x:v>
      </x:c>
      <x:c r="BM439" s="65" t="n">
        <x:f>BL439/AK439</x:f>
        <x:v>0.2349531542003659</x:v>
      </x:c>
      <x:c r="BN439" s="64" t="n">
        <x:f>-ROUND(AK439*'Drivers'!AE439,3)</x:f>
        <x:v>-80.144</x:v>
      </x:c>
      <x:c r="BO439" s="64" t="n">
        <x:f>BL439+BN439</x:f>
        <x:v>145.02500000000003</x:v>
      </x:c>
      <x:c r="BP439" s="65" t="n">
        <x:f>BO439/AK439</x:f>
        <x:v>0.15132669767111842</x:v>
      </x:c>
    </x:row>
    <x:row r="440">
      <x:c r="A440" s="61" t="n">
        <x:v>2026</x:v>
      </x:c>
      <x:c r="B440" s="18" t="str">
        <x:v>S1</x:v>
      </x:c>
      <x:c r="C440" s="18" t="str">
        <x:v>2026 S1</x:v>
      </x:c>
      <x:c r="D440" s="18" t="str">
        <x:v>CNCT0110</x:v>
      </x:c>
      <x:c r="E440" s="18" t="str">
        <x:v>昆明金格中心</x:v>
      </x:c>
      <x:c r="F440" s="18" t="str">
        <x:v>昆明</x:v>
      </x:c>
      <x:c r="G440" s="18" t="str">
        <x:v>云南省</x:v>
      </x:c>
      <x:c r="H440" s="18" t="str">
        <x:v>西区</x:v>
      </x:c>
      <x:c r="I440" s="18" t="str">
        <x:v>Shopping Mall</x:v>
      </x:c>
      <x:c r="J440" s="18" t="str">
        <x:v>Core Shopping Center</x:v>
      </x:c>
      <x:c r="K440" s="18" t="str">
        <x:v>正常</x:v>
      </x:c>
      <x:c r="L440" s="62" t="n">
        <x:v>3</x:v>
      </x:c>
      <x:c r="M440" s="62" t="n">
        <x:v>31</x:v>
      </x:c>
      <x:c r="N440" s="63" t="n">
        <x:f>'Drivers'!C440</x:f>
        <x:v>1172</x:v>
      </x:c>
      <x:c r="O440" s="63" t="n">
        <x:f>'Drivers'!D440</x:f>
        <x:v>1162.415</x:v>
      </x:c>
      <x:c r="P440" s="64" t="n">
        <x:f>ROUND(N440*O440/1000,3)</x:f>
        <x:v>1362.35</x:v>
      </x:c>
      <x:c r="Q440" s="64" t="n">
        <x:f>ROUND(P440*'Drivers'!E440,3)</x:f>
        <x:v>1327.997</x:v>
      </x:c>
      <x:c r="R440" s="64" t="n">
        <x:f>-ROUND(Q440*'Drivers'!F440,3)</x:f>
        <x:v>-229.254</x:v>
      </x:c>
      <x:c r="S440" s="65" t="n">
        <x:f>R440/Q440</x:f>
        <x:v>-0.17263141407698962</x:v>
      </x:c>
      <x:c r="T440" s="64" t="n">
        <x:f>-ROUND(Q440*'Drivers'!G440,3)</x:f>
        <x:v>-26.092</x:v>
      </x:c>
      <x:c r="U440" s="65" t="n">
        <x:f>T440/Q440</x:f>
        <x:v>-0.019647634746162827</x:v>
      </x:c>
      <x:c r="V440" s="64" t="n">
        <x:f>-ROUND(Q440*'Drivers'!H440,3)</x:f>
        <x:v>-17.089</x:v>
      </x:c>
      <x:c r="W440" s="64" t="n">
        <x:f>-ROUND(Q440*'Drivers'!I440,3)</x:f>
        <x:v>-9.688</x:v>
      </x:c>
      <x:c r="X440" s="64" t="n">
        <x:f>-ROUND(Q440*'Drivers'!J440,3)</x:f>
        <x:v>-14.543</x:v>
      </x:c>
      <x:c r="Y440" s="64" t="n">
        <x:f>-ROUND(Q440*'Drivers'!K440,3)</x:f>
        <x:v>-14.102</x:v>
      </x:c>
      <x:c r="Z440" s="64" t="n">
        <x:f>-ROUND(Q440*'Drivers'!L440,3)</x:f>
        <x:v>-11.334</x:v>
      </x:c>
      <x:c r="AA440" s="64" t="n">
        <x:f>-ROUND(Q440*'Drivers'!M440,3)</x:f>
        <x:v>-7.836</x:v>
      </x:c>
      <x:c r="AB440" s="64" t="n">
        <x:f>-ROUND(Q440*'Drivers'!N440,3)</x:f>
        <x:v>-8.093</x:v>
      </x:c>
      <x:c r="AC440" s="64" t="n">
        <x:f>SUM(V440:AB440)</x:f>
        <x:v>-82.685</x:v>
      </x:c>
      <x:c r="AD440" s="65" t="n">
        <x:f>AC440/Q440</x:f>
        <x:v>-0.062262941859055405</x:v>
      </x:c>
      <x:c r="AE440" s="64" t="n">
        <x:f>-ROUND(Q440*'Drivers'!O440,3)</x:f>
        <x:v>-8.884</x:v>
      </x:c>
      <x:c r="AF440" s="65" t="n">
        <x:f>AE440/Q440</x:f>
        <x:v>-0.006689774148586179</x:v>
      </x:c>
      <x:c r="AG440" s="64" t="n">
        <x:f>-ROUND(Q440*'Drivers'!P440,3)</x:f>
        <x:v>-3.089</x:v>
      </x:c>
      <x:c r="AH440" s="64" t="n">
        <x:f>-ROUND(Q440*'Drivers'!Q440,3)</x:f>
        <x:v>-7.27</x:v>
      </x:c>
      <x:c r="AI440" s="64" t="n">
        <x:f>SUM(R440,T440,AC440,AE440,AG440,AH440)</x:f>
        <x:v>-357.274</x:v>
      </x:c>
      <x:c r="AJ440" s="65" t="n">
        <x:f>AI440/Q440</x:f>
        <x:v>-0.26903223425956535</x:v>
      </x:c>
      <x:c r="AK440" s="64" t="n">
        <x:f>Q440+AI440</x:f>
        <x:v>970.7230000000001</x:v>
      </x:c>
      <x:c r="AL440" s="65" t="n">
        <x:f>AK440/Q440</x:f>
        <x:v>0.7309677657404346</x:v>
      </x:c>
      <x:c r="AM440" s="64" t="n">
        <x:f>AK440/L440</x:f>
        <x:v>323.57433333333336</x:v>
      </x:c>
      <x:c r="AN440" s="66" t="str">
        <x:f>IF(AM440&lt;=200,"≤200K",IF(AM440&lt;=350,"200–350K",IF(AM440&lt;=500,"350–500K",IF(AM440&lt;=700,"500–700K","&gt;700K"))))</x:f>
        <x:v>200–350K</x:v>
      </x:c>
      <x:c r="AO440" s="64" t="n">
        <x:f>-ROUND(Q440*'Drivers'!R440,3)</x:f>
        <x:v>-526.823</x:v>
      </x:c>
      <x:c r="AP440" s="64" t="n">
        <x:f>-ROUND(AK440*'Drivers'!S440,3)</x:f>
        <x:v>-12.379</x:v>
      </x:c>
      <x:c r="AQ440" s="64" t="n">
        <x:f>-ROUND(AK440*'Drivers'!T440,3)</x:f>
        <x:v>-3.901</x:v>
      </x:c>
      <x:c r="AR440" s="64" t="n">
        <x:f>-ROUND(AK440*'Drivers'!U440,3)</x:f>
        <x:v>-9.491</x:v>
      </x:c>
      <x:c r="AS440" s="64" t="n">
        <x:f>-ROUND(AK440*'Drivers'!V440,3)</x:f>
        <x:v>-30.951</x:v>
      </x:c>
      <x:c r="AT440" s="64" t="n">
        <x:f>SUM(AO440:AS440)</x:f>
        <x:v>-583.545</x:v>
      </x:c>
      <x:c r="AU440" s="65" t="n">
        <x:f>AT440/AK440</x:f>
        <x:v>-0.6011447137854979</x:v>
      </x:c>
      <x:c r="AV440" s="64" t="n">
        <x:f>AK440+AT440</x:f>
        <x:v>387.1780000000001</x:v>
      </x:c>
      <x:c r="AW440" s="65" t="n">
        <x:f>AV440/AK440</x:f>
        <x:v>0.39885528621450206</x:v>
      </x:c>
      <x:c r="AX440" s="64" t="n">
        <x:f>-ROUND(AK440*'Drivers'!W440,3)</x:f>
        <x:v>-13.543</x:v>
      </x:c>
      <x:c r="AY440" s="64" t="n">
        <x:f>-ROUND(AK440*'Drivers'!X440,3)</x:f>
        <x:v>-21.521</x:v>
      </x:c>
      <x:c r="AZ440" s="64" t="n">
        <x:f>-ROUND(AK440*'Drivers'!Y440,3)</x:f>
        <x:v>-24.373</x:v>
      </x:c>
      <x:c r="BA440" s="64" t="n">
        <x:f>-ROUND(AK440*'Drivers'!Z440,3)</x:f>
        <x:v>-8.111</x:v>
      </x:c>
      <x:c r="BB440" s="64" t="n">
        <x:f>-ROUND(AK440*'Drivers'!AA440,3)</x:f>
        <x:v>-8.757</x:v>
      </x:c>
      <x:c r="BC440" s="64" t="n">
        <x:f>SUM(BA440,BB440)</x:f>
        <x:v>-16.868000000000002</x:v>
      </x:c>
      <x:c r="BD440" s="64" t="n">
        <x:f>-ROUND(AK440*'Drivers'!AB440,3)</x:f>
        <x:v>-8.046</x:v>
      </x:c>
      <x:c r="BE440" s="64" t="n">
        <x:f>SUM(AX440:BB440,BD440)</x:f>
        <x:v>-84.351</x:v>
      </x:c>
      <x:c r="BF440" s="67" t="n">
        <x:f>'Drivers'!AF440</x:f>
        <x:v>4</x:v>
      </x:c>
      <x:c r="BG440" s="64" t="n">
        <x:f>BJ440</x:f>
        <x:v>-28.98</x:v>
      </x:c>
      <x:c r="BH440" s="64" t="n">
        <x:f>BE440/BF440</x:f>
        <x:v>-21.08775</x:v>
      </x:c>
      <x:c r="BI440" s="68" t="n">
        <x:f>BF440/L440</x:f>
        <x:v>1.3333333333333333</x:v>
      </x:c>
      <x:c r="BJ440" s="64" t="n">
        <x:f>-ROUND(AK440*'Drivers'!AC440,3)</x:f>
        <x:v>-28.98</x:v>
      </x:c>
      <x:c r="BK440" s="64" t="n">
        <x:f>-ROUND(AK440*'Drivers'!AD440,3)</x:f>
        <x:v>-91.434</x:v>
      </x:c>
      <x:c r="BL440" s="64" t="n">
        <x:f>SUM(AV440,BE440,BJ440,BK440)</x:f>
        <x:v>182.4130000000001</x:v>
      </x:c>
      <x:c r="BM440" s="65" t="n">
        <x:f>BL440/AK440</x:f>
        <x:v>0.1879145750126453</x:v>
      </x:c>
      <x:c r="BN440" s="64" t="n">
        <x:f>-ROUND(AK440*'Drivers'!AE440,3)</x:f>
        <x:v>-81.178</x:v>
      </x:c>
      <x:c r="BO440" s="64" t="n">
        <x:f>BL440+BN440</x:f>
        <x:v>101.2350000000001</x:v>
      </x:c>
      <x:c r="BP440" s="65" t="n">
        <x:f>BO440/AK440</x:f>
        <x:v>0.10428824700764285</x:v>
      </x:c>
    </x:row>
    <x:row r="441">
      <x:c r="A441" s="61" t="n">
        <x:v>2026</x:v>
      </x:c>
      <x:c r="B441" s="18" t="str">
        <x:v>S2</x:v>
      </x:c>
      <x:c r="C441" s="18" t="str">
        <x:v>2026 S2</x:v>
      </x:c>
      <x:c r="D441" s="18" t="str">
        <x:v>CNCT0110</x:v>
      </x:c>
      <x:c r="E441" s="18" t="str">
        <x:v>昆明金格中心</x:v>
      </x:c>
      <x:c r="F441" s="18" t="str">
        <x:v>昆明</x:v>
      </x:c>
      <x:c r="G441" s="18" t="str">
        <x:v>云南省</x:v>
      </x:c>
      <x:c r="H441" s="18" t="str">
        <x:v>西区</x:v>
      </x:c>
      <x:c r="I441" s="18" t="str">
        <x:v>Shopping Mall</x:v>
      </x:c>
      <x:c r="J441" s="18" t="str">
        <x:v>Core Shopping Center</x:v>
      </x:c>
      <x:c r="K441" s="18" t="str">
        <x:v>正常</x:v>
      </x:c>
      <x:c r="L441" s="62" t="n">
        <x:v>3</x:v>
      </x:c>
      <x:c r="M441" s="62" t="n">
        <x:v>31</x:v>
      </x:c>
      <x:c r="N441" s="63" t="n">
        <x:f>'Drivers'!C441</x:f>
        <x:v>1256</x:v>
      </x:c>
      <x:c r="O441" s="63" t="n">
        <x:f>'Drivers'!D441</x:f>
        <x:v>1163.868</x:v>
      </x:c>
      <x:c r="P441" s="64" t="n">
        <x:f>ROUND(N441*O441/1000,3)</x:f>
        <x:v>1461.818</x:v>
      </x:c>
      <x:c r="Q441" s="64" t="n">
        <x:f>ROUND(P441*'Drivers'!E441,3)</x:f>
        <x:v>1435.245</x:v>
      </x:c>
      <x:c r="R441" s="64" t="n">
        <x:f>-ROUND(Q441*'Drivers'!F441,3)</x:f>
        <x:v>-241.131</x:v>
      </x:c>
      <x:c r="S441" s="65" t="n">
        <x:f>R441/Q441</x:f>
        <x:v>-0.1680068559723253</x:v>
      </x:c>
      <x:c r="T441" s="64" t="n">
        <x:f>-ROUND(Q441*'Drivers'!G441,3)</x:f>
        <x:v>-30.72</x:v>
      </x:c>
      <x:c r="U441" s="65" t="n">
        <x:f>T441/Q441</x:f>
        <x:v>-0.021404011161857386</x:v>
      </x:c>
      <x:c r="V441" s="64" t="n">
        <x:f>-ROUND(Q441*'Drivers'!H441,3)</x:f>
        <x:v>-18.469</x:v>
      </x:c>
      <x:c r="W441" s="64" t="n">
        <x:f>-ROUND(Q441*'Drivers'!I441,3)</x:f>
        <x:v>-10.47</x:v>
      </x:c>
      <x:c r="X441" s="64" t="n">
        <x:f>-ROUND(Q441*'Drivers'!J441,3)</x:f>
        <x:v>-15.717</x:v>
      </x:c>
      <x:c r="Y441" s="64" t="n">
        <x:f>-ROUND(Q441*'Drivers'!K441,3)</x:f>
        <x:v>-15.241</x:v>
      </x:c>
      <x:c r="Z441" s="64" t="n">
        <x:f>-ROUND(Q441*'Drivers'!L441,3)</x:f>
        <x:v>-12.25</x:v>
      </x:c>
      <x:c r="AA441" s="64" t="n">
        <x:f>-ROUND(Q441*'Drivers'!M441,3)</x:f>
        <x:v>-8.469</x:v>
      </x:c>
      <x:c r="AB441" s="64" t="n">
        <x:f>-ROUND(Q441*'Drivers'!N441,3)</x:f>
        <x:v>-8.746</x:v>
      </x:c>
      <x:c r="AC441" s="64" t="n">
        <x:f>SUM(V441:AB441)</x:f>
        <x:v>-89.36199999999998</x:v>
      </x:c>
      <x:c r="AD441" s="65" t="n">
        <x:f>AC441/Q441</x:f>
        <x:v>-0.062262540541858695</x:v>
      </x:c>
      <x:c r="AE441" s="64" t="n">
        <x:f>-ROUND(Q441*'Drivers'!O441,3)</x:f>
        <x:v>-11.327</x:v>
      </x:c>
      <x:c r="AF441" s="65" t="n">
        <x:f>AE441/Q441</x:f>
        <x:v>-0.007892032370779902</x:v>
      </x:c>
      <x:c r="AG441" s="64" t="n">
        <x:f>-ROUND(Q441*'Drivers'!P441,3)</x:f>
        <x:v>-3.338</x:v>
      </x:c>
      <x:c r="AH441" s="64" t="n">
        <x:f>-ROUND(Q441*'Drivers'!Q441,3)</x:f>
        <x:v>-7.857</x:v>
      </x:c>
      <x:c r="AI441" s="64" t="n">
        <x:f>SUM(R441,T441,AC441,AE441,AG441,AH441)</x:f>
        <x:v>-383.735</x:v>
      </x:c>
      <x:c r="AJ441" s="65" t="n">
        <x:f>AI441/Q441</x:f>
        <x:v>-0.2673655020571401</x:v>
      </x:c>
      <x:c r="AK441" s="64" t="n">
        <x:f>Q441+AI441</x:f>
        <x:v>1051.5099999999998</x:v>
      </x:c>
      <x:c r="AL441" s="65" t="n">
        <x:f>AK441/Q441</x:f>
        <x:v>0.7326344979428598</x:v>
      </x:c>
      <x:c r="AM441" s="64" t="n">
        <x:f>AK441/L441</x:f>
        <x:v>350.5033333333333</x:v>
      </x:c>
      <x:c r="AN441" s="66" t="str">
        <x:f>IF(AM441&lt;=200,"≤200K",IF(AM441&lt;=350,"200–350K",IF(AM441&lt;=500,"350–500K",IF(AM441&lt;=700,"500–700K","&gt;700K"))))</x:f>
        <x:v>350–500K</x:v>
      </x:c>
      <x:c r="AO441" s="64" t="n">
        <x:f>-ROUND(Q441*'Drivers'!R441,3)</x:f>
        <x:v>-536.211</x:v>
      </x:c>
      <x:c r="AP441" s="64" t="n">
        <x:f>-ROUND(AK441*'Drivers'!S441,3)</x:f>
        <x:v>-13.41</x:v>
      </x:c>
      <x:c r="AQ441" s="64" t="n">
        <x:f>-ROUND(AK441*'Drivers'!T441,3)</x:f>
        <x:v>-4.226</x:v>
      </x:c>
      <x:c r="AR441" s="64" t="n">
        <x:f>-ROUND(AK441*'Drivers'!U441,3)</x:f>
        <x:v>-10.281</x:v>
      </x:c>
      <x:c r="AS441" s="64" t="n">
        <x:f>-ROUND(AK441*'Drivers'!V441,3)</x:f>
        <x:v>-33.527</x:v>
      </x:c>
      <x:c r="AT441" s="64" t="n">
        <x:f>SUM(AO441:AS441)</x:f>
        <x:v>-597.655</x:v>
      </x:c>
      <x:c r="AU441" s="65" t="n">
        <x:f>AT441/AK441</x:f>
        <x:v>-0.568377856606214</x:v>
      </x:c>
      <x:c r="AV441" s="64" t="n">
        <x:f>AK441+AT441</x:f>
        <x:v>453.8549999999998</x:v>
      </x:c>
      <x:c r="AW441" s="65" t="n">
        <x:f>AV441/AK441</x:f>
        <x:v>0.43162214339378596</x:v>
      </x:c>
      <x:c r="AX441" s="64" t="n">
        <x:f>-ROUND(AK441*'Drivers'!W441,3)</x:f>
        <x:v>-12.638</x:v>
      </x:c>
      <x:c r="AY441" s="64" t="n">
        <x:f>-ROUND(AK441*'Drivers'!X441,3)</x:f>
        <x:v>-20.082</x:v>
      </x:c>
      <x:c r="AZ441" s="64" t="n">
        <x:f>-ROUND(AK441*'Drivers'!Y441,3)</x:f>
        <x:v>-22.745</x:v>
      </x:c>
      <x:c r="BA441" s="64" t="n">
        <x:f>-ROUND(AK441*'Drivers'!Z441,3)</x:f>
        <x:v>-7.569</x:v>
      </x:c>
      <x:c r="BB441" s="64" t="n">
        <x:f>-ROUND(AK441*'Drivers'!AA441,3)</x:f>
        <x:v>-8.172</x:v>
      </x:c>
      <x:c r="BC441" s="64" t="n">
        <x:f>SUM(BA441,BB441)</x:f>
        <x:v>-15.741</x:v>
      </x:c>
      <x:c r="BD441" s="64" t="n">
        <x:f>-ROUND(AK441*'Drivers'!AB441,3)</x:f>
        <x:v>-7.508</x:v>
      </x:c>
      <x:c r="BE441" s="64" t="n">
        <x:f>SUM(AX441:BB441,BD441)</x:f>
        <x:v>-78.714</x:v>
      </x:c>
      <x:c r="BF441" s="67" t="n">
        <x:f>'Drivers'!AF441</x:f>
        <x:v>4</x:v>
      </x:c>
      <x:c r="BG441" s="64" t="n">
        <x:f>BJ441</x:f>
        <x:v>-27.044</x:v>
      </x:c>
      <x:c r="BH441" s="64" t="n">
        <x:f>BE441/BF441</x:f>
        <x:v>-19.6785</x:v>
      </x:c>
      <x:c r="BI441" s="68" t="n">
        <x:f>BF441/L441</x:f>
        <x:v>1.3333333333333333</x:v>
      </x:c>
      <x:c r="BJ441" s="64" t="n">
        <x:f>-ROUND(AK441*'Drivers'!AC441,3)</x:f>
        <x:v>-27.044</x:v>
      </x:c>
      <x:c r="BK441" s="64" t="n">
        <x:f>-ROUND(AK441*'Drivers'!AD441,3)</x:f>
        <x:v>-99.044</x:v>
      </x:c>
      <x:c r="BL441" s="64" t="n">
        <x:f>SUM(AV441,BE441,BJ441,BK441)</x:f>
        <x:v>249.05299999999983</x:v>
      </x:c>
      <x:c r="BM441" s="65" t="n">
        <x:f>BL441/AK441</x:f>
        <x:v>0.23685271656950468</x:v>
      </x:c>
      <x:c r="BN441" s="64" t="n">
        <x:f>-ROUND(AK441*'Drivers'!AE441,3)</x:f>
        <x:v>-87.934</x:v>
      </x:c>
      <x:c r="BO441" s="64" t="n">
        <x:f>BL441+BN441</x:f>
        <x:v>161.11899999999983</x:v>
      </x:c>
      <x:c r="BP441" s="65" t="n">
        <x:f>BO441/AK441</x:f>
        <x:v>0.15322631263611367</x:v>
      </x:c>
    </x:row>
    <x:row r="442">
      <x:c r="A442" s="61" t="n">
        <x:v>2025</x:v>
      </x:c>
      <x:c r="B442" s="18" t="str">
        <x:v>S1</x:v>
      </x:c>
      <x:c r="C442" s="18" t="str">
        <x:v>2025 S1</x:v>
      </x:c>
      <x:c r="D442" s="18" t="str">
        <x:v>CNCT0111</x:v>
      </x:c>
      <x:c r="E442" s="18" t="str">
        <x:v>昆明顺城购物中心</x:v>
      </x:c>
      <x:c r="F442" s="18" t="str">
        <x:v>昆明</x:v>
      </x:c>
      <x:c r="G442" s="18" t="str">
        <x:v>云南省</x:v>
      </x:c>
      <x:c r="H442" s="18" t="str">
        <x:v>西区</x:v>
      </x:c>
      <x:c r="I442" s="18" t="str">
        <x:v>Shopping Mall</x:v>
      </x:c>
      <x:c r="J442" s="18" t="str">
        <x:v>Core Shopping Center</x:v>
      </x:c>
      <x:c r="K442" s="18" t="str">
        <x:v>正常</x:v>
      </x:c>
      <x:c r="L442" s="62" t="n">
        <x:v>5</x:v>
      </x:c>
      <x:c r="M442" s="62" t="n">
        <x:v>31</x:v>
      </x:c>
      <x:c r="N442" s="63" t="n">
        <x:f>'Drivers'!C442</x:f>
        <x:v>1652</x:v>
      </x:c>
      <x:c r="O442" s="63" t="n">
        <x:f>'Drivers'!D442</x:f>
        <x:v>1020.939</x:v>
      </x:c>
      <x:c r="P442" s="64" t="n">
        <x:f>ROUND(N442*O442/1000,3)</x:f>
        <x:v>1686.591</x:v>
      </x:c>
      <x:c r="Q442" s="64" t="n">
        <x:f>ROUND(P442*'Drivers'!E442,3)</x:f>
        <x:v>1652.39</x:v>
      </x:c>
      <x:c r="R442" s="64" t="n">
        <x:f>-ROUND(Q442*'Drivers'!F442,3)</x:f>
        <x:v>-298.94</x:v>
      </x:c>
      <x:c r="S442" s="65" t="n">
        <x:f>R442/Q442</x:f>
        <x:v>-0.18091370681255634</x:v>
      </x:c>
      <x:c r="T442" s="64" t="n">
        <x:f>-ROUND(Q442*'Drivers'!G442,3)</x:f>
        <x:v>-33.243</x:v>
      </x:c>
      <x:c r="U442" s="65" t="n">
        <x:f>T442/Q442</x:f>
        <x:v>-0.02011813191800967</x:v>
      </x:c>
      <x:c r="V442" s="64" t="n">
        <x:f>-ROUND(Q442*'Drivers'!H442,3)</x:f>
        <x:v>-17.859</x:v>
      </x:c>
      <x:c r="W442" s="64" t="n">
        <x:f>-ROUND(Q442*'Drivers'!I442,3)</x:f>
        <x:v>-15.696</x:v>
      </x:c>
      <x:c r="X442" s="64" t="n">
        <x:f>-ROUND(Q442*'Drivers'!J442,3)</x:f>
        <x:v>-22.722</x:v>
      </x:c>
      <x:c r="Y442" s="64" t="n">
        <x:f>-ROUND(Q442*'Drivers'!K442,3)</x:f>
        <x:v>-18.762</x:v>
      </x:c>
      <x:c r="Z442" s="64" t="n">
        <x:f>-ROUND(Q442*'Drivers'!L442,3)</x:f>
        <x:v>-20.673</x:v>
      </x:c>
      <x:c r="AA442" s="64" t="n">
        <x:f>-ROUND(Q442*'Drivers'!M442,3)</x:f>
        <x:v>-10.317</x:v>
      </x:c>
      <x:c r="AB442" s="64" t="n">
        <x:f>-ROUND(Q442*'Drivers'!N442,3)</x:f>
        <x:v>-8.654</x:v>
      </x:c>
      <x:c r="AC442" s="64" t="n">
        <x:f>SUM(V442:AB442)</x:f>
        <x:v>-114.68299999999999</x:v>
      </x:c>
      <x:c r="AD442" s="65" t="n">
        <x:f>AC442/Q442</x:f>
        <x:v>-0.0694043173827002</x:v>
      </x:c>
      <x:c r="AE442" s="64" t="n">
        <x:f>-ROUND(Q442*'Drivers'!O442,3)</x:f>
        <x:v>-12.599</x:v>
      </x:c>
      <x:c r="AF442" s="65" t="n">
        <x:f>AE442/Q442</x:f>
        <x:v>-0.007624713294077064</x:v>
      </x:c>
      <x:c r="AG442" s="64" t="n">
        <x:f>-ROUND(Q442*'Drivers'!P442,3)</x:f>
        <x:v>-3.112</x:v>
      </x:c>
      <x:c r="AH442" s="64" t="n">
        <x:f>-ROUND(Q442*'Drivers'!Q442,3)</x:f>
        <x:v>-6.276</x:v>
      </x:c>
      <x:c r="AI442" s="64" t="n">
        <x:f>SUM(R442,T442,AC442,AE442,AG442,AH442)</x:f>
        <x:v>-468.853</x:v>
      </x:c>
      <x:c r="AJ442" s="65" t="n">
        <x:f>AI442/Q442</x:f>
        <x:v>-0.28374233685752154</x:v>
      </x:c>
      <x:c r="AK442" s="64" t="n">
        <x:f>Q442+AI442</x:f>
        <x:v>1183.537</x:v>
      </x:c>
      <x:c r="AL442" s="65" t="n">
        <x:f>AK442/Q442</x:f>
        <x:v>0.7162576631424784</x:v>
      </x:c>
      <x:c r="AM442" s="64" t="n">
        <x:f>AK442/L442</x:f>
        <x:v>236.7074</x:v>
      </x:c>
      <x:c r="AN442" s="66" t="str">
        <x:f>IF(AM442&lt;=200,"≤200K",IF(AM442&lt;=350,"200–350K",IF(AM442&lt;=500,"350–500K",IF(AM442&lt;=700,"500–700K","&gt;700K"))))</x:f>
        <x:v>200–350K</x:v>
      </x:c>
      <x:c r="AO442" s="64" t="n">
        <x:f>-ROUND(Q442*'Drivers'!R442,3)</x:f>
        <x:v>-611.355</x:v>
      </x:c>
      <x:c r="AP442" s="64" t="n">
        <x:f>-ROUND(AK442*'Drivers'!S442,3)</x:f>
        <x:v>-13.303</x:v>
      </x:c>
      <x:c r="AQ442" s="64" t="n">
        <x:f>-ROUND(AK442*'Drivers'!T442,3)</x:f>
        <x:v>-4.046</x:v>
      </x:c>
      <x:c r="AR442" s="64" t="n">
        <x:f>-ROUND(AK442*'Drivers'!U442,3)</x:f>
        <x:v>-7.215</x:v>
      </x:c>
      <x:c r="AS442" s="64" t="n">
        <x:f>-ROUND(AK442*'Drivers'!V442,3)</x:f>
        <x:v>-35.428</x:v>
      </x:c>
      <x:c r="AT442" s="64" t="n">
        <x:f>SUM(AO442:AS442)</x:f>
        <x:v>-671.3470000000001</x:v>
      </x:c>
      <x:c r="AU442" s="65" t="n">
        <x:f>AT442/AK442</x:f>
        <x:v>-0.5672378641309904</x:v>
      </x:c>
      <x:c r="AV442" s="64" t="n">
        <x:f>AK442+AT442</x:f>
        <x:v>512.1899999999999</x:v>
      </x:c>
      <x:c r="AW442" s="65" t="n">
        <x:f>AV442/AK442</x:f>
        <x:v>0.4327621358690095</x:v>
      </x:c>
      <x:c r="AX442" s="64" t="n">
        <x:f>-ROUND(AK442*'Drivers'!W442,3)</x:f>
        <x:v>-14.445</x:v>
      </x:c>
      <x:c r="AY442" s="64" t="n">
        <x:f>-ROUND(AK442*'Drivers'!X442,3)</x:f>
        <x:v>-30.715</x:v>
      </x:c>
      <x:c r="AZ442" s="64" t="n">
        <x:f>-ROUND(AK442*'Drivers'!Y442,3)</x:f>
        <x:v>-19.441</x:v>
      </x:c>
      <x:c r="BA442" s="64" t="n">
        <x:f>-ROUND(AK442*'Drivers'!Z442,3)</x:f>
        <x:v>-7.628</x:v>
      </x:c>
      <x:c r="BB442" s="64" t="n">
        <x:f>-ROUND(AK442*'Drivers'!AA442,3)</x:f>
        <x:v>-10.623</x:v>
      </x:c>
      <x:c r="BC442" s="64" t="n">
        <x:f>SUM(BA442,BB442)</x:f>
        <x:v>-18.250999999999998</x:v>
      </x:c>
      <x:c r="BD442" s="64" t="n">
        <x:f>-ROUND(AK442*'Drivers'!AB442,3)</x:f>
        <x:v>-5.898</x:v>
      </x:c>
      <x:c r="BE442" s="64" t="n">
        <x:f>SUM(AX442:BB442,BD442)</x:f>
        <x:v>-88.75</x:v>
      </x:c>
      <x:c r="BF442" s="67" t="n">
        <x:f>'Drivers'!AF442</x:f>
        <x:v>11</x:v>
      </x:c>
      <x:c r="BG442" s="64" t="n">
        <x:f>BJ442</x:f>
        <x:v>-27.501</x:v>
      </x:c>
      <x:c r="BH442" s="64" t="n">
        <x:f>BE442/BF442</x:f>
        <x:v>-8.068181818181818</x:v>
      </x:c>
      <x:c r="BI442" s="68" t="n">
        <x:f>BF442/L442</x:f>
        <x:v>2.2</x:v>
      </x:c>
      <x:c r="BJ442" s="64" t="n">
        <x:f>-ROUND(AK442*'Drivers'!AC442,3)</x:f>
        <x:v>-27.501</x:v>
      </x:c>
      <x:c r="BK442" s="64" t="n">
        <x:f>-ROUND(AK442*'Drivers'!AD442,3)</x:f>
        <x:v>-99.936</x:v>
      </x:c>
      <x:c r="BL442" s="64" t="n">
        <x:f>SUM(AV442,BE442,BJ442,BK442)</x:f>
        <x:v>296.00299999999993</x:v>
      </x:c>
      <x:c r="BM442" s="65" t="n">
        <x:f>BL442/AK442</x:f>
        <x:v>0.2501003348437775</x:v>
      </x:c>
      <x:c r="BN442" s="64" t="n">
        <x:f>-ROUND(AK442*'Drivers'!AE442,3)</x:f>
        <x:v>-102.404</x:v>
      </x:c>
      <x:c r="BO442" s="64" t="n">
        <x:f>BL442+BN442</x:f>
        <x:v>193.59899999999993</x:v>
      </x:c>
      <x:c r="BP442" s="65" t="n">
        <x:f>BO442/AK442</x:f>
        <x:v>0.16357663511998352</x:v>
      </x:c>
    </x:row>
    <x:row r="443">
      <x:c r="A443" s="61" t="n">
        <x:v>2025</x:v>
      </x:c>
      <x:c r="B443" s="18" t="str">
        <x:v>S2</x:v>
      </x:c>
      <x:c r="C443" s="18" t="str">
        <x:v>2025 S2</x:v>
      </x:c>
      <x:c r="D443" s="18" t="str">
        <x:v>CNCT0111</x:v>
      </x:c>
      <x:c r="E443" s="18" t="str">
        <x:v>昆明顺城购物中心</x:v>
      </x:c>
      <x:c r="F443" s="18" t="str">
        <x:v>昆明</x:v>
      </x:c>
      <x:c r="G443" s="18" t="str">
        <x:v>云南省</x:v>
      </x:c>
      <x:c r="H443" s="18" t="str">
        <x:v>西区</x:v>
      </x:c>
      <x:c r="I443" s="18" t="str">
        <x:v>Shopping Mall</x:v>
      </x:c>
      <x:c r="J443" s="18" t="str">
        <x:v>Core Shopping Center</x:v>
      </x:c>
      <x:c r="K443" s="18" t="str">
        <x:v>正常</x:v>
      </x:c>
      <x:c r="L443" s="62" t="n">
        <x:v>5</x:v>
      </x:c>
      <x:c r="M443" s="62" t="n">
        <x:v>31</x:v>
      </x:c>
      <x:c r="N443" s="63" t="n">
        <x:f>'Drivers'!C443</x:f>
        <x:v>1775</x:v>
      </x:c>
      <x:c r="O443" s="63" t="n">
        <x:f>'Drivers'!D443</x:f>
        <x:v>1033.19</x:v>
      </x:c>
      <x:c r="P443" s="64" t="n">
        <x:f>ROUND(N443*O443/1000,3)</x:f>
        <x:v>1833.912</x:v>
      </x:c>
      <x:c r="Q443" s="64" t="n">
        <x:f>ROUND(P443*'Drivers'!E443,3)</x:f>
        <x:v>1775.406</x:v>
      </x:c>
      <x:c r="R443" s="64" t="n">
        <x:f>-ROUND(Q443*'Drivers'!F443,3)</x:f>
        <x:v>-321.196</x:v>
      </x:c>
      <x:c r="S443" s="65" t="n">
        <x:f>R443/Q443</x:f>
        <x:v>-0.18091411203972502</x:v>
      </x:c>
      <x:c r="T443" s="64" t="n">
        <x:f>-ROUND(Q443*'Drivers'!G443,3)</x:f>
        <x:v>-35.718</x:v>
      </x:c>
      <x:c r="U443" s="65" t="n">
        <x:f>T443/Q443</x:f>
        <x:v>-0.02011821521387221</x:v>
      </x:c>
      <x:c r="V443" s="64" t="n">
        <x:f>-ROUND(Q443*'Drivers'!H443,3)</x:f>
        <x:v>-19.189</x:v>
      </x:c>
      <x:c r="W443" s="64" t="n">
        <x:f>-ROUND(Q443*'Drivers'!I443,3)</x:f>
        <x:v>-16.864</x:v>
      </x:c>
      <x:c r="X443" s="64" t="n">
        <x:f>-ROUND(Q443*'Drivers'!J443,3)</x:f>
        <x:v>-24.414</x:v>
      </x:c>
      <x:c r="Y443" s="64" t="n">
        <x:f>-ROUND(Q443*'Drivers'!K443,3)</x:f>
        <x:v>-20.159</x:v>
      </x:c>
      <x:c r="Z443" s="64" t="n">
        <x:f>-ROUND(Q443*'Drivers'!L443,3)</x:f>
        <x:v>-22.213</x:v>
      </x:c>
      <x:c r="AA443" s="64" t="n">
        <x:f>-ROUND(Q443*'Drivers'!M443,3)</x:f>
        <x:v>-11.085</x:v>
      </x:c>
      <x:c r="AB443" s="64" t="n">
        <x:f>-ROUND(Q443*'Drivers'!N443,3)</x:f>
        <x:v>-9.298</x:v>
      </x:c>
      <x:c r="AC443" s="64" t="n">
        <x:f>SUM(V443:AB443)</x:f>
        <x:v>-123.22200000000001</x:v>
      </x:c>
      <x:c r="AD443" s="65" t="n">
        <x:f>AC443/Q443</x:f>
        <x:v>-0.06940496990547515</x:v>
      </x:c>
      <x:c r="AE443" s="64" t="n">
        <x:f>-ROUND(Q443*'Drivers'!O443,3)</x:f>
        <x:v>-13.537</x:v>
      </x:c>
      <x:c r="AF443" s="65" t="n">
        <x:f>AE443/Q443</x:f>
        <x:v>-0.007624734849380931</x:v>
      </x:c>
      <x:c r="AG443" s="64" t="n">
        <x:f>-ROUND(Q443*'Drivers'!P443,3)</x:f>
        <x:v>-3.343</x:v>
      </x:c>
      <x:c r="AH443" s="64" t="n">
        <x:f>-ROUND(Q443*'Drivers'!Q443,3)</x:f>
        <x:v>-6.743</x:v>
      </x:c>
      <x:c r="AI443" s="64" t="n">
        <x:f>SUM(R443,T443,AC443,AE443,AG443,AH443)</x:f>
        <x:v>-503.75900000000007</x:v>
      </x:c>
      <x:c r="AJ443" s="65" t="n">
        <x:f>AI443/Q443</x:f>
        <x:v>-0.28374298611134585</x:v>
      </x:c>
      <x:c r="AK443" s="64" t="n">
        <x:f>Q443+AI443</x:f>
        <x:v>1271.647</x:v>
      </x:c>
      <x:c r="AL443" s="65" t="n">
        <x:f>AK443/Q443</x:f>
        <x:v>0.7162570138886541</x:v>
      </x:c>
      <x:c r="AM443" s="64" t="n">
        <x:f>AK443/L443</x:f>
        <x:v>254.3294</x:v>
      </x:c>
      <x:c r="AN443" s="66" t="str">
        <x:f>IF(AM443&lt;=200,"≤200K",IF(AM443&lt;=350,"200–350K",IF(AM443&lt;=500,"350–500K",IF(AM443&lt;=700,"500–700K","&gt;700K"))))</x:f>
        <x:v>200–350K</x:v>
      </x:c>
      <x:c r="AO443" s="64" t="n">
        <x:f>-ROUND(Q443*'Drivers'!R443,3)</x:f>
        <x:v>-662.341</x:v>
      </x:c>
      <x:c r="AP443" s="64" t="n">
        <x:f>-ROUND(AK443*'Drivers'!S443,3)</x:f>
        <x:v>-14.293</x:v>
      </x:c>
      <x:c r="AQ443" s="64" t="n">
        <x:f>-ROUND(AK443*'Drivers'!T443,3)</x:f>
        <x:v>-4.347</x:v>
      </x:c>
      <x:c r="AR443" s="64" t="n">
        <x:f>-ROUND(AK443*'Drivers'!U443,3)</x:f>
        <x:v>-7.752</x:v>
      </x:c>
      <x:c r="AS443" s="64" t="n">
        <x:f>-ROUND(AK443*'Drivers'!V443,3)</x:f>
        <x:v>-38.066</x:v>
      </x:c>
      <x:c r="AT443" s="64" t="n">
        <x:f>SUM(AO443:AS443)</x:f>
        <x:v>-726.799</x:v>
      </x:c>
      <x:c r="AU443" s="65" t="n">
        <x:f>AT443/AK443</x:f>
        <x:v>-0.5715414733805844</x:v>
      </x:c>
      <x:c r="AV443" s="64" t="n">
        <x:f>AK443+AT443</x:f>
        <x:v>544.848</x:v>
      </x:c>
      <x:c r="AW443" s="65" t="n">
        <x:f>AV443/AK443</x:f>
        <x:v>0.4284585266194156</x:v>
      </x:c>
      <x:c r="AX443" s="64" t="n">
        <x:f>-ROUND(AK443*'Drivers'!W443,3)</x:f>
        <x:v>-15.52</x:v>
      </x:c>
      <x:c r="AY443" s="64" t="n">
        <x:f>-ROUND(AK443*'Drivers'!X443,3)</x:f>
        <x:v>-33.002</x:v>
      </x:c>
      <x:c r="AZ443" s="64" t="n">
        <x:f>-ROUND(AK443*'Drivers'!Y443,3)</x:f>
        <x:v>-20.888</x:v>
      </x:c>
      <x:c r="BA443" s="64" t="n">
        <x:f>-ROUND(AK443*'Drivers'!Z443,3)</x:f>
        <x:v>-8.196</x:v>
      </x:c>
      <x:c r="BB443" s="64" t="n">
        <x:f>-ROUND(AK443*'Drivers'!AA443,3)</x:f>
        <x:v>-11.414</x:v>
      </x:c>
      <x:c r="BC443" s="64" t="n">
        <x:f>SUM(BA443,BB443)</x:f>
        <x:v>-19.61</x:v>
      </x:c>
      <x:c r="BD443" s="64" t="n">
        <x:f>-ROUND(AK443*'Drivers'!AB443,3)</x:f>
        <x:v>-6.337</x:v>
      </x:c>
      <x:c r="BE443" s="64" t="n">
        <x:f>SUM(AX443:BB443,BD443)</x:f>
        <x:v>-95.35700000000001</x:v>
      </x:c>
      <x:c r="BF443" s="67" t="n">
        <x:f>'Drivers'!AF443</x:f>
        <x:v>11</x:v>
      </x:c>
      <x:c r="BG443" s="64" t="n">
        <x:f>BJ443</x:f>
        <x:v>-29.548</x:v>
      </x:c>
      <x:c r="BH443" s="64" t="n">
        <x:f>BE443/BF443</x:f>
        <x:v>-8.668818181818184</x:v>
      </x:c>
      <x:c r="BI443" s="68" t="n">
        <x:f>BF443/L443</x:f>
        <x:v>2.2</x:v>
      </x:c>
      <x:c r="BJ443" s="64" t="n">
        <x:f>-ROUND(AK443*'Drivers'!AC443,3)</x:f>
        <x:v>-29.548</x:v>
      </x:c>
      <x:c r="BK443" s="64" t="n">
        <x:f>-ROUND(AK443*'Drivers'!AD443,3)</x:f>
        <x:v>-107.376</x:v>
      </x:c>
      <x:c r="BL443" s="64" t="n">
        <x:f>SUM(AV443,BE443,BJ443,BK443)</x:f>
        <x:v>312.5669999999999</x:v>
      </x:c>
      <x:c r="BM443" s="65" t="n">
        <x:f>BL443/AK443</x:f>
        <x:v>0.24579698611328452</x:v>
      </x:c>
      <x:c r="BN443" s="64" t="n">
        <x:f>-ROUND(AK443*'Drivers'!AE443,3)</x:f>
        <x:v>-110.028</x:v>
      </x:c>
      <x:c r="BO443" s="64" t="n">
        <x:f>BL443+BN443</x:f>
        <x:v>202.53899999999987</x:v>
      </x:c>
      <x:c r="BP443" s="65" t="n">
        <x:f>BO443/AK443</x:f>
        <x:v>0.15927297433957685</x:v>
      </x:c>
    </x:row>
    <x:row r="444">
      <x:c r="A444" s="61" t="n">
        <x:v>2026</x:v>
      </x:c>
      <x:c r="B444" s="18" t="str">
        <x:v>S1</x:v>
      </x:c>
      <x:c r="C444" s="18" t="str">
        <x:v>2026 S1</x:v>
      </x:c>
      <x:c r="D444" s="18" t="str">
        <x:v>CNCT0111</x:v>
      </x:c>
      <x:c r="E444" s="18" t="str">
        <x:v>昆明顺城购物中心</x:v>
      </x:c>
      <x:c r="F444" s="18" t="str">
        <x:v>昆明</x:v>
      </x:c>
      <x:c r="G444" s="18" t="str">
        <x:v>云南省</x:v>
      </x:c>
      <x:c r="H444" s="18" t="str">
        <x:v>西区</x:v>
      </x:c>
      <x:c r="I444" s="18" t="str">
        <x:v>Shopping Mall</x:v>
      </x:c>
      <x:c r="J444" s="18" t="str">
        <x:v>Core Shopping Center</x:v>
      </x:c>
      <x:c r="K444" s="18" t="str">
        <x:v>正常</x:v>
      </x:c>
      <x:c r="L444" s="62" t="n">
        <x:v>5</x:v>
      </x:c>
      <x:c r="M444" s="62" t="n">
        <x:v>31</x:v>
      </x:c>
      <x:c r="N444" s="63" t="n">
        <x:f>'Drivers'!C444</x:f>
        <x:v>1572</x:v>
      </x:c>
      <x:c r="O444" s="63" t="n">
        <x:f>'Drivers'!D444</x:f>
        <x:v>1074.998</x:v>
      </x:c>
      <x:c r="P444" s="64" t="n">
        <x:f>ROUND(N444*O444/1000,3)</x:f>
        <x:v>1689.897</x:v>
      </x:c>
      <x:c r="Q444" s="64" t="n">
        <x:f>ROUND(P444*'Drivers'!E444,3)</x:f>
        <x:v>1657.677</x:v>
      </x:c>
      <x:c r="R444" s="64" t="n">
        <x:f>-ROUND(Q444*'Drivers'!F444,3)</x:f>
        <x:v>-296.426</x:v>
      </x:c>
      <x:c r="S444" s="65" t="n">
        <x:f>R444/Q444</x:f>
        <x:v>-0.17882011996305675</x:v>
      </x:c>
      <x:c r="T444" s="64" t="n">
        <x:f>-ROUND(Q444*'Drivers'!G444,3)</x:f>
        <x:v>-31.685</x:v>
      </x:c>
      <x:c r="U444" s="65" t="n">
        <x:f>T444/Q444</x:f>
        <x:v>-0.019114097619741362</x:v>
      </x:c>
      <x:c r="V444" s="64" t="n">
        <x:f>-ROUND(Q444*'Drivers'!H444,3)</x:f>
        <x:v>-17.916</x:v>
      </x:c>
      <x:c r="W444" s="64" t="n">
        <x:f>-ROUND(Q444*'Drivers'!I444,3)</x:f>
        <x:v>-15.746</x:v>
      </x:c>
      <x:c r="X444" s="64" t="n">
        <x:f>-ROUND(Q444*'Drivers'!J444,3)</x:f>
        <x:v>-22.795</x:v>
      </x:c>
      <x:c r="Y444" s="64" t="n">
        <x:f>-ROUND(Q444*'Drivers'!K444,3)</x:f>
        <x:v>-18.822</x:v>
      </x:c>
      <x:c r="Z444" s="64" t="n">
        <x:f>-ROUND(Q444*'Drivers'!L444,3)</x:f>
        <x:v>-20.74</x:v>
      </x:c>
      <x:c r="AA444" s="64" t="n">
        <x:f>-ROUND(Q444*'Drivers'!M444,3)</x:f>
        <x:v>-10.35</x:v>
      </x:c>
      <x:c r="AB444" s="64" t="n">
        <x:f>-ROUND(Q444*'Drivers'!N444,3)</x:f>
        <x:v>-8.682</x:v>
      </x:c>
      <x:c r="AC444" s="64" t="n">
        <x:f>SUM(V444:AB444)</x:f>
        <x:v>-115.05099999999999</x:v>
      </x:c>
      <x:c r="AD444" s="65" t="n">
        <x:f>AC444/Q444</x:f>
        <x:v>-0.06940495645412224</x:v>
      </x:c>
      <x:c r="AE444" s="64" t="n">
        <x:f>-ROUND(Q444*'Drivers'!O444,3)</x:f>
        <x:v>-14.771</x:v>
      </x:c>
      <x:c r="AF444" s="65" t="n">
        <x:f>AE444/Q444</x:f>
        <x:v>-0.008910662330478134</x:v>
      </x:c>
      <x:c r="AG444" s="64" t="n">
        <x:f>-ROUND(Q444*'Drivers'!P444,3)</x:f>
        <x:v>-3.122</x:v>
      </x:c>
      <x:c r="AH444" s="64" t="n">
        <x:f>-ROUND(Q444*'Drivers'!Q444,3)</x:f>
        <x:v>-6.296</x:v>
      </x:c>
      <x:c r="AI444" s="64" t="n">
        <x:f>SUM(R444,T444,AC444,AE444,AG444,AH444)</x:f>
        <x:v>-467.351</x:v>
      </x:c>
      <x:c r="AJ444" s="65" t="n">
        <x:f>AI444/Q444</x:f>
        <x:v>-0.2819312809431512</x:v>
      </x:c>
      <x:c r="AK444" s="64" t="n">
        <x:f>Q444+AI444</x:f>
        <x:v>1190.326</x:v>
      </x:c>
      <x:c r="AL444" s="65" t="n">
        <x:f>AK444/Q444</x:f>
        <x:v>0.7180687190568489</x:v>
      </x:c>
      <x:c r="AM444" s="64" t="n">
        <x:f>AK444/L444</x:f>
        <x:v>238.0652</x:v>
      </x:c>
      <x:c r="AN444" s="66" t="str">
        <x:f>IF(AM444&lt;=200,"≤200K",IF(AM444&lt;=350,"200–350K",IF(AM444&lt;=500,"350–500K",IF(AM444&lt;=700,"500–700K","&gt;700K"))))</x:f>
        <x:v>200–350K</x:v>
      </x:c>
      <x:c r="AO444" s="64" t="n">
        <x:f>-ROUND(Q444*'Drivers'!R444,3)</x:f>
        <x:v>-610.746</x:v>
      </x:c>
      <x:c r="AP444" s="64" t="n">
        <x:f>-ROUND(AK444*'Drivers'!S444,3)</x:f>
        <x:v>-13.379</x:v>
      </x:c>
      <x:c r="AQ444" s="64" t="n">
        <x:f>-ROUND(AK444*'Drivers'!T444,3)</x:f>
        <x:v>-4.069</x:v>
      </x:c>
      <x:c r="AR444" s="64" t="n">
        <x:f>-ROUND(AK444*'Drivers'!U444,3)</x:f>
        <x:v>-7.256</x:v>
      </x:c>
      <x:c r="AS444" s="64" t="n">
        <x:f>-ROUND(AK444*'Drivers'!V444,3)</x:f>
        <x:v>-35.632</x:v>
      </x:c>
      <x:c r="AT444" s="64" t="n">
        <x:f>SUM(AO444:AS444)</x:f>
        <x:v>-671.0819999999999</x:v>
      </x:c>
      <x:c r="AU444" s="65" t="n">
        <x:f>AT444/AK444</x:f>
        <x:v>-0.5637800064856181</x:v>
      </x:c>
      <x:c r="AV444" s="64" t="n">
        <x:f>AK444+AT444</x:f>
        <x:v>519.2440000000001</x:v>
      </x:c>
      <x:c r="AW444" s="65" t="n">
        <x:f>AV444/AK444</x:f>
        <x:v>0.4362199935143819</x:v>
      </x:c>
      <x:c r="AX444" s="64" t="n">
        <x:f>-ROUND(AK444*'Drivers'!W444,3)</x:f>
        <x:v>-17.876</x:v>
      </x:c>
      <x:c r="AY444" s="64" t="n">
        <x:f>-ROUND(AK444*'Drivers'!X444,3)</x:f>
        <x:v>-38.011</x:v>
      </x:c>
      <x:c r="AZ444" s="64" t="n">
        <x:f>-ROUND(AK444*'Drivers'!Y444,3)</x:f>
        <x:v>-24.058</x:v>
      </x:c>
      <x:c r="BA444" s="64" t="n">
        <x:f>-ROUND(AK444*'Drivers'!Z444,3)</x:f>
        <x:v>-9.44</x:v>
      </x:c>
      <x:c r="BB444" s="64" t="n">
        <x:f>-ROUND(AK444*'Drivers'!AA444,3)</x:f>
        <x:v>-13.146</x:v>
      </x:c>
      <x:c r="BC444" s="64" t="n">
        <x:f>SUM(BA444,BB444)</x:f>
        <x:v>-22.586</x:v>
      </x:c>
      <x:c r="BD444" s="64" t="n">
        <x:f>-ROUND(AK444*'Drivers'!AB444,3)</x:f>
        <x:v>-7.299</x:v>
      </x:c>
      <x:c r="BE444" s="64" t="n">
        <x:f>SUM(AX444:BB444,BD444)</x:f>
        <x:v>-109.83</x:v>
      </x:c>
      <x:c r="BF444" s="67" t="n">
        <x:f>'Drivers'!AF444</x:f>
        <x:v>11</x:v>
      </x:c>
      <x:c r="BG444" s="64" t="n">
        <x:f>BJ444</x:f>
        <x:v>-34.032</x:v>
      </x:c>
      <x:c r="BH444" s="64" t="n">
        <x:f>BE444/BF444</x:f>
        <x:v>-9.984545454545454</x:v>
      </x:c>
      <x:c r="BI444" s="68" t="n">
        <x:f>BF444/L444</x:f>
        <x:v>2.2</x:v>
      </x:c>
      <x:c r="BJ444" s="64" t="n">
        <x:f>-ROUND(AK444*'Drivers'!AC444,3)</x:f>
        <x:v>-34.032</x:v>
      </x:c>
      <x:c r="BK444" s="64" t="n">
        <x:f>-ROUND(AK444*'Drivers'!AD444,3)</x:f>
        <x:v>-100.509</x:v>
      </x:c>
      <x:c r="BL444" s="64" t="n">
        <x:f>SUM(AV444,BE444,BJ444,BK444)</x:f>
        <x:v>274.87300000000016</x:v>
      </x:c>
      <x:c r="BM444" s="65" t="n">
        <x:f>BL444/AK444</x:f>
        <x:v>0.2309224531766929</x:v>
      </x:c>
      <x:c r="BN444" s="64" t="n">
        <x:f>-ROUND(AK444*'Drivers'!AE444,3)</x:f>
        <x:v>-102.991</x:v>
      </x:c>
      <x:c r="BO444" s="64" t="n">
        <x:f>BL444+BN444</x:f>
        <x:v>171.88200000000018</x:v>
      </x:c>
      <x:c r="BP444" s="65" t="n">
        <x:f>BO444/AK444</x:f>
        <x:v>0.14439909739012688</x:v>
      </x:c>
    </x:row>
    <x:row r="445">
      <x:c r="A445" s="61" t="n">
        <x:v>2026</x:v>
      </x:c>
      <x:c r="B445" s="18" t="str">
        <x:v>S2</x:v>
      </x:c>
      <x:c r="C445" s="18" t="str">
        <x:v>2026 S2</x:v>
      </x:c>
      <x:c r="D445" s="18" t="str">
        <x:v>CNCT0111</x:v>
      </x:c>
      <x:c r="E445" s="18" t="str">
        <x:v>昆明顺城购物中心</x:v>
      </x:c>
      <x:c r="F445" s="18" t="str">
        <x:v>昆明</x:v>
      </x:c>
      <x:c r="G445" s="18" t="str">
        <x:v>云南省</x:v>
      </x:c>
      <x:c r="H445" s="18" t="str">
        <x:v>西区</x:v>
      </x:c>
      <x:c r="I445" s="18" t="str">
        <x:v>Shopping Mall</x:v>
      </x:c>
      <x:c r="J445" s="18" t="str">
        <x:v>Core Shopping Center</x:v>
      </x:c>
      <x:c r="K445" s="18" t="str">
        <x:v>正常</x:v>
      </x:c>
      <x:c r="L445" s="62" t="n">
        <x:v>5</x:v>
      </x:c>
      <x:c r="M445" s="62" t="n">
        <x:v>31</x:v>
      </x:c>
      <x:c r="N445" s="63" t="n">
        <x:f>'Drivers'!C445</x:f>
        <x:v>1745</x:v>
      </x:c>
      <x:c r="O445" s="63" t="n">
        <x:f>'Drivers'!D445</x:f>
        <x:v>1072.138</x:v>
      </x:c>
      <x:c r="P445" s="64" t="n">
        <x:f>ROUND(N445*O445/1000,3)</x:f>
        <x:v>1870.881</x:v>
      </x:c>
      <x:c r="Q445" s="64" t="n">
        <x:f>ROUND(P445*'Drivers'!E445,3)</x:f>
        <x:v>1811.196</x:v>
      </x:c>
      <x:c r="R445" s="64" t="n">
        <x:f>-ROUND(Q445*'Drivers'!F445,3)</x:f>
        <x:v>-327.033</x:v>
      </x:c>
      <x:c r="S445" s="65" t="n">
        <x:f>R445/Q445</x:f>
        <x:v>-0.18056190495120353</x:v>
      </x:c>
      <x:c r="T445" s="64" t="n">
        <x:f>-ROUND(Q445*'Drivers'!G445,3)</x:f>
        <x:v>-39.826</x:v>
      </x:c>
      <x:c r="U445" s="65" t="n">
        <x:f>T445/Q445</x:f>
        <x:v>-0.021988785310921626</x:v>
      </x:c>
      <x:c r="V445" s="64" t="n">
        <x:f>-ROUND(Q445*'Drivers'!H445,3)</x:f>
        <x:v>-19.576</x:v>
      </x:c>
      <x:c r="W445" s="64" t="n">
        <x:f>-ROUND(Q445*'Drivers'!I445,3)</x:f>
        <x:v>-17.204</x:v>
      </x:c>
      <x:c r="X445" s="64" t="n">
        <x:f>-ROUND(Q445*'Drivers'!J445,3)</x:f>
        <x:v>-24.906</x:v>
      </x:c>
      <x:c r="Y445" s="64" t="n">
        <x:f>-ROUND(Q445*'Drivers'!K445,3)</x:f>
        <x:v>-20.565</x:v>
      </x:c>
      <x:c r="Z445" s="64" t="n">
        <x:f>-ROUND(Q445*'Drivers'!L445,3)</x:f>
        <x:v>-22.66</x:v>
      </x:c>
      <x:c r="AA445" s="64" t="n">
        <x:f>-ROUND(Q445*'Drivers'!M445,3)</x:f>
        <x:v>-11.309</x:v>
      </x:c>
      <x:c r="AB445" s="64" t="n">
        <x:f>-ROUND(Q445*'Drivers'!N445,3)</x:f>
        <x:v>-9.486</x:v>
      </x:c>
      <x:c r="AC445" s="64" t="n">
        <x:f>SUM(V445:AB445)</x:f>
        <x:v>-125.706</x:v>
      </x:c>
      <x:c r="AD445" s="65" t="n">
        <x:f>AC445/Q445</x:f>
        <x:v>-0.06940496776715496</x:v>
      </x:c>
      <x:c r="AE445" s="64" t="n">
        <x:f>-ROUND(Q445*'Drivers'!O445,3)</x:f>
        <x:v>-13.81</x:v>
      </x:c>
      <x:c r="AF445" s="65" t="n">
        <x:f>AE445/Q445</x:f>
        <x:v>-0.007624795991157225</x:v>
      </x:c>
      <x:c r="AG445" s="64" t="n">
        <x:f>-ROUND(Q445*'Drivers'!P445,3)</x:f>
        <x:v>-3.411</x:v>
      </x:c>
      <x:c r="AH445" s="64" t="n">
        <x:f>-ROUND(Q445*'Drivers'!Q445,3)</x:f>
        <x:v>-6.879</x:v>
      </x:c>
      <x:c r="AI445" s="64" t="n">
        <x:f>SUM(R445,T445,AC445,AE445,AG445,AH445)</x:f>
        <x:v>-516.6650000000001</x:v>
      </x:c>
      <x:c r="AJ445" s="65" t="n">
        <x:f>AI445/Q445</x:f>
        <x:v>-0.2852617828219586</x:v>
      </x:c>
      <x:c r="AK445" s="64" t="n">
        <x:f>Q445+AI445</x:f>
        <x:v>1294.531</x:v>
      </x:c>
      <x:c r="AL445" s="65" t="n">
        <x:f>AK445/Q445</x:f>
        <x:v>0.7147382171780414</x:v>
      </x:c>
      <x:c r="AM445" s="64" t="n">
        <x:f>AK445/L445</x:f>
        <x:v>258.9062</x:v>
      </x:c>
      <x:c r="AN445" s="66" t="str">
        <x:f>IF(AM445&lt;=200,"≤200K",IF(AM445&lt;=350,"200–350K",IF(AM445&lt;=500,"350–500K",IF(AM445&lt;=700,"500–700K","&gt;700K"))))</x:f>
        <x:v>200–350K</x:v>
      </x:c>
      <x:c r="AO445" s="64" t="n">
        <x:f>-ROUND(Q445*'Drivers'!R445,3)</x:f>
        <x:v>-660.248</x:v>
      </x:c>
      <x:c r="AP445" s="64" t="n">
        <x:f>-ROUND(AK445*'Drivers'!S445,3)</x:f>
        <x:v>-14.551</x:v>
      </x:c>
      <x:c r="AQ445" s="64" t="n">
        <x:f>-ROUND(AK445*'Drivers'!T445,3)</x:f>
        <x:v>-4.426</x:v>
      </x:c>
      <x:c r="AR445" s="64" t="n">
        <x:f>-ROUND(AK445*'Drivers'!U445,3)</x:f>
        <x:v>-7.891</x:v>
      </x:c>
      <x:c r="AS445" s="64" t="n">
        <x:f>-ROUND(AK445*'Drivers'!V445,3)</x:f>
        <x:v>-38.751</x:v>
      </x:c>
      <x:c r="AT445" s="64" t="n">
        <x:f>SUM(AO445:AS445)</x:f>
        <x:v>-725.8670000000001</x:v>
      </x:c>
      <x:c r="AU445" s="65" t="n">
        <x:f>AT445/AK445</x:f>
        <x:v>-0.5607181288049495</x:v>
      </x:c>
      <x:c r="AV445" s="64" t="n">
        <x:f>AK445+AT445</x:f>
        <x:v>568.6639999999999</x:v>
      </x:c>
      <x:c r="AW445" s="65" t="n">
        <x:f>AV445/AK445</x:f>
        <x:v>0.43928187119505047</x:v>
      </x:c>
      <x:c r="AX445" s="64" t="n">
        <x:f>-ROUND(AK445*'Drivers'!W445,3)</x:f>
        <x:v>-16.748</x:v>
      </x:c>
      <x:c r="AY445" s="64" t="n">
        <x:f>-ROUND(AK445*'Drivers'!X445,3)</x:f>
        <x:v>-35.612</x:v>
      </x:c>
      <x:c r="AZ445" s="64" t="n">
        <x:f>-ROUND(AK445*'Drivers'!Y445,3)</x:f>
        <x:v>-22.54</x:v>
      </x:c>
      <x:c r="BA445" s="64" t="n">
        <x:f>-ROUND(AK445*'Drivers'!Z445,3)</x:f>
        <x:v>-8.845</x:v>
      </x:c>
      <x:c r="BB445" s="64" t="n">
        <x:f>-ROUND(AK445*'Drivers'!AA445,3)</x:f>
        <x:v>-12.316</x:v>
      </x:c>
      <x:c r="BC445" s="64" t="n">
        <x:f>SUM(BA445,BB445)</x:f>
        <x:v>-21.161</x:v>
      </x:c>
      <x:c r="BD445" s="64" t="n">
        <x:f>-ROUND(AK445*'Drivers'!AB445,3)</x:f>
        <x:v>-6.838</x:v>
      </x:c>
      <x:c r="BE445" s="64" t="n">
        <x:f>SUM(AX445:BB445,BD445)</x:f>
        <x:v>-102.899</x:v>
      </x:c>
      <x:c r="BF445" s="67" t="n">
        <x:f>'Drivers'!AF445</x:f>
        <x:v>11</x:v>
      </x:c>
      <x:c r="BG445" s="64" t="n">
        <x:f>BJ445</x:f>
        <x:v>-31.885</x:v>
      </x:c>
      <x:c r="BH445" s="64" t="n">
        <x:f>BE445/BF445</x:f>
        <x:v>-9.354454545454546</x:v>
      </x:c>
      <x:c r="BI445" s="68" t="n">
        <x:f>BF445/L445</x:f>
        <x:v>2.2</x:v>
      </x:c>
      <x:c r="BJ445" s="64" t="n">
        <x:f>-ROUND(AK445*'Drivers'!AC445,3)</x:f>
        <x:v>-31.885</x:v>
      </x:c>
      <x:c r="BK445" s="64" t="n">
        <x:f>-ROUND(AK445*'Drivers'!AD445,3)</x:f>
        <x:v>-109.308</x:v>
      </x:c>
      <x:c r="BL445" s="64" t="n">
        <x:f>SUM(AV445,BE445,BJ445,BK445)</x:f>
        <x:v>324.5719999999999</x:v>
      </x:c>
      <x:c r="BM445" s="65" t="n">
        <x:f>BL445/AK445</x:f>
        <x:v>0.2507255523428948</x:v>
      </x:c>
      <x:c r="BN445" s="64" t="n">
        <x:f>-ROUND(AK445*'Drivers'!AE445,3)</x:f>
        <x:v>-112.008</x:v>
      </x:c>
      <x:c r="BO445" s="64" t="n">
        <x:f>BL445+BN445</x:f>
        <x:v>212.5639999999999</x:v>
      </x:c>
      <x:c r="BP445" s="65" t="n">
        <x:f>BO445/AK445</x:f>
        <x:v>0.16420155253138002</x:v>
      </x:c>
    </x:row>
    <x:row r="446">
      <x:c r="A446" s="61" t="n">
        <x:v>2025</x:v>
      </x:c>
      <x:c r="B446" s="18" t="str">
        <x:v>S1</x:v>
      </x:c>
      <x:c r="C446" s="18" t="str">
        <x:v>2025 S1</x:v>
      </x:c>
      <x:c r="D446" s="18" t="str">
        <x:v>CNCT0112</x:v>
      </x:c>
      <x:c r="E446" s="18" t="str">
        <x:v>昆明同德广场</x:v>
      </x:c>
      <x:c r="F446" s="18" t="str">
        <x:v>昆明</x:v>
      </x:c>
      <x:c r="G446" s="18" t="str">
        <x:v>云南省</x:v>
      </x:c>
      <x:c r="H446" s="18" t="str">
        <x:v>西区</x:v>
      </x:c>
      <x:c r="I446" s="18" t="str">
        <x:v>Shopping Mall</x:v>
      </x:c>
      <x:c r="J446" s="18" t="str">
        <x:v>Core Shopping Center</x:v>
      </x:c>
      <x:c r="K446" s="18" t="str">
        <x:v>正常</x:v>
      </x:c>
      <x:c r="L446" s="62" t="n">
        <x:v>4</x:v>
      </x:c>
      <x:c r="M446" s="62" t="n">
        <x:v>31</x:v>
      </x:c>
      <x:c r="N446" s="63" t="n">
        <x:f>'Drivers'!C446</x:f>
        <x:v>1260</x:v>
      </x:c>
      <x:c r="O446" s="63" t="n">
        <x:f>'Drivers'!D446</x:f>
        <x:v>1098.025</x:v>
      </x:c>
      <x:c r="P446" s="64" t="n">
        <x:f>ROUND(N446*O446/1000,3)</x:f>
        <x:v>1383.512</x:v>
      </x:c>
      <x:c r="Q446" s="64" t="n">
        <x:f>ROUND(P446*'Drivers'!E446,3)</x:f>
        <x:v>1355.49</x:v>
      </x:c>
      <x:c r="R446" s="64" t="n">
        <x:f>-ROUND(Q446*'Drivers'!F446,3)</x:f>
        <x:v>-241.426</x:v>
      </x:c>
      <x:c r="S446" s="65" t="n">
        <x:f>R446/Q446</x:f>
        <x:v>-0.17810976104582105</x:v>
      </x:c>
      <x:c r="T446" s="64" t="n">
        <x:f>-ROUND(Q446*'Drivers'!G446,3)</x:f>
        <x:v>-15.875</x:v>
      </x:c>
      <x:c r="U446" s="65" t="n">
        <x:f>T446/Q446</x:f>
        <x:v>-0.01171163195597164</x:v>
      </x:c>
      <x:c r="V446" s="64" t="n">
        <x:f>-ROUND(Q446*'Drivers'!H446,3)</x:f>
        <x:v>-12.006</x:v>
      </x:c>
      <x:c r="W446" s="64" t="n">
        <x:f>-ROUND(Q446*'Drivers'!I446,3)</x:f>
        <x:v>-13.204</x:v>
      </x:c>
      <x:c r="X446" s="64" t="n">
        <x:f>-ROUND(Q446*'Drivers'!J446,3)</x:f>
        <x:v>-21.716</x:v>
      </x:c>
      <x:c r="Y446" s="64" t="n">
        <x:f>-ROUND(Q446*'Drivers'!K446,3)</x:f>
        <x:v>-14.724</x:v>
      </x:c>
      <x:c r="Z446" s="64" t="n">
        <x:f>-ROUND(Q446*'Drivers'!L446,3)</x:f>
        <x:v>-12.36</x:v>
      </x:c>
      <x:c r="AA446" s="64" t="n">
        <x:f>-ROUND(Q446*'Drivers'!M446,3)</x:f>
        <x:v>-10.195</x:v>
      </x:c>
      <x:c r="AB446" s="64" t="n">
        <x:f>-ROUND(Q446*'Drivers'!N446,3)</x:f>
        <x:v>-9.324</x:v>
      </x:c>
      <x:c r="AC446" s="64" t="n">
        <x:f>SUM(V446:AB446)</x:f>
        <x:v>-93.52900000000001</x:v>
      </x:c>
      <x:c r="AD446" s="65" t="n">
        <x:f>AC446/Q446</x:f>
        <x:v>-0.06900014017071318</x:v>
      </x:c>
      <x:c r="AE446" s="64" t="n">
        <x:f>-ROUND(Q446*'Drivers'!O446,3)</x:f>
        <x:v>-18.395</x:v>
      </x:c>
      <x:c r="AF446" s="65" t="n">
        <x:f>AE446/Q446</x:f>
        <x:v>-0.013570738257014069</x:v>
      </x:c>
      <x:c r="AG446" s="64" t="n">
        <x:f>-ROUND(Q446*'Drivers'!P446,3)</x:f>
        <x:v>-1.309</x:v>
      </x:c>
      <x:c r="AH446" s="64" t="n">
        <x:f>-ROUND(Q446*'Drivers'!Q446,3)</x:f>
        <x:v>-3.363</x:v>
      </x:c>
      <x:c r="AI446" s="64" t="n">
        <x:f>SUM(R446,T446,AC446,AE446,AG446,AH446)</x:f>
        <x:v>-373.897</x:v>
      </x:c>
      <x:c r="AJ446" s="65" t="n">
        <x:f>AI446/Q446</x:f>
        <x:v>-0.2758389954924049</x:v>
      </x:c>
      <x:c r="AK446" s="64" t="n">
        <x:f>Q446+AI446</x:f>
        <x:v>981.5930000000001</x:v>
      </x:c>
      <x:c r="AL446" s="65" t="n">
        <x:f>AK446/Q446</x:f>
        <x:v>0.7241610045075951</x:v>
      </x:c>
      <x:c r="AM446" s="64" t="n">
        <x:f>AK446/L446</x:f>
        <x:v>245.39825000000002</x:v>
      </x:c>
      <x:c r="AN446" s="66" t="str">
        <x:f>IF(AM446&lt;=200,"≤200K",IF(AM446&lt;=350,"200–350K",IF(AM446&lt;=500,"350–500K",IF(AM446&lt;=700,"500–700K","&gt;700K"))))</x:f>
        <x:v>200–350K</x:v>
      </x:c>
      <x:c r="AO446" s="64" t="n">
        <x:f>-ROUND(Q446*'Drivers'!R446,3)</x:f>
        <x:v>-500.416</x:v>
      </x:c>
      <x:c r="AP446" s="64" t="n">
        <x:f>-ROUND(AK446*'Drivers'!S446,3)</x:f>
        <x:v>-15.952</x:v>
      </x:c>
      <x:c r="AQ446" s="64" t="n">
        <x:f>-ROUND(AK446*'Drivers'!T446,3)</x:f>
        <x:v>-6.635</x:v>
      </x:c>
      <x:c r="AR446" s="64" t="n">
        <x:f>-ROUND(AK446*'Drivers'!U446,3)</x:f>
        <x:v>-6.474</x:v>
      </x:c>
      <x:c r="AS446" s="64" t="n">
        <x:f>-ROUND(AK446*'Drivers'!V446,3)</x:f>
        <x:v>-37.965</x:v>
      </x:c>
      <x:c r="AT446" s="64" t="n">
        <x:f>SUM(AO446:AS446)</x:f>
        <x:v>-567.4420000000001</x:v>
      </x:c>
      <x:c r="AU446" s="65" t="n">
        <x:f>AT446/AK446</x:f>
        <x:v>-0.5780827695389027</x:v>
      </x:c>
      <x:c r="AV446" s="64" t="n">
        <x:f>AK446+AT446</x:f>
        <x:v>414.15099999999995</x:v>
      </x:c>
      <x:c r="AW446" s="65" t="n">
        <x:f>AV446/AK446</x:f>
        <x:v>0.42191723046109736</x:v>
      </x:c>
      <x:c r="AX446" s="64" t="n">
        <x:f>-ROUND(AK446*'Drivers'!W446,3)</x:f>
        <x:v>-9.32</x:v>
      </x:c>
      <x:c r="AY446" s="64" t="n">
        <x:f>-ROUND(AK446*'Drivers'!X446,3)</x:f>
        <x:v>-24.387</x:v>
      </x:c>
      <x:c r="AZ446" s="64" t="n">
        <x:f>-ROUND(AK446*'Drivers'!Y446,3)</x:f>
        <x:v>-19.507</x:v>
      </x:c>
      <x:c r="BA446" s="64" t="n">
        <x:f>-ROUND(AK446*'Drivers'!Z446,3)</x:f>
        <x:v>-5.992</x:v>
      </x:c>
      <x:c r="BB446" s="64" t="n">
        <x:f>-ROUND(AK446*'Drivers'!AA446,3)</x:f>
        <x:v>-8.95</x:v>
      </x:c>
      <x:c r="BC446" s="64" t="n">
        <x:f>SUM(BA446,BB446)</x:f>
        <x:v>-14.942</x:v>
      </x:c>
      <x:c r="BD446" s="64" t="n">
        <x:f>-ROUND(AK446*'Drivers'!AB446,3)</x:f>
        <x:v>-6.558</x:v>
      </x:c>
      <x:c r="BE446" s="64" t="n">
        <x:f>SUM(AX446:BB446,BD446)</x:f>
        <x:v>-74.714</x:v>
      </x:c>
      <x:c r="BF446" s="67" t="n">
        <x:f>'Drivers'!AF446</x:f>
        <x:v>6</x:v>
      </x:c>
      <x:c r="BG446" s="64" t="n">
        <x:f>BJ446</x:f>
        <x:v>-25.166</x:v>
      </x:c>
      <x:c r="BH446" s="64" t="n">
        <x:f>BE446/BF446</x:f>
        <x:v>-12.452333333333334</x:v>
      </x:c>
      <x:c r="BI446" s="68" t="n">
        <x:f>BF446/L446</x:f>
        <x:v>1.5</x:v>
      </x:c>
      <x:c r="BJ446" s="64" t="n">
        <x:f>-ROUND(AK446*'Drivers'!AC446,3)</x:f>
        <x:v>-25.166</x:v>
      </x:c>
      <x:c r="BK446" s="64" t="n">
        <x:f>-ROUND(AK446*'Drivers'!AD446,3)</x:f>
        <x:v>-86.394</x:v>
      </x:c>
      <x:c r="BL446" s="64" t="n">
        <x:f>SUM(AV446,BE446,BJ446,BK446)</x:f>
        <x:v>227.87699999999995</x:v>
      </x:c>
      <x:c r="BM446" s="65" t="n">
        <x:f>BL446/AK446</x:f>
        <x:v>0.23215018852008923</x:v>
      </x:c>
      <x:c r="BN446" s="64" t="n">
        <x:f>-ROUND(AK446*'Drivers'!AE446,3)</x:f>
        <x:v>-64.613</x:v>
      </x:c>
      <x:c r="BO446" s="64" t="n">
        <x:f>BL446+BN446</x:f>
        <x:v>163.26399999999995</x:v>
      </x:c>
      <x:c r="BP446" s="65" t="n">
        <x:f>BO446/AK446</x:f>
        <x:v>0.16632555448133793</x:v>
      </x:c>
    </x:row>
    <x:row r="447">
      <x:c r="A447" s="61" t="n">
        <x:v>2025</x:v>
      </x:c>
      <x:c r="B447" s="18" t="str">
        <x:v>S2</x:v>
      </x:c>
      <x:c r="C447" s="18" t="str">
        <x:v>2025 S2</x:v>
      </x:c>
      <x:c r="D447" s="18" t="str">
        <x:v>CNCT0112</x:v>
      </x:c>
      <x:c r="E447" s="18" t="str">
        <x:v>昆明同德广场</x:v>
      </x:c>
      <x:c r="F447" s="18" t="str">
        <x:v>昆明</x:v>
      </x:c>
      <x:c r="G447" s="18" t="str">
        <x:v>云南省</x:v>
      </x:c>
      <x:c r="H447" s="18" t="str">
        <x:v>西区</x:v>
      </x:c>
      <x:c r="I447" s="18" t="str">
        <x:v>Shopping Mall</x:v>
      </x:c>
      <x:c r="J447" s="18" t="str">
        <x:v>Core Shopping Center</x:v>
      </x:c>
      <x:c r="K447" s="18" t="str">
        <x:v>正常</x:v>
      </x:c>
      <x:c r="L447" s="62" t="n">
        <x:v>4</x:v>
      </x:c>
      <x:c r="M447" s="62" t="n">
        <x:v>31</x:v>
      </x:c>
      <x:c r="N447" s="63" t="n">
        <x:f>'Drivers'!C447</x:f>
        <x:v>1384</x:v>
      </x:c>
      <x:c r="O447" s="63" t="n">
        <x:f>'Drivers'!D447</x:f>
        <x:v>1111.201</x:v>
      </x:c>
      <x:c r="P447" s="64" t="n">
        <x:f>ROUND(N447*O447/1000,3)</x:f>
        <x:v>1537.902</x:v>
      </x:c>
      <x:c r="Q447" s="64" t="n">
        <x:f>ROUND(P447*'Drivers'!E447,3)</x:f>
        <x:v>1495.569</x:v>
      </x:c>
      <x:c r="R447" s="64" t="n">
        <x:f>-ROUND(Q447*'Drivers'!F447,3)</x:f>
        <x:v>-266.375</x:v>
      </x:c>
      <x:c r="S447" s="65" t="n">
        <x:f>R447/Q447</x:f>
        <x:v>-0.1781094687038846</x:v>
      </x:c>
      <x:c r="T447" s="64" t="n">
        <x:f>-ROUND(Q447*'Drivers'!G447,3)</x:f>
        <x:v>-17.515</x:v>
      </x:c>
      <x:c r="U447" s="65" t="n">
        <x:f>T447/Q447</x:f>
        <x:v>-0.011711261733828396</x:v>
      </x:c>
      <x:c r="V447" s="64" t="n">
        <x:f>-ROUND(Q447*'Drivers'!H447,3)</x:f>
        <x:v>-13.247</x:v>
      </x:c>
      <x:c r="W447" s="64" t="n">
        <x:f>-ROUND(Q447*'Drivers'!I447,3)</x:f>
        <x:v>-14.569</x:v>
      </x:c>
      <x:c r="X447" s="64" t="n">
        <x:f>-ROUND(Q447*'Drivers'!J447,3)</x:f>
        <x:v>-23.96</x:v>
      </x:c>
      <x:c r="Y447" s="64" t="n">
        <x:f>-ROUND(Q447*'Drivers'!K447,3)</x:f>
        <x:v>-16.245</x:v>
      </x:c>
      <x:c r="Z447" s="64" t="n">
        <x:f>-ROUND(Q447*'Drivers'!L447,3)</x:f>
        <x:v>-13.637</x:v>
      </x:c>
      <x:c r="AA447" s="64" t="n">
        <x:f>-ROUND(Q447*'Drivers'!M447,3)</x:f>
        <x:v>-11.248</x:v>
      </x:c>
      <x:c r="AB447" s="64" t="n">
        <x:f>-ROUND(Q447*'Drivers'!N447,3)</x:f>
        <x:v>-10.287</x:v>
      </x:c>
      <x:c r="AC447" s="64" t="n">
        <x:f>SUM(V447:AB447)</x:f>
        <x:v>-103.19300000000001</x:v>
      </x:c>
      <x:c r="AD447" s="65" t="n">
        <x:f>AC447/Q447</x:f>
        <x:v>-0.06899915684264653</x:v>
      </x:c>
      <x:c r="AE447" s="64" t="n">
        <x:f>-ROUND(Q447*'Drivers'!O447,3)</x:f>
        <x:v>-20.296</x:v>
      </x:c>
      <x:c r="AF447" s="65" t="n">
        <x:f>AE447/Q447</x:f>
        <x:v>-0.01357075467597951</x:v>
      </x:c>
      <x:c r="AG447" s="64" t="n">
        <x:f>-ROUND(Q447*'Drivers'!P447,3)</x:f>
        <x:v>-1.445</x:v>
      </x:c>
      <x:c r="AH447" s="64" t="n">
        <x:f>-ROUND(Q447*'Drivers'!Q447,3)</x:f>
        <x:v>-3.711</x:v>
      </x:c>
      <x:c r="AI447" s="64" t="n">
        <x:f>SUM(R447,T447,AC447,AE447,AG447,AH447)</x:f>
        <x:v>-412.53499999999997</x:v>
      </x:c>
      <x:c r="AJ447" s="65" t="n">
        <x:f>AI447/Q447</x:f>
        <x:v>-0.2758381592557749</x:v>
      </x:c>
      <x:c r="AK447" s="64" t="n">
        <x:f>Q447+AI447</x:f>
        <x:v>1083.034</x:v>
      </x:c>
      <x:c r="AL447" s="65" t="n">
        <x:f>AK447/Q447</x:f>
        <x:v>0.7241618407442252</x:v>
      </x:c>
      <x:c r="AM447" s="64" t="n">
        <x:f>AK447/L447</x:f>
        <x:v>270.7585</x:v>
      </x:c>
      <x:c r="AN447" s="66" t="str">
        <x:f>IF(AM447&lt;=200,"≤200K",IF(AM447&lt;=350,"200–350K",IF(AM447&lt;=500,"350–500K",IF(AM447&lt;=700,"500–700K","&gt;700K"))))</x:f>
        <x:v>200–350K</x:v>
      </x:c>
      <x:c r="AO447" s="64" t="n">
        <x:f>-ROUND(Q447*'Drivers'!R447,3)</x:f>
        <x:v>-578.543</x:v>
      </x:c>
      <x:c r="AP447" s="64" t="n">
        <x:f>-ROUND(AK447*'Drivers'!S447,3)</x:f>
        <x:v>-17.601</x:v>
      </x:c>
      <x:c r="AQ447" s="64" t="n">
        <x:f>-ROUND(AK447*'Drivers'!T447,3)</x:f>
        <x:v>-7.321</x:v>
      </x:c>
      <x:c r="AR447" s="64" t="n">
        <x:f>-ROUND(AK447*'Drivers'!U447,3)</x:f>
        <x:v>-7.143</x:v>
      </x:c>
      <x:c r="AS447" s="64" t="n">
        <x:f>-ROUND(AK447*'Drivers'!V447,3)</x:f>
        <x:v>-41.888</x:v>
      </x:c>
      <x:c r="AT447" s="64" t="n">
        <x:f>SUM(AO447:AS447)</x:f>
        <x:v>-652.4960000000001</x:v>
      </x:c>
      <x:c r="AU447" s="65" t="n">
        <x:f>AT447/AK447</x:f>
        <x:v>-0.6024704672244824</x:v>
      </x:c>
      <x:c r="AV447" s="64" t="n">
        <x:f>AK447+AT447</x:f>
        <x:v>430.538</x:v>
      </x:c>
      <x:c r="AW447" s="65" t="n">
        <x:f>AV447/AK447</x:f>
        <x:v>0.3975295327755176</x:v>
      </x:c>
      <x:c r="AX447" s="64" t="n">
        <x:f>-ROUND(AK447*'Drivers'!W447,3)</x:f>
        <x:v>-10.283</x:v>
      </x:c>
      <x:c r="AY447" s="64" t="n">
        <x:f>-ROUND(AK447*'Drivers'!X447,3)</x:f>
        <x:v>-26.908</x:v>
      </x:c>
      <x:c r="AZ447" s="64" t="n">
        <x:f>-ROUND(AK447*'Drivers'!Y447,3)</x:f>
        <x:v>-21.522</x:v>
      </x:c>
      <x:c r="BA447" s="64" t="n">
        <x:f>-ROUND(AK447*'Drivers'!Z447,3)</x:f>
        <x:v>-6.612</x:v>
      </x:c>
      <x:c r="BB447" s="64" t="n">
        <x:f>-ROUND(AK447*'Drivers'!AA447,3)</x:f>
        <x:v>-9.875</x:v>
      </x:c>
      <x:c r="BC447" s="64" t="n">
        <x:f>SUM(BA447,BB447)</x:f>
        <x:v>-16.487000000000002</x:v>
      </x:c>
      <x:c r="BD447" s="64" t="n">
        <x:f>-ROUND(AK447*'Drivers'!AB447,3)</x:f>
        <x:v>-7.236</x:v>
      </x:c>
      <x:c r="BE447" s="64" t="n">
        <x:f>SUM(AX447:BB447,BD447)</x:f>
        <x:v>-82.436</x:v>
      </x:c>
      <x:c r="BF447" s="67" t="n">
        <x:f>'Drivers'!AF447</x:f>
        <x:v>6</x:v>
      </x:c>
      <x:c r="BG447" s="64" t="n">
        <x:f>BJ447</x:f>
        <x:v>-27.767</x:v>
      </x:c>
      <x:c r="BH447" s="64" t="n">
        <x:f>BE447/BF447</x:f>
        <x:v>-13.739333333333335</x:v>
      </x:c>
      <x:c r="BI447" s="68" t="n">
        <x:f>BF447/L447</x:f>
        <x:v>1.5</x:v>
      </x:c>
      <x:c r="BJ447" s="64" t="n">
        <x:f>-ROUND(AK447*'Drivers'!AC447,3)</x:f>
        <x:v>-27.767</x:v>
      </x:c>
      <x:c r="BK447" s="64" t="n">
        <x:f>-ROUND(AK447*'Drivers'!AD447,3)</x:f>
        <x:v>-95.322</x:v>
      </x:c>
      <x:c r="BL447" s="64" t="n">
        <x:f>SUM(AV447,BE447,BJ447,BK447)</x:f>
        <x:v>225.01299999999998</x:v>
      </x:c>
      <x:c r="BM447" s="65" t="n">
        <x:f>BL447/AK447</x:f>
        <x:v>0.207761713852012</x:v>
      </x:c>
      <x:c r="BN447" s="64" t="n">
        <x:f>-ROUND(AK447*'Drivers'!AE447,3)</x:f>
        <x:v>-71.291</x:v>
      </x:c>
      <x:c r="BO447" s="64" t="n">
        <x:f>BL447+BN447</x:f>
        <x:v>153.72199999999998</x:v>
      </x:c>
      <x:c r="BP447" s="65" t="n">
        <x:f>BO447/AK447</x:f>
        <x:v>0.14193644890188117</x:v>
      </x:c>
    </x:row>
    <x:row r="448">
      <x:c r="A448" s="61" t="n">
        <x:v>2026</x:v>
      </x:c>
      <x:c r="B448" s="18" t="str">
        <x:v>S1</x:v>
      </x:c>
      <x:c r="C448" s="18" t="str">
        <x:v>2026 S1</x:v>
      </x:c>
      <x:c r="D448" s="18" t="str">
        <x:v>CNCT0112</x:v>
      </x:c>
      <x:c r="E448" s="18" t="str">
        <x:v>昆明同德广场</x:v>
      </x:c>
      <x:c r="F448" s="18" t="str">
        <x:v>昆明</x:v>
      </x:c>
      <x:c r="G448" s="18" t="str">
        <x:v>云南省</x:v>
      </x:c>
      <x:c r="H448" s="18" t="str">
        <x:v>西区</x:v>
      </x:c>
      <x:c r="I448" s="18" t="str">
        <x:v>Shopping Mall</x:v>
      </x:c>
      <x:c r="J448" s="18" t="str">
        <x:v>Core Shopping Center</x:v>
      </x:c>
      <x:c r="K448" s="18" t="str">
        <x:v>正常</x:v>
      </x:c>
      <x:c r="L448" s="62" t="n">
        <x:v>4</x:v>
      </x:c>
      <x:c r="M448" s="62" t="n">
        <x:v>31</x:v>
      </x:c>
      <x:c r="N448" s="63" t="n">
        <x:f>'Drivers'!C448</x:f>
        <x:v>1208</x:v>
      </x:c>
      <x:c r="O448" s="63" t="n">
        <x:f>'Drivers'!D448</x:f>
        <x:v>1157.114</x:v>
      </x:c>
      <x:c r="P448" s="64" t="n">
        <x:f>ROUND(N448*O448/1000,3)</x:f>
        <x:v>1397.794</x:v>
      </x:c>
      <x:c r="Q448" s="64" t="n">
        <x:f>ROUND(P448*'Drivers'!E448,3)</x:f>
        <x:v>1374.195</x:v>
      </x:c>
      <x:c r="R448" s="64" t="n">
        <x:f>-ROUND(Q448*'Drivers'!F448,3)</x:f>
        <x:v>-247.508</x:v>
      </x:c>
      <x:c r="S448" s="65" t="n">
        <x:f>R448/Q448</x:f>
        <x:v>-0.18011126514068238</x:v>
      </x:c>
      <x:c r="T448" s="64" t="n">
        <x:f>-ROUND(Q448*'Drivers'!G448,3)</x:f>
        <x:v>-13.593</x:v>
      </x:c>
      <x:c r="U448" s="65" t="n">
        <x:f>T448/Q448</x:f>
        <x:v>-0.009891609269426829</x:v>
      </x:c>
      <x:c r="V448" s="64" t="n">
        <x:f>-ROUND(Q448*'Drivers'!H448,3)</x:f>
        <x:v>-12.172</x:v>
      </x:c>
      <x:c r="W448" s="64" t="n">
        <x:f>-ROUND(Q448*'Drivers'!I448,3)</x:f>
        <x:v>-13.386</x:v>
      </x:c>
      <x:c r="X448" s="64" t="n">
        <x:f>-ROUND(Q448*'Drivers'!J448,3)</x:f>
        <x:v>-22.016</x:v>
      </x:c>
      <x:c r="Y448" s="64" t="n">
        <x:f>-ROUND(Q448*'Drivers'!K448,3)</x:f>
        <x:v>-14.927</x:v>
      </x:c>
      <x:c r="Z448" s="64" t="n">
        <x:f>-ROUND(Q448*'Drivers'!L448,3)</x:f>
        <x:v>-12.53</x:v>
      </x:c>
      <x:c r="AA448" s="64" t="n">
        <x:f>-ROUND(Q448*'Drivers'!M448,3)</x:f>
        <x:v>-10.335</x:v>
      </x:c>
      <x:c r="AB448" s="64" t="n">
        <x:f>-ROUND(Q448*'Drivers'!N448,3)</x:f>
        <x:v>-9.452</x:v>
      </x:c>
      <x:c r="AC448" s="64" t="n">
        <x:f>SUM(V448:AB448)</x:f>
        <x:v>-94.81799999999998</x:v>
      </x:c>
      <x:c r="AD448" s="65" t="n">
        <x:f>AC448/Q448</x:f>
        <x:v>-0.06899894119830154</x:v>
      </x:c>
      <x:c r="AE448" s="64" t="n">
        <x:f>-ROUND(Q448*'Drivers'!O448,3)</x:f>
        <x:v>-16.169</x:v>
      </x:c>
      <x:c r="AF448" s="65" t="n">
        <x:f>AE448/Q448</x:f>
        <x:v>-0.011766161279876583</x:v>
      </x:c>
      <x:c r="AG448" s="64" t="n">
        <x:f>-ROUND(Q448*'Drivers'!P448,3)</x:f>
        <x:v>-1.327</x:v>
      </x:c>
      <x:c r="AH448" s="64" t="n">
        <x:f>-ROUND(Q448*'Drivers'!Q448,3)</x:f>
        <x:v>-3.41</x:v>
      </x:c>
      <x:c r="AI448" s="64" t="n">
        <x:f>SUM(R448,T448,AC448,AE448,AG448,AH448)</x:f>
        <x:v>-376.825</x:v>
      </x:c>
      <x:c r="AJ448" s="65" t="n">
        <x:f>AI448/Q448</x:f>
        <x:v>-0.2742150859230313</x:v>
      </x:c>
      <x:c r="AK448" s="64" t="n">
        <x:f>Q448+AI448</x:f>
        <x:v>997.3699999999999</x:v>
      </x:c>
      <x:c r="AL448" s="65" t="n">
        <x:f>AK448/Q448</x:f>
        <x:v>0.7257849140769687</x:v>
      </x:c>
      <x:c r="AM448" s="64" t="n">
        <x:f>AK448/L448</x:f>
        <x:v>249.34249999999997</x:v>
      </x:c>
      <x:c r="AN448" s="66" t="str">
        <x:f>IF(AM448&lt;=200,"≤200K",IF(AM448&lt;=350,"200–350K",IF(AM448&lt;=500,"350–500K",IF(AM448&lt;=700,"500–700K","&gt;700K"))))</x:f>
        <x:v>200–350K</x:v>
      </x:c>
      <x:c r="AO448" s="64" t="n">
        <x:f>-ROUND(Q448*'Drivers'!R448,3)</x:f>
        <x:v>-510.992</x:v>
      </x:c>
      <x:c r="AP448" s="64" t="n">
        <x:f>-ROUND(AK448*'Drivers'!S448,3)</x:f>
        <x:v>-16.208</x:v>
      </x:c>
      <x:c r="AQ448" s="64" t="n">
        <x:f>-ROUND(AK448*'Drivers'!T448,3)</x:f>
        <x:v>-6.742</x:v>
      </x:c>
      <x:c r="AR448" s="64" t="n">
        <x:f>-ROUND(AK448*'Drivers'!U448,3)</x:f>
        <x:v>-6.578</x:v>
      </x:c>
      <x:c r="AS448" s="64" t="n">
        <x:f>-ROUND(AK448*'Drivers'!V448,3)</x:f>
        <x:v>-38.575</x:v>
      </x:c>
      <x:c r="AT448" s="64" t="n">
        <x:f>SUM(AO448:AS448)</x:f>
        <x:v>-579.095</x:v>
      </x:c>
      <x:c r="AU448" s="65" t="n">
        <x:f>AT448/AK448</x:f>
        <x:v>-0.5806220359545606</x:v>
      </x:c>
      <x:c r="AV448" s="64" t="n">
        <x:f>AK448+AT448</x:f>
        <x:v>418.27499999999986</x:v>
      </x:c>
      <x:c r="AW448" s="65" t="n">
        <x:f>AV448/AK448</x:f>
        <x:v>0.4193779640454394</x:v>
      </x:c>
      <x:c r="AX448" s="64" t="n">
        <x:f>-ROUND(AK448*'Drivers'!W448,3)</x:f>
        <x:v>-11.652</x:v>
      </x:c>
      <x:c r="AY448" s="64" t="n">
        <x:f>-ROUND(AK448*'Drivers'!X448,3)</x:f>
        <x:v>-30.49</x:v>
      </x:c>
      <x:c r="AZ448" s="64" t="n">
        <x:f>-ROUND(AK448*'Drivers'!Y448,3)</x:f>
        <x:v>-24.388</x:v>
      </x:c>
      <x:c r="BA448" s="64" t="n">
        <x:f>-ROUND(AK448*'Drivers'!Z448,3)</x:f>
        <x:v>-7.492</x:v>
      </x:c>
      <x:c r="BB448" s="64" t="n">
        <x:f>-ROUND(AK448*'Drivers'!AA448,3)</x:f>
        <x:v>-11.19</x:v>
      </x:c>
      <x:c r="BC448" s="64" t="n">
        <x:f>SUM(BA448,BB448)</x:f>
        <x:v>-18.682</x:v>
      </x:c>
      <x:c r="BD448" s="64" t="n">
        <x:f>-ROUND(AK448*'Drivers'!AB448,3)</x:f>
        <x:v>-8.2</x:v>
      </x:c>
      <x:c r="BE448" s="64" t="n">
        <x:f>SUM(AX448:BB448,BD448)</x:f>
        <x:v>-93.412</x:v>
      </x:c>
      <x:c r="BF448" s="67" t="n">
        <x:f>'Drivers'!AF448</x:f>
        <x:v>6</x:v>
      </x:c>
      <x:c r="BG448" s="64" t="n">
        <x:f>BJ448</x:f>
        <x:v>-31.463</x:v>
      </x:c>
      <x:c r="BH448" s="64" t="n">
        <x:f>BE448/BF448</x:f>
        <x:v>-15.568666666666667</x:v>
      </x:c>
      <x:c r="BI448" s="68" t="n">
        <x:f>BF448/L448</x:f>
        <x:v>1.5</x:v>
      </x:c>
      <x:c r="BJ448" s="64" t="n">
        <x:f>-ROUND(AK448*'Drivers'!AC448,3)</x:f>
        <x:v>-31.463</x:v>
      </x:c>
      <x:c r="BK448" s="64" t="n">
        <x:f>-ROUND(AK448*'Drivers'!AD448,3)</x:f>
        <x:v>-87.783</x:v>
      </x:c>
      <x:c r="BL448" s="64" t="n">
        <x:f>SUM(AV448,BE448,BJ448,BK448)</x:f>
        <x:v>205.6169999999998</x:v>
      </x:c>
      <x:c r="BM448" s="65" t="n">
        <x:f>BL448/AK448</x:f>
        <x:v>0.20615919869256125</x:v>
      </x:c>
      <x:c r="BN448" s="64" t="n">
        <x:f>-ROUND(AK448*'Drivers'!AE448,3)</x:f>
        <x:v>-65.652</x:v>
      </x:c>
      <x:c r="BO448" s="64" t="n">
        <x:f>BL448+BN448</x:f>
        <x:v>139.9649999999998</x:v>
      </x:c>
      <x:c r="BP448" s="65" t="n">
        <x:f>BO448/AK448</x:f>
        <x:v>0.14033407862678826</x:v>
      </x:c>
    </x:row>
    <x:row r="449">
      <x:c r="A449" s="61" t="n">
        <x:v>2026</x:v>
      </x:c>
      <x:c r="B449" s="18" t="str">
        <x:v>S2</x:v>
      </x:c>
      <x:c r="C449" s="18" t="str">
        <x:v>2026 S2</x:v>
      </x:c>
      <x:c r="D449" s="18" t="str">
        <x:v>CNCT0112</x:v>
      </x:c>
      <x:c r="E449" s="18" t="str">
        <x:v>昆明同德广场</x:v>
      </x:c>
      <x:c r="F449" s="18" t="str">
        <x:v>昆明</x:v>
      </x:c>
      <x:c r="G449" s="18" t="str">
        <x:v>云南省</x:v>
      </x:c>
      <x:c r="H449" s="18" t="str">
        <x:v>西区</x:v>
      </x:c>
      <x:c r="I449" s="18" t="str">
        <x:v>Shopping Mall</x:v>
      </x:c>
      <x:c r="J449" s="18" t="str">
        <x:v>Core Shopping Center</x:v>
      </x:c>
      <x:c r="K449" s="18" t="str">
        <x:v>正常</x:v>
      </x:c>
      <x:c r="L449" s="62" t="n">
        <x:v>4</x:v>
      </x:c>
      <x:c r="M449" s="62" t="n">
        <x:v>31</x:v>
      </x:c>
      <x:c r="N449" s="63" t="n">
        <x:f>'Drivers'!C449</x:f>
        <x:v>1369</x:v>
      </x:c>
      <x:c r="O449" s="63" t="n">
        <x:f>'Drivers'!D449</x:f>
        <x:v>1144.498</x:v>
      </x:c>
      <x:c r="P449" s="64" t="n">
        <x:f>ROUND(N449*O449/1000,3)</x:f>
        <x:v>1566.818</x:v>
      </x:c>
      <x:c r="Q449" s="64" t="n">
        <x:f>ROUND(P449*'Drivers'!E449,3)</x:f>
        <x:v>1523.689</x:v>
      </x:c>
      <x:c r="R449" s="64" t="n">
        <x:f>-ROUND(Q449*'Drivers'!F449,3)</x:f>
        <x:v>-264.563</x:v>
      </x:c>
      <x:c r="S449" s="65" t="n">
        <x:f>R449/Q449</x:f>
        <x:v>-0.17363320205107471</x:v>
      </x:c>
      <x:c r="T449" s="64" t="n">
        <x:f>-ROUND(Q449*'Drivers'!G449,3)</x:f>
        <x:v>-15.244</x:v>
      </x:c>
      <x:c r="U449" s="65" t="n">
        <x:f>T449/Q449</x:f>
        <x:v>-0.010004666306575686</x:v>
      </x:c>
      <x:c r="V449" s="64" t="n">
        <x:f>-ROUND(Q449*'Drivers'!H449,3)</x:f>
        <x:v>-13.496</x:v>
      </x:c>
      <x:c r="W449" s="64" t="n">
        <x:f>-ROUND(Q449*'Drivers'!I449,3)</x:f>
        <x:v>-14.843</x:v>
      </x:c>
      <x:c r="X449" s="64" t="n">
        <x:f>-ROUND(Q449*'Drivers'!J449,3)</x:f>
        <x:v>-24.411</x:v>
      </x:c>
      <x:c r="Y449" s="64" t="n">
        <x:f>-ROUND(Q449*'Drivers'!K449,3)</x:f>
        <x:v>-16.551</x:v>
      </x:c>
      <x:c r="Z449" s="64" t="n">
        <x:f>-ROUND(Q449*'Drivers'!L449,3)</x:f>
        <x:v>-13.893</x:v>
      </x:c>
      <x:c r="AA449" s="64" t="n">
        <x:f>-ROUND(Q449*'Drivers'!M449,3)</x:f>
        <x:v>-11.46</x:v>
      </x:c>
      <x:c r="AB449" s="64" t="n">
        <x:f>-ROUND(Q449*'Drivers'!N449,3)</x:f>
        <x:v>-10.481</x:v>
      </x:c>
      <x:c r="AC449" s="64" t="n">
        <x:f>SUM(V449:AB449)</x:f>
        <x:v>-105.13499999999999</x:v>
      </x:c>
      <x:c r="AD449" s="65" t="n">
        <x:f>AC449/Q449</x:f>
        <x:v>-0.06900030124257639</x:v>
      </x:c>
      <x:c r="AE449" s="64" t="n">
        <x:f>-ROUND(Q449*'Drivers'!O449,3)</x:f>
        <x:v>-20.678</x:v>
      </x:c>
      <x:c r="AF449" s="65" t="n">
        <x:f>AE449/Q449</x:f>
        <x:v>-0.01357101088214196</x:v>
      </x:c>
      <x:c r="AG449" s="64" t="n">
        <x:f>-ROUND(Q449*'Drivers'!P449,3)</x:f>
        <x:v>-1.472</x:v>
      </x:c>
      <x:c r="AH449" s="64" t="n">
        <x:f>-ROUND(Q449*'Drivers'!Q449,3)</x:f>
        <x:v>-3.78</x:v>
      </x:c>
      <x:c r="AI449" s="64" t="n">
        <x:f>SUM(R449,T449,AC449,AE449,AG449,AH449)</x:f>
        <x:v>-410.87199999999996</x:v>
      </x:c>
      <x:c r="AJ449" s="65" t="n">
        <x:f>AI449/Q449</x:f>
        <x:v>-0.269656078110428</x:v>
      </x:c>
      <x:c r="AK449" s="64" t="n">
        <x:f>Q449+AI449</x:f>
        <x:v>1112.817</x:v>
      </x:c>
      <x:c r="AL449" s="65" t="n">
        <x:f>AK449/Q449</x:f>
        <x:v>0.7303439218895719</x:v>
      </x:c>
      <x:c r="AM449" s="64" t="n">
        <x:f>AK449/L449</x:f>
        <x:v>278.20425</x:v>
      </x:c>
      <x:c r="AN449" s="66" t="str">
        <x:f>IF(AM449&lt;=200,"≤200K",IF(AM449&lt;=350,"200–350K",IF(AM449&lt;=500,"350–500K",IF(AM449&lt;=700,"500–700K","&gt;700K"))))</x:f>
        <x:v>200–350K</x:v>
      </x:c>
      <x:c r="AO449" s="64" t="n">
        <x:f>-ROUND(Q449*'Drivers'!R449,3)</x:f>
        <x:v>-592.084</x:v>
      </x:c>
      <x:c r="AP449" s="64" t="n">
        <x:f>-ROUND(AK449*'Drivers'!S449,3)</x:f>
        <x:v>-18.085</x:v>
      </x:c>
      <x:c r="AQ449" s="64" t="n">
        <x:f>-ROUND(AK449*'Drivers'!T449,3)</x:f>
        <x:v>-7.522</x:v>
      </x:c>
      <x:c r="AR449" s="64" t="n">
        <x:f>-ROUND(AK449*'Drivers'!U449,3)</x:f>
        <x:v>-7.339</x:v>
      </x:c>
      <x:c r="AS449" s="64" t="n">
        <x:f>-ROUND(AK449*'Drivers'!V449,3)</x:f>
        <x:v>-43.04</x:v>
      </x:c>
      <x:c r="AT449" s="64" t="n">
        <x:f>SUM(AO449:AS449)</x:f>
        <x:v>-668.07</x:v>
      </x:c>
      <x:c r="AU449" s="65" t="n">
        <x:f>AT449/AK449</x:f>
        <x:v>-0.6003412960082386</x:v>
      </x:c>
      <x:c r="AV449" s="64" t="n">
        <x:f>AK449+AT449</x:f>
        <x:v>444.74699999999996</x:v>
      </x:c>
      <x:c r="AW449" s="65" t="n">
        <x:f>AV449/AK449</x:f>
        <x:v>0.3996587039917614</x:v>
      </x:c>
      <x:c r="AX449" s="64" t="n">
        <x:f>-ROUND(AK449*'Drivers'!W449,3)</x:f>
        <x:v>-11.2</x:v>
      </x:c>
      <x:c r="AY449" s="64" t="n">
        <x:f>-ROUND(AK449*'Drivers'!X449,3)</x:f>
        <x:v>-29.306</x:v>
      </x:c>
      <x:c r="AZ449" s="64" t="n">
        <x:f>-ROUND(AK449*'Drivers'!Y449,3)</x:f>
        <x:v>-23.441</x:v>
      </x:c>
      <x:c r="BA449" s="64" t="n">
        <x:f>-ROUND(AK449*'Drivers'!Z449,3)</x:f>
        <x:v>-7.201</x:v>
      </x:c>
      <x:c r="BB449" s="64" t="n">
        <x:f>-ROUND(AK449*'Drivers'!AA449,3)</x:f>
        <x:v>-10.756</x:v>
      </x:c>
      <x:c r="BC449" s="64" t="n">
        <x:f>SUM(BA449,BB449)</x:f>
        <x:v>-17.957</x:v>
      </x:c>
      <x:c r="BD449" s="64" t="n">
        <x:f>-ROUND(AK449*'Drivers'!AB449,3)</x:f>
        <x:v>-7.881</x:v>
      </x:c>
      <x:c r="BE449" s="64" t="n">
        <x:f>SUM(AX449:BB449,BD449)</x:f>
        <x:v>-89.785</x:v>
      </x:c>
      <x:c r="BF449" s="67" t="n">
        <x:f>'Drivers'!AF449</x:f>
        <x:v>6</x:v>
      </x:c>
      <x:c r="BG449" s="64" t="n">
        <x:f>BJ449</x:f>
        <x:v>-30.242</x:v>
      </x:c>
      <x:c r="BH449" s="64" t="n">
        <x:f>BE449/BF449</x:f>
        <x:v>-14.964166666666666</x:v>
      </x:c>
      <x:c r="BI449" s="68" t="n">
        <x:f>BF449/L449</x:f>
        <x:v>1.5</x:v>
      </x:c>
      <x:c r="BJ449" s="64" t="n">
        <x:f>-ROUND(AK449*'Drivers'!AC449,3)</x:f>
        <x:v>-30.242</x:v>
      </x:c>
      <x:c r="BK449" s="64" t="n">
        <x:f>-ROUND(AK449*'Drivers'!AD449,3)</x:f>
        <x:v>-97.944</x:v>
      </x:c>
      <x:c r="BL449" s="64" t="n">
        <x:f>SUM(AV449,BE449,BJ449,BK449)</x:f>
        <x:v>226.77599999999995</x:v>
      </x:c>
      <x:c r="BM449" s="65" t="n">
        <x:f>BL449/AK449</x:f>
        <x:v>0.20378552807874067</x:v>
      </x:c>
      <x:c r="BN449" s="64" t="n">
        <x:f>-ROUND(AK449*'Drivers'!AE449,3)</x:f>
        <x:v>-73.251</x:v>
      </x:c>
      <x:c r="BO449" s="64" t="n">
        <x:f>BL449+BN449</x:f>
        <x:v>153.52499999999995</x:v>
      </x:c>
      <x:c r="BP449" s="65" t="n">
        <x:f>BO449/AK449</x:f>
        <x:v>0.13796068895424848</x:v>
      </x:c>
    </x:row>
    <x:row r="450">
      <x:c r="A450" s="61" t="n">
        <x:v>2025</x:v>
      </x:c>
      <x:c r="B450" s="18" t="str">
        <x:v>S1</x:v>
      </x:c>
      <x:c r="C450" s="18" t="str">
        <x:v>2025 S1</x:v>
      </x:c>
      <x:c r="D450" s="18" t="str">
        <x:v>CNCT0113</x:v>
      </x:c>
      <x:c r="E450" s="18" t="str">
        <x:v>昆明万象城</x:v>
      </x:c>
      <x:c r="F450" s="18" t="str">
        <x:v>昆明</x:v>
      </x:c>
      <x:c r="G450" s="18" t="str">
        <x:v>云南省</x:v>
      </x:c>
      <x:c r="H450" s="18" t="str">
        <x:v>西区</x:v>
      </x:c>
      <x:c r="I450" s="18" t="str">
        <x:v>Shopping Mall</x:v>
      </x:c>
      <x:c r="J450" s="18" t="str">
        <x:v>Prestige Shopping Center</x:v>
      </x:c>
      <x:c r="K450" s="18" t="str">
        <x:v>正常</x:v>
      </x:c>
      <x:c r="L450" s="62" t="n">
        <x:v>4</x:v>
      </x:c>
      <x:c r="M450" s="62" t="n">
        <x:v>31</x:v>
      </x:c>
      <x:c r="N450" s="63" t="n">
        <x:f>'Drivers'!C450</x:f>
        <x:v>1633</x:v>
      </x:c>
      <x:c r="O450" s="63" t="n">
        <x:f>'Drivers'!D450</x:f>
        <x:v>1234.568</x:v>
      </x:c>
      <x:c r="P450" s="64" t="n">
        <x:f>ROUND(N450*O450/1000,3)</x:f>
        <x:v>2016.05</x:v>
      </x:c>
      <x:c r="Q450" s="64" t="n">
        <x:f>ROUND(P450*'Drivers'!E450,3)</x:f>
        <x:v>1970.954</x:v>
      </x:c>
      <x:c r="R450" s="64" t="n">
        <x:f>-ROUND(Q450*'Drivers'!F450,3)</x:f>
        <x:v>-374.743</x:v>
      </x:c>
      <x:c r="S450" s="65" t="n">
        <x:f>R450/Q450</x:f>
        <x:v>-0.19013279863456986</x:v>
      </x:c>
      <x:c r="T450" s="64" t="n">
        <x:f>-ROUND(Q450*'Drivers'!G450,3)</x:f>
        <x:v>-32.698</x:v>
      </x:c>
      <x:c r="U450" s="65" t="n">
        <x:f>T450/Q450</x:f>
        <x:v>-0.01658993563523045</x:v>
      </x:c>
      <x:c r="V450" s="64" t="n">
        <x:f>-ROUND(Q450*'Drivers'!H450,3)</x:f>
        <x:v>-15.849</x:v>
      </x:c>
      <x:c r="W450" s="64" t="n">
        <x:f>-ROUND(Q450*'Drivers'!I450,3)</x:f>
        <x:v>-15.617</x:v>
      </x:c>
      <x:c r="X450" s="64" t="n">
        <x:f>-ROUND(Q450*'Drivers'!J450,3)</x:f>
        <x:v>-30.845</x:v>
      </x:c>
      <x:c r="Y450" s="64" t="n">
        <x:f>-ROUND(Q450*'Drivers'!K450,3)</x:f>
        <x:v>-21.639</x:v>
      </x:c>
      <x:c r="Z450" s="64" t="n">
        <x:f>-ROUND(Q450*'Drivers'!L450,3)</x:f>
        <x:v>-24.266</x:v>
      </x:c>
      <x:c r="AA450" s="64" t="n">
        <x:f>-ROUND(Q450*'Drivers'!M450,3)</x:f>
        <x:v>-14.344</x:v>
      </x:c>
      <x:c r="AB450" s="64" t="n">
        <x:f>-ROUND(Q450*'Drivers'!N450,3)</x:f>
        <x:v>-12.027</x:v>
      </x:c>
      <x:c r="AC450" s="64" t="n">
        <x:f>SUM(V450:AB450)</x:f>
        <x:v>-134.587</x:v>
      </x:c>
      <x:c r="AD450" s="65" t="n">
        <x:f>AC450/Q450</x:f>
        <x:v>-0.06828520604742677</x:v>
      </x:c>
      <x:c r="AE450" s="64" t="n">
        <x:f>-ROUND(Q450*'Drivers'!O450,3)</x:f>
        <x:v>-30.578</x:v>
      </x:c>
      <x:c r="AF450" s="65" t="n">
        <x:f>AE450/Q450</x:f>
        <x:v>-0.015514314387854816</x:v>
      </x:c>
      <x:c r="AG450" s="64" t="n">
        <x:f>-ROUND(Q450*'Drivers'!P450,3)</x:f>
        <x:v>-3.025</x:v>
      </x:c>
      <x:c r="AH450" s="64" t="n">
        <x:f>-ROUND(Q450*'Drivers'!Q450,3)</x:f>
        <x:v>-10.77</x:v>
      </x:c>
      <x:c r="AI450" s="64" t="n">
        <x:f>SUM(R450,T450,AC450,AE450,AG450,AH450)</x:f>
        <x:v>-586.401</x:v>
      </x:c>
      <x:c r="AJ450" s="65" t="n">
        <x:f>AI450/Q450</x:f>
        <x:v>-0.2975214033407172</x:v>
      </x:c>
      <x:c r="AK450" s="64" t="n">
        <x:f>Q450+AI450</x:f>
        <x:v>1384.5529999999999</x:v>
      </x:c>
      <x:c r="AL450" s="65" t="n">
        <x:f>AK450/Q450</x:f>
        <x:v>0.7024785966592827</x:v>
      </x:c>
      <x:c r="AM450" s="64" t="n">
        <x:f>AK450/L450</x:f>
        <x:v>346.13824999999997</x:v>
      </x:c>
      <x:c r="AN450" s="66" t="str">
        <x:f>IF(AM450&lt;=200,"≤200K",IF(AM450&lt;=350,"200–350K",IF(AM450&lt;=500,"350–500K",IF(AM450&lt;=700,"500–700K","&gt;700K"))))</x:f>
        <x:v>200–350K</x:v>
      </x:c>
      <x:c r="AO450" s="64" t="n">
        <x:f>-ROUND(Q450*'Drivers'!R450,3)</x:f>
        <x:v>-723.509</x:v>
      </x:c>
      <x:c r="AP450" s="64" t="n">
        <x:f>-ROUND(AK450*'Drivers'!S450,3)</x:f>
        <x:v>-22.682</x:v>
      </x:c>
      <x:c r="AQ450" s="64" t="n">
        <x:f>-ROUND(AK450*'Drivers'!T450,3)</x:f>
        <x:v>-9.061</x:v>
      </x:c>
      <x:c r="AR450" s="64" t="n">
        <x:f>-ROUND(AK450*'Drivers'!U450,3)</x:f>
        <x:v>-16.969</x:v>
      </x:c>
      <x:c r="AS450" s="64" t="n">
        <x:f>-ROUND(AK450*'Drivers'!V450,3)</x:f>
        <x:v>-48.663</x:v>
      </x:c>
      <x:c r="AT450" s="64" t="n">
        <x:f>SUM(AO450:AS450)</x:f>
        <x:v>-820.8840000000001</x:v>
      </x:c>
      <x:c r="AU450" s="65" t="n">
        <x:f>AT450/AK450</x:f>
        <x:v>-0.5928873795369337</x:v>
      </x:c>
      <x:c r="AV450" s="64" t="n">
        <x:f>AK450+AT450</x:f>
        <x:v>563.6689999999998</x:v>
      </x:c>
      <x:c r="AW450" s="65" t="n">
        <x:f>AV450/AK450</x:f>
        <x:v>0.4071126204630663</x:v>
      </x:c>
      <x:c r="AX450" s="64" t="n">
        <x:f>-ROUND(AK450*'Drivers'!W450,3)</x:f>
        <x:v>-16.628</x:v>
      </x:c>
      <x:c r="AY450" s="64" t="n">
        <x:f>-ROUND(AK450*'Drivers'!X450,3)</x:f>
        <x:v>-25.256</x:v>
      </x:c>
      <x:c r="AZ450" s="64" t="n">
        <x:f>-ROUND(AK450*'Drivers'!Y450,3)</x:f>
        <x:v>-22.718</x:v>
      </x:c>
      <x:c r="BA450" s="64" t="n">
        <x:f>-ROUND(AK450*'Drivers'!Z450,3)</x:f>
        <x:v>-8.342</x:v>
      </x:c>
      <x:c r="BB450" s="64" t="n">
        <x:f>-ROUND(AK450*'Drivers'!AA450,3)</x:f>
        <x:v>-7.477</x:v>
      </x:c>
      <x:c r="BC450" s="64" t="n">
        <x:f>SUM(BA450,BB450)</x:f>
        <x:v>-15.819</x:v>
      </x:c>
      <x:c r="BD450" s="64" t="n">
        <x:f>-ROUND(AK450*'Drivers'!AB450,3)</x:f>
        <x:v>-7.44</x:v>
      </x:c>
      <x:c r="BE450" s="64" t="n">
        <x:f>SUM(AX450:BB450,BD450)</x:f>
        <x:v>-87.861</x:v>
      </x:c>
      <x:c r="BF450" s="67" t="n">
        <x:f>'Drivers'!AF450</x:f>
        <x:v>8</x:v>
      </x:c>
      <x:c r="BG450" s="64" t="n">
        <x:f>BJ450</x:f>
        <x:v>-34.219</x:v>
      </x:c>
      <x:c r="BH450" s="64" t="n">
        <x:f>BE450/BF450</x:f>
        <x:v>-10.982625</x:v>
      </x:c>
      <x:c r="BI450" s="68" t="n">
        <x:f>BF450/L450</x:f>
        <x:v>2</x:v>
      </x:c>
      <x:c r="BJ450" s="64" t="n">
        <x:f>-ROUND(AK450*'Drivers'!AC450,3)</x:f>
        <x:v>-34.219</x:v>
      </x:c>
      <x:c r="BK450" s="64" t="n">
        <x:f>-ROUND(AK450*'Drivers'!AD450,3)</x:f>
        <x:v>-131.581</x:v>
      </x:c>
      <x:c r="BL450" s="64" t="n">
        <x:f>SUM(AV450,BE450,BJ450,BK450)</x:f>
        <x:v>310.0079999999998</x:v>
      </x:c>
      <x:c r="BM450" s="65" t="n">
        <x:f>BL450/AK450</x:f>
        <x:v>0.22390475481978647</x:v>
      </x:c>
      <x:c r="BN450" s="64" t="n">
        <x:f>-ROUND(AK450*'Drivers'!AE450,3)</x:f>
        <x:v>-126.119</x:v>
      </x:c>
      <x:c r="BO450" s="64" t="n">
        <x:f>BL450+BN450</x:f>
        <x:v>183.8889999999998</x:v>
      </x:c>
      <x:c r="BP450" s="65" t="n">
        <x:f>BO450/AK450</x:f>
        <x:v>0.1328147062625987</x:v>
      </x:c>
    </x:row>
    <x:row r="451">
      <x:c r="A451" s="61" t="n">
        <x:v>2025</x:v>
      </x:c>
      <x:c r="B451" s="18" t="str">
        <x:v>S2</x:v>
      </x:c>
      <x:c r="C451" s="18" t="str">
        <x:v>2025 S2</x:v>
      </x:c>
      <x:c r="D451" s="18" t="str">
        <x:v>CNCT0113</x:v>
      </x:c>
      <x:c r="E451" s="18" t="str">
        <x:v>昆明万象城</x:v>
      </x:c>
      <x:c r="F451" s="18" t="str">
        <x:v>昆明</x:v>
      </x:c>
      <x:c r="G451" s="18" t="str">
        <x:v>云南省</x:v>
      </x:c>
      <x:c r="H451" s="18" t="str">
        <x:v>西区</x:v>
      </x:c>
      <x:c r="I451" s="18" t="str">
        <x:v>Shopping Mall</x:v>
      </x:c>
      <x:c r="J451" s="18" t="str">
        <x:v>Prestige Shopping Center</x:v>
      </x:c>
      <x:c r="K451" s="18" t="str">
        <x:v>正常</x:v>
      </x:c>
      <x:c r="L451" s="62" t="n">
        <x:v>4</x:v>
      </x:c>
      <x:c r="M451" s="62" t="n">
        <x:v>31</x:v>
      </x:c>
      <x:c r="N451" s="63" t="n">
        <x:f>'Drivers'!C451</x:f>
        <x:v>1749</x:v>
      </x:c>
      <x:c r="O451" s="63" t="n">
        <x:f>'Drivers'!D451</x:f>
        <x:v>1249.382</x:v>
      </x:c>
      <x:c r="P451" s="64" t="n">
        <x:f>ROUND(N451*O451/1000,3)</x:f>
        <x:v>2185.169</x:v>
      </x:c>
      <x:c r="Q451" s="64" t="n">
        <x:f>ROUND(P451*'Drivers'!E451,3)</x:f>
        <x:v>2136.008</x:v>
      </x:c>
      <x:c r="R451" s="64" t="n">
        <x:f>-ROUND(Q451*'Drivers'!F451,3)</x:f>
        <x:v>-406.125</x:v>
      </x:c>
      <x:c r="S451" s="65" t="n">
        <x:f>R451/Q451</x:f>
        <x:v>-0.19013271485874586</x:v>
      </x:c>
      <x:c r="T451" s="64" t="n">
        <x:f>-ROUND(Q451*'Drivers'!G451,3)</x:f>
        <x:v>-35.436</x:v>
      </x:c>
      <x:c r="U451" s="65" t="n">
        <x:f>T451/Q451</x:f>
        <x:v>-0.016589825506271513</x:v>
      </x:c>
      <x:c r="V451" s="64" t="n">
        <x:f>-ROUND(Q451*'Drivers'!H451,3)</x:f>
        <x:v>-17.176</x:v>
      </x:c>
      <x:c r="W451" s="64" t="n">
        <x:f>-ROUND(Q451*'Drivers'!I451,3)</x:f>
        <x:v>-16.925</x:v>
      </x:c>
      <x:c r="X451" s="64" t="n">
        <x:f>-ROUND(Q451*'Drivers'!J451,3)</x:f>
        <x:v>-33.428</x:v>
      </x:c>
      <x:c r="Y451" s="64" t="n">
        <x:f>-ROUND(Q451*'Drivers'!K451,3)</x:f>
        <x:v>-23.451</x:v>
      </x:c>
      <x:c r="Z451" s="64" t="n">
        <x:f>-ROUND(Q451*'Drivers'!L451,3)</x:f>
        <x:v>-26.298</x:v>
      </x:c>
      <x:c r="AA451" s="64" t="n">
        <x:f>-ROUND(Q451*'Drivers'!M451,3)</x:f>
        <x:v>-15.545</x:v>
      </x:c>
      <x:c r="AB451" s="64" t="n">
        <x:f>-ROUND(Q451*'Drivers'!N451,3)</x:f>
        <x:v>-13.035</x:v>
      </x:c>
      <x:c r="AC451" s="64" t="n">
        <x:f>SUM(V451:AB451)</x:f>
        <x:v>-145.85799999999998</x:v>
      </x:c>
      <x:c r="AD451" s="65" t="n">
        <x:f>AC451/Q451</x:f>
        <x:v>-0.06828532477406452</x:v>
      </x:c>
      <x:c r="AE451" s="64" t="n">
        <x:f>-ROUND(Q451*'Drivers'!O451,3)</x:f>
        <x:v>-33.138</x:v>
      </x:c>
      <x:c r="AF451" s="65" t="n">
        <x:f>AE451/Q451</x:f>
        <x:v>-0.015513986839000604</x:v>
      </x:c>
      <x:c r="AG451" s="64" t="n">
        <x:f>-ROUND(Q451*'Drivers'!P451,3)</x:f>
        <x:v>-3.279</x:v>
      </x:c>
      <x:c r="AH451" s="64" t="n">
        <x:f>-ROUND(Q451*'Drivers'!Q451,3)</x:f>
        <x:v>-11.672</x:v>
      </x:c>
      <x:c r="AI451" s="64" t="n">
        <x:f>SUM(R451,T451,AC451,AE451,AG451,AH451)</x:f>
        <x:v>-635.508</x:v>
      </x:c>
      <x:c r="AJ451" s="65" t="n">
        <x:f>AI451/Q451</x:f>
        <x:v>-0.29752135759791165</x:v>
      </x:c>
      <x:c r="AK451" s="64" t="n">
        <x:f>Q451+AI451</x:f>
        <x:v>1500.4999999999998</x:v>
      </x:c>
      <x:c r="AL451" s="65" t="n">
        <x:f>AK451/Q451</x:f>
        <x:v>0.7024786424020883</x:v>
      </x:c>
      <x:c r="AM451" s="64" t="n">
        <x:f>AK451/L451</x:f>
        <x:v>375.12499999999994</x:v>
      </x:c>
      <x:c r="AN451" s="66" t="str">
        <x:f>IF(AM451&lt;=200,"≤200K",IF(AM451&lt;=350,"200–350K",IF(AM451&lt;=500,"350–500K",IF(AM451&lt;=700,"500–700K","&gt;700K"))))</x:f>
        <x:v>350–500K</x:v>
      </x:c>
      <x:c r="AO451" s="64" t="n">
        <x:f>-ROUND(Q451*'Drivers'!R451,3)</x:f>
        <x:v>-750.111</x:v>
      </x:c>
      <x:c r="AP451" s="64" t="n">
        <x:f>-ROUND(AK451*'Drivers'!S451,3)</x:f>
        <x:v>-24.582</x:v>
      </x:c>
      <x:c r="AQ451" s="64" t="n">
        <x:f>-ROUND(AK451*'Drivers'!T451,3)</x:f>
        <x:v>-9.82</x:v>
      </x:c>
      <x:c r="AR451" s="64" t="n">
        <x:f>-ROUND(AK451*'Drivers'!U451,3)</x:f>
        <x:v>-18.39</x:v>
      </x:c>
      <x:c r="AS451" s="64" t="n">
        <x:f>-ROUND(AK451*'Drivers'!V451,3)</x:f>
        <x:v>-52.738</x:v>
      </x:c>
      <x:c r="AT451" s="64" t="n">
        <x:f>SUM(AO451:AS451)</x:f>
        <x:v>-855.6410000000001</x:v>
      </x:c>
      <x:c r="AU451" s="65" t="n">
        <x:f>AT451/AK451</x:f>
        <x:v>-0.570237254248584</x:v>
      </x:c>
      <x:c r="AV451" s="64" t="n">
        <x:f>AK451+AT451</x:f>
        <x:v>644.8589999999997</x:v>
      </x:c>
      <x:c r="AW451" s="65" t="n">
        <x:f>AV451/AK451</x:f>
        <x:v>0.42976274575141604</x:v>
      </x:c>
      <x:c r="AX451" s="64" t="n">
        <x:f>-ROUND(AK451*'Drivers'!W451,3)</x:f>
        <x:v>-18.02</x:v>
      </x:c>
      <x:c r="AY451" s="64" t="n">
        <x:f>-ROUND(AK451*'Drivers'!X451,3)</x:f>
        <x:v>-27.371</x:v>
      </x:c>
      <x:c r="AZ451" s="64" t="n">
        <x:f>-ROUND(AK451*'Drivers'!Y451,3)</x:f>
        <x:v>-24.62</x:v>
      </x:c>
      <x:c r="BA451" s="64" t="n">
        <x:f>-ROUND(AK451*'Drivers'!Z451,3)</x:f>
        <x:v>-9.04</x:v>
      </x:c>
      <x:c r="BB451" s="64" t="n">
        <x:f>-ROUND(AK451*'Drivers'!AA451,3)</x:f>
        <x:v>-8.104</x:v>
      </x:c>
      <x:c r="BC451" s="64" t="n">
        <x:f>SUM(BA451,BB451)</x:f>
        <x:v>-17.144</x:v>
      </x:c>
      <x:c r="BD451" s="64" t="n">
        <x:f>-ROUND(AK451*'Drivers'!AB451,3)</x:f>
        <x:v>-8.063</x:v>
      </x:c>
      <x:c r="BE451" s="64" t="n">
        <x:f>SUM(AX451:BB451,BD451)</x:f>
        <x:v>-95.21799999999999</x:v>
      </x:c>
      <x:c r="BF451" s="67" t="n">
        <x:f>'Drivers'!AF451</x:f>
        <x:v>8</x:v>
      </x:c>
      <x:c r="BG451" s="64" t="n">
        <x:f>BJ451</x:f>
        <x:v>-37.084</x:v>
      </x:c>
      <x:c r="BH451" s="64" t="n">
        <x:f>BE451/BF451</x:f>
        <x:v>-11.902249999999999</x:v>
      </x:c>
      <x:c r="BI451" s="68" t="n">
        <x:f>BF451/L451</x:f>
        <x:v>2</x:v>
      </x:c>
      <x:c r="BJ451" s="64" t="n">
        <x:f>-ROUND(AK451*'Drivers'!AC451,3)</x:f>
        <x:v>-37.084</x:v>
      </x:c>
      <x:c r="BK451" s="64" t="n">
        <x:f>-ROUND(AK451*'Drivers'!AD451,3)</x:f>
        <x:v>-142.6</x:v>
      </x:c>
      <x:c r="BL451" s="64" t="n">
        <x:f>SUM(AV451,BE451,BJ451,BK451)</x:f>
        <x:v>369.95699999999977</x:v>
      </x:c>
      <x:c r="BM451" s="65" t="n">
        <x:f>BL451/AK451</x:f>
        <x:v>0.24655581472842375</x:v>
      </x:c>
      <x:c r="BN451" s="64" t="n">
        <x:f>-ROUND(AK451*'Drivers'!AE451,3)</x:f>
        <x:v>-136.68</x:v>
      </x:c>
      <x:c r="BO451" s="64" t="n">
        <x:f>BL451+BN451</x:f>
        <x:v>233.27699999999976</x:v>
      </x:c>
      <x:c r="BP451" s="65" t="n">
        <x:f>BO451/AK451</x:f>
        <x:v>0.1554661779406863</x:v>
      </x:c>
    </x:row>
    <x:row r="452">
      <x:c r="A452" s="61" t="n">
        <x:v>2026</x:v>
      </x:c>
      <x:c r="B452" s="18" t="str">
        <x:v>S1</x:v>
      </x:c>
      <x:c r="C452" s="18" t="str">
        <x:v>2026 S1</x:v>
      </x:c>
      <x:c r="D452" s="18" t="str">
        <x:v>CNCT0113</x:v>
      </x:c>
      <x:c r="E452" s="18" t="str">
        <x:v>昆明万象城</x:v>
      </x:c>
      <x:c r="F452" s="18" t="str">
        <x:v>昆明</x:v>
      </x:c>
      <x:c r="G452" s="18" t="str">
        <x:v>云南省</x:v>
      </x:c>
      <x:c r="H452" s="18" t="str">
        <x:v>西区</x:v>
      </x:c>
      <x:c r="I452" s="18" t="str">
        <x:v>Shopping Mall</x:v>
      </x:c>
      <x:c r="J452" s="18" t="str">
        <x:v>Prestige Shopping Center</x:v>
      </x:c>
      <x:c r="K452" s="18" t="str">
        <x:v>正常</x:v>
      </x:c>
      <x:c r="L452" s="62" t="n">
        <x:v>4</x:v>
      </x:c>
      <x:c r="M452" s="62" t="n">
        <x:v>31</x:v>
      </x:c>
      <x:c r="N452" s="63" t="n">
        <x:f>'Drivers'!C452</x:f>
        <x:v>1621</x:v>
      </x:c>
      <x:c r="O452" s="63" t="n">
        <x:f>'Drivers'!D452</x:f>
        <x:v>1287.327</x:v>
      </x:c>
      <x:c r="P452" s="64" t="n">
        <x:f>ROUND(N452*O452/1000,3)</x:f>
        <x:v>2086.757</x:v>
      </x:c>
      <x:c r="Q452" s="64" t="n">
        <x:f>ROUND(P452*'Drivers'!E452,3)</x:f>
        <x:v>2031.741</x:v>
      </x:c>
      <x:c r="R452" s="64" t="n">
        <x:f>-ROUND(Q452*'Drivers'!F452,3)</x:f>
        <x:v>-396.6</x:v>
      </x:c>
      <x:c r="S452" s="65" t="n">
        <x:f>R452/Q452</x:f>
        <x:v>-0.19520204593006688</x:v>
      </x:c>
      <x:c r="T452" s="64" t="n">
        <x:f>-ROUND(Q452*'Drivers'!G452,3)</x:f>
        <x:v>-36.806</x:v>
      </x:c>
      <x:c r="U452" s="65" t="n">
        <x:f>T452/Q452</x:f>
        <x:v>-0.01811549798916299</x:v>
      </x:c>
      <x:c r="V452" s="64" t="n">
        <x:f>-ROUND(Q452*'Drivers'!H452,3)</x:f>
        <x:v>-16.337</x:v>
      </x:c>
      <x:c r="W452" s="64" t="n">
        <x:f>-ROUND(Q452*'Drivers'!I452,3)</x:f>
        <x:v>-16.098</x:v>
      </x:c>
      <x:c r="X452" s="64" t="n">
        <x:f>-ROUND(Q452*'Drivers'!J452,3)</x:f>
        <x:v>-31.796</x:v>
      </x:c>
      <x:c r="Y452" s="64" t="n">
        <x:f>-ROUND(Q452*'Drivers'!K452,3)</x:f>
        <x:v>-22.307</x:v>
      </x:c>
      <x:c r="Z452" s="64" t="n">
        <x:f>-ROUND(Q452*'Drivers'!L452,3)</x:f>
        <x:v>-25.015</x:v>
      </x:c>
      <x:c r="AA452" s="64" t="n">
        <x:f>-ROUND(Q452*'Drivers'!M452,3)</x:f>
        <x:v>-14.786</x:v>
      </x:c>
      <x:c r="AB452" s="64" t="n">
        <x:f>-ROUND(Q452*'Drivers'!N452,3)</x:f>
        <x:v>-12.398</x:v>
      </x:c>
      <x:c r="AC452" s="64" t="n">
        <x:f>SUM(V452:AB452)</x:f>
        <x:v>-138.737</x:v>
      </x:c>
      <x:c r="AD452" s="65" t="n">
        <x:f>AC452/Q452</x:f>
        <x:v>-0.06828478629904107</x:v>
      </x:c>
      <x:c r="AE452" s="64" t="n">
        <x:f>-ROUND(Q452*'Drivers'!O452,3)</x:f>
        <x:v>-31.193</x:v>
      </x:c>
      <x:c r="AF452" s="65" t="n">
        <x:f>AE452/Q452</x:f>
        <x:v>-0.015352842709774524</x:v>
      </x:c>
      <x:c r="AG452" s="64" t="n">
        <x:f>-ROUND(Q452*'Drivers'!P452,3)</x:f>
        <x:v>-3.119</x:v>
      </x:c>
      <x:c r="AH452" s="64" t="n">
        <x:f>-ROUND(Q452*'Drivers'!Q452,3)</x:f>
        <x:v>-11.102</x:v>
      </x:c>
      <x:c r="AI452" s="64" t="n">
        <x:f>SUM(R452,T452,AC452,AE452,AG452,AH452)</x:f>
        <x:v>-617.557</x:v>
      </x:c>
      <x:c r="AJ452" s="65" t="n">
        <x:f>AI452/Q452</x:f>
        <x:v>-0.3039545887000361</x:v>
      </x:c>
      <x:c r="AK452" s="64" t="n">
        <x:f>Q452+AI452</x:f>
        <x:v>1414.184</x:v>
      </x:c>
      <x:c r="AL452" s="65" t="n">
        <x:f>AK452/Q452</x:f>
        <x:v>0.6960454112999639</x:v>
      </x:c>
      <x:c r="AM452" s="64" t="n">
        <x:f>AK452/L452</x:f>
        <x:v>353.546</x:v>
      </x:c>
      <x:c r="AN452" s="66" t="str">
        <x:f>IF(AM452&lt;=200,"≤200K",IF(AM452&lt;=350,"200–350K",IF(AM452&lt;=500,"350–500K",IF(AM452&lt;=700,"500–700K","&gt;700K"))))</x:f>
        <x:v>350–500K</x:v>
      </x:c>
      <x:c r="AO452" s="64" t="n">
        <x:f>-ROUND(Q452*'Drivers'!R452,3)</x:f>
        <x:v>-742.336</x:v>
      </x:c>
      <x:c r="AP452" s="64" t="n">
        <x:f>-ROUND(AK452*'Drivers'!S452,3)</x:f>
        <x:v>-23.168</x:v>
      </x:c>
      <x:c r="AQ452" s="64" t="n">
        <x:f>-ROUND(AK452*'Drivers'!T452,3)</x:f>
        <x:v>-9.255</x:v>
      </x:c>
      <x:c r="AR452" s="64" t="n">
        <x:f>-ROUND(AK452*'Drivers'!U452,3)</x:f>
        <x:v>-17.333</x:v>
      </x:c>
      <x:c r="AS452" s="64" t="n">
        <x:f>-ROUND(AK452*'Drivers'!V452,3)</x:f>
        <x:v>-49.704</x:v>
      </x:c>
      <x:c r="AT452" s="64" t="n">
        <x:f>SUM(AO452:AS452)</x:f>
        <x:v>-841.7959999999999</x:v>
      </x:c>
      <x:c r="AU452" s="65" t="n">
        <x:f>AT452/AK452</x:f>
        <x:v>-0.5952521029795274</x:v>
      </x:c>
      <x:c r="AV452" s="64" t="n">
        <x:f>AK452+AT452</x:f>
        <x:v>572.388</x:v>
      </x:c>
      <x:c r="AW452" s="65" t="n">
        <x:f>AV452/AK452</x:f>
        <x:v>0.4047478970204726</x:v>
      </x:c>
      <x:c r="AX452" s="64" t="n">
        <x:f>-ROUND(AK452*'Drivers'!W452,3)</x:f>
        <x:v>-20.898</x:v>
      </x:c>
      <x:c r="AY452" s="64" t="n">
        <x:f>-ROUND(AK452*'Drivers'!X452,3)</x:f>
        <x:v>-31.741</x:v>
      </x:c>
      <x:c r="AZ452" s="64" t="n">
        <x:f>-ROUND(AK452*'Drivers'!Y452,3)</x:f>
        <x:v>-28.551</x:v>
      </x:c>
      <x:c r="BA452" s="64" t="n">
        <x:f>-ROUND(AK452*'Drivers'!Z452,3)</x:f>
        <x:v>-10.484</x:v>
      </x:c>
      <x:c r="BB452" s="64" t="n">
        <x:f>-ROUND(AK452*'Drivers'!AA452,3)</x:f>
        <x:v>-9.397</x:v>
      </x:c>
      <x:c r="BC452" s="64" t="n">
        <x:f>SUM(BA452,BB452)</x:f>
        <x:v>-19.881</x:v>
      </x:c>
      <x:c r="BD452" s="64" t="n">
        <x:f>-ROUND(AK452*'Drivers'!AB452,3)</x:f>
        <x:v>-9.35</x:v>
      </x:c>
      <x:c r="BE452" s="64" t="n">
        <x:f>SUM(AX452:BB452,BD452)</x:f>
        <x:v>-110.42099999999999</x:v>
      </x:c>
      <x:c r="BF452" s="67" t="n">
        <x:f>'Drivers'!AF452</x:f>
        <x:v>8</x:v>
      </x:c>
      <x:c r="BG452" s="64" t="n">
        <x:f>BJ452</x:f>
        <x:v>-43.006</x:v>
      </x:c>
      <x:c r="BH452" s="64" t="n">
        <x:f>BE452/BF452</x:f>
        <x:v>-13.802624999999999</x:v>
      </x:c>
      <x:c r="BI452" s="68" t="n">
        <x:f>BF452/L452</x:f>
        <x:v>2</x:v>
      </x:c>
      <x:c r="BJ452" s="64" t="n">
        <x:f>-ROUND(AK452*'Drivers'!AC452,3)</x:f>
        <x:v>-43.006</x:v>
      </x:c>
      <x:c r="BK452" s="64" t="n">
        <x:f>-ROUND(AK452*'Drivers'!AD452,3)</x:f>
        <x:v>-134.397</x:v>
      </x:c>
      <x:c r="BL452" s="64" t="n">
        <x:f>SUM(AV452,BE452,BJ452,BK452)</x:f>
        <x:v>284.564</x:v>
      </x:c>
      <x:c r="BM452" s="65" t="n">
        <x:f>BL452/AK452</x:f>
        <x:v>0.20122134036306452</x:v>
      </x:c>
      <x:c r="BN452" s="64" t="n">
        <x:f>-ROUND(AK452*'Drivers'!AE452,3)</x:f>
        <x:v>-128.818</x:v>
      </x:c>
      <x:c r="BO452" s="64" t="n">
        <x:f>BL452+BN452</x:f>
        <x:v>155.746</x:v>
      </x:c>
      <x:c r="BP452" s="65" t="n">
        <x:f>BO452/AK452</x:f>
        <x:v>0.11013135490148383</x:v>
      </x:c>
    </x:row>
    <x:row r="453">
      <x:c r="A453" s="61" t="n">
        <x:v>2026</x:v>
      </x:c>
      <x:c r="B453" s="18" t="str">
        <x:v>S2</x:v>
      </x:c>
      <x:c r="C453" s="18" t="str">
        <x:v>2026 S2</x:v>
      </x:c>
      <x:c r="D453" s="18" t="str">
        <x:v>CNCT0113</x:v>
      </x:c>
      <x:c r="E453" s="18" t="str">
        <x:v>昆明万象城</x:v>
      </x:c>
      <x:c r="F453" s="18" t="str">
        <x:v>昆明</x:v>
      </x:c>
      <x:c r="G453" s="18" t="str">
        <x:v>云南省</x:v>
      </x:c>
      <x:c r="H453" s="18" t="str">
        <x:v>西区</x:v>
      </x:c>
      <x:c r="I453" s="18" t="str">
        <x:v>Shopping Mall</x:v>
      </x:c>
      <x:c r="J453" s="18" t="str">
        <x:v>Prestige Shopping Center</x:v>
      </x:c>
      <x:c r="K453" s="18" t="str">
        <x:v>正常</x:v>
      </x:c>
      <x:c r="L453" s="62" t="n">
        <x:v>4</x:v>
      </x:c>
      <x:c r="M453" s="62" t="n">
        <x:v>31</x:v>
      </x:c>
      <x:c r="N453" s="63" t="n">
        <x:f>'Drivers'!C453</x:f>
        <x:v>1761</x:v>
      </x:c>
      <x:c r="O453" s="63" t="n">
        <x:f>'Drivers'!D453</x:f>
        <x:v>1296.685</x:v>
      </x:c>
      <x:c r="P453" s="64" t="n">
        <x:f>ROUND(N453*O453/1000,3)</x:f>
        <x:v>2283.462</x:v>
      </x:c>
      <x:c r="Q453" s="64" t="n">
        <x:f>ROUND(P453*'Drivers'!E453,3)</x:f>
        <x:v>2232.089</x:v>
      </x:c>
      <x:c r="R453" s="64" t="n">
        <x:f>-ROUND(Q453*'Drivers'!F453,3)</x:f>
        <x:v>-417.057</x:v>
      </x:c>
      <x:c r="S453" s="65" t="n">
        <x:f>R453/Q453</x:f>
        <x:v>-0.18684604422135498</x:v>
      </x:c>
      <x:c r="T453" s="64" t="n">
        <x:f>-ROUND(Q453*'Drivers'!G453,3)</x:f>
        <x:v>-32.997</x:v>
      </x:c>
      <x:c r="U453" s="65" t="n">
        <x:f>T453/Q453</x:f>
        <x:v>-0.014783012684530052</x:v>
      </x:c>
      <x:c r="V453" s="64" t="n">
        <x:f>-ROUND(Q453*'Drivers'!H453,3)</x:f>
        <x:v>-17.948</x:v>
      </x:c>
      <x:c r="W453" s="64" t="n">
        <x:f>-ROUND(Q453*'Drivers'!I453,3)</x:f>
        <x:v>-17.686</x:v>
      </x:c>
      <x:c r="X453" s="64" t="n">
        <x:f>-ROUND(Q453*'Drivers'!J453,3)</x:f>
        <x:v>-34.931</x:v>
      </x:c>
      <x:c r="Y453" s="64" t="n">
        <x:f>-ROUND(Q453*'Drivers'!K453,3)</x:f>
        <x:v>-24.506</x:v>
      </x:c>
      <x:c r="Z453" s="64" t="n">
        <x:f>-ROUND(Q453*'Drivers'!L453,3)</x:f>
        <x:v>-27.481</x:v>
      </x:c>
      <x:c r="AA453" s="64" t="n">
        <x:f>-ROUND(Q453*'Drivers'!M453,3)</x:f>
        <x:v>-16.244</x:v>
      </x:c>
      <x:c r="AB453" s="64" t="n">
        <x:f>-ROUND(Q453*'Drivers'!N453,3)</x:f>
        <x:v>-13.621</x:v>
      </x:c>
      <x:c r="AC453" s="64" t="n">
        <x:f>SUM(V453:AB453)</x:f>
        <x:v>-152.417</x:v>
      </x:c>
      <x:c r="AD453" s="65" t="n">
        <x:f>AC453/Q453</x:f>
        <x:v>-0.06828446356753697</x:v>
      </x:c>
      <x:c r="AE453" s="64" t="n">
        <x:f>-ROUND(Q453*'Drivers'!O453,3)</x:f>
        <x:v>-34.629</x:v>
      </x:c>
      <x:c r="AF453" s="65" t="n">
        <x:f>AE453/Q453</x:f>
        <x:v>-0.015514166325805108</x:v>
      </x:c>
      <x:c r="AG453" s="64" t="n">
        <x:f>-ROUND(Q453*'Drivers'!P453,3)</x:f>
        <x:v>-3.426</x:v>
      </x:c>
      <x:c r="AH453" s="64" t="n">
        <x:f>-ROUND(Q453*'Drivers'!Q453,3)</x:f>
        <x:v>-12.197</x:v>
      </x:c>
      <x:c r="AI453" s="64" t="n">
        <x:f>SUM(R453,T453,AC453,AE453,AG453,AH453)</x:f>
        <x:v>-652.7230000000001</x:v>
      </x:c>
      <x:c r="AJ453" s="65" t="n">
        <x:f>AI453/Q453</x:f>
        <x:v>-0.2924269596776831</x:v>
      </x:c>
      <x:c r="AK453" s="64" t="n">
        <x:f>Q453+AI453</x:f>
        <x:v>1579.366</x:v>
      </x:c>
      <x:c r="AL453" s="65" t="n">
        <x:f>AK453/Q453</x:f>
        <x:v>0.7075730403223169</x:v>
      </x:c>
      <x:c r="AM453" s="64" t="n">
        <x:f>AK453/L453</x:f>
        <x:v>394.8415</x:v>
      </x:c>
      <x:c r="AN453" s="66" t="str">
        <x:f>IF(AM453&lt;=200,"≤200K",IF(AM453&lt;=350,"200–350K",IF(AM453&lt;=500,"350–500K",IF(AM453&lt;=700,"500–700K","&gt;700K"))))</x:f>
        <x:v>350–500K</x:v>
      </x:c>
      <x:c r="AO453" s="64" t="n">
        <x:f>-ROUND(Q453*'Drivers'!R453,3)</x:f>
        <x:v>-785.44</x:v>
      </x:c>
      <x:c r="AP453" s="64" t="n">
        <x:f>-ROUND(AK453*'Drivers'!S453,3)</x:f>
        <x:v>-25.874</x:v>
      </x:c>
      <x:c r="AQ453" s="64" t="n">
        <x:f>-ROUND(AK453*'Drivers'!T453,3)</x:f>
        <x:v>-10.336</x:v>
      </x:c>
      <x:c r="AR453" s="64" t="n">
        <x:f>-ROUND(AK453*'Drivers'!U453,3)</x:f>
        <x:v>-19.357</x:v>
      </x:c>
      <x:c r="AS453" s="64" t="n">
        <x:f>-ROUND(AK453*'Drivers'!V453,3)</x:f>
        <x:v>-55.51</x:v>
      </x:c>
      <x:c r="AT453" s="64" t="n">
        <x:f>SUM(AO453:AS453)</x:f>
        <x:v>-896.517</x:v>
      </x:c>
      <x:c r="AU453" s="65" t="n">
        <x:f>AT453/AK453</x:f>
        <x:v>-0.5676435987605153</x:v>
      </x:c>
      <x:c r="AV453" s="64" t="n">
        <x:f>AK453+AT453</x:f>
        <x:v>682.8489999999999</x:v>
      </x:c>
      <x:c r="AW453" s="65" t="n">
        <x:f>AV453/AK453</x:f>
        <x:v>0.43235640123948466</x:v>
      </x:c>
      <x:c r="AX453" s="64" t="n">
        <x:f>-ROUND(AK453*'Drivers'!W453,3)</x:f>
        <x:v>-20.106</x:v>
      </x:c>
      <x:c r="AY453" s="64" t="n">
        <x:f>-ROUND(AK453*'Drivers'!X453,3)</x:f>
        <x:v>-30.538</x:v>
      </x:c>
      <x:c r="AZ453" s="64" t="n">
        <x:f>-ROUND(AK453*'Drivers'!Y453,3)</x:f>
        <x:v>-27.469</x:v>
      </x:c>
      <x:c r="BA453" s="64" t="n">
        <x:f>-ROUND(AK453*'Drivers'!Z453,3)</x:f>
        <x:v>-10.086</x:v>
      </x:c>
      <x:c r="BB453" s="64" t="n">
        <x:f>-ROUND(AK453*'Drivers'!AA453,3)</x:f>
        <x:v>-9.041</x:v>
      </x:c>
      <x:c r="BC453" s="64" t="n">
        <x:f>SUM(BA453,BB453)</x:f>
        <x:v>-19.127000000000002</x:v>
      </x:c>
      <x:c r="BD453" s="64" t="n">
        <x:f>-ROUND(AK453*'Drivers'!AB453,3)</x:f>
        <x:v>-8.996</x:v>
      </x:c>
      <x:c r="BE453" s="64" t="n">
        <x:f>SUM(AX453:BB453,BD453)</x:f>
        <x:v>-106.23599999999999</x:v>
      </x:c>
      <x:c r="BF453" s="67" t="n">
        <x:f>'Drivers'!AF453</x:f>
        <x:v>8</x:v>
      </x:c>
      <x:c r="BG453" s="64" t="n">
        <x:f>BJ453</x:f>
        <x:v>-41.376</x:v>
      </x:c>
      <x:c r="BH453" s="64" t="n">
        <x:f>BE453/BF453</x:f>
        <x:v>-13.279499999999999</x:v>
      </x:c>
      <x:c r="BI453" s="68" t="n">
        <x:f>BF453/L453</x:f>
        <x:v>2</x:v>
      </x:c>
      <x:c r="BJ453" s="64" t="n">
        <x:f>-ROUND(AK453*'Drivers'!AC453,3)</x:f>
        <x:v>-41.376</x:v>
      </x:c>
      <x:c r="BK453" s="64" t="n">
        <x:f>-ROUND(AK453*'Drivers'!AD453,3)</x:f>
        <x:v>-150.095</x:v>
      </x:c>
      <x:c r="BL453" s="64" t="n">
        <x:f>SUM(AV453,BE453,BJ453,BK453)</x:f>
        <x:v>385.14199999999994</x:v>
      </x:c>
      <x:c r="BM453" s="65" t="n">
        <x:f>BL453/AK453</x:f>
        <x:v>0.24385861162010575</x:v>
      </x:c>
      <x:c r="BN453" s="64" t="n">
        <x:f>-ROUND(AK453*'Drivers'!AE453,3)</x:f>
        <x:v>-143.864</x:v>
      </x:c>
      <x:c r="BO453" s="64" t="n">
        <x:f>BL453+BN453</x:f>
        <x:v>241.27799999999993</x:v>
      </x:c>
      <x:c r="BP453" s="65" t="n">
        <x:f>BO453/AK453</x:f>
        <x:v>0.1527688958734074</x:v>
      </x:c>
    </x:row>
    <x:row r="454">
      <x:c r="A454" s="61" t="n">
        <x:v>2025</x:v>
      </x:c>
      <x:c r="B454" s="18" t="str">
        <x:v>S1</x:v>
      </x:c>
      <x:c r="C454" s="18" t="str">
        <x:v>2025 S1</x:v>
      </x:c>
      <x:c r="D454" s="18" t="str">
        <x:v>CNCT0114</x:v>
      </x:c>
      <x:c r="E454" s="18" t="str">
        <x:v>昆明大悦城</x:v>
      </x:c>
      <x:c r="F454" s="18" t="str">
        <x:v>昆明</x:v>
      </x:c>
      <x:c r="G454" s="18" t="str">
        <x:v>云南省</x:v>
      </x:c>
      <x:c r="H454" s="18" t="str">
        <x:v>西区</x:v>
      </x:c>
      <x:c r="I454" s="18" t="str">
        <x:v>Shopping Mall</x:v>
      </x:c>
      <x:c r="J454" s="18" t="str">
        <x:v>Core Shopping Center</x:v>
      </x:c>
      <x:c r="K454" s="18" t="str">
        <x:v>正常</x:v>
      </x:c>
      <x:c r="L454" s="62" t="n">
        <x:v>4</x:v>
      </x:c>
      <x:c r="M454" s="62" t="n">
        <x:v>31</x:v>
      </x:c>
      <x:c r="N454" s="63" t="n">
        <x:f>'Drivers'!C454</x:f>
        <x:v>1571</x:v>
      </x:c>
      <x:c r="O454" s="63" t="n">
        <x:f>'Drivers'!D454</x:f>
        <x:v>1023.737</x:v>
      </x:c>
      <x:c r="P454" s="64" t="n">
        <x:f>ROUND(N454*O454/1000,3)</x:f>
        <x:v>1608.291</x:v>
      </x:c>
      <x:c r="Q454" s="64" t="n">
        <x:f>ROUND(P454*'Drivers'!E454,3)</x:f>
        <x:v>1583.254</x:v>
      </x:c>
      <x:c r="R454" s="64" t="n">
        <x:f>-ROUND(Q454*'Drivers'!F454,3)</x:f>
        <x:v>-342.03</x:v>
      </x:c>
      <x:c r="S454" s="65" t="n">
        <x:f>R454/Q454</x:f>
        <x:v>-0.21602977159697687</x:v>
      </x:c>
      <x:c r="T454" s="64" t="n">
        <x:f>-ROUND(Q454*'Drivers'!G454,3)</x:f>
        <x:v>-29.01</x:v>
      </x:c>
      <x:c r="U454" s="65" t="n">
        <x:f>T454/Q454</x:f>
        <x:v>-0.01832302334306435</x:v>
      </x:c>
      <x:c r="V454" s="64" t="n">
        <x:f>-ROUND(Q454*'Drivers'!H454,3)</x:f>
        <x:v>-15.802</x:v>
      </x:c>
      <x:c r="W454" s="64" t="n">
        <x:f>-ROUND(Q454*'Drivers'!I454,3)</x:f>
        <x:v>-12.951</x:v>
      </x:c>
      <x:c r="X454" s="64" t="n">
        <x:f>-ROUND(Q454*'Drivers'!J454,3)</x:f>
        <x:v>-18.315</x:v>
      </x:c>
      <x:c r="Y454" s="64" t="n">
        <x:f>-ROUND(Q454*'Drivers'!K454,3)</x:f>
        <x:v>-22.086</x:v>
      </x:c>
      <x:c r="Z454" s="64" t="n">
        <x:f>-ROUND(Q454*'Drivers'!L454,3)</x:f>
        <x:v>-15.429</x:v>
      </x:c>
      <x:c r="AA454" s="64" t="n">
        <x:f>-ROUND(Q454*'Drivers'!M454,3)</x:f>
        <x:v>-16.116</x:v>
      </x:c>
      <x:c r="AB454" s="64" t="n">
        <x:f>-ROUND(Q454*'Drivers'!N454,3)</x:f>
        <x:v>-8.289</x:v>
      </x:c>
      <x:c r="AC454" s="64" t="n">
        <x:f>SUM(V454:AB454)</x:f>
        <x:v>-108.988</x:v>
      </x:c>
      <x:c r="AD454" s="65" t="n">
        <x:f>AC454/Q454</x:f>
        <x:v>-0.0688379754606652</x:v>
      </x:c>
      <x:c r="AE454" s="64" t="n">
        <x:f>-ROUND(Q454*'Drivers'!O454,3)</x:f>
        <x:v>-18.279</x:v>
      </x:c>
      <x:c r="AF454" s="65" t="n">
        <x:f>AE454/Q454</x:f>
        <x:v>-0.011545210054735374</x:v>
      </x:c>
      <x:c r="AG454" s="64" t="n">
        <x:f>-ROUND(Q454*'Drivers'!P454,3)</x:f>
        <x:v>-0.96</x:v>
      </x:c>
      <x:c r="AH454" s="64" t="n">
        <x:f>-ROUND(Q454*'Drivers'!Q454,3)</x:f>
        <x:v>-3.693</x:v>
      </x:c>
      <x:c r="AI454" s="64" t="n">
        <x:f>SUM(R454,T454,AC454,AE454,AG454,AH454)</x:f>
        <x:v>-502.9599999999999</x:v>
      </x:c>
      <x:c r="AJ454" s="65" t="n">
        <x:f>AI454/Q454</x:f>
        <x:v>-0.317674864551108</x:v>
      </x:c>
      <x:c r="AK454" s="64" t="n">
        <x:f>Q454+AI454</x:f>
        <x:v>1080.2939999999999</x:v>
      </x:c>
      <x:c r="AL454" s="65" t="n">
        <x:f>AK454/Q454</x:f>
        <x:v>0.682325135448892</x:v>
      </x:c>
      <x:c r="AM454" s="64" t="n">
        <x:f>AK454/L454</x:f>
        <x:v>270.07349999999997</x:v>
      </x:c>
      <x:c r="AN454" s="66" t="str">
        <x:f>IF(AM454&lt;=200,"≤200K",IF(AM454&lt;=350,"200–350K",IF(AM454&lt;=500,"350–500K",IF(AM454&lt;=700,"500–700K","&gt;700K"))))</x:f>
        <x:v>200–350K</x:v>
      </x:c>
      <x:c r="AO454" s="64" t="n">
        <x:f>-ROUND(Q454*'Drivers'!R454,3)</x:f>
        <x:v>-555.069</x:v>
      </x:c>
      <x:c r="AP454" s="64" t="n">
        <x:f>-ROUND(AK454*'Drivers'!S454,3)</x:f>
        <x:v>-15.17</x:v>
      </x:c>
      <x:c r="AQ454" s="64" t="n">
        <x:f>-ROUND(AK454*'Drivers'!T454,3)</x:f>
        <x:v>-5.616</x:v>
      </x:c>
      <x:c r="AR454" s="64" t="n">
        <x:f>-ROUND(AK454*'Drivers'!U454,3)</x:f>
        <x:v>-7.503</x:v>
      </x:c>
      <x:c r="AS454" s="64" t="n">
        <x:f>-ROUND(AK454*'Drivers'!V454,3)</x:f>
        <x:v>-39.061</x:v>
      </x:c>
      <x:c r="AT454" s="64" t="n">
        <x:f>SUM(AO454:AS454)</x:f>
        <x:v>-622.419</x:v>
      </x:c>
      <x:c r="AU454" s="65" t="n">
        <x:f>AT454/AK454</x:f>
        <x:v>-0.5761570461374405</x:v>
      </x:c>
      <x:c r="AV454" s="64" t="n">
        <x:f>AK454+AT454</x:f>
        <x:v>457.8749999999999</x:v>
      </x:c>
      <x:c r="AW454" s="65" t="n">
        <x:f>AV454/AK454</x:f>
        <x:v>0.4238429538625596</x:v>
      </x:c>
      <x:c r="AX454" s="64" t="n">
        <x:f>-ROUND(AK454*'Drivers'!W454,3)</x:f>
        <x:v>-11.567</x:v>
      </x:c>
      <x:c r="AY454" s="64" t="n">
        <x:f>-ROUND(AK454*'Drivers'!X454,3)</x:f>
        <x:v>-27.486</x:v>
      </x:c>
      <x:c r="AZ454" s="64" t="n">
        <x:f>-ROUND(AK454*'Drivers'!Y454,3)</x:f>
        <x:v>-21.035</x:v>
      </x:c>
      <x:c r="BA454" s="64" t="n">
        <x:f>-ROUND(AK454*'Drivers'!Z454,3)</x:f>
        <x:v>-5.592</x:v>
      </x:c>
      <x:c r="BB454" s="64" t="n">
        <x:f>-ROUND(AK454*'Drivers'!AA454,3)</x:f>
        <x:v>-9.753</x:v>
      </x:c>
      <x:c r="BC454" s="64" t="n">
        <x:f>SUM(BA454,BB454)</x:f>
        <x:v>-15.344999999999999</x:v>
      </x:c>
      <x:c r="BD454" s="64" t="n">
        <x:f>-ROUND(AK454*'Drivers'!AB454,3)</x:f>
        <x:v>-7.16</x:v>
      </x:c>
      <x:c r="BE454" s="64" t="n">
        <x:f>SUM(AX454:BB454,BD454)</x:f>
        <x:v>-82.59299999999999</x:v>
      </x:c>
      <x:c r="BF454" s="67" t="n">
        <x:f>'Drivers'!AF454</x:f>
        <x:v>7</x:v>
      </x:c>
      <x:c r="BG454" s="64" t="n">
        <x:f>BJ454</x:f>
        <x:v>-26.483</x:v>
      </x:c>
      <x:c r="BH454" s="64" t="n">
        <x:f>BE454/BF454</x:f>
        <x:v>-11.798999999999998</x:v>
      </x:c>
      <x:c r="BI454" s="68" t="n">
        <x:f>BF454/L454</x:f>
        <x:v>1.75</x:v>
      </x:c>
      <x:c r="BJ454" s="64" t="n">
        <x:f>-ROUND(AK454*'Drivers'!AC454,3)</x:f>
        <x:v>-26.483</x:v>
      </x:c>
      <x:c r="BK454" s="64" t="n">
        <x:f>-ROUND(AK454*'Drivers'!AD454,3)</x:f>
        <x:v>-103.494</x:v>
      </x:c>
      <x:c r="BL454" s="64" t="n">
        <x:f>SUM(AV454,BE454,BJ454,BK454)</x:f>
        <x:v>245.30499999999992</x:v>
      </x:c>
      <x:c r="BM454" s="65" t="n">
        <x:f>BL454/AK454</x:f>
        <x:v>0.22707244509365038</x:v>
      </x:c>
      <x:c r="BN454" s="64" t="n">
        <x:f>-ROUND(AK454*'Drivers'!AE454,3)</x:f>
        <x:v>-96.029</x:v>
      </x:c>
      <x:c r="BO454" s="64" t="n">
        <x:f>BL454+BN454</x:f>
        <x:v>149.27599999999993</x:v>
      </x:c>
      <x:c r="BP454" s="65" t="n">
        <x:f>BO454/AK454</x:f>
        <x:v>0.13818090260614235</x:v>
      </x:c>
    </x:row>
    <x:row r="455">
      <x:c r="A455" s="61" t="n">
        <x:v>2025</x:v>
      </x:c>
      <x:c r="B455" s="18" t="str">
        <x:v>S2</x:v>
      </x:c>
      <x:c r="C455" s="18" t="str">
        <x:v>2025 S2</x:v>
      </x:c>
      <x:c r="D455" s="18" t="str">
        <x:v>CNCT0114</x:v>
      </x:c>
      <x:c r="E455" s="18" t="str">
        <x:v>昆明大悦城</x:v>
      </x:c>
      <x:c r="F455" s="18" t="str">
        <x:v>昆明</x:v>
      </x:c>
      <x:c r="G455" s="18" t="str">
        <x:v>云南省</x:v>
      </x:c>
      <x:c r="H455" s="18" t="str">
        <x:v>西区</x:v>
      </x:c>
      <x:c r="I455" s="18" t="str">
        <x:v>Shopping Mall</x:v>
      </x:c>
      <x:c r="J455" s="18" t="str">
        <x:v>Core Shopping Center</x:v>
      </x:c>
      <x:c r="K455" s="18" t="str">
        <x:v>正常</x:v>
      </x:c>
      <x:c r="L455" s="62" t="n">
        <x:v>4</x:v>
      </x:c>
      <x:c r="M455" s="62" t="n">
        <x:v>31</x:v>
      </x:c>
      <x:c r="N455" s="63" t="n">
        <x:f>'Drivers'!C455</x:f>
        <x:v>1699</x:v>
      </x:c>
      <x:c r="O455" s="63" t="n">
        <x:f>'Drivers'!D455</x:f>
        <x:v>1036.022</x:v>
      </x:c>
      <x:c r="P455" s="64" t="n">
        <x:f>ROUND(N455*O455/1000,3)</x:f>
        <x:v>1760.201</x:v>
      </x:c>
      <x:c r="Q455" s="64" t="n">
        <x:f>ROUND(P455*'Drivers'!E455,3)</x:f>
        <x:v>1693.738</x:v>
      </x:c>
      <x:c r="R455" s="64" t="n">
        <x:f>-ROUND(Q455*'Drivers'!F455,3)</x:f>
        <x:v>-365.898</x:v>
      </x:c>
      <x:c r="S455" s="65" t="n">
        <x:f>R455/Q455</x:f>
        <x:v>-0.21602987002712346</x:v>
      </x:c>
      <x:c r="T455" s="64" t="n">
        <x:f>-ROUND(Q455*'Drivers'!G455,3)</x:f>
        <x:v>-31.035</x:v>
      </x:c>
      <x:c r="U455" s="65" t="n">
        <x:f>T455/Q455</x:f>
        <x:v>-0.018323377051232246</x:v>
      </x:c>
      <x:c r="V455" s="64" t="n">
        <x:f>-ROUND(Q455*'Drivers'!H455,3)</x:f>
        <x:v>-16.905</x:v>
      </x:c>
      <x:c r="W455" s="64" t="n">
        <x:f>-ROUND(Q455*'Drivers'!I455,3)</x:f>
        <x:v>-13.855</x:v>
      </x:c>
      <x:c r="X455" s="64" t="n">
        <x:f>-ROUND(Q455*'Drivers'!J455,3)</x:f>
        <x:v>-19.593</x:v>
      </x:c>
      <x:c r="Y455" s="64" t="n">
        <x:f>-ROUND(Q455*'Drivers'!K455,3)</x:f>
        <x:v>-23.627</x:v>
      </x:c>
      <x:c r="Z455" s="64" t="n">
        <x:f>-ROUND(Q455*'Drivers'!L455,3)</x:f>
        <x:v>-16.506</x:v>
      </x:c>
      <x:c r="AA455" s="64" t="n">
        <x:f>-ROUND(Q455*'Drivers'!M455,3)</x:f>
        <x:v>-17.241</x:v>
      </x:c>
      <x:c r="AB455" s="64" t="n">
        <x:f>-ROUND(Q455*'Drivers'!N455,3)</x:f>
        <x:v>-8.867</x:v>
      </x:c>
      <x:c r="AC455" s="64" t="n">
        <x:f>SUM(V455:AB455)</x:f>
        <x:v>-116.59400000000001</x:v>
      </x:c>
      <x:c r="AD455" s="65" t="n">
        <x:f>AC455/Q455</x:f>
        <x:v>-0.06883827368813832</x:v>
      </x:c>
      <x:c r="AE455" s="64" t="n">
        <x:f>-ROUND(Q455*'Drivers'!O455,3)</x:f>
        <x:v>-19.555</x:v>
      </x:c>
      <x:c r="AF455" s="65" t="n">
        <x:f>AE455/Q455</x:f>
        <x:v>-0.011545469252033076</x:v>
      </x:c>
      <x:c r="AG455" s="64" t="n">
        <x:f>-ROUND(Q455*'Drivers'!P455,3)</x:f>
        <x:v>-1.027</x:v>
      </x:c>
      <x:c r="AH455" s="64" t="n">
        <x:f>-ROUND(Q455*'Drivers'!Q455,3)</x:f>
        <x:v>-3.951</x:v>
      </x:c>
      <x:c r="AI455" s="64" t="n">
        <x:f>SUM(R455,T455,AC455,AE455,AG455,AH455)</x:f>
        <x:v>-538.0600000000001</x:v>
      </x:c>
      <x:c r="AJ455" s="65" t="n">
        <x:f>AI455/Q455</x:f>
        <x:v>-0.31767605143180355</x:v>
      </x:c>
      <x:c r="AK455" s="64" t="n">
        <x:f>Q455+AI455</x:f>
        <x:v>1155.6779999999999</x:v>
      </x:c>
      <x:c r="AL455" s="65" t="n">
        <x:f>AK455/Q455</x:f>
        <x:v>0.6823239485681964</x:v>
      </x:c>
      <x:c r="AM455" s="64" t="n">
        <x:f>AK455/L455</x:f>
        <x:v>288.91949999999997</x:v>
      </x:c>
      <x:c r="AN455" s="66" t="str">
        <x:f>IF(AM455&lt;=200,"≤200K",IF(AM455&lt;=350,"200–350K",IF(AM455&lt;=500,"350–500K",IF(AM455&lt;=700,"500–700K","&gt;700K"))))</x:f>
        <x:v>200–350K</x:v>
      </x:c>
      <x:c r="AO455" s="64" t="n">
        <x:f>-ROUND(Q455*'Drivers'!R455,3)</x:f>
        <x:v>-616.317</x:v>
      </x:c>
      <x:c r="AP455" s="64" t="n">
        <x:f>-ROUND(AK455*'Drivers'!S455,3)</x:f>
        <x:v>-16.229</x:v>
      </x:c>
      <x:c r="AQ455" s="64" t="n">
        <x:f>-ROUND(AK455*'Drivers'!T455,3)</x:f>
        <x:v>-6.008</x:v>
      </x:c>
      <x:c r="AR455" s="64" t="n">
        <x:f>-ROUND(AK455*'Drivers'!U455,3)</x:f>
        <x:v>-8.027</x:v>
      </x:c>
      <x:c r="AS455" s="64" t="n">
        <x:f>-ROUND(AK455*'Drivers'!V455,3)</x:f>
        <x:v>-41.787</x:v>
      </x:c>
      <x:c r="AT455" s="64" t="n">
        <x:f>SUM(AO455:AS455)</x:f>
        <x:v>-688.3680000000002</x:v>
      </x:c>
      <x:c r="AU455" s="65" t="n">
        <x:f>AT455/AK455</x:f>
        <x:v>-0.5956399619963348</x:v>
      </x:c>
      <x:c r="AV455" s="64" t="n">
        <x:f>AK455+AT455</x:f>
        <x:v>467.3099999999997</x:v>
      </x:c>
      <x:c r="AW455" s="65" t="n">
        <x:f>AV455/AK455</x:f>
        <x:v>0.40436003800366516</x:v>
      </x:c>
      <x:c r="AX455" s="64" t="n">
        <x:f>-ROUND(AK455*'Drivers'!W455,3)</x:f>
        <x:v>-12.374</x:v>
      </x:c>
      <x:c r="AY455" s="64" t="n">
        <x:f>-ROUND(AK455*'Drivers'!X455,3)</x:f>
        <x:v>-29.404</x:v>
      </x:c>
      <x:c r="AZ455" s="64" t="n">
        <x:f>-ROUND(AK455*'Drivers'!Y455,3)</x:f>
        <x:v>-22.503</x:v>
      </x:c>
      <x:c r="BA455" s="64" t="n">
        <x:f>-ROUND(AK455*'Drivers'!Z455,3)</x:f>
        <x:v>-5.982</x:v>
      </x:c>
      <x:c r="BB455" s="64" t="n">
        <x:f>-ROUND(AK455*'Drivers'!AA455,3)</x:f>
        <x:v>-10.434</x:v>
      </x:c>
      <x:c r="BC455" s="64" t="n">
        <x:f>SUM(BA455,BB455)</x:f>
        <x:v>-16.416</x:v>
      </x:c>
      <x:c r="BD455" s="64" t="n">
        <x:f>-ROUND(AK455*'Drivers'!AB455,3)</x:f>
        <x:v>-7.66</x:v>
      </x:c>
      <x:c r="BE455" s="64" t="n">
        <x:f>SUM(AX455:BB455,BD455)</x:f>
        <x:v>-88.357</x:v>
      </x:c>
      <x:c r="BF455" s="67" t="n">
        <x:f>'Drivers'!AF455</x:f>
        <x:v>7</x:v>
      </x:c>
      <x:c r="BG455" s="64" t="n">
        <x:f>BJ455</x:f>
        <x:v>-28.331</x:v>
      </x:c>
      <x:c r="BH455" s="64" t="n">
        <x:f>BE455/BF455</x:f>
        <x:v>-12.622428571428571</x:v>
      </x:c>
      <x:c r="BI455" s="68" t="n">
        <x:f>BF455/L455</x:f>
        <x:v>1.75</x:v>
      </x:c>
      <x:c r="BJ455" s="64" t="n">
        <x:f>-ROUND(AK455*'Drivers'!AC455,3)</x:f>
        <x:v>-28.331</x:v>
      </x:c>
      <x:c r="BK455" s="64" t="n">
        <x:f>-ROUND(AK455*'Drivers'!AD455,3)</x:f>
        <x:v>-110.716</x:v>
      </x:c>
      <x:c r="BL455" s="64" t="n">
        <x:f>SUM(AV455,BE455,BJ455,BK455)</x:f>
        <x:v>239.90599999999972</x:v>
      </x:c>
      <x:c r="BM455" s="65" t="n">
        <x:f>BL455/AK455</x:f>
        <x:v>0.2075889650923525</x:v>
      </x:c>
      <x:c r="BN455" s="64" t="n">
        <x:f>-ROUND(AK455*'Drivers'!AE455,3)</x:f>
        <x:v>-102.73</x:v>
      </x:c>
      <x:c r="BO455" s="64" t="n">
        <x:f>BL455+BN455</x:f>
        <x:v>137.1759999999997</x:v>
      </x:c>
      <x:c r="BP455" s="65" t="n">
        <x:f>BO455/AK455</x:f>
        <x:v>0.11869742263848557</x:v>
      </x:c>
    </x:row>
    <x:row r="456">
      <x:c r="A456" s="61" t="n">
        <x:v>2026</x:v>
      </x:c>
      <x:c r="B456" s="18" t="str">
        <x:v>S1</x:v>
      </x:c>
      <x:c r="C456" s="18" t="str">
        <x:v>2026 S1</x:v>
      </x:c>
      <x:c r="D456" s="18" t="str">
        <x:v>CNCT0114</x:v>
      </x:c>
      <x:c r="E456" s="18" t="str">
        <x:v>昆明大悦城</x:v>
      </x:c>
      <x:c r="F456" s="18" t="str">
        <x:v>昆明</x:v>
      </x:c>
      <x:c r="G456" s="18" t="str">
        <x:v>云南省</x:v>
      </x:c>
      <x:c r="H456" s="18" t="str">
        <x:v>西区</x:v>
      </x:c>
      <x:c r="I456" s="18" t="str">
        <x:v>Shopping Mall</x:v>
      </x:c>
      <x:c r="J456" s="18" t="str">
        <x:v>Core Shopping Center</x:v>
      </x:c>
      <x:c r="K456" s="18" t="str">
        <x:v>正常</x:v>
      </x:c>
      <x:c r="L456" s="62" t="n">
        <x:v>4</x:v>
      </x:c>
      <x:c r="M456" s="62" t="n">
        <x:v>31</x:v>
      </x:c>
      <x:c r="N456" s="63" t="n">
        <x:f>'Drivers'!C456</x:f>
        <x:v>1594</x:v>
      </x:c>
      <x:c r="O456" s="63" t="n">
        <x:f>'Drivers'!D456</x:f>
        <x:v>1085.125</x:v>
      </x:c>
      <x:c r="P456" s="64" t="n">
        <x:f>ROUND(N456*O456/1000,3)</x:f>
        <x:v>1729.689</x:v>
      </x:c>
      <x:c r="Q456" s="64" t="n">
        <x:f>ROUND(P456*'Drivers'!E456,3)</x:f>
        <x:v>1696.744</x:v>
      </x:c>
      <x:c r="R456" s="64" t="n">
        <x:f>-ROUND(Q456*'Drivers'!F456,3)</x:f>
        <x:v>-367.827</x:v>
      </x:c>
      <x:c r="S456" s="65" t="n">
        <x:f>R456/Q456</x:f>
        <x:v>-0.21678402870438912</x:v>
      </x:c>
      <x:c r="T456" s="64" t="n">
        <x:f>-ROUND(Q456*'Drivers'!G456,3)</x:f>
        <x:v>-32.167</x:v>
      </x:c>
      <x:c r="U456" s="65" t="n">
        <x:f>T456/Q456</x:f>
        <x:v>-0.018958074995402963</x:v>
      </x:c>
      <x:c r="V456" s="64" t="n">
        <x:f>-ROUND(Q456*'Drivers'!H456,3)</x:f>
        <x:v>-16.935</x:v>
      </x:c>
      <x:c r="W456" s="64" t="n">
        <x:f>-ROUND(Q456*'Drivers'!I456,3)</x:f>
        <x:v>-13.879</x:v>
      </x:c>
      <x:c r="X456" s="64" t="n">
        <x:f>-ROUND(Q456*'Drivers'!J456,3)</x:f>
        <x:v>-19.628</x:v>
      </x:c>
      <x:c r="Y456" s="64" t="n">
        <x:f>-ROUND(Q456*'Drivers'!K456,3)</x:f>
        <x:v>-23.669</x:v>
      </x:c>
      <x:c r="Z456" s="64" t="n">
        <x:f>-ROUND(Q456*'Drivers'!L456,3)</x:f>
        <x:v>-16.535</x:v>
      </x:c>
      <x:c r="AA456" s="64" t="n">
        <x:f>-ROUND(Q456*'Drivers'!M456,3)</x:f>
        <x:v>-17.271</x:v>
      </x:c>
      <x:c r="AB456" s="64" t="n">
        <x:f>-ROUND(Q456*'Drivers'!N456,3)</x:f>
        <x:v>-8.883</x:v>
      </x:c>
      <x:c r="AC456" s="64" t="n">
        <x:f>SUM(V456:AB456)</x:f>
        <x:v>-116.8</x:v>
      </x:c>
      <x:c r="AD456" s="65" t="n">
        <x:f>AC456/Q456</x:f>
        <x:v>-0.06883772684624198</x:v>
      </x:c>
      <x:c r="AE456" s="64" t="n">
        <x:f>-ROUND(Q456*'Drivers'!O456,3)</x:f>
        <x:v>-20.582</x:v>
      </x:c>
      <x:c r="AF456" s="65" t="n">
        <x:f>AE456/Q456</x:f>
        <x:v>-0.012130291900251305</x:v>
      </x:c>
      <x:c r="AG456" s="64" t="n">
        <x:f>-ROUND(Q456*'Drivers'!P456,3)</x:f>
        <x:v>-1.029</x:v>
      </x:c>
      <x:c r="AH456" s="64" t="n">
        <x:f>-ROUND(Q456*'Drivers'!Q456,3)</x:f>
        <x:v>-3.958</x:v>
      </x:c>
      <x:c r="AI456" s="64" t="n">
        <x:f>SUM(R456,T456,AC456,AE456,AG456,AH456)</x:f>
        <x:v>-542.3629999999999</x:v>
      </x:c>
      <x:c r="AJ456" s="65" t="n">
        <x:f>AI456/Q456</x:f>
        <x:v>-0.31964928121154396</x:v>
      </x:c>
      <x:c r="AK456" s="64" t="n">
        <x:f>Q456+AI456</x:f>
        <x:v>1154.3809999999999</x:v>
      </x:c>
      <x:c r="AL456" s="65" t="n">
        <x:f>AK456/Q456</x:f>
        <x:v>0.680350718788456</x:v>
      </x:c>
      <x:c r="AM456" s="64" t="n">
        <x:f>AK456/L456</x:f>
        <x:v>288.59524999999996</x:v>
      </x:c>
      <x:c r="AN456" s="66" t="str">
        <x:f>IF(AM456&lt;=200,"≤200K",IF(AM456&lt;=350,"200–350K",IF(AM456&lt;=500,"350–500K",IF(AM456&lt;=700,"500–700K","&gt;700K"))))</x:f>
        <x:v>200–350K</x:v>
      </x:c>
      <x:c r="AO456" s="64" t="n">
        <x:f>-ROUND(Q456*'Drivers'!R456,3)</x:f>
        <x:v>-596.886</x:v>
      </x:c>
      <x:c r="AP456" s="64" t="n">
        <x:f>-ROUND(AK456*'Drivers'!S456,3)</x:f>
        <x:v>-16.211</x:v>
      </x:c>
      <x:c r="AQ456" s="64" t="n">
        <x:f>-ROUND(AK456*'Drivers'!T456,3)</x:f>
        <x:v>-6.001</x:v>
      </x:c>
      <x:c r="AR456" s="64" t="n">
        <x:f>-ROUND(AK456*'Drivers'!U456,3)</x:f>
        <x:v>-8.018</x:v>
      </x:c>
      <x:c r="AS456" s="64" t="n">
        <x:f>-ROUND(AK456*'Drivers'!V456,3)</x:f>
        <x:v>-41.74</x:v>
      </x:c>
      <x:c r="AT456" s="64" t="n">
        <x:f>SUM(AO456:AS456)</x:f>
        <x:v>-668.856</x:v>
      </x:c>
      <x:c r="AU456" s="65" t="n">
        <x:f>AT456/AK456</x:f>
        <x:v>-0.5794066257154268</x:v>
      </x:c>
      <x:c r="AV456" s="64" t="n">
        <x:f>AK456+AT456</x:f>
        <x:v>485.52499999999986</x:v>
      </x:c>
      <x:c r="AW456" s="65" t="n">
        <x:f>AV456/AK456</x:f>
        <x:v>0.4205933742845732</x:v>
      </x:c>
      <x:c r="AX456" s="64" t="n">
        <x:f>-ROUND(AK456*'Drivers'!W456,3)</x:f>
        <x:v>-15.209</x:v>
      </x:c>
      <x:c r="AY456" s="64" t="n">
        <x:f>-ROUND(AK456*'Drivers'!X456,3)</x:f>
        <x:v>-36.139</x:v>
      </x:c>
      <x:c r="AZ456" s="64" t="n">
        <x:f>-ROUND(AK456*'Drivers'!Y456,3)</x:f>
        <x:v>-27.657</x:v>
      </x:c>
      <x:c r="BA456" s="64" t="n">
        <x:f>-ROUND(AK456*'Drivers'!Z456,3)</x:f>
        <x:v>-7.353</x:v>
      </x:c>
      <x:c r="BB456" s="64" t="n">
        <x:f>-ROUND(AK456*'Drivers'!AA456,3)</x:f>
        <x:v>-12.824</x:v>
      </x:c>
      <x:c r="BC456" s="64" t="n">
        <x:f>SUM(BA456,BB456)</x:f>
        <x:v>-20.177</x:v>
      </x:c>
      <x:c r="BD456" s="64" t="n">
        <x:f>-ROUND(AK456*'Drivers'!AB456,3)</x:f>
        <x:v>-9.414</x:v>
      </x:c>
      <x:c r="BE456" s="64" t="n">
        <x:f>SUM(AX456:BB456,BD456)</x:f>
        <x:v>-108.59599999999999</x:v>
      </x:c>
      <x:c r="BF456" s="67" t="n">
        <x:f>'Drivers'!AF456</x:f>
        <x:v>7</x:v>
      </x:c>
      <x:c r="BG456" s="64" t="n">
        <x:f>BJ456</x:f>
        <x:v>-34.82</x:v>
      </x:c>
      <x:c r="BH456" s="64" t="n">
        <x:f>BE456/BF456</x:f>
        <x:v>-15.513714285714284</x:v>
      </x:c>
      <x:c r="BI456" s="68" t="n">
        <x:f>BF456/L456</x:f>
        <x:v>1.75</x:v>
      </x:c>
      <x:c r="BJ456" s="64" t="n">
        <x:f>-ROUND(AK456*'Drivers'!AC456,3)</x:f>
        <x:v>-34.82</x:v>
      </x:c>
      <x:c r="BK456" s="64" t="n">
        <x:f>-ROUND(AK456*'Drivers'!AD456,3)</x:f>
        <x:v>-110.592</x:v>
      </x:c>
      <x:c r="BL456" s="64" t="n">
        <x:f>SUM(AV456,BE456,BJ456,BK456)</x:f>
        <x:v>231.51699999999988</x:v>
      </x:c>
      <x:c r="BM456" s="65" t="n">
        <x:f>BL456/AK456</x:f>
        <x:v>0.20055510269139903</x:v>
      </x:c>
      <x:c r="BN456" s="64" t="n">
        <x:f>-ROUND(AK456*'Drivers'!AE456,3)</x:f>
        <x:v>-102.615</x:v>
      </x:c>
      <x:c r="BO456" s="64" t="n">
        <x:f>BL456+BN456</x:f>
        <x:v>128.90199999999987</x:v>
      </x:c>
      <x:c r="BP456" s="65" t="n">
        <x:f>BO456/AK456</x:f>
        <x:v>0.11166330700176103</x:v>
      </x:c>
    </x:row>
    <x:row r="457">
      <x:c r="A457" s="61" t="n">
        <x:v>2026</x:v>
      </x:c>
      <x:c r="B457" s="18" t="str">
        <x:v>S2</x:v>
      </x:c>
      <x:c r="C457" s="18" t="str">
        <x:v>2026 S2</x:v>
      </x:c>
      <x:c r="D457" s="18" t="str">
        <x:v>CNCT0114</x:v>
      </x:c>
      <x:c r="E457" s="18" t="str">
        <x:v>昆明大悦城</x:v>
      </x:c>
      <x:c r="F457" s="18" t="str">
        <x:v>昆明</x:v>
      </x:c>
      <x:c r="G457" s="18" t="str">
        <x:v>云南省</x:v>
      </x:c>
      <x:c r="H457" s="18" t="str">
        <x:v>西区</x:v>
      </x:c>
      <x:c r="I457" s="18" t="str">
        <x:v>Shopping Mall</x:v>
      </x:c>
      <x:c r="J457" s="18" t="str">
        <x:v>Core Shopping Center</x:v>
      </x:c>
      <x:c r="K457" s="18" t="str">
        <x:v>正常</x:v>
      </x:c>
      <x:c r="L457" s="62" t="n">
        <x:v>4</x:v>
      </x:c>
      <x:c r="M457" s="62" t="n">
        <x:v>31</x:v>
      </x:c>
      <x:c r="N457" s="63" t="n">
        <x:f>'Drivers'!C457</x:f>
        <x:v>1761</x:v>
      </x:c>
      <x:c r="O457" s="63" t="n">
        <x:f>'Drivers'!D457</x:f>
        <x:v>1068.2</x:v>
      </x:c>
      <x:c r="P457" s="64" t="n">
        <x:f>ROUND(N457*O457/1000,3)</x:f>
        <x:v>1881.1</x:v>
      </x:c>
      <x:c r="Q457" s="64" t="n">
        <x:f>ROUND(P457*'Drivers'!E457,3)</x:f>
        <x:v>1810.072</x:v>
      </x:c>
      <x:c r="R457" s="64" t="n">
        <x:f>-ROUND(Q457*'Drivers'!F457,3)</x:f>
        <x:v>-388.953</x:v>
      </x:c>
      <x:c r="S457" s="65" t="n">
        <x:f>R457/Q457</x:f>
        <x:v>-0.21488261240436846</x:v>
      </x:c>
      <x:c r="T457" s="64" t="n">
        <x:f>-ROUND(Q457*'Drivers'!G457,3)</x:f>
        <x:v>-33.423</x:v>
      </x:c>
      <x:c r="U457" s="65" t="n">
        <x:f>T457/Q457</x:f>
        <x:v>-0.01846501133656562</x:v>
      </x:c>
      <x:c r="V457" s="64" t="n">
        <x:f>-ROUND(Q457*'Drivers'!H457,3)</x:f>
        <x:v>-18.066</x:v>
      </x:c>
      <x:c r="W457" s="64" t="n">
        <x:f>-ROUND(Q457*'Drivers'!I457,3)</x:f>
        <x:v>-14.806</x:v>
      </x:c>
      <x:c r="X457" s="64" t="n">
        <x:f>-ROUND(Q457*'Drivers'!J457,3)</x:f>
        <x:v>-20.938</x:v>
      </x:c>
      <x:c r="Y457" s="64" t="n">
        <x:f>-ROUND(Q457*'Drivers'!K457,3)</x:f>
        <x:v>-25.25</x:v>
      </x:c>
      <x:c r="Z457" s="64" t="n">
        <x:f>-ROUND(Q457*'Drivers'!L457,3)</x:f>
        <x:v>-17.64</x:v>
      </x:c>
      <x:c r="AA457" s="64" t="n">
        <x:f>-ROUND(Q457*'Drivers'!M457,3)</x:f>
        <x:v>-18.425</x:v>
      </x:c>
      <x:c r="AB457" s="64" t="n">
        <x:f>-ROUND(Q457*'Drivers'!N457,3)</x:f>
        <x:v>-9.476</x:v>
      </x:c>
      <x:c r="AC457" s="64" t="n">
        <x:f>SUM(V457:AB457)</x:f>
        <x:v>-124.601</x:v>
      </x:c>
      <x:c r="AD457" s="65" t="n">
        <x:f>AC457/Q457</x:f>
        <x:v>-0.06883759320071246</x:v>
      </x:c>
      <x:c r="AE457" s="64" t="n">
        <x:f>-ROUND(Q457*'Drivers'!O457,3)</x:f>
        <x:v>-20.898</x:v>
      </x:c>
      <x:c r="AF457" s="65" t="n">
        <x:f>AE457/Q457</x:f>
        <x:v>-0.011545397089176564</x:v>
      </x:c>
      <x:c r="AG457" s="64" t="n">
        <x:f>-ROUND(Q457*'Drivers'!P457,3)</x:f>
        <x:v>-1.097</x:v>
      </x:c>
      <x:c r="AH457" s="64" t="n">
        <x:f>-ROUND(Q457*'Drivers'!Q457,3)</x:f>
        <x:v>-4.223</x:v>
      </x:c>
      <x:c r="AI457" s="64" t="n">
        <x:f>SUM(R457,T457,AC457,AE457,AG457,AH457)</x:f>
        <x:v>-573.1949999999999</x:v>
      </x:c>
      <x:c r="AJ457" s="65" t="n">
        <x:f>AI457/Q457</x:f>
        <x:v>-0.3166697236353029</x:v>
      </x:c>
      <x:c r="AK457" s="64" t="n">
        <x:f>Q457+AI457</x:f>
        <x:v>1236.877</x:v>
      </x:c>
      <x:c r="AL457" s="65" t="n">
        <x:f>AK457/Q457</x:f>
        <x:v>0.6833302763646971</x:v>
      </x:c>
      <x:c r="AM457" s="64" t="n">
        <x:f>AK457/L457</x:f>
        <x:v>309.21925</x:v>
      </x:c>
      <x:c r="AN457" s="66" t="str">
        <x:f>IF(AM457&lt;=200,"≤200K",IF(AM457&lt;=350,"200–350K",IF(AM457&lt;=500,"350–500K",IF(AM457&lt;=700,"500–700K","&gt;700K"))))</x:f>
        <x:v>200–350K</x:v>
      </x:c>
      <x:c r="AO457" s="64" t="n">
        <x:f>-ROUND(Q457*'Drivers'!R457,3)</x:f>
        <x:v>-653.827</x:v>
      </x:c>
      <x:c r="AP457" s="64" t="n">
        <x:f>-ROUND(AK457*'Drivers'!S457,3)</x:f>
        <x:v>-17.369</x:v>
      </x:c>
      <x:c r="AQ457" s="64" t="n">
        <x:f>-ROUND(AK457*'Drivers'!T457,3)</x:f>
        <x:v>-6.43</x:v>
      </x:c>
      <x:c r="AR457" s="64" t="n">
        <x:f>-ROUND(AK457*'Drivers'!U457,3)</x:f>
        <x:v>-8.591</x:v>
      </x:c>
      <x:c r="AS457" s="64" t="n">
        <x:f>-ROUND(AK457*'Drivers'!V457,3)</x:f>
        <x:v>-44.723</x:v>
      </x:c>
      <x:c r="AT457" s="64" t="n">
        <x:f>SUM(AO457:AS457)</x:f>
        <x:v>-730.9399999999999</x:v>
      </x:c>
      <x:c r="AU457" s="65" t="n">
        <x:f>AT457/AK457</x:f>
        <x:v>-0.5909560934514911</x:v>
      </x:c>
      <x:c r="AV457" s="64" t="n">
        <x:f>AK457+AT457</x:f>
        <x:v>505.937</x:v>
      </x:c>
      <x:c r="AW457" s="65" t="n">
        <x:f>AV457/AK457</x:f>
        <x:v>0.4090439065485089</x:v>
      </x:c>
      <x:c r="AX457" s="64" t="n">
        <x:f>-ROUND(AK457*'Drivers'!W457,3)</x:f>
        <x:v>-14.038</x:v>
      </x:c>
      <x:c r="AY457" s="64" t="n">
        <x:f>-ROUND(AK457*'Drivers'!X457,3)</x:f>
        <x:v>-33.358</x:v>
      </x:c>
      <x:c r="AZ457" s="64" t="n">
        <x:f>-ROUND(AK457*'Drivers'!Y457,3)</x:f>
        <x:v>-25.529</x:v>
      </x:c>
      <x:c r="BA457" s="64" t="n">
        <x:f>-ROUND(AK457*'Drivers'!Z457,3)</x:f>
        <x:v>-6.787</x:v>
      </x:c>
      <x:c r="BB457" s="64" t="n">
        <x:f>-ROUND(AK457*'Drivers'!AA457,3)</x:f>
        <x:v>-11.837</x:v>
      </x:c>
      <x:c r="BC457" s="64" t="n">
        <x:f>SUM(BA457,BB457)</x:f>
        <x:v>-18.624</x:v>
      </x:c>
      <x:c r="BD457" s="64" t="n">
        <x:f>-ROUND(AK457*'Drivers'!AB457,3)</x:f>
        <x:v>-8.69</x:v>
      </x:c>
      <x:c r="BE457" s="64" t="n">
        <x:f>SUM(AX457:BB457,BD457)</x:f>
        <x:v>-100.239</x:v>
      </x:c>
      <x:c r="BF457" s="67" t="n">
        <x:f>'Drivers'!AF457</x:f>
        <x:v>7</x:v>
      </x:c>
      <x:c r="BG457" s="64" t="n">
        <x:f>BJ457</x:f>
        <x:v>-32.14</x:v>
      </x:c>
      <x:c r="BH457" s="64" t="n">
        <x:f>BE457/BF457</x:f>
        <x:v>-14.319857142857144</x:v>
      </x:c>
      <x:c r="BI457" s="68" t="n">
        <x:f>BF457/L457</x:f>
        <x:v>1.75</x:v>
      </x:c>
      <x:c r="BJ457" s="64" t="n">
        <x:f>-ROUND(AK457*'Drivers'!AC457,3)</x:f>
        <x:v>-32.14</x:v>
      </x:c>
      <x:c r="BK457" s="64" t="n">
        <x:f>-ROUND(AK457*'Drivers'!AD457,3)</x:f>
        <x:v>-118.495</x:v>
      </x:c>
      <x:c r="BL457" s="64" t="n">
        <x:f>SUM(AV457,BE457,BJ457,BK457)</x:f>
        <x:v>255.063</x:v>
      </x:c>
      <x:c r="BM457" s="65" t="n">
        <x:f>BL457/AK457</x:f>
        <x:v>0.206215331031299</x:v>
      </x:c>
      <x:c r="BN457" s="64" t="n">
        <x:f>-ROUND(AK457*'Drivers'!AE457,3)</x:f>
        <x:v>-109.948</x:v>
      </x:c>
      <x:c r="BO457" s="64" t="n">
        <x:f>BL457+BN457</x:f>
        <x:v>145.115</x:v>
      </x:c>
      <x:c r="BP457" s="65" t="n">
        <x:f>BO457/AK457</x:f>
        <x:v>0.11732371125018899</x:v>
      </x:c>
    </x:row>
    <x:row r="458">
      <x:c r="A458" s="61" t="n">
        <x:v>2025</x:v>
      </x:c>
      <x:c r="B458" s="18" t="str">
        <x:v>S1</x:v>
      </x:c>
      <x:c r="C458" s="18" t="str">
        <x:v>2025 S1</x:v>
      </x:c>
      <x:c r="D458" s="18" t="str">
        <x:v>CNCT0115</x:v>
      </x:c>
      <x:c r="E458" s="18" t="str">
        <x:v>昆明南亚风情第壹城</x:v>
      </x:c>
      <x:c r="F458" s="18" t="str">
        <x:v>昆明</x:v>
      </x:c>
      <x:c r="G458" s="18" t="str">
        <x:v>云南省</x:v>
      </x:c>
      <x:c r="H458" s="18" t="str">
        <x:v>西区</x:v>
      </x:c>
      <x:c r="I458" s="18" t="str">
        <x:v>Shopping Mall</x:v>
      </x:c>
      <x:c r="J458" s="18" t="str">
        <x:v>Regional Mall</x:v>
      </x:c>
      <x:c r="K458" s="18" t="str">
        <x:v>正常</x:v>
      </x:c>
      <x:c r="L458" s="62" t="n">
        <x:v>3</x:v>
      </x:c>
      <x:c r="M458" s="62" t="n">
        <x:v>31</x:v>
      </x:c>
      <x:c r="N458" s="63" t="n">
        <x:f>'Drivers'!C458</x:f>
        <x:v>1106</x:v>
      </x:c>
      <x:c r="O458" s="63" t="n">
        <x:f>'Drivers'!D458</x:f>
        <x:v>990.225</x:v>
      </x:c>
      <x:c r="P458" s="64" t="n">
        <x:f>ROUND(N458*O458/1000,3)</x:f>
        <x:v>1095.189</x:v>
      </x:c>
      <x:c r="Q458" s="64" t="n">
        <x:f>ROUND(P458*'Drivers'!E458,3)</x:f>
        <x:v>1068.542</x:v>
      </x:c>
      <x:c r="R458" s="64" t="n">
        <x:f>-ROUND(Q458*'Drivers'!F458,3)</x:f>
        <x:v>-204.573</x:v>
      </x:c>
      <x:c r="S458" s="65" t="n">
        <x:f>R458/Q458</x:f>
        <x:v>-0.19145059342543394</x:v>
      </x:c>
      <x:c r="T458" s="64" t="n">
        <x:f>-ROUND(Q458*'Drivers'!G458,3)</x:f>
        <x:v>-13.608</x:v>
      </x:c>
      <x:c r="U458" s="65" t="n">
        <x:f>T458/Q458</x:f>
        <x:v>-0.012735110084582545</x:v>
      </x:c>
      <x:c r="V458" s="64" t="n">
        <x:f>-ROUND(Q458*'Drivers'!H458,3)</x:f>
        <x:v>-8.707</x:v>
      </x:c>
      <x:c r="W458" s="64" t="n">
        <x:f>-ROUND(Q458*'Drivers'!I458,3)</x:f>
        <x:v>-7.728</x:v>
      </x:c>
      <x:c r="X458" s="64" t="n">
        <x:f>-ROUND(Q458*'Drivers'!J458,3)</x:f>
        <x:v>-11.607</x:v>
      </x:c>
      <x:c r="Y458" s="64" t="n">
        <x:f>-ROUND(Q458*'Drivers'!K458,3)</x:f>
        <x:v>-12.199</x:v>
      </x:c>
      <x:c r="Z458" s="64" t="n">
        <x:f>-ROUND(Q458*'Drivers'!L458,3)</x:f>
        <x:v>-13.616</x:v>
      </x:c>
      <x:c r="AA458" s="64" t="n">
        <x:f>-ROUND(Q458*'Drivers'!M458,3)</x:f>
        <x:v>-10.824</x:v>
      </x:c>
      <x:c r="AB458" s="64" t="n">
        <x:f>-ROUND(Q458*'Drivers'!N458,3)</x:f>
        <x:v>-7.584</x:v>
      </x:c>
      <x:c r="AC458" s="64" t="n">
        <x:f>SUM(V458:AB458)</x:f>
        <x:v>-72.265</x:v>
      </x:c>
      <x:c r="AD458" s="65" t="n">
        <x:f>AC458/Q458</x:f>
        <x:v>-0.06762953632145485</x:v>
      </x:c>
      <x:c r="AE458" s="64" t="n">
        <x:f>-ROUND(Q458*'Drivers'!O458,3)</x:f>
        <x:v>-14.784</x:v>
      </x:c>
      <x:c r="AF458" s="65" t="n">
        <x:f>AE458/Q458</x:f>
        <x:v>-0.013835675153620542</x:v>
      </x:c>
      <x:c r="AG458" s="64" t="n">
        <x:f>-ROUND(Q458*'Drivers'!P458,3)</x:f>
        <x:v>-1.879</x:v>
      </x:c>
      <x:c r="AH458" s="64" t="n">
        <x:f>-ROUND(Q458*'Drivers'!Q458,3)</x:f>
        <x:v>-6.003</x:v>
      </x:c>
      <x:c r="AI458" s="64" t="n">
        <x:f>SUM(R458,T458,AC458,AE458,AG458,AH458)</x:f>
        <x:v>-313.112</x:v>
      </x:c>
      <x:c r="AJ458" s="65" t="n">
        <x:f>AI458/Q458</x:f>
        <x:v>-0.293027321340668</x:v>
      </x:c>
      <x:c r="AK458" s="64" t="n">
        <x:f>Q458+AI458</x:f>
        <x:v>755.4299999999998</x:v>
      </x:c>
      <x:c r="AL458" s="65" t="n">
        <x:f>AK458/Q458</x:f>
        <x:v>0.706972678659332</x:v>
      </x:c>
      <x:c r="AM458" s="64" t="n">
        <x:f>AK458/L458</x:f>
        <x:v>251.80999999999995</x:v>
      </x:c>
      <x:c r="AN458" s="66" t="str">
        <x:f>IF(AM458&lt;=200,"≤200K",IF(AM458&lt;=350,"200–350K",IF(AM458&lt;=500,"350–500K",IF(AM458&lt;=700,"500–700K","&gt;700K"))))</x:f>
        <x:v>200–350K</x:v>
      </x:c>
      <x:c r="AO458" s="64" t="n">
        <x:f>-ROUND(Q458*'Drivers'!R458,3)</x:f>
        <x:v>-374.73</x:v>
      </x:c>
      <x:c r="AP458" s="64" t="n">
        <x:f>-ROUND(AK458*'Drivers'!S458,3)</x:f>
        <x:v>-12.402</x:v>
      </x:c>
      <x:c r="AQ458" s="64" t="n">
        <x:f>-ROUND(AK458*'Drivers'!T458,3)</x:f>
        <x:v>-4.241</x:v>
      </x:c>
      <x:c r="AR458" s="64" t="n">
        <x:f>-ROUND(AK458*'Drivers'!U458,3)</x:f>
        <x:v>-7.546</x:v>
      </x:c>
      <x:c r="AS458" s="64" t="n">
        <x:f>-ROUND(AK458*'Drivers'!V458,3)</x:f>
        <x:v>-28.14</x:v>
      </x:c>
      <x:c r="AT458" s="64" t="n">
        <x:f>SUM(AO458:AS458)</x:f>
        <x:v>-427.05899999999997</x:v>
      </x:c>
      <x:c r="AU458" s="65" t="n">
        <x:f>AT458/AK458</x:f>
        <x:v>-0.5653190897899211</x:v>
      </x:c>
      <x:c r="AV458" s="64" t="n">
        <x:f>AK458+AT458</x:f>
        <x:v>328.37099999999987</x:v>
      </x:c>
      <x:c r="AW458" s="65" t="n">
        <x:f>AV458/AK458</x:f>
        <x:v>0.43468091021007893</x:v>
      </x:c>
      <x:c r="AX458" s="64" t="n">
        <x:f>-ROUND(AK458*'Drivers'!W458,3)</x:f>
        <x:v>-9.838</x:v>
      </x:c>
      <x:c r="AY458" s="64" t="n">
        <x:f>-ROUND(AK458*'Drivers'!X458,3)</x:f>
        <x:v>-19.173</x:v>
      </x:c>
      <x:c r="AZ458" s="64" t="n">
        <x:f>-ROUND(AK458*'Drivers'!Y458,3)</x:f>
        <x:v>-16.007</x:v>
      </x:c>
      <x:c r="BA458" s="64" t="n">
        <x:f>-ROUND(AK458*'Drivers'!Z458,3)</x:f>
        <x:v>-4.081</x:v>
      </x:c>
      <x:c r="BB458" s="64" t="n">
        <x:f>-ROUND(AK458*'Drivers'!AA458,3)</x:f>
        <x:v>-6.008</x:v>
      </x:c>
      <x:c r="BC458" s="64" t="n">
        <x:f>SUM(BA458,BB458)</x:f>
        <x:v>-10.089</x:v>
      </x:c>
      <x:c r="BD458" s="64" t="n">
        <x:f>-ROUND(AK458*'Drivers'!AB458,3)</x:f>
        <x:v>-3.847</x:v>
      </x:c>
      <x:c r="BE458" s="64" t="n">
        <x:f>SUM(AX458:BB458,BD458)</x:f>
        <x:v>-58.95400000000001</x:v>
      </x:c>
      <x:c r="BF458" s="67" t="n">
        <x:f>'Drivers'!AF458</x:f>
        <x:v>6</x:v>
      </x:c>
      <x:c r="BG458" s="64" t="n">
        <x:f>BJ458</x:f>
        <x:v>-15.554</x:v>
      </x:c>
      <x:c r="BH458" s="64" t="n">
        <x:f>BE458/BF458</x:f>
        <x:v>-9.825666666666669</x:v>
      </x:c>
      <x:c r="BI458" s="68" t="n">
        <x:f>BF458/L458</x:f>
        <x:v>2</x:v>
      </x:c>
      <x:c r="BJ458" s="64" t="n">
        <x:f>-ROUND(AK458*'Drivers'!AC458,3)</x:f>
        <x:v>-15.554</x:v>
      </x:c>
      <x:c r="BK458" s="64" t="n">
        <x:f>-ROUND(AK458*'Drivers'!AD458,3)</x:f>
        <x:v>-89.833</x:v>
      </x:c>
      <x:c r="BL458" s="64" t="n">
        <x:f>SUM(AV458,BE458,BJ458,BK458)</x:f>
        <x:v>164.02999999999986</x:v>
      </x:c>
      <x:c r="BM458" s="65" t="n">
        <x:f>BL458/AK458</x:f>
        <x:v>0.21713461207524176</x:v>
      </x:c>
      <x:c r="BN458" s="64" t="n">
        <x:f>-ROUND(AK458*'Drivers'!AE458,3)</x:f>
        <x:v>-60.489</x:v>
      </x:c>
      <x:c r="BO458" s="64" t="n">
        <x:f>BL458+BN458</x:f>
        <x:v>103.54099999999985</x:v>
      </x:c>
      <x:c r="BP458" s="65" t="n">
        <x:f>BO458/AK458</x:f>
        <x:v>0.13706233535866974</x:v>
      </x:c>
    </x:row>
    <x:row r="459">
      <x:c r="A459" s="61" t="n">
        <x:v>2025</x:v>
      </x:c>
      <x:c r="B459" s="18" t="str">
        <x:v>S2</x:v>
      </x:c>
      <x:c r="C459" s="18" t="str">
        <x:v>2025 S2</x:v>
      </x:c>
      <x:c r="D459" s="18" t="str">
        <x:v>CNCT0115</x:v>
      </x:c>
      <x:c r="E459" s="18" t="str">
        <x:v>昆明南亚风情第壹城</x:v>
      </x:c>
      <x:c r="F459" s="18" t="str">
        <x:v>昆明</x:v>
      </x:c>
      <x:c r="G459" s="18" t="str">
        <x:v>云南省</x:v>
      </x:c>
      <x:c r="H459" s="18" t="str">
        <x:v>西区</x:v>
      </x:c>
      <x:c r="I459" s="18" t="str">
        <x:v>Shopping Mall</x:v>
      </x:c>
      <x:c r="J459" s="18" t="str">
        <x:v>Regional Mall</x:v>
      </x:c>
      <x:c r="K459" s="18" t="str">
        <x:v>正常</x:v>
      </x:c>
      <x:c r="L459" s="62" t="n">
        <x:v>3</x:v>
      </x:c>
      <x:c r="M459" s="62" t="n">
        <x:v>31</x:v>
      </x:c>
      <x:c r="N459" s="63" t="n">
        <x:f>'Drivers'!C459</x:f>
        <x:v>1180</x:v>
      </x:c>
      <x:c r="O459" s="63" t="n">
        <x:f>'Drivers'!D459</x:f>
        <x:v>1002.108</x:v>
      </x:c>
      <x:c r="P459" s="64" t="n">
        <x:f>ROUND(N459*O459/1000,3)</x:f>
        <x:v>1182.487</x:v>
      </x:c>
      <x:c r="Q459" s="64" t="n">
        <x:f>ROUND(P459*'Drivers'!E459,3)</x:f>
        <x:v>1162.349</x:v>
      </x:c>
      <x:c r="R459" s="64" t="n">
        <x:f>-ROUND(Q459*'Drivers'!F459,3)</x:f>
        <x:v>-222.532</x:v>
      </x:c>
      <x:c r="S459" s="65" t="n">
        <x:f>R459/Q459</x:f>
        <x:v>-0.19145024428979593</x:v>
      </x:c>
      <x:c r="T459" s="64" t="n">
        <x:f>-ROUND(Q459*'Drivers'!G459,3)</x:f>
        <x:v>-14.803</x:v>
      </x:c>
      <x:c r="U459" s="65" t="n">
        <x:f>T459/Q459</x:f>
        <x:v>-0.012735417675758315</x:v>
      </x:c>
      <x:c r="V459" s="64" t="n">
        <x:f>-ROUND(Q459*'Drivers'!H459,3)</x:f>
        <x:v>-9.471</x:v>
      </x:c>
      <x:c r="W459" s="64" t="n">
        <x:f>-ROUND(Q459*'Drivers'!I459,3)</x:f>
        <x:v>-8.406</x:v>
      </x:c>
      <x:c r="X459" s="64" t="n">
        <x:f>-ROUND(Q459*'Drivers'!J459,3)</x:f>
        <x:v>-12.626</x:v>
      </x:c>
      <x:c r="Y459" s="64" t="n">
        <x:f>-ROUND(Q459*'Drivers'!K459,3)</x:f>
        <x:v>-13.27</x:v>
      </x:c>
      <x:c r="Z459" s="64" t="n">
        <x:f>-ROUND(Q459*'Drivers'!L459,3)</x:f>
        <x:v>-14.811</x:v>
      </x:c>
      <x:c r="AA459" s="64" t="n">
        <x:f>-ROUND(Q459*'Drivers'!M459,3)</x:f>
        <x:v>-11.774</x:v>
      </x:c>
      <x:c r="AB459" s="64" t="n">
        <x:f>-ROUND(Q459*'Drivers'!N459,3)</x:f>
        <x:v>-8.25</x:v>
      </x:c>
      <x:c r="AC459" s="64" t="n">
        <x:f>SUM(V459:AB459)</x:f>
        <x:v>-78.60799999999999</x:v>
      </x:c>
      <x:c r="AD459" s="65" t="n">
        <x:f>AC459/Q459</x:f>
        <x:v>-0.06762856938836787</x:v>
      </x:c>
      <x:c r="AE459" s="64" t="n">
        <x:f>-ROUND(Q459*'Drivers'!O459,3)</x:f>
        <x:v>-16.082</x:v>
      </x:c>
      <x:c r="AF459" s="65" t="n">
        <x:f>AE459/Q459</x:f>
        <x:v>-0.01383577565774135</x:v>
      </x:c>
      <x:c r="AG459" s="64" t="n">
        <x:f>-ROUND(Q459*'Drivers'!P459,3)</x:f>
        <x:v>-2.044</x:v>
      </x:c>
      <x:c r="AH459" s="64" t="n">
        <x:f>-ROUND(Q459*'Drivers'!Q459,3)</x:f>
        <x:v>-6.53</x:v>
      </x:c>
      <x:c r="AI459" s="64" t="n">
        <x:f>SUM(R459,T459,AC459,AE459,AG459,AH459)</x:f>
        <x:v>-340.59899999999993</x:v>
      </x:c>
      <x:c r="AJ459" s="65" t="n">
        <x:f>AI459/Q459</x:f>
        <x:v>-0.2930264490269273</x:v>
      </x:c>
      <x:c r="AK459" s="64" t="n">
        <x:f>Q459+AI459</x:f>
        <x:v>821.75</x:v>
      </x:c>
      <x:c r="AL459" s="65" t="n">
        <x:f>AK459/Q459</x:f>
        <x:v>0.7069735509730727</x:v>
      </x:c>
      <x:c r="AM459" s="64" t="n">
        <x:f>AK459/L459</x:f>
        <x:v>273.9166666666667</x:v>
      </x:c>
      <x:c r="AN459" s="66" t="str">
        <x:f>IF(AM459&lt;=200,"≤200K",IF(AM459&lt;=350,"200–350K",IF(AM459&lt;=500,"350–500K",IF(AM459&lt;=700,"500–700K","&gt;700K"))))</x:f>
        <x:v>200–350K</x:v>
      </x:c>
      <x:c r="AO459" s="64" t="n">
        <x:f>-ROUND(Q459*'Drivers'!R459,3)</x:f>
        <x:v>-429.61</x:v>
      </x:c>
      <x:c r="AP459" s="64" t="n">
        <x:f>-ROUND(AK459*'Drivers'!S459,3)</x:f>
        <x:v>-13.491</x:v>
      </x:c>
      <x:c r="AQ459" s="64" t="n">
        <x:f>-ROUND(AK459*'Drivers'!T459,3)</x:f>
        <x:v>-4.613</x:v>
      </x:c>
      <x:c r="AR459" s="64" t="n">
        <x:f>-ROUND(AK459*'Drivers'!U459,3)</x:f>
        <x:v>-8.208</x:v>
      </x:c>
      <x:c r="AS459" s="64" t="n">
        <x:f>-ROUND(AK459*'Drivers'!V459,3)</x:f>
        <x:v>-30.611</x:v>
      </x:c>
      <x:c r="AT459" s="64" t="n">
        <x:f>SUM(AO459:AS459)</x:f>
        <x:v>-486.533</x:v>
      </x:c>
      <x:c r="AU459" s="65" t="n">
        <x:f>AT459/AK459</x:f>
        <x:v>-0.5920693641618497</x:v>
      </x:c>
      <x:c r="AV459" s="64" t="n">
        <x:f>AK459+AT459</x:f>
        <x:v>335.217</x:v>
      </x:c>
      <x:c r="AW459" s="65" t="n">
        <x:f>AV459/AK459</x:f>
        <x:v>0.40793063583815026</x:v>
      </x:c>
      <x:c r="AX459" s="64" t="n">
        <x:f>-ROUND(AK459*'Drivers'!W459,3)</x:f>
        <x:v>-10.702</x:v>
      </x:c>
      <x:c r="AY459" s="64" t="n">
        <x:f>-ROUND(AK459*'Drivers'!X459,3)</x:f>
        <x:v>-20.856</x:v>
      </x:c>
      <x:c r="AZ459" s="64" t="n">
        <x:f>-ROUND(AK459*'Drivers'!Y459,3)</x:f>
        <x:v>-17.412</x:v>
      </x:c>
      <x:c r="BA459" s="64" t="n">
        <x:f>-ROUND(AK459*'Drivers'!Z459,3)</x:f>
        <x:v>-4.439</x:v>
      </x:c>
      <x:c r="BB459" s="64" t="n">
        <x:f>-ROUND(AK459*'Drivers'!AA459,3)</x:f>
        <x:v>-6.535</x:v>
      </x:c>
      <x:c r="BC459" s="64" t="n">
        <x:f>SUM(BA459,BB459)</x:f>
        <x:v>-10.974</x:v>
      </x:c>
      <x:c r="BD459" s="64" t="n">
        <x:f>-ROUND(AK459*'Drivers'!AB459,3)</x:f>
        <x:v>-4.184</x:v>
      </x:c>
      <x:c r="BE459" s="64" t="n">
        <x:f>SUM(AX459:BB459,BD459)</x:f>
        <x:v>-64.128</x:v>
      </x:c>
      <x:c r="BF459" s="67" t="n">
        <x:f>'Drivers'!AF459</x:f>
        <x:v>6</x:v>
      </x:c>
      <x:c r="BG459" s="64" t="n">
        <x:f>BJ459</x:f>
        <x:v>-16.92</x:v>
      </x:c>
      <x:c r="BH459" s="64" t="n">
        <x:f>BE459/BF459</x:f>
        <x:v>-10.688</x:v>
      </x:c>
      <x:c r="BI459" s="68" t="n">
        <x:f>BF459/L459</x:f>
        <x:v>2</x:v>
      </x:c>
      <x:c r="BJ459" s="64" t="n">
        <x:f>-ROUND(AK459*'Drivers'!AC459,3)</x:f>
        <x:v>-16.92</x:v>
      </x:c>
      <x:c r="BK459" s="64" t="n">
        <x:f>-ROUND(AK459*'Drivers'!AD459,3)</x:f>
        <x:v>-97.72</x:v>
      </x:c>
      <x:c r="BL459" s="64" t="n">
        <x:f>SUM(AV459,BE459,BJ459,BK459)</x:f>
        <x:v>156.44899999999998</x:v>
      </x:c>
      <x:c r="BM459" s="65" t="n">
        <x:f>BL459/AK459</x:f>
        <x:v>0.1903851536355339</x:v>
      </x:c>
      <x:c r="BN459" s="64" t="n">
        <x:f>-ROUND(AK459*'Drivers'!AE459,3)</x:f>
        <x:v>-65.8</x:v>
      </x:c>
      <x:c r="BO459" s="64" t="n">
        <x:f>BL459+BN459</x:f>
        <x:v>90.64899999999999</x:v>
      </x:c>
      <x:c r="BP459" s="65" t="n">
        <x:f>BO459/AK459</x:f>
        <x:v>0.11031213872832368</x:v>
      </x:c>
    </x:row>
    <x:row r="460">
      <x:c r="A460" s="61" t="n">
        <x:v>2026</x:v>
      </x:c>
      <x:c r="B460" s="18" t="str">
        <x:v>S1</x:v>
      </x:c>
      <x:c r="C460" s="18" t="str">
        <x:v>2026 S1</x:v>
      </x:c>
      <x:c r="D460" s="18" t="str">
        <x:v>CNCT0115</x:v>
      </x:c>
      <x:c r="E460" s="18" t="str">
        <x:v>昆明南亚风情第壹城</x:v>
      </x:c>
      <x:c r="F460" s="18" t="str">
        <x:v>昆明</x:v>
      </x:c>
      <x:c r="G460" s="18" t="str">
        <x:v>云南省</x:v>
      </x:c>
      <x:c r="H460" s="18" t="str">
        <x:v>西区</x:v>
      </x:c>
      <x:c r="I460" s="18" t="str">
        <x:v>Shopping Mall</x:v>
      </x:c>
      <x:c r="J460" s="18" t="str">
        <x:v>Regional Mall</x:v>
      </x:c>
      <x:c r="K460" s="18" t="str">
        <x:v>正常</x:v>
      </x:c>
      <x:c r="L460" s="62" t="n">
        <x:v>3</x:v>
      </x:c>
      <x:c r="M460" s="62" t="n">
        <x:v>31</x:v>
      </x:c>
      <x:c r="N460" s="63" t="n">
        <x:f>'Drivers'!C460</x:f>
        <x:v>1158</x:v>
      </x:c>
      <x:c r="O460" s="63" t="n">
        <x:f>'Drivers'!D460</x:f>
        <x:v>1031.383</x:v>
      </x:c>
      <x:c r="P460" s="64" t="n">
        <x:f>ROUND(N460*O460/1000,3)</x:f>
        <x:v>1194.342</x:v>
      </x:c>
      <x:c r="Q460" s="64" t="n">
        <x:f>ROUND(P460*'Drivers'!E460,3)</x:f>
        <x:v>1163.062</x:v>
      </x:c>
      <x:c r="R460" s="64" t="n">
        <x:f>-ROUND(Q460*'Drivers'!F460,3)</x:f>
        <x:v>-221.953</x:v>
      </x:c>
      <x:c r="S460" s="65" t="n">
        <x:f>R460/Q460</x:f>
        <x:v>-0.19083505436511555</x:v>
      </x:c>
      <x:c r="T460" s="64" t="n">
        <x:f>-ROUND(Q460*'Drivers'!G460,3)</x:f>
        <x:v>-14.318</x:v>
      </x:c>
      <x:c r="U460" s="65" t="n">
        <x:f>T460/Q460</x:f>
        <x:v>-0.012310607689014</x:v>
      </x:c>
      <x:c r="V460" s="64" t="n">
        <x:f>-ROUND(Q460*'Drivers'!H460,3)</x:f>
        <x:v>-9.477</x:v>
      </x:c>
      <x:c r="W460" s="64" t="n">
        <x:f>-ROUND(Q460*'Drivers'!I460,3)</x:f>
        <x:v>-8.411</x:v>
      </x:c>
      <x:c r="X460" s="64" t="n">
        <x:f>-ROUND(Q460*'Drivers'!J460,3)</x:f>
        <x:v>-12.634</x:v>
      </x:c>
      <x:c r="Y460" s="64" t="n">
        <x:f>-ROUND(Q460*'Drivers'!K460,3)</x:f>
        <x:v>-13.278</x:v>
      </x:c>
      <x:c r="Z460" s="64" t="n">
        <x:f>-ROUND(Q460*'Drivers'!L460,3)</x:f>
        <x:v>-14.82</x:v>
      </x:c>
      <x:c r="AA460" s="64" t="n">
        <x:f>-ROUND(Q460*'Drivers'!M460,3)</x:f>
        <x:v>-11.781</x:v>
      </x:c>
      <x:c r="AB460" s="64" t="n">
        <x:f>-ROUND(Q460*'Drivers'!N460,3)</x:f>
        <x:v>-8.255</x:v>
      </x:c>
      <x:c r="AC460" s="64" t="n">
        <x:f>SUM(V460:AB460)</x:f>
        <x:v>-78.65599999999999</x:v>
      </x:c>
      <x:c r="AD460" s="65" t="n">
        <x:f>AC460/Q460</x:f>
        <x:v>-0.06762838094615764</x:v>
      </x:c>
      <x:c r="AE460" s="64" t="n">
        <x:f>-ROUND(Q460*'Drivers'!O460,3)</x:f>
        <x:v>-15.921</x:v>
      </x:c>
      <x:c r="AF460" s="65" t="n">
        <x:f>AE460/Q460</x:f>
        <x:v>-0.013688866113758339</x:v>
      </x:c>
      <x:c r="AG460" s="64" t="n">
        <x:f>-ROUND(Q460*'Drivers'!P460,3)</x:f>
        <x:v>-2.046</x:v>
      </x:c>
      <x:c r="AH460" s="64" t="n">
        <x:f>-ROUND(Q460*'Drivers'!Q460,3)</x:f>
        <x:v>-6.534</x:v>
      </x:c>
      <x:c r="AI460" s="64" t="n">
        <x:f>SUM(R460,T460,AC460,AE460,AG460,AH460)</x:f>
        <x:v>-339.428</x:v>
      </x:c>
      <x:c r="AJ460" s="65" t="n">
        <x:f>AI460/Q460</x:f>
        <x:v>-0.2918399878940246</x:v>
      </x:c>
      <x:c r="AK460" s="64" t="n">
        <x:f>Q460+AI460</x:f>
        <x:v>823.6339999999999</x:v>
      </x:c>
      <x:c r="AL460" s="65" t="n">
        <x:f>AK460/Q460</x:f>
        <x:v>0.7081600121059755</x:v>
      </x:c>
      <x:c r="AM460" s="64" t="n">
        <x:f>AK460/L460</x:f>
        <x:v>274.5446666666666</x:v>
      </x:c>
      <x:c r="AN460" s="66" t="str">
        <x:f>IF(AM460&lt;=200,"≤200K",IF(AM460&lt;=350,"200–350K",IF(AM460&lt;=500,"350–500K",IF(AM460&lt;=700,"500–700K","&gt;700K"))))</x:f>
        <x:v>200–350K</x:v>
      </x:c>
      <x:c r="AO460" s="64" t="n">
        <x:f>-ROUND(Q460*'Drivers'!R460,3)</x:f>
        <x:v>-406.948</x:v>
      </x:c>
      <x:c r="AP460" s="64" t="n">
        <x:f>-ROUND(AK460*'Drivers'!S460,3)</x:f>
        <x:v>-13.522</x:v>
      </x:c>
      <x:c r="AQ460" s="64" t="n">
        <x:f>-ROUND(AK460*'Drivers'!T460,3)</x:f>
        <x:v>-4.624</x:v>
      </x:c>
      <x:c r="AR460" s="64" t="n">
        <x:f>-ROUND(AK460*'Drivers'!U460,3)</x:f>
        <x:v>-8.227</x:v>
      </x:c>
      <x:c r="AS460" s="64" t="n">
        <x:f>-ROUND(AK460*'Drivers'!V460,3)</x:f>
        <x:v>-30.681</x:v>
      </x:c>
      <x:c r="AT460" s="64" t="n">
        <x:f>SUM(AO460:AS460)</x:f>
        <x:v>-464.00199999999995</x:v>
      </x:c>
      <x:c r="AU460" s="65" t="n">
        <x:f>AT460/AK460</x:f>
        <x:v>-0.5633594533494246</x:v>
      </x:c>
      <x:c r="AV460" s="64" t="n">
        <x:f>AK460+AT460</x:f>
        <x:v>359.63199999999995</x:v>
      </x:c>
      <x:c r="AW460" s="65" t="n">
        <x:f>AV460/AK460</x:f>
        <x:v>0.4366405466505754</x:v>
      </x:c>
      <x:c r="AX460" s="64" t="n">
        <x:f>-ROUND(AK460*'Drivers'!W460,3)</x:f>
        <x:v>-13.199</x:v>
      </x:c>
      <x:c r="AY460" s="64" t="n">
        <x:f>-ROUND(AK460*'Drivers'!X460,3)</x:f>
        <x:v>-25.721</x:v>
      </x:c>
      <x:c r="AZ460" s="64" t="n">
        <x:f>-ROUND(AK460*'Drivers'!Y460,3)</x:f>
        <x:v>-21.474</x:v>
      </x:c>
      <x:c r="BA460" s="64" t="n">
        <x:f>-ROUND(AK460*'Drivers'!Z460,3)</x:f>
        <x:v>-5.474</x:v>
      </x:c>
      <x:c r="BB460" s="64" t="n">
        <x:f>-ROUND(AK460*'Drivers'!AA460,3)</x:f>
        <x:v>-8.059</x:v>
      </x:c>
      <x:c r="BC460" s="64" t="n">
        <x:f>SUM(BA460,BB460)</x:f>
        <x:v>-13.533</x:v>
      </x:c>
      <x:c r="BD460" s="64" t="n">
        <x:f>-ROUND(AK460*'Drivers'!AB460,3)</x:f>
        <x:v>-5.161</x:v>
      </x:c>
      <x:c r="BE460" s="64" t="n">
        <x:f>SUM(AX460:BB460,BD460)</x:f>
        <x:v>-79.08800000000001</x:v>
      </x:c>
      <x:c r="BF460" s="67" t="n">
        <x:f>'Drivers'!AF460</x:f>
        <x:v>6</x:v>
      </x:c>
      <x:c r="BG460" s="64" t="n">
        <x:f>BJ460</x:f>
        <x:v>-20.866</x:v>
      </x:c>
      <x:c r="BH460" s="64" t="n">
        <x:f>BE460/BF460</x:f>
        <x:v>-13.181333333333335</x:v>
      </x:c>
      <x:c r="BI460" s="68" t="n">
        <x:f>BF460/L460</x:f>
        <x:v>2</x:v>
      </x:c>
      <x:c r="BJ460" s="64" t="n">
        <x:f>-ROUND(AK460*'Drivers'!AC460,3)</x:f>
        <x:v>-20.866</x:v>
      </x:c>
      <x:c r="BK460" s="64" t="n">
        <x:f>-ROUND(AK460*'Drivers'!AD460,3)</x:f>
        <x:v>-97.944</x:v>
      </x:c>
      <x:c r="BL460" s="64" t="n">
        <x:f>SUM(AV460,BE460,BJ460,BK460)</x:f>
        <x:v>161.73399999999992</x:v>
      </x:c>
      <x:c r="BM460" s="65" t="n">
        <x:f>BL460/AK460</x:f>
        <x:v>0.19636634718819274</x:v>
      </x:c>
      <x:c r="BN460" s="64" t="n">
        <x:f>-ROUND(AK460*'Drivers'!AE460,3)</x:f>
        <x:v>-65.951</x:v>
      </x:c>
      <x:c r="BO460" s="64" t="n">
        <x:f>BL460+BN460</x:f>
        <x:v>95.78299999999993</x:v>
      </x:c>
      <x:c r="BP460" s="65" t="n">
        <x:f>BO460/AK460</x:f>
        <x:v>0.1162931593401923</x:v>
      </x:c>
    </x:row>
    <x:row r="461">
      <x:c r="A461" s="61" t="n">
        <x:v>2026</x:v>
      </x:c>
      <x:c r="B461" s="18" t="str">
        <x:v>S2</x:v>
      </x:c>
      <x:c r="C461" s="18" t="str">
        <x:v>2026 S2</x:v>
      </x:c>
      <x:c r="D461" s="18" t="str">
        <x:v>CNCT0115</x:v>
      </x:c>
      <x:c r="E461" s="18" t="str">
        <x:v>昆明南亚风情第壹城</x:v>
      </x:c>
      <x:c r="F461" s="18" t="str">
        <x:v>昆明</x:v>
      </x:c>
      <x:c r="G461" s="18" t="str">
        <x:v>云南省</x:v>
      </x:c>
      <x:c r="H461" s="18" t="str">
        <x:v>西区</x:v>
      </x:c>
      <x:c r="I461" s="18" t="str">
        <x:v>Shopping Mall</x:v>
      </x:c>
      <x:c r="J461" s="18" t="str">
        <x:v>Regional Mall</x:v>
      </x:c>
      <x:c r="K461" s="18" t="str">
        <x:v>正常</x:v>
      </x:c>
      <x:c r="L461" s="62" t="n">
        <x:v>3</x:v>
      </x:c>
      <x:c r="M461" s="62" t="n">
        <x:v>31</x:v>
      </x:c>
      <x:c r="N461" s="63" t="n">
        <x:f>'Drivers'!C461</x:f>
        <x:v>1269</x:v>
      </x:c>
      <x:c r="O461" s="63" t="n">
        <x:f>'Drivers'!D461</x:f>
        <x:v>1037.735</x:v>
      </x:c>
      <x:c r="P461" s="64" t="n">
        <x:f>ROUND(N461*O461/1000,3)</x:f>
        <x:v>1316.886</x:v>
      </x:c>
      <x:c r="Q461" s="64" t="n">
        <x:f>ROUND(P461*'Drivers'!E461,3)</x:f>
        <x:v>1294.459</x:v>
      </x:c>
      <x:c r="R461" s="64" t="n">
        <x:f>-ROUND(Q461*'Drivers'!F461,3)</x:f>
        <x:v>-252.365</x:v>
      </x:c>
      <x:c r="S461" s="65" t="n">
        <x:f>R461/Q461</x:f>
        <x:v>-0.19495789360651825</x:v>
      </x:c>
      <x:c r="T461" s="64" t="n">
        <x:f>-ROUND(Q461*'Drivers'!G461,3)</x:f>
        <x:v>-18.268</x:v>
      </x:c>
      <x:c r="U461" s="65" t="n">
        <x:f>T461/Q461</x:f>
        <x:v>-0.014112459336294158</x:v>
      </x:c>
      <x:c r="V461" s="64" t="n">
        <x:f>-ROUND(Q461*'Drivers'!H461,3)</x:f>
        <x:v>-10.548</x:v>
      </x:c>
      <x:c r="W461" s="64" t="n">
        <x:f>-ROUND(Q461*'Drivers'!I461,3)</x:f>
        <x:v>-9.362</x:v>
      </x:c>
      <x:c r="X461" s="64" t="n">
        <x:f>-ROUND(Q461*'Drivers'!J461,3)</x:f>
        <x:v>-14.061</x:v>
      </x:c>
      <x:c r="Y461" s="64" t="n">
        <x:f>-ROUND(Q461*'Drivers'!K461,3)</x:f>
        <x:v>-14.778</x:v>
      </x:c>
      <x:c r="Z461" s="64" t="n">
        <x:f>-ROUND(Q461*'Drivers'!L461,3)</x:f>
        <x:v>-16.494</x:v>
      </x:c>
      <x:c r="AA461" s="64" t="n">
        <x:f>-ROUND(Q461*'Drivers'!M461,3)</x:f>
        <x:v>-13.112</x:v>
      </x:c>
      <x:c r="AB461" s="64" t="n">
        <x:f>-ROUND(Q461*'Drivers'!N461,3)</x:f>
        <x:v>-9.187</x:v>
      </x:c>
      <x:c r="AC461" s="64" t="n">
        <x:f>SUM(V461:AB461)</x:f>
        <x:v>-87.54199999999999</x:v>
      </x:c>
      <x:c r="AD461" s="65" t="n">
        <x:f>AC461/Q461</x:f>
        <x:v>-0.06762825242050925</x:v>
      </x:c>
      <x:c r="AE461" s="64" t="n">
        <x:f>-ROUND(Q461*'Drivers'!O461,3)</x:f>
        <x:v>-17.91</x:v>
      </x:c>
      <x:c r="AF461" s="65" t="n">
        <x:f>AE461/Q461</x:f>
        <x:v>-0.013835895922543704</x:v>
      </x:c>
      <x:c r="AG461" s="64" t="n">
        <x:f>-ROUND(Q461*'Drivers'!P461,3)</x:f>
        <x:v>-2.277</x:v>
      </x:c>
      <x:c r="AH461" s="64" t="n">
        <x:f>-ROUND(Q461*'Drivers'!Q461,3)</x:f>
        <x:v>-7.272</x:v>
      </x:c>
      <x:c r="AI461" s="64" t="n">
        <x:f>SUM(R461,T461,AC461,AE461,AG461,AH461)</x:f>
        <x:v>-385.634</x:v>
      </x:c>
      <x:c r="AJ461" s="65" t="n">
        <x:f>AI461/Q461</x:f>
        <x:v>-0.29791132820738236</x:v>
      </x:c>
      <x:c r="AK461" s="64" t="n">
        <x:f>Q461+AI461</x:f>
        <x:v>908.825</x:v>
      </x:c>
      <x:c r="AL461" s="65" t="n">
        <x:f>AK461/Q461</x:f>
        <x:v>0.7020886717926176</x:v>
      </x:c>
      <x:c r="AM461" s="64" t="n">
        <x:f>AK461/L461</x:f>
        <x:v>302.94166666666666</x:v>
      </x:c>
      <x:c r="AN461" s="66" t="str">
        <x:f>IF(AM461&lt;=200,"≤200K",IF(AM461&lt;=350,"200–350K",IF(AM461&lt;=500,"350–500K",IF(AM461&lt;=700,"500–700K","&gt;700K"))))</x:f>
        <x:v>200–350K</x:v>
      </x:c>
      <x:c r="AO461" s="64" t="n">
        <x:f>-ROUND(Q461*'Drivers'!R461,3)</x:f>
        <x:v>-477.209</x:v>
      </x:c>
      <x:c r="AP461" s="64" t="n">
        <x:f>-ROUND(AK461*'Drivers'!S461,3)</x:f>
        <x:v>-14.92</x:v>
      </x:c>
      <x:c r="AQ461" s="64" t="n">
        <x:f>-ROUND(AK461*'Drivers'!T461,3)</x:f>
        <x:v>-5.102</x:v>
      </x:c>
      <x:c r="AR461" s="64" t="n">
        <x:f>-ROUND(AK461*'Drivers'!U461,3)</x:f>
        <x:v>-9.078</x:v>
      </x:c>
      <x:c r="AS461" s="64" t="n">
        <x:f>-ROUND(AK461*'Drivers'!V461,3)</x:f>
        <x:v>-33.855</x:v>
      </x:c>
      <x:c r="AT461" s="64" t="n">
        <x:f>SUM(AO461:AS461)</x:f>
        <x:v>-540.164</x:v>
      </x:c>
      <x:c r="AU461" s="65" t="n">
        <x:f>AT461/AK461</x:f>
        <x:v>-0.5943542486177207</x:v>
      </x:c>
      <x:c r="AV461" s="64" t="n">
        <x:f>AK461+AT461</x:f>
        <x:v>368.66100000000006</x:v>
      </x:c>
      <x:c r="AW461" s="65" t="n">
        <x:f>AV461/AK461</x:f>
        <x:v>0.4056457513822794</x:v>
      </x:c>
      <x:c r="AX461" s="64" t="n">
        <x:f>-ROUND(AK461*'Drivers'!W461,3)</x:f>
        <x:v>-12.546</x:v>
      </x:c>
      <x:c r="AY461" s="64" t="n">
        <x:f>-ROUND(AK461*'Drivers'!X461,3)</x:f>
        <x:v>-24.45</x:v>
      </x:c>
      <x:c r="AZ461" s="64" t="n">
        <x:f>-ROUND(AK461*'Drivers'!Y461,3)</x:f>
        <x:v>-20.413</x:v>
      </x:c>
      <x:c r="BA461" s="64" t="n">
        <x:f>-ROUND(AK461*'Drivers'!Z461,3)</x:f>
        <x:v>-5.204</x:v>
      </x:c>
      <x:c r="BB461" s="64" t="n">
        <x:f>-ROUND(AK461*'Drivers'!AA461,3)</x:f>
        <x:v>-7.661</x:v>
      </x:c>
      <x:c r="BC461" s="64" t="n">
        <x:f>SUM(BA461,BB461)</x:f>
        <x:v>-12.864999999999998</x:v>
      </x:c>
      <x:c r="BD461" s="64" t="n">
        <x:f>-ROUND(AK461*'Drivers'!AB461,3)</x:f>
        <x:v>-4.905</x:v>
      </x:c>
      <x:c r="BE461" s="64" t="n">
        <x:f>SUM(AX461:BB461,BD461)</x:f>
        <x:v>-75.17899999999999</x:v>
      </x:c>
      <x:c r="BF461" s="67" t="n">
        <x:f>'Drivers'!AF461</x:f>
        <x:v>6</x:v>
      </x:c>
      <x:c r="BG461" s="64" t="n">
        <x:f>BJ461</x:f>
        <x:v>-19.835</x:v>
      </x:c>
      <x:c r="BH461" s="64" t="n">
        <x:f>BE461/BF461</x:f>
        <x:v>-12.52983333333333</x:v>
      </x:c>
      <x:c r="BI461" s="68" t="n">
        <x:f>BF461/L461</x:f>
        <x:v>2</x:v>
      </x:c>
      <x:c r="BJ461" s="64" t="n">
        <x:f>-ROUND(AK461*'Drivers'!AC461,3)</x:f>
        <x:v>-19.835</x:v>
      </x:c>
      <x:c r="BK461" s="64" t="n">
        <x:f>-ROUND(AK461*'Drivers'!AD461,3)</x:f>
        <x:v>-108.075</x:v>
      </x:c>
      <x:c r="BL461" s="64" t="n">
        <x:f>SUM(AV461,BE461,BJ461,BK461)</x:f>
        <x:v>165.57200000000012</x:v>
      </x:c>
      <x:c r="BM461" s="65" t="n">
        <x:f>BL461/AK461</x:f>
        <x:v>0.18218248837785064</x:v>
      </x:c>
      <x:c r="BN461" s="64" t="n">
        <x:f>-ROUND(AK461*'Drivers'!AE461,3)</x:f>
        <x:v>-72.772</x:v>
      </x:c>
      <x:c r="BO461" s="64" t="n">
        <x:f>BL461+BN461</x:f>
        <x:v>92.80000000000011</x:v>
      </x:c>
      <x:c r="BP461" s="65" t="n">
        <x:f>BO461/AK461</x:f>
        <x:v>0.10210986713613744</x:v>
      </x:c>
    </x:row>
    <x:row r="462">
      <x:c r="A462" s="61" t="n">
        <x:v>2025</x:v>
      </x:c>
      <x:c r="B462" s="18" t="str">
        <x:v>S1</x:v>
      </x:c>
      <x:c r="C462" s="18" t="str">
        <x:v>2025 S1</x:v>
      </x:c>
      <x:c r="D462" s="18" t="str">
        <x:v>CNCT0116</x:v>
      </x:c>
      <x:c r="E462" s="18" t="str">
        <x:v>昆明百盛柏联店</x:v>
      </x:c>
      <x:c r="F462" s="18" t="str">
        <x:v>昆明</x:v>
      </x:c>
      <x:c r="G462" s="18" t="str">
        <x:v>云南省</x:v>
      </x:c>
      <x:c r="H462" s="18" t="str">
        <x:v>西区</x:v>
      </x:c>
      <x:c r="I462" s="18" t="str">
        <x:v>Shopping Mall</x:v>
      </x:c>
      <x:c r="J462" s="18" t="str">
        <x:v>Regional Mall</x:v>
      </x:c>
      <x:c r="K462" s="18" t="str">
        <x:v>正常</x:v>
      </x:c>
      <x:c r="L462" s="62" t="n">
        <x:v>2</x:v>
      </x:c>
      <x:c r="M462" s="62" t="n">
        <x:v>31</x:v>
      </x:c>
      <x:c r="N462" s="63" t="n">
        <x:f>'Drivers'!C462</x:f>
        <x:v>839</x:v>
      </x:c>
      <x:c r="O462" s="63" t="n">
        <x:f>'Drivers'!D462</x:f>
        <x:v>902.247</x:v>
      </x:c>
      <x:c r="P462" s="64" t="n">
        <x:f>ROUND(N462*O462/1000,3)</x:f>
        <x:v>756.985</x:v>
      </x:c>
      <x:c r="Q462" s="64" t="n">
        <x:f>ROUND(P462*'Drivers'!E462,3)</x:f>
        <x:v>742.837</x:v>
      </x:c>
      <x:c r="R462" s="64" t="n">
        <x:f>-ROUND(Q462*'Drivers'!F462,3)</x:f>
        <x:v>-159.696</x:v>
      </x:c>
      <x:c r="S462" s="65" t="n">
        <x:f>R462/Q462</x:f>
        <x:v>-0.21498121391368497</x:v>
      </x:c>
      <x:c r="T462" s="64" t="n">
        <x:f>-ROUND(Q462*'Drivers'!G462,3)</x:f>
        <x:v>-10.22</x:v>
      </x:c>
      <x:c r="U462" s="65" t="n">
        <x:f>T462/Q462</x:f>
        <x:v>-0.013758065362926187</x:v>
      </x:c>
      <x:c r="V462" s="64" t="n">
        <x:f>-ROUND(Q462*'Drivers'!H462,3)</x:f>
        <x:v>-9.295</x:v>
      </x:c>
      <x:c r="W462" s="64" t="n">
        <x:f>-ROUND(Q462*'Drivers'!I462,3)</x:f>
        <x:v>-5.526</x:v>
      </x:c>
      <x:c r="X462" s="64" t="n">
        <x:f>-ROUND(Q462*'Drivers'!J462,3)</x:f>
        <x:v>-11.33</x:v>
      </x:c>
      <x:c r="Y462" s="64" t="n">
        <x:f>-ROUND(Q462*'Drivers'!K462,3)</x:f>
        <x:v>-10.058</x:v>
      </x:c>
      <x:c r="Z462" s="64" t="n">
        <x:f>-ROUND(Q462*'Drivers'!L462,3)</x:f>
        <x:v>-8.636</x:v>
      </x:c>
      <x:c r="AA462" s="64" t="n">
        <x:f>-ROUND(Q462*'Drivers'!M462,3)</x:f>
        <x:v>-6.59</x:v>
      </x:c>
      <x:c r="AB462" s="64" t="n">
        <x:f>-ROUND(Q462*'Drivers'!N462,3)</x:f>
        <x:v>-4.285</x:v>
      </x:c>
      <x:c r="AC462" s="64" t="n">
        <x:f>SUM(V462:AB462)</x:f>
        <x:v>-55.72</x:v>
      </x:c>
      <x:c r="AD462" s="65" t="n">
        <x:f>AC462/Q462</x:f>
        <x:v>-0.0750097262252688</x:v>
      </x:c>
      <x:c r="AE462" s="64" t="n">
        <x:f>-ROUND(Q462*'Drivers'!O462,3)</x:f>
        <x:v>-4.501</x:v>
      </x:c>
      <x:c r="AF462" s="65" t="n">
        <x:f>AE462/Q462</x:f>
        <x:v>-0.006059202759151739</x:v>
      </x:c>
      <x:c r="AG462" s="64" t="n">
        <x:f>-ROUND(Q462*'Drivers'!P462,3)</x:f>
        <x:v>-0.308</x:v>
      </x:c>
      <x:c r="AH462" s="64" t="n">
        <x:f>-ROUND(Q462*'Drivers'!Q462,3)</x:f>
        <x:v>-3.231</x:v>
      </x:c>
      <x:c r="AI462" s="64" t="n">
        <x:f>SUM(R462,T462,AC462,AE462,AG462,AH462)</x:f>
        <x:v>-233.676</x:v>
      </x:c>
      <x:c r="AJ462" s="65" t="n">
        <x:f>AI462/Q462</x:f>
        <x:v>-0.3145723759048082</x:v>
      </x:c>
      <x:c r="AK462" s="64" t="n">
        <x:f>Q462+AI462</x:f>
        <x:v>509.161</x:v>
      </x:c>
      <x:c r="AL462" s="65" t="n">
        <x:f>AK462/Q462</x:f>
        <x:v>0.6854276240951919</x:v>
      </x:c>
      <x:c r="AM462" s="64" t="n">
        <x:f>AK462/L462</x:f>
        <x:v>254.5805</x:v>
      </x:c>
      <x:c r="AN462" s="66" t="str">
        <x:f>IF(AM462&lt;=200,"≤200K",IF(AM462&lt;=350,"200–350K",IF(AM462&lt;=500,"350–500K",IF(AM462&lt;=700,"500–700K","&gt;700K"))))</x:f>
        <x:v>200–350K</x:v>
      </x:c>
      <x:c r="AO462" s="64" t="n">
        <x:f>-ROUND(Q462*'Drivers'!R462,3)</x:f>
        <x:v>-271.101</x:v>
      </x:c>
      <x:c r="AP462" s="64" t="n">
        <x:f>-ROUND(AK462*'Drivers'!S462,3)</x:f>
        <x:v>-6.687</x:v>
      </x:c>
      <x:c r="AQ462" s="64" t="n">
        <x:f>-ROUND(AK462*'Drivers'!T462,3)</x:f>
        <x:v>-1.93</x:v>
      </x:c>
      <x:c r="AR462" s="64" t="n">
        <x:f>-ROUND(AK462*'Drivers'!U462,3)</x:f>
        <x:v>-4.612</x:v>
      </x:c>
      <x:c r="AS462" s="64" t="n">
        <x:f>-ROUND(AK462*'Drivers'!V462,3)</x:f>
        <x:v>-17.02</x:v>
      </x:c>
      <x:c r="AT462" s="64" t="n">
        <x:f>SUM(AO462:AS462)</x:f>
        <x:v>-301.35</x:v>
      </x:c>
      <x:c r="AU462" s="65" t="n">
        <x:f>AT462/AK462</x:f>
        <x:v>-0.5918560141094861</x:v>
      </x:c>
      <x:c r="AV462" s="64" t="n">
        <x:f>AK462+AT462</x:f>
        <x:v>207.81099999999998</x:v>
      </x:c>
      <x:c r="AW462" s="65" t="n">
        <x:f>AV462/AK462</x:f>
        <x:v>0.408143985890514</x:v>
      </x:c>
      <x:c r="AX462" s="64" t="n">
        <x:f>-ROUND(AK462*'Drivers'!W462,3)</x:f>
        <x:v>-5.08</x:v>
      </x:c>
      <x:c r="AY462" s="64" t="n">
        <x:f>-ROUND(AK462*'Drivers'!X462,3)</x:f>
        <x:v>-13.784</x:v>
      </x:c>
      <x:c r="AZ462" s="64" t="n">
        <x:f>-ROUND(AK462*'Drivers'!Y462,3)</x:f>
        <x:v>-9.467</x:v>
      </x:c>
      <x:c r="BA462" s="64" t="n">
        <x:f>-ROUND(AK462*'Drivers'!Z462,3)</x:f>
        <x:v>-3.47</x:v>
      </x:c>
      <x:c r="BB462" s="64" t="n">
        <x:f>-ROUND(AK462*'Drivers'!AA462,3)</x:f>
        <x:v>-3.957</x:v>
      </x:c>
      <x:c r="BC462" s="64" t="n">
        <x:f>SUM(BA462,BB462)</x:f>
        <x:v>-7.427</x:v>
      </x:c>
      <x:c r="BD462" s="64" t="n">
        <x:f>-ROUND(AK462*'Drivers'!AB462,3)</x:f>
        <x:v>-2.671</x:v>
      </x:c>
      <x:c r="BE462" s="64" t="n">
        <x:f>SUM(AX462:BB462,BD462)</x:f>
        <x:v>-38.429</x:v>
      </x:c>
      <x:c r="BF462" s="67" t="n">
        <x:f>'Drivers'!AF462</x:f>
        <x:v>3</x:v>
      </x:c>
      <x:c r="BG462" s="64" t="n">
        <x:f>BJ462</x:f>
        <x:v>-12.747</x:v>
      </x:c>
      <x:c r="BH462" s="64" t="n">
        <x:f>BE462/BF462</x:f>
        <x:v>-12.809666666666667</x:v>
      </x:c>
      <x:c r="BI462" s="68" t="n">
        <x:f>BF462/L462</x:f>
        <x:v>1.5</x:v>
      </x:c>
      <x:c r="BJ462" s="64" t="n">
        <x:f>-ROUND(AK462*'Drivers'!AC462,3)</x:f>
        <x:v>-12.747</x:v>
      </x:c>
      <x:c r="BK462" s="64" t="n">
        <x:f>-ROUND(AK462*'Drivers'!AD462,3)</x:f>
        <x:v>-49.06</x:v>
      </x:c>
      <x:c r="BL462" s="64" t="n">
        <x:f>SUM(AV462,BE462,BJ462,BK462)</x:f>
        <x:v>107.57499999999999</x:v>
      </x:c>
      <x:c r="BM462" s="65" t="n">
        <x:f>BL462/AK462</x:f>
        <x:v>0.2112789471306718</x:v>
      </x:c>
      <x:c r="BN462" s="64" t="n">
        <x:f>-ROUND(AK462*'Drivers'!AE462,3)</x:f>
        <x:v>-31.483</x:v>
      </x:c>
      <x:c r="BO462" s="64" t="n">
        <x:f>BL462+BN462</x:f>
        <x:v>76.09199999999998</x:v>
      </x:c>
      <x:c r="BP462" s="65" t="n">
        <x:f>BO462/AK462</x:f>
        <x:v>0.14944585307987057</x:v>
      </x:c>
    </x:row>
    <x:row r="463">
      <x:c r="A463" s="61" t="n">
        <x:v>2025</x:v>
      </x:c>
      <x:c r="B463" s="18" t="str">
        <x:v>S2</x:v>
      </x:c>
      <x:c r="C463" s="18" t="str">
        <x:v>2025 S2</x:v>
      </x:c>
      <x:c r="D463" s="18" t="str">
        <x:v>CNCT0116</x:v>
      </x:c>
      <x:c r="E463" s="18" t="str">
        <x:v>昆明百盛柏联店</x:v>
      </x:c>
      <x:c r="F463" s="18" t="str">
        <x:v>昆明</x:v>
      </x:c>
      <x:c r="G463" s="18" t="str">
        <x:v>云南省</x:v>
      </x:c>
      <x:c r="H463" s="18" t="str">
        <x:v>西区</x:v>
      </x:c>
      <x:c r="I463" s="18" t="str">
        <x:v>Shopping Mall</x:v>
      </x:c>
      <x:c r="J463" s="18" t="str">
        <x:v>Regional Mall</x:v>
      </x:c>
      <x:c r="K463" s="18" t="str">
        <x:v>正常</x:v>
      </x:c>
      <x:c r="L463" s="62" t="n">
        <x:v>2</x:v>
      </x:c>
      <x:c r="M463" s="62" t="n">
        <x:v>31</x:v>
      </x:c>
      <x:c r="N463" s="63" t="n">
        <x:f>'Drivers'!C463</x:f>
        <x:v>921</x:v>
      </x:c>
      <x:c r="O463" s="63" t="n">
        <x:f>'Drivers'!D463</x:f>
        <x:v>913.074</x:v>
      </x:c>
      <x:c r="P463" s="64" t="n">
        <x:f>ROUND(N463*O463/1000,3)</x:f>
        <x:v>840.941</x:v>
      </x:c>
      <x:c r="Q463" s="64" t="n">
        <x:f>ROUND(P463*'Drivers'!E463,3)</x:f>
        <x:v>823.059</x:v>
      </x:c>
      <x:c r="R463" s="64" t="n">
        <x:f>-ROUND(Q463*'Drivers'!F463,3)</x:f>
        <x:v>-176.943</x:v>
      </x:c>
      <x:c r="S463" s="65" t="n">
        <x:f>R463/Q463</x:f>
        <x:v>-0.2149821580226934</x:v>
      </x:c>
      <x:c r="T463" s="64" t="n">
        <x:f>-ROUND(Q463*'Drivers'!G463,3)</x:f>
        <x:v>-11.324</x:v>
      </x:c>
      <x:c r="U463" s="65" t="n">
        <x:f>T463/Q463</x:f>
        <x:v>-0.0137584304405881</x:v>
      </x:c>
      <x:c r="V463" s="64" t="n">
        <x:f>-ROUND(Q463*'Drivers'!H463,3)</x:f>
        <x:v>-10.299</x:v>
      </x:c>
      <x:c r="W463" s="64" t="n">
        <x:f>-ROUND(Q463*'Drivers'!I463,3)</x:f>
        <x:v>-6.123</x:v>
      </x:c>
      <x:c r="X463" s="64" t="n">
        <x:f>-ROUND(Q463*'Drivers'!J463,3)</x:f>
        <x:v>-12.553</x:v>
      </x:c>
      <x:c r="Y463" s="64" t="n">
        <x:f>-ROUND(Q463*'Drivers'!K463,3)</x:f>
        <x:v>-11.144</x:v>
      </x:c>
      <x:c r="Z463" s="64" t="n">
        <x:f>-ROUND(Q463*'Drivers'!L463,3)</x:f>
        <x:v>-9.569</x:v>
      </x:c>
      <x:c r="AA463" s="64" t="n">
        <x:f>-ROUND(Q463*'Drivers'!M463,3)</x:f>
        <x:v>-7.302</x:v>
      </x:c>
      <x:c r="AB463" s="64" t="n">
        <x:f>-ROUND(Q463*'Drivers'!N463,3)</x:f>
        <x:v>-4.748</x:v>
      </x:c>
      <x:c r="AC463" s="64" t="n">
        <x:f>SUM(V463:AB463)</x:f>
        <x:v>-61.738</x:v>
      </x:c>
      <x:c r="AD463" s="65" t="n">
        <x:f>AC463/Q463</x:f>
        <x:v>-0.07501041845116814</x:v>
      </x:c>
      <x:c r="AE463" s="64" t="n">
        <x:f>-ROUND(Q463*'Drivers'!O463,3)</x:f>
        <x:v>-4.987</x:v>
      </x:c>
      <x:c r="AF463" s="65" t="n">
        <x:f>AE463/Q463</x:f>
        <x:v>-0.006059103903851365</x:v>
      </x:c>
      <x:c r="AG463" s="64" t="n">
        <x:f>-ROUND(Q463*'Drivers'!P463,3)</x:f>
        <x:v>-0.341</x:v>
      </x:c>
      <x:c r="AH463" s="64" t="n">
        <x:f>-ROUND(Q463*'Drivers'!Q463,3)</x:f>
        <x:v>-3.579</x:v>
      </x:c>
      <x:c r="AI463" s="64" t="n">
        <x:f>SUM(R463,T463,AC463,AE463,AG463,AH463)</x:f>
        <x:v>-258.91200000000003</x:v>
      </x:c>
      <x:c r="AJ463" s="65" t="n">
        <x:f>AI463/Q463</x:f>
        <x:v>-0.31457283135230896</x:v>
      </x:c>
      <x:c r="AK463" s="64" t="n">
        <x:f>Q463+AI463</x:f>
        <x:v>564.1469999999999</x:v>
      </x:c>
      <x:c r="AL463" s="65" t="n">
        <x:f>AK463/Q463</x:f>
        <x:v>0.685427168647691</x:v>
      </x:c>
      <x:c r="AM463" s="64" t="n">
        <x:f>AK463/L463</x:f>
        <x:v>282.07349999999997</x:v>
      </x:c>
      <x:c r="AN463" s="66" t="str">
        <x:f>IF(AM463&lt;=200,"≤200K",IF(AM463&lt;=350,"200–350K",IF(AM463&lt;=500,"350–500K",IF(AM463&lt;=700,"500–700K","&gt;700K"))))</x:f>
        <x:v>200–350K</x:v>
      </x:c>
      <x:c r="AO463" s="64" t="n">
        <x:f>-ROUND(Q463*'Drivers'!R463,3)</x:f>
        <x:v>-292.15</x:v>
      </x:c>
      <x:c r="AP463" s="64" t="n">
        <x:f>-ROUND(AK463*'Drivers'!S463,3)</x:f>
        <x:v>-7.409</x:v>
      </x:c>
      <x:c r="AQ463" s="64" t="n">
        <x:f>-ROUND(AK463*'Drivers'!T463,3)</x:f>
        <x:v>-2.138</x:v>
      </x:c>
      <x:c r="AR463" s="64" t="n">
        <x:f>-ROUND(AK463*'Drivers'!U463,3)</x:f>
        <x:v>-5.11</x:v>
      </x:c>
      <x:c r="AS463" s="64" t="n">
        <x:f>-ROUND(AK463*'Drivers'!V463,3)</x:f>
        <x:v>-18.858</x:v>
      </x:c>
      <x:c r="AT463" s="64" t="n">
        <x:f>SUM(AO463:AS463)</x:f>
        <x:v>-325.66499999999996</x:v>
      </x:c>
      <x:c r="AU463" s="65" t="n">
        <x:f>AT463/AK463</x:f>
        <x:v>-0.5772697541598201</x:v>
      </x:c>
      <x:c r="AV463" s="64" t="n">
        <x:f>AK463+AT463</x:f>
        <x:v>238.48199999999997</x:v>
      </x:c>
      <x:c r="AW463" s="65" t="n">
        <x:f>AV463/AK463</x:f>
        <x:v>0.42273024584017993</x:v>
      </x:c>
      <x:c r="AX463" s="64" t="n">
        <x:f>-ROUND(AK463*'Drivers'!W463,3)</x:f>
        <x:v>-5.628</x:v>
      </x:c>
      <x:c r="AY463" s="64" t="n">
        <x:f>-ROUND(AK463*'Drivers'!X463,3)</x:f>
        <x:v>-15.272</x:v>
      </x:c>
      <x:c r="AZ463" s="64" t="n">
        <x:f>-ROUND(AK463*'Drivers'!Y463,3)</x:f>
        <x:v>-10.489</x:v>
      </x:c>
      <x:c r="BA463" s="64" t="n">
        <x:f>-ROUND(AK463*'Drivers'!Z463,3)</x:f>
        <x:v>-3.845</x:v>
      </x:c>
      <x:c r="BB463" s="64" t="n">
        <x:f>-ROUND(AK463*'Drivers'!AA463,3)</x:f>
        <x:v>-4.384</x:v>
      </x:c>
      <x:c r="BC463" s="64" t="n">
        <x:f>SUM(BA463,BB463)</x:f>
        <x:v>-8.229000000000001</x:v>
      </x:c>
      <x:c r="BD463" s="64" t="n">
        <x:f>-ROUND(AK463*'Drivers'!AB463,3)</x:f>
        <x:v>-2.959</x:v>
      </x:c>
      <x:c r="BE463" s="64" t="n">
        <x:f>SUM(AX463:BB463,BD463)</x:f>
        <x:v>-42.577000000000005</x:v>
      </x:c>
      <x:c r="BF463" s="67" t="n">
        <x:f>'Drivers'!AF463</x:f>
        <x:v>3</x:v>
      </x:c>
      <x:c r="BG463" s="64" t="n">
        <x:f>BJ463</x:f>
        <x:v>-14.124</x:v>
      </x:c>
      <x:c r="BH463" s="64" t="n">
        <x:f>BE463/BF463</x:f>
        <x:v>-14.192333333333336</x:v>
      </x:c>
      <x:c r="BI463" s="68" t="n">
        <x:f>BF463/L463</x:f>
        <x:v>1.5</x:v>
      </x:c>
      <x:c r="BJ463" s="64" t="n">
        <x:f>-ROUND(AK463*'Drivers'!AC463,3)</x:f>
        <x:v>-14.124</x:v>
      </x:c>
      <x:c r="BK463" s="64" t="n">
        <x:f>-ROUND(AK463*'Drivers'!AD463,3)</x:f>
        <x:v>-54.358</x:v>
      </x:c>
      <x:c r="BL463" s="64" t="n">
        <x:f>SUM(AV463,BE463,BJ463,BK463)</x:f>
        <x:v>127.42299999999997</x:v>
      </x:c>
      <x:c r="BM463" s="65" t="n">
        <x:f>BL463/AK463</x:f>
        <x:v>0.22586843500009748</x:v>
      </x:c>
      <x:c r="BN463" s="64" t="n">
        <x:f>-ROUND(AK463*'Drivers'!AE463,3)</x:f>
        <x:v>-34.883</x:v>
      </x:c>
      <x:c r="BO463" s="64" t="n">
        <x:f>BL463+BN463</x:f>
        <x:v>92.53999999999996</x:v>
      </x:c>
      <x:c r="BP463" s="65" t="n">
        <x:f>BO463/AK463</x:f>
        <x:v>0.164035260313358</x:v>
      </x:c>
    </x:row>
    <x:row r="464">
      <x:c r="A464" s="61" t="n">
        <x:v>2026</x:v>
      </x:c>
      <x:c r="B464" s="18" t="str">
        <x:v>S1</x:v>
      </x:c>
      <x:c r="C464" s="18" t="str">
        <x:v>2026 S1</x:v>
      </x:c>
      <x:c r="D464" s="18" t="str">
        <x:v>CNCT0116</x:v>
      </x:c>
      <x:c r="E464" s="18" t="str">
        <x:v>昆明百盛柏联店</x:v>
      </x:c>
      <x:c r="F464" s="18" t="str">
        <x:v>昆明</x:v>
      </x:c>
      <x:c r="G464" s="18" t="str">
        <x:v>云南省</x:v>
      </x:c>
      <x:c r="H464" s="18" t="str">
        <x:v>西区</x:v>
      </x:c>
      <x:c r="I464" s="18" t="str">
        <x:v>Shopping Mall</x:v>
      </x:c>
      <x:c r="J464" s="18" t="str">
        <x:v>Regional Mall</x:v>
      </x:c>
      <x:c r="K464" s="18" t="str">
        <x:v>正常</x:v>
      </x:c>
      <x:c r="L464" s="62" t="n">
        <x:v>2</x:v>
      </x:c>
      <x:c r="M464" s="62" t="n">
        <x:v>31</x:v>
      </x:c>
      <x:c r="N464" s="63" t="n">
        <x:f>'Drivers'!C464</x:f>
        <x:v>628</x:v>
      </x:c>
      <x:c r="O464" s="63" t="n">
        <x:f>'Drivers'!D464</x:f>
        <x:v>950.666</x:v>
      </x:c>
      <x:c r="P464" s="64" t="n">
        <x:f>ROUND(N464*O464/1000,3)</x:f>
        <x:v>597.018</x:v>
      </x:c>
      <x:c r="Q464" s="64" t="n">
        <x:f>ROUND(P464*'Drivers'!E464,3)</x:f>
        <x:v>583.651</x:v>
      </x:c>
      <x:c r="R464" s="64" t="n">
        <x:f>-ROUND(Q464*'Drivers'!F464,3)</x:f>
        <x:v>-132.478</x:v>
      </x:c>
      <x:c r="S464" s="65" t="n">
        <x:f>R464/Q464</x:f>
        <x:v>-0.22698153519826064</x:v>
      </x:c>
      <x:c r="T464" s="64" t="n">
        <x:f>-ROUND(Q464*'Drivers'!G464,3)</x:f>
        <x:v>-7.139</x:v>
      </x:c>
      <x:c r="U464" s="65" t="n">
        <x:f>T464/Q464</x:f>
        <x:v>-0.012231624720937685</x:v>
      </x:c>
      <x:c r="V464" s="64" t="n">
        <x:f>-ROUND(Q464*'Drivers'!H464,3)</x:f>
        <x:v>-7.303</x:v>
      </x:c>
      <x:c r="W464" s="64" t="n">
        <x:f>-ROUND(Q464*'Drivers'!I464,3)</x:f>
        <x:v>-4.342</x:v>
      </x:c>
      <x:c r="X464" s="64" t="n">
        <x:f>-ROUND(Q464*'Drivers'!J464,3)</x:f>
        <x:v>-8.902</x:v>
      </x:c>
      <x:c r="Y464" s="64" t="n">
        <x:f>-ROUND(Q464*'Drivers'!K464,3)</x:f>
        <x:v>-7.902</x:v>
      </x:c>
      <x:c r="Z464" s="64" t="n">
        <x:f>-ROUND(Q464*'Drivers'!L464,3)</x:f>
        <x:v>-6.786</x:v>
      </x:c>
      <x:c r="AA464" s="64" t="n">
        <x:f>-ROUND(Q464*'Drivers'!M464,3)</x:f>
        <x:v>-5.178</x:v>
      </x:c>
      <x:c r="AB464" s="64" t="n">
        <x:f>-ROUND(Q464*'Drivers'!N464,3)</x:f>
        <x:v>-3.367</x:v>
      </x:c>
      <x:c r="AC464" s="64" t="n">
        <x:f>SUM(V464:AB464)</x:f>
        <x:v>-43.779999999999994</x:v>
      </x:c>
      <x:c r="AD464" s="65" t="n">
        <x:f>AC464/Q464</x:f>
        <x:v>-0.07501057995274572</x:v>
      </x:c>
      <x:c r="AE464" s="64" t="n">
        <x:f>-ROUND(Q464*'Drivers'!O464,3)</x:f>
        <x:v>-4.587</x:v>
      </x:c>
      <x:c r="AF464" s="65" t="n">
        <x:f>AE464/Q464</x:f>
        <x:v>-0.007859148703591702</x:v>
      </x:c>
      <x:c r="AG464" s="64" t="n">
        <x:f>-ROUND(Q464*'Drivers'!P464,3)</x:f>
        <x:v>-0.242</x:v>
      </x:c>
      <x:c r="AH464" s="64" t="n">
        <x:f>-ROUND(Q464*'Drivers'!Q464,3)</x:f>
        <x:v>-2.538</x:v>
      </x:c>
      <x:c r="AI464" s="64" t="n">
        <x:f>SUM(R464,T464,AC464,AE464,AG464,AH464)</x:f>
        <x:v>-190.764</x:v>
      </x:c>
      <x:c r="AJ464" s="65" t="n">
        <x:f>AI464/Q464</x:f>
        <x:v>-0.326846009001955</x:v>
      </x:c>
      <x:c r="AK464" s="64" t="n">
        <x:f>Q464+AI464</x:f>
        <x:v>392.88699999999994</x:v>
      </x:c>
      <x:c r="AL464" s="65" t="n">
        <x:f>AK464/Q464</x:f>
        <x:v>0.6731539909980451</x:v>
      </x:c>
      <x:c r="AM464" s="64" t="n">
        <x:f>AK464/L464</x:f>
        <x:v>196.44349999999997</x:v>
      </x:c>
      <x:c r="AN464" s="66" t="str">
        <x:f>IF(AM464&lt;=200,"≤200K",IF(AM464&lt;=350,"200–350K",IF(AM464&lt;=500,"350–500K",IF(AM464&lt;=700,"500–700K","&gt;700K"))))</x:f>
        <x:v>≤200K</x:v>
      </x:c>
      <x:c r="AO464" s="64" t="n">
        <x:f>-ROUND(Q464*'Drivers'!R464,3)</x:f>
        <x:v>-224.404</x:v>
      </x:c>
      <x:c r="AP464" s="64" t="n">
        <x:f>-ROUND(AK464*'Drivers'!S464,3)</x:f>
        <x:v>-5.16</x:v>
      </x:c>
      <x:c r="AQ464" s="64" t="n">
        <x:f>-ROUND(AK464*'Drivers'!T464,3)</x:f>
        <x:v>-1.489</x:v>
      </x:c>
      <x:c r="AR464" s="64" t="n">
        <x:f>-ROUND(AK464*'Drivers'!U464,3)</x:f>
        <x:v>-3.558</x:v>
      </x:c>
      <x:c r="AS464" s="64" t="n">
        <x:f>-ROUND(AK464*'Drivers'!V464,3)</x:f>
        <x:v>-13.133</x:v>
      </x:c>
      <x:c r="AT464" s="64" t="n">
        <x:f>SUM(AO464:AS464)</x:f>
        <x:v>-247.744</x:v>
      </x:c>
      <x:c r="AU464" s="65" t="n">
        <x:f>AT464/AK464</x:f>
        <x:v>-0.6305731673483725</x:v>
      </x:c>
      <x:c r="AV464" s="64" t="n">
        <x:f>AK464+AT464</x:f>
        <x:v>145.14299999999994</x:v>
      </x:c>
      <x:c r="AW464" s="65" t="n">
        <x:f>AV464/AK464</x:f>
        <x:v>0.36942683265162746</x:v>
      </x:c>
      <x:c r="AX464" s="64" t="n">
        <x:f>-ROUND(AK464*'Drivers'!W464,3)</x:f>
        <x:v>-4.823</x:v>
      </x:c>
      <x:c r="AY464" s="64" t="n">
        <x:f>-ROUND(AK464*'Drivers'!X464,3)</x:f>
        <x:v>-13.087</x:v>
      </x:c>
      <x:c r="AZ464" s="64" t="n">
        <x:f>-ROUND(AK464*'Drivers'!Y464,3)</x:f>
        <x:v>-8.988</x:v>
      </x:c>
      <x:c r="BA464" s="64" t="n">
        <x:f>-ROUND(AK464*'Drivers'!Z464,3)</x:f>
        <x:v>-3.295</x:v>
      </x:c>
      <x:c r="BB464" s="64" t="n">
        <x:f>-ROUND(AK464*'Drivers'!AA464,3)</x:f>
        <x:v>-3.757</x:v>
      </x:c>
      <x:c r="BC464" s="64" t="n">
        <x:f>SUM(BA464,BB464)</x:f>
        <x:v>-7.052</x:v>
      </x:c>
      <x:c r="BD464" s="64" t="n">
        <x:f>-ROUND(AK464*'Drivers'!AB464,3)</x:f>
        <x:v>-2.536</x:v>
      </x:c>
      <x:c r="BE464" s="64" t="n">
        <x:f>SUM(AX464:BB464,BD464)</x:f>
        <x:v>-36.486</x:v>
      </x:c>
      <x:c r="BF464" s="67" t="n">
        <x:f>'Drivers'!AF464</x:f>
        <x:v>3</x:v>
      </x:c>
      <x:c r="BG464" s="64" t="n">
        <x:f>BJ464</x:f>
        <x:v>-17.55</x:v>
      </x:c>
      <x:c r="BH464" s="64" t="n">
        <x:f>BE464/BF464</x:f>
        <x:v>-12.161999999999999</x:v>
      </x:c>
      <x:c r="BI464" s="68" t="n">
        <x:f>BF464/L464</x:f>
        <x:v>1.5</x:v>
      </x:c>
      <x:c r="BJ464" s="64" t="n">
        <x:f>-ROUND(AK464*'Drivers'!AC464,3)</x:f>
        <x:v>-17.55</x:v>
      </x:c>
      <x:c r="BK464" s="64" t="n">
        <x:f>-ROUND(AK464*'Drivers'!AD464,3)</x:f>
        <x:v>-41.642</x:v>
      </x:c>
      <x:c r="BL464" s="64" t="n">
        <x:f>SUM(AV464,BE464,BJ464,BK464)</x:f>
        <x:v>49.464999999999954</x:v>
      </x:c>
      <x:c r="BM464" s="65" t="n">
        <x:f>BL464/AK464</x:f>
        <x:v>0.12590134058902422</x:v>
      </x:c>
      <x:c r="BN464" s="64" t="n">
        <x:f>-ROUND(AK464*'Drivers'!AE464,3)</x:f>
        <x:v>-61.17</x:v>
      </x:c>
      <x:c r="BO464" s="64" t="n">
        <x:f>BL464+BN464</x:f>
        <x:v>-11.705000000000048</x:v>
      </x:c>
      <x:c r="BP464" s="65" t="n">
        <x:f>BO464/AK464</x:f>
        <x:v>-0.029792281241171253</x:v>
      </x:c>
    </x:row>
    <x:row r="465">
      <x:c r="A465" s="61" t="n">
        <x:v>2026</x:v>
      </x:c>
      <x:c r="B465" s="18" t="str">
        <x:v>S2</x:v>
      </x:c>
      <x:c r="C465" s="18" t="str">
        <x:v>2026 S2</x:v>
      </x:c>
      <x:c r="D465" s="18" t="str">
        <x:v>CNCT0116</x:v>
      </x:c>
      <x:c r="E465" s="18" t="str">
        <x:v>昆明百盛柏联店</x:v>
      </x:c>
      <x:c r="F465" s="18" t="str">
        <x:v>昆明</x:v>
      </x:c>
      <x:c r="G465" s="18" t="str">
        <x:v>云南省</x:v>
      </x:c>
      <x:c r="H465" s="18" t="str">
        <x:v>西区</x:v>
      </x:c>
      <x:c r="I465" s="18" t="str">
        <x:v>Shopping Mall</x:v>
      </x:c>
      <x:c r="J465" s="18" t="str">
        <x:v>Regional Mall</x:v>
      </x:c>
      <x:c r="K465" s="18" t="str">
        <x:v>正常</x:v>
      </x:c>
      <x:c r="L465" s="62" t="n">
        <x:v>2</x:v>
      </x:c>
      <x:c r="M465" s="62" t="n">
        <x:v>31</x:v>
      </x:c>
      <x:c r="N465" s="63" t="n">
        <x:f>'Drivers'!C465</x:f>
        <x:v>749</x:v>
      </x:c>
      <x:c r="O465" s="63" t="n">
        <x:f>'Drivers'!D465</x:f>
        <x:v>941.279</x:v>
      </x:c>
      <x:c r="P465" s="64" t="n">
        <x:f>ROUND(N465*O465/1000,3)</x:f>
        <x:v>705.018</x:v>
      </x:c>
      <x:c r="Q465" s="64" t="n">
        <x:f>ROUND(P465*'Drivers'!E465,3)</x:f>
        <x:v>690.026</x:v>
      </x:c>
      <x:c r="R465" s="64" t="n">
        <x:f>-ROUND(Q465*'Drivers'!F465,3)</x:f>
        <x:v>-146.317</x:v>
      </x:c>
      <x:c r="S465" s="65" t="n">
        <x:f>R465/Q465</x:f>
        <x:v>-0.212045633063102</x:v>
      </x:c>
      <x:c r="T465" s="64" t="n">
        <x:f>-ROUND(Q465*'Drivers'!G465,3)</x:f>
        <x:v>-8.436</x:v>
      </x:c>
      <x:c r="U465" s="65" t="n">
        <x:f>T465/Q465</x:f>
        <x:v>-0.012225626280748842</x:v>
      </x:c>
      <x:c r="V465" s="64" t="n">
        <x:f>-ROUND(Q465*'Drivers'!H465,3)</x:f>
        <x:v>-8.634</x:v>
      </x:c>
      <x:c r="W465" s="64" t="n">
        <x:f>-ROUND(Q465*'Drivers'!I465,3)</x:f>
        <x:v>-5.133</x:v>
      </x:c>
      <x:c r="X465" s="64" t="n">
        <x:f>-ROUND(Q465*'Drivers'!J465,3)</x:f>
        <x:v>-10.524</x:v>
      </x:c>
      <x:c r="Y465" s="64" t="n">
        <x:f>-ROUND(Q465*'Drivers'!K465,3)</x:f>
        <x:v>-9.343</x:v>
      </x:c>
      <x:c r="Z465" s="64" t="n">
        <x:f>-ROUND(Q465*'Drivers'!L465,3)</x:f>
        <x:v>-8.022</x:v>
      </x:c>
      <x:c r="AA465" s="64" t="n">
        <x:f>-ROUND(Q465*'Drivers'!M465,3)</x:f>
        <x:v>-6.122</x:v>
      </x:c>
      <x:c r="AB465" s="64" t="n">
        <x:f>-ROUND(Q465*'Drivers'!N465,3)</x:f>
        <x:v>-3.98</x:v>
      </x:c>
      <x:c r="AC465" s="64" t="n">
        <x:f>SUM(V465:AB465)</x:f>
        <x:v>-51.757999999999996</x:v>
      </x:c>
      <x:c r="AD465" s="65" t="n">
        <x:f>AC465/Q465</x:f>
        <x:v>-0.0750087677855617</x:v>
      </x:c>
      <x:c r="AE465" s="64" t="n">
        <x:f>-ROUND(Q465*'Drivers'!O465,3)</x:f>
        <x:v>-4.181</x:v>
      </x:c>
      <x:c r="AF465" s="65" t="n">
        <x:f>AE465/Q465</x:f>
        <x:v>-0.0060591919724764</x:v>
      </x:c>
      <x:c r="AG465" s="64" t="n">
        <x:f>-ROUND(Q465*'Drivers'!P465,3)</x:f>
        <x:v>-0.286</x:v>
      </x:c>
      <x:c r="AH465" s="64" t="n">
        <x:f>-ROUND(Q465*'Drivers'!Q465,3)</x:f>
        <x:v>-3.001</x:v>
      </x:c>
      <x:c r="AI465" s="64" t="n">
        <x:f>SUM(R465,T465,AC465,AE465,AG465,AH465)</x:f>
        <x:v>-213.97900000000004</x:v>
      </x:c>
      <x:c r="AJ465" s="65" t="n">
        <x:f>AI465/Q465</x:f>
        <x:v>-0.31010280772028886</x:v>
      </x:c>
      <x:c r="AK465" s="64" t="n">
        <x:f>Q465+AI465</x:f>
        <x:v>476.0469999999999</x:v>
      </x:c>
      <x:c r="AL465" s="65" t="n">
        <x:f>AK465/Q465</x:f>
        <x:v>0.6898971922797111</x:v>
      </x:c>
      <x:c r="AM465" s="64" t="n">
        <x:f>AK465/L465</x:f>
        <x:v>238.02349999999996</x:v>
      </x:c>
      <x:c r="AN465" s="66" t="str">
        <x:f>IF(AM465&lt;=200,"≤200K",IF(AM465&lt;=350,"200–350K",IF(AM465&lt;=500,"350–500K",IF(AM465&lt;=700,"500–700K","&gt;700K"))))</x:f>
        <x:v>200–350K</x:v>
      </x:c>
      <x:c r="AO465" s="64" t="n">
        <x:f>-ROUND(Q465*'Drivers'!R465,3)</x:f>
        <x:v>-258.818</x:v>
      </x:c>
      <x:c r="AP465" s="64" t="n">
        <x:f>-ROUND(AK465*'Drivers'!S465,3)</x:f>
        <x:v>-6.252</x:v>
      </x:c>
      <x:c r="AQ465" s="64" t="n">
        <x:f>-ROUND(AK465*'Drivers'!T465,3)</x:f>
        <x:v>-1.804</x:v>
      </x:c>
      <x:c r="AR465" s="64" t="n">
        <x:f>-ROUND(AK465*'Drivers'!U465,3)</x:f>
        <x:v>-4.312</x:v>
      </x:c>
      <x:c r="AS465" s="64" t="n">
        <x:f>-ROUND(AK465*'Drivers'!V465,3)</x:f>
        <x:v>-15.913</x:v>
      </x:c>
      <x:c r="AT465" s="64" t="n">
        <x:f>SUM(AO465:AS465)</x:f>
        <x:v>-287.099</x:v>
      </x:c>
      <x:c r="AU465" s="65" t="n">
        <x:f>AT465/AK465</x:f>
        <x:v>-0.6030896108997642</x:v>
      </x:c>
      <x:c r="AV465" s="64" t="n">
        <x:f>AK465+AT465</x:f>
        <x:v>188.94799999999992</x:v>
      </x:c>
      <x:c r="AW465" s="65" t="n">
        <x:f>AV465/AK465</x:f>
        <x:v>0.3969103891002358</x:v>
      </x:c>
      <x:c r="AX465" s="64" t="n">
        <x:f>-ROUND(AK465*'Drivers'!W465,3)</x:f>
        <x:v>-5.034</x:v>
      </x:c>
      <x:c r="AY465" s="64" t="n">
        <x:f>-ROUND(AK465*'Drivers'!X465,3)</x:f>
        <x:v>-13.66</x:v>
      </x:c>
      <x:c r="AZ465" s="64" t="n">
        <x:f>-ROUND(AK465*'Drivers'!Y465,3)</x:f>
        <x:v>-9.382</x:v>
      </x:c>
      <x:c r="BA465" s="64" t="n">
        <x:f>-ROUND(AK465*'Drivers'!Z465,3)</x:f>
        <x:v>-3.439</x:v>
      </x:c>
      <x:c r="BB465" s="64" t="n">
        <x:f>-ROUND(AK465*'Drivers'!AA465,3)</x:f>
        <x:v>-3.921</x:v>
      </x:c>
      <x:c r="BC465" s="64" t="n">
        <x:f>SUM(BA465,BB465)</x:f>
        <x:v>-7.359999999999999</x:v>
      </x:c>
      <x:c r="BD465" s="64" t="n">
        <x:f>-ROUND(AK465*'Drivers'!AB465,3)</x:f>
        <x:v>-2.647</x:v>
      </x:c>
      <x:c r="BE465" s="64" t="n">
        <x:f>SUM(AX465:BB465,BD465)</x:f>
        <x:v>-38.083</x:v>
      </x:c>
      <x:c r="BF465" s="67" t="n">
        <x:f>'Drivers'!AF465</x:f>
        <x:v>3</x:v>
      </x:c>
      <x:c r="BG465" s="64" t="n">
        <x:f>BJ465</x:f>
        <x:v>-18.319</x:v>
      </x:c>
      <x:c r="BH465" s="64" t="n">
        <x:f>BE465/BF465</x:f>
        <x:v>-12.694333333333333</x:v>
      </x:c>
      <x:c r="BI465" s="68" t="n">
        <x:f>BF465/L465</x:f>
        <x:v>1.5</x:v>
      </x:c>
      <x:c r="BJ465" s="64" t="n">
        <x:f>-ROUND(AK465*'Drivers'!AC465,3)</x:f>
        <x:v>-18.319</x:v>
      </x:c>
      <x:c r="BK465" s="64" t="n">
        <x:f>-ROUND(AK465*'Drivers'!AD465,3)</x:f>
        <x:v>-49.539</x:v>
      </x:c>
      <x:c r="BL465" s="64" t="n">
        <x:f>SUM(AV465,BE465,BJ465,BK465)</x:f>
        <x:v>83.00699999999993</x:v>
      </x:c>
      <x:c r="BM465" s="65" t="n">
        <x:f>BL465/AK465</x:f>
        <x:v>0.17436723684846234</x:v>
      </x:c>
      <x:c r="BN465" s="64" t="n">
        <x:f>-ROUND(AK465*'Drivers'!AE465,3)</x:f>
        <x:v>-96.751</x:v>
      </x:c>
      <x:c r="BO465" s="64" t="n">
        <x:f>BL465+BN465</x:f>
        <x:v>-13.74400000000007</x:v>
      </x:c>
      <x:c r="BP465" s="65" t="n">
        <x:f>BO465/AK465</x:f>
        <x:v>-0.028871098862087302</x:v>
      </x:c>
    </x:row>
    <x:row r="466">
      <x:c r="A466" s="61" t="n">
        <x:v>2025</x:v>
      </x:c>
      <x:c r="B466" s="18" t="str">
        <x:v>S1</x:v>
      </x:c>
      <x:c r="C466" s="18" t="str">
        <x:v>2025 S1</x:v>
      </x:c>
      <x:c r="D466" s="18" t="str">
        <x:v>CNCT0117</x:v>
      </x:c>
      <x:c r="E466" s="18" t="str">
        <x:v>昆明西山万达广场</x:v>
      </x:c>
      <x:c r="F466" s="18" t="str">
        <x:v>昆明</x:v>
      </x:c>
      <x:c r="G466" s="18" t="str">
        <x:v>云南省</x:v>
      </x:c>
      <x:c r="H466" s="18" t="str">
        <x:v>西区</x:v>
      </x:c>
      <x:c r="I466" s="18" t="str">
        <x:v>Shopping Mall</x:v>
      </x:c>
      <x:c r="J466" s="18" t="str">
        <x:v>Regional Mall</x:v>
      </x:c>
      <x:c r="K466" s="18" t="str">
        <x:v>正常</x:v>
      </x:c>
      <x:c r="L466" s="62" t="n">
        <x:v>3</x:v>
      </x:c>
      <x:c r="M466" s="62" t="n">
        <x:v>31</x:v>
      </x:c>
      <x:c r="N466" s="63" t="n">
        <x:f>'Drivers'!C466</x:f>
        <x:v>952</x:v>
      </x:c>
      <x:c r="O466" s="63" t="n">
        <x:f>'Drivers'!D466</x:f>
        <x:v>924.46</x:v>
      </x:c>
      <x:c r="P466" s="64" t="n">
        <x:f>ROUND(N466*O466/1000,3)</x:f>
        <x:v>880.086</x:v>
      </x:c>
      <x:c r="Q466" s="64" t="n">
        <x:f>ROUND(P466*'Drivers'!E466,3)</x:f>
        <x:v>855.514</x:v>
      </x:c>
      <x:c r="R466" s="64" t="n">
        <x:f>-ROUND(Q466*'Drivers'!F466,3)</x:f>
        <x:v>-141.65</x:v>
      </x:c>
      <x:c r="S466" s="65" t="n">
        <x:f>R466/Q466</x:f>
        <x:v>-0.16557297718096958</x:v>
      </x:c>
      <x:c r="T466" s="64" t="n">
        <x:f>-ROUND(Q466*'Drivers'!G466,3)</x:f>
        <x:v>-12.417</x:v>
      </x:c>
      <x:c r="U466" s="65" t="n">
        <x:f>T466/Q466</x:f>
        <x:v>-0.014514081593054</x:v>
      </x:c>
      <x:c r="V466" s="64" t="n">
        <x:f>-ROUND(Q466*'Drivers'!H466,3)</x:f>
        <x:v>-10.26</x:v>
      </x:c>
      <x:c r="W466" s="64" t="n">
        <x:f>-ROUND(Q466*'Drivers'!I466,3)</x:f>
        <x:v>-6.784</x:v>
      </x:c>
      <x:c r="X466" s="64" t="n">
        <x:f>-ROUND(Q466*'Drivers'!J466,3)</x:f>
        <x:v>-14.578</x:v>
      </x:c>
      <x:c r="Y466" s="64" t="n">
        <x:f>-ROUND(Q466*'Drivers'!K466,3)</x:f>
        <x:v>-10.904</x:v>
      </x:c>
      <x:c r="Z466" s="64" t="n">
        <x:f>-ROUND(Q466*'Drivers'!L466,3)</x:f>
        <x:v>-10.757</x:v>
      </x:c>
      <x:c r="AA466" s="64" t="n">
        <x:f>-ROUND(Q466*'Drivers'!M466,3)</x:f>
        <x:v>-8.105</x:v>
      </x:c>
      <x:c r="AB466" s="64" t="n">
        <x:f>-ROUND(Q466*'Drivers'!N466,3)</x:f>
        <x:v>-4.403</x:v>
      </x:c>
      <x:c r="AC466" s="64" t="n">
        <x:f>SUM(V466:AB466)</x:f>
        <x:v>-65.791</x:v>
      </x:c>
      <x:c r="AD466" s="65" t="n">
        <x:f>AC466/Q466</x:f>
        <x:v>-0.07690230668346748</x:v>
      </x:c>
      <x:c r="AE466" s="64" t="n">
        <x:f>-ROUND(Q466*'Drivers'!O466,3)</x:f>
        <x:v>-7.475</x:v>
      </x:c>
      <x:c r="AF466" s="65" t="n">
        <x:f>AE466/Q466</x:f>
        <x:v>-0.008737437376828432</x:v>
      </x:c>
      <x:c r="AG466" s="64" t="n">
        <x:f>-ROUND(Q466*'Drivers'!P466,3)</x:f>
        <x:v>-0.979</x:v>
      </x:c>
      <x:c r="AH466" s="64" t="n">
        <x:f>-ROUND(Q466*'Drivers'!Q466,3)</x:f>
        <x:v>-1.499</x:v>
      </x:c>
      <x:c r="AI466" s="64" t="n">
        <x:f>SUM(R466,T466,AC466,AE466,AG466,AH466)</x:f>
        <x:v>-229.811</x:v>
      </x:c>
      <x:c r="AJ466" s="65" t="n">
        <x:f>AI466/Q466</x:f>
        <x:v>-0.268623307158036</x:v>
      </x:c>
      <x:c r="AK466" s="64" t="n">
        <x:f>Q466+AI466</x:f>
        <x:v>625.703</x:v>
      </x:c>
      <x:c r="AL466" s="65" t="n">
        <x:f>AK466/Q466</x:f>
        <x:v>0.7313766928419639</x:v>
      </x:c>
      <x:c r="AM466" s="64" t="n">
        <x:f>AK466/L466</x:f>
        <x:v>208.56766666666667</x:v>
      </x:c>
      <x:c r="AN466" s="66" t="str">
        <x:f>IF(AM466&lt;=200,"≤200K",IF(AM466&lt;=350,"200–350K",IF(AM466&lt;=500,"350–500K",IF(AM466&lt;=700,"500–700K","&gt;700K"))))</x:f>
        <x:v>200–350K</x:v>
      </x:c>
      <x:c r="AO466" s="64" t="n">
        <x:f>-ROUND(Q466*'Drivers'!R466,3)</x:f>
        <x:v>-318.924</x:v>
      </x:c>
      <x:c r="AP466" s="64" t="n">
        <x:f>-ROUND(AK466*'Drivers'!S466,3)</x:f>
        <x:v>-8.938</x:v>
      </x:c>
      <x:c r="AQ466" s="64" t="n">
        <x:f>-ROUND(AK466*'Drivers'!T466,3)</x:f>
        <x:v>-4.318</x:v>
      </x:c>
      <x:c r="AR466" s="64" t="n">
        <x:f>-ROUND(AK466*'Drivers'!U466,3)</x:f>
        <x:v>-6.091</x:v>
      </x:c>
      <x:c r="AS466" s="64" t="n">
        <x:f>-ROUND(AK466*'Drivers'!V466,3)</x:f>
        <x:v>-23.144</x:v>
      </x:c>
      <x:c r="AT466" s="64" t="n">
        <x:f>SUM(AO466:AS466)</x:f>
        <x:v>-361.41499999999996</x:v>
      </x:c>
      <x:c r="AU466" s="65" t="n">
        <x:f>AT466/AK466</x:f>
        <x:v>-0.5776142994359944</x:v>
      </x:c>
      <x:c r="AV466" s="64" t="n">
        <x:f>AK466+AT466</x:f>
        <x:v>264.288</x:v>
      </x:c>
      <x:c r="AW466" s="65" t="n">
        <x:f>AV466/AK466</x:f>
        <x:v>0.42238570056400565</x:v>
      </x:c>
      <x:c r="AX466" s="64" t="n">
        <x:f>-ROUND(AK466*'Drivers'!W466,3)</x:f>
        <x:v>-5.735</x:v>
      </x:c>
      <x:c r="AY466" s="64" t="n">
        <x:f>-ROUND(AK466*'Drivers'!X466,3)</x:f>
        <x:v>-13.879</x:v>
      </x:c>
      <x:c r="AZ466" s="64" t="n">
        <x:f>-ROUND(AK466*'Drivers'!Y466,3)</x:f>
        <x:v>-11.569</x:v>
      </x:c>
      <x:c r="BA466" s="64" t="n">
        <x:f>-ROUND(AK466*'Drivers'!Z466,3)</x:f>
        <x:v>-4.465</x:v>
      </x:c>
      <x:c r="BB466" s="64" t="n">
        <x:f>-ROUND(AK466*'Drivers'!AA466,3)</x:f>
        <x:v>-5.319</x:v>
      </x:c>
      <x:c r="BC466" s="64" t="n">
        <x:f>SUM(BA466,BB466)</x:f>
        <x:v>-9.783999999999999</x:v>
      </x:c>
      <x:c r="BD466" s="64" t="n">
        <x:f>-ROUND(AK466*'Drivers'!AB466,3)</x:f>
        <x:v>-2.237</x:v>
      </x:c>
      <x:c r="BE466" s="64" t="n">
        <x:f>SUM(AX466:BB466,BD466)</x:f>
        <x:v>-43.204</x:v>
      </x:c>
      <x:c r="BF466" s="67" t="n">
        <x:f>'Drivers'!AF466</x:f>
        <x:v>6</x:v>
      </x:c>
      <x:c r="BG466" s="64" t="n">
        <x:f>BJ466</x:f>
        <x:v>-15.811</x:v>
      </x:c>
      <x:c r="BH466" s="64" t="n">
        <x:f>BE466/BF466</x:f>
        <x:v>-7.200666666666667</x:v>
      </x:c>
      <x:c r="BI466" s="68" t="n">
        <x:f>BF466/L466</x:f>
        <x:v>2</x:v>
      </x:c>
      <x:c r="BJ466" s="64" t="n">
        <x:f>-ROUND(AK466*'Drivers'!AC466,3)</x:f>
        <x:v>-15.811</x:v>
      </x:c>
      <x:c r="BK466" s="64" t="n">
        <x:f>-ROUND(AK466*'Drivers'!AD466,3)</x:f>
        <x:v>-68.28</x:v>
      </x:c>
      <x:c r="BL466" s="64" t="n">
        <x:f>SUM(AV466,BE466,BJ466,BK466)</x:f>
        <x:v>136.993</x:v>
      </x:c>
      <x:c r="BM466" s="65" t="n">
        <x:f>BL466/AK466</x:f>
        <x:v>0.21894253343838851</x:v>
      </x:c>
      <x:c r="BN466" s="64" t="n">
        <x:f>-ROUND(AK466*'Drivers'!AE466,3)</x:f>
        <x:v>-45.849</x:v>
      </x:c>
      <x:c r="BO466" s="64" t="n">
        <x:f>BL466+BN466</x:f>
        <x:v>91.144</x:v>
      </x:c>
      <x:c r="BP466" s="65" t="n">
        <x:f>BO466/AK466</x:f>
        <x:v>0.14566655425976863</x:v>
      </x:c>
    </x:row>
    <x:row r="467">
      <x:c r="A467" s="61" t="n">
        <x:v>2025</x:v>
      </x:c>
      <x:c r="B467" s="18" t="str">
        <x:v>S2</x:v>
      </x:c>
      <x:c r="C467" s="18" t="str">
        <x:v>2025 S2</x:v>
      </x:c>
      <x:c r="D467" s="18" t="str">
        <x:v>CNCT0117</x:v>
      </x:c>
      <x:c r="E467" s="18" t="str">
        <x:v>昆明西山万达广场</x:v>
      </x:c>
      <x:c r="F467" s="18" t="str">
        <x:v>昆明</x:v>
      </x:c>
      <x:c r="G467" s="18" t="str">
        <x:v>云南省</x:v>
      </x:c>
      <x:c r="H467" s="18" t="str">
        <x:v>西区</x:v>
      </x:c>
      <x:c r="I467" s="18" t="str">
        <x:v>Shopping Mall</x:v>
      </x:c>
      <x:c r="J467" s="18" t="str">
        <x:v>Regional Mall</x:v>
      </x:c>
      <x:c r="K467" s="18" t="str">
        <x:v>正常</x:v>
      </x:c>
      <x:c r="L467" s="62" t="n">
        <x:v>3</x:v>
      </x:c>
      <x:c r="M467" s="62" t="n">
        <x:v>31</x:v>
      </x:c>
      <x:c r="N467" s="63" t="n">
        <x:f>'Drivers'!C467</x:f>
        <x:v>1044</x:v>
      </x:c>
      <x:c r="O467" s="63" t="n">
        <x:f>'Drivers'!D467</x:f>
        <x:v>935.554</x:v>
      </x:c>
      <x:c r="P467" s="64" t="n">
        <x:f>ROUND(N467*O467/1000,3)</x:f>
        <x:v>976.718</x:v>
      </x:c>
      <x:c r="Q467" s="64" t="n">
        <x:f>ROUND(P467*'Drivers'!E467,3)</x:f>
        <x:v>960.003</x:v>
      </x:c>
      <x:c r="R467" s="64" t="n">
        <x:f>-ROUND(Q467*'Drivers'!F467,3)</x:f>
        <x:v>-158.95</x:v>
      </x:c>
      <x:c r="S467" s="65" t="n">
        <x:f>R467/Q467</x:f>
        <x:v>-0.16557239925291897</x:v>
      </x:c>
      <x:c r="T467" s="64" t="n">
        <x:f>-ROUND(Q467*'Drivers'!G467,3)</x:f>
        <x:v>-13.933</x:v>
      </x:c>
      <x:c r="U467" s="65" t="n">
        <x:f>T467/Q467</x:f>
        <x:v>-0.014513496311990691</x:v>
      </x:c>
      <x:c r="V467" s="64" t="n">
        <x:f>-ROUND(Q467*'Drivers'!H467,3)</x:f>
        <x:v>-11.513</x:v>
      </x:c>
      <x:c r="W467" s="64" t="n">
        <x:f>-ROUND(Q467*'Drivers'!I467,3)</x:f>
        <x:v>-7.612</x:v>
      </x:c>
      <x:c r="X467" s="64" t="n">
        <x:f>-ROUND(Q467*'Drivers'!J467,3)</x:f>
        <x:v>-16.359</x:v>
      </x:c>
      <x:c r="Y467" s="64" t="n">
        <x:f>-ROUND(Q467*'Drivers'!K467,3)</x:f>
        <x:v>-12.236</x:v>
      </x:c>
      <x:c r="Z467" s="64" t="n">
        <x:f>-ROUND(Q467*'Drivers'!L467,3)</x:f>
        <x:v>-12.071</x:v>
      </x:c>
      <x:c r="AA467" s="64" t="n">
        <x:f>-ROUND(Q467*'Drivers'!M467,3)</x:f>
        <x:v>-9.095</x:v>
      </x:c>
      <x:c r="AB467" s="64" t="n">
        <x:f>-ROUND(Q467*'Drivers'!N467,3)</x:f>
        <x:v>-4.941</x:v>
      </x:c>
      <x:c r="AC467" s="64" t="n">
        <x:f>SUM(V467:AB467)</x:f>
        <x:v>-73.827</x:v>
      </x:c>
      <x:c r="AD467" s="65" t="n">
        <x:f>AC467/Q467</x:f>
        <x:v>-0.07690288467848537</x:v>
      </x:c>
      <x:c r="AE467" s="64" t="n">
        <x:f>-ROUND(Q467*'Drivers'!O467,3)</x:f>
        <x:v>-8.388</x:v>
      </x:c>
      <x:c r="AF467" s="65" t="n">
        <x:f>AE467/Q467</x:f>
        <x:v>-0.008737472695397826</x:v>
      </x:c>
      <x:c r="AG467" s="64" t="n">
        <x:f>-ROUND(Q467*'Drivers'!P467,3)</x:f>
        <x:v>-1.098</x:v>
      </x:c>
      <x:c r="AH467" s="64" t="n">
        <x:f>-ROUND(Q467*'Drivers'!Q467,3)</x:f>
        <x:v>-1.682</x:v>
      </x:c>
      <x:c r="AI467" s="64" t="n">
        <x:f>SUM(R467,T467,AC467,AE467,AG467,AH467)</x:f>
        <x:v>-257.878</x:v>
      </x:c>
      <x:c r="AJ467" s="65" t="n">
        <x:f>AI467/Q467</x:f>
        <x:v>-0.26862207722267534</x:v>
      </x:c>
      <x:c r="AK467" s="64" t="n">
        <x:f>Q467+AI467</x:f>
        <x:v>702.125</x:v>
      </x:c>
      <x:c r="AL467" s="65" t="n">
        <x:f>AK467/Q467</x:f>
        <x:v>0.7313779227773246</x:v>
      </x:c>
      <x:c r="AM467" s="64" t="n">
        <x:f>AK467/L467</x:f>
        <x:v>234.04166666666666</x:v>
      </x:c>
      <x:c r="AN467" s="66" t="str">
        <x:f>IF(AM467&lt;=200,"≤200K",IF(AM467&lt;=350,"200–350K",IF(AM467&lt;=500,"350–500K",IF(AM467&lt;=700,"500–700K","&gt;700K"))))</x:f>
        <x:v>200–350K</x:v>
      </x:c>
      <x:c r="AO467" s="64" t="n">
        <x:f>-ROUND(Q467*'Drivers'!R467,3)</x:f>
        <x:v>-359.465</x:v>
      </x:c>
      <x:c r="AP467" s="64" t="n">
        <x:f>-ROUND(AK467*'Drivers'!S467,3)</x:f>
        <x:v>-10.029</x:v>
      </x:c>
      <x:c r="AQ467" s="64" t="n">
        <x:f>-ROUND(AK467*'Drivers'!T467,3)</x:f>
        <x:v>-4.845</x:v>
      </x:c>
      <x:c r="AR467" s="64" t="n">
        <x:f>-ROUND(AK467*'Drivers'!U467,3)</x:f>
        <x:v>-6.835</x:v>
      </x:c>
      <x:c r="AS467" s="64" t="n">
        <x:f>-ROUND(AK467*'Drivers'!V467,3)</x:f>
        <x:v>-25.971</x:v>
      </x:c>
      <x:c r="AT467" s="64" t="n">
        <x:f>SUM(AO467:AS467)</x:f>
        <x:v>-407.145</x:v>
      </x:c>
      <x:c r="AU467" s="65" t="n">
        <x:f>AT467/AK467</x:f>
        <x:v>-0.5798753783158269</x:v>
      </x:c>
      <x:c r="AV467" s="64" t="n">
        <x:f>AK467+AT467</x:f>
        <x:v>294.98</x:v>
      </x:c>
      <x:c r="AW467" s="65" t="n">
        <x:f>AV467/AK467</x:f>
        <x:v>0.4201246216841731</x:v>
      </x:c>
      <x:c r="AX467" s="64" t="n">
        <x:f>-ROUND(AK467*'Drivers'!W467,3)</x:f>
        <x:v>-6.436</x:v>
      </x:c>
      <x:c r="AY467" s="64" t="n">
        <x:f>-ROUND(AK467*'Drivers'!X467,3)</x:f>
        <x:v>-15.575</x:v>
      </x:c>
      <x:c r="AZ467" s="64" t="n">
        <x:f>-ROUND(AK467*'Drivers'!Y467,3)</x:f>
        <x:v>-12.983</x:v>
      </x:c>
      <x:c r="BA467" s="64" t="n">
        <x:f>-ROUND(AK467*'Drivers'!Z467,3)</x:f>
        <x:v>-5.01</x:v>
      </x:c>
      <x:c r="BB467" s="64" t="n">
        <x:f>-ROUND(AK467*'Drivers'!AA467,3)</x:f>
        <x:v>-5.969</x:v>
      </x:c>
      <x:c r="BC467" s="64" t="n">
        <x:f>SUM(BA467,BB467)</x:f>
        <x:v>-10.979</x:v>
      </x:c>
      <x:c r="BD467" s="64" t="n">
        <x:f>-ROUND(AK467*'Drivers'!AB467,3)</x:f>
        <x:v>-2.51</x:v>
      </x:c>
      <x:c r="BE467" s="64" t="n">
        <x:f>SUM(AX467:BB467,BD467)</x:f>
        <x:v>-48.483</x:v>
      </x:c>
      <x:c r="BF467" s="67" t="n">
        <x:f>'Drivers'!AF467</x:f>
        <x:v>6</x:v>
      </x:c>
      <x:c r="BG467" s="64" t="n">
        <x:f>BJ467</x:f>
        <x:v>-17.742</x:v>
      </x:c>
      <x:c r="BH467" s="64" t="n">
        <x:f>BE467/BF467</x:f>
        <x:v>-8.080499999999999</x:v>
      </x:c>
      <x:c r="BI467" s="68" t="n">
        <x:f>BF467/L467</x:f>
        <x:v>2</x:v>
      </x:c>
      <x:c r="BJ467" s="64" t="n">
        <x:f>-ROUND(AK467*'Drivers'!AC467,3)</x:f>
        <x:v>-17.742</x:v>
      </x:c>
      <x:c r="BK467" s="64" t="n">
        <x:f>-ROUND(AK467*'Drivers'!AD467,3)</x:f>
        <x:v>-76.62</x:v>
      </x:c>
      <x:c r="BL467" s="64" t="n">
        <x:f>SUM(AV467,BE467,BJ467,BK467)</x:f>
        <x:v>152.13500000000002</x:v>
      </x:c>
      <x:c r="BM467" s="65" t="n">
        <x:f>BL467/AK467</x:f>
        <x:v>0.2166779419619014</x:v>
      </x:c>
      <x:c r="BN467" s="64" t="n">
        <x:f>-ROUND(AK467*'Drivers'!AE467,3)</x:f>
        <x:v>-51.449</x:v>
      </x:c>
      <x:c r="BO467" s="64" t="n">
        <x:f>BL467+BN467</x:f>
        <x:v>100.68600000000002</x:v>
      </x:c>
      <x:c r="BP467" s="65" t="n">
        <x:f>BO467/AK467</x:f>
        <x:v>0.1434018159159694</x:v>
      </x:c>
    </x:row>
    <x:row r="468">
      <x:c r="A468" s="61" t="n">
        <x:v>2026</x:v>
      </x:c>
      <x:c r="B468" s="18" t="str">
        <x:v>S1</x:v>
      </x:c>
      <x:c r="C468" s="18" t="str">
        <x:v>2026 S1</x:v>
      </x:c>
      <x:c r="D468" s="18" t="str">
        <x:v>CNCT0117</x:v>
      </x:c>
      <x:c r="E468" s="18" t="str">
        <x:v>昆明西山万达广场</x:v>
      </x:c>
      <x:c r="F468" s="18" t="str">
        <x:v>昆明</x:v>
      </x:c>
      <x:c r="G468" s="18" t="str">
        <x:v>云南省</x:v>
      </x:c>
      <x:c r="H468" s="18" t="str">
        <x:v>西区</x:v>
      </x:c>
      <x:c r="I468" s="18" t="str">
        <x:v>Shopping Mall</x:v>
      </x:c>
      <x:c r="J468" s="18" t="str">
        <x:v>Regional Mall</x:v>
      </x:c>
      <x:c r="K468" s="18" t="str">
        <x:v>正常</x:v>
      </x:c>
      <x:c r="L468" s="62" t="n">
        <x:v>3</x:v>
      </x:c>
      <x:c r="M468" s="62" t="n">
        <x:v>31</x:v>
      </x:c>
      <x:c r="N468" s="63" t="n">
        <x:f>'Drivers'!C468</x:f>
        <x:v>904</x:v>
      </x:c>
      <x:c r="O468" s="63" t="n">
        <x:f>'Drivers'!D468</x:f>
        <x:v>974.023</x:v>
      </x:c>
      <x:c r="P468" s="64" t="n">
        <x:f>ROUND(N468*O468/1000,3)</x:f>
        <x:v>880.517</x:v>
      </x:c>
      <x:c r="Q468" s="64" t="n">
        <x:f>ROUND(P468*'Drivers'!E468,3)</x:f>
        <x:v>853.512</x:v>
      </x:c>
      <x:c r="R468" s="64" t="n">
        <x:f>-ROUND(Q468*'Drivers'!F468,3)</x:f>
        <x:v>-138.121</x:v>
      </x:c>
      <x:c r="S468" s="65" t="n">
        <x:f>R468/Q468</x:f>
        <x:v>-0.1618266644171377</x:v>
      </x:c>
      <x:c r="T468" s="64" t="n">
        <x:f>-ROUND(Q468*'Drivers'!G468,3)</x:f>
        <x:v>-13.656</x:v>
      </x:c>
      <x:c r="U468" s="65" t="n">
        <x:f>T468/Q468</x:f>
        <x:v>-0.015999775047099516</x:v>
      </x:c>
      <x:c r="V468" s="64" t="n">
        <x:f>-ROUND(Q468*'Drivers'!H468,3)</x:f>
        <x:v>-10.236</x:v>
      </x:c>
      <x:c r="W468" s="64" t="n">
        <x:f>-ROUND(Q468*'Drivers'!I468,3)</x:f>
        <x:v>-6.768</x:v>
      </x:c>
      <x:c r="X468" s="64" t="n">
        <x:f>-ROUND(Q468*'Drivers'!J468,3)</x:f>
        <x:v>-14.544</x:v>
      </x:c>
      <x:c r="Y468" s="64" t="n">
        <x:f>-ROUND(Q468*'Drivers'!K468,3)</x:f>
        <x:v>-10.879</x:v>
      </x:c>
      <x:c r="Z468" s="64" t="n">
        <x:f>-ROUND(Q468*'Drivers'!L468,3)</x:f>
        <x:v>-10.732</x:v>
      </x:c>
      <x:c r="AA468" s="64" t="n">
        <x:f>-ROUND(Q468*'Drivers'!M468,3)</x:f>
        <x:v>-8.086</x:v>
      </x:c>
      <x:c r="AB468" s="64" t="n">
        <x:f>-ROUND(Q468*'Drivers'!N468,3)</x:f>
        <x:v>-4.393</x:v>
      </x:c>
      <x:c r="AC468" s="64" t="n">
        <x:f>SUM(V468:AB468)</x:f>
        <x:v>-65.63799999999999</x:v>
      </x:c>
      <x:c r="AD468" s="65" t="n">
        <x:f>AC468/Q468</x:f>
        <x:v>-0.07690342959442865</x:v>
      </x:c>
      <x:c r="AE468" s="64" t="n">
        <x:f>-ROUND(Q468*'Drivers'!O468,3)</x:f>
        <x:v>-6.387</x:v>
      </x:c>
      <x:c r="AF468" s="65" t="n">
        <x:f>AE468/Q468</x:f>
        <x:v>-0.007483198830244918</x:v>
      </x:c>
      <x:c r="AG468" s="64" t="n">
        <x:f>-ROUND(Q468*'Drivers'!P468,3)</x:f>
        <x:v>-0.976</x:v>
      </x:c>
      <x:c r="AH468" s="64" t="n">
        <x:f>-ROUND(Q468*'Drivers'!Q468,3)</x:f>
        <x:v>-1.495</x:v>
      </x:c>
      <x:c r="AI468" s="64" t="n">
        <x:f>SUM(R468,T468,AC468,AE468,AG468,AH468)</x:f>
        <x:v>-226.27300000000002</x:v>
      </x:c>
      <x:c r="AJ468" s="65" t="n">
        <x:f>AI468/Q468</x:f>
        <x:v>-0.26510816485298394</x:v>
      </x:c>
      <x:c r="AK468" s="64" t="n">
        <x:f>Q468+AI468</x:f>
        <x:v>627.2389999999999</x:v>
      </x:c>
      <x:c r="AL468" s="65" t="n">
        <x:f>AK468/Q468</x:f>
        <x:v>0.7348918351470161</x:v>
      </x:c>
      <x:c r="AM468" s="64" t="n">
        <x:f>AK468/L468</x:f>
        <x:v>209.07966666666664</x:v>
      </x:c>
      <x:c r="AN468" s="66" t="str">
        <x:f>IF(AM468&lt;=200,"≤200K",IF(AM468&lt;=350,"200–350K",IF(AM468&lt;=500,"350–500K",IF(AM468&lt;=700,"500–700K","&gt;700K"))))</x:f>
        <x:v>200–350K</x:v>
      </x:c>
      <x:c r="AO468" s="64" t="n">
        <x:f>-ROUND(Q468*'Drivers'!R468,3)</x:f>
        <x:v>-322.003</x:v>
      </x:c>
      <x:c r="AP468" s="64" t="n">
        <x:f>-ROUND(AK468*'Drivers'!S468,3)</x:f>
        <x:v>-8.959</x:v>
      </x:c>
      <x:c r="AQ468" s="64" t="n">
        <x:f>-ROUND(AK468*'Drivers'!T468,3)</x:f>
        <x:v>-4.329</x:v>
      </x:c>
      <x:c r="AR468" s="64" t="n">
        <x:f>-ROUND(AK468*'Drivers'!U468,3)</x:f>
        <x:v>-6.106</x:v>
      </x:c>
      <x:c r="AS468" s="64" t="n">
        <x:f>-ROUND(AK468*'Drivers'!V468,3)</x:f>
        <x:v>-23.201</x:v>
      </x:c>
      <x:c r="AT468" s="64" t="n">
        <x:f>SUM(AO468:AS468)</x:f>
        <x:v>-364.598</x:v>
      </x:c>
      <x:c r="AU468" s="65" t="n">
        <x:f>AT468/AK468</x:f>
        <x:v>-0.5812744424374123</x:v>
      </x:c>
      <x:c r="AV468" s="64" t="n">
        <x:f>AK468+AT468</x:f>
        <x:v>262.6409999999999</x:v>
      </x:c>
      <x:c r="AW468" s="65" t="n">
        <x:f>AV468/AK468</x:f>
        <x:v>0.41872555756258767</x:v>
      </x:c>
      <x:c r="AX468" s="64" t="n">
        <x:f>-ROUND(AK468*'Drivers'!W468,3)</x:f>
        <x:v>-7.074</x:v>
      </x:c>
      <x:c r="AY468" s="64" t="n">
        <x:f>-ROUND(AK468*'Drivers'!X468,3)</x:f>
        <x:v>-17.12</x:v>
      </x:c>
      <x:c r="AZ468" s="64" t="n">
        <x:f>-ROUND(AK468*'Drivers'!Y468,3)</x:f>
        <x:v>-14.271</x:v>
      </x:c>
      <x:c r="BA468" s="64" t="n">
        <x:f>-ROUND(AK468*'Drivers'!Z468,3)</x:f>
        <x:v>-5.507</x:v>
      </x:c>
      <x:c r="BB468" s="64" t="n">
        <x:f>-ROUND(AK468*'Drivers'!AA468,3)</x:f>
        <x:v>-6.561</x:v>
      </x:c>
      <x:c r="BC468" s="64" t="n">
        <x:f>SUM(BA468,BB468)</x:f>
        <x:v>-12.068</x:v>
      </x:c>
      <x:c r="BD468" s="64" t="n">
        <x:f>-ROUND(AK468*'Drivers'!AB468,3)</x:f>
        <x:v>-2.759</x:v>
      </x:c>
      <x:c r="BE468" s="64" t="n">
        <x:f>SUM(AX468:BB468,BD468)</x:f>
        <x:v>-53.292</x:v>
      </x:c>
      <x:c r="BF468" s="67" t="n">
        <x:f>'Drivers'!AF468</x:f>
        <x:v>6</x:v>
      </x:c>
      <x:c r="BG468" s="64" t="n">
        <x:f>BJ468</x:f>
        <x:v>-19.503</x:v>
      </x:c>
      <x:c r="BH468" s="64" t="n">
        <x:f>BE468/BF468</x:f>
        <x:v>-8.882</x:v>
      </x:c>
      <x:c r="BI468" s="68" t="n">
        <x:f>BF468/L468</x:f>
        <x:v>2</x:v>
      </x:c>
      <x:c r="BJ468" s="64" t="n">
        <x:f>-ROUND(AK468*'Drivers'!AC468,3)</x:f>
        <x:v>-19.503</x:v>
      </x:c>
      <x:c r="BK468" s="64" t="n">
        <x:f>-ROUND(AK468*'Drivers'!AD468,3)</x:f>
        <x:v>-68.448</x:v>
      </x:c>
      <x:c r="BL468" s="64" t="n">
        <x:f>SUM(AV468,BE468,BJ468,BK468)</x:f>
        <x:v>121.3979999999999</x:v>
      </x:c>
      <x:c r="BM468" s="65" t="n">
        <x:f>BL468/AK468</x:f>
        <x:v>0.19354344994491718</x:v>
      </x:c>
      <x:c r="BN468" s="64" t="n">
        <x:f>-ROUND(AK468*'Drivers'!AE468,3)</x:f>
        <x:v>-45.961</x:v>
      </x:c>
      <x:c r="BO468" s="64" t="n">
        <x:f>BL468+BN468</x:f>
        <x:v>75.4369999999999</x:v>
      </x:c>
      <x:c r="BP468" s="65" t="n">
        <x:f>BO468/AK468</x:f>
        <x:v>0.12026835066059334</x:v>
      </x:c>
    </x:row>
    <x:row r="469">
      <x:c r="A469" s="61" t="n">
        <x:v>2026</x:v>
      </x:c>
      <x:c r="B469" s="18" t="str">
        <x:v>S2</x:v>
      </x:c>
      <x:c r="C469" s="18" t="str">
        <x:v>2026 S2</x:v>
      </x:c>
      <x:c r="D469" s="18" t="str">
        <x:v>CNCT0117</x:v>
      </x:c>
      <x:c r="E469" s="18" t="str">
        <x:v>昆明西山万达广场</x:v>
      </x:c>
      <x:c r="F469" s="18" t="str">
        <x:v>昆明</x:v>
      </x:c>
      <x:c r="G469" s="18" t="str">
        <x:v>云南省</x:v>
      </x:c>
      <x:c r="H469" s="18" t="str">
        <x:v>西区</x:v>
      </x:c>
      <x:c r="I469" s="18" t="str">
        <x:v>Shopping Mall</x:v>
      </x:c>
      <x:c r="J469" s="18" t="str">
        <x:v>Regional Mall</x:v>
      </x:c>
      <x:c r="K469" s="18" t="str">
        <x:v>正常</x:v>
      </x:c>
      <x:c r="L469" s="62" t="n">
        <x:v>3</x:v>
      </x:c>
      <x:c r="M469" s="62" t="n">
        <x:v>31</x:v>
      </x:c>
      <x:c r="N469" s="63" t="n">
        <x:f>'Drivers'!C469</x:f>
        <x:v>1019</x:v>
      </x:c>
      <x:c r="O469" s="63" t="n">
        <x:f>'Drivers'!D469</x:f>
        <x:v>967.399</x:v>
      </x:c>
      <x:c r="P469" s="64" t="n">
        <x:f>ROUND(N469*O469/1000,3)</x:f>
        <x:v>985.78</x:v>
      </x:c>
      <x:c r="Q469" s="64" t="n">
        <x:f>ROUND(P469*'Drivers'!E469,3)</x:f>
        <x:v>968.91</x:v>
      </x:c>
      <x:c r="R469" s="64" t="n">
        <x:f>-ROUND(Q469*'Drivers'!F469,3)</x:f>
        <x:v>-158.373</x:v>
      </x:c>
      <x:c r="S469" s="65" t="n">
        <x:f>R469/Q469</x:f>
        <x:v>-0.16345481004427656</x:v>
      </x:c>
      <x:c r="T469" s="64" t="n">
        <x:f>-ROUND(Q469*'Drivers'!G469,3)</x:f>
        <x:v>-14.317</x:v>
      </x:c>
      <x:c r="U469" s="65" t="n">
        <x:f>T469/Q469</x:f>
        <x:v>-0.014776398220680971</x:v>
      </x:c>
      <x:c r="V469" s="64" t="n">
        <x:f>-ROUND(Q469*'Drivers'!H469,3)</x:f>
        <x:v>-11.62</x:v>
      </x:c>
      <x:c r="W469" s="64" t="n">
        <x:f>-ROUND(Q469*'Drivers'!I469,3)</x:f>
        <x:v>-7.683</x:v>
      </x:c>
      <x:c r="X469" s="64" t="n">
        <x:f>-ROUND(Q469*'Drivers'!J469,3)</x:f>
        <x:v>-16.511</x:v>
      </x:c>
      <x:c r="Y469" s="64" t="n">
        <x:f>-ROUND(Q469*'Drivers'!K469,3)</x:f>
        <x:v>-12.349</x:v>
      </x:c>
      <x:c r="Z469" s="64" t="n">
        <x:f>-ROUND(Q469*'Drivers'!L469,3)</x:f>
        <x:v>-12.183</x:v>
      </x:c>
      <x:c r="AA469" s="64" t="n">
        <x:f>-ROUND(Q469*'Drivers'!M469,3)</x:f>
        <x:v>-9.179</x:v>
      </x:c>
      <x:c r="AB469" s="64" t="n">
        <x:f>-ROUND(Q469*'Drivers'!N469,3)</x:f>
        <x:v>-4.986</x:v>
      </x:c>
      <x:c r="AC469" s="64" t="n">
        <x:f>SUM(V469:AB469)</x:f>
        <x:v>-74.511</x:v>
      </x:c>
      <x:c r="AD469" s="65" t="n">
        <x:f>AC469/Q469</x:f>
        <x:v>-0.07690187943152614</x:v>
      </x:c>
      <x:c r="AE469" s="64" t="n">
        <x:f>-ROUND(Q469*'Drivers'!O469,3)</x:f>
        <x:v>-8.466</x:v>
      </x:c>
      <x:c r="AF469" s="65" t="n">
        <x:f>AE469/Q469</x:f>
        <x:v>-0.008737653652041984</x:v>
      </x:c>
      <x:c r="AG469" s="64" t="n">
        <x:f>-ROUND(Q469*'Drivers'!P469,3)</x:f>
        <x:v>-1.108</x:v>
      </x:c>
      <x:c r="AH469" s="64" t="n">
        <x:f>-ROUND(Q469*'Drivers'!Q469,3)</x:f>
        <x:v>-1.697</x:v>
      </x:c>
      <x:c r="AI469" s="64" t="n">
        <x:f>SUM(R469,T469,AC469,AE469,AG469,AH469)</x:f>
        <x:v>-258.472</x:v>
      </x:c>
      <x:c r="AJ469" s="65" t="n">
        <x:f>AI469/Q469</x:f>
        <x:v>-0.2667657470766118</x:v>
      </x:c>
      <x:c r="AK469" s="64" t="n">
        <x:f>Q469+AI469</x:f>
        <x:v>710.438</x:v>
      </x:c>
      <x:c r="AL469" s="65" t="n">
        <x:f>AK469/Q469</x:f>
        <x:v>0.7332342529233882</x:v>
      </x:c>
      <x:c r="AM469" s="64" t="n">
        <x:f>AK469/L469</x:f>
        <x:v>236.81266666666667</x:v>
      </x:c>
      <x:c r="AN469" s="66" t="str">
        <x:f>IF(AM469&lt;=200,"≤200K",IF(AM469&lt;=350,"200–350K",IF(AM469&lt;=500,"350–500K",IF(AM469&lt;=700,"500–700K","&gt;700K"))))</x:f>
        <x:v>200–350K</x:v>
      </x:c>
      <x:c r="AO469" s="64" t="n">
        <x:f>-ROUND(Q469*'Drivers'!R469,3)</x:f>
        <x:v>-363.905</x:v>
      </x:c>
      <x:c r="AP469" s="64" t="n">
        <x:f>-ROUND(AK469*'Drivers'!S469,3)</x:f>
        <x:v>-10.148</x:v>
      </x:c>
      <x:c r="AQ469" s="64" t="n">
        <x:f>-ROUND(AK469*'Drivers'!T469,3)</x:f>
        <x:v>-4.903</x:v>
      </x:c>
      <x:c r="AR469" s="64" t="n">
        <x:f>-ROUND(AK469*'Drivers'!U469,3)</x:f>
        <x:v>-6.916</x:v>
      </x:c>
      <x:c r="AS469" s="64" t="n">
        <x:f>-ROUND(AK469*'Drivers'!V469,3)</x:f>
        <x:v>-26.278</x:v>
      </x:c>
      <x:c r="AT469" s="64" t="n">
        <x:f>SUM(AO469:AS469)</x:f>
        <x:v>-412.15000000000003</x:v>
      </x:c>
      <x:c r="AU469" s="65" t="n">
        <x:f>AT469/AK469</x:f>
        <x:v>-0.5801350716037149</x:v>
      </x:c>
      <x:c r="AV469" s="64" t="n">
        <x:f>AK469+AT469</x:f>
        <x:v>298.28799999999995</x:v>
      </x:c>
      <x:c r="AW469" s="65" t="n">
        <x:f>AV469/AK469</x:f>
        <x:v>0.41986492839628503</x:v>
      </x:c>
      <x:c r="AX469" s="64" t="n">
        <x:f>-ROUND(AK469*'Drivers'!W469,3)</x:f>
        <x:v>-6.903</x:v>
      </x:c>
      <x:c r="AY469" s="64" t="n">
        <x:f>-ROUND(AK469*'Drivers'!X469,3)</x:f>
        <x:v>-16.704</x:v>
      </x:c>
      <x:c r="AZ469" s="64" t="n">
        <x:f>-ROUND(AK469*'Drivers'!Y469,3)</x:f>
        <x:v>-13.924</x:v>
      </x:c>
      <x:c r="BA469" s="64" t="n">
        <x:f>-ROUND(AK469*'Drivers'!Z469,3)</x:f>
        <x:v>-5.374</x:v>
      </x:c>
      <x:c r="BB469" s="64" t="n">
        <x:f>-ROUND(AK469*'Drivers'!AA469,3)</x:f>
        <x:v>-6.402</x:v>
      </x:c>
      <x:c r="BC469" s="64" t="n">
        <x:f>SUM(BA469,BB469)</x:f>
        <x:v>-11.776</x:v>
      </x:c>
      <x:c r="BD469" s="64" t="n">
        <x:f>-ROUND(AK469*'Drivers'!AB469,3)</x:f>
        <x:v>-2.692</x:v>
      </x:c>
      <x:c r="BE469" s="64" t="n">
        <x:f>SUM(AX469:BB469,BD469)</x:f>
        <x:v>-51.999</x:v>
      </x:c>
      <x:c r="BF469" s="67" t="n">
        <x:f>'Drivers'!AF469</x:f>
        <x:v>6</x:v>
      </x:c>
      <x:c r="BG469" s="64" t="n">
        <x:f>BJ469</x:f>
        <x:v>-19.029</x:v>
      </x:c>
      <x:c r="BH469" s="64" t="n">
        <x:f>BE469/BF469</x:f>
        <x:v>-8.666500000000001</x:v>
      </x:c>
      <x:c r="BI469" s="68" t="n">
        <x:f>BF469/L469</x:f>
        <x:v>2</x:v>
      </x:c>
      <x:c r="BJ469" s="64" t="n">
        <x:f>-ROUND(AK469*'Drivers'!AC469,3)</x:f>
        <x:v>-19.029</x:v>
      </x:c>
      <x:c r="BK469" s="64" t="n">
        <x:f>-ROUND(AK469*'Drivers'!AD469,3)</x:f>
        <x:v>-77.527</x:v>
      </x:c>
      <x:c r="BL469" s="64" t="n">
        <x:f>SUM(AV469,BE469,BJ469,BK469)</x:f>
        <x:v>149.73299999999995</x:v>
      </x:c>
      <x:c r="BM469" s="65" t="n">
        <x:f>BL469/AK469</x:f>
        <x:v>0.2107615302109402</x:v>
      </x:c>
      <x:c r="BN469" s="64" t="n">
        <x:f>-ROUND(AK469*'Drivers'!AE469,3)</x:f>
        <x:v>-52.058</x:v>
      </x:c>
      <x:c r="BO469" s="64" t="n">
        <x:f>BL469+BN469</x:f>
        <x:v>97.67499999999995</x:v>
      </x:c>
      <x:c r="BP469" s="65" t="n">
        <x:f>BO469/AK469</x:f>
        <x:v>0.13748560747032107</x:v>
      </x:c>
    </x:row>
    <x:row r="470">
      <x:c r="A470" s="61" t="n">
        <x:v>2025</x:v>
      </x:c>
      <x:c r="B470" s="18" t="str">
        <x:v>S1</x:v>
      </x:c>
      <x:c r="C470" s="18" t="str">
        <x:v>2025 S1</x:v>
      </x:c>
      <x:c r="D470" s="18" t="str">
        <x:v>CNCT0118</x:v>
      </x:c>
      <x:c r="E470" s="18" t="str">
        <x:v>厦门磐基中心</x:v>
      </x:c>
      <x:c r="F470" s="18" t="str">
        <x:v>厦门</x:v>
      </x:c>
      <x:c r="G470" s="18" t="str">
        <x:v>福建省</x:v>
      </x:c>
      <x:c r="H470" s="18" t="str">
        <x:v>东区</x:v>
      </x:c>
      <x:c r="I470" s="18" t="str">
        <x:v>Shopping Mall</x:v>
      </x:c>
      <x:c r="J470" s="18" t="str">
        <x:v>Prestige Shopping Center</x:v>
      </x:c>
      <x:c r="K470" s="18" t="str">
        <x:v>正常</x:v>
      </x:c>
      <x:c r="L470" s="62" t="n">
        <x:v>6</x:v>
      </x:c>
      <x:c r="M470" s="62" t="n">
        <x:v>40</x:v>
      </x:c>
      <x:c r="N470" s="63" t="n">
        <x:f>'Drivers'!C470</x:f>
        <x:v>1967</x:v>
      </x:c>
      <x:c r="O470" s="63" t="n">
        <x:f>'Drivers'!D470</x:f>
        <x:v>1182.525</x:v>
      </x:c>
      <x:c r="P470" s="64" t="n">
        <x:f>ROUND(N470*O470/1000,3)</x:f>
        <x:v>2326.027</x:v>
      </x:c>
      <x:c r="Q470" s="64" t="n">
        <x:f>ROUND(P470*'Drivers'!E470,3)</x:f>
        <x:v>2265.747</x:v>
      </x:c>
      <x:c r="R470" s="64" t="n">
        <x:f>-ROUND(Q470*'Drivers'!F470,3)</x:f>
        <x:v>-379.53</x:v>
      </x:c>
      <x:c r="S470" s="65" t="n">
        <x:f>R470/Q470</x:f>
        <x:v>-0.16750766965596778</x:v>
      </x:c>
      <x:c r="T470" s="64" t="n">
        <x:f>-ROUND(Q470*'Drivers'!G470,3)</x:f>
        <x:v>-36.038</x:v>
      </x:c>
      <x:c r="U470" s="65" t="n">
        <x:f>T470/Q470</x:f>
        <x:v>-0.015905571098626635</x:v>
      </x:c>
      <x:c r="V470" s="64" t="n">
        <x:f>-ROUND(Q470*'Drivers'!H470,3)</x:f>
        <x:v>-25.806</x:v>
      </x:c>
      <x:c r="W470" s="64" t="n">
        <x:f>-ROUND(Q470*'Drivers'!I470,3)</x:f>
        <x:v>-17.885</x:v>
      </x:c>
      <x:c r="X470" s="64" t="n">
        <x:f>-ROUND(Q470*'Drivers'!J470,3)</x:f>
        <x:v>-28.578</x:v>
      </x:c>
      <x:c r="Y470" s="64" t="n">
        <x:f>-ROUND(Q470*'Drivers'!K470,3)</x:f>
        <x:v>-25.01</x:v>
      </x:c>
      <x:c r="Z470" s="64" t="n">
        <x:f>-ROUND(Q470*'Drivers'!L470,3)</x:f>
        <x:v>-29.378</x:v>
      </x:c>
      <x:c r="AA470" s="64" t="n">
        <x:f>-ROUND(Q470*'Drivers'!M470,3)</x:f>
        <x:v>-13.502</x:v>
      </x:c>
      <x:c r="AB470" s="64" t="n">
        <x:f>-ROUND(Q470*'Drivers'!N470,3)</x:f>
        <x:v>-17.422</x:v>
      </x:c>
      <x:c r="AC470" s="64" t="n">
        <x:f>SUM(V470:AB470)</x:f>
        <x:v>-157.58100000000002</x:v>
      </x:c>
      <x:c r="AD470" s="65" t="n">
        <x:f>AC470/Q470</x:f>
        <x:v>-0.06954924799635619</x:v>
      </x:c>
      <x:c r="AE470" s="64" t="n">
        <x:f>-ROUND(Q470*'Drivers'!O470,3)</x:f>
        <x:v>-32.133</x:v>
      </x:c>
      <x:c r="AF470" s="65" t="n">
        <x:f>AE470/Q470</x:f>
        <x:v>-0.01418207769887812</x:v>
      </x:c>
      <x:c r="AG470" s="64" t="n">
        <x:f>-ROUND(Q470*'Drivers'!P470,3)</x:f>
        <x:v>-6.527</x:v>
      </x:c>
      <x:c r="AH470" s="64" t="n">
        <x:f>-ROUND(Q470*'Drivers'!Q470,3)</x:f>
        <x:v>-5.01</x:v>
      </x:c>
      <x:c r="AI470" s="64" t="n">
        <x:f>SUM(R470,T470,AC470,AE470,AG470,AH470)</x:f>
        <x:v>-616.8190000000001</x:v>
      </x:c>
      <x:c r="AJ470" s="65" t="n">
        <x:f>AI470/Q470</x:f>
        <x:v>-0.2722364853622228</x:v>
      </x:c>
      <x:c r="AK470" s="64" t="n">
        <x:f>Q470+AI470</x:f>
        <x:v>1648.9279999999999</x:v>
      </x:c>
      <x:c r="AL470" s="65" t="n">
        <x:f>AK470/Q470</x:f>
        <x:v>0.7277635146377773</x:v>
      </x:c>
      <x:c r="AM470" s="64" t="n">
        <x:f>AK470/L470</x:f>
        <x:v>274.8213333333333</x:v>
      </x:c>
      <x:c r="AN470" s="66" t="str">
        <x:f>IF(AM470&lt;=200,"≤200K",IF(AM470&lt;=350,"200–350K",IF(AM470&lt;=500,"350–500K",IF(AM470&lt;=700,"500–700K","&gt;700K"))))</x:f>
        <x:v>200–350K</x:v>
      </x:c>
      <x:c r="AO470" s="64" t="n">
        <x:f>-ROUND(Q470*'Drivers'!R470,3)</x:f>
        <x:v>-827.309</x:v>
      </x:c>
      <x:c r="AP470" s="64" t="n">
        <x:f>-ROUND(AK470*'Drivers'!S470,3)</x:f>
        <x:v>-22.204</x:v>
      </x:c>
      <x:c r="AQ470" s="64" t="n">
        <x:f>-ROUND(AK470*'Drivers'!T470,3)</x:f>
        <x:v>-5.903</x:v>
      </x:c>
      <x:c r="AR470" s="64" t="n">
        <x:f>-ROUND(AK470*'Drivers'!U470,3)</x:f>
        <x:v>-12.132</x:v>
      </x:c>
      <x:c r="AS470" s="64" t="n">
        <x:f>-ROUND(AK470*'Drivers'!V470,3)</x:f>
        <x:v>-50.457</x:v>
      </x:c>
      <x:c r="AT470" s="64" t="n">
        <x:f>SUM(AO470:AS470)</x:f>
        <x:v>-918.0049999999999</x:v>
      </x:c>
      <x:c r="AU470" s="65" t="n">
        <x:f>AT470/AK470</x:f>
        <x:v>-0.5567283714025112</x:v>
      </x:c>
      <x:c r="AV470" s="64" t="n">
        <x:f>AK470+AT470</x:f>
        <x:v>730.923</x:v>
      </x:c>
      <x:c r="AW470" s="65" t="n">
        <x:f>AV470/AK470</x:f>
        <x:v>0.4432716285974888</x:v>
      </x:c>
      <x:c r="AX470" s="64" t="n">
        <x:f>-ROUND(AK470*'Drivers'!W470,3)</x:f>
        <x:v>-15.724</x:v>
      </x:c>
      <x:c r="AY470" s="64" t="n">
        <x:f>-ROUND(AK470*'Drivers'!X470,3)</x:f>
        <x:v>-34.481</x:v>
      </x:c>
      <x:c r="AZ470" s="64" t="n">
        <x:f>-ROUND(AK470*'Drivers'!Y470,3)</x:f>
        <x:v>-32.489</x:v>
      </x:c>
      <x:c r="BA470" s="64" t="n">
        <x:f>-ROUND(AK470*'Drivers'!Z470,3)</x:f>
        <x:v>-9.538</x:v>
      </x:c>
      <x:c r="BB470" s="64" t="n">
        <x:f>-ROUND(AK470*'Drivers'!AA470,3)</x:f>
        <x:v>-9.161</x:v>
      </x:c>
      <x:c r="BC470" s="64" t="n">
        <x:f>SUM(BA470,BB470)</x:f>
        <x:v>-18.698999999999998</x:v>
      </x:c>
      <x:c r="BD470" s="64" t="n">
        <x:f>-ROUND(AK470*'Drivers'!AB470,3)</x:f>
        <x:v>-9.3</x:v>
      </x:c>
      <x:c r="BE470" s="64" t="n">
        <x:f>SUM(AX470:BB470,BD470)</x:f>
        <x:v>-110.69299999999998</x:v>
      </x:c>
      <x:c r="BF470" s="67" t="n">
        <x:f>'Drivers'!AF470</x:f>
        <x:v>13</x:v>
      </x:c>
      <x:c r="BG470" s="64" t="n">
        <x:f>BJ470</x:f>
        <x:v>-34.491</x:v>
      </x:c>
      <x:c r="BH470" s="64" t="n">
        <x:f>BE470/BF470</x:f>
        <x:v>-8.514846153846152</x:v>
      </x:c>
      <x:c r="BI470" s="68" t="n">
        <x:f>BF470/L470</x:f>
        <x:v>2.1666666666666665</x:v>
      </x:c>
      <x:c r="BJ470" s="64" t="n">
        <x:f>-ROUND(AK470*'Drivers'!AC470,3)</x:f>
        <x:v>-34.491</x:v>
      </x:c>
      <x:c r="BK470" s="64" t="n">
        <x:f>-ROUND(AK470*'Drivers'!AD470,3)</x:f>
        <x:v>-146.024</x:v>
      </x:c>
      <x:c r="BL470" s="64" t="n">
        <x:f>SUM(AV470,BE470,BJ470,BK470)</x:f>
        <x:v>439.71500000000003</x:v>
      </x:c>
      <x:c r="BM470" s="65" t="n">
        <x:f>BL470/AK470</x:f>
        <x:v>0.26666719226066876</x:v>
      </x:c>
      <x:c r="BN470" s="64" t="n">
        <x:f>-ROUND(AK470*'Drivers'!AE470,3)</x:f>
        <x:v>-142.908</x:v>
      </x:c>
      <x:c r="BO470" s="64" t="n">
        <x:f>BL470+BN470</x:f>
        <x:v>296.807</x:v>
      </x:c>
      <x:c r="BP470" s="65" t="n">
        <x:f>BO470/AK470</x:f>
        <x:v>0.1799999757418153</x:v>
      </x:c>
    </x:row>
    <x:row r="471">
      <x:c r="A471" s="61" t="n">
        <x:v>2025</x:v>
      </x:c>
      <x:c r="B471" s="18" t="str">
        <x:v>S2</x:v>
      </x:c>
      <x:c r="C471" s="18" t="str">
        <x:v>2025 S2</x:v>
      </x:c>
      <x:c r="D471" s="18" t="str">
        <x:v>CNCT0118</x:v>
      </x:c>
      <x:c r="E471" s="18" t="str">
        <x:v>厦门磐基中心</x:v>
      </x:c>
      <x:c r="F471" s="18" t="str">
        <x:v>厦门</x:v>
      </x:c>
      <x:c r="G471" s="18" t="str">
        <x:v>福建省</x:v>
      </x:c>
      <x:c r="H471" s="18" t="str">
        <x:v>东区</x:v>
      </x:c>
      <x:c r="I471" s="18" t="str">
        <x:v>Shopping Mall</x:v>
      </x:c>
      <x:c r="J471" s="18" t="str">
        <x:v>Prestige Shopping Center</x:v>
      </x:c>
      <x:c r="K471" s="18" t="str">
        <x:v>正常</x:v>
      </x:c>
      <x:c r="L471" s="62" t="n">
        <x:v>6</x:v>
      </x:c>
      <x:c r="M471" s="62" t="n">
        <x:v>40</x:v>
      </x:c>
      <x:c r="N471" s="63" t="n">
        <x:f>'Drivers'!C471</x:f>
        <x:v>2073</x:v>
      </x:c>
      <x:c r="O471" s="63" t="n">
        <x:f>'Drivers'!D471</x:f>
        <x:v>1196.715</x:v>
      </x:c>
      <x:c r="P471" s="64" t="n">
        <x:f>ROUND(N471*O471/1000,3)</x:f>
        <x:v>2480.79</x:v>
      </x:c>
      <x:c r="Q471" s="64" t="n">
        <x:f>ROUND(P471*'Drivers'!E471,3)</x:f>
        <x:v>2392.585</x:v>
      </x:c>
      <x:c r="R471" s="64" t="n">
        <x:f>-ROUND(Q471*'Drivers'!F471,3)</x:f>
        <x:v>-400.777</x:v>
      </x:c>
      <x:c r="S471" s="65" t="n">
        <x:f>R471/Q471</x:f>
        <x:v>-0.16750794642614578</x:v>
      </x:c>
      <x:c r="T471" s="64" t="n">
        <x:f>-ROUND(Q471*'Drivers'!G471,3)</x:f>
        <x:v>-38.055</x:v>
      </x:c>
      <x:c r="U471" s="65" t="n">
        <x:f>T471/Q471</x:f>
        <x:v>-0.015905391031039648</x:v>
      </x:c>
      <x:c r="V471" s="64" t="n">
        <x:f>-ROUND(Q471*'Drivers'!H471,3)</x:f>
        <x:v>-27.25</x:v>
      </x:c>
      <x:c r="W471" s="64" t="n">
        <x:f>-ROUND(Q471*'Drivers'!I471,3)</x:f>
        <x:v>-18.886</x:v>
      </x:c>
      <x:c r="X471" s="64" t="n">
        <x:f>-ROUND(Q471*'Drivers'!J471,3)</x:f>
        <x:v>-30.177</x:v>
      </x:c>
      <x:c r="Y471" s="64" t="n">
        <x:f>-ROUND(Q471*'Drivers'!K471,3)</x:f>
        <x:v>-26.411</x:v>
      </x:c>
      <x:c r="Z471" s="64" t="n">
        <x:f>-ROUND(Q471*'Drivers'!L471,3)</x:f>
        <x:v>-31.023</x:v>
      </x:c>
      <x:c r="AA471" s="64" t="n">
        <x:f>-ROUND(Q471*'Drivers'!M471,3)</x:f>
        <x:v>-14.257</x:v>
      </x:c>
      <x:c r="AB471" s="64" t="n">
        <x:f>-ROUND(Q471*'Drivers'!N471,3)</x:f>
        <x:v>-18.397</x:v>
      </x:c>
      <x:c r="AC471" s="64" t="n">
        <x:f>SUM(V471:AB471)</x:f>
        <x:v>-166.40099999999998</x:v>
      </x:c>
      <x:c r="AD471" s="65" t="n">
        <x:f>AC471/Q471</x:f>
        <x:v>-0.06954862627660041</x:v>
      </x:c>
      <x:c r="AE471" s="64" t="n">
        <x:f>-ROUND(Q471*'Drivers'!O471,3)</x:f>
        <x:v>-33.931</x:v>
      </x:c>
      <x:c r="AF471" s="65" t="n">
        <x:f>AE471/Q471</x:f>
        <x:v>-0.014181732310450829</x:v>
      </x:c>
      <x:c r="AG471" s="64" t="n">
        <x:f>-ROUND(Q471*'Drivers'!P471,3)</x:f>
        <x:v>-6.892</x:v>
      </x:c>
      <x:c r="AH471" s="64" t="n">
        <x:f>-ROUND(Q471*'Drivers'!Q471,3)</x:f>
        <x:v>-5.291</x:v>
      </x:c>
      <x:c r="AI471" s="64" t="n">
        <x:f>SUM(R471,T471,AC471,AE471,AG471,AH471)</x:f>
        <x:v>-651.3470000000001</x:v>
      </x:c>
      <x:c r="AJ471" s="65" t="n">
        <x:f>AI471/Q471</x:f>
        <x:v>-0.2722356781472759</x:v>
      </x:c>
      <x:c r="AK471" s="64" t="n">
        <x:f>Q471+AI471</x:f>
        <x:v>1741.2379999999998</x:v>
      </x:c>
      <x:c r="AL471" s="65" t="n">
        <x:f>AK471/Q471</x:f>
        <x:v>0.7277643218527241</x:v>
      </x:c>
      <x:c r="AM471" s="64" t="n">
        <x:f>AK471/L471</x:f>
        <x:v>290.2063333333333</x:v>
      </x:c>
      <x:c r="AN471" s="66" t="str">
        <x:f>IF(AM471&lt;=200,"≤200K",IF(AM471&lt;=350,"200–350K",IF(AM471&lt;=500,"350–500K",IF(AM471&lt;=700,"500–700K","&gt;700K"))))</x:f>
        <x:v>200–350K</x:v>
      </x:c>
      <x:c r="AO471" s="64" t="n">
        <x:f>-ROUND(Q471*'Drivers'!R471,3)</x:f>
        <x:v>-895.778</x:v>
      </x:c>
      <x:c r="AP471" s="64" t="n">
        <x:f>-ROUND(AK471*'Drivers'!S471,3)</x:f>
        <x:v>-23.446</x:v>
      </x:c>
      <x:c r="AQ471" s="64" t="n">
        <x:f>-ROUND(AK471*'Drivers'!T471,3)</x:f>
        <x:v>-6.233</x:v>
      </x:c>
      <x:c r="AR471" s="64" t="n">
        <x:f>-ROUND(AK471*'Drivers'!U471,3)</x:f>
        <x:v>-12.811</x:v>
      </x:c>
      <x:c r="AS471" s="64" t="n">
        <x:f>-ROUND(AK471*'Drivers'!V471,3)</x:f>
        <x:v>-53.281</x:v>
      </x:c>
      <x:c r="AT471" s="64" t="n">
        <x:f>SUM(AO471:AS471)</x:f>
        <x:v>-991.549</x:v>
      </x:c>
      <x:c r="AU471" s="65" t="n">
        <x:f>AT471/AK471</x:f>
        <x:v>-0.569450586306984</x:v>
      </x:c>
      <x:c r="AV471" s="64" t="n">
        <x:f>AK471+AT471</x:f>
        <x:v>749.6889999999999</x:v>
      </x:c>
      <x:c r="AW471" s="65" t="n">
        <x:f>AV471/AK471</x:f>
        <x:v>0.4305494136930161</x:v>
      </x:c>
      <x:c r="AX471" s="64" t="n">
        <x:f>-ROUND(AK471*'Drivers'!W471,3)</x:f>
        <x:v>-16.604</x:v>
      </x:c>
      <x:c r="AY471" s="64" t="n">
        <x:f>-ROUND(AK471*'Drivers'!X471,3)</x:f>
        <x:v>-36.412</x:v>
      </x:c>
      <x:c r="AZ471" s="64" t="n">
        <x:f>-ROUND(AK471*'Drivers'!Y471,3)</x:f>
        <x:v>-34.308</x:v>
      </x:c>
      <x:c r="BA471" s="64" t="n">
        <x:f>-ROUND(AK471*'Drivers'!Z471,3)</x:f>
        <x:v>-10.072</x:v>
      </x:c>
      <x:c r="BB471" s="64" t="n">
        <x:f>-ROUND(AK471*'Drivers'!AA471,3)</x:f>
        <x:v>-9.674</x:v>
      </x:c>
      <x:c r="BC471" s="64" t="n">
        <x:f>SUM(BA471,BB471)</x:f>
        <x:v>-19.746</x:v>
      </x:c>
      <x:c r="BD471" s="64" t="n">
        <x:f>-ROUND(AK471*'Drivers'!AB471,3)</x:f>
        <x:v>-9.82</x:v>
      </x:c>
      <x:c r="BE471" s="64" t="n">
        <x:f>SUM(AX471:BB471,BD471)</x:f>
        <x:v>-116.88999999999999</x:v>
      </x:c>
      <x:c r="BF471" s="67" t="n">
        <x:f>'Drivers'!AF471</x:f>
        <x:v>13</x:v>
      </x:c>
      <x:c r="BG471" s="64" t="n">
        <x:f>BJ471</x:f>
        <x:v>-36.422</x:v>
      </x:c>
      <x:c r="BH471" s="64" t="n">
        <x:f>BE471/BF471</x:f>
        <x:v>-8.991538461538461</x:v>
      </x:c>
      <x:c r="BI471" s="68" t="n">
        <x:f>BF471/L471</x:f>
        <x:v>2.1666666666666665</x:v>
      </x:c>
      <x:c r="BJ471" s="64" t="n">
        <x:f>-ROUND(AK471*'Drivers'!AC471,3)</x:f>
        <x:v>-36.422</x:v>
      </x:c>
      <x:c r="BK471" s="64" t="n">
        <x:f>-ROUND(AK471*'Drivers'!AD471,3)</x:f>
        <x:v>-154.198</x:v>
      </x:c>
      <x:c r="BL471" s="64" t="n">
        <x:f>SUM(AV471,BE471,BJ471,BK471)</x:f>
        <x:v>442.17899999999986</x:v>
      </x:c>
      <x:c r="BM471" s="65" t="n">
        <x:f>BL471/AK471</x:f>
        <x:v>0.25394518153176066</x:v>
      </x:c>
      <x:c r="BN471" s="64" t="n">
        <x:f>-ROUND(AK471*'Drivers'!AE471,3)</x:f>
        <x:v>-130.027</x:v>
      </x:c>
      <x:c r="BO471" s="64" t="n">
        <x:f>BL471+BN471</x:f>
        <x:v>312.1519999999999</x:v>
      </x:c>
      <x:c r="BP471" s="65" t="n">
        <x:f>BO471/AK471</x:f>
        <x:v>0.17927015146694472</x:v>
      </x:c>
    </x:row>
    <x:row r="472">
      <x:c r="A472" s="61" t="n">
        <x:v>2026</x:v>
      </x:c>
      <x:c r="B472" s="18" t="str">
        <x:v>S1</x:v>
      </x:c>
      <x:c r="C472" s="18" t="str">
        <x:v>2026 S1</x:v>
      </x:c>
      <x:c r="D472" s="18" t="str">
        <x:v>CNCT0118</x:v>
      </x:c>
      <x:c r="E472" s="18" t="str">
        <x:v>厦门磐基中心</x:v>
      </x:c>
      <x:c r="F472" s="18" t="str">
        <x:v>厦门</x:v>
      </x:c>
      <x:c r="G472" s="18" t="str">
        <x:v>福建省</x:v>
      </x:c>
      <x:c r="H472" s="18" t="str">
        <x:v>东区</x:v>
      </x:c>
      <x:c r="I472" s="18" t="str">
        <x:v>Shopping Mall</x:v>
      </x:c>
      <x:c r="J472" s="18" t="str">
        <x:v>Prestige Shopping Center</x:v>
      </x:c>
      <x:c r="K472" s="18" t="str">
        <x:v>正常</x:v>
      </x:c>
      <x:c r="L472" s="62" t="n">
        <x:v>6</x:v>
      </x:c>
      <x:c r="M472" s="62" t="n">
        <x:v>40</x:v>
      </x:c>
      <x:c r="N472" s="63" t="n">
        <x:f>'Drivers'!C472</x:f>
        <x:v>1966</x:v>
      </x:c>
      <x:c r="O472" s="63" t="n">
        <x:f>'Drivers'!D472</x:f>
        <x:v>1239.025</x:v>
      </x:c>
      <x:c r="P472" s="64" t="n">
        <x:f>ROUND(N472*O472/1000,3)</x:f>
        <x:v>2435.923</x:v>
      </x:c>
      <x:c r="Q472" s="64" t="n">
        <x:f>ROUND(P472*'Drivers'!E472,3)</x:f>
        <x:v>2382.401</x:v>
      </x:c>
      <x:c r="R472" s="64" t="n">
        <x:f>-ROUND(Q472*'Drivers'!F472,3)</x:f>
        <x:v>-399.903</x:v>
      </x:c>
      <x:c r="S472" s="65" t="n">
        <x:f>R472/Q472</x:f>
        <x:v>-0.1678571323635274</x:v>
      </x:c>
      <x:c r="T472" s="64" t="n">
        <x:f>-ROUND(Q472*'Drivers'!G472,3)</x:f>
        <x:v>-41.034</x:v>
      </x:c>
      <x:c r="U472" s="65" t="n">
        <x:f>T472/Q472</x:f>
        <x:v>-0.01722380069518104</x:v>
      </x:c>
      <x:c r="V472" s="64" t="n">
        <x:f>-ROUND(Q472*'Drivers'!H472,3)</x:f>
        <x:v>-27.134</x:v>
      </x:c>
      <x:c r="W472" s="64" t="n">
        <x:f>-ROUND(Q472*'Drivers'!I472,3)</x:f>
        <x:v>-18.805</x:v>
      </x:c>
      <x:c r="X472" s="64" t="n">
        <x:f>-ROUND(Q472*'Drivers'!J472,3)</x:f>
        <x:v>-30.049</x:v>
      </x:c>
      <x:c r="Y472" s="64" t="n">
        <x:f>-ROUND(Q472*'Drivers'!K472,3)</x:f>
        <x:v>-26.298</x:v>
      </x:c>
      <x:c r="Z472" s="64" t="n">
        <x:f>-ROUND(Q472*'Drivers'!L472,3)</x:f>
        <x:v>-30.891</x:v>
      </x:c>
      <x:c r="AA472" s="64" t="n">
        <x:f>-ROUND(Q472*'Drivers'!M472,3)</x:f>
        <x:v>-14.197</x:v>
      </x:c>
      <x:c r="AB472" s="64" t="n">
        <x:f>-ROUND(Q472*'Drivers'!N472,3)</x:f>
        <x:v>-18.319</x:v>
      </x:c>
      <x:c r="AC472" s="64" t="n">
        <x:f>SUM(V472:AB472)</x:f>
        <x:v>-165.69299999999998</x:v>
      </x:c>
      <x:c r="AD472" s="65" t="n">
        <x:f>AC472/Q472</x:f>
        <x:v>-0.06954874515247433</x:v>
      </x:c>
      <x:c r="AE472" s="64" t="n">
        <x:f>-ROUND(Q472*'Drivers'!O472,3)</x:f>
        <x:v>-30.574</x:v>
      </x:c>
      <x:c r="AF472" s="65" t="n">
        <x:f>AE472/Q472</x:f>
        <x:v>-0.012833271980661528</x:v>
      </x:c>
      <x:c r="AG472" s="64" t="n">
        <x:f>-ROUND(Q472*'Drivers'!P472,3)</x:f>
        <x:v>-6.863</x:v>
      </x:c>
      <x:c r="AH472" s="64" t="n">
        <x:f>-ROUND(Q472*'Drivers'!Q472,3)</x:f>
        <x:v>-5.268</x:v>
      </x:c>
      <x:c r="AI472" s="64" t="n">
        <x:f>SUM(R472,T472,AC472,AE472,AG472,AH472)</x:f>
        <x:v>-649.335</x:v>
      </x:c>
      <x:c r="AJ472" s="65" t="n">
        <x:f>AI472/Q472</x:f>
        <x:v>-0.2725548721646776</x:v>
      </x:c>
      <x:c r="AK472" s="64" t="n">
        <x:f>Q472+AI472</x:f>
        <x:v>1733.0659999999998</x:v>
      </x:c>
      <x:c r="AL472" s="65" t="n">
        <x:f>AK472/Q472</x:f>
        <x:v>0.7274451278353224</x:v>
      </x:c>
      <x:c r="AM472" s="64" t="n">
        <x:f>AK472/L472</x:f>
        <x:v>288.8443333333333</x:v>
      </x:c>
      <x:c r="AN472" s="66" t="str">
        <x:f>IF(AM472&lt;=200,"≤200K",IF(AM472&lt;=350,"200–350K",IF(AM472&lt;=500,"350–500K",IF(AM472&lt;=700,"500–700K","&gt;700K"))))</x:f>
        <x:v>200–350K</x:v>
      </x:c>
      <x:c r="AO472" s="64" t="n">
        <x:f>-ROUND(Q472*'Drivers'!R472,3)</x:f>
        <x:v>-865.877</x:v>
      </x:c>
      <x:c r="AP472" s="64" t="n">
        <x:f>-ROUND(AK472*'Drivers'!S472,3)</x:f>
        <x:v>-23.336</x:v>
      </x:c>
      <x:c r="AQ472" s="64" t="n">
        <x:f>-ROUND(AK472*'Drivers'!T472,3)</x:f>
        <x:v>-6.204</x:v>
      </x:c>
      <x:c r="AR472" s="64" t="n">
        <x:f>-ROUND(AK472*'Drivers'!U472,3)</x:f>
        <x:v>-12.751</x:v>
      </x:c>
      <x:c r="AS472" s="64" t="n">
        <x:f>-ROUND(AK472*'Drivers'!V472,3)</x:f>
        <x:v>-53.031</x:v>
      </x:c>
      <x:c r="AT472" s="64" t="n">
        <x:f>SUM(AO472:AS472)</x:f>
        <x:v>-961.1989999999998</x:v>
      </x:c>
      <x:c r="AU472" s="65" t="n">
        <x:f>AT472/AK472</x:f>
        <x:v>-0.554623424612796</x:v>
      </x:c>
      <x:c r="AV472" s="64" t="n">
        <x:f>AK472+AT472</x:f>
        <x:v>771.867</x:v>
      </x:c>
      <x:c r="AW472" s="65" t="n">
        <x:f>AV472/AK472</x:f>
        <x:v>0.445376575387204</x:v>
      </x:c>
      <x:c r="AX472" s="64" t="n">
        <x:f>-ROUND(AK472*'Drivers'!W472,3)</x:f>
        <x:v>-20.334</x:v>
      </x:c>
      <x:c r="AY472" s="64" t="n">
        <x:f>-ROUND(AK472*'Drivers'!X472,3)</x:f>
        <x:v>-44.592</x:v>
      </x:c>
      <x:c r="AZ472" s="64" t="n">
        <x:f>-ROUND(AK472*'Drivers'!Y472,3)</x:f>
        <x:v>-42.017</x:v>
      </x:c>
      <x:c r="BA472" s="64" t="n">
        <x:f>-ROUND(AK472*'Drivers'!Z472,3)</x:f>
        <x:v>-12.335</x:v>
      </x:c>
      <x:c r="BB472" s="64" t="n">
        <x:f>-ROUND(AK472*'Drivers'!AA472,3)</x:f>
        <x:v>-11.847</x:v>
      </x:c>
      <x:c r="BC472" s="64" t="n">
        <x:f>SUM(BA472,BB472)</x:f>
        <x:v>-24.182000000000002</x:v>
      </x:c>
      <x:c r="BD472" s="64" t="n">
        <x:f>-ROUND(AK472*'Drivers'!AB472,3)</x:f>
        <x:v>-12.027</x:v>
      </x:c>
      <x:c r="BE472" s="64" t="n">
        <x:f>SUM(AX472:BB472,BD472)</x:f>
        <x:v>-143.15200000000002</x:v>
      </x:c>
      <x:c r="BF472" s="67" t="n">
        <x:f>'Drivers'!AF472</x:f>
        <x:v>13</x:v>
      </x:c>
      <x:c r="BG472" s="64" t="n">
        <x:f>BJ472</x:f>
        <x:v>-44.605</x:v>
      </x:c>
      <x:c r="BH472" s="64" t="n">
        <x:f>BE472/BF472</x:f>
        <x:v>-11.011692307692309</x:v>
      </x:c>
      <x:c r="BI472" s="68" t="n">
        <x:f>BF472/L472</x:f>
        <x:v>2.1666666666666665</x:v>
      </x:c>
      <x:c r="BJ472" s="64" t="n">
        <x:f>-ROUND(AK472*'Drivers'!AC472,3)</x:f>
        <x:v>-44.605</x:v>
      </x:c>
      <x:c r="BK472" s="64" t="n">
        <x:f>-ROUND(AK472*'Drivers'!AD472,3)</x:f>
        <x:v>-153.475</x:v>
      </x:c>
      <x:c r="BL472" s="64" t="n">
        <x:f>SUM(AV472,BE472,BJ472,BK472)</x:f>
        <x:v>430.6349999999999</x:v>
      </x:c>
      <x:c r="BM472" s="65" t="n">
        <x:f>BL472/AK472</x:f>
        <x:v>0.24848159273795686</x:v>
      </x:c>
      <x:c r="BN472" s="64" t="n">
        <x:f>-ROUND(AK472*'Drivers'!AE472,3)</x:f>
        <x:v>-150.2</x:v>
      </x:c>
      <x:c r="BO472" s="64" t="n">
        <x:f>BL472+BN472</x:f>
        <x:v>280.4349999999999</x:v>
      </x:c>
      <x:c r="BP472" s="65" t="n">
        <x:f>BO472/AK472</x:f>
        <x:v>0.1618143798331973</x:v>
      </x:c>
    </x:row>
    <x:row r="473">
      <x:c r="A473" s="61" t="n">
        <x:v>2026</x:v>
      </x:c>
      <x:c r="B473" s="18" t="str">
        <x:v>S2</x:v>
      </x:c>
      <x:c r="C473" s="18" t="str">
        <x:v>2026 S2</x:v>
      </x:c>
      <x:c r="D473" s="18" t="str">
        <x:v>CNCT0118</x:v>
      </x:c>
      <x:c r="E473" s="18" t="str">
        <x:v>厦门磐基中心</x:v>
      </x:c>
      <x:c r="F473" s="18" t="str">
        <x:v>厦门</x:v>
      </x:c>
      <x:c r="G473" s="18" t="str">
        <x:v>福建省</x:v>
      </x:c>
      <x:c r="H473" s="18" t="str">
        <x:v>东区</x:v>
      </x:c>
      <x:c r="I473" s="18" t="str">
        <x:v>Shopping Mall</x:v>
      </x:c>
      <x:c r="J473" s="18" t="str">
        <x:v>Prestige Shopping Center</x:v>
      </x:c>
      <x:c r="K473" s="18" t="str">
        <x:v>正常</x:v>
      </x:c>
      <x:c r="L473" s="62" t="n">
        <x:v>6</x:v>
      </x:c>
      <x:c r="M473" s="62" t="n">
        <x:v>40</x:v>
      </x:c>
      <x:c r="N473" s="63" t="n">
        <x:f>'Drivers'!C473</x:f>
        <x:v>2127</x:v>
      </x:c>
      <x:c r="O473" s="63" t="n">
        <x:f>'Drivers'!D473</x:f>
        <x:v>1228.391</x:v>
      </x:c>
      <x:c r="P473" s="64" t="n">
        <x:f>ROUND(N473*O473/1000,3)</x:f>
        <x:v>2612.788</x:v>
      </x:c>
      <x:c r="Q473" s="64" t="n">
        <x:f>ROUND(P473*'Drivers'!E473,3)</x:f>
        <x:v>2519.89</x:v>
      </x:c>
      <x:c r="R473" s="64" t="n">
        <x:f>-ROUND(Q473*'Drivers'!F473,3)</x:f>
        <x:v>-407.76</x:v>
      </x:c>
      <x:c r="S473" s="65" t="n">
        <x:f>R473/Q473</x:f>
        <x:v>-0.16181658723198236</x:v>
      </x:c>
      <x:c r="T473" s="64" t="n">
        <x:f>-ROUND(Q473*'Drivers'!G473,3)</x:f>
        <x:v>-41.892</x:v>
      </x:c>
      <x:c r="U473" s="65" t="n">
        <x:f>T473/Q473</x:f>
        <x:v>-0.01662453519796499</x:v>
      </x:c>
      <x:c r="V473" s="64" t="n">
        <x:f>-ROUND(Q473*'Drivers'!H473,3)</x:f>
        <x:v>-28.7</x:v>
      </x:c>
      <x:c r="W473" s="64" t="n">
        <x:f>-ROUND(Q473*'Drivers'!I473,3)</x:f>
        <x:v>-19.891</x:v>
      </x:c>
      <x:c r="X473" s="64" t="n">
        <x:f>-ROUND(Q473*'Drivers'!J473,3)</x:f>
        <x:v>-31.783</x:v>
      </x:c>
      <x:c r="Y473" s="64" t="n">
        <x:f>-ROUND(Q473*'Drivers'!K473,3)</x:f>
        <x:v>-27.816</x:v>
      </x:c>
      <x:c r="Z473" s="64" t="n">
        <x:f>-ROUND(Q473*'Drivers'!L473,3)</x:f>
        <x:v>-32.674</x:v>
      </x:c>
      <x:c r="AA473" s="64" t="n">
        <x:f>-ROUND(Q473*'Drivers'!M473,3)</x:f>
        <x:v>-15.016</x:v>
      </x:c>
      <x:c r="AB473" s="64" t="n">
        <x:f>-ROUND(Q473*'Drivers'!N473,3)</x:f>
        <x:v>-19.376</x:v>
      </x:c>
      <x:c r="AC473" s="64" t="n">
        <x:f>SUM(V473:AB473)</x:f>
        <x:v>-175.256</x:v>
      </x:c>
      <x:c r="AD473" s="65" t="n">
        <x:f>AC473/Q473</x:f>
        <x:v>-0.06954906761803095</x:v>
      </x:c>
      <x:c r="AE473" s="64" t="n">
        <x:f>-ROUND(Q473*'Drivers'!O473,3)</x:f>
        <x:v>-35.737</x:v>
      </x:c>
      <x:c r="AF473" s="65" t="n">
        <x:f>AE473/Q473</x:f>
        <x:v>-0.01418196826051931</x:v>
      </x:c>
      <x:c r="AG473" s="64" t="n">
        <x:f>-ROUND(Q473*'Drivers'!P473,3)</x:f>
        <x:v>-7.259</x:v>
      </x:c>
      <x:c r="AH473" s="64" t="n">
        <x:f>-ROUND(Q473*'Drivers'!Q473,3)</x:f>
        <x:v>-5.572</x:v>
      </x:c>
      <x:c r="AI473" s="64" t="n">
        <x:f>SUM(R473,T473,AC473,AE473,AG473,AH473)</x:f>
        <x:v>-673.476</x:v>
      </x:c>
      <x:c r="AJ473" s="65" t="n">
        <x:f>AI473/Q473</x:f>
        <x:v>-0.26726404724015734</x:v>
      </x:c>
      <x:c r="AK473" s="64" t="n">
        <x:f>Q473+AI473</x:f>
        <x:v>1846.4139999999998</x:v>
      </x:c>
      <x:c r="AL473" s="65" t="n">
        <x:f>AK473/Q473</x:f>
        <x:v>0.7327359527598426</x:v>
      </x:c>
      <x:c r="AM473" s="64" t="n">
        <x:f>AK473/L473</x:f>
        <x:v>307.73566666666665</x:v>
      </x:c>
      <x:c r="AN473" s="66" t="str">
        <x:f>IF(AM473&lt;=200,"≤200K",IF(AM473&lt;=350,"200–350K",IF(AM473&lt;=500,"350–500K",IF(AM473&lt;=700,"500–700K","&gt;700K"))))</x:f>
        <x:v>200–350K</x:v>
      </x:c>
      <x:c r="AO473" s="64" t="n">
        <x:f>-ROUND(Q473*'Drivers'!R473,3)</x:f>
        <x:v>-947.02</x:v>
      </x:c>
      <x:c r="AP473" s="64" t="n">
        <x:f>-ROUND(AK473*'Drivers'!S473,3)</x:f>
        <x:v>-24.863</x:v>
      </x:c>
      <x:c r="AQ473" s="64" t="n">
        <x:f>-ROUND(AK473*'Drivers'!T473,3)</x:f>
        <x:v>-6.61</x:v>
      </x:c>
      <x:c r="AR473" s="64" t="n">
        <x:f>-ROUND(AK473*'Drivers'!U473,3)</x:f>
        <x:v>-13.585</x:v>
      </x:c>
      <x:c r="AS473" s="64" t="n">
        <x:f>-ROUND(AK473*'Drivers'!V473,3)</x:f>
        <x:v>-56.5</x:v>
      </x:c>
      <x:c r="AT473" s="64" t="n">
        <x:f>SUM(AO473:AS473)</x:f>
        <x:v>-1048.578</x:v>
      </x:c>
      <x:c r="AU473" s="65" t="n">
        <x:f>AT473/AK473</x:f>
        <x:v>-0.5678997234639686</x:v>
      </x:c>
      <x:c r="AV473" s="64" t="n">
        <x:f>AK473+AT473</x:f>
        <x:v>797.8359999999998</x:v>
      </x:c>
      <x:c r="AW473" s="65" t="n">
        <x:f>AV473/AK473</x:f>
        <x:v>0.4321002765360314</x:v>
      </x:c>
      <x:c r="AX473" s="64" t="n">
        <x:f>-ROUND(AK473*'Drivers'!W473,3)</x:f>
        <x:v>-18.663</x:v>
      </x:c>
      <x:c r="AY473" s="64" t="n">
        <x:f>-ROUND(AK473*'Drivers'!X473,3)</x:f>
        <x:v>-40.928</x:v>
      </x:c>
      <x:c r="AZ473" s="64" t="n">
        <x:f>-ROUND(AK473*'Drivers'!Y473,3)</x:f>
        <x:v>-38.563</x:v>
      </x:c>
      <x:c r="BA473" s="64" t="n">
        <x:f>-ROUND(AK473*'Drivers'!Z473,3)</x:f>
        <x:v>-11.321</x:v>
      </x:c>
      <x:c r="BB473" s="64" t="n">
        <x:f>-ROUND(AK473*'Drivers'!AA473,3)</x:f>
        <x:v>-10.873</x:v>
      </x:c>
      <x:c r="BC473" s="64" t="n">
        <x:f>SUM(BA473,BB473)</x:f>
        <x:v>-22.194</x:v>
      </x:c>
      <x:c r="BD473" s="64" t="n">
        <x:f>-ROUND(AK473*'Drivers'!AB473,3)</x:f>
        <x:v>-11.038</x:v>
      </x:c>
      <x:c r="BE473" s="64" t="n">
        <x:f>SUM(AX473:BB473,BD473)</x:f>
        <x:v>-131.386</x:v>
      </x:c>
      <x:c r="BF473" s="67" t="n">
        <x:f>'Drivers'!AF473</x:f>
        <x:v>13</x:v>
      </x:c>
      <x:c r="BG473" s="64" t="n">
        <x:f>BJ473</x:f>
        <x:v>-40.939</x:v>
      </x:c>
      <x:c r="BH473" s="64" t="n">
        <x:f>BE473/BF473</x:f>
        <x:v>-10.106615384615385</x:v>
      </x:c>
      <x:c r="BI473" s="68" t="n">
        <x:f>BF473/L473</x:f>
        <x:v>2.1666666666666665</x:v>
      </x:c>
      <x:c r="BJ473" s="64" t="n">
        <x:f>-ROUND(AK473*'Drivers'!AC473,3)</x:f>
        <x:v>-40.939</x:v>
      </x:c>
      <x:c r="BK473" s="64" t="n">
        <x:f>-ROUND(AK473*'Drivers'!AD473,3)</x:f>
        <x:v>-163.512</x:v>
      </x:c>
      <x:c r="BL473" s="64" t="n">
        <x:f>SUM(AV473,BE473,BJ473,BK473)</x:f>
        <x:v>461.99899999999985</x:v>
      </x:c>
      <x:c r="BM473" s="65" t="n">
        <x:f>BL473/AK473</x:f>
        <x:v>0.25021419898246</x:v>
      </x:c>
      <x:c r="BN473" s="64" t="n">
        <x:f>-ROUND(AK473*'Drivers'!AE473,3)</x:f>
        <x:v>-137.881</x:v>
      </x:c>
      <x:c r="BO473" s="64" t="n">
        <x:f>BL473+BN473</x:f>
        <x:v>324.1179999999998</x:v>
      </x:c>
      <x:c r="BP473" s="65" t="n">
        <x:f>BO473/AK473</x:f>
        <x:v>0.17553918027051346</x:v>
      </x:c>
    </x:row>
    <x:row r="474">
      <x:c r="A474" s="61" t="n">
        <x:v>2025</x:v>
      </x:c>
      <x:c r="B474" s="18" t="str">
        <x:v>S1</x:v>
      </x:c>
      <x:c r="C474" s="18" t="str">
        <x:v>2025 S1</x:v>
      </x:c>
      <x:c r="D474" s="18" t="str">
        <x:v>CNCT0119</x:v>
      </x:c>
      <x:c r="E474" s="18" t="str">
        <x:v>厦门万象城</x:v>
      </x:c>
      <x:c r="F474" s="18" t="str">
        <x:v>厦门</x:v>
      </x:c>
      <x:c r="G474" s="18" t="str">
        <x:v>福建省</x:v>
      </x:c>
      <x:c r="H474" s="18" t="str">
        <x:v>东区</x:v>
      </x:c>
      <x:c r="I474" s="18" t="str">
        <x:v>Shopping Mall</x:v>
      </x:c>
      <x:c r="J474" s="18" t="str">
        <x:v>Prestige Shopping Center</x:v>
      </x:c>
      <x:c r="K474" s="18" t="str">
        <x:v>正常</x:v>
      </x:c>
      <x:c r="L474" s="62" t="n">
        <x:v>5</x:v>
      </x:c>
      <x:c r="M474" s="62" t="n">
        <x:v>40</x:v>
      </x:c>
      <x:c r="N474" s="63" t="n">
        <x:f>'Drivers'!C474</x:f>
        <x:v>2193</x:v>
      </x:c>
      <x:c r="O474" s="63" t="n">
        <x:f>'Drivers'!D474</x:f>
        <x:v>1175.704</x:v>
      </x:c>
      <x:c r="P474" s="64" t="n">
        <x:f>ROUND(N474*O474/1000,3)</x:f>
        <x:v>2578.319</x:v>
      </x:c>
      <x:c r="Q474" s="64" t="n">
        <x:f>ROUND(P474*'Drivers'!E474,3)</x:f>
        <x:v>2493.738</x:v>
      </x:c>
      <x:c r="R474" s="64" t="n">
        <x:f>-ROUND(Q474*'Drivers'!F474,3)</x:f>
        <x:v>-480.413</x:v>
      </x:c>
      <x:c r="S474" s="65" t="n">
        <x:f>R474/Q474</x:f>
        <x:v>-0.1926477440693449</x:v>
      </x:c>
      <x:c r="T474" s="64" t="n">
        <x:f>-ROUND(Q474*'Drivers'!G474,3)</x:f>
        <x:v>-41.602</x:v>
      </x:c>
      <x:c r="U474" s="65" t="n">
        <x:f>T474/Q474</x:f>
        <x:v>-0.016682586542772337</x:v>
      </x:c>
      <x:c r="V474" s="64" t="n">
        <x:f>-ROUND(Q474*'Drivers'!H474,3)</x:f>
        <x:v>-27.183</x:v>
      </x:c>
      <x:c r="W474" s="64" t="n">
        <x:f>-ROUND(Q474*'Drivers'!I474,3)</x:f>
        <x:v>-19.375</x:v>
      </x:c>
      <x:c r="X474" s="64" t="n">
        <x:f>-ROUND(Q474*'Drivers'!J474,3)</x:f>
        <x:v>-36.933</x:v>
      </x:c>
      <x:c r="Y474" s="64" t="n">
        <x:f>-ROUND(Q474*'Drivers'!K474,3)</x:f>
        <x:v>-22.848</x:v>
      </x:c>
      <x:c r="Z474" s="64" t="n">
        <x:f>-ROUND(Q474*'Drivers'!L474,3)</x:f>
        <x:v>-32.469</x:v>
      </x:c>
      <x:c r="AA474" s="64" t="n">
        <x:f>-ROUND(Q474*'Drivers'!M474,3)</x:f>
        <x:v>-16.902</x:v>
      </x:c>
      <x:c r="AB474" s="64" t="n">
        <x:f>-ROUND(Q474*'Drivers'!N474,3)</x:f>
        <x:v>-17.96</x:v>
      </x:c>
      <x:c r="AC474" s="64" t="n">
        <x:f>SUM(V474:AB474)</x:f>
        <x:v>-173.67</x:v>
      </x:c>
      <x:c r="AD474" s="65" t="n">
        <x:f>AC474/Q474</x:f>
        <x:v>-0.06964244038467554</x:v>
      </x:c>
      <x:c r="AE474" s="64" t="n">
        <x:f>-ROUND(Q474*'Drivers'!O474,3)</x:f>
        <x:v>-32.738</x:v>
      </x:c>
      <x:c r="AF474" s="65" t="n">
        <x:f>AE474/Q474</x:f>
        <x:v>-0.013128083222856612</x:v>
      </x:c>
      <x:c r="AG474" s="64" t="n">
        <x:f>-ROUND(Q474*'Drivers'!P474,3)</x:f>
        <x:v>-4.585</x:v>
      </x:c>
      <x:c r="AH474" s="64" t="n">
        <x:f>-ROUND(Q474*'Drivers'!Q474,3)</x:f>
        <x:v>-3.483</x:v>
      </x:c>
      <x:c r="AI474" s="64" t="n">
        <x:f>SUM(R474,T474,AC474,AE474,AG474,AH474)</x:f>
        <x:v>-736.491</x:v>
      </x:c>
      <x:c r="AJ474" s="65" t="n">
        <x:f>AI474/Q474</x:f>
        <x:v>-0.29533615800857993</x:v>
      </x:c>
      <x:c r="AK474" s="64" t="n">
        <x:f>Q474+AI474</x:f>
        <x:v>1757.2469999999998</x:v>
      </x:c>
      <x:c r="AL474" s="65" t="n">
        <x:f>AK474/Q474</x:f>
        <x:v>0.7046638419914201</x:v>
      </x:c>
      <x:c r="AM474" s="64" t="n">
        <x:f>AK474/L474</x:f>
        <x:v>351.44939999999997</x:v>
      </x:c>
      <x:c r="AN474" s="66" t="str">
        <x:f>IF(AM474&lt;=200,"≤200K",IF(AM474&lt;=350,"200–350K",IF(AM474&lt;=500,"350–500K",IF(AM474&lt;=700,"500–700K","&gt;700K"))))</x:f>
        <x:v>350–500K</x:v>
      </x:c>
      <x:c r="AO474" s="64" t="n">
        <x:f>-ROUND(Q474*'Drivers'!R474,3)</x:f>
        <x:v>-897.318</x:v>
      </x:c>
      <x:c r="AP474" s="64" t="n">
        <x:f>-ROUND(AK474*'Drivers'!S474,3)</x:f>
        <x:v>-28.381</x:v>
      </x:c>
      <x:c r="AQ474" s="64" t="n">
        <x:f>-ROUND(AK474*'Drivers'!T474,3)</x:f>
        <x:v>-7.524</x:v>
      </x:c>
      <x:c r="AR474" s="64" t="n">
        <x:f>-ROUND(AK474*'Drivers'!U474,3)</x:f>
        <x:v>-15.3</x:v>
      </x:c>
      <x:c r="AS474" s="64" t="n">
        <x:f>-ROUND(AK474*'Drivers'!V474,3)</x:f>
        <x:v>-63.979</x:v>
      </x:c>
      <x:c r="AT474" s="64" t="n">
        <x:f>SUM(AO474:AS474)</x:f>
        <x:v>-1012.502</x:v>
      </x:c>
      <x:c r="AU474" s="65" t="n">
        <x:f>AT474/AK474</x:f>
        <x:v>-0.5761865008163337</x:v>
      </x:c>
      <x:c r="AV474" s="64" t="n">
        <x:f>AK474+AT474</x:f>
        <x:v>744.7449999999999</x:v>
      </x:c>
      <x:c r="AW474" s="65" t="n">
        <x:f>AV474/AK474</x:f>
        <x:v>0.42381349918366623</x:v>
      </x:c>
      <x:c r="AX474" s="64" t="n">
        <x:f>-ROUND(AK474*'Drivers'!W474,3)</x:f>
        <x:v>-21.963</x:v>
      </x:c>
      <x:c r="AY474" s="64" t="n">
        <x:f>-ROUND(AK474*'Drivers'!X474,3)</x:f>
        <x:v>-32.231</x:v>
      </x:c>
      <x:c r="AZ474" s="64" t="n">
        <x:f>-ROUND(AK474*'Drivers'!Y474,3)</x:f>
        <x:v>-33.234</x:v>
      </x:c>
      <x:c r="BA474" s="64" t="n">
        <x:f>-ROUND(AK474*'Drivers'!Z474,3)</x:f>
        <x:v>-12.443</x:v>
      </x:c>
      <x:c r="BB474" s="64" t="n">
        <x:f>-ROUND(AK474*'Drivers'!AA474,3)</x:f>
        <x:v>-13.273</x:v>
      </x:c>
      <x:c r="BC474" s="64" t="n">
        <x:f>SUM(BA474,BB474)</x:f>
        <x:v>-25.716</x:v>
      </x:c>
      <x:c r="BD474" s="64" t="n">
        <x:f>-ROUND(AK474*'Drivers'!AB474,3)</x:f>
        <x:v>-6.54</x:v>
      </x:c>
      <x:c r="BE474" s="64" t="n">
        <x:f>SUM(AX474:BB474,BD474)</x:f>
        <x:v>-119.684</x:v>
      </x:c>
      <x:c r="BF474" s="67" t="n">
        <x:f>'Drivers'!AF474</x:f>
        <x:v>8</x:v>
      </x:c>
      <x:c r="BG474" s="64" t="n">
        <x:f>BJ474</x:f>
        <x:v>-35.47</x:v>
      </x:c>
      <x:c r="BH474" s="64" t="n">
        <x:f>BE474/BF474</x:f>
        <x:v>-14.9605</x:v>
      </x:c>
      <x:c r="BI474" s="68" t="n">
        <x:f>BF474/L474</x:f>
        <x:v>1.6</x:v>
      </x:c>
      <x:c r="BJ474" s="64" t="n">
        <x:f>-ROUND(AK474*'Drivers'!AC474,3)</x:f>
        <x:v>-35.47</x:v>
      </x:c>
      <x:c r="BK474" s="64" t="n">
        <x:f>-ROUND(AK474*'Drivers'!AD474,3)</x:f>
        <x:v>-195.81</x:v>
      </x:c>
      <x:c r="BL474" s="64" t="n">
        <x:f>SUM(AV474,BE474,BJ474,BK474)</x:f>
        <x:v>393.7809999999999</x:v>
      </x:c>
      <x:c r="BM474" s="65" t="n">
        <x:f>BL474/AK474</x:f>
        <x:v>0.2240897267145711</x:v>
      </x:c>
      <x:c r="BN474" s="64" t="n">
        <x:f>-ROUND(AK474*'Drivers'!AE474,3)</x:f>
        <x:v>-124.812</x:v>
      </x:c>
      <x:c r="BO474" s="64" t="n">
        <x:f>BL474+BN474</x:f>
        <x:v>268.9689999999999</x:v>
      </x:c>
      <x:c r="BP474" s="65" t="n">
        <x:f>BO474/AK474</x:f>
        <x:v>0.1530627168519849</x:v>
      </x:c>
    </x:row>
    <x:row r="475">
      <x:c r="A475" s="61" t="n">
        <x:v>2025</x:v>
      </x:c>
      <x:c r="B475" s="18" t="str">
        <x:v>S2</x:v>
      </x:c>
      <x:c r="C475" s="18" t="str">
        <x:v>2025 S2</x:v>
      </x:c>
      <x:c r="D475" s="18" t="str">
        <x:v>CNCT0119</x:v>
      </x:c>
      <x:c r="E475" s="18" t="str">
        <x:v>厦门万象城</x:v>
      </x:c>
      <x:c r="F475" s="18" t="str">
        <x:v>厦门</x:v>
      </x:c>
      <x:c r="G475" s="18" t="str">
        <x:v>福建省</x:v>
      </x:c>
      <x:c r="H475" s="18" t="str">
        <x:v>东区</x:v>
      </x:c>
      <x:c r="I475" s="18" t="str">
        <x:v>Shopping Mall</x:v>
      </x:c>
      <x:c r="J475" s="18" t="str">
        <x:v>Prestige Shopping Center</x:v>
      </x:c>
      <x:c r="K475" s="18" t="str">
        <x:v>正常</x:v>
      </x:c>
      <x:c r="L475" s="62" t="n">
        <x:v>5</x:v>
      </x:c>
      <x:c r="M475" s="62" t="n">
        <x:v>40</x:v>
      </x:c>
      <x:c r="N475" s="63" t="n">
        <x:f>'Drivers'!C475</x:f>
        <x:v>2382</x:v>
      </x:c>
      <x:c r="O475" s="63" t="n">
        <x:f>'Drivers'!D475</x:f>
        <x:v>1189.812</x:v>
      </x:c>
      <x:c r="P475" s="64" t="n">
        <x:f>ROUND(N475*O475/1000,3)</x:f>
        <x:v>2834.132</x:v>
      </x:c>
      <x:c r="Q475" s="64" t="n">
        <x:f>ROUND(P475*'Drivers'!E475,3)</x:f>
        <x:v>2768.29</x:v>
      </x:c>
      <x:c r="R475" s="64" t="n">
        <x:f>-ROUND(Q475*'Drivers'!F475,3)</x:f>
        <x:v>-533.305</x:v>
      </x:c>
      <x:c r="S475" s="65" t="n">
        <x:f>R475/Q475</x:f>
        <x:v>-0.192647807852501</x:v>
      </x:c>
      <x:c r="T475" s="64" t="n">
        <x:f>-ROUND(Q475*'Drivers'!G475,3)</x:f>
        <x:v>-46.182</x:v>
      </x:c>
      <x:c r="U475" s="65" t="n">
        <x:f>T475/Q475</x:f>
        <x:v>-0.016682500749560198</x:v>
      </x:c>
      <x:c r="V475" s="64" t="n">
        <x:f>-ROUND(Q475*'Drivers'!H475,3)</x:f>
        <x:v>-30.176</x:v>
      </x:c>
      <x:c r="W475" s="64" t="n">
        <x:f>-ROUND(Q475*'Drivers'!I475,3)</x:f>
        <x:v>-21.508</x:v>
      </x:c>
      <x:c r="X475" s="64" t="n">
        <x:f>-ROUND(Q475*'Drivers'!J475,3)</x:f>
        <x:v>-40.999</x:v>
      </x:c>
      <x:c r="Y475" s="64" t="n">
        <x:f>-ROUND(Q475*'Drivers'!K475,3)</x:f>
        <x:v>-25.364</x:v>
      </x:c>
      <x:c r="Z475" s="64" t="n">
        <x:f>-ROUND(Q475*'Drivers'!L475,3)</x:f>
        <x:v>-36.044</x:v>
      </x:c>
      <x:c r="AA475" s="64" t="n">
        <x:f>-ROUND(Q475*'Drivers'!M475,3)</x:f>
        <x:v>-18.762</x:v>
      </x:c>
      <x:c r="AB475" s="64" t="n">
        <x:f>-ROUND(Q475*'Drivers'!N475,3)</x:f>
        <x:v>-19.937</x:v>
      </x:c>
      <x:c r="AC475" s="64" t="n">
        <x:f>SUM(V475:AB475)</x:f>
        <x:v>-192.79000000000002</x:v>
      </x:c>
      <x:c r="AD475" s="65" t="n">
        <x:f>AC475/Q475</x:f>
        <x:v>-0.06964227013788296</x:v>
      </x:c>
      <x:c r="AE475" s="64" t="n">
        <x:f>-ROUND(Q475*'Drivers'!O475,3)</x:f>
        <x:v>-36.342</x:v>
      </x:c>
      <x:c r="AF475" s="65" t="n">
        <x:f>AE475/Q475</x:f>
        <x:v>-0.01312795985969678</x:v>
      </x:c>
      <x:c r="AG475" s="64" t="n">
        <x:f>-ROUND(Q475*'Drivers'!P475,3)</x:f>
        <x:v>-5.09</x:v>
      </x:c>
      <x:c r="AH475" s="64" t="n">
        <x:f>-ROUND(Q475*'Drivers'!Q475,3)</x:f>
        <x:v>-3.866</x:v>
      </x:c>
      <x:c r="AI475" s="64" t="n">
        <x:f>SUM(R475,T475,AC475,AE475,AG475,AH475)</x:f>
        <x:v>-817.575</x:v>
      </x:c>
      <x:c r="AJ475" s="65" t="n">
        <x:f>AI475/Q475</x:f>
        <x:v>-0.29533574878354507</x:v>
      </x:c>
      <x:c r="AK475" s="64" t="n">
        <x:f>Q475+AI475</x:f>
        <x:v>1950.715</x:v>
      </x:c>
      <x:c r="AL475" s="65" t="n">
        <x:f>AK475/Q475</x:f>
        <x:v>0.7046642512164549</x:v>
      </x:c>
      <x:c r="AM475" s="64" t="n">
        <x:f>AK475/L475</x:f>
        <x:v>390.143</x:v>
      </x:c>
      <x:c r="AN475" s="66" t="str">
        <x:f>IF(AM475&lt;=200,"≤200K",IF(AM475&lt;=350,"200–350K",IF(AM475&lt;=500,"350–500K",IF(AM475&lt;=700,"500–700K","&gt;700K"))))</x:f>
        <x:v>350–500K</x:v>
      </x:c>
      <x:c r="AO475" s="64" t="n">
        <x:f>-ROUND(Q475*'Drivers'!R475,3)</x:f>
        <x:v>-943.227</x:v>
      </x:c>
      <x:c r="AP475" s="64" t="n">
        <x:f>-ROUND(AK475*'Drivers'!S475,3)</x:f>
        <x:v>-31.505</x:v>
      </x:c>
      <x:c r="AQ475" s="64" t="n">
        <x:f>-ROUND(AK475*'Drivers'!T475,3)</x:f>
        <x:v>-8.353</x:v>
      </x:c>
      <x:c r="AR475" s="64" t="n">
        <x:f>-ROUND(AK475*'Drivers'!U475,3)</x:f>
        <x:v>-16.984</x:v>
      </x:c>
      <x:c r="AS475" s="64" t="n">
        <x:f>-ROUND(AK475*'Drivers'!V475,3)</x:f>
        <x:v>-71.022</x:v>
      </x:c>
      <x:c r="AT475" s="64" t="n">
        <x:f>SUM(AO475:AS475)</x:f>
        <x:v>-1071.091</x:v>
      </x:c>
      <x:c r="AU475" s="65" t="n">
        <x:f>AT475/AK475</x:f>
        <x:v>-0.5490761079911725</x:v>
      </x:c>
      <x:c r="AV475" s="64" t="n">
        <x:f>AK475+AT475</x:f>
        <x:v>879.624</x:v>
      </x:c>
      <x:c r="AW475" s="65" t="n">
        <x:f>AV475/AK475</x:f>
        <x:v>0.45092389200882754</x:v>
      </x:c>
      <x:c r="AX475" s="64" t="n">
        <x:f>-ROUND(AK475*'Drivers'!W475,3)</x:f>
        <x:v>-24.381</x:v>
      </x:c>
      <x:c r="AY475" s="64" t="n">
        <x:f>-ROUND(AK475*'Drivers'!X475,3)</x:f>
        <x:v>-35.779</x:v>
      </x:c>
      <x:c r="AZ475" s="64" t="n">
        <x:f>-ROUND(AK475*'Drivers'!Y475,3)</x:f>
        <x:v>-36.893</x:v>
      </x:c>
      <x:c r="BA475" s="64" t="n">
        <x:f>-ROUND(AK475*'Drivers'!Z475,3)</x:f>
        <x:v>-13.813</x:v>
      </x:c>
      <x:c r="BB475" s="64" t="n">
        <x:f>-ROUND(AK475*'Drivers'!AA475,3)</x:f>
        <x:v>-14.734</x:v>
      </x:c>
      <x:c r="BC475" s="64" t="n">
        <x:f>SUM(BA475,BB475)</x:f>
        <x:v>-28.547</x:v>
      </x:c>
      <x:c r="BD475" s="64" t="n">
        <x:f>-ROUND(AK475*'Drivers'!AB475,3)</x:f>
        <x:v>-7.26</x:v>
      </x:c>
      <x:c r="BE475" s="64" t="n">
        <x:f>SUM(AX475:BB475,BD475)</x:f>
        <x:v>-132.85999999999999</x:v>
      </x:c>
      <x:c r="BF475" s="67" t="n">
        <x:f>'Drivers'!AF475</x:f>
        <x:v>8</x:v>
      </x:c>
      <x:c r="BG475" s="64" t="n">
        <x:f>BJ475</x:f>
        <x:v>-39.375</x:v>
      </x:c>
      <x:c r="BH475" s="64" t="n">
        <x:f>BE475/BF475</x:f>
        <x:v>-16.607499999999998</x:v>
      </x:c>
      <x:c r="BI475" s="68" t="n">
        <x:f>BF475/L475</x:f>
        <x:v>1.6</x:v>
      </x:c>
      <x:c r="BJ475" s="64" t="n">
        <x:f>-ROUND(AK475*'Drivers'!AC475,3)</x:f>
        <x:v>-39.375</x:v>
      </x:c>
      <x:c r="BK475" s="64" t="n">
        <x:f>-ROUND(AK475*'Drivers'!AD475,3)</x:f>
        <x:v>-217.368</x:v>
      </x:c>
      <x:c r="BL475" s="64" t="n">
        <x:f>SUM(AV475,BE475,BJ475,BK475)</x:f>
        <x:v>490.021</x:v>
      </x:c>
      <x:c r="BM475" s="65" t="n">
        <x:f>BL475/AK475</x:f>
        <x:v>0.2512007135845062</x:v>
      </x:c>
      <x:c r="BN475" s="64" t="n">
        <x:f>-ROUND(AK475*'Drivers'!AE475,3)</x:f>
        <x:v>-138.892</x:v>
      </x:c>
      <x:c r="BO475" s="64" t="n">
        <x:f>BL475+BN475</x:f>
        <x:v>351.129</x:v>
      </x:c>
      <x:c r="BP475" s="65" t="n">
        <x:f>BO475/AK475</x:f>
        <x:v>0.18000015378976428</x:v>
      </x:c>
    </x:row>
    <x:row r="476">
      <x:c r="A476" s="61" t="n">
        <x:v>2026</x:v>
      </x:c>
      <x:c r="B476" s="18" t="str">
        <x:v>S1</x:v>
      </x:c>
      <x:c r="C476" s="18" t="str">
        <x:v>2026 S1</x:v>
      </x:c>
      <x:c r="D476" s="18" t="str">
        <x:v>CNCT0119</x:v>
      </x:c>
      <x:c r="E476" s="18" t="str">
        <x:v>厦门万象城</x:v>
      </x:c>
      <x:c r="F476" s="18" t="str">
        <x:v>厦门</x:v>
      </x:c>
      <x:c r="G476" s="18" t="str">
        <x:v>福建省</x:v>
      </x:c>
      <x:c r="H476" s="18" t="str">
        <x:v>东区</x:v>
      </x:c>
      <x:c r="I476" s="18" t="str">
        <x:v>Shopping Mall</x:v>
      </x:c>
      <x:c r="J476" s="18" t="str">
        <x:v>Prestige Shopping Center</x:v>
      </x:c>
      <x:c r="K476" s="18" t="str">
        <x:v>正常</x:v>
      </x:c>
      <x:c r="L476" s="62" t="n">
        <x:v>5</x:v>
      </x:c>
      <x:c r="M476" s="62" t="n">
        <x:v>40</x:v>
      </x:c>
      <x:c r="N476" s="63" t="n">
        <x:f>'Drivers'!C476</x:f>
        <x:v>2315</x:v>
      </x:c>
      <x:c r="O476" s="63" t="n">
        <x:f>'Drivers'!D476</x:f>
        <x:v>1233.161</x:v>
      </x:c>
      <x:c r="P476" s="64" t="n">
        <x:f>ROUND(N476*O476/1000,3)</x:f>
        <x:v>2854.768</x:v>
      </x:c>
      <x:c r="Q476" s="64" t="n">
        <x:f>ROUND(P476*'Drivers'!E476,3)</x:f>
        <x:v>2755.353</x:v>
      </x:c>
      <x:c r="R476" s="64" t="n">
        <x:f>-ROUND(Q476*'Drivers'!F476,3)</x:f>
        <x:v>-648.292</x:v>
      </x:c>
      <x:c r="S476" s="65" t="n">
        <x:f>R476/Q476</x:f>
        <x:v>-0.2352845533766454</x:v>
      </x:c>
      <x:c r="T476" s="64" t="n">
        <x:f>-ROUND(Q476*'Drivers'!G476,3)</x:f>
        <x:v>-41.38</x:v>
      </x:c>
      <x:c r="U476" s="65" t="n">
        <x:f>T476/Q476</x:f>
        <x:v>-0.01501803943088236</x:v>
      </x:c>
      <x:c r="V476" s="64" t="n">
        <x:f>-ROUND(Q476*'Drivers'!H476,3)</x:f>
        <x:v>-30.035</x:v>
      </x:c>
      <x:c r="W476" s="64" t="n">
        <x:f>-ROUND(Q476*'Drivers'!I476,3)</x:f>
        <x:v>-21.407</x:v>
      </x:c>
      <x:c r="X476" s="64" t="n">
        <x:f>-ROUND(Q476*'Drivers'!J476,3)</x:f>
        <x:v>-40.807</x:v>
      </x:c>
      <x:c r="Y476" s="64" t="n">
        <x:f>-ROUND(Q476*'Drivers'!K476,3)</x:f>
        <x:v>-25.245</x:v>
      </x:c>
      <x:c r="Z476" s="64" t="n">
        <x:f>-ROUND(Q476*'Drivers'!L476,3)</x:f>
        <x:v>-35.875</x:v>
      </x:c>
      <x:c r="AA476" s="64" t="n">
        <x:f>-ROUND(Q476*'Drivers'!M476,3)</x:f>
        <x:v>-18.675</x:v>
      </x:c>
      <x:c r="AB476" s="64" t="n">
        <x:f>-ROUND(Q476*'Drivers'!N476,3)</x:f>
        <x:v>-19.844</x:v>
      </x:c>
      <x:c r="AC476" s="64" t="n">
        <x:f>SUM(V476:AB476)</x:f>
        <x:v>-191.888</x:v>
      </x:c>
      <x:c r="AD476" s="65" t="n">
        <x:f>AC476/Q476</x:f>
        <x:v>-0.06964189343434399</x:v>
      </x:c>
      <x:c r="AE476" s="64" t="n">
        <x:f>-ROUND(Q476*'Drivers'!O476,3)</x:f>
        <x:v>-41.175</x:v>
      </x:c>
      <x:c r="AF476" s="65" t="n">
        <x:f>AE476/Q476</x:f>
        <x:v>-0.0149436388005457</x:v>
      </x:c>
      <x:c r="AG476" s="64" t="n">
        <x:f>-ROUND(Q476*'Drivers'!P476,3)</x:f>
        <x:v>-5.066</x:v>
      </x:c>
      <x:c r="AH476" s="64" t="n">
        <x:f>-ROUND(Q476*'Drivers'!Q476,3)</x:f>
        <x:v>-3.848</x:v>
      </x:c>
      <x:c r="AI476" s="64" t="n">
        <x:f>SUM(R476,T476,AC476,AE476,AG476,AH476)</x:f>
        <x:v>-931.649</x:v>
      </x:c>
      <x:c r="AJ476" s="65" t="n">
        <x:f>AI476/Q476</x:f>
        <x:v>-0.33812328220739774</x:v>
      </x:c>
      <x:c r="AK476" s="64" t="n">
        <x:f>Q476+AI476</x:f>
        <x:v>1823.7040000000002</x:v>
      </x:c>
      <x:c r="AL476" s="65" t="n">
        <x:f>AK476/Q476</x:f>
        <x:v>0.6618767177926023</x:v>
      </x:c>
      <x:c r="AM476" s="64" t="n">
        <x:f>AK476/L476</x:f>
        <x:v>364.74080000000004</x:v>
      </x:c>
      <x:c r="AN476" s="66" t="str">
        <x:f>IF(AM476&lt;=200,"≤200K",IF(AM476&lt;=350,"200–350K",IF(AM476&lt;=500,"350–500K",IF(AM476&lt;=700,"500–700K","&gt;700K"))))</x:f>
        <x:v>350–500K</x:v>
      </x:c>
      <x:c r="AO476" s="64" t="n">
        <x:f>-ROUND(Q476*'Drivers'!R476,3)</x:f>
        <x:v>-998.254</x:v>
      </x:c>
      <x:c r="AP476" s="64" t="n">
        <x:f>-ROUND(AK476*'Drivers'!S476,3)</x:f>
        <x:v>-29.454</x:v>
      </x:c>
      <x:c r="AQ476" s="64" t="n">
        <x:f>-ROUND(AK476*'Drivers'!T476,3)</x:f>
        <x:v>-7.809</x:v>
      </x:c>
      <x:c r="AR476" s="64" t="n">
        <x:f>-ROUND(AK476*'Drivers'!U476,3)</x:f>
        <x:v>-15.879</x:v>
      </x:c>
      <x:c r="AS476" s="64" t="n">
        <x:f>-ROUND(AK476*'Drivers'!V476,3)</x:f>
        <x:v>-66.398</x:v>
      </x:c>
      <x:c r="AT476" s="64" t="n">
        <x:f>SUM(AO476:AS476)</x:f>
        <x:v>-1117.7939999999999</x:v>
      </x:c>
      <x:c r="AU476" s="65" t="n">
        <x:f>AT476/AK476</x:f>
        <x:v>-0.6129251238139521</x:v>
      </x:c>
      <x:c r="AV476" s="64" t="n">
        <x:f>AK476+AT476</x:f>
        <x:v>705.9100000000003</x:v>
      </x:c>
      <x:c r="AW476" s="65" t="n">
        <x:f>AV476/AK476</x:f>
        <x:v>0.38707487618604786</x:v>
      </x:c>
      <x:c r="AX476" s="64" t="n">
        <x:f>-ROUND(AK476*'Drivers'!W476,3)</x:f>
        <x:v>-28.047</x:v>
      </x:c>
      <x:c r="AY476" s="64" t="n">
        <x:f>-ROUND(AK476*'Drivers'!X476,3)</x:f>
        <x:v>-41.158</x:v>
      </x:c>
      <x:c r="AZ476" s="64" t="n">
        <x:f>-ROUND(AK476*'Drivers'!Y476,3)</x:f>
        <x:v>-42.439</x:v>
      </x:c>
      <x:c r="BA476" s="64" t="n">
        <x:f>-ROUND(AK476*'Drivers'!Z476,3)</x:f>
        <x:v>-15.89</x:v>
      </x:c>
      <x:c r="BB476" s="64" t="n">
        <x:f>-ROUND(AK476*'Drivers'!AA476,3)</x:f>
        <x:v>-16.949</x:v>
      </x:c>
      <x:c r="BC476" s="64" t="n">
        <x:f>SUM(BA476,BB476)</x:f>
        <x:v>-32.839</x:v>
      </x:c>
      <x:c r="BD476" s="64" t="n">
        <x:f>-ROUND(AK476*'Drivers'!AB476,3)</x:f>
        <x:v>-8.351</x:v>
      </x:c>
      <x:c r="BE476" s="64" t="n">
        <x:f>SUM(AX476:BB476,BD476)</x:f>
        <x:v>-152.834</x:v>
      </x:c>
      <x:c r="BF476" s="67" t="n">
        <x:f>'Drivers'!AF476</x:f>
        <x:v>8</x:v>
      </x:c>
      <x:c r="BG476" s="64" t="n">
        <x:f>BJ476</x:f>
        <x:v>-45.294</x:v>
      </x:c>
      <x:c r="BH476" s="64" t="n">
        <x:f>BE476/BF476</x:f>
        <x:v>-19.10425</x:v>
      </x:c>
      <x:c r="BI476" s="68" t="n">
        <x:f>BF476/L476</x:f>
        <x:v>1.6</x:v>
      </x:c>
      <x:c r="BJ476" s="64" t="n">
        <x:f>-ROUND(AK476*'Drivers'!AC476,3)</x:f>
        <x:v>-45.294</x:v>
      </x:c>
      <x:c r="BK476" s="64" t="n">
        <x:f>-ROUND(AK476*'Drivers'!AD476,3)</x:f>
        <x:v>-203.215</x:v>
      </x:c>
      <x:c r="BL476" s="64" t="n">
        <x:f>SUM(AV476,BE476,BJ476,BK476)</x:f>
        <x:v>304.56700000000023</x:v>
      </x:c>
      <x:c r="BM476" s="65" t="n">
        <x:f>BL476/AK476</x:f>
        <x:v>0.16700462355733178</x:v>
      </x:c>
      <x:c r="BN476" s="64" t="n">
        <x:f>-ROUND(AK476*'Drivers'!AE476,3)</x:f>
        <x:v>-129.533</x:v>
      </x:c>
      <x:c r="BO476" s="64" t="n">
        <x:f>BL476+BN476</x:f>
        <x:v>175.03400000000025</x:v>
      </x:c>
      <x:c r="BP476" s="65" t="n">
        <x:f>BO476/AK476</x:f>
        <x:v>0.0959771980540703</x:v>
      </x:c>
    </x:row>
    <x:row r="477">
      <x:c r="A477" s="61" t="n">
        <x:v>2026</x:v>
      </x:c>
      <x:c r="B477" s="18" t="str">
        <x:v>S2</x:v>
      </x:c>
      <x:c r="C477" s="18" t="str">
        <x:v>2026 S2</x:v>
      </x:c>
      <x:c r="D477" s="18" t="str">
        <x:v>CNCT0119</x:v>
      </x:c>
      <x:c r="E477" s="18" t="str">
        <x:v>厦门万象城</x:v>
      </x:c>
      <x:c r="F477" s="18" t="str">
        <x:v>厦门</x:v>
      </x:c>
      <x:c r="G477" s="18" t="str">
        <x:v>福建省</x:v>
      </x:c>
      <x:c r="H477" s="18" t="str">
        <x:v>东区</x:v>
      </x:c>
      <x:c r="I477" s="18" t="str">
        <x:v>Shopping Mall</x:v>
      </x:c>
      <x:c r="J477" s="18" t="str">
        <x:v>Prestige Shopping Center</x:v>
      </x:c>
      <x:c r="K477" s="18" t="str">
        <x:v>正常</x:v>
      </x:c>
      <x:c r="L477" s="62" t="n">
        <x:v>5</x:v>
      </x:c>
      <x:c r="M477" s="62" t="n">
        <x:v>40</x:v>
      </x:c>
      <x:c r="N477" s="63" t="n">
        <x:f>'Drivers'!C477</x:f>
        <x:v>2481</x:v>
      </x:c>
      <x:c r="O477" s="63" t="n">
        <x:f>'Drivers'!D477</x:f>
        <x:v>1226.401</x:v>
      </x:c>
      <x:c r="P477" s="64" t="n">
        <x:f>ROUND(N477*O477/1000,3)</x:f>
        <x:v>3042.701</x:v>
      </x:c>
      <x:c r="Q477" s="64" t="n">
        <x:f>ROUND(P477*'Drivers'!E477,3)</x:f>
        <x:v>2972.013</x:v>
      </x:c>
      <x:c r="R477" s="64" t="n">
        <x:f>-ROUND(Q477*'Drivers'!F477,3)</x:f>
        <x:v>-688.652</x:v>
      </x:c>
      <x:c r="S477" s="65" t="n">
        <x:f>R477/Q477</x:f>
        <x:v>-0.23171231081425286</x:v>
      </x:c>
      <x:c r="T477" s="64" t="n">
        <x:f>-ROUND(Q477*'Drivers'!G477,3)</x:f>
        <x:v>-55.247</x:v>
      </x:c>
      <x:c r="U477" s="65" t="n">
        <x:f>T477/Q477</x:f>
        <x:v>-0.01858908423348081</x:v>
      </x:c>
      <x:c r="V477" s="64" t="n">
        <x:f>-ROUND(Q477*'Drivers'!H477,3)</x:f>
        <x:v>-32.396</x:v>
      </x:c>
      <x:c r="W477" s="64" t="n">
        <x:f>-ROUND(Q477*'Drivers'!I477,3)</x:f>
        <x:v>-23.091</x:v>
      </x:c>
      <x:c r="X477" s="64" t="n">
        <x:f>-ROUND(Q477*'Drivers'!J477,3)</x:f>
        <x:v>-44.016</x:v>
      </x:c>
      <x:c r="Y477" s="64" t="n">
        <x:f>-ROUND(Q477*'Drivers'!K477,3)</x:f>
        <x:v>-27.23</x:v>
      </x:c>
      <x:c r="Z477" s="64" t="n">
        <x:f>-ROUND(Q477*'Drivers'!L477,3)</x:f>
        <x:v>-38.696</x:v>
      </x:c>
      <x:c r="AA477" s="64" t="n">
        <x:f>-ROUND(Q477*'Drivers'!M477,3)</x:f>
        <x:v>-20.143</x:v>
      </x:c>
      <x:c r="AB477" s="64" t="n">
        <x:f>-ROUND(Q477*'Drivers'!N477,3)</x:f>
        <x:v>-21.404</x:v>
      </x:c>
      <x:c r="AC477" s="64" t="n">
        <x:f>SUM(V477:AB477)</x:f>
        <x:v>-206.976</x:v>
      </x:c>
      <x:c r="AD477" s="65" t="n">
        <x:f>AC477/Q477</x:f>
        <x:v>-0.06964168730082944</x:v>
      </x:c>
      <x:c r="AE477" s="64" t="n">
        <x:f>-ROUND(Q477*'Drivers'!O477,3)</x:f>
        <x:v>-39.017</x:v>
      </x:c>
      <x:c r="AF477" s="65" t="n">
        <x:f>AE477/Q477</x:f>
        <x:v>-0.013128139076107676</x:v>
      </x:c>
      <x:c r="AG477" s="64" t="n">
        <x:f>-ROUND(Q477*'Drivers'!P477,3)</x:f>
        <x:v>-5.464</x:v>
      </x:c>
      <x:c r="AH477" s="64" t="n">
        <x:f>-ROUND(Q477*'Drivers'!Q477,3)</x:f>
        <x:v>-4.151</x:v>
      </x:c>
      <x:c r="AI477" s="64" t="n">
        <x:f>SUM(R477,T477,AC477,AE477,AG477,AH477)</x:f>
        <x:v>-999.5070000000001</x:v>
      </x:c>
      <x:c r="AJ477" s="65" t="n">
        <x:f>AI477/Q477</x:f>
        <x:v>-0.3363064024282532</x:v>
      </x:c>
      <x:c r="AK477" s="64" t="n">
        <x:f>Q477+AI477</x:f>
        <x:v>1972.5059999999999</x:v>
      </x:c>
      <x:c r="AL477" s="65" t="n">
        <x:f>AK477/Q477</x:f>
        <x:v>0.6636935975717468</x:v>
      </x:c>
      <x:c r="AM477" s="64" t="n">
        <x:f>AK477/L477</x:f>
        <x:v>394.5012</x:v>
      </x:c>
      <x:c r="AN477" s="66" t="str">
        <x:f>IF(AM477&lt;=200,"≤200K",IF(AM477&lt;=350,"200–350K",IF(AM477&lt;=500,"350–500K",IF(AM477&lt;=700,"500–700K","&gt;700K"))))</x:f>
        <x:v>350–500K</x:v>
      </x:c>
      <x:c r="AO477" s="64" t="n">
        <x:f>-ROUND(Q477*'Drivers'!R477,3)</x:f>
        <x:v>-1012.641</x:v>
      </x:c>
      <x:c r="AP477" s="64" t="n">
        <x:f>-ROUND(AK477*'Drivers'!S477,3)</x:f>
        <x:v>-31.857</x:v>
      </x:c>
      <x:c r="AQ477" s="64" t="n">
        <x:f>-ROUND(AK477*'Drivers'!T477,3)</x:f>
        <x:v>-8.446</x:v>
      </x:c>
      <x:c r="AR477" s="64" t="n">
        <x:f>-ROUND(AK477*'Drivers'!U477,3)</x:f>
        <x:v>-17.174</x:v>
      </x:c>
      <x:c r="AS477" s="64" t="n">
        <x:f>-ROUND(AK477*'Drivers'!V477,3)</x:f>
        <x:v>-71.816</x:v>
      </x:c>
      <x:c r="AT477" s="64" t="n">
        <x:f>SUM(AO477:AS477)</x:f>
        <x:v>-1141.934</x:v>
      </x:c>
      <x:c r="AU477" s="65" t="n">
        <x:f>AT477/AK477</x:f>
        <x:v>-0.5789254886930636</x:v>
      </x:c>
      <x:c r="AV477" s="64" t="n">
        <x:f>AK477+AT477</x:f>
        <x:v>830.5719999999999</x:v>
      </x:c>
      <x:c r="AW477" s="65" t="n">
        <x:f>AV477/AK477</x:f>
        <x:v>0.4210745113069364</x:v>
      </x:c>
      <x:c r="AX477" s="64" t="n">
        <x:f>-ROUND(AK477*'Drivers'!W477,3)</x:f>
        <x:v>-26.133</x:v>
      </x:c>
      <x:c r="AY477" s="64" t="n">
        <x:f>-ROUND(AK477*'Drivers'!X477,3)</x:f>
        <x:v>-38.35</x:v>
      </x:c>
      <x:c r="AZ477" s="64" t="n">
        <x:f>-ROUND(AK477*'Drivers'!Y477,3)</x:f>
        <x:v>-39.543</x:v>
      </x:c>
      <x:c r="BA477" s="64" t="n">
        <x:f>-ROUND(AK477*'Drivers'!Z477,3)</x:f>
        <x:v>-14.805</x:v>
      </x:c>
      <x:c r="BB477" s="64" t="n">
        <x:f>-ROUND(AK477*'Drivers'!AA477,3)</x:f>
        <x:v>-15.793</x:v>
      </x:c>
      <x:c r="BC477" s="64" t="n">
        <x:f>SUM(BA477,BB477)</x:f>
        <x:v>-30.598</x:v>
      </x:c>
      <x:c r="BD477" s="64" t="n">
        <x:f>-ROUND(AK477*'Drivers'!AB477,3)</x:f>
        <x:v>-7.781</x:v>
      </x:c>
      <x:c r="BE477" s="64" t="n">
        <x:f>SUM(AX477:BB477,BD477)</x:f>
        <x:v>-142.40500000000003</x:v>
      </x:c>
      <x:c r="BF477" s="67" t="n">
        <x:f>'Drivers'!AF477</x:f>
        <x:v>8</x:v>
      </x:c>
      <x:c r="BG477" s="64" t="n">
        <x:f>BJ477</x:f>
        <x:v>-42.204</x:v>
      </x:c>
      <x:c r="BH477" s="64" t="n">
        <x:f>BE477/BF477</x:f>
        <x:v>-17.800625000000004</x:v>
      </x:c>
      <x:c r="BI477" s="68" t="n">
        <x:f>BF477/L477</x:f>
        <x:v>1.6</x:v>
      </x:c>
      <x:c r="BJ477" s="64" t="n">
        <x:f>-ROUND(AK477*'Drivers'!AC477,3)</x:f>
        <x:v>-42.204</x:v>
      </x:c>
      <x:c r="BK477" s="64" t="n">
        <x:f>-ROUND(AK477*'Drivers'!AD477,3)</x:f>
        <x:v>-219.796</x:v>
      </x:c>
      <x:c r="BL477" s="64" t="n">
        <x:f>SUM(AV477,BE477,BJ477,BK477)</x:f>
        <x:v>426.167</x:v>
      </x:c>
      <x:c r="BM477" s="65" t="n">
        <x:f>BL477/AK477</x:f>
        <x:v>0.21605358868363392</x:v>
      </x:c>
      <x:c r="BN477" s="64" t="n">
        <x:f>-ROUND(AK477*'Drivers'!AE477,3)</x:f>
        <x:v>-140.444</x:v>
      </x:c>
      <x:c r="BO477" s="64" t="n">
        <x:f>BL477+BN477</x:f>
        <x:v>285.72299999999996</x:v>
      </x:c>
      <x:c r="BP477" s="65" t="n">
        <x:f>BO477/AK477</x:f>
        <x:v>0.14485279132230774</x:v>
      </x:c>
    </x:row>
    <x:row r="478">
      <x:c r="A478" s="61" t="n">
        <x:v>2025</x:v>
      </x:c>
      <x:c r="B478" s="18" t="str">
        <x:v>S1</x:v>
      </x:c>
      <x:c r="C478" s="18" t="str">
        <x:v>2025 S1</x:v>
      </x:c>
      <x:c r="D478" s="18" t="str">
        <x:v>CNCT0120</x:v>
      </x:c>
      <x:c r="E478" s="18" t="str">
        <x:v>厦门SM城市广场</x:v>
      </x:c>
      <x:c r="F478" s="18" t="str">
        <x:v>厦门</x:v>
      </x:c>
      <x:c r="G478" s="18" t="str">
        <x:v>福建省</x:v>
      </x:c>
      <x:c r="H478" s="18" t="str">
        <x:v>东区</x:v>
      </x:c>
      <x:c r="I478" s="18" t="str">
        <x:v>Shopping Mall</x:v>
      </x:c>
      <x:c r="J478" s="18" t="str">
        <x:v>Core Shopping Center</x:v>
      </x:c>
      <x:c r="K478" s="18" t="str">
        <x:v>正常</x:v>
      </x:c>
      <x:c r="L478" s="62" t="n">
        <x:v>4</x:v>
      </x:c>
      <x:c r="M478" s="62" t="n">
        <x:v>40</x:v>
      </x:c>
      <x:c r="N478" s="63" t="n">
        <x:f>'Drivers'!C478</x:f>
        <x:v>1583</x:v>
      </x:c>
      <x:c r="O478" s="63" t="n">
        <x:f>'Drivers'!D478</x:f>
        <x:v>1019.52</x:v>
      </x:c>
      <x:c r="P478" s="64" t="n">
        <x:f>ROUND(N478*O478/1000,3)</x:f>
        <x:v>1613.9</x:v>
      </x:c>
      <x:c r="Q478" s="64" t="n">
        <x:f>ROUND(P478*'Drivers'!E478,3)</x:f>
        <x:v>1570.948</x:v>
      </x:c>
      <x:c r="R478" s="64" t="n">
        <x:f>-ROUND(Q478*'Drivers'!F478,3)</x:f>
        <x:v>-284.011</x:v>
      </x:c>
      <x:c r="S478" s="65" t="n">
        <x:f>R478/Q478</x:f>
        <x:v>-0.18078956146225084</x:v>
      </x:c>
      <x:c r="T478" s="64" t="n">
        <x:f>-ROUND(Q478*'Drivers'!G478,3)</x:f>
        <x:v>-26.832</x:v>
      </x:c>
      <x:c r="U478" s="65" t="n">
        <x:f>T478/Q478</x:f>
        <x:v>-0.017080132505977282</x:v>
      </x:c>
      <x:c r="V478" s="64" t="n">
        <x:f>-ROUND(Q478*'Drivers'!H478,3)</x:f>
        <x:v>-16.674</x:v>
      </x:c>
      <x:c r="W478" s="64" t="n">
        <x:f>-ROUND(Q478*'Drivers'!I478,3)</x:f>
        <x:v>-9.112</x:v>
      </x:c>
      <x:c r="X478" s="64" t="n">
        <x:f>-ROUND(Q478*'Drivers'!J478,3)</x:f>
        <x:v>-15.807</x:v>
      </x:c>
      <x:c r="Y478" s="64" t="n">
        <x:f>-ROUND(Q478*'Drivers'!K478,3)</x:f>
        <x:v>-13.233</x:v>
      </x:c>
      <x:c r="Z478" s="64" t="n">
        <x:f>-ROUND(Q478*'Drivers'!L478,3)</x:f>
        <x:v>-17.264</x:v>
      </x:c>
      <x:c r="AA478" s="64" t="n">
        <x:f>-ROUND(Q478*'Drivers'!M478,3)</x:f>
        <x:v>-9.478</x:v>
      </x:c>
      <x:c r="AB478" s="64" t="n">
        <x:f>-ROUND(Q478*'Drivers'!N478,3)</x:f>
        <x:v>-12.714</x:v>
      </x:c>
      <x:c r="AC478" s="64" t="n">
        <x:f>SUM(V478:AB478)</x:f>
        <x:v>-94.282</x:v>
      </x:c>
      <x:c r="AD478" s="65" t="n">
        <x:f>AC478/Q478</x:f>
        <x:v>-0.060015990344683585</x:v>
      </x:c>
      <x:c r="AE478" s="64" t="n">
        <x:f>-ROUND(Q478*'Drivers'!O478,3)</x:f>
        <x:v>-10.139</x:v>
      </x:c>
      <x:c r="AF478" s="65" t="n">
        <x:f>AE478/Q478</x:f>
        <x:v>-0.006454064679416505</x:v>
      </x:c>
      <x:c r="AG478" s="64" t="n">
        <x:f>-ROUND(Q478*'Drivers'!P478,3)</x:f>
        <x:v>-0.439</x:v>
      </x:c>
      <x:c r="AH478" s="64" t="n">
        <x:f>-ROUND(Q478*'Drivers'!Q478,3)</x:f>
        <x:v>-5.421</x:v>
      </x:c>
      <x:c r="AI478" s="64" t="n">
        <x:f>SUM(R478,T478,AC478,AE478,AG478,AH478)</x:f>
        <x:v>-421.124</x:v>
      </x:c>
      <x:c r="AJ478" s="65" t="n">
        <x:f>AI478/Q478</x:f>
        <x:v>-0.26806998067408977</x:v>
      </x:c>
      <x:c r="AK478" s="64" t="n">
        <x:f>Q478+AI478</x:f>
        <x:v>1149.824</x:v>
      </x:c>
      <x:c r="AL478" s="65" t="n">
        <x:f>AK478/Q478</x:f>
        <x:v>0.7319300193259102</x:v>
      </x:c>
      <x:c r="AM478" s="64" t="n">
        <x:f>AK478/L478</x:f>
        <x:v>287.456</x:v>
      </x:c>
      <x:c r="AN478" s="66" t="str">
        <x:f>IF(AM478&lt;=200,"≤200K",IF(AM478&lt;=350,"200–350K",IF(AM478&lt;=500,"350–500K",IF(AM478&lt;=700,"500–700K","&gt;700K"))))</x:f>
        <x:v>200–350K</x:v>
      </x:c>
      <x:c r="AO478" s="64" t="n">
        <x:f>-ROUND(Q478*'Drivers'!R478,3)</x:f>
        <x:v>-571.498</x:v>
      </x:c>
      <x:c r="AP478" s="64" t="n">
        <x:f>-ROUND(AK478*'Drivers'!S478,3)</x:f>
        <x:v>-13.204</x:v>
      </x:c>
      <x:c r="AQ478" s="64" t="n">
        <x:f>-ROUND(AK478*'Drivers'!T478,3)</x:f>
        <x:v>-7.695</x:v>
      </x:c>
      <x:c r="AR478" s="64" t="n">
        <x:f>-ROUND(AK478*'Drivers'!U478,3)</x:f>
        <x:v>-12.044</x:v>
      </x:c>
      <x:c r="AS478" s="64" t="n">
        <x:f>-ROUND(AK478*'Drivers'!V478,3)</x:f>
        <x:v>-39.748</x:v>
      </x:c>
      <x:c r="AT478" s="64" t="n">
        <x:f>SUM(AO478:AS478)</x:f>
        <x:v>-644.1890000000001</x:v>
      </x:c>
      <x:c r="AU478" s="65" t="n">
        <x:f>AT478/AK478</x:f>
        <x:v>-0.5602500904486252</x:v>
      </x:c>
      <x:c r="AV478" s="64" t="n">
        <x:f>AK478+AT478</x:f>
        <x:v>505.635</x:v>
      </x:c>
      <x:c r="AW478" s="65" t="n">
        <x:f>AV478/AK478</x:f>
        <x:v>0.4397499095513748</x:v>
      </x:c>
      <x:c r="AX478" s="64" t="n">
        <x:f>-ROUND(AK478*'Drivers'!W478,3)</x:f>
        <x:v>-10.724</x:v>
      </x:c>
      <x:c r="AY478" s="64" t="n">
        <x:f>-ROUND(AK478*'Drivers'!X478,3)</x:f>
        <x:v>-27.722</x:v>
      </x:c>
      <x:c r="AZ478" s="64" t="n">
        <x:f>-ROUND(AK478*'Drivers'!Y478,3)</x:f>
        <x:v>-16.125</x:v>
      </x:c>
      <x:c r="BA478" s="64" t="n">
        <x:f>-ROUND(AK478*'Drivers'!Z478,3)</x:f>
        <x:v>-8.699</x:v>
      </x:c>
      <x:c r="BB478" s="64" t="n">
        <x:f>-ROUND(AK478*'Drivers'!AA478,3)</x:f>
        <x:v>-8.309</x:v>
      </x:c>
      <x:c r="BC478" s="64" t="n">
        <x:f>SUM(BA478,BB478)</x:f>
        <x:v>-17.008</x:v>
      </x:c>
      <x:c r="BD478" s="64" t="n">
        <x:f>-ROUND(AK478*'Drivers'!AB478,3)</x:f>
        <x:v>-3.836</x:v>
      </x:c>
      <x:c r="BE478" s="64" t="n">
        <x:f>SUM(AX478:BB478,BD478)</x:f>
        <x:v>-75.41499999999999</x:v>
      </x:c>
      <x:c r="BF478" s="67" t="n">
        <x:f>'Drivers'!AF478</x:f>
        <x:v>7</x:v>
      </x:c>
      <x:c r="BG478" s="64" t="n">
        <x:f>BJ478</x:f>
        <x:v>-22.818</x:v>
      </x:c>
      <x:c r="BH478" s="64" t="n">
        <x:f>BE478/BF478</x:f>
        <x:v>-10.773571428571428</x:v>
      </x:c>
      <x:c r="BI478" s="68" t="n">
        <x:f>BF478/L478</x:f>
        <x:v>1.75</x:v>
      </x:c>
      <x:c r="BJ478" s="64" t="n">
        <x:f>-ROUND(AK478*'Drivers'!AC478,3)</x:f>
        <x:v>-22.818</x:v>
      </x:c>
      <x:c r="BK478" s="64" t="n">
        <x:f>-ROUND(AK478*'Drivers'!AD478,3)</x:f>
        <x:v>-100.009</x:v>
      </x:c>
      <x:c r="BL478" s="64" t="n">
        <x:f>SUM(AV478,BE478,BJ478,BK478)</x:f>
        <x:v>307.39300000000003</x:v>
      </x:c>
      <x:c r="BM478" s="65" t="n">
        <x:f>BL478/AK478</x:f>
        <x:v>0.2673391753868418</x:v>
      </x:c>
      <x:c r="BN478" s="64" t="n">
        <x:f>-ROUND(AK478*'Drivers'!AE478,3)</x:f>
        <x:v>-100.425</x:v>
      </x:c>
      <x:c r="BO478" s="64" t="n">
        <x:f>BL478+BN478</x:f>
        <x:v>206.96800000000002</x:v>
      </x:c>
      <x:c r="BP478" s="65" t="n">
        <x:f>BO478/AK478</x:f>
        <x:v>0.1799997216965379</x:v>
      </x:c>
    </x:row>
    <x:row r="479">
      <x:c r="A479" s="61" t="n">
        <x:v>2025</x:v>
      </x:c>
      <x:c r="B479" s="18" t="str">
        <x:v>S2</x:v>
      </x:c>
      <x:c r="C479" s="18" t="str">
        <x:v>2025 S2</x:v>
      </x:c>
      <x:c r="D479" s="18" t="str">
        <x:v>CNCT0120</x:v>
      </x:c>
      <x:c r="E479" s="18" t="str">
        <x:v>厦门SM城市广场</x:v>
      </x:c>
      <x:c r="F479" s="18" t="str">
        <x:v>厦门</x:v>
      </x:c>
      <x:c r="G479" s="18" t="str">
        <x:v>福建省</x:v>
      </x:c>
      <x:c r="H479" s="18" t="str">
        <x:v>东区</x:v>
      </x:c>
      <x:c r="I479" s="18" t="str">
        <x:v>Shopping Mall</x:v>
      </x:c>
      <x:c r="J479" s="18" t="str">
        <x:v>Core Shopping Center</x:v>
      </x:c>
      <x:c r="K479" s="18" t="str">
        <x:v>正常</x:v>
      </x:c>
      <x:c r="L479" s="62" t="n">
        <x:v>4</x:v>
      </x:c>
      <x:c r="M479" s="62" t="n">
        <x:v>40</x:v>
      </x:c>
      <x:c r="N479" s="63" t="n">
        <x:f>'Drivers'!C479</x:f>
        <x:v>1703</x:v>
      </x:c>
      <x:c r="O479" s="63" t="n">
        <x:f>'Drivers'!D479</x:f>
        <x:v>1031.754</x:v>
      </x:c>
      <x:c r="P479" s="64" t="n">
        <x:f>ROUND(N479*O479/1000,3)</x:f>
        <x:v>1757.077</x:v>
      </x:c>
      <x:c r="Q479" s="64" t="n">
        <x:f>ROUND(P479*'Drivers'!E479,3)</x:f>
        <x:v>1713.362</x:v>
      </x:c>
      <x:c r="R479" s="64" t="n">
        <x:f>-ROUND(Q479*'Drivers'!F479,3)</x:f>
        <x:v>-309.758</x:v>
      </x:c>
      <x:c r="S479" s="65" t="n">
        <x:f>R479/Q479</x:f>
        <x:v>-0.1807895821198322</x:v>
      </x:c>
      <x:c r="T479" s="64" t="n">
        <x:f>-ROUND(Q479*'Drivers'!G479,3)</x:f>
        <x:v>-29.264</x:v>
      </x:c>
      <x:c r="U479" s="65" t="n">
        <x:f>T479/Q479</x:f>
        <x:v>-0.017079869869881553</x:v>
      </x:c>
      <x:c r="V479" s="64" t="n">
        <x:f>-ROUND(Q479*'Drivers'!H479,3)</x:f>
        <x:v>-18.186</x:v>
      </x:c>
      <x:c r="W479" s="64" t="n">
        <x:f>-ROUND(Q479*'Drivers'!I479,3)</x:f>
        <x:v>-9.939</x:v>
      </x:c>
      <x:c r="X479" s="64" t="n">
        <x:f>-ROUND(Q479*'Drivers'!J479,3)</x:f>
        <x:v>-17.24</x:v>
      </x:c>
      <x:c r="Y479" s="64" t="n">
        <x:f>-ROUND(Q479*'Drivers'!K479,3)</x:f>
        <x:v>-14.432</x:v>
      </x:c>
      <x:c r="Z479" s="64" t="n">
        <x:f>-ROUND(Q479*'Drivers'!L479,3)</x:f>
        <x:v>-18.829</x:v>
      </x:c>
      <x:c r="AA479" s="64" t="n">
        <x:f>-ROUND(Q479*'Drivers'!M479,3)</x:f>
        <x:v>-10.337</x:v>
      </x:c>
      <x:c r="AB479" s="64" t="n">
        <x:f>-ROUND(Q479*'Drivers'!N479,3)</x:f>
        <x:v>-13.867</x:v>
      </x:c>
      <x:c r="AC479" s="64" t="n">
        <x:f>SUM(V479:AB479)</x:f>
        <x:v>-102.83000000000001</x:v>
      </x:c>
      <x:c r="AD479" s="65" t="n">
        <x:f>AC479/Q479</x:f>
        <x:v>-0.060016505560412804</x:v>
      </x:c>
      <x:c r="AE479" s="64" t="n">
        <x:f>-ROUND(Q479*'Drivers'!O479,3)</x:f>
        <x:v>-11.058</x:v>
      </x:c>
      <x:c r="AF479" s="65" t="n">
        <x:f>AE479/Q479</x:f>
        <x:v>-0.006453977618273312</x:v>
      </x:c>
      <x:c r="AG479" s="64" t="n">
        <x:f>-ROUND(Q479*'Drivers'!P479,3)</x:f>
        <x:v>-0.478</x:v>
      </x:c>
      <x:c r="AH479" s="64" t="n">
        <x:f>-ROUND(Q479*'Drivers'!Q479,3)</x:f>
        <x:v>-5.913</x:v>
      </x:c>
      <x:c r="AI479" s="64" t="n">
        <x:f>SUM(R479,T479,AC479,AE479,AG479,AH479)</x:f>
        <x:v>-459.301</x:v>
      </x:c>
      <x:c r="AJ479" s="65" t="n">
        <x:f>AI479/Q479</x:f>
        <x:v>-0.26807002840030303</x:v>
      </x:c>
      <x:c r="AK479" s="64" t="n">
        <x:f>Q479+AI479</x:f>
        <x:v>1254.0610000000001</x:v>
      </x:c>
      <x:c r="AL479" s="65" t="n">
        <x:f>AK479/Q479</x:f>
        <x:v>0.731929971599697</x:v>
      </x:c>
      <x:c r="AM479" s="64" t="n">
        <x:f>AK479/L479</x:f>
        <x:v>313.51525000000004</x:v>
      </x:c>
      <x:c r="AN479" s="66" t="str">
        <x:f>IF(AM479&lt;=200,"≤200K",IF(AM479&lt;=350,"200–350K",IF(AM479&lt;=500,"350–500K",IF(AM479&lt;=700,"500–700K","&gt;700K"))))</x:f>
        <x:v>200–350K</x:v>
      </x:c>
      <x:c r="AO479" s="64" t="n">
        <x:f>-ROUND(Q479*'Drivers'!R479,3)</x:f>
        <x:v>-621.043</x:v>
      </x:c>
      <x:c r="AP479" s="64" t="n">
        <x:f>-ROUND(AK479*'Drivers'!S479,3)</x:f>
        <x:v>-14.401</x:v>
      </x:c>
      <x:c r="AQ479" s="64" t="n">
        <x:f>-ROUND(AK479*'Drivers'!T479,3)</x:f>
        <x:v>-8.392</x:v>
      </x:c>
      <x:c r="AR479" s="64" t="n">
        <x:f>-ROUND(AK479*'Drivers'!U479,3)</x:f>
        <x:v>-13.136</x:v>
      </x:c>
      <x:c r="AS479" s="64" t="n">
        <x:f>-ROUND(AK479*'Drivers'!V479,3)</x:f>
        <x:v>-43.351</x:v>
      </x:c>
      <x:c r="AT479" s="64" t="n">
        <x:f>SUM(AO479:AS479)</x:f>
        <x:v>-700.323</x:v>
      </x:c>
      <x:c r="AU479" s="65" t="n">
        <x:f>AT479/AK479</x:f>
        <x:v>-0.5584441267211083</x:v>
      </x:c>
      <x:c r="AV479" s="64" t="n">
        <x:f>AK479+AT479</x:f>
        <x:v>553.7380000000002</x:v>
      </x:c>
      <x:c r="AW479" s="65" t="n">
        <x:f>AV479/AK479</x:f>
        <x:v>0.4415558732788916</x:v>
      </x:c>
      <x:c r="AX479" s="64" t="n">
        <x:f>-ROUND(AK479*'Drivers'!W479,3)</x:f>
        <x:v>-11.697</x:v>
      </x:c>
      <x:c r="AY479" s="64" t="n">
        <x:f>-ROUND(AK479*'Drivers'!X479,3)</x:f>
        <x:v>-30.235</x:v>
      </x:c>
      <x:c r="AZ479" s="64" t="n">
        <x:f>-ROUND(AK479*'Drivers'!Y479,3)</x:f>
        <x:v>-17.587</x:v>
      </x:c>
      <x:c r="BA479" s="64" t="n">
        <x:f>-ROUND(AK479*'Drivers'!Z479,3)</x:f>
        <x:v>-9.487</x:v>
      </x:c>
      <x:c r="BB479" s="64" t="n">
        <x:f>-ROUND(AK479*'Drivers'!AA479,3)</x:f>
        <x:v>-9.062</x:v>
      </x:c>
      <x:c r="BC479" s="64" t="n">
        <x:f>SUM(BA479,BB479)</x:f>
        <x:v>-18.549</x:v>
      </x:c>
      <x:c r="BD479" s="64" t="n">
        <x:f>-ROUND(AK479*'Drivers'!AB479,3)</x:f>
        <x:v>-4.183</x:v>
      </x:c>
      <x:c r="BE479" s="64" t="n">
        <x:f>SUM(AX479:BB479,BD479)</x:f>
        <x:v>-82.251</x:v>
      </x:c>
      <x:c r="BF479" s="67" t="n">
        <x:f>'Drivers'!AF479</x:f>
        <x:v>7</x:v>
      </x:c>
      <x:c r="BG479" s="64" t="n">
        <x:f>BJ479</x:f>
        <x:v>-24.886</x:v>
      </x:c>
      <x:c r="BH479" s="64" t="n">
        <x:f>BE479/BF479</x:f>
        <x:v>-11.750142857142858</x:v>
      </x:c>
      <x:c r="BI479" s="68" t="n">
        <x:f>BF479/L479</x:f>
        <x:v>1.75</x:v>
      </x:c>
      <x:c r="BJ479" s="64" t="n">
        <x:f>-ROUND(AK479*'Drivers'!AC479,3)</x:f>
        <x:v>-24.886</x:v>
      </x:c>
      <x:c r="BK479" s="64" t="n">
        <x:f>-ROUND(AK479*'Drivers'!AD479,3)</x:f>
        <x:v>-109.076</x:v>
      </x:c>
      <x:c r="BL479" s="64" t="n">
        <x:f>SUM(AV479,BE479,BJ479,BK479)</x:f>
        <x:v>337.5250000000002</x:v>
      </x:c>
      <x:c r="BM479" s="65" t="n">
        <x:f>BL479/AK479</x:f>
        <x:v>0.26914559977544966</x:v>
      </x:c>
      <x:c r="BN479" s="64" t="n">
        <x:f>-ROUND(AK479*'Drivers'!AE479,3)</x:f>
        <x:v>-111.794</x:v>
      </x:c>
      <x:c r="BO479" s="64" t="n">
        <x:f>BL479+BN479</x:f>
        <x:v>225.73100000000022</x:v>
      </x:c>
      <x:c r="BP479" s="65" t="n">
        <x:f>BO479/AK479</x:f>
        <x:v>0.18000001594818768</x:v>
      </x:c>
    </x:row>
    <x:row r="480">
      <x:c r="A480" s="61" t="n">
        <x:v>2026</x:v>
      </x:c>
      <x:c r="B480" s="18" t="str">
        <x:v>S1</x:v>
      </x:c>
      <x:c r="C480" s="18" t="str">
        <x:v>2026 S1</x:v>
      </x:c>
      <x:c r="D480" s="18" t="str">
        <x:v>CNCT0120</x:v>
      </x:c>
      <x:c r="E480" s="18" t="str">
        <x:v>厦门SM城市广场</x:v>
      </x:c>
      <x:c r="F480" s="18" t="str">
        <x:v>厦门</x:v>
      </x:c>
      <x:c r="G480" s="18" t="str">
        <x:v>福建省</x:v>
      </x:c>
      <x:c r="H480" s="18" t="str">
        <x:v>东区</x:v>
      </x:c>
      <x:c r="I480" s="18" t="str">
        <x:v>Shopping Mall</x:v>
      </x:c>
      <x:c r="J480" s="18" t="str">
        <x:v>Core Shopping Center</x:v>
      </x:c>
      <x:c r="K480" s="18" t="str">
        <x:v>正常</x:v>
      </x:c>
      <x:c r="L480" s="62" t="n">
        <x:v>4</x:v>
      </x:c>
      <x:c r="M480" s="62" t="n">
        <x:v>40</x:v>
      </x:c>
      <x:c r="N480" s="63" t="n">
        <x:f>'Drivers'!C480</x:f>
        <x:v>1704</x:v>
      </x:c>
      <x:c r="O480" s="63" t="n">
        <x:f>'Drivers'!D480</x:f>
        <x:v>1063.146</x:v>
      </x:c>
      <x:c r="P480" s="64" t="n">
        <x:f>ROUND(N480*O480/1000,3)</x:f>
        <x:v>1811.601</x:v>
      </x:c>
      <x:c r="Q480" s="64" t="n">
        <x:f>ROUND(P480*'Drivers'!E480,3)</x:f>
        <x:v>1764.306</x:v>
      </x:c>
      <x:c r="R480" s="64" t="n">
        <x:f>-ROUND(Q480*'Drivers'!F480,3)</x:f>
        <x:v>-326.186</x:v>
      </x:c>
      <x:c r="S480" s="65" t="n">
        <x:f>R480/Q480</x:f>
        <x:v>-0.18488062728347576</x:v>
      </x:c>
      <x:c r="T480" s="64" t="n">
        <x:f>-ROUND(Q480*'Drivers'!G480,3)</x:f>
        <x:v>-32.978</x:v>
      </x:c>
      <x:c r="U480" s="65" t="n">
        <x:f>T480/Q480</x:f>
        <x:v>-0.01869176888816339</x:v>
      </x:c>
      <x:c r="V480" s="64" t="n">
        <x:f>-ROUND(Q480*'Drivers'!H480,3)</x:f>
        <x:v>-18.727</x:v>
      </x:c>
      <x:c r="W480" s="64" t="n">
        <x:f>-ROUND(Q480*'Drivers'!I480,3)</x:f>
        <x:v>-10.234</x:v>
      </x:c>
      <x:c r="X480" s="64" t="n">
        <x:f>-ROUND(Q480*'Drivers'!J480,3)</x:f>
        <x:v>-17.753</x:v>
      </x:c>
      <x:c r="Y480" s="64" t="n">
        <x:f>-ROUND(Q480*'Drivers'!K480,3)</x:f>
        <x:v>-14.861</x:v>
      </x:c>
      <x:c r="Z480" s="64" t="n">
        <x:f>-ROUND(Q480*'Drivers'!L480,3)</x:f>
        <x:v>-19.389</x:v>
      </x:c>
      <x:c r="AA480" s="64" t="n">
        <x:f>-ROUND(Q480*'Drivers'!M480,3)</x:f>
        <x:v>-10.645</x:v>
      </x:c>
      <x:c r="AB480" s="64" t="n">
        <x:f>-ROUND(Q480*'Drivers'!N480,3)</x:f>
        <x:v>-14.279</x:v>
      </x:c>
      <x:c r="AC480" s="64" t="n">
        <x:f>SUM(V480:AB480)</x:f>
        <x:v>-105.88799999999999</x:v>
      </x:c>
      <x:c r="AD480" s="65" t="n">
        <x:f>AC480/Q480</x:f>
        <x:v>-0.060016799806836225</x:v>
      </x:c>
      <x:c r="AE480" s="64" t="n">
        <x:f>-ROUND(Q480*'Drivers'!O480,3)</x:f>
        <x:v>-12.34</x:v>
      </x:c>
      <x:c r="AF480" s="65" t="n">
        <x:f>AE480/Q480</x:f>
        <x:v>-0.006994251564071085</x:v>
      </x:c>
      <x:c r="AG480" s="64" t="n">
        <x:f>-ROUND(Q480*'Drivers'!P480,3)</x:f>
        <x:v>-0.493</x:v>
      </x:c>
      <x:c r="AH480" s="64" t="n">
        <x:f>-ROUND(Q480*'Drivers'!Q480,3)</x:f>
        <x:v>-6.089</x:v>
      </x:c>
      <x:c r="AI480" s="64" t="n">
        <x:f>SUM(R480,T480,AC480,AE480,AG480,AH480)</x:f>
        <x:v>-483.97399999999993</x:v>
      </x:c>
      <x:c r="AJ480" s="65" t="n">
        <x:f>AI480/Q480</x:f>
        <x:v>-0.274314092906786</x:v>
      </x:c>
      <x:c r="AK480" s="64" t="n">
        <x:f>Q480+AI480</x:f>
        <x:v>1280.332</x:v>
      </x:c>
      <x:c r="AL480" s="65" t="n">
        <x:f>AK480/Q480</x:f>
        <x:v>0.725685907093214</x:v>
      </x:c>
      <x:c r="AM480" s="64" t="n">
        <x:f>AK480/L480</x:f>
        <x:v>320.083</x:v>
      </x:c>
      <x:c r="AN480" s="66" t="str">
        <x:f>IF(AM480&lt;=200,"≤200K",IF(AM480&lt;=350,"200–350K",IF(AM480&lt;=500,"350–500K",IF(AM480&lt;=700,"500–700K","&gt;700K"))))</x:f>
        <x:v>200–350K</x:v>
      </x:c>
      <x:c r="AO480" s="64" t="n">
        <x:f>-ROUND(Q480*'Drivers'!R480,3)</x:f>
        <x:v>-630.307</x:v>
      </x:c>
      <x:c r="AP480" s="64" t="n">
        <x:f>-ROUND(AK480*'Drivers'!S480,3)</x:f>
        <x:v>-14.703</x:v>
      </x:c>
      <x:c r="AQ480" s="64" t="n">
        <x:f>-ROUND(AK480*'Drivers'!T480,3)</x:f>
        <x:v>-8.568</x:v>
      </x:c>
      <x:c r="AR480" s="64" t="n">
        <x:f>-ROUND(AK480*'Drivers'!U480,3)</x:f>
        <x:v>-13.411</x:v>
      </x:c>
      <x:c r="AS480" s="64" t="n">
        <x:f>-ROUND(AK480*'Drivers'!V480,3)</x:f>
        <x:v>-44.259</x:v>
      </x:c>
      <x:c r="AT480" s="64" t="n">
        <x:f>SUM(AO480:AS480)</x:f>
        <x:v>-711.2479999999999</x:v>
      </x:c>
      <x:c r="AU480" s="65" t="n">
        <x:f>AT480/AK480</x:f>
        <x:v>-0.5555184124117806</x:v>
      </x:c>
      <x:c r="AV480" s="64" t="n">
        <x:f>AK480+AT480</x:f>
        <x:v>569.0840000000002</x:v>
      </x:c>
      <x:c r="AW480" s="65" t="n">
        <x:f>AV480/AK480</x:f>
        <x:v>0.44448158758821943</x:v>
      </x:c>
      <x:c r="AX480" s="64" t="n">
        <x:f>-ROUND(AK480*'Drivers'!W480,3)</x:f>
        <x:v>-14.694</x:v>
      </x:c>
      <x:c r="AY480" s="64" t="n">
        <x:f>-ROUND(AK480*'Drivers'!X480,3)</x:f>
        <x:v>-37.982</x:v>
      </x:c>
      <x:c r="AZ480" s="64" t="n">
        <x:f>-ROUND(AK480*'Drivers'!Y480,3)</x:f>
        <x:v>-22.093</x:v>
      </x:c>
      <x:c r="BA480" s="64" t="n">
        <x:f>-ROUND(AK480*'Drivers'!Z480,3)</x:f>
        <x:v>-11.918</x:v>
      </x:c>
      <x:c r="BB480" s="64" t="n">
        <x:f>-ROUND(AK480*'Drivers'!AA480,3)</x:f>
        <x:v>-11.384</x:v>
      </x:c>
      <x:c r="BC480" s="64" t="n">
        <x:f>SUM(BA480,BB480)</x:f>
        <x:v>-23.302</x:v>
      </x:c>
      <x:c r="BD480" s="64" t="n">
        <x:f>-ROUND(AK480*'Drivers'!AB480,3)</x:f>
        <x:v>-5.255</x:v>
      </x:c>
      <x:c r="BE480" s="64" t="n">
        <x:f>SUM(AX480:BB480,BD480)</x:f>
        <x:v>-103.32600000000001</x:v>
      </x:c>
      <x:c r="BF480" s="67" t="n">
        <x:f>'Drivers'!AF480</x:f>
        <x:v>7</x:v>
      </x:c>
      <x:c r="BG480" s="64" t="n">
        <x:f>BJ480</x:f>
        <x:v>-31.263</x:v>
      </x:c>
      <x:c r="BH480" s="64" t="n">
        <x:f>BE480/BF480</x:f>
        <x:v>-14.760857142857144</x:v>
      </x:c>
      <x:c r="BI480" s="68" t="n">
        <x:f>BF480/L480</x:f>
        <x:v>1.75</x:v>
      </x:c>
      <x:c r="BJ480" s="64" t="n">
        <x:f>-ROUND(AK480*'Drivers'!AC480,3)</x:f>
        <x:v>-31.263</x:v>
      </x:c>
      <x:c r="BK480" s="64" t="n">
        <x:f>-ROUND(AK480*'Drivers'!AD480,3)</x:f>
        <x:v>-111.361</x:v>
      </x:c>
      <x:c r="BL480" s="64" t="n">
        <x:f>SUM(AV480,BE480,BJ480,BK480)</x:f>
        <x:v>323.1340000000002</x:v>
      </x:c>
      <x:c r="BM480" s="65" t="n">
        <x:f>BL480/AK480</x:f>
        <x:v>0.25238297566568685</x:v>
      </x:c>
      <x:c r="BN480" s="64" t="n">
        <x:f>-ROUND(AK480*'Drivers'!AE480,3)</x:f>
        <x:v>-111.823</x:v>
      </x:c>
      <x:c r="BO480" s="64" t="n">
        <x:f>BL480+BN480</x:f>
        <x:v>211.3110000000002</x:v>
      </x:c>
      <x:c r="BP480" s="65" t="n">
        <x:f>BO480/AK480</x:f>
        <x:v>0.16504391048571793</x:v>
      </x:c>
    </x:row>
    <x:row r="481">
      <x:c r="A481" s="61" t="n">
        <x:v>2026</x:v>
      </x:c>
      <x:c r="B481" s="18" t="str">
        <x:v>S2</x:v>
      </x:c>
      <x:c r="C481" s="18" t="str">
        <x:v>2026 S2</x:v>
      </x:c>
      <x:c r="D481" s="18" t="str">
        <x:v>CNCT0120</x:v>
      </x:c>
      <x:c r="E481" s="18" t="str">
        <x:v>厦门SM城市广场</x:v>
      </x:c>
      <x:c r="F481" s="18" t="str">
        <x:v>厦门</x:v>
      </x:c>
      <x:c r="G481" s="18" t="str">
        <x:v>福建省</x:v>
      </x:c>
      <x:c r="H481" s="18" t="str">
        <x:v>东区</x:v>
      </x:c>
      <x:c r="I481" s="18" t="str">
        <x:v>Shopping Mall</x:v>
      </x:c>
      <x:c r="J481" s="18" t="str">
        <x:v>Core Shopping Center</x:v>
      </x:c>
      <x:c r="K481" s="18" t="str">
        <x:v>正常</x:v>
      </x:c>
      <x:c r="L481" s="62" t="n">
        <x:v>4</x:v>
      </x:c>
      <x:c r="M481" s="62" t="n">
        <x:v>40</x:v>
      </x:c>
      <x:c r="N481" s="63" t="n">
        <x:f>'Drivers'!C481</x:f>
        <x:v>1830</x:v>
      </x:c>
      <x:c r="O481" s="63" t="n">
        <x:f>'Drivers'!D481</x:f>
        <x:v>1076.673</x:v>
      </x:c>
      <x:c r="P481" s="64" t="n">
        <x:f>ROUND(N481*O481/1000,3)</x:f>
        <x:v>1970.312</x:v>
      </x:c>
      <x:c r="Q481" s="64" t="n">
        <x:f>ROUND(P481*'Drivers'!E481,3)</x:f>
        <x:v>1921.292</x:v>
      </x:c>
      <x:c r="R481" s="64" t="n">
        <x:f>-ROUND(Q481*'Drivers'!F481,3)</x:f>
        <x:v>-337.962</x:v>
      </x:c>
      <x:c r="S481" s="65" t="n">
        <x:f>R481/Q481</x:f>
        <x:v>-0.17590350659868464</x:v>
      </x:c>
      <x:c r="T481" s="64" t="n">
        <x:f>-ROUND(Q481*'Drivers'!G481,3)</x:f>
        <x:v>-33.183</x:v>
      </x:c>
      <x:c r="U481" s="65" t="n">
        <x:f>T481/Q481</x:f>
        <x:v>-0.017271190428107753</x:v>
      </x:c>
      <x:c r="V481" s="64" t="n">
        <x:f>-ROUND(Q481*'Drivers'!H481,3)</x:f>
        <x:v>-20.393</x:v>
      </x:c>
      <x:c r="W481" s="64" t="n">
        <x:f>-ROUND(Q481*'Drivers'!I481,3)</x:f>
        <x:v>-11.145</x:v>
      </x:c>
      <x:c r="X481" s="64" t="n">
        <x:f>-ROUND(Q481*'Drivers'!J481,3)</x:f>
        <x:v>-19.333</x:v>
      </x:c>
      <x:c r="Y481" s="64" t="n">
        <x:f>-ROUND(Q481*'Drivers'!K481,3)</x:f>
        <x:v>-16.184</x:v>
      </x:c>
      <x:c r="Z481" s="64" t="n">
        <x:f>-ROUND(Q481*'Drivers'!L481,3)</x:f>
        <x:v>-21.114</x:v>
      </x:c>
      <x:c r="AA481" s="64" t="n">
        <x:f>-ROUND(Q481*'Drivers'!M481,3)</x:f>
        <x:v>-11.592</x:v>
      </x:c>
      <x:c r="AB481" s="64" t="n">
        <x:f>-ROUND(Q481*'Drivers'!N481,3)</x:f>
        <x:v>-15.55</x:v>
      </x:c>
      <x:c r="AC481" s="64" t="n">
        <x:f>SUM(V481:AB481)</x:f>
        <x:v>-115.31099999999999</x:v>
      </x:c>
      <x:c r="AD481" s="65" t="n">
        <x:f>AC481/Q481</x:f>
        <x:v>-0.060017425773906306</x:v>
      </x:c>
      <x:c r="AE481" s="64" t="n">
        <x:f>-ROUND(Q481*'Drivers'!O481,3)</x:f>
        <x:v>-12.4</x:v>
      </x:c>
      <x:c r="AF481" s="65" t="n">
        <x:f>AE481/Q481</x:f>
        <x:v>-0.006453990335669956</x:v>
      </x:c>
      <x:c r="AG481" s="64" t="n">
        <x:f>-ROUND(Q481*'Drivers'!P481,3)</x:f>
        <x:v>-0.537</x:v>
      </x:c>
      <x:c r="AH481" s="64" t="n">
        <x:f>-ROUND(Q481*'Drivers'!Q481,3)</x:f>
        <x:v>-6.63</x:v>
      </x:c>
      <x:c r="AI481" s="64" t="n">
        <x:f>SUM(R481,T481,AC481,AE481,AG481,AH481)</x:f>
        <x:v>-506.0229999999999</x:v>
      </x:c>
      <x:c r="AJ481" s="65" t="n">
        <x:f>AI481/Q481</x:f>
        <x:v>-0.26337641545376755</x:v>
      </x:c>
      <x:c r="AK481" s="64" t="n">
        <x:f>Q481+AI481</x:f>
        <x:v>1415.269</x:v>
      </x:c>
      <x:c r="AL481" s="65" t="n">
        <x:f>AK481/Q481</x:f>
        <x:v>0.7366235845462324</x:v>
      </x:c>
      <x:c r="AM481" s="64" t="n">
        <x:f>AK481/L481</x:f>
        <x:v>353.81725</x:v>
      </x:c>
      <x:c r="AN481" s="66" t="str">
        <x:f>IF(AM481&lt;=200,"≤200K",IF(AM481&lt;=350,"200–350K",IF(AM481&lt;=500,"350–500K",IF(AM481&lt;=700,"500–700K","&gt;700K"))))</x:f>
        <x:v>350–500K</x:v>
      </x:c>
      <x:c r="AO481" s="64" t="n">
        <x:f>-ROUND(Q481*'Drivers'!R481,3)</x:f>
        <x:v>-694.904</x:v>
      </x:c>
      <x:c r="AP481" s="64" t="n">
        <x:f>-ROUND(AK481*'Drivers'!S481,3)</x:f>
        <x:v>-16.252</x:v>
      </x:c>
      <x:c r="AQ481" s="64" t="n">
        <x:f>-ROUND(AK481*'Drivers'!T481,3)</x:f>
        <x:v>-9.471</x:v>
      </x:c>
      <x:c r="AR481" s="64" t="n">
        <x:f>-ROUND(AK481*'Drivers'!U481,3)</x:f>
        <x:v>-14.825</x:v>
      </x:c>
      <x:c r="AS481" s="64" t="n">
        <x:f>-ROUND(AK481*'Drivers'!V481,3)</x:f>
        <x:v>-48.924</x:v>
      </x:c>
      <x:c r="AT481" s="64" t="n">
        <x:f>SUM(AO481:AS481)</x:f>
        <x:v>-784.376</x:v>
      </x:c>
      <x:c r="AU481" s="65" t="n">
        <x:f>AT481/AK481</x:f>
        <x:v>-0.5542239673164606</x:v>
      </x:c>
      <x:c r="AV481" s="64" t="n">
        <x:f>AK481+AT481</x:f>
        <x:v>630.893</x:v>
      </x:c>
      <x:c r="AW481" s="65" t="n">
        <x:f>AV481/AK481</x:f>
        <x:v>0.4457760326835393</x:v>
      </x:c>
      <x:c r="AX481" s="64" t="n">
        <x:f>-ROUND(AK481*'Drivers'!W481,3)</x:f>
        <x:v>-13.992</x:v>
      </x:c>
      <x:c r="AY481" s="64" t="n">
        <x:f>-ROUND(AK481*'Drivers'!X481,3)</x:f>
        <x:v>-36.169</x:v>
      </x:c>
      <x:c r="AZ481" s="64" t="n">
        <x:f>-ROUND(AK481*'Drivers'!Y481,3)</x:f>
        <x:v>-21.039</x:v>
      </x:c>
      <x:c r="BA481" s="64" t="n">
        <x:f>-ROUND(AK481*'Drivers'!Z481,3)</x:f>
        <x:v>-11.349</x:v>
      </x:c>
      <x:c r="BB481" s="64" t="n">
        <x:f>-ROUND(AK481*'Drivers'!AA481,3)</x:f>
        <x:v>-10.84</x:v>
      </x:c>
      <x:c r="BC481" s="64" t="n">
        <x:f>SUM(BA481,BB481)</x:f>
        <x:v>-22.189</x:v>
      </x:c>
      <x:c r="BD481" s="64" t="n">
        <x:f>-ROUND(AK481*'Drivers'!AB481,3)</x:f>
        <x:v>-5.004</x:v>
      </x:c>
      <x:c r="BE481" s="64" t="n">
        <x:f>SUM(AX481:BB481,BD481)</x:f>
        <x:v>-98.39300000000001</x:v>
      </x:c>
      <x:c r="BF481" s="67" t="n">
        <x:f>'Drivers'!AF481</x:f>
        <x:v>7</x:v>
      </x:c>
      <x:c r="BG481" s="64" t="n">
        <x:f>BJ481</x:f>
        <x:v>-29.77</x:v>
      </x:c>
      <x:c r="BH481" s="64" t="n">
        <x:f>BE481/BF481</x:f>
        <x:v>-14.05614285714286</x:v>
      </x:c>
      <x:c r="BI481" s="68" t="n">
        <x:f>BF481/L481</x:f>
        <x:v>1.75</x:v>
      </x:c>
      <x:c r="BJ481" s="64" t="n">
        <x:f>-ROUND(AK481*'Drivers'!AC481,3)</x:f>
        <x:v>-29.77</x:v>
      </x:c>
      <x:c r="BK481" s="64" t="n">
        <x:f>-ROUND(AK481*'Drivers'!AD481,3)</x:f>
        <x:v>-123.097</x:v>
      </x:c>
      <x:c r="BL481" s="64" t="n">
        <x:f>SUM(AV481,BE481,BJ481,BK481)</x:f>
        <x:v>379.63300000000004</x:v>
      </x:c>
      <x:c r="BM481" s="65" t="n">
        <x:f>BL481/AK481</x:f>
        <x:v>0.2682408785891587</x:v>
      </x:c>
      <x:c r="BN481" s="64" t="n">
        <x:f>-ROUND(AK481*'Drivers'!AE481,3)</x:f>
        <x:v>-126.165</x:v>
      </x:c>
      <x:c r="BO481" s="64" t="n">
        <x:f>BL481+BN481</x:f>
        <x:v>253.46800000000002</x:v>
      </x:c>
      <x:c r="BP481" s="65" t="n">
        <x:f>BO481/AK481</x:f>
        <x:v>0.17909528153305132</x:v>
      </x:c>
    </x:row>
    <x:row r="482">
      <x:c r="A482" s="61" t="n">
        <x:v>2025</x:v>
      </x:c>
      <x:c r="B482" s="18" t="str">
        <x:v>S1</x:v>
      </x:c>
      <x:c r="C482" s="18" t="str">
        <x:v>2025 S1</x:v>
      </x:c>
      <x:c r="D482" s="18" t="str">
        <x:v>CNCT0121</x:v>
      </x:c>
      <x:c r="E482" s="18" t="str">
        <x:v>厦门中华城</x:v>
      </x:c>
      <x:c r="F482" s="18" t="str">
        <x:v>厦门</x:v>
      </x:c>
      <x:c r="G482" s="18" t="str">
        <x:v>福建省</x:v>
      </x:c>
      <x:c r="H482" s="18" t="str">
        <x:v>东区</x:v>
      </x:c>
      <x:c r="I482" s="18" t="str">
        <x:v>Shopping Mall</x:v>
      </x:c>
      <x:c r="J482" s="18" t="str">
        <x:v>Core Shopping Center</x:v>
      </x:c>
      <x:c r="K482" s="18" t="str">
        <x:v>正常</x:v>
      </x:c>
      <x:c r="L482" s="62" t="n">
        <x:v>5</x:v>
      </x:c>
      <x:c r="M482" s="62" t="n">
        <x:v>40</x:v>
      </x:c>
      <x:c r="N482" s="63" t="n">
        <x:f>'Drivers'!C482</x:f>
        <x:v>1482</x:v>
      </x:c>
      <x:c r="O482" s="63" t="n">
        <x:f>'Drivers'!D482</x:f>
        <x:v>1086.98</x:v>
      </x:c>
      <x:c r="P482" s="64" t="n">
        <x:f>ROUND(N482*O482/1000,3)</x:f>
        <x:v>1610.904</x:v>
      </x:c>
      <x:c r="Q482" s="64" t="n">
        <x:f>ROUND(P482*'Drivers'!E482,3)</x:f>
        <x:v>1560.096</x:v>
      </x:c>
      <x:c r="R482" s="64" t="n">
        <x:f>-ROUND(Q482*'Drivers'!F482,3)</x:f>
        <x:v>-277.576</x:v>
      </x:c>
      <x:c r="S482" s="65" t="n">
        <x:f>R482/Q482</x:f>
        <x:v>-0.17792238426353252</x:v>
      </x:c>
      <x:c r="T482" s="64" t="n">
        <x:f>-ROUND(Q482*'Drivers'!G482,3)</x:f>
        <x:v>-14.1</x:v>
      </x:c>
      <x:c r="U482" s="65" t="n">
        <x:f>T482/Q482</x:f>
        <x:v>-0.009037905359670174</x:v>
      </x:c>
      <x:c r="V482" s="64" t="n">
        <x:f>-ROUND(Q482*'Drivers'!H482,3)</x:f>
        <x:v>-18.672</x:v>
      </x:c>
      <x:c r="W482" s="64" t="n">
        <x:f>-ROUND(Q482*'Drivers'!I482,3)</x:f>
        <x:v>-13.106</x:v>
      </x:c>
      <x:c r="X482" s="64" t="n">
        <x:f>-ROUND(Q482*'Drivers'!J482,3)</x:f>
        <x:v>-19.188</x:v>
      </x:c>
      <x:c r="Y482" s="64" t="n">
        <x:f>-ROUND(Q482*'Drivers'!K482,3)</x:f>
        <x:v>-12.517</x:v>
      </x:c>
      <x:c r="Z482" s="64" t="n">
        <x:f>-ROUND(Q482*'Drivers'!L482,3)</x:f>
        <x:v>-16.362</x:v>
      </x:c>
      <x:c r="AA482" s="64" t="n">
        <x:f>-ROUND(Q482*'Drivers'!M482,3)</x:f>
        <x:v>-12.927</x:v>
      </x:c>
      <x:c r="AB482" s="64" t="n">
        <x:f>-ROUND(Q482*'Drivers'!N482,3)</x:f>
        <x:v>-13.329</x:v>
      </x:c>
      <x:c r="AC482" s="64" t="n">
        <x:f>SUM(V482:AB482)</x:f>
        <x:v>-106.101</x:v>
      </x:c>
      <x:c r="AD482" s="65" t="n">
        <x:f>AC482/Q482</x:f>
        <x:v>-0.06800927635222448</x:v>
      </x:c>
      <x:c r="AE482" s="64" t="n">
        <x:f>-ROUND(Q482*'Drivers'!O482,3)</x:f>
        <x:v>-22.97</x:v>
      </x:c>
      <x:c r="AF482" s="65" t="n">
        <x:f>AE482/Q482</x:f>
        <x:v>-0.014723452915718006</x:v>
      </x:c>
      <x:c r="AG482" s="64" t="n">
        <x:f>-ROUND(Q482*'Drivers'!P482,3)</x:f>
        <x:v>-2.506</x:v>
      </x:c>
      <x:c r="AH482" s="64" t="n">
        <x:f>-ROUND(Q482*'Drivers'!Q482,3)</x:f>
        <x:v>-3.133</x:v>
      </x:c>
      <x:c r="AI482" s="64" t="n">
        <x:f>SUM(R482,T482,AC482,AE482,AG482,AH482)</x:f>
        <x:v>-426.386</x:v>
      </x:c>
      <x:c r="AJ482" s="65" t="n">
        <x:f>AI482/Q482</x:f>
        <x:v>-0.2733075400488175</x:v>
      </x:c>
      <x:c r="AK482" s="64" t="n">
        <x:f>Q482+AI482</x:f>
        <x:v>1133.71</x:v>
      </x:c>
      <x:c r="AL482" s="65" t="n">
        <x:f>AK482/Q482</x:f>
        <x:v>0.7266924599511825</x:v>
      </x:c>
      <x:c r="AM482" s="64" t="n">
        <x:f>AK482/L482</x:f>
        <x:v>226.74200000000002</x:v>
      </x:c>
      <x:c r="AN482" s="66" t="str">
        <x:f>IF(AM482&lt;=200,"≤200K",IF(AM482&lt;=350,"200–350K",IF(AM482&lt;=500,"350–500K",IF(AM482&lt;=700,"500–700K","&gt;700K"))))</x:f>
        <x:v>200–350K</x:v>
      </x:c>
      <x:c r="AO482" s="64" t="n">
        <x:f>-ROUND(Q482*'Drivers'!R482,3)</x:f>
        <x:v>-583.399</x:v>
      </x:c>
      <x:c r="AP482" s="64" t="n">
        <x:f>-ROUND(AK482*'Drivers'!S482,3)</x:f>
        <x:v>-16.93</x:v>
      </x:c>
      <x:c r="AQ482" s="64" t="n">
        <x:f>-ROUND(AK482*'Drivers'!T482,3)</x:f>
        <x:v>-3.667</x:v>
      </x:c>
      <x:c r="AR482" s="64" t="n">
        <x:f>-ROUND(AK482*'Drivers'!U482,3)</x:f>
        <x:v>-8.977</x:v>
      </x:c>
      <x:c r="AS482" s="64" t="n">
        <x:f>-ROUND(AK482*'Drivers'!V482,3)</x:f>
        <x:v>-35.403</x:v>
      </x:c>
      <x:c r="AT482" s="64" t="n">
        <x:f>SUM(AO482:AS482)</x:f>
        <x:v>-648.376</x:v>
      </x:c>
      <x:c r="AU482" s="65" t="n">
        <x:f>AT482/AK482</x:f>
        <x:v>-0.5719063958155083</x:v>
      </x:c>
      <x:c r="AV482" s="64" t="n">
        <x:f>AK482+AT482</x:f>
        <x:v>485.33400000000006</x:v>
      </x:c>
      <x:c r="AW482" s="65" t="n">
        <x:f>AV482/AK482</x:f>
        <x:v>0.42809360418449166</x:v>
      </x:c>
      <x:c r="AX482" s="64" t="n">
        <x:f>-ROUND(AK482*'Drivers'!W482,3)</x:f>
        <x:v>-11.311</x:v>
      </x:c>
      <x:c r="AY482" s="64" t="n">
        <x:f>-ROUND(AK482*'Drivers'!X482,3)</x:f>
        <x:v>-27.887</x:v>
      </x:c>
      <x:c r="AZ482" s="64" t="n">
        <x:f>-ROUND(AK482*'Drivers'!Y482,3)</x:f>
        <x:v>-21.564</x:v>
      </x:c>
      <x:c r="BA482" s="64" t="n">
        <x:f>-ROUND(AK482*'Drivers'!Z482,3)</x:f>
        <x:v>-8.985</x:v>
      </x:c>
      <x:c r="BB482" s="64" t="n">
        <x:f>-ROUND(AK482*'Drivers'!AA482,3)</x:f>
        <x:v>-8.706</x:v>
      </x:c>
      <x:c r="BC482" s="64" t="n">
        <x:f>SUM(BA482,BB482)</x:f>
        <x:v>-17.691</x:v>
      </x:c>
      <x:c r="BD482" s="64" t="n">
        <x:f>-ROUND(AK482*'Drivers'!AB482,3)</x:f>
        <x:v>-7.056</x:v>
      </x:c>
      <x:c r="BE482" s="64" t="n">
        <x:f>SUM(AX482:BB482,BD482)</x:f>
        <x:v>-85.509</x:v>
      </x:c>
      <x:c r="BF482" s="67" t="n">
        <x:f>'Drivers'!AF482</x:f>
        <x:v>9</x:v>
      </x:c>
      <x:c r="BG482" s="64" t="n">
        <x:f>BJ482</x:f>
        <x:v>-24.172</x:v>
      </x:c>
      <x:c r="BH482" s="64" t="n">
        <x:f>BE482/BF482</x:f>
        <x:v>-9.501</x:v>
      </x:c>
      <x:c r="BI482" s="68" t="n">
        <x:f>BF482/L482</x:f>
        <x:v>1.8</x:v>
      </x:c>
      <x:c r="BJ482" s="64" t="n">
        <x:f>-ROUND(AK482*'Drivers'!AC482,3)</x:f>
        <x:v>-24.172</x:v>
      </x:c>
      <x:c r="BK482" s="64" t="n">
        <x:f>-ROUND(AK482*'Drivers'!AD482,3)</x:f>
        <x:v>-109.812</x:v>
      </x:c>
      <x:c r="BL482" s="64" t="n">
        <x:f>SUM(AV482,BE482,BJ482,BK482)</x:f>
        <x:v>265.841</x:v>
      </x:c>
      <x:c r="BM482" s="65" t="n">
        <x:f>BL482/AK482</x:f>
        <x:v>0.23448765557329476</x:v>
      </x:c>
      <x:c r="BN482" s="64" t="n">
        <x:f>-ROUND(AK482*'Drivers'!AE482,3)</x:f>
        <x:v>-91.215</x:v>
      </x:c>
      <x:c r="BO482" s="64" t="n">
        <x:f>BL482+BN482</x:f>
        <x:v>174.626</x:v>
      </x:c>
      <x:c r="BP482" s="65" t="n">
        <x:f>BO482/AK482</x:f>
        <x:v>0.1540305721921832</x:v>
      </x:c>
    </x:row>
    <x:row r="483">
      <x:c r="A483" s="61" t="n">
        <x:v>2025</x:v>
      </x:c>
      <x:c r="B483" s="18" t="str">
        <x:v>S2</x:v>
      </x:c>
      <x:c r="C483" s="18" t="str">
        <x:v>2025 S2</x:v>
      </x:c>
      <x:c r="D483" s="18" t="str">
        <x:v>CNCT0121</x:v>
      </x:c>
      <x:c r="E483" s="18" t="str">
        <x:v>厦门中华城</x:v>
      </x:c>
      <x:c r="F483" s="18" t="str">
        <x:v>厦门</x:v>
      </x:c>
      <x:c r="G483" s="18" t="str">
        <x:v>福建省</x:v>
      </x:c>
      <x:c r="H483" s="18" t="str">
        <x:v>东区</x:v>
      </x:c>
      <x:c r="I483" s="18" t="str">
        <x:v>Shopping Mall</x:v>
      </x:c>
      <x:c r="J483" s="18" t="str">
        <x:v>Core Shopping Center</x:v>
      </x:c>
      <x:c r="K483" s="18" t="str">
        <x:v>正常</x:v>
      </x:c>
      <x:c r="L483" s="62" t="n">
        <x:v>5</x:v>
      </x:c>
      <x:c r="M483" s="62" t="n">
        <x:v>40</x:v>
      </x:c>
      <x:c r="N483" s="63" t="n">
        <x:f>'Drivers'!C483</x:f>
        <x:v>1583</x:v>
      </x:c>
      <x:c r="O483" s="63" t="n">
        <x:f>'Drivers'!D483</x:f>
        <x:v>1100.024</x:v>
      </x:c>
      <x:c r="P483" s="64" t="n">
        <x:f>ROUND(N483*O483/1000,3)</x:f>
        <x:v>1741.338</x:v>
      </x:c>
      <x:c r="Q483" s="64" t="n">
        <x:f>ROUND(P483*'Drivers'!E483,3)</x:f>
        <x:v>1680.036</x:v>
      </x:c>
      <x:c r="R483" s="64" t="n">
        <x:f>-ROUND(Q483*'Drivers'!F483,3)</x:f>
        <x:v>-298.916</x:v>
      </x:c>
      <x:c r="S483" s="65" t="n">
        <x:f>R483/Q483</x:f>
        <x:v>-0.17792237785380788</x:v>
      </x:c>
      <x:c r="T483" s="64" t="n">
        <x:f>-ROUND(Q483*'Drivers'!G483,3)</x:f>
        <x:v>-15.184</x:v>
      </x:c>
      <x:c r="U483" s="65" t="n">
        <x:f>T483/Q483</x:f>
        <x:v>-0.009037901568775906</x:v>
      </x:c>
      <x:c r="V483" s="64" t="n">
        <x:f>-ROUND(Q483*'Drivers'!H483,3)</x:f>
        <x:v>-20.108</x:v>
      </x:c>
      <x:c r="W483" s="64" t="n">
        <x:f>-ROUND(Q483*'Drivers'!I483,3)</x:f>
        <x:v>-14.114</x:v>
      </x:c>
      <x:c r="X483" s="64" t="n">
        <x:f>-ROUND(Q483*'Drivers'!J483,3)</x:f>
        <x:v>-20.663</x:v>
      </x:c>
      <x:c r="Y483" s="64" t="n">
        <x:f>-ROUND(Q483*'Drivers'!K483,3)</x:f>
        <x:v>-13.48</x:v>
      </x:c>
      <x:c r="Z483" s="64" t="n">
        <x:f>-ROUND(Q483*'Drivers'!L483,3)</x:f>
        <x:v>-17.62</x:v>
      </x:c>
      <x:c r="AA483" s="64" t="n">
        <x:f>-ROUND(Q483*'Drivers'!M483,3)</x:f>
        <x:v>-13.921</x:v>
      </x:c>
      <x:c r="AB483" s="64" t="n">
        <x:f>-ROUND(Q483*'Drivers'!N483,3)</x:f>
        <x:v>-14.354</x:v>
      </x:c>
      <x:c r="AC483" s="64" t="n">
        <x:f>SUM(V483:AB483)</x:f>
        <x:v>-114.26</x:v>
      </x:c>
      <x:c r="AD483" s="65" t="n">
        <x:f>AC483/Q483</x:f>
        <x:v>-0.06801044739517487</x:v>
      </x:c>
      <x:c r="AE483" s="64" t="n">
        <x:f>-ROUND(Q483*'Drivers'!O483,3)</x:f>
        <x:v>-24.736</x:v>
      </x:c>
      <x:c r="AF483" s="65" t="n">
        <x:f>AE483/Q483</x:f>
        <x:v>-0.01472349402036623</x:v>
      </x:c>
      <x:c r="AG483" s="64" t="n">
        <x:f>-ROUND(Q483*'Drivers'!P483,3)</x:f>
        <x:v>-2.698</x:v>
      </x:c>
      <x:c r="AH483" s="64" t="n">
        <x:f>-ROUND(Q483*'Drivers'!Q483,3)</x:f>
        <x:v>-3.374</x:v>
      </x:c>
      <x:c r="AI483" s="64" t="n">
        <x:f>SUM(R483,T483,AC483,AE483,AG483,AH483)</x:f>
        <x:v>-459.168</x:v>
      </x:c>
      <x:c r="AJ483" s="65" t="n">
        <x:f>AI483/Q483</x:f>
        <x:v>-0.2733084291050906</x:v>
      </x:c>
      <x:c r="AK483" s="64" t="n">
        <x:f>Q483+AI483</x:f>
        <x:v>1220.868</x:v>
      </x:c>
      <x:c r="AL483" s="65" t="n">
        <x:f>AK483/Q483</x:f>
        <x:v>0.7266915708949093</x:v>
      </x:c>
      <x:c r="AM483" s="64" t="n">
        <x:f>AK483/L483</x:f>
        <x:v>244.1736</x:v>
      </x:c>
      <x:c r="AN483" s="66" t="str">
        <x:f>IF(AM483&lt;=200,"≤200K",IF(AM483&lt;=350,"200–350K",IF(AM483&lt;=500,"350–500K",IF(AM483&lt;=700,"500–700K","&gt;700K"))))</x:f>
        <x:v>200–350K</x:v>
      </x:c>
      <x:c r="AO483" s="64" t="n">
        <x:f>-ROUND(Q483*'Drivers'!R483,3)</x:f>
        <x:v>-660.534</x:v>
      </x:c>
      <x:c r="AP483" s="64" t="n">
        <x:f>-ROUND(AK483*'Drivers'!S483,3)</x:f>
        <x:v>-18.231</x:v>
      </x:c>
      <x:c r="AQ483" s="64" t="n">
        <x:f>-ROUND(AK483*'Drivers'!T483,3)</x:f>
        <x:v>-3.949</x:v>
      </x:c>
      <x:c r="AR483" s="64" t="n">
        <x:f>-ROUND(AK483*'Drivers'!U483,3)</x:f>
        <x:v>-9.667</x:v>
      </x:c>
      <x:c r="AS483" s="64" t="n">
        <x:f>-ROUND(AK483*'Drivers'!V483,3)</x:f>
        <x:v>-38.125</x:v>
      </x:c>
      <x:c r="AT483" s="64" t="n">
        <x:f>SUM(AO483:AS483)</x:f>
        <x:v>-730.506</x:v>
      </x:c>
      <x:c r="AU483" s="65" t="n">
        <x:f>AT483/AK483</x:f>
        <x:v>-0.5983496987389301</x:v>
      </x:c>
      <x:c r="AV483" s="64" t="n">
        <x:f>AK483+AT483</x:f>
        <x:v>490.36199999999997</x:v>
      </x:c>
      <x:c r="AW483" s="65" t="n">
        <x:f>AV483/AK483</x:f>
        <x:v>0.40165030126107</x:v>
      </x:c>
      <x:c r="AX483" s="64" t="n">
        <x:f>-ROUND(AK483*'Drivers'!W483,3)</x:f>
        <x:v>-12.18</x:v>
      </x:c>
      <x:c r="AY483" s="64" t="n">
        <x:f>-ROUND(AK483*'Drivers'!X483,3)</x:f>
        <x:v>-30.031</x:v>
      </x:c>
      <x:c r="AZ483" s="64" t="n">
        <x:f>-ROUND(AK483*'Drivers'!Y483,3)</x:f>
        <x:v>-23.222</x:v>
      </x:c>
      <x:c r="BA483" s="64" t="n">
        <x:f>-ROUND(AK483*'Drivers'!Z483,3)</x:f>
        <x:v>-9.676</x:v>
      </x:c>
      <x:c r="BB483" s="64" t="n">
        <x:f>-ROUND(AK483*'Drivers'!AA483,3)</x:f>
        <x:v>-9.375</x:v>
      </x:c>
      <x:c r="BC483" s="64" t="n">
        <x:f>SUM(BA483,BB483)</x:f>
        <x:v>-19.051000000000002</x:v>
      </x:c>
      <x:c r="BD483" s="64" t="n">
        <x:f>-ROUND(AK483*'Drivers'!AB483,3)</x:f>
        <x:v>-7.598</x:v>
      </x:c>
      <x:c r="BE483" s="64" t="n">
        <x:f>SUM(AX483:BB483,BD483)</x:f>
        <x:v>-92.082</x:v>
      </x:c>
      <x:c r="BF483" s="67" t="n">
        <x:f>'Drivers'!AF483</x:f>
        <x:v>9</x:v>
      </x:c>
      <x:c r="BG483" s="64" t="n">
        <x:f>BJ483</x:f>
        <x:v>-26.03</x:v>
      </x:c>
      <x:c r="BH483" s="64" t="n">
        <x:f>BE483/BF483</x:f>
        <x:v>-10.231333333333332</x:v>
      </x:c>
      <x:c r="BI483" s="68" t="n">
        <x:f>BF483/L483</x:f>
        <x:v>1.8</x:v>
      </x:c>
      <x:c r="BJ483" s="64" t="n">
        <x:f>-ROUND(AK483*'Drivers'!AC483,3)</x:f>
        <x:v>-26.03</x:v>
      </x:c>
      <x:c r="BK483" s="64" t="n">
        <x:f>-ROUND(AK483*'Drivers'!AD483,3)</x:f>
        <x:v>-118.254</x:v>
      </x:c>
      <x:c r="BL483" s="64" t="n">
        <x:f>SUM(AV483,BE483,BJ483,BK483)</x:f>
        <x:v>253.99599999999998</x:v>
      </x:c>
      <x:c r="BM483" s="65" t="n">
        <x:f>BL483/AK483</x:f>
        <x:v>0.20804542342005852</x:v>
      </x:c>
      <x:c r="BN483" s="64" t="n">
        <x:f>-ROUND(AK483*'Drivers'!AE483,3)</x:f>
        <x:v>-98.227</x:v>
      </x:c>
      <x:c r="BO483" s="64" t="n">
        <x:f>BL483+BN483</x:f>
        <x:v>155.76899999999998</x:v>
      </x:c>
      <x:c r="BP483" s="65" t="n">
        <x:f>BO483/AK483</x:f>
        <x:v>0.12758873195136575</x:v>
      </x:c>
    </x:row>
    <x:row r="484">
      <x:c r="A484" s="61" t="n">
        <x:v>2026</x:v>
      </x:c>
      <x:c r="B484" s="18" t="str">
        <x:v>S1</x:v>
      </x:c>
      <x:c r="C484" s="18" t="str">
        <x:v>2026 S1</x:v>
      </x:c>
      <x:c r="D484" s="18" t="str">
        <x:v>CNCT0121</x:v>
      </x:c>
      <x:c r="E484" s="18" t="str">
        <x:v>厦门中华城</x:v>
      </x:c>
      <x:c r="F484" s="18" t="str">
        <x:v>厦门</x:v>
      </x:c>
      <x:c r="G484" s="18" t="str">
        <x:v>福建省</x:v>
      </x:c>
      <x:c r="H484" s="18" t="str">
        <x:v>东区</x:v>
      </x:c>
      <x:c r="I484" s="18" t="str">
        <x:v>Shopping Mall</x:v>
      </x:c>
      <x:c r="J484" s="18" t="str">
        <x:v>Core Shopping Center</x:v>
      </x:c>
      <x:c r="K484" s="18" t="str">
        <x:v>正常</x:v>
      </x:c>
      <x:c r="L484" s="62" t="n">
        <x:v>5</x:v>
      </x:c>
      <x:c r="M484" s="62" t="n">
        <x:v>40</x:v>
      </x:c>
      <x:c r="N484" s="63" t="n">
        <x:f>'Drivers'!C484</x:f>
        <x:v>1418</x:v>
      </x:c>
      <x:c r="O484" s="63" t="n">
        <x:f>'Drivers'!D484</x:f>
        <x:v>1131.27</x:v>
      </x:c>
      <x:c r="P484" s="64" t="n">
        <x:f>ROUND(N484*O484/1000,3)</x:f>
        <x:v>1604.141</x:v>
      </x:c>
      <x:c r="Q484" s="64" t="n">
        <x:f>ROUND(P484*'Drivers'!E484,3)</x:f>
        <x:v>1549.415</x:v>
      </x:c>
      <x:c r="R484" s="64" t="n">
        <x:f>-ROUND(Q484*'Drivers'!F484,3)</x:f>
        <x:v>-274.62</x:v>
      </x:c>
      <x:c r="S484" s="65" t="n">
        <x:f>R484/Q484</x:f>
        <x:v>-0.17724108776538242</x:v>
      </x:c>
      <x:c r="T484" s="64" t="n">
        <x:f>-ROUND(Q484*'Drivers'!G484,3)</x:f>
        <x:v>-13.421</x:v>
      </x:c>
      <x:c r="U484" s="65" t="n">
        <x:f>T484/Q484</x:f>
        <x:v>-0.008661978875898323</x:v>
      </x:c>
      <x:c r="V484" s="64" t="n">
        <x:f>-ROUND(Q484*'Drivers'!H484,3)</x:f>
        <x:v>-18.545</x:v>
      </x:c>
      <x:c r="W484" s="64" t="n">
        <x:f>-ROUND(Q484*'Drivers'!I484,3)</x:f>
        <x:v>-13.017</x:v>
      </x:c>
      <x:c r="X484" s="64" t="n">
        <x:f>-ROUND(Q484*'Drivers'!J484,3)</x:f>
        <x:v>-19.057</x:v>
      </x:c>
      <x:c r="Y484" s="64" t="n">
        <x:f>-ROUND(Q484*'Drivers'!K484,3)</x:f>
        <x:v>-12.432</x:v>
      </x:c>
      <x:c r="Z484" s="64" t="n">
        <x:f>-ROUND(Q484*'Drivers'!L484,3)</x:f>
        <x:v>-16.25</x:v>
      </x:c>
      <x:c r="AA484" s="64" t="n">
        <x:f>-ROUND(Q484*'Drivers'!M484,3)</x:f>
        <x:v>-12.839</x:v>
      </x:c>
      <x:c r="AB484" s="64" t="n">
        <x:f>-ROUND(Q484*'Drivers'!N484,3)</x:f>
        <x:v>-13.238</x:v>
      </x:c>
      <x:c r="AC484" s="64" t="n">
        <x:f>SUM(V484:AB484)</x:f>
        <x:v>-105.378</x:v>
      </x:c>
      <x:c r="AD484" s="65" t="n">
        <x:f>AC484/Q484</x:f>
        <x:v>-0.06801147529874178</x:v>
      </x:c>
      <x:c r="AE484" s="64" t="n">
        <x:f>-ROUND(Q484*'Drivers'!O484,3)</x:f>
        <x:v>-20.378</x:v>
      </x:c>
      <x:c r="AF484" s="65" t="n">
        <x:f>AE484/Q484</x:f>
        <x:v>-0.0131520606164262</x:v>
      </x:c>
      <x:c r="AG484" s="64" t="n">
        <x:f>-ROUND(Q484*'Drivers'!P484,3)</x:f>
        <x:v>-2.488</x:v>
      </x:c>
      <x:c r="AH484" s="64" t="n">
        <x:f>-ROUND(Q484*'Drivers'!Q484,3)</x:f>
        <x:v>-3.112</x:v>
      </x:c>
      <x:c r="AI484" s="64" t="n">
        <x:f>SUM(R484,T484,AC484,AE484,AG484,AH484)</x:f>
        <x:v>-419.397</x:v>
      </x:c>
      <x:c r="AJ484" s="65" t="n">
        <x:f>AI484/Q484</x:f>
        <x:v>-0.2706808698766954</x:v>
      </x:c>
      <x:c r="AK484" s="64" t="n">
        <x:f>Q484+AI484</x:f>
        <x:v>1130.018</x:v>
      </x:c>
      <x:c r="AL484" s="65" t="n">
        <x:f>AK484/Q484</x:f>
        <x:v>0.7293191301233046</x:v>
      </x:c>
      <x:c r="AM484" s="64" t="n">
        <x:f>AK484/L484</x:f>
        <x:v>226.0036</x:v>
      </x:c>
      <x:c r="AN484" s="66" t="str">
        <x:f>IF(AM484&lt;=200,"≤200K",IF(AM484&lt;=350,"200–350K",IF(AM484&lt;=500,"350–500K",IF(AM484&lt;=700,"500–700K","&gt;700K"))))</x:f>
        <x:v>200–350K</x:v>
      </x:c>
      <x:c r="AO484" s="64" t="n">
        <x:f>-ROUND(Q484*'Drivers'!R484,3)</x:f>
        <x:v>-580.308</x:v>
      </x:c>
      <x:c r="AP484" s="64" t="n">
        <x:f>-ROUND(AK484*'Drivers'!S484,3)</x:f>
        <x:v>-16.874</x:v>
      </x:c>
      <x:c r="AQ484" s="64" t="n">
        <x:f>-ROUND(AK484*'Drivers'!T484,3)</x:f>
        <x:v>-3.655</x:v>
      </x:c>
      <x:c r="AR484" s="64" t="n">
        <x:f>-ROUND(AK484*'Drivers'!U484,3)</x:f>
        <x:v>-8.948</x:v>
      </x:c>
      <x:c r="AS484" s="64" t="n">
        <x:f>-ROUND(AK484*'Drivers'!V484,3)</x:f>
        <x:v>-35.288</x:v>
      </x:c>
      <x:c r="AT484" s="64" t="n">
        <x:f>SUM(AO484:AS484)</x:f>
        <x:v>-645.073</x:v>
      </x:c>
      <x:c r="AU484" s="65" t="n">
        <x:f>AT484/AK484</x:f>
        <x:v>-0.5708519687297016</x:v>
      </x:c>
      <x:c r="AV484" s="64" t="n">
        <x:f>AK484+AT484</x:f>
        <x:v>484.94500000000005</x:v>
      </x:c>
      <x:c r="AW484" s="65" t="n">
        <x:f>AV484/AK484</x:f>
        <x:v>0.4291480312702984</x:v>
      </x:c>
      <x:c r="AX484" s="64" t="n">
        <x:f>-ROUND(AK484*'Drivers'!W484,3)</x:f>
        <x:v>-13.872</x:v>
      </x:c>
      <x:c r="AY484" s="64" t="n">
        <x:f>-ROUND(AK484*'Drivers'!X484,3)</x:f>
        <x:v>-34.202</x:v>
      </x:c>
      <x:c r="AZ484" s="64" t="n">
        <x:f>-ROUND(AK484*'Drivers'!Y484,3)</x:f>
        <x:v>-26.448</x:v>
      </x:c>
      <x:c r="BA484" s="64" t="n">
        <x:f>-ROUND(AK484*'Drivers'!Z484,3)</x:f>
        <x:v>-11.02</x:v>
      </x:c>
      <x:c r="BB484" s="64" t="n">
        <x:f>-ROUND(AK484*'Drivers'!AA484,3)</x:f>
        <x:v>-10.677</x:v>
      </x:c>
      <x:c r="BC484" s="64" t="n">
        <x:f>SUM(BA484,BB484)</x:f>
        <x:v>-21.697</x:v>
      </x:c>
      <x:c r="BD484" s="64" t="n">
        <x:f>-ROUND(AK484*'Drivers'!AB484,3)</x:f>
        <x:v>-8.653</x:v>
      </x:c>
      <x:c r="BE484" s="64" t="n">
        <x:f>SUM(AX484:BB484,BD484)</x:f>
        <x:v>-104.872</x:v>
      </x:c>
      <x:c r="BF484" s="67" t="n">
        <x:f>'Drivers'!AF484</x:f>
        <x:v>9</x:v>
      </x:c>
      <x:c r="BG484" s="64" t="n">
        <x:f>BJ484</x:f>
        <x:v>-29.645</x:v>
      </x:c>
      <x:c r="BH484" s="64" t="n">
        <x:f>BE484/BF484</x:f>
        <x:v>-11.652444444444445</x:v>
      </x:c>
      <x:c r="BI484" s="68" t="n">
        <x:f>BF484/L484</x:f>
        <x:v>1.8</x:v>
      </x:c>
      <x:c r="BJ484" s="64" t="n">
        <x:f>-ROUND(AK484*'Drivers'!AC484,3)</x:f>
        <x:v>-29.645</x:v>
      </x:c>
      <x:c r="BK484" s="64" t="n">
        <x:f>-ROUND(AK484*'Drivers'!AD484,3)</x:f>
        <x:v>-109.454</x:v>
      </x:c>
      <x:c r="BL484" s="64" t="n">
        <x:f>SUM(AV484,BE484,BJ484,BK484)</x:f>
        <x:v>240.97400000000005</x:v>
      </x:c>
      <x:c r="BM484" s="65" t="n">
        <x:f>BL484/AK484</x:f>
        <x:v>0.21324793056393795</x:v>
      </x:c>
      <x:c r="BN484" s="64" t="n">
        <x:f>-ROUND(AK484*'Drivers'!AE484,3)</x:f>
        <x:v>-90.918</x:v>
      </x:c>
      <x:c r="BO484" s="64" t="n">
        <x:f>BL484+BN484</x:f>
        <x:v>150.05600000000004</x:v>
      </x:c>
      <x:c r="BP484" s="65" t="n">
        <x:f>BO484/AK484</x:f>
        <x:v>0.13279080510221963</x:v>
      </x:c>
    </x:row>
    <x:row r="485">
      <x:c r="A485" s="61" t="n">
        <x:v>2026</x:v>
      </x:c>
      <x:c r="B485" s="18" t="str">
        <x:v>S2</x:v>
      </x:c>
      <x:c r="C485" s="18" t="str">
        <x:v>2026 S2</x:v>
      </x:c>
      <x:c r="D485" s="18" t="str">
        <x:v>CNCT0121</x:v>
      </x:c>
      <x:c r="E485" s="18" t="str">
        <x:v>厦门中华城</x:v>
      </x:c>
      <x:c r="F485" s="18" t="str">
        <x:v>厦门</x:v>
      </x:c>
      <x:c r="G485" s="18" t="str">
        <x:v>福建省</x:v>
      </x:c>
      <x:c r="H485" s="18" t="str">
        <x:v>东区</x:v>
      </x:c>
      <x:c r="I485" s="18" t="str">
        <x:v>Shopping Mall</x:v>
      </x:c>
      <x:c r="J485" s="18" t="str">
        <x:v>Core Shopping Center</x:v>
      </x:c>
      <x:c r="K485" s="18" t="str">
        <x:v>正常</x:v>
      </x:c>
      <x:c r="L485" s="62" t="n">
        <x:v>5</x:v>
      </x:c>
      <x:c r="M485" s="62" t="n">
        <x:v>40</x:v>
      </x:c>
      <x:c r="N485" s="63" t="n">
        <x:f>'Drivers'!C485</x:f>
        <x:v>1508</x:v>
      </x:c>
      <x:c r="O485" s="63" t="n">
        <x:f>'Drivers'!D485</x:f>
        <x:v>1143.021</x:v>
      </x:c>
      <x:c r="P485" s="64" t="n">
        <x:f>ROUND(N485*O485/1000,3)</x:f>
        <x:v>1723.676</x:v>
      </x:c>
      <x:c r="Q485" s="64" t="n">
        <x:f>ROUND(P485*'Drivers'!E485,3)</x:f>
        <x:v>1662.996</x:v>
      </x:c>
      <x:c r="R485" s="64" t="n">
        <x:f>-ROUND(Q485*'Drivers'!F485,3)</x:f>
        <x:v>-303.326</x:v>
      </x:c>
      <x:c r="S485" s="65" t="n">
        <x:f>R485/Q485</x:f>
        <x:v>-0.18239731183959554</x:v>
      </x:c>
      <x:c r="T485" s="64" t="n">
        <x:f>-ROUND(Q485*'Drivers'!G485,3)</x:f>
        <x:v>-14.698</x:v>
      </x:c>
      <x:c r="U485" s="65" t="n">
        <x:f>T485/Q485</x:f>
        <x:v>-0.008838265395707506</x:v>
      </x:c>
      <x:c r="V485" s="64" t="n">
        <x:f>-ROUND(Q485*'Drivers'!H485,3)</x:f>
        <x:v>-19.904</x:v>
      </x:c>
      <x:c r="W485" s="64" t="n">
        <x:f>-ROUND(Q485*'Drivers'!I485,3)</x:f>
        <x:v>-13.971</x:v>
      </x:c>
      <x:c r="X485" s="64" t="n">
        <x:f>-ROUND(Q485*'Drivers'!J485,3)</x:f>
        <x:v>-20.454</x:v>
      </x:c>
      <x:c r="Y485" s="64" t="n">
        <x:f>-ROUND(Q485*'Drivers'!K485,3)</x:f>
        <x:v>-13.343</x:v>
      </x:c>
      <x:c r="Z485" s="64" t="n">
        <x:f>-ROUND(Q485*'Drivers'!L485,3)</x:f>
        <x:v>-17.442</x:v>
      </x:c>
      <x:c r="AA485" s="64" t="n">
        <x:f>-ROUND(Q485*'Drivers'!M485,3)</x:f>
        <x:v>-13.78</x:v>
      </x:c>
      <x:c r="AB485" s="64" t="n">
        <x:f>-ROUND(Q485*'Drivers'!N485,3)</x:f>
        <x:v>-14.208</x:v>
      </x:c>
      <x:c r="AC485" s="64" t="n">
        <x:f>SUM(V485:AB485)</x:f>
        <x:v>-113.102</x:v>
      </x:c>
      <x:c r="AD485" s="65" t="n">
        <x:f>AC485/Q485</x:f>
        <x:v>-0.06801098739864678</x:v>
      </x:c>
      <x:c r="AE485" s="64" t="n">
        <x:f>-ROUND(Q485*'Drivers'!O485,3)</x:f>
        <x:v>-24.485</x:v>
      </x:c>
      <x:c r="AF485" s="65" t="n">
        <x:f>AE485/Q485</x:f>
        <x:v>-0.014723426875350271</x:v>
      </x:c>
      <x:c r="AG485" s="64" t="n">
        <x:f>-ROUND(Q485*'Drivers'!P485,3)</x:f>
        <x:v>-2.671</x:v>
      </x:c>
      <x:c r="AH485" s="64" t="n">
        <x:f>-ROUND(Q485*'Drivers'!Q485,3)</x:f>
        <x:v>-3.34</x:v>
      </x:c>
      <x:c r="AI485" s="64" t="n">
        <x:f>SUM(R485,T485,AC485,AE485,AG485,AH485)</x:f>
        <x:v>-461.62199999999996</x:v>
      </x:c>
      <x:c r="AJ485" s="65" t="n">
        <x:f>AI485/Q485</x:f>
        <x:v>-0.2775845522178044</x:v>
      </x:c>
      <x:c r="AK485" s="64" t="n">
        <x:f>Q485+AI485</x:f>
        <x:v>1201.3740000000003</x:v>
      </x:c>
      <x:c r="AL485" s="65" t="n">
        <x:f>AK485/Q485</x:f>
        <x:v>0.7224154477821956</x:v>
      </x:c>
      <x:c r="AM485" s="64" t="n">
        <x:f>AK485/L485</x:f>
        <x:v>240.27480000000006</x:v>
      </x:c>
      <x:c r="AN485" s="66" t="str">
        <x:f>IF(AM485&lt;=200,"≤200K",IF(AM485&lt;=350,"200–350K",IF(AM485&lt;=500,"350–500K",IF(AM485&lt;=700,"500–700K","&gt;700K"))))</x:f>
        <x:v>200–350K</x:v>
      </x:c>
      <x:c r="AO485" s="64" t="n">
        <x:f>-ROUND(Q485*'Drivers'!R485,3)</x:f>
        <x:v>-653.435</x:v>
      </x:c>
      <x:c r="AP485" s="64" t="n">
        <x:f>-ROUND(AK485*'Drivers'!S485,3)</x:f>
        <x:v>-17.94</x:v>
      </x:c>
      <x:c r="AQ485" s="64" t="n">
        <x:f>-ROUND(AK485*'Drivers'!T485,3)</x:f>
        <x:v>-3.886</x:v>
      </x:c>
      <x:c r="AR485" s="64" t="n">
        <x:f>-ROUND(AK485*'Drivers'!U485,3)</x:f>
        <x:v>-9.513</x:v>
      </x:c>
      <x:c r="AS485" s="64" t="n">
        <x:f>-ROUND(AK485*'Drivers'!V485,3)</x:f>
        <x:v>-37.516</x:v>
      </x:c>
      <x:c r="AT485" s="64" t="n">
        <x:f>SUM(AO485:AS485)</x:f>
        <x:v>-722.29</x:v>
      </x:c>
      <x:c r="AU485" s="65" t="n">
        <x:f>AT485/AK485</x:f>
        <x:v>-0.6012199365060338</x:v>
      </x:c>
      <x:c r="AV485" s="64" t="n">
        <x:f>AK485+AT485</x:f>
        <x:v>479.0840000000003</x:v>
      </x:c>
      <x:c r="AW485" s="65" t="n">
        <x:f>AV485/AK485</x:f>
        <x:v>0.3987800634939662</x:v>
      </x:c>
      <x:c r="AX485" s="64" t="n">
        <x:f>-ROUND(AK485*'Drivers'!W485,3)</x:f>
        <x:v>-12.705</x:v>
      </x:c>
      <x:c r="AY485" s="64" t="n">
        <x:f>-ROUND(AK485*'Drivers'!X485,3)</x:f>
        <x:v>-31.324</x:v>
      </x:c>
      <x:c r="AZ485" s="64" t="n">
        <x:f>-ROUND(AK485*'Drivers'!Y485,3)</x:f>
        <x:v>-24.223</x:v>
      </x:c>
      <x:c r="BA485" s="64" t="n">
        <x:f>-ROUND(AK485*'Drivers'!Z485,3)</x:f>
        <x:v>-10.093</x:v>
      </x:c>
      <x:c r="BB485" s="64" t="n">
        <x:f>-ROUND(AK485*'Drivers'!AA485,3)</x:f>
        <x:v>-9.779</x:v>
      </x:c>
      <x:c r="BC485" s="64" t="n">
        <x:f>SUM(BA485,BB485)</x:f>
        <x:v>-19.872</x:v>
      </x:c>
      <x:c r="BD485" s="64" t="n">
        <x:f>-ROUND(AK485*'Drivers'!AB485,3)</x:f>
        <x:v>-7.925</x:v>
      </x:c>
      <x:c r="BE485" s="64" t="n">
        <x:f>SUM(AX485:BB485,BD485)</x:f>
        <x:v>-96.049</x:v>
      </x:c>
      <x:c r="BF485" s="67" t="n">
        <x:f>'Drivers'!AF485</x:f>
        <x:v>9</x:v>
      </x:c>
      <x:c r="BG485" s="64" t="n">
        <x:f>BJ485</x:f>
        <x:v>-27.151</x:v>
      </x:c>
      <x:c r="BH485" s="64" t="n">
        <x:f>BE485/BF485</x:f>
        <x:v>-10.672111111111112</x:v>
      </x:c>
      <x:c r="BI485" s="68" t="n">
        <x:f>BF485/L485</x:f>
        <x:v>1.8</x:v>
      </x:c>
      <x:c r="BJ485" s="64" t="n">
        <x:f>-ROUND(AK485*'Drivers'!AC485,3)</x:f>
        <x:v>-27.151</x:v>
      </x:c>
      <x:c r="BK485" s="64" t="n">
        <x:f>-ROUND(AK485*'Drivers'!AD485,3)</x:f>
        <x:v>-116.366</x:v>
      </x:c>
      <x:c r="BL485" s="64" t="n">
        <x:f>SUM(AV485,BE485,BJ485,BK485)</x:f>
        <x:v>239.5180000000003</x:v>
      </x:c>
      <x:c r="BM485" s="65" t="n">
        <x:f>BL485/AK485</x:f>
        <x:v>0.19937005462079274</x:v>
      </x:c>
      <x:c r="BN485" s="64" t="n">
        <x:f>-ROUND(AK485*'Drivers'!AE485,3)</x:f>
        <x:v>-96.659</x:v>
      </x:c>
      <x:c r="BO485" s="64" t="n">
        <x:f>BL485+BN485</x:f>
        <x:v>142.85900000000032</x:v>
      </x:c>
      <x:c r="BP485" s="65" t="n">
        <x:f>BO485/AK485</x:f>
        <x:v>0.11891301126876418</x:v>
      </x:c>
    </x:row>
    <x:row r="486">
      <x:c r="A486" s="61" t="n">
        <x:v>2025</x:v>
      </x:c>
      <x:c r="B486" s="18" t="str">
        <x:v>S1</x:v>
      </x:c>
      <x:c r="C486" s="18" t="str">
        <x:v>2025 S1</x:v>
      </x:c>
      <x:c r="D486" s="18" t="str">
        <x:v>CNCT0122</x:v>
      </x:c>
      <x:c r="E486" s="18" t="str">
        <x:v>厦门海上世界</x:v>
      </x:c>
      <x:c r="F486" s="18" t="str">
        <x:v>厦门</x:v>
      </x:c>
      <x:c r="G486" s="18" t="str">
        <x:v>福建省</x:v>
      </x:c>
      <x:c r="H486" s="18" t="str">
        <x:v>东区</x:v>
      </x:c>
      <x:c r="I486" s="18" t="str">
        <x:v>Shopping Mall</x:v>
      </x:c>
      <x:c r="J486" s="18" t="str">
        <x:v>Core Shopping Center</x:v>
      </x:c>
      <x:c r="K486" s="18" t="str">
        <x:v>正常</x:v>
      </x:c>
      <x:c r="L486" s="62" t="n">
        <x:v>4</x:v>
      </x:c>
      <x:c r="M486" s="62" t="n">
        <x:v>40</x:v>
      </x:c>
      <x:c r="N486" s="63" t="n">
        <x:f>'Drivers'!C486</x:f>
        <x:v>1405</x:v>
      </x:c>
      <x:c r="O486" s="63" t="n">
        <x:f>'Drivers'!D486</x:f>
        <x:v>1048.351</x:v>
      </x:c>
      <x:c r="P486" s="64" t="n">
        <x:f>ROUND(N486*O486/1000,3)</x:f>
        <x:v>1472.933</x:v>
      </x:c>
      <x:c r="Q486" s="64" t="n">
        <x:f>ROUND(P486*'Drivers'!E486,3)</x:f>
        <x:v>1415.573</x:v>
      </x:c>
      <x:c r="R486" s="64" t="n">
        <x:f>-ROUND(Q486*'Drivers'!F486,3)</x:f>
        <x:v>-237.467</x:v>
      </x:c>
      <x:c r="S486" s="65" t="n">
        <x:f>R486/Q486</x:f>
        <x:v>-0.1677532702305003</x:v>
      </x:c>
      <x:c r="T486" s="64" t="n">
        <x:f>-ROUND(Q486*'Drivers'!G486,3)</x:f>
        <x:v>-16.941</x:v>
      </x:c>
      <x:c r="U486" s="65" t="n">
        <x:f>T486/Q486</x:f>
        <x:v>-0.011967591922140362</x:v>
      </x:c>
      <x:c r="V486" s="64" t="n">
        <x:f>-ROUND(Q486*'Drivers'!H486,3)</x:f>
        <x:v>-11.282</x:v>
      </x:c>
      <x:c r="W486" s="64" t="n">
        <x:f>-ROUND(Q486*'Drivers'!I486,3)</x:f>
        <x:v>-12.262</x:v>
      </x:c>
      <x:c r="X486" s="64" t="n">
        <x:f>-ROUND(Q486*'Drivers'!J486,3)</x:f>
        <x:v>-24.211</x:v>
      </x:c>
      <x:c r="Y486" s="64" t="n">
        <x:f>-ROUND(Q486*'Drivers'!K486,3)</x:f>
        <x:v>-19.113</x:v>
      </x:c>
      <x:c r="Z486" s="64" t="n">
        <x:f>-ROUND(Q486*'Drivers'!L486,3)</x:f>
        <x:v>-19.618</x:v>
      </x:c>
      <x:c r="AA486" s="64" t="n">
        <x:f>-ROUND(Q486*'Drivers'!M486,3)</x:f>
        <x:v>-14.636</x:v>
      </x:c>
      <x:c r="AB486" s="64" t="n">
        <x:f>-ROUND(Q486*'Drivers'!N486,3)</x:f>
        <x:v>-9.757</x:v>
      </x:c>
      <x:c r="AC486" s="64" t="n">
        <x:f>SUM(V486:AB486)</x:f>
        <x:v>-110.87899999999999</x:v>
      </x:c>
      <x:c r="AD486" s="65" t="n">
        <x:f>AC486/Q486</x:f>
        <x:v>-0.0783279986267045</x:v>
      </x:c>
      <x:c r="AE486" s="64" t="n">
        <x:f>-ROUND(Q486*'Drivers'!O486,3)</x:f>
        <x:v>-10.908</x:v>
      </x:c>
      <x:c r="AF486" s="65" t="n">
        <x:f>AE486/Q486</x:f>
        <x:v>-0.007705713516717258</x:v>
      </x:c>
      <x:c r="AG486" s="64" t="n">
        <x:f>-ROUND(Q486*'Drivers'!P486,3)</x:f>
        <x:v>-0.756</x:v>
      </x:c>
      <x:c r="AH486" s="64" t="n">
        <x:f>-ROUND(Q486*'Drivers'!Q486,3)</x:f>
        <x:v>-3.557</x:v>
      </x:c>
      <x:c r="AI486" s="64" t="n">
        <x:f>SUM(R486,T486,AC486,AE486,AG486,AH486)</x:f>
        <x:v>-380.50800000000004</x:v>
      </x:c>
      <x:c r="AJ486" s="65" t="n">
        <x:f>AI486/Q486</x:f>
        <x:v>-0.26880139703144945</x:v>
      </x:c>
      <x:c r="AK486" s="64" t="n">
        <x:f>Q486+AI486</x:f>
        <x:v>1035.065</x:v>
      </x:c>
      <x:c r="AL486" s="65" t="n">
        <x:f>AK486/Q486</x:f>
        <x:v>0.7311986029685505</x:v>
      </x:c>
      <x:c r="AM486" s="64" t="n">
        <x:f>AK486/L486</x:f>
        <x:v>258.76625</x:v>
      </x:c>
      <x:c r="AN486" s="66" t="str">
        <x:f>IF(AM486&lt;=200,"≤200K",IF(AM486&lt;=350,"200–350K",IF(AM486&lt;=500,"350–500K",IF(AM486&lt;=700,"500–700K","&gt;700K"))))</x:f>
        <x:v>200–350K</x:v>
      </x:c>
      <x:c r="AO486" s="64" t="n">
        <x:f>-ROUND(Q486*'Drivers'!R486,3)</x:f>
        <x:v>-525.972</x:v>
      </x:c>
      <x:c r="AP486" s="64" t="n">
        <x:f>-ROUND(AK486*'Drivers'!S486,3)</x:f>
        <x:v>-16.882</x:v>
      </x:c>
      <x:c r="AQ486" s="64" t="n">
        <x:f>-ROUND(AK486*'Drivers'!T486,3)</x:f>
        <x:v>-5.088</x:v>
      </x:c>
      <x:c r="AR486" s="64" t="n">
        <x:f>-ROUND(AK486*'Drivers'!U486,3)</x:f>
        <x:v>-13.004</x:v>
      </x:c>
      <x:c r="AS486" s="64" t="n">
        <x:f>-ROUND(AK486*'Drivers'!V486,3)</x:f>
        <x:v>-33.766</x:v>
      </x:c>
      <x:c r="AT486" s="64" t="n">
        <x:f>SUM(AO486:AS486)</x:f>
        <x:v>-594.7119999999999</x:v>
      </x:c>
      <x:c r="AU486" s="65" t="n">
        <x:f>AT486/AK486</x:f>
        <x:v>-0.5745648823986897</x:v>
      </x:c>
      <x:c r="AV486" s="64" t="n">
        <x:f>AK486+AT486</x:f>
        <x:v>440.3530000000002</x:v>
      </x:c>
      <x:c r="AW486" s="65" t="n">
        <x:f>AV486/AK486</x:f>
        <x:v>0.4254351176013102</x:v>
      </x:c>
      <x:c r="AX486" s="64" t="n">
        <x:f>-ROUND(AK486*'Drivers'!W486,3)</x:f>
        <x:v>-14.999</x:v>
      </x:c>
      <x:c r="AY486" s="64" t="n">
        <x:f>-ROUND(AK486*'Drivers'!X486,3)</x:f>
        <x:v>-21.247</x:v>
      </x:c>
      <x:c r="AZ486" s="64" t="n">
        <x:f>-ROUND(AK486*'Drivers'!Y486,3)</x:f>
        <x:v>-18.191</x:v>
      </x:c>
      <x:c r="BA486" s="64" t="n">
        <x:f>-ROUND(AK486*'Drivers'!Z486,3)</x:f>
        <x:v>-4.432</x:v>
      </x:c>
      <x:c r="BB486" s="64" t="n">
        <x:f>-ROUND(AK486*'Drivers'!AA486,3)</x:f>
        <x:v>-6.3</x:v>
      </x:c>
      <x:c r="BC486" s="64" t="n">
        <x:f>SUM(BA486,BB486)</x:f>
        <x:v>-10.732</x:v>
      </x:c>
      <x:c r="BD486" s="64" t="n">
        <x:f>-ROUND(AK486*'Drivers'!AB486,3)</x:f>
        <x:v>-3.18</x:v>
      </x:c>
      <x:c r="BE486" s="64" t="n">
        <x:f>SUM(AX486:BB486,BD486)</x:f>
        <x:v>-68.349</x:v>
      </x:c>
      <x:c r="BF486" s="67" t="n">
        <x:f>'Drivers'!AF486</x:f>
        <x:v>6</x:v>
      </x:c>
      <x:c r="BG486" s="64" t="n">
        <x:f>BJ486</x:f>
        <x:v>-24.244</x:v>
      </x:c>
      <x:c r="BH486" s="64" t="n">
        <x:f>BE486/BF486</x:f>
        <x:v>-11.3915</x:v>
      </x:c>
      <x:c r="BI486" s="68" t="n">
        <x:f>BF486/L486</x:f>
        <x:v>1.5</x:v>
      </x:c>
      <x:c r="BJ486" s="64" t="n">
        <x:f>-ROUND(AK486*'Drivers'!AC486,3)</x:f>
        <x:v>-24.244</x:v>
      </x:c>
      <x:c r="BK486" s="64" t="n">
        <x:f>-ROUND(AK486*'Drivers'!AD486,3)</x:f>
        <x:v>-112.402</x:v>
      </x:c>
      <x:c r="BL486" s="64" t="n">
        <x:f>SUM(AV486,BE486,BJ486,BK486)</x:f>
        <x:v>235.35800000000023</x:v>
      </x:c>
      <x:c r="BM486" s="65" t="n">
        <x:f>BL486/AK486</x:f>
        <x:v>0.22738475361450752</x:v>
      </x:c>
      <x:c r="BN486" s="64" t="n">
        <x:f>-ROUND(AK486*'Drivers'!AE486,3)</x:f>
        <x:v>-75.596</x:v>
      </x:c>
      <x:c r="BO486" s="64" t="n">
        <x:f>BL486+BN486</x:f>
        <x:v>159.76200000000023</x:v>
      </x:c>
      <x:c r="BP486" s="65" t="n">
        <x:f>BO486/AK486</x:f>
        <x:v>0.1543497268287501</x:v>
      </x:c>
    </x:row>
    <x:row r="487">
      <x:c r="A487" s="61" t="n">
        <x:v>2025</x:v>
      </x:c>
      <x:c r="B487" s="18" t="str">
        <x:v>S2</x:v>
      </x:c>
      <x:c r="C487" s="18" t="str">
        <x:v>2025 S2</x:v>
      </x:c>
      <x:c r="D487" s="18" t="str">
        <x:v>CNCT0122</x:v>
      </x:c>
      <x:c r="E487" s="18" t="str">
        <x:v>厦门海上世界</x:v>
      </x:c>
      <x:c r="F487" s="18" t="str">
        <x:v>厦门</x:v>
      </x:c>
      <x:c r="G487" s="18" t="str">
        <x:v>福建省</x:v>
      </x:c>
      <x:c r="H487" s="18" t="str">
        <x:v>东区</x:v>
      </x:c>
      <x:c r="I487" s="18" t="str">
        <x:v>Shopping Mall</x:v>
      </x:c>
      <x:c r="J487" s="18" t="str">
        <x:v>Core Shopping Center</x:v>
      </x:c>
      <x:c r="K487" s="18" t="str">
        <x:v>正常</x:v>
      </x:c>
      <x:c r="L487" s="62" t="n">
        <x:v>4</x:v>
      </x:c>
      <x:c r="M487" s="62" t="n">
        <x:v>40</x:v>
      </x:c>
      <x:c r="N487" s="63" t="n">
        <x:f>'Drivers'!C487</x:f>
        <x:v>1521</x:v>
      </x:c>
      <x:c r="O487" s="63" t="n">
        <x:f>'Drivers'!D487</x:f>
        <x:v>1060.931</x:v>
      </x:c>
      <x:c r="P487" s="64" t="n">
        <x:f>ROUND(N487*O487/1000,3)</x:f>
        <x:v>1613.676</x:v>
      </x:c>
      <x:c r="Q487" s="64" t="n">
        <x:f>ROUND(P487*'Drivers'!E487,3)</x:f>
        <x:v>1570.083</x:v>
      </x:c>
      <x:c r="R487" s="64" t="n">
        <x:f>-ROUND(Q487*'Drivers'!F487,3)</x:f>
        <x:v>-263.386</x:v>
      </x:c>
      <x:c r="S487" s="65" t="n">
        <x:f>R487/Q487</x:f>
        <x:v>-0.16775291497328484</x:v>
      </x:c>
      <x:c r="T487" s="64" t="n">
        <x:f>-ROUND(Q487*'Drivers'!G487,3)</x:f>
        <x:v>-18.79</x:v>
      </x:c>
      <x:c r="U487" s="65" t="n">
        <x:f>T487/Q487</x:f>
        <x:v>-0.011967520188423158</x:v>
      </x:c>
      <x:c r="V487" s="64" t="n">
        <x:f>-ROUND(Q487*'Drivers'!H487,3)</x:f>
        <x:v>-12.514</x:v>
      </x:c>
      <x:c r="W487" s="64" t="n">
        <x:f>-ROUND(Q487*'Drivers'!I487,3)</x:f>
        <x:v>-13.601</x:v>
      </x:c>
      <x:c r="X487" s="64" t="n">
        <x:f>-ROUND(Q487*'Drivers'!J487,3)</x:f>
        <x:v>-26.853</x:v>
      </x:c>
      <x:c r="Y487" s="64" t="n">
        <x:f>-ROUND(Q487*'Drivers'!K487,3)</x:f>
        <x:v>-21.2</x:v>
      </x:c>
      <x:c r="Z487" s="64" t="n">
        <x:f>-ROUND(Q487*'Drivers'!L487,3)</x:f>
        <x:v>-21.759</x:v>
      </x:c>
      <x:c r="AA487" s="64" t="n">
        <x:f>-ROUND(Q487*'Drivers'!M487,3)</x:f>
        <x:v>-16.233</x:v>
      </x:c>
      <x:c r="AB487" s="64" t="n">
        <x:f>-ROUND(Q487*'Drivers'!N487,3)</x:f>
        <x:v>-10.822</x:v>
      </x:c>
      <x:c r="AC487" s="64" t="n">
        <x:f>SUM(V487:AB487)</x:f>
        <x:v>-122.98200000000001</x:v>
      </x:c>
      <x:c r="AD487" s="65" t="n">
        <x:f>AC487/Q487</x:f>
        <x:v>-0.07832834315128563</x:v>
      </x:c>
      <x:c r="AE487" s="64" t="n">
        <x:f>-ROUND(Q487*'Drivers'!O487,3)</x:f>
        <x:v>-12.098</x:v>
      </x:c>
      <x:c r="AF487" s="65" t="n">
        <x:f>AE487/Q487</x:f>
        <x:v>-0.007705325132492996</x:v>
      </x:c>
      <x:c r="AG487" s="64" t="n">
        <x:f>-ROUND(Q487*'Drivers'!P487,3)</x:f>
        <x:v>-0.839</x:v>
      </x:c>
      <x:c r="AH487" s="64" t="n">
        <x:f>-ROUND(Q487*'Drivers'!Q487,3)</x:f>
        <x:v>-3.946</x:v>
      </x:c>
      <x:c r="AI487" s="64" t="n">
        <x:f>SUM(R487,T487,AC487,AE487,AG487,AH487)</x:f>
        <x:v>-422.0410000000001</x:v>
      </x:c>
      <x:c r="AJ487" s="65" t="n">
        <x:f>AI487/Q487</x:f>
        <x:v>-0.2688017130304577</x:v>
      </x:c>
      <x:c r="AK487" s="64" t="n">
        <x:f>Q487+AI487</x:f>
        <x:v>1148.042</x:v>
      </x:c>
      <x:c r="AL487" s="65" t="n">
        <x:f>AK487/Q487</x:f>
        <x:v>0.7311982869695423</x:v>
      </x:c>
      <x:c r="AM487" s="64" t="n">
        <x:f>AK487/L487</x:f>
        <x:v>287.0105</x:v>
      </x:c>
      <x:c r="AN487" s="66" t="str">
        <x:f>IF(AM487&lt;=200,"≤200K",IF(AM487&lt;=350,"200–350K",IF(AM487&lt;=500,"350–500K",IF(AM487&lt;=700,"500–700K","&gt;700K"))))</x:f>
        <x:v>200–350K</x:v>
      </x:c>
      <x:c r="AO487" s="64" t="n">
        <x:f>-ROUND(Q487*'Drivers'!R487,3)</x:f>
        <x:v>-580.525</x:v>
      </x:c>
      <x:c r="AP487" s="64" t="n">
        <x:f>-ROUND(AK487*'Drivers'!S487,3)</x:f>
        <x:v>-18.724</x:v>
      </x:c>
      <x:c r="AQ487" s="64" t="n">
        <x:f>-ROUND(AK487*'Drivers'!T487,3)</x:f>
        <x:v>-5.643</x:v>
      </x:c>
      <x:c r="AR487" s="64" t="n">
        <x:f>-ROUND(AK487*'Drivers'!U487,3)</x:f>
        <x:v>-14.423</x:v>
      </x:c>
      <x:c r="AS487" s="64" t="n">
        <x:f>-ROUND(AK487*'Drivers'!V487,3)</x:f>
        <x:v>-37.452</x:v>
      </x:c>
      <x:c r="AT487" s="64" t="n">
        <x:f>SUM(AO487:AS487)</x:f>
        <x:v>-656.767</x:v>
      </x:c>
      <x:c r="AU487" s="65" t="n">
        <x:f>AT487/AK487</x:f>
        <x:v>-0.572075760294484</x:v>
      </x:c>
      <x:c r="AV487" s="64" t="n">
        <x:f>AK487+AT487</x:f>
        <x:v>491.27499999999986</x:v>
      </x:c>
      <x:c r="AW487" s="65" t="n">
        <x:f>AV487/AK487</x:f>
        <x:v>0.4279242397055159</x:v>
      </x:c>
      <x:c r="AX487" s="64" t="n">
        <x:f>-ROUND(AK487*'Drivers'!W487,3)</x:f>
        <x:v>-16.636</x:v>
      </x:c>
      <x:c r="AY487" s="64" t="n">
        <x:f>-ROUND(AK487*'Drivers'!X487,3)</x:f>
        <x:v>-23.566</x:v>
      </x:c>
      <x:c r="AZ487" s="64" t="n">
        <x:f>-ROUND(AK487*'Drivers'!Y487,3)</x:f>
        <x:v>-20.176</x:v>
      </x:c>
      <x:c r="BA487" s="64" t="n">
        <x:f>-ROUND(AK487*'Drivers'!Z487,3)</x:f>
        <x:v>-4.915</x:v>
      </x:c>
      <x:c r="BB487" s="64" t="n">
        <x:f>-ROUND(AK487*'Drivers'!AA487,3)</x:f>
        <x:v>-6.987</x:v>
      </x:c>
      <x:c r="BC487" s="64" t="n">
        <x:f>SUM(BA487,BB487)</x:f>
        <x:v>-11.902000000000001</x:v>
      </x:c>
      <x:c r="BD487" s="64" t="n">
        <x:f>-ROUND(AK487*'Drivers'!AB487,3)</x:f>
        <x:v>-3.528</x:v>
      </x:c>
      <x:c r="BE487" s="64" t="n">
        <x:f>SUM(AX487:BB487,BD487)</x:f>
        <x:v>-75.808</x:v>
      </x:c>
      <x:c r="BF487" s="67" t="n">
        <x:f>'Drivers'!AF487</x:f>
        <x:v>6</x:v>
      </x:c>
      <x:c r="BG487" s="64" t="n">
        <x:f>BJ487</x:f>
        <x:v>-26.89</x:v>
      </x:c>
      <x:c r="BH487" s="64" t="n">
        <x:f>BE487/BF487</x:f>
        <x:v>-12.634666666666668</x:v>
      </x:c>
      <x:c r="BI487" s="68" t="n">
        <x:f>BF487/L487</x:f>
        <x:v>1.5</x:v>
      </x:c>
      <x:c r="BJ487" s="64" t="n">
        <x:f>-ROUND(AK487*'Drivers'!AC487,3)</x:f>
        <x:v>-26.89</x:v>
      </x:c>
      <x:c r="BK487" s="64" t="n">
        <x:f>-ROUND(AK487*'Drivers'!AD487,3)</x:f>
        <x:v>-124.671</x:v>
      </x:c>
      <x:c r="BL487" s="64" t="n">
        <x:f>SUM(AV487,BE487,BJ487,BK487)</x:f>
        <x:v>263.9059999999999</x:v>
      </x:c>
      <x:c r="BM487" s="65" t="n">
        <x:f>BL487/AK487</x:f>
        <x:v>0.22987486520527986</x:v>
      </x:c>
      <x:c r="BN487" s="64" t="n">
        <x:f>-ROUND(AK487*'Drivers'!AE487,3)</x:f>
        <x:v>-83.847</x:v>
      </x:c>
      <x:c r="BO487" s="64" t="n">
        <x:f>BL487+BN487</x:f>
        <x:v>180.0589999999999</x:v>
      </x:c>
      <x:c r="BP487" s="65" t="n">
        <x:f>BO487/AK487</x:f>
        <x:v>0.15684008076359568</x:v>
      </x:c>
    </x:row>
    <x:row r="488">
      <x:c r="A488" s="61" t="n">
        <x:v>2026</x:v>
      </x:c>
      <x:c r="B488" s="18" t="str">
        <x:v>S1</x:v>
      </x:c>
      <x:c r="C488" s="18" t="str">
        <x:v>2026 S1</x:v>
      </x:c>
      <x:c r="D488" s="18" t="str">
        <x:v>CNCT0122</x:v>
      </x:c>
      <x:c r="E488" s="18" t="str">
        <x:v>厦门海上世界</x:v>
      </x:c>
      <x:c r="F488" s="18" t="str">
        <x:v>厦门</x:v>
      </x:c>
      <x:c r="G488" s="18" t="str">
        <x:v>福建省</x:v>
      </x:c>
      <x:c r="H488" s="18" t="str">
        <x:v>东区</x:v>
      </x:c>
      <x:c r="I488" s="18" t="str">
        <x:v>Shopping Mall</x:v>
      </x:c>
      <x:c r="J488" s="18" t="str">
        <x:v>Core Shopping Center</x:v>
      </x:c>
      <x:c r="K488" s="18" t="str">
        <x:v>正常</x:v>
      </x:c>
      <x:c r="L488" s="62" t="n">
        <x:v>4</x:v>
      </x:c>
      <x:c r="M488" s="62" t="n">
        <x:v>40</x:v>
      </x:c>
      <x:c r="N488" s="63" t="n">
        <x:f>'Drivers'!C488</x:f>
        <x:v>1389</x:v>
      </x:c>
      <x:c r="O488" s="63" t="n">
        <x:f>'Drivers'!D488</x:f>
        <x:v>1085.909</x:v>
      </x:c>
      <x:c r="P488" s="64" t="n">
        <x:f>ROUND(N488*O488/1000,3)</x:f>
        <x:v>1508.328</x:v>
      </x:c>
      <x:c r="Q488" s="64" t="n">
        <x:f>ROUND(P488*'Drivers'!E488,3)</x:f>
        <x:v>1454.62</x:v>
      </x:c>
      <x:c r="R488" s="64" t="n">
        <x:f>-ROUND(Q488*'Drivers'!F488,3)</x:f>
        <x:v>-249.114</x:v>
      </x:c>
      <x:c r="S488" s="65" t="n">
        <x:f>R488/Q488</x:f>
        <x:v>-0.17125709807372375</x:v>
      </x:c>
      <x:c r="T488" s="64" t="n">
        <x:f>-ROUND(Q488*'Drivers'!G488,3)</x:f>
        <x:v>-17.401</x:v>
      </x:c>
      <x:c r="U488" s="65" t="n">
        <x:f>T488/Q488</x:f>
        <x:v>-0.011962574418061075</x:v>
      </x:c>
      <x:c r="V488" s="64" t="n">
        <x:f>-ROUND(Q488*'Drivers'!H488,3)</x:f>
        <x:v>-11.594</x:v>
      </x:c>
      <x:c r="W488" s="64" t="n">
        <x:f>-ROUND(Q488*'Drivers'!I488,3)</x:f>
        <x:v>-12.601</x:v>
      </x:c>
      <x:c r="X488" s="64" t="n">
        <x:f>-ROUND(Q488*'Drivers'!J488,3)</x:f>
        <x:v>-24.878</x:v>
      </x:c>
      <x:c r="Y488" s="64" t="n">
        <x:f>-ROUND(Q488*'Drivers'!K488,3)</x:f>
        <x:v>-19.641</x:v>
      </x:c>
      <x:c r="Z488" s="64" t="n">
        <x:f>-ROUND(Q488*'Drivers'!L488,3)</x:f>
        <x:v>-20.159</x:v>
      </x:c>
      <x:c r="AA488" s="64" t="n">
        <x:f>-ROUND(Q488*'Drivers'!M488,3)</x:f>
        <x:v>-15.04</x:v>
      </x:c>
      <x:c r="AB488" s="64" t="n">
        <x:f>-ROUND(Q488*'Drivers'!N488,3)</x:f>
        <x:v>-10.026</x:v>
      </x:c>
      <x:c r="AC488" s="64" t="n">
        <x:f>SUM(V488:AB488)</x:f>
        <x:v>-113.93899999999998</x:v>
      </x:c>
      <x:c r="AD488" s="65" t="n">
        <x:f>AC488/Q488</x:f>
        <x:v>-0.07832904813628301</x:v>
      </x:c>
      <x:c r="AE488" s="64" t="n">
        <x:f>-ROUND(Q488*'Drivers'!O488,3)</x:f>
        <x:v>-8.68</x:v>
      </x:c>
      <x:c r="AF488" s="65" t="n">
        <x:f>AE488/Q488</x:f>
        <x:v>-0.0059671941812982085</x:v>
      </x:c>
      <x:c r="AG488" s="64" t="n">
        <x:f>-ROUND(Q488*'Drivers'!P488,3)</x:f>
        <x:v>-0.777</x:v>
      </x:c>
      <x:c r="AH488" s="64" t="n">
        <x:f>-ROUND(Q488*'Drivers'!Q488,3)</x:f>
        <x:v>-3.655</x:v>
      </x:c>
      <x:c r="AI488" s="64" t="n">
        <x:f>SUM(R488,T488,AC488,AE488,AG488,AH488)</x:f>
        <x:v>-393.5659999999999</x:v>
      </x:c>
      <x:c r="AJ488" s="65" t="n">
        <x:f>AI488/Q488</x:f>
        <x:v>-0.27056275865861873</x:v>
      </x:c>
      <x:c r="AK488" s="64" t="n">
        <x:f>Q488+AI488</x:f>
        <x:v>1061.054</x:v>
      </x:c>
      <x:c r="AL488" s="65" t="n">
        <x:f>AK488/Q488</x:f>
        <x:v>0.7294372413413813</x:v>
      </x:c>
      <x:c r="AM488" s="64" t="n">
        <x:f>AK488/L488</x:f>
        <x:v>265.2635</x:v>
      </x:c>
      <x:c r="AN488" s="66" t="str">
        <x:f>IF(AM488&lt;=200,"≤200K",IF(AM488&lt;=350,"200–350K",IF(AM488&lt;=500,"350–500K",IF(AM488&lt;=700,"500–700K","&gt;700K"))))</x:f>
        <x:v>200–350K</x:v>
      </x:c>
      <x:c r="AO488" s="64" t="n">
        <x:f>-ROUND(Q488*'Drivers'!R488,3)</x:f>
        <x:v>-542.261</x:v>
      </x:c>
      <x:c r="AP488" s="64" t="n">
        <x:f>-ROUND(AK488*'Drivers'!S488,3)</x:f>
        <x:v>-17.305</x:v>
      </x:c>
      <x:c r="AQ488" s="64" t="n">
        <x:f>-ROUND(AK488*'Drivers'!T488,3)</x:f>
        <x:v>-5.216</x:v>
      </x:c>
      <x:c r="AR488" s="64" t="n">
        <x:f>-ROUND(AK488*'Drivers'!U488,3)</x:f>
        <x:v>-13.33</x:v>
      </x:c>
      <x:c r="AS488" s="64" t="n">
        <x:f>-ROUND(AK488*'Drivers'!V488,3)</x:f>
        <x:v>-34.614</x:v>
      </x:c>
      <x:c r="AT488" s="64" t="n">
        <x:f>SUM(AO488:AS488)</x:f>
        <x:v>-612.726</x:v>
      </x:c>
      <x:c r="AU488" s="65" t="n">
        <x:f>AT488/AK488</x:f>
        <x:v>-0.5774691957242515</x:v>
      </x:c>
      <x:c r="AV488" s="64" t="n">
        <x:f>AK488+AT488</x:f>
        <x:v>448.3280000000001</x:v>
      </x:c>
      <x:c r="AW488" s="65" t="n">
        <x:f>AV488/AK488</x:f>
        <x:v>0.4225308042757485</x:v>
      </x:c>
      <x:c r="AX488" s="64" t="n">
        <x:f>-ROUND(AK488*'Drivers'!W488,3)</x:f>
        <x:v>-18.919</x:v>
      </x:c>
      <x:c r="AY488" s="64" t="n">
        <x:f>-ROUND(AK488*'Drivers'!X488,3)</x:f>
        <x:v>-26.8</x:v>
      </x:c>
      <x:c r="AZ488" s="64" t="n">
        <x:f>-ROUND(AK488*'Drivers'!Y488,3)</x:f>
        <x:v>-22.945</x:v>
      </x:c>
      <x:c r="BA488" s="64" t="n">
        <x:f>-ROUND(AK488*'Drivers'!Z488,3)</x:f>
        <x:v>-5.59</x:v>
      </x:c>
      <x:c r="BB488" s="64" t="n">
        <x:f>-ROUND(AK488*'Drivers'!AA488,3)</x:f>
        <x:v>-7.946</x:v>
      </x:c>
      <x:c r="BC488" s="64" t="n">
        <x:f>SUM(BA488,BB488)</x:f>
        <x:v>-13.536</x:v>
      </x:c>
      <x:c r="BD488" s="64" t="n">
        <x:f>-ROUND(AK488*'Drivers'!AB488,3)</x:f>
        <x:v>-4.012</x:v>
      </x:c>
      <x:c r="BE488" s="64" t="n">
        <x:f>SUM(AX488:BB488,BD488)</x:f>
        <x:v>-86.212</x:v>
      </x:c>
      <x:c r="BF488" s="67" t="n">
        <x:f>'Drivers'!AF488</x:f>
        <x:v>6</x:v>
      </x:c>
      <x:c r="BG488" s="64" t="n">
        <x:f>BJ488</x:f>
        <x:v>-30.58</x:v>
      </x:c>
      <x:c r="BH488" s="64" t="n">
        <x:f>BE488/BF488</x:f>
        <x:v>-14.368666666666668</x:v>
      </x:c>
      <x:c r="BI488" s="68" t="n">
        <x:f>BF488/L488</x:f>
        <x:v>1.5</x:v>
      </x:c>
      <x:c r="BJ488" s="64" t="n">
        <x:f>-ROUND(AK488*'Drivers'!AC488,3)</x:f>
        <x:v>-30.58</x:v>
      </x:c>
      <x:c r="BK488" s="64" t="n">
        <x:f>-ROUND(AK488*'Drivers'!AD488,3)</x:f>
        <x:v>-115.224</x:v>
      </x:c>
      <x:c r="BL488" s="64" t="n">
        <x:f>SUM(AV488,BE488,BJ488,BK488)</x:f>
        <x:v>216.31200000000013</x:v>
      </x:c>
      <x:c r="BM488" s="65" t="n">
        <x:f>BL488/AK488</x:f>
        <x:v>0.20386521326907028</x:v>
      </x:c>
      <x:c r="BN488" s="64" t="n">
        <x:f>-ROUND(AK488*'Drivers'!AE488,3)</x:f>
        <x:v>-77.494</x:v>
      </x:c>
      <x:c r="BO488" s="64" t="n">
        <x:f>BL488+BN488</x:f>
        <x:v>138.81800000000013</x:v>
      </x:c>
      <x:c r="BP488" s="65" t="n">
        <x:f>BO488/AK488</x:f>
        <x:v>0.13083028761966886</x:v>
      </x:c>
    </x:row>
    <x:row r="489">
      <x:c r="A489" s="61" t="n">
        <x:v>2026</x:v>
      </x:c>
      <x:c r="B489" s="18" t="str">
        <x:v>S2</x:v>
      </x:c>
      <x:c r="C489" s="18" t="str">
        <x:v>2026 S2</x:v>
      </x:c>
      <x:c r="D489" s="18" t="str">
        <x:v>CNCT0122</x:v>
      </x:c>
      <x:c r="E489" s="18" t="str">
        <x:v>厦门海上世界</x:v>
      </x:c>
      <x:c r="F489" s="18" t="str">
        <x:v>厦门</x:v>
      </x:c>
      <x:c r="G489" s="18" t="str">
        <x:v>福建省</x:v>
      </x:c>
      <x:c r="H489" s="18" t="str">
        <x:v>东区</x:v>
      </x:c>
      <x:c r="I489" s="18" t="str">
        <x:v>Shopping Mall</x:v>
      </x:c>
      <x:c r="J489" s="18" t="str">
        <x:v>Core Shopping Center</x:v>
      </x:c>
      <x:c r="K489" s="18" t="str">
        <x:v>正常</x:v>
      </x:c>
      <x:c r="L489" s="62" t="n">
        <x:v>4</x:v>
      </x:c>
      <x:c r="M489" s="62" t="n">
        <x:v>40</x:v>
      </x:c>
      <x:c r="N489" s="63" t="n">
        <x:f>'Drivers'!C489</x:f>
        <x:v>1549</x:v>
      </x:c>
      <x:c r="O489" s="63" t="n">
        <x:f>'Drivers'!D489</x:f>
        <x:v>1086.158</x:v>
      </x:c>
      <x:c r="P489" s="64" t="n">
        <x:f>ROUND(N489*O489/1000,3)</x:f>
        <x:v>1682.459</x:v>
      </x:c>
      <x:c r="Q489" s="64" t="n">
        <x:f>ROUND(P489*'Drivers'!E489,3)</x:f>
        <x:v>1637.008</x:v>
      </x:c>
      <x:c r="R489" s="64" t="n">
        <x:f>-ROUND(Q489*'Drivers'!F489,3)</x:f>
        <x:v>-270.172</x:v>
      </x:c>
      <x:c r="S489" s="65" t="n">
        <x:f>R489/Q489</x:f>
        <x:v>-0.1650401219786342</x:v>
      </x:c>
      <x:c r="T489" s="64" t="n">
        <x:f>-ROUND(Q489*'Drivers'!G489,3)</x:f>
        <x:v>-17.426</x:v>
      </x:c>
      <x:c r="U489" s="65" t="n">
        <x:f>T489/Q489</x:f>
        <x:v>-0.010645030445788902</x:v>
      </x:c>
      <x:c r="V489" s="64" t="n">
        <x:f>-ROUND(Q489*'Drivers'!H489,3)</x:f>
        <x:v>-13.047</x:v>
      </x:c>
      <x:c r="W489" s="64" t="n">
        <x:f>-ROUND(Q489*'Drivers'!I489,3)</x:f>
        <x:v>-14.18</x:v>
      </x:c>
      <x:c r="X489" s="64" t="n">
        <x:f>-ROUND(Q489*'Drivers'!J489,3)</x:f>
        <x:v>-27.998</x:v>
      </x:c>
      <x:c r="Y489" s="64" t="n">
        <x:f>-ROUND(Q489*'Drivers'!K489,3)</x:f>
        <x:v>-22.103</x:v>
      </x:c>
      <x:c r="Z489" s="64" t="n">
        <x:f>-ROUND(Q489*'Drivers'!L489,3)</x:f>
        <x:v>-22.687</x:v>
      </x:c>
      <x:c r="AA489" s="64" t="n">
        <x:f>-ROUND(Q489*'Drivers'!M489,3)</x:f>
        <x:v>-16.925</x:v>
      </x:c>
      <x:c r="AB489" s="64" t="n">
        <x:f>-ROUND(Q489*'Drivers'!N489,3)</x:f>
        <x:v>-11.284</x:v>
      </x:c>
      <x:c r="AC489" s="64" t="n">
        <x:f>SUM(V489:AB489)</x:f>
        <x:v>-128.224</x:v>
      </x:c>
      <x:c r="AD489" s="65" t="n">
        <x:f>AC489/Q489</x:f>
        <x:v>-0.07832826718012373</x:v>
      </x:c>
      <x:c r="AE489" s="64" t="n">
        <x:f>-ROUND(Q489*'Drivers'!O489,3)</x:f>
        <x:v>-12.614</x:v>
      </x:c>
      <x:c r="AF489" s="65" t="n">
        <x:f>AE489/Q489</x:f>
        <x:v>-0.007705521292504374</x:v>
      </x:c>
      <x:c r="AG489" s="64" t="n">
        <x:f>-ROUND(Q489*'Drivers'!P489,3)</x:f>
        <x:v>-0.875</x:v>
      </x:c>
      <x:c r="AH489" s="64" t="n">
        <x:f>-ROUND(Q489*'Drivers'!Q489,3)</x:f>
        <x:v>-4.114</x:v>
      </x:c>
      <x:c r="AI489" s="64" t="n">
        <x:f>SUM(R489,T489,AC489,AE489,AG489,AH489)</x:f>
        <x:v>-433.42499999999995</x:v>
      </x:c>
      <x:c r="AJ489" s="65" t="n">
        <x:f>AI489/Q489</x:f>
        <x:v>-0.26476657414013854</x:v>
      </x:c>
      <x:c r="AK489" s="64" t="n">
        <x:f>Q489+AI489</x:f>
        <x:v>1203.583</x:v>
      </x:c>
      <x:c r="AL489" s="65" t="n">
        <x:f>AK489/Q489</x:f>
        <x:v>0.7352334258598614</x:v>
      </x:c>
      <x:c r="AM489" s="64" t="n">
        <x:f>AK489/L489</x:f>
        <x:v>300.89575</x:v>
      </x:c>
      <x:c r="AN489" s="66" t="str">
        <x:f>IF(AM489&lt;=200,"≤200K",IF(AM489&lt;=350,"200–350K",IF(AM489&lt;=500,"350–500K",IF(AM489&lt;=700,"500–700K","&gt;700K"))))</x:f>
        <x:v>200–350K</x:v>
      </x:c>
      <x:c r="AO489" s="64" t="n">
        <x:f>-ROUND(Q489*'Drivers'!R489,3)</x:f>
        <x:v>-605.771</x:v>
      </x:c>
      <x:c r="AP489" s="64" t="n">
        <x:f>-ROUND(AK489*'Drivers'!S489,3)</x:f>
        <x:v>-19.63</x:v>
      </x:c>
      <x:c r="AQ489" s="64" t="n">
        <x:f>-ROUND(AK489*'Drivers'!T489,3)</x:f>
        <x:v>-5.916</x:v>
      </x:c>
      <x:c r="AR489" s="64" t="n">
        <x:f>-ROUND(AK489*'Drivers'!U489,3)</x:f>
        <x:v>-15.121</x:v>
      </x:c>
      <x:c r="AS489" s="64" t="n">
        <x:f>-ROUND(AK489*'Drivers'!V489,3)</x:f>
        <x:v>-39.263</x:v>
      </x:c>
      <x:c r="AT489" s="64" t="n">
        <x:f>SUM(AO489:AS489)</x:f>
        <x:v>-685.701</x:v>
      </x:c>
      <x:c r="AU489" s="65" t="n">
        <x:f>AT489/AK489</x:f>
        <x:v>-0.5697164217174885</x:v>
      </x:c>
      <x:c r="AV489" s="64" t="n">
        <x:f>AK489+AT489</x:f>
        <x:v>517.8820000000001</x:v>
      </x:c>
      <x:c r="AW489" s="65" t="n">
        <x:f>AV489/AK489</x:f>
        <x:v>0.4302835782825115</x:v>
      </x:c>
      <x:c r="AX489" s="64" t="n">
        <x:f>-ROUND(AK489*'Drivers'!W489,3)</x:f>
        <x:v>-18.487</x:v>
      </x:c>
      <x:c r="AY489" s="64" t="n">
        <x:f>-ROUND(AK489*'Drivers'!X489,3)</x:f>
        <x:v>-26.189</x:v>
      </x:c>
      <x:c r="AZ489" s="64" t="n">
        <x:f>-ROUND(AK489*'Drivers'!Y489,3)</x:f>
        <x:v>-22.422</x:v>
      </x:c>
      <x:c r="BA489" s="64" t="n">
        <x:f>-ROUND(AK489*'Drivers'!Z489,3)</x:f>
        <x:v>-5.462</x:v>
      </x:c>
      <x:c r="BB489" s="64" t="n">
        <x:f>-ROUND(AK489*'Drivers'!AA489,3)</x:f>
        <x:v>-7.765</x:v>
      </x:c>
      <x:c r="BC489" s="64" t="n">
        <x:f>SUM(BA489,BB489)</x:f>
        <x:v>-13.227</x:v>
      </x:c>
      <x:c r="BD489" s="64" t="n">
        <x:f>-ROUND(AK489*'Drivers'!AB489,3)</x:f>
        <x:v>-3.92</x:v>
      </x:c>
      <x:c r="BE489" s="64" t="n">
        <x:f>SUM(AX489:BB489,BD489)</x:f>
        <x:v>-84.245</x:v>
      </x:c>
      <x:c r="BF489" s="67" t="n">
        <x:f>'Drivers'!AF489</x:f>
        <x:v>6</x:v>
      </x:c>
      <x:c r="BG489" s="64" t="n">
        <x:f>BJ489</x:f>
        <x:v>-29.882</x:v>
      </x:c>
      <x:c r="BH489" s="64" t="n">
        <x:f>BE489/BF489</x:f>
        <x:v>-14.040833333333333</x:v>
      </x:c>
      <x:c r="BI489" s="68" t="n">
        <x:f>BF489/L489</x:f>
        <x:v>1.5</x:v>
      </x:c>
      <x:c r="BJ489" s="64" t="n">
        <x:f>-ROUND(AK489*'Drivers'!AC489,3)</x:f>
        <x:v>-29.882</x:v>
      </x:c>
      <x:c r="BK489" s="64" t="n">
        <x:f>-ROUND(AK489*'Drivers'!AD489,3)</x:f>
        <x:v>-130.702</x:v>
      </x:c>
      <x:c r="BL489" s="64" t="n">
        <x:f>SUM(AV489,BE489,BJ489,BK489)</x:f>
        <x:v>273.05300000000005</x:v>
      </x:c>
      <x:c r="BM489" s="65" t="n">
        <x:f>BL489/AK489</x:f>
        <x:v>0.22686678027190482</x:v>
      </x:c>
      <x:c r="BN489" s="64" t="n">
        <x:f>-ROUND(AK489*'Drivers'!AE489,3)</x:f>
        <x:v>-87.904</x:v>
      </x:c>
      <x:c r="BO489" s="64" t="n">
        <x:f>BL489+BN489</x:f>
        <x:v>185.14900000000006</x:v>
      </x:c>
      <x:c r="BP489" s="65" t="n">
        <x:f>BO489/AK489</x:f>
        <x:v>0.15383151805899556</x:v>
      </x:c>
    </x:row>
    <x:row r="490">
      <x:c r="A490" s="61" t="n">
        <x:v>2025</x:v>
      </x:c>
      <x:c r="B490" s="18" t="str">
        <x:v>S1</x:v>
      </x:c>
      <x:c r="C490" s="18" t="str">
        <x:v>2025 S1</x:v>
      </x:c>
      <x:c r="D490" s="18" t="str">
        <x:v>CNCT0123</x:v>
      </x:c>
      <x:c r="E490" s="18" t="str">
        <x:v>厦门宝龙一城</x:v>
      </x:c>
      <x:c r="F490" s="18" t="str">
        <x:v>厦门</x:v>
      </x:c>
      <x:c r="G490" s="18" t="str">
        <x:v>福建省</x:v>
      </x:c>
      <x:c r="H490" s="18" t="str">
        <x:v>东区</x:v>
      </x:c>
      <x:c r="I490" s="18" t="str">
        <x:v>Shopping Mall</x:v>
      </x:c>
      <x:c r="J490" s="18" t="str">
        <x:v>Core Shopping Center</x:v>
      </x:c>
      <x:c r="K490" s="18" t="str">
        <x:v>正常</x:v>
      </x:c>
      <x:c r="L490" s="62" t="n">
        <x:v>5</x:v>
      </x:c>
      <x:c r="M490" s="62" t="n">
        <x:v>40</x:v>
      </x:c>
      <x:c r="N490" s="63" t="n">
        <x:f>'Drivers'!C490</x:f>
        <x:v>1847</x:v>
      </x:c>
      <x:c r="O490" s="63" t="n">
        <x:f>'Drivers'!D490</x:f>
        <x:v>1076.293</x:v>
      </x:c>
      <x:c r="P490" s="64" t="n">
        <x:f>ROUND(N490*O490/1000,3)</x:f>
        <x:v>1987.913</x:v>
      </x:c>
      <x:c r="Q490" s="64" t="n">
        <x:f>ROUND(P490*'Drivers'!E490,3)</x:f>
        <x:v>1939.638</x:v>
      </x:c>
      <x:c r="R490" s="64" t="n">
        <x:f>-ROUND(Q490*'Drivers'!F490,3)</x:f>
        <x:v>-359.544</x:v>
      </x:c>
      <x:c r="S490" s="65" t="n">
        <x:f>R490/Q490</x:f>
        <x:v>-0.185366547778503</x:v>
      </x:c>
      <x:c r="T490" s="64" t="n">
        <x:f>-ROUND(Q490*'Drivers'!G490,3)</x:f>
        <x:v>-35.536</x:v>
      </x:c>
      <x:c r="U490" s="65" t="n">
        <x:f>T490/Q490</x:f>
        <x:v>-0.018320944423650187</x:v>
      </x:c>
      <x:c r="V490" s="64" t="n">
        <x:f>-ROUND(Q490*'Drivers'!H490,3)</x:f>
        <x:v>-21.753</x:v>
      </x:c>
      <x:c r="W490" s="64" t="n">
        <x:f>-ROUND(Q490*'Drivers'!I490,3)</x:f>
        <x:v>-19.654</x:v>
      </x:c>
      <x:c r="X490" s="64" t="n">
        <x:f>-ROUND(Q490*'Drivers'!J490,3)</x:f>
        <x:v>-29.769</x:v>
      </x:c>
      <x:c r="Y490" s="64" t="n">
        <x:f>-ROUND(Q490*'Drivers'!K490,3)</x:f>
        <x:v>-16.792</x:v>
      </x:c>
      <x:c r="Z490" s="64" t="n">
        <x:f>-ROUND(Q490*'Drivers'!L490,3)</x:f>
        <x:v>-21.304</x:v>
      </x:c>
      <x:c r="AA490" s="64" t="n">
        <x:f>-ROUND(Q490*'Drivers'!M490,3)</x:f>
        <x:v>-14.285</x:v>
      </x:c>
      <x:c r="AB490" s="64" t="n">
        <x:f>-ROUND(Q490*'Drivers'!N490,3)</x:f>
        <x:v>-15.351</x:v>
      </x:c>
      <x:c r="AC490" s="64" t="n">
        <x:f>SUM(V490:AB490)</x:f>
        <x:v>-138.908</x:v>
      </x:c>
      <x:c r="AD490" s="65" t="n">
        <x:f>AC490/Q490</x:f>
        <x:v>-0.07161542514634174</x:v>
      </x:c>
      <x:c r="AE490" s="64" t="n">
        <x:f>-ROUND(Q490*'Drivers'!O490,3)</x:f>
        <x:v>-23.105</x:v>
      </x:c>
      <x:c r="AF490" s="65" t="n">
        <x:f>AE490/Q490</x:f>
        <x:v>-0.011912016572164497</x:v>
      </x:c>
      <x:c r="AG490" s="64" t="n">
        <x:f>-ROUND(Q490*'Drivers'!P490,3)</x:f>
        <x:v>-5.777</x:v>
      </x:c>
      <x:c r="AH490" s="64" t="n">
        <x:f>-ROUND(Q490*'Drivers'!Q490,3)</x:f>
        <x:v>-11.947</x:v>
      </x:c>
      <x:c r="AI490" s="64" t="n">
        <x:f>SUM(R490,T490,AC490,AE490,AG490,AH490)</x:f>
        <x:v>-574.817</x:v>
      </x:c>
      <x:c r="AJ490" s="65" t="n">
        <x:f>AI490/Q490</x:f>
        <x:v>-0.2963527214872054</x:v>
      </x:c>
      <x:c r="AK490" s="64" t="n">
        <x:f>Q490+AI490</x:f>
        <x:v>1364.821</x:v>
      </x:c>
      <x:c r="AL490" s="65" t="n">
        <x:f>AK490/Q490</x:f>
        <x:v>0.7036472785127946</x:v>
      </x:c>
      <x:c r="AM490" s="64" t="n">
        <x:f>AK490/L490</x:f>
        <x:v>272.9642</x:v>
      </x:c>
      <x:c r="AN490" s="66" t="str">
        <x:f>IF(AM490&lt;=200,"≤200K",IF(AM490&lt;=350,"200–350K",IF(AM490&lt;=500,"350–500K",IF(AM490&lt;=700,"500–700K","&gt;700K"))))</x:f>
        <x:v>200–350K</x:v>
      </x:c>
      <x:c r="AO490" s="64" t="n">
        <x:f>-ROUND(Q490*'Drivers'!R490,3)</x:f>
        <x:v>-698.216</x:v>
      </x:c>
      <x:c r="AP490" s="64" t="n">
        <x:f>-ROUND(AK490*'Drivers'!S490,3)</x:f>
        <x:v>-22.685</x:v>
      </x:c>
      <x:c r="AQ490" s="64" t="n">
        <x:f>-ROUND(AK490*'Drivers'!T490,3)</x:f>
        <x:v>-8.436</x:v>
      </x:c>
      <x:c r="AR490" s="64" t="n">
        <x:f>-ROUND(AK490*'Drivers'!U490,3)</x:f>
        <x:v>-6.945</x:v>
      </x:c>
      <x:c r="AS490" s="64" t="n">
        <x:f>-ROUND(AK490*'Drivers'!V490,3)</x:f>
        <x:v>-50.554</x:v>
      </x:c>
      <x:c r="AT490" s="64" t="n">
        <x:f>SUM(AO490:AS490)</x:f>
        <x:v>-786.836</x:v>
      </x:c>
      <x:c r="AU490" s="65" t="n">
        <x:f>AT490/AK490</x:f>
        <x:v>-0.5765122312742844</x:v>
      </x:c>
      <x:c r="AV490" s="64" t="n">
        <x:f>AK490+AT490</x:f>
        <x:v>577.9849999999999</x:v>
      </x:c>
      <x:c r="AW490" s="65" t="n">
        <x:f>AV490/AK490</x:f>
        <x:v>0.42348776872571564</x:v>
      </x:c>
      <x:c r="AX490" s="64" t="n">
        <x:f>-ROUND(AK490*'Drivers'!W490,3)</x:f>
        <x:v>-17.149</x:v>
      </x:c>
      <x:c r="AY490" s="64" t="n">
        <x:f>-ROUND(AK490*'Drivers'!X490,3)</x:f>
        <x:v>-34.024</x:v>
      </x:c>
      <x:c r="AZ490" s="64" t="n">
        <x:f>-ROUND(AK490*'Drivers'!Y490,3)</x:f>
        <x:v>-25.741</x:v>
      </x:c>
      <x:c r="BA490" s="64" t="n">
        <x:f>-ROUND(AK490*'Drivers'!Z490,3)</x:f>
        <x:v>-7.435</x:v>
      </x:c>
      <x:c r="BB490" s="64" t="n">
        <x:f>-ROUND(AK490*'Drivers'!AA490,3)</x:f>
        <x:v>-7.251</x:v>
      </x:c>
      <x:c r="BC490" s="64" t="n">
        <x:f>SUM(BA490,BB490)</x:f>
        <x:v>-14.686</x:v>
      </x:c>
      <x:c r="BD490" s="64" t="n">
        <x:f>-ROUND(AK490*'Drivers'!AB490,3)</x:f>
        <x:v>-7.665</x:v>
      </x:c>
      <x:c r="BE490" s="64" t="n">
        <x:f>SUM(AX490:BB490,BD490)</x:f>
        <x:v>-99.26500000000001</x:v>
      </x:c>
      <x:c r="BF490" s="67" t="n">
        <x:f>'Drivers'!AF490</x:f>
        <x:v>8</x:v>
      </x:c>
      <x:c r="BG490" s="64" t="n">
        <x:f>BJ490</x:f>
        <x:v>-29.983</x:v>
      </x:c>
      <x:c r="BH490" s="64" t="n">
        <x:f>BE490/BF490</x:f>
        <x:v>-12.408125000000002</x:v>
      </x:c>
      <x:c r="BI490" s="68" t="n">
        <x:f>BF490/L490</x:f>
        <x:v>1.6</x:v>
      </x:c>
      <x:c r="BJ490" s="64" t="n">
        <x:f>-ROUND(AK490*'Drivers'!AC490,3)</x:f>
        <x:v>-29.983</x:v>
      </x:c>
      <x:c r="BK490" s="64" t="n">
        <x:f>-ROUND(AK490*'Drivers'!AD490,3)</x:f>
        <x:v>-113.616</x:v>
      </x:c>
      <x:c r="BL490" s="64" t="n">
        <x:f>SUM(AV490,BE490,BJ490,BK490)</x:f>
        <x:v>335.1209999999999</x:v>
      </x:c>
      <x:c r="BM490" s="65" t="n">
        <x:f>BL490/AK490</x:f>
        <x:v>0.24554208940219996</x:v>
      </x:c>
      <x:c r="BN490" s="64" t="n">
        <x:f>-ROUND(AK490*'Drivers'!AE490,3)</x:f>
        <x:v>-125.467</x:v>
      </x:c>
      <x:c r="BO490" s="64" t="n">
        <x:f>BL490+BN490</x:f>
        <x:v>209.65399999999994</x:v>
      </x:c>
      <x:c r="BP490" s="65" t="n">
        <x:f>BO490/AK490</x:f>
        <x:v>0.15361281809116356</x:v>
      </x:c>
    </x:row>
    <x:row r="491">
      <x:c r="A491" s="61" t="n">
        <x:v>2025</x:v>
      </x:c>
      <x:c r="B491" s="18" t="str">
        <x:v>S2</x:v>
      </x:c>
      <x:c r="C491" s="18" t="str">
        <x:v>2025 S2</x:v>
      </x:c>
      <x:c r="D491" s="18" t="str">
        <x:v>CNCT0123</x:v>
      </x:c>
      <x:c r="E491" s="18" t="str">
        <x:v>厦门宝龙一城</x:v>
      </x:c>
      <x:c r="F491" s="18" t="str">
        <x:v>厦门</x:v>
      </x:c>
      <x:c r="G491" s="18" t="str">
        <x:v>福建省</x:v>
      </x:c>
      <x:c r="H491" s="18" t="str">
        <x:v>东区</x:v>
      </x:c>
      <x:c r="I491" s="18" t="str">
        <x:v>Shopping Mall</x:v>
      </x:c>
      <x:c r="J491" s="18" t="str">
        <x:v>Core Shopping Center</x:v>
      </x:c>
      <x:c r="K491" s="18" t="str">
        <x:v>正常</x:v>
      </x:c>
      <x:c r="L491" s="62" t="n">
        <x:v>5</x:v>
      </x:c>
      <x:c r="M491" s="62" t="n">
        <x:v>40</x:v>
      </x:c>
      <x:c r="N491" s="63" t="n">
        <x:f>'Drivers'!C491</x:f>
        <x:v>1988</x:v>
      </x:c>
      <x:c r="O491" s="63" t="n">
        <x:f>'Drivers'!D491</x:f>
        <x:v>1089.208</x:v>
      </x:c>
      <x:c r="P491" s="64" t="n">
        <x:f>ROUND(N491*O491/1000,3)</x:f>
        <x:v>2165.346</x:v>
      </x:c>
      <x:c r="Q491" s="64" t="n">
        <x:f>ROUND(P491*'Drivers'!E491,3)</x:f>
        <x:v>2097.331</x:v>
      </x:c>
      <x:c r="R491" s="64" t="n">
        <x:f>-ROUND(Q491*'Drivers'!F491,3)</x:f>
        <x:v>-388.774</x:v>
      </x:c>
      <x:c r="S491" s="65" t="n">
        <x:f>R491/Q491</x:f>
        <x:v>-0.18536606763548527</x:v>
      </x:c>
      <x:c r="T491" s="64" t="n">
        <x:f>-ROUND(Q491*'Drivers'!G491,3)</x:f>
        <x:v>-38.425</x:v>
      </x:c>
      <x:c r="U491" s="65" t="n">
        <x:f>T491/Q491</x:f>
        <x:v>-0.018320904044235267</x:v>
      </x:c>
      <x:c r="V491" s="64" t="n">
        <x:f>-ROUND(Q491*'Drivers'!H491,3)</x:f>
        <x:v>-23.521</x:v>
      </x:c>
      <x:c r="W491" s="64" t="n">
        <x:f>-ROUND(Q491*'Drivers'!I491,3)</x:f>
        <x:v>-21.252</x:v>
      </x:c>
      <x:c r="X491" s="64" t="n">
        <x:f>-ROUND(Q491*'Drivers'!J491,3)</x:f>
        <x:v>-32.189</x:v>
      </x:c>
      <x:c r="Y491" s="64" t="n">
        <x:f>-ROUND(Q491*'Drivers'!K491,3)</x:f>
        <x:v>-18.157</x:v>
      </x:c>
      <x:c r="Z491" s="64" t="n">
        <x:f>-ROUND(Q491*'Drivers'!L491,3)</x:f>
        <x:v>-23.036</x:v>
      </x:c>
      <x:c r="AA491" s="64" t="n">
        <x:f>-ROUND(Q491*'Drivers'!M491,3)</x:f>
        <x:v>-15.446</x:v>
      </x:c>
      <x:c r="AB491" s="64" t="n">
        <x:f>-ROUND(Q491*'Drivers'!N491,3)</x:f>
        <x:v>-16.599</x:v>
      </x:c>
      <x:c r="AC491" s="64" t="n">
        <x:f>SUM(V491:AB491)</x:f>
        <x:v>-150.2</x:v>
      </x:c>
      <x:c r="AD491" s="65" t="n">
        <x:f>AC491/Q491</x:f>
        <x:v>-0.0716148285606802</x:v>
      </x:c>
      <x:c r="AE491" s="64" t="n">
        <x:f>-ROUND(Q491*'Drivers'!O491,3)</x:f>
        <x:v>-24.983</x:v>
      </x:c>
      <x:c r="AF491" s="65" t="n">
        <x:f>AE491/Q491</x:f>
        <x:v>-0.011911806004869999</x:v>
      </x:c>
      <x:c r="AG491" s="64" t="n">
        <x:f>-ROUND(Q491*'Drivers'!P491,3)</x:f>
        <x:v>-6.247</x:v>
      </x:c>
      <x:c r="AH491" s="64" t="n">
        <x:f>-ROUND(Q491*'Drivers'!Q491,3)</x:f>
        <x:v>-12.918</x:v>
      </x:c>
      <x:c r="AI491" s="64" t="n">
        <x:f>SUM(R491,T491,AC491,AE491,AG491,AH491)</x:f>
        <x:v>-621.5469999999999</x:v>
      </x:c>
      <x:c r="AJ491" s="65" t="n">
        <x:f>AI491/Q491</x:f>
        <x:v>-0.2963514104354534</x:v>
      </x:c>
      <x:c r="AK491" s="64" t="n">
        <x:f>Q491+AI491</x:f>
        <x:v>1475.784</x:v>
      </x:c>
      <x:c r="AL491" s="65" t="n">
        <x:f>AK491/Q491</x:f>
        <x:v>0.7036485895645466</x:v>
      </x:c>
      <x:c r="AM491" s="64" t="n">
        <x:f>AK491/L491</x:f>
        <x:v>295.15680000000003</x:v>
      </x:c>
      <x:c r="AN491" s="66" t="str">
        <x:f>IF(AM491&lt;=200,"≤200K",IF(AM491&lt;=350,"200–350K",IF(AM491&lt;=500,"350–500K",IF(AM491&lt;=700,"500–700K","&gt;700K"))))</x:f>
        <x:v>200–350K</x:v>
      </x:c>
      <x:c r="AO491" s="64" t="n">
        <x:f>-ROUND(Q491*'Drivers'!R491,3)</x:f>
        <x:v>-762.981</x:v>
      </x:c>
      <x:c r="AP491" s="64" t="n">
        <x:f>-ROUND(AK491*'Drivers'!S491,3)</x:f>
        <x:v>-24.53</x:v>
      </x:c>
      <x:c r="AQ491" s="64" t="n">
        <x:f>-ROUND(AK491*'Drivers'!T491,3)</x:f>
        <x:v>-9.122</x:v>
      </x:c>
      <x:c r="AR491" s="64" t="n">
        <x:f>-ROUND(AK491*'Drivers'!U491,3)</x:f>
        <x:v>-7.51</x:v>
      </x:c>
      <x:c r="AS491" s="64" t="n">
        <x:f>-ROUND(AK491*'Drivers'!V491,3)</x:f>
        <x:v>-54.664</x:v>
      </x:c>
      <x:c r="AT491" s="64" t="n">
        <x:f>SUM(AO491:AS491)</x:f>
        <x:v>-858.8069999999999</x:v>
      </x:c>
      <x:c r="AU491" s="65" t="n">
        <x:f>AT491/AK491</x:f>
        <x:v>-0.5819327218617357</x:v>
      </x:c>
      <x:c r="AV491" s="64" t="n">
        <x:f>AK491+AT491</x:f>
        <x:v>616.9770000000002</x:v>
      </x:c>
      <x:c r="AW491" s="65" t="n">
        <x:f>AV491/AK491</x:f>
        <x:v>0.4180672781382642</x:v>
      </x:c>
      <x:c r="AX491" s="64" t="n">
        <x:f>-ROUND(AK491*'Drivers'!W491,3)</x:f>
        <x:v>-18.543</x:v>
      </x:c>
      <x:c r="AY491" s="64" t="n">
        <x:f>-ROUND(AK491*'Drivers'!X491,3)</x:f>
        <x:v>-36.79</x:v>
      </x:c>
      <x:c r="AZ491" s="64" t="n">
        <x:f>-ROUND(AK491*'Drivers'!Y491,3)</x:f>
        <x:v>-27.834</x:v>
      </x:c>
      <x:c r="BA491" s="64" t="n">
        <x:f>-ROUND(AK491*'Drivers'!Z491,3)</x:f>
        <x:v>-8.039</x:v>
      </x:c>
      <x:c r="BB491" s="64" t="n">
        <x:f>-ROUND(AK491*'Drivers'!AA491,3)</x:f>
        <x:v>-7.841</x:v>
      </x:c>
      <x:c r="BC491" s="64" t="n">
        <x:f>SUM(BA491,BB491)</x:f>
        <x:v>-15.879999999999999</x:v>
      </x:c>
      <x:c r="BD491" s="64" t="n">
        <x:f>-ROUND(AK491*'Drivers'!AB491,3)</x:f>
        <x:v>-8.288</x:v>
      </x:c>
      <x:c r="BE491" s="64" t="n">
        <x:f>SUM(AX491:BB491,BD491)</x:f>
        <x:v>-107.335</x:v>
      </x:c>
      <x:c r="BF491" s="67" t="n">
        <x:f>'Drivers'!AF491</x:f>
        <x:v>8</x:v>
      </x:c>
      <x:c r="BG491" s="64" t="n">
        <x:f>BJ491</x:f>
        <x:v>-32.421</x:v>
      </x:c>
      <x:c r="BH491" s="64" t="n">
        <x:f>BE491/BF491</x:f>
        <x:v>-13.416875</x:v>
      </x:c>
      <x:c r="BI491" s="68" t="n">
        <x:f>BF491/L491</x:f>
        <x:v>1.6</x:v>
      </x:c>
      <x:c r="BJ491" s="64" t="n">
        <x:f>-ROUND(AK491*'Drivers'!AC491,3)</x:f>
        <x:v>-32.421</x:v>
      </x:c>
      <x:c r="BK491" s="64" t="n">
        <x:f>-ROUND(AK491*'Drivers'!AD491,3)</x:f>
        <x:v>-122.853</x:v>
      </x:c>
      <x:c r="BL491" s="64" t="n">
        <x:f>SUM(AV491,BE491,BJ491,BK491)</x:f>
        <x:v>354.3680000000002</x:v>
      </x:c>
      <x:c r="BM491" s="65" t="n">
        <x:f>BL491/AK491</x:f>
        <x:v>0.2401218606516944</x:v>
      </x:c>
      <x:c r="BN491" s="64" t="n">
        <x:f>-ROUND(AK491*'Drivers'!AE491,3)</x:f>
        <x:v>-135.668</x:v>
      </x:c>
      <x:c r="BO491" s="64" t="n">
        <x:f>BL491+BN491</x:f>
        <x:v>218.70000000000022</x:v>
      </x:c>
      <x:c r="BP491" s="65" t="n">
        <x:f>BO491/AK491</x:f>
        <x:v>0.1481924184026932</x:v>
      </x:c>
    </x:row>
    <x:row r="492">
      <x:c r="A492" s="61" t="n">
        <x:v>2026</x:v>
      </x:c>
      <x:c r="B492" s="18" t="str">
        <x:v>S1</x:v>
      </x:c>
      <x:c r="C492" s="18" t="str">
        <x:v>2026 S1</x:v>
      </x:c>
      <x:c r="D492" s="18" t="str">
        <x:v>CNCT0123</x:v>
      </x:c>
      <x:c r="E492" s="18" t="str">
        <x:v>厦门宝龙一城</x:v>
      </x:c>
      <x:c r="F492" s="18" t="str">
        <x:v>厦门</x:v>
      </x:c>
      <x:c r="G492" s="18" t="str">
        <x:v>福建省</x:v>
      </x:c>
      <x:c r="H492" s="18" t="str">
        <x:v>东区</x:v>
      </x:c>
      <x:c r="I492" s="18" t="str">
        <x:v>Shopping Mall</x:v>
      </x:c>
      <x:c r="J492" s="18" t="str">
        <x:v>Core Shopping Center</x:v>
      </x:c>
      <x:c r="K492" s="18" t="str">
        <x:v>正常</x:v>
      </x:c>
      <x:c r="L492" s="62" t="n">
        <x:v>5</x:v>
      </x:c>
      <x:c r="M492" s="62" t="n">
        <x:v>40</x:v>
      </x:c>
      <x:c r="N492" s="63" t="n">
        <x:f>'Drivers'!C492</x:f>
        <x:v>1853</x:v>
      </x:c>
      <x:c r="O492" s="63" t="n">
        <x:f>'Drivers'!D492</x:f>
        <x:v>1131.295</x:v>
      </x:c>
      <x:c r="P492" s="64" t="n">
        <x:f>ROUND(N492*O492/1000,3)</x:f>
        <x:v>2096.29</x:v>
      </x:c>
      <x:c r="Q492" s="64" t="n">
        <x:f>ROUND(P492*'Drivers'!E492,3)</x:f>
        <x:v>2039.662</x:v>
      </x:c>
      <x:c r="R492" s="64" t="n">
        <x:f>-ROUND(Q492*'Drivers'!F492,3)</x:f>
        <x:v>-373.951</x:v>
      </x:c>
      <x:c r="S492" s="65" t="n">
        <x:f>R492/Q492</x:f>
        <x:v>-0.1833396905957948</x:v>
      </x:c>
      <x:c r="T492" s="64" t="n">
        <x:f>-ROUND(Q492*'Drivers'!G492,3)</x:f>
        <x:v>-38.731</x:v>
      </x:c>
      <x:c r="U492" s="65" t="n">
        <x:f>T492/Q492</x:f>
        <x:v>-0.01898893051888009</x:v>
      </x:c>
      <x:c r="V492" s="64" t="n">
        <x:f>-ROUND(Q492*'Drivers'!H492,3)</x:f>
        <x:v>-22.875</x:v>
      </x:c>
      <x:c r="W492" s="64" t="n">
        <x:f>-ROUND(Q492*'Drivers'!I492,3)</x:f>
        <x:v>-20.667</x:v>
      </x:c>
      <x:c r="X492" s="64" t="n">
        <x:f>-ROUND(Q492*'Drivers'!J492,3)</x:f>
        <x:v>-31.304</x:v>
      </x:c>
      <x:c r="Y492" s="64" t="n">
        <x:f>-ROUND(Q492*'Drivers'!K492,3)</x:f>
        <x:v>-17.658</x:v>
      </x:c>
      <x:c r="Z492" s="64" t="n">
        <x:f>-ROUND(Q492*'Drivers'!L492,3)</x:f>
        <x:v>-22.403</x:v>
      </x:c>
      <x:c r="AA492" s="64" t="n">
        <x:f>-ROUND(Q492*'Drivers'!M492,3)</x:f>
        <x:v>-15.022</x:v>
      </x:c>
      <x:c r="AB492" s="64" t="n">
        <x:f>-ROUND(Q492*'Drivers'!N492,3)</x:f>
        <x:v>-16.143</x:v>
      </x:c>
      <x:c r="AC492" s="64" t="n">
        <x:f>SUM(V492:AB492)</x:f>
        <x:v>-146.072</x:v>
      </x:c>
      <x:c r="AD492" s="65" t="n">
        <x:f>AC492/Q492</x:f>
        <x:v>-0.07161578732162485</x:v>
      </x:c>
      <x:c r="AE492" s="64" t="n">
        <x:f>-ROUND(Q492*'Drivers'!O492,3)</x:f>
        <x:v>-24.714</x:v>
      </x:c>
      <x:c r="AF492" s="65" t="n">
        <x:f>AE492/Q492</x:f>
        <x:v>-0.01211671345546468</x:v>
      </x:c>
      <x:c r="AG492" s="64" t="n">
        <x:f>-ROUND(Q492*'Drivers'!P492,3)</x:f>
        <x:v>-6.075</x:v>
      </x:c>
      <x:c r="AH492" s="64" t="n">
        <x:f>-ROUND(Q492*'Drivers'!Q492,3)</x:f>
        <x:v>-12.563</x:v>
      </x:c>
      <x:c r="AI492" s="64" t="n">
        <x:f>SUM(R492,T492,AC492,AE492,AG492,AH492)</x:f>
        <x:v>-602.1060000000001</x:v>
      </x:c>
      <x:c r="AJ492" s="65" t="n">
        <x:f>AI492/Q492</x:f>
        <x:v>-0.29519891040770485</x:v>
      </x:c>
      <x:c r="AK492" s="64" t="n">
        <x:f>Q492+AI492</x:f>
        <x:v>1437.556</x:v>
      </x:c>
      <x:c r="AL492" s="65" t="n">
        <x:f>AK492/Q492</x:f>
        <x:v>0.7048010895922951</x:v>
      </x:c>
      <x:c r="AM492" s="64" t="n">
        <x:f>AK492/L492</x:f>
        <x:v>287.51120000000003</x:v>
      </x:c>
      <x:c r="AN492" s="66" t="str">
        <x:f>IF(AM492&lt;=200,"≤200K",IF(AM492&lt;=350,"200–350K",IF(AM492&lt;=500,"350–500K",IF(AM492&lt;=700,"500–700K","&gt;700K"))))</x:f>
        <x:v>200–350K</x:v>
      </x:c>
      <x:c r="AO492" s="64" t="n">
        <x:f>-ROUND(Q492*'Drivers'!R492,3)</x:f>
        <x:v>-737.278</x:v>
      </x:c>
      <x:c r="AP492" s="64" t="n">
        <x:f>-ROUND(AK492*'Drivers'!S492,3)</x:f>
        <x:v>-23.894</x:v>
      </x:c>
      <x:c r="AQ492" s="64" t="n">
        <x:f>-ROUND(AK492*'Drivers'!T492,3)</x:f>
        <x:v>-8.885</x:v>
      </x:c>
      <x:c r="AR492" s="64" t="n">
        <x:f>-ROUND(AK492*'Drivers'!U492,3)</x:f>
        <x:v>-7.315</x:v>
      </x:c>
      <x:c r="AS492" s="64" t="n">
        <x:f>-ROUND(AK492*'Drivers'!V492,3)</x:f>
        <x:v>-53.248</x:v>
      </x:c>
      <x:c r="AT492" s="64" t="n">
        <x:f>SUM(AO492:AS492)</x:f>
        <x:v>-830.6200000000001</x:v>
      </x:c>
      <x:c r="AU492" s="65" t="n">
        <x:f>AT492/AK492</x:f>
        <x:v>-0.5778000996135108</x:v>
      </x:c>
      <x:c r="AV492" s="64" t="n">
        <x:f>AK492+AT492</x:f>
        <x:v>606.9359999999999</x:v>
      </x:c>
      <x:c r="AW492" s="65" t="n">
        <x:f>AV492/AK492</x:f>
        <x:v>0.42219990038648925</x:v>
      </x:c>
      <x:c r="AX492" s="64" t="n">
        <x:f>-ROUND(AK492*'Drivers'!W492,3)</x:f>
        <x:v>-22.225</x:v>
      </x:c>
      <x:c r="AY492" s="64" t="n">
        <x:f>-ROUND(AK492*'Drivers'!X492,3)</x:f>
        <x:v>-44.096</x:v>
      </x:c>
      <x:c r="AZ492" s="64" t="n">
        <x:f>-ROUND(AK492*'Drivers'!Y492,3)</x:f>
        <x:v>-33.362</x:v>
      </x:c>
      <x:c r="BA492" s="64" t="n">
        <x:f>-ROUND(AK492*'Drivers'!Z492,3)</x:f>
        <x:v>-9.636</x:v>
      </x:c>
      <x:c r="BB492" s="64" t="n">
        <x:f>-ROUND(AK492*'Drivers'!AA492,3)</x:f>
        <x:v>-9.398</x:v>
      </x:c>
      <x:c r="BC492" s="64" t="n">
        <x:f>SUM(BA492,BB492)</x:f>
        <x:v>-19.034</x:v>
      </x:c>
      <x:c r="BD492" s="64" t="n">
        <x:f>-ROUND(AK492*'Drivers'!AB492,3)</x:f>
        <x:v>-9.934</x:v>
      </x:c>
      <x:c r="BE492" s="64" t="n">
        <x:f>SUM(AX492:BB492,BD492)</x:f>
        <x:v>-128.65099999999998</x:v>
      </x:c>
      <x:c r="BF492" s="67" t="n">
        <x:f>'Drivers'!AF492</x:f>
        <x:v>8</x:v>
      </x:c>
      <x:c r="BG492" s="64" t="n">
        <x:f>BJ492</x:f>
        <x:v>-38.859</x:v>
      </x:c>
      <x:c r="BH492" s="64" t="n">
        <x:f>BE492/BF492</x:f>
        <x:v>-16.081374999999998</x:v>
      </x:c>
      <x:c r="BI492" s="68" t="n">
        <x:f>BF492/L492</x:f>
        <x:v>1.6</x:v>
      </x:c>
      <x:c r="BJ492" s="64" t="n">
        <x:f>-ROUND(AK492*'Drivers'!AC492,3)</x:f>
        <x:v>-38.859</x:v>
      </x:c>
      <x:c r="BK492" s="64" t="n">
        <x:f>-ROUND(AK492*'Drivers'!AD492,3)</x:f>
        <x:v>-119.67</x:v>
      </x:c>
      <x:c r="BL492" s="64" t="n">
        <x:f>SUM(AV492,BE492,BJ492,BK492)</x:f>
        <x:v>319.756</x:v>
      </x:c>
      <x:c r="BM492" s="65" t="n">
        <x:f>BL492/AK492</x:f>
        <x:v>0.2224302914112563</x:v>
      </x:c>
      <x:c r="BN492" s="64" t="n">
        <x:f>-ROUND(AK492*'Drivers'!AE492,3)</x:f>
        <x:v>-132.154</x:v>
      </x:c>
      <x:c r="BO492" s="64" t="n">
        <x:f>BL492+BN492</x:f>
        <x:v>187.60199999999998</x:v>
      </x:c>
      <x:c r="BP492" s="65" t="n">
        <x:f>BO492/AK492</x:f>
        <x:v>0.13050065527882043</x:v>
      </x:c>
    </x:row>
    <x:row r="493">
      <x:c r="A493" s="61" t="n">
        <x:v>2026</x:v>
      </x:c>
      <x:c r="B493" s="18" t="str">
        <x:v>S2</x:v>
      </x:c>
      <x:c r="C493" s="18" t="str">
        <x:v>2026 S2</x:v>
      </x:c>
      <x:c r="D493" s="18" t="str">
        <x:v>CNCT0123</x:v>
      </x:c>
      <x:c r="E493" s="18" t="str">
        <x:v>厦门宝龙一城</x:v>
      </x:c>
      <x:c r="F493" s="18" t="str">
        <x:v>厦门</x:v>
      </x:c>
      <x:c r="G493" s="18" t="str">
        <x:v>福建省</x:v>
      </x:c>
      <x:c r="H493" s="18" t="str">
        <x:v>东区</x:v>
      </x:c>
      <x:c r="I493" s="18" t="str">
        <x:v>Shopping Mall</x:v>
      </x:c>
      <x:c r="J493" s="18" t="str">
        <x:v>Core Shopping Center</x:v>
      </x:c>
      <x:c r="K493" s="18" t="str">
        <x:v>正常</x:v>
      </x:c>
      <x:c r="L493" s="62" t="n">
        <x:v>5</x:v>
      </x:c>
      <x:c r="M493" s="62" t="n">
        <x:v>40</x:v>
      </x:c>
      <x:c r="N493" s="63" t="n">
        <x:f>'Drivers'!C493</x:f>
        <x:v>1982</x:v>
      </x:c>
      <x:c r="O493" s="63" t="n">
        <x:f>'Drivers'!D493</x:f>
        <x:v>1140.006</x:v>
      </x:c>
      <x:c r="P493" s="64" t="n">
        <x:f>ROUND(N493*O493/1000,3)</x:f>
        <x:v>2259.492</x:v>
      </x:c>
      <x:c r="Q493" s="64" t="n">
        <x:f>ROUND(P493*'Drivers'!E493,3)</x:f>
        <x:v>2188.52</x:v>
      </x:c>
      <x:c r="R493" s="64" t="n">
        <x:f>-ROUND(Q493*'Drivers'!F493,3)</x:f>
        <x:v>-408.336</x:v>
      </x:c>
      <x:c r="S493" s="65" t="n">
        <x:f>R493/Q493</x:f>
        <x:v>-0.1865808857127191</x:v>
      </x:c>
      <x:c r="T493" s="64" t="n">
        <x:f>-ROUND(Q493*'Drivers'!G493,3)</x:f>
        <x:v>-37.165</x:v>
      </x:c>
      <x:c r="U493" s="65" t="n">
        <x:f>T493/Q493</x:f>
        <x:v>-0.01698179591687533</x:v>
      </x:c>
      <x:c r="V493" s="64" t="n">
        <x:f>-ROUND(Q493*'Drivers'!H493,3)</x:f>
        <x:v>-24.544</x:v>
      </x:c>
      <x:c r="W493" s="64" t="n">
        <x:f>-ROUND(Q493*'Drivers'!I493,3)</x:f>
        <x:v>-22.176</x:v>
      </x:c>
      <x:c r="X493" s="64" t="n">
        <x:f>-ROUND(Q493*'Drivers'!J493,3)</x:f>
        <x:v>-33.589</x:v>
      </x:c>
      <x:c r="Y493" s="64" t="n">
        <x:f>-ROUND(Q493*'Drivers'!K493,3)</x:f>
        <x:v>-18.946</x:v>
      </x:c>
      <x:c r="Z493" s="64" t="n">
        <x:f>-ROUND(Q493*'Drivers'!L493,3)</x:f>
        <x:v>-24.038</x:v>
      </x:c>
      <x:c r="AA493" s="64" t="n">
        <x:f>-ROUND(Q493*'Drivers'!M493,3)</x:f>
        <x:v>-16.118</x:v>
      </x:c>
      <x:c r="AB493" s="64" t="n">
        <x:f>-ROUND(Q493*'Drivers'!N493,3)</x:f>
        <x:v>-17.321</x:v>
      </x:c>
      <x:c r="AC493" s="64" t="n">
        <x:f>SUM(V493:AB493)</x:f>
        <x:v>-156.732</x:v>
      </x:c>
      <x:c r="AD493" s="65" t="n">
        <x:f>AC493/Q493</x:f>
        <x:v>-0.07161552099135489</x:v>
      </x:c>
      <x:c r="AE493" s="64" t="n">
        <x:f>-ROUND(Q493*'Drivers'!O493,3)</x:f>
        <x:v>-26.069</x:v>
      </x:c>
      <x:c r="AF493" s="65" t="n">
        <x:f>AE493/Q493</x:f>
        <x:v>-0.0119117028859686</x:v>
      </x:c>
      <x:c r="AG493" s="64" t="n">
        <x:f>-ROUND(Q493*'Drivers'!P493,3)</x:f>
        <x:v>-6.519</x:v>
      </x:c>
      <x:c r="AH493" s="64" t="n">
        <x:f>-ROUND(Q493*'Drivers'!Q493,3)</x:f>
        <x:v>-13.48</x:v>
      </x:c>
      <x:c r="AI493" s="64" t="n">
        <x:f>SUM(R493,T493,AC493,AE493,AG493,AH493)</x:f>
        <x:v>-648.301</x:v>
      </x:c>
      <x:c r="AJ493" s="65" t="n">
        <x:f>AI493/Q493</x:f>
        <x:v>-0.2962280445232395</x:v>
      </x:c>
      <x:c r="AK493" s="64" t="n">
        <x:f>Q493+AI493</x:f>
        <x:v>1540.219</x:v>
      </x:c>
      <x:c r="AL493" s="65" t="n">
        <x:f>AK493/Q493</x:f>
        <x:v>0.7037719554767605</x:v>
      </x:c>
      <x:c r="AM493" s="64" t="n">
        <x:f>AK493/L493</x:f>
        <x:v>308.04380000000003</x:v>
      </x:c>
      <x:c r="AN493" s="66" t="str">
        <x:f>IF(AM493&lt;=200,"≤200K",IF(AM493&lt;=350,"200–350K",IF(AM493&lt;=500,"350–500K",IF(AM493&lt;=700,"500–700K","&gt;700K"))))</x:f>
        <x:v>200–350K</x:v>
      </x:c>
      <x:c r="AO493" s="64" t="n">
        <x:f>-ROUND(Q493*'Drivers'!R493,3)</x:f>
        <x:v>-783.185</x:v>
      </x:c>
      <x:c r="AP493" s="64" t="n">
        <x:f>-ROUND(AK493*'Drivers'!S493,3)</x:f>
        <x:v>-25.601</x:v>
      </x:c>
      <x:c r="AQ493" s="64" t="n">
        <x:f>-ROUND(AK493*'Drivers'!T493,3)</x:f>
        <x:v>-9.52</x:v>
      </x:c>
      <x:c r="AR493" s="64" t="n">
        <x:f>-ROUND(AK493*'Drivers'!U493,3)</x:f>
        <x:v>-7.838</x:v>
      </x:c>
      <x:c r="AS493" s="64" t="n">
        <x:f>-ROUND(AK493*'Drivers'!V493,3)</x:f>
        <x:v>-57.051</x:v>
      </x:c>
      <x:c r="AT493" s="64" t="n">
        <x:f>SUM(AO493:AS493)</x:f>
        <x:v>-883.1949999999999</x:v>
      </x:c>
      <x:c r="AU493" s="65" t="n">
        <x:f>AT493/AK493</x:f>
        <x:v>-0.5734217017190412</x:v>
      </x:c>
      <x:c r="AV493" s="64" t="n">
        <x:f>AK493+AT493</x:f>
        <x:v>657.0240000000001</x:v>
      </x:c>
      <x:c r="AW493" s="65" t="n">
        <x:f>AV493/AK493</x:f>
        <x:v>0.42657829828095883</x:v>
      </x:c>
      <x:c r="AX493" s="64" t="n">
        <x:f>-ROUND(AK493*'Drivers'!W493,3)</x:f>
        <x:v>-20.514</x:v>
      </x:c>
      <x:c r="AY493" s="64" t="n">
        <x:f>-ROUND(AK493*'Drivers'!X493,3)</x:f>
        <x:v>-40.7</x:v>
      </x:c>
      <x:c r="AZ493" s="64" t="n">
        <x:f>-ROUND(AK493*'Drivers'!Y493,3)</x:f>
        <x:v>-30.793</x:v>
      </x:c>
      <x:c r="BA493" s="64" t="n">
        <x:f>-ROUND(AK493*'Drivers'!Z493,3)</x:f>
        <x:v>-8.894</x:v>
      </x:c>
      <x:c r="BB493" s="64" t="n">
        <x:f>-ROUND(AK493*'Drivers'!AA493,3)</x:f>
        <x:v>-8.674</x:v>
      </x:c>
      <x:c r="BC493" s="64" t="n">
        <x:f>SUM(BA493,BB493)</x:f>
        <x:v>-17.567999999999998</x:v>
      </x:c>
      <x:c r="BD493" s="64" t="n">
        <x:f>-ROUND(AK493*'Drivers'!AB493,3)</x:f>
        <x:v>-9.169</x:v>
      </x:c>
      <x:c r="BE493" s="64" t="n">
        <x:f>SUM(AX493:BB493,BD493)</x:f>
        <x:v>-118.74400000000001</x:v>
      </x:c>
      <x:c r="BF493" s="67" t="n">
        <x:f>'Drivers'!AF493</x:f>
        <x:v>8</x:v>
      </x:c>
      <x:c r="BG493" s="64" t="n">
        <x:f>BJ493</x:f>
        <x:v>-35.867</x:v>
      </x:c>
      <x:c r="BH493" s="64" t="n">
        <x:f>BE493/BF493</x:f>
        <x:v>-14.843000000000002</x:v>
      </x:c>
      <x:c r="BI493" s="68" t="n">
        <x:f>BF493/L493</x:f>
        <x:v>1.6</x:v>
      </x:c>
      <x:c r="BJ493" s="64" t="n">
        <x:f>-ROUND(AK493*'Drivers'!AC493,3)</x:f>
        <x:v>-35.867</x:v>
      </x:c>
      <x:c r="BK493" s="64" t="n">
        <x:f>-ROUND(AK493*'Drivers'!AD493,3)</x:f>
        <x:v>-128.217</x:v>
      </x:c>
      <x:c r="BL493" s="64" t="n">
        <x:f>SUM(AV493,BE493,BJ493,BK493)</x:f>
        <x:v>374.196</x:v>
      </x:c>
      <x:c r="BM493" s="65" t="n">
        <x:f>BL493/AK493</x:f>
        <x:v>0.24294986622032322</x:v>
      </x:c>
      <x:c r="BN493" s="64" t="n">
        <x:f>-ROUND(AK493*'Drivers'!AE493,3)</x:f>
        <x:v>-141.591</x:v>
      </x:c>
      <x:c r="BO493" s="64" t="n">
        <x:f>BL493+BN493</x:f>
        <x:v>232.60500000000002</x:v>
      </x:c>
      <x:c r="BP493" s="65" t="n">
        <x:f>BO493/AK493</x:f>
        <x:v>0.15102073146740821</x:v>
      </x:c>
    </x:row>
    <x:row r="494">
      <x:c r="A494" s="61" t="n">
        <x:v>2025</x:v>
      </x:c>
      <x:c r="B494" s="18" t="str">
        <x:v>S1</x:v>
      </x:c>
      <x:c r="C494" s="18" t="str">
        <x:v>2025 S1</x:v>
      </x:c>
      <x:c r="D494" s="18" t="str">
        <x:v>CNCT0124</x:v>
      </x:c>
      <x:c r="E494" s="18" t="str">
        <x:v>厦门蔡塘广场</x:v>
      </x:c>
      <x:c r="F494" s="18" t="str">
        <x:v>厦门</x:v>
      </x:c>
      <x:c r="G494" s="18" t="str">
        <x:v>福建省</x:v>
      </x:c>
      <x:c r="H494" s="18" t="str">
        <x:v>东区</x:v>
      </x:c>
      <x:c r="I494" s="18" t="str">
        <x:v>Shopping Mall</x:v>
      </x:c>
      <x:c r="J494" s="18" t="str">
        <x:v>Regional Mall</x:v>
      </x:c>
      <x:c r="K494" s="18" t="str">
        <x:v>正常</x:v>
      </x:c>
      <x:c r="L494" s="62" t="n">
        <x:v>4</x:v>
      </x:c>
      <x:c r="M494" s="62" t="n">
        <x:v>40</x:v>
      </x:c>
      <x:c r="N494" s="63" t="n">
        <x:f>'Drivers'!C494</x:f>
        <x:v>1353</x:v>
      </x:c>
      <x:c r="O494" s="63" t="n">
        <x:f>'Drivers'!D494</x:f>
        <x:v>928.416</x:v>
      </x:c>
      <x:c r="P494" s="64" t="n">
        <x:f>ROUND(N494*O494/1000,3)</x:f>
        <x:v>1256.147</x:v>
      </x:c>
      <x:c r="Q494" s="64" t="n">
        <x:f>ROUND(P494*'Drivers'!E494,3)</x:f>
        <x:v>1220.069</x:v>
      </x:c>
      <x:c r="R494" s="64" t="n">
        <x:f>-ROUND(Q494*'Drivers'!F494,3)</x:f>
        <x:v>-241.513</x:v>
      </x:c>
      <x:c r="S494" s="65" t="n">
        <x:f>R494/Q494</x:f>
        <x:v>-0.19795027986122096</x:v>
      </x:c>
      <x:c r="T494" s="64" t="n">
        <x:f>-ROUND(Q494*'Drivers'!G494,3)</x:f>
        <x:v>-21.621</x:v>
      </x:c>
      <x:c r="U494" s="65" t="n">
        <x:f>T494/Q494</x:f>
        <x:v>-0.017721128886972786</x:v>
      </x:c>
      <x:c r="V494" s="64" t="n">
        <x:f>-ROUND(Q494*'Drivers'!H494,3)</x:f>
        <x:v>-10.599</x:v>
      </x:c>
      <x:c r="W494" s="64" t="n">
        <x:f>-ROUND(Q494*'Drivers'!I494,3)</x:f>
        <x:v>-11.297</x:v>
      </x:c>
      <x:c r="X494" s="64" t="n">
        <x:f>-ROUND(Q494*'Drivers'!J494,3)</x:f>
        <x:v>-21.62</x:v>
      </x:c>
      <x:c r="Y494" s="64" t="n">
        <x:f>-ROUND(Q494*'Drivers'!K494,3)</x:f>
        <x:v>-17.072</x:v>
      </x:c>
      <x:c r="Z494" s="64" t="n">
        <x:f>-ROUND(Q494*'Drivers'!L494,3)</x:f>
        <x:v>-11.703</x:v>
      </x:c>
      <x:c r="AA494" s="64" t="n">
        <x:f>-ROUND(Q494*'Drivers'!M494,3)</x:f>
        <x:v>-8.014</x:v>
      </x:c>
      <x:c r="AB494" s="64" t="n">
        <x:f>-ROUND(Q494*'Drivers'!N494,3)</x:f>
        <x:v>-7.895</x:v>
      </x:c>
      <x:c r="AC494" s="64" t="n">
        <x:f>SUM(V494:AB494)</x:f>
        <x:v>-88.2</x:v>
      </x:c>
      <x:c r="AD494" s="65" t="n">
        <x:f>AC494/Q494</x:f>
        <x:v>-0.07229099337824337</x:v>
      </x:c>
      <x:c r="AE494" s="64" t="n">
        <x:f>-ROUND(Q494*'Drivers'!O494,3)</x:f>
        <x:v>-16.847</x:v>
      </x:c>
      <x:c r="AF494" s="65" t="n">
        <x:f>AE494/Q494</x:f>
        <x:v>-0.013808235435864694</x:v>
      </x:c>
      <x:c r="AG494" s="64" t="n">
        <x:f>-ROUND(Q494*'Drivers'!P494,3)</x:f>
        <x:v>-0.507</x:v>
      </x:c>
      <x:c r="AH494" s="64" t="n">
        <x:f>-ROUND(Q494*'Drivers'!Q494,3)</x:f>
        <x:v>-6.619</x:v>
      </x:c>
      <x:c r="AI494" s="64" t="n">
        <x:f>SUM(R494,T494,AC494,AE494,AG494,AH494)</x:f>
        <x:v>-375.307</x:v>
      </x:c>
      <x:c r="AJ494" s="65" t="n">
        <x:f>AI494/Q494</x:f>
        <x:v>-0.30761129083682975</x:v>
      </x:c>
      <x:c r="AK494" s="64" t="n">
        <x:f>Q494+AI494</x:f>
        <x:v>844.762</x:v>
      </x:c>
      <x:c r="AL494" s="65" t="n">
        <x:f>AK494/Q494</x:f>
        <x:v>0.6923887091631703</x:v>
      </x:c>
      <x:c r="AM494" s="64" t="n">
        <x:f>AK494/L494</x:f>
        <x:v>211.1905</x:v>
      </x:c>
      <x:c r="AN494" s="66" t="str">
        <x:f>IF(AM494&lt;=200,"≤200K",IF(AM494&lt;=350,"200–350K",IF(AM494&lt;=500,"350–500K",IF(AM494&lt;=700,"500–700K","&gt;700K"))))</x:f>
        <x:v>200–350K</x:v>
      </x:c>
      <x:c r="AO494" s="64" t="n">
        <x:f>-ROUND(Q494*'Drivers'!R494,3)</x:f>
        <x:v>-429.223</x:v>
      </x:c>
      <x:c r="AP494" s="64" t="n">
        <x:f>-ROUND(AK494*'Drivers'!S494,3)</x:f>
        <x:v>-12.752</x:v>
      </x:c>
      <x:c r="AQ494" s="64" t="n">
        <x:f>-ROUND(AK494*'Drivers'!T494,3)</x:f>
        <x:v>-5.461</x:v>
      </x:c>
      <x:c r="AR494" s="64" t="n">
        <x:f>-ROUND(AK494*'Drivers'!U494,3)</x:f>
        <x:v>-5.751</x:v>
      </x:c>
      <x:c r="AS494" s="64" t="n">
        <x:f>-ROUND(AK494*'Drivers'!V494,3)</x:f>
        <x:v>-23.717</x:v>
      </x:c>
      <x:c r="AT494" s="64" t="n">
        <x:f>SUM(AO494:AS494)</x:f>
        <x:v>-476.904</x:v>
      </x:c>
      <x:c r="AU494" s="65" t="n">
        <x:f>AT494/AK494</x:f>
        <x:v>-0.5645424391722166</x:v>
      </x:c>
      <x:c r="AV494" s="64" t="n">
        <x:f>AK494+AT494</x:f>
        <x:v>367.85799999999995</x:v>
      </x:c>
      <x:c r="AW494" s="65" t="n">
        <x:f>AV494/AK494</x:f>
        <x:v>0.4354575608277834</x:v>
      </x:c>
      <x:c r="AX494" s="64" t="n">
        <x:f>-ROUND(AK494*'Drivers'!W494,3)</x:f>
        <x:v>-7.857</x:v>
      </x:c>
      <x:c r="AY494" s="64" t="n">
        <x:f>-ROUND(AK494*'Drivers'!X494,3)</x:f>
        <x:v>-16.507</x:v>
      </x:c>
      <x:c r="AZ494" s="64" t="n">
        <x:f>-ROUND(AK494*'Drivers'!Y494,3)</x:f>
        <x:v>-14.403</x:v>
      </x:c>
      <x:c r="BA494" s="64" t="n">
        <x:f>-ROUND(AK494*'Drivers'!Z494,3)</x:f>
        <x:v>-6.57</x:v>
      </x:c>
      <x:c r="BB494" s="64" t="n">
        <x:f>-ROUND(AK494*'Drivers'!AA494,3)</x:f>
        <x:v>-7.565</x:v>
      </x:c>
      <x:c r="BC494" s="64" t="n">
        <x:f>SUM(BA494,BB494)</x:f>
        <x:v>-14.135000000000002</x:v>
      </x:c>
      <x:c r="BD494" s="64" t="n">
        <x:f>-ROUND(AK494*'Drivers'!AB494,3)</x:f>
        <x:v>-3.147</x:v>
      </x:c>
      <x:c r="BE494" s="64" t="n">
        <x:f>SUM(AX494:BB494,BD494)</x:f>
        <x:v>-56.049</x:v>
      </x:c>
      <x:c r="BF494" s="67" t="n">
        <x:f>'Drivers'!AF494</x:f>
        <x:v>7</x:v>
      </x:c>
      <x:c r="BG494" s="64" t="n">
        <x:f>BJ494</x:f>
        <x:v>-18.823</x:v>
      </x:c>
      <x:c r="BH494" s="64" t="n">
        <x:f>BE494/BF494</x:f>
        <x:v>-8.007</x:v>
      </x:c>
      <x:c r="BI494" s="68" t="n">
        <x:f>BF494/L494</x:f>
        <x:v>1.75</x:v>
      </x:c>
      <x:c r="BJ494" s="64" t="n">
        <x:f>-ROUND(AK494*'Drivers'!AC494,3)</x:f>
        <x:v>-18.823</x:v>
      </x:c>
      <x:c r="BK494" s="64" t="n">
        <x:f>-ROUND(AK494*'Drivers'!AD494,3)</x:f>
        <x:v>-80.119</x:v>
      </x:c>
      <x:c r="BL494" s="64" t="n">
        <x:f>SUM(AV494,BE494,BJ494,BK494)</x:f>
        <x:v>212.867</x:v>
      </x:c>
      <x:c r="BM494" s="65" t="n">
        <x:f>BL494/AK494</x:f>
        <x:v>0.25198458263984413</x:v>
      </x:c>
      <x:c r="BN494" s="64" t="n">
        <x:f>-ROUND(AK494*'Drivers'!AE494,3)</x:f>
        <x:v>-60.809</x:v>
      </x:c>
      <x:c r="BO494" s="64" t="n">
        <x:f>BL494+BN494</x:f>
        <x:v>152.058</x:v>
      </x:c>
      <x:c r="BP494" s="65" t="n">
        <x:f>BO494/AK494</x:f>
        <x:v>0.1800009943629093</x:v>
      </x:c>
    </x:row>
    <x:row r="495">
      <x:c r="A495" s="61" t="n">
        <x:v>2025</x:v>
      </x:c>
      <x:c r="B495" s="18" t="str">
        <x:v>S2</x:v>
      </x:c>
      <x:c r="C495" s="18" t="str">
        <x:v>2025 S2</x:v>
      </x:c>
      <x:c r="D495" s="18" t="str">
        <x:v>CNCT0124</x:v>
      </x:c>
      <x:c r="E495" s="18" t="str">
        <x:v>厦门蔡塘广场</x:v>
      </x:c>
      <x:c r="F495" s="18" t="str">
        <x:v>厦门</x:v>
      </x:c>
      <x:c r="G495" s="18" t="str">
        <x:v>福建省</x:v>
      </x:c>
      <x:c r="H495" s="18" t="str">
        <x:v>东区</x:v>
      </x:c>
      <x:c r="I495" s="18" t="str">
        <x:v>Shopping Mall</x:v>
      </x:c>
      <x:c r="J495" s="18" t="str">
        <x:v>Regional Mall</x:v>
      </x:c>
      <x:c r="K495" s="18" t="str">
        <x:v>正常</x:v>
      </x:c>
      <x:c r="L495" s="62" t="n">
        <x:v>4</x:v>
      </x:c>
      <x:c r="M495" s="62" t="n">
        <x:v>40</x:v>
      </x:c>
      <x:c r="N495" s="63" t="n">
        <x:f>'Drivers'!C495</x:f>
        <x:v>1478</x:v>
      </x:c>
      <x:c r="O495" s="63" t="n">
        <x:f>'Drivers'!D495</x:f>
        <x:v>939.557</x:v>
      </x:c>
      <x:c r="P495" s="64" t="n">
        <x:f>ROUND(N495*O495/1000,3)</x:f>
        <x:v>1388.665</x:v>
      </x:c>
      <x:c r="Q495" s="64" t="n">
        <x:f>ROUND(P495*'Drivers'!E495,3)</x:f>
        <x:v>1356.157</x:v>
      </x:c>
      <x:c r="R495" s="64" t="n">
        <x:f>-ROUND(Q495*'Drivers'!F495,3)</x:f>
        <x:v>-268.452</x:v>
      </x:c>
      <x:c r="S495" s="65" t="n">
        <x:f>R495/Q495</x:f>
        <x:v>-0.19795053227613027</x:v>
      </x:c>
      <x:c r="T495" s="64" t="n">
        <x:f>-ROUND(Q495*'Drivers'!G495,3)</x:f>
        <x:v>-24.032</x:v>
      </x:c>
      <x:c r="U495" s="65" t="n">
        <x:f>T495/Q495</x:f>
        <x:v>-0.017720662135726175</x:v>
      </x:c>
      <x:c r="V495" s="64" t="n">
        <x:f>-ROUND(Q495*'Drivers'!H495,3)</x:f>
        <x:v>-11.781</x:v>
      </x:c>
      <x:c r="W495" s="64" t="n">
        <x:f>-ROUND(Q495*'Drivers'!I495,3)</x:f>
        <x:v>-12.557</x:v>
      </x:c>
      <x:c r="X495" s="64" t="n">
        <x:f>-ROUND(Q495*'Drivers'!J495,3)</x:f>
        <x:v>-24.031</x:v>
      </x:c>
      <x:c r="Y495" s="64" t="n">
        <x:f>-ROUND(Q495*'Drivers'!K495,3)</x:f>
        <x:v>-18.976</x:v>
      </x:c>
      <x:c r="Z495" s="64" t="n">
        <x:f>-ROUND(Q495*'Drivers'!L495,3)</x:f>
        <x:v>-13.008</x:v>
      </x:c>
      <x:c r="AA495" s="64" t="n">
        <x:f>-ROUND(Q495*'Drivers'!M495,3)</x:f>
        <x:v>-8.908</x:v>
      </x:c>
      <x:c r="AB495" s="64" t="n">
        <x:f>-ROUND(Q495*'Drivers'!N495,3)</x:f>
        <x:v>-8.776</x:v>
      </x:c>
      <x:c r="AC495" s="64" t="n">
        <x:f>SUM(V495:AB495)</x:f>
        <x:v>-98.03699999999999</x:v>
      </x:c>
      <x:c r="AD495" s="65" t="n">
        <x:f>AC495/Q495</x:f>
        <x:v>-0.07229030267144586</x:v>
      </x:c>
      <x:c r="AE495" s="64" t="n">
        <x:f>-ROUND(Q495*'Drivers'!O495,3)</x:f>
        <x:v>-18.726</x:v>
      </x:c>
      <x:c r="AF495" s="65" t="n">
        <x:f>AE495/Q495</x:f>
        <x:v>-0.013808135783688762</x:v>
      </x:c>
      <x:c r="AG495" s="64" t="n">
        <x:f>-ROUND(Q495*'Drivers'!P495,3)</x:f>
        <x:v>-0.564</x:v>
      </x:c>
      <x:c r="AH495" s="64" t="n">
        <x:f>-ROUND(Q495*'Drivers'!Q495,3)</x:f>
        <x:v>-7.357</x:v>
      </x:c>
      <x:c r="AI495" s="64" t="n">
        <x:f>SUM(R495,T495,AC495,AE495,AG495,AH495)</x:f>
        <x:v>-417.168</x:v>
      </x:c>
      <x:c r="AJ495" s="65" t="n">
        <x:f>AI495/Q495</x:f>
        <x:v>-0.30761040204047174</x:v>
      </x:c>
      <x:c r="AK495" s="64" t="n">
        <x:f>Q495+AI495</x:f>
        <x:v>938.9889999999999</x:v>
      </x:c>
      <x:c r="AL495" s="65" t="n">
        <x:f>AK495/Q495</x:f>
        <x:v>0.6923895979595283</x:v>
      </x:c>
      <x:c r="AM495" s="64" t="n">
        <x:f>AK495/L495</x:f>
        <x:v>234.74724999999998</x:v>
      </x:c>
      <x:c r="AN495" s="66" t="str">
        <x:f>IF(AM495&lt;=200,"≤200K",IF(AM495&lt;=350,"200–350K",IF(AM495&lt;=500,"350–500K",IF(AM495&lt;=700,"500–700K","&gt;700K"))))</x:f>
        <x:v>200–350K</x:v>
      </x:c>
      <x:c r="AO495" s="64" t="n">
        <x:f>-ROUND(Q495*'Drivers'!R495,3)</x:f>
        <x:v>-491.774</x:v>
      </x:c>
      <x:c r="AP495" s="64" t="n">
        <x:f>-ROUND(AK495*'Drivers'!S495,3)</x:f>
        <x:v>-14.174</x:v>
      </x:c>
      <x:c r="AQ495" s="64" t="n">
        <x:f>-ROUND(AK495*'Drivers'!T495,3)</x:f>
        <x:v>-6.07</x:v>
      </x:c>
      <x:c r="AR495" s="64" t="n">
        <x:f>-ROUND(AK495*'Drivers'!U495,3)</x:f>
        <x:v>-6.393</x:v>
      </x:c>
      <x:c r="AS495" s="64" t="n">
        <x:f>-ROUND(AK495*'Drivers'!V495,3)</x:f>
        <x:v>-26.362</x:v>
      </x:c>
      <x:c r="AT495" s="64" t="n">
        <x:f>SUM(AO495:AS495)</x:f>
        <x:v>-544.773</x:v>
      </x:c>
      <x:c r="AU495" s="65" t="n">
        <x:f>AT495/AK495</x:f>
        <x:v>-0.5801697357477031</x:v>
      </x:c>
      <x:c r="AV495" s="64" t="n">
        <x:f>AK495+AT495</x:f>
        <x:v>394.2159999999999</x:v>
      </x:c>
      <x:c r="AW495" s="65" t="n">
        <x:f>AV495/AK495</x:f>
        <x:v>0.4198302642522968</x:v>
      </x:c>
      <x:c r="AX495" s="64" t="n">
        <x:f>-ROUND(AK495*'Drivers'!W495,3)</x:f>
        <x:v>-8.733</x:v>
      </x:c>
      <x:c r="AY495" s="64" t="n">
        <x:f>-ROUND(AK495*'Drivers'!X495,3)</x:f>
        <x:v>-18.348</x:v>
      </x:c>
      <x:c r="AZ495" s="64" t="n">
        <x:f>-ROUND(AK495*'Drivers'!Y495,3)</x:f>
        <x:v>-16.009</x:v>
      </x:c>
      <x:c r="BA495" s="64" t="n">
        <x:f>-ROUND(AK495*'Drivers'!Z495,3)</x:f>
        <x:v>-7.302</x:v>
      </x:c>
      <x:c r="BB495" s="64" t="n">
        <x:f>-ROUND(AK495*'Drivers'!AA495,3)</x:f>
        <x:v>-8.409</x:v>
      </x:c>
      <x:c r="BC495" s="64" t="n">
        <x:f>SUM(BA495,BB495)</x:f>
        <x:v>-15.711</x:v>
      </x:c>
      <x:c r="BD495" s="64" t="n">
        <x:f>-ROUND(AK495*'Drivers'!AB495,3)</x:f>
        <x:v>-3.498</x:v>
      </x:c>
      <x:c r="BE495" s="64" t="n">
        <x:f>SUM(AX495:BB495,BD495)</x:f>
        <x:v>-62.299</x:v>
      </x:c>
      <x:c r="BF495" s="67" t="n">
        <x:f>'Drivers'!AF495</x:f>
        <x:v>7</x:v>
      </x:c>
      <x:c r="BG495" s="64" t="n">
        <x:f>BJ495</x:f>
        <x:v>-20.923</x:v>
      </x:c>
      <x:c r="BH495" s="64" t="n">
        <x:f>BE495/BF495</x:f>
        <x:v>-8.899857142857142</x:v>
      </x:c>
      <x:c r="BI495" s="68" t="n">
        <x:f>BF495/L495</x:f>
        <x:v>1.75</x:v>
      </x:c>
      <x:c r="BJ495" s="64" t="n">
        <x:f>-ROUND(AK495*'Drivers'!AC495,3)</x:f>
        <x:v>-20.923</x:v>
      </x:c>
      <x:c r="BK495" s="64" t="n">
        <x:f>-ROUND(AK495*'Drivers'!AD495,3)</x:f>
        <x:v>-89.056</x:v>
      </x:c>
      <x:c r="BL495" s="64" t="n">
        <x:f>SUM(AV495,BE495,BJ495,BK495)</x:f>
        <x:v>221.93799999999993</x:v>
      </x:c>
      <x:c r="BM495" s="65" t="n">
        <x:f>BL495/AK495</x:f>
        <x:v>0.23635846639310998</x:v>
      </x:c>
      <x:c r="BN495" s="64" t="n">
        <x:f>-ROUND(AK495*'Drivers'!AE495,3)</x:f>
        <x:v>-61.996</x:v>
      </x:c>
      <x:c r="BO495" s="64" t="n">
        <x:f>BL495+BN495</x:f>
        <x:v>159.94199999999992</x:v>
      </x:c>
      <x:c r="BP495" s="65" t="n">
        <x:f>BO495/AK495</x:f>
        <x:v>0.17033426376666813</x:v>
      </x:c>
    </x:row>
    <x:row r="496">
      <x:c r="A496" s="61" t="n">
        <x:v>2026</x:v>
      </x:c>
      <x:c r="B496" s="18" t="str">
        <x:v>S1</x:v>
      </x:c>
      <x:c r="C496" s="18" t="str">
        <x:v>2026 S1</x:v>
      </x:c>
      <x:c r="D496" s="18" t="str">
        <x:v>CNCT0124</x:v>
      </x:c>
      <x:c r="E496" s="18" t="str">
        <x:v>厦门蔡塘广场</x:v>
      </x:c>
      <x:c r="F496" s="18" t="str">
        <x:v>厦门</x:v>
      </x:c>
      <x:c r="G496" s="18" t="str">
        <x:v>福建省</x:v>
      </x:c>
      <x:c r="H496" s="18" t="str">
        <x:v>东区</x:v>
      </x:c>
      <x:c r="I496" s="18" t="str">
        <x:v>Shopping Mall</x:v>
      </x:c>
      <x:c r="J496" s="18" t="str">
        <x:v>Regional Mall</x:v>
      </x:c>
      <x:c r="K496" s="18" t="str">
        <x:v>正常</x:v>
      </x:c>
      <x:c r="L496" s="62" t="n">
        <x:v>4</x:v>
      </x:c>
      <x:c r="M496" s="62" t="n">
        <x:v>40</x:v>
      </x:c>
      <x:c r="N496" s="63" t="n">
        <x:f>'Drivers'!C496</x:f>
        <x:v>1397</x:v>
      </x:c>
      <x:c r="O496" s="63" t="n">
        <x:f>'Drivers'!D496</x:f>
        <x:v>981.562</x:v>
      </x:c>
      <x:c r="P496" s="64" t="n">
        <x:f>ROUND(N496*O496/1000,3)</x:f>
        <x:v>1371.242</x:v>
      </x:c>
      <x:c r="Q496" s="64" t="n">
        <x:f>ROUND(P496*'Drivers'!E496,3)</x:f>
        <x:v>1337.129</x:v>
      </x:c>
      <x:c r="R496" s="64" t="n">
        <x:f>-ROUND(Q496*'Drivers'!F496,3)</x:f>
        <x:v>-269.319</x:v>
      </x:c>
      <x:c r="S496" s="65" t="n">
        <x:f>R496/Q496</x:f>
        <x:v>-0.20141586937386</x:v>
      </x:c>
      <x:c r="T496" s="64" t="n">
        <x:f>-ROUND(Q496*'Drivers'!G496,3)</x:f>
        <x:v>-25.011</x:v>
      </x:c>
      <x:c r="U496" s="65" t="n">
        <x:f>T496/Q496</x:f>
        <x:v>-0.0187050015368749</x:v>
      </x:c>
      <x:c r="V496" s="64" t="n">
        <x:f>-ROUND(Q496*'Drivers'!H496,3)</x:f>
        <x:v>-11.616</x:v>
      </x:c>
      <x:c r="W496" s="64" t="n">
        <x:f>-ROUND(Q496*'Drivers'!I496,3)</x:f>
        <x:v>-12.381</x:v>
      </x:c>
      <x:c r="X496" s="64" t="n">
        <x:f>-ROUND(Q496*'Drivers'!J496,3)</x:f>
        <x:v>-23.694</x:v>
      </x:c>
      <x:c r="Y496" s="64" t="n">
        <x:f>-ROUND(Q496*'Drivers'!K496,3)</x:f>
        <x:v>-18.71</x:v>
      </x:c>
      <x:c r="Z496" s="64" t="n">
        <x:f>-ROUND(Q496*'Drivers'!L496,3)</x:f>
        <x:v>-12.825</x:v>
      </x:c>
      <x:c r="AA496" s="64" t="n">
        <x:f>-ROUND(Q496*'Drivers'!M496,3)</x:f>
        <x:v>-8.783</x:v>
      </x:c>
      <x:c r="AB496" s="64" t="n">
        <x:f>-ROUND(Q496*'Drivers'!N496,3)</x:f>
        <x:v>-8.653</x:v>
      </x:c>
      <x:c r="AC496" s="64" t="n">
        <x:f>SUM(V496:AB496)</x:f>
        <x:v>-96.66200000000002</x:v>
      </x:c>
      <x:c r="AD496" s="65" t="n">
        <x:f>AC496/Q496</x:f>
        <x:v>-0.07229070643146625</x:v>
      </x:c>
      <x:c r="AE496" s="64" t="n">
        <x:f>-ROUND(Q496*'Drivers'!O496,3)</x:f>
        <x:v>-19.831</x:v>
      </x:c>
      <x:c r="AF496" s="65" t="n">
        <x:f>AE496/Q496</x:f>
        <x:v>-0.014831029766013602</x:v>
      </x:c>
      <x:c r="AG496" s="64" t="n">
        <x:f>-ROUND(Q496*'Drivers'!P496,3)</x:f>
        <x:v>-0.556</x:v>
      </x:c>
      <x:c r="AH496" s="64" t="n">
        <x:f>-ROUND(Q496*'Drivers'!Q496,3)</x:f>
        <x:v>-7.254</x:v>
      </x:c>
      <x:c r="AI496" s="64" t="n">
        <x:f>SUM(R496,T496,AC496,AE496,AG496,AH496)</x:f>
        <x:v>-418.6330000000001</x:v>
      </x:c>
      <x:c r="AJ496" s="65" t="n">
        <x:f>AI496/Q496</x:f>
        <x:v>-0.31308347960443617</x:v>
      </x:c>
      <x:c r="AK496" s="64" t="n">
        <x:f>Q496+AI496</x:f>
        <x:v>918.4959999999999</x:v>
      </x:c>
      <x:c r="AL496" s="65" t="n">
        <x:f>AK496/Q496</x:f>
        <x:v>0.6869165203955638</x:v>
      </x:c>
      <x:c r="AM496" s="64" t="n">
        <x:f>AK496/L496</x:f>
        <x:v>229.62399999999997</x:v>
      </x:c>
      <x:c r="AN496" s="66" t="str">
        <x:f>IF(AM496&lt;=200,"≤200K",IF(AM496&lt;=350,"200–350K",IF(AM496&lt;=500,"350–500K",IF(AM496&lt;=700,"500–700K","&gt;700K"))))</x:f>
        <x:v>200–350K</x:v>
      </x:c>
      <x:c r="AO496" s="64" t="n">
        <x:f>-ROUND(Q496*'Drivers'!R496,3)</x:f>
        <x:v>-472.487</x:v>
      </x:c>
      <x:c r="AP496" s="64" t="n">
        <x:f>-ROUND(AK496*'Drivers'!S496,3)</x:f>
        <x:v>-13.865</x:v>
      </x:c>
      <x:c r="AQ496" s="64" t="n">
        <x:f>-ROUND(AK496*'Drivers'!T496,3)</x:f>
        <x:v>-5.937</x:v>
      </x:c>
      <x:c r="AR496" s="64" t="n">
        <x:f>-ROUND(AK496*'Drivers'!U496,3)</x:f>
        <x:v>-6.254</x:v>
      </x:c>
      <x:c r="AS496" s="64" t="n">
        <x:f>-ROUND(AK496*'Drivers'!V496,3)</x:f>
        <x:v>-25.787</x:v>
      </x:c>
      <x:c r="AT496" s="64" t="n">
        <x:f>SUM(AO496:AS496)</x:f>
        <x:v>-524.33</x:v>
      </x:c>
      <x:c r="AU496" s="65" t="n">
        <x:f>AT496/AK496</x:f>
        <x:v>-0.5708571403686027</x:v>
      </x:c>
      <x:c r="AV496" s="64" t="n">
        <x:f>AK496+AT496</x:f>
        <x:v>394.1659999999998</x:v>
      </x:c>
      <x:c r="AW496" s="65" t="n">
        <x:f>AV496/AK496</x:f>
        <x:v>0.4291428596313973</x:v>
      </x:c>
      <x:c r="AX496" s="64" t="n">
        <x:f>-ROUND(AK496*'Drivers'!W496,3)</x:f>
        <x:v>-10.511</x:v>
      </x:c>
      <x:c r="AY496" s="64" t="n">
        <x:f>-ROUND(AK496*'Drivers'!X496,3)</x:f>
        <x:v>-22.084</x:v>
      </x:c>
      <x:c r="AZ496" s="64" t="n">
        <x:f>-ROUND(AK496*'Drivers'!Y496,3)</x:f>
        <x:v>-19.268</x:v>
      </x:c>
      <x:c r="BA496" s="64" t="n">
        <x:f>-ROUND(AK496*'Drivers'!Z496,3)</x:f>
        <x:v>-8.789</x:v>
      </x:c>
      <x:c r="BB496" s="64" t="n">
        <x:f>-ROUND(AK496*'Drivers'!AA496,3)</x:f>
        <x:v>-10.121</x:v>
      </x:c>
      <x:c r="BC496" s="64" t="n">
        <x:f>SUM(BA496,BB496)</x:f>
        <x:v>-18.91</x:v>
      </x:c>
      <x:c r="BD496" s="64" t="n">
        <x:f>-ROUND(AK496*'Drivers'!AB496,3)</x:f>
        <x:v>-4.21</x:v>
      </x:c>
      <x:c r="BE496" s="64" t="n">
        <x:f>SUM(AX496:BB496,BD496)</x:f>
        <x:v>-74.98299999999999</x:v>
      </x:c>
      <x:c r="BF496" s="67" t="n">
        <x:f>'Drivers'!AF496</x:f>
        <x:v>7</x:v>
      </x:c>
      <x:c r="BG496" s="64" t="n">
        <x:f>BJ496</x:f>
        <x:v>-25.183</x:v>
      </x:c>
      <x:c r="BH496" s="64" t="n">
        <x:f>BE496/BF496</x:f>
        <x:v>-10.711857142857141</x:v>
      </x:c>
      <x:c r="BI496" s="68" t="n">
        <x:f>BF496/L496</x:f>
        <x:v>1.75</x:v>
      </x:c>
      <x:c r="BJ496" s="64" t="n">
        <x:f>-ROUND(AK496*'Drivers'!AC496,3)</x:f>
        <x:v>-25.183</x:v>
      </x:c>
      <x:c r="BK496" s="64" t="n">
        <x:f>-ROUND(AK496*'Drivers'!AD496,3)</x:f>
        <x:v>-87.112</x:v>
      </x:c>
      <x:c r="BL496" s="64" t="n">
        <x:f>SUM(AV496,BE496,BJ496,BK496)</x:f>
        <x:v>206.88799999999983</x:v>
      </x:c>
      <x:c r="BM496" s="65" t="n">
        <x:f>BL496/AK496</x:f>
        <x:v>0.22524648991394614</x:v>
      </x:c>
      <x:c r="BN496" s="64" t="n">
        <x:f>-ROUND(AK496*'Drivers'!AE496,3)</x:f>
        <x:v>-66.117</x:v>
      </x:c>
      <x:c r="BO496" s="64" t="n">
        <x:f>BL496+BN496</x:f>
        <x:v>140.77099999999984</x:v>
      </x:c>
      <x:c r="BP496" s="65" t="n">
        <x:f>BO496/AK496</x:f>
        <x:v>0.15326250740340716</x:v>
      </x:c>
    </x:row>
    <x:row r="497">
      <x:c r="A497" s="61" t="n">
        <x:v>2026</x:v>
      </x:c>
      <x:c r="B497" s="18" t="str">
        <x:v>S2</x:v>
      </x:c>
      <x:c r="C497" s="18" t="str">
        <x:v>2026 S2</x:v>
      </x:c>
      <x:c r="D497" s="18" t="str">
        <x:v>CNCT0124</x:v>
      </x:c>
      <x:c r="E497" s="18" t="str">
        <x:v>厦门蔡塘广场</x:v>
      </x:c>
      <x:c r="F497" s="18" t="str">
        <x:v>厦门</x:v>
      </x:c>
      <x:c r="G497" s="18" t="str">
        <x:v>福建省</x:v>
      </x:c>
      <x:c r="H497" s="18" t="str">
        <x:v>东区</x:v>
      </x:c>
      <x:c r="I497" s="18" t="str">
        <x:v>Shopping Mall</x:v>
      </x:c>
      <x:c r="J497" s="18" t="str">
        <x:v>Regional Mall</x:v>
      </x:c>
      <x:c r="K497" s="18" t="str">
        <x:v>正常</x:v>
      </x:c>
      <x:c r="L497" s="62" t="n">
        <x:v>4</x:v>
      </x:c>
      <x:c r="M497" s="62" t="n">
        <x:v>40</x:v>
      </x:c>
      <x:c r="N497" s="63" t="n">
        <x:f>'Drivers'!C497</x:f>
        <x:v>1557</x:v>
      </x:c>
      <x:c r="O497" s="63" t="n">
        <x:f>'Drivers'!D497</x:f>
        <x:v>957.982</x:v>
      </x:c>
      <x:c r="P497" s="64" t="n">
        <x:f>ROUND(N497*O497/1000,3)</x:f>
        <x:v>1491.578</x:v>
      </x:c>
      <x:c r="Q497" s="64" t="n">
        <x:f>ROUND(P497*'Drivers'!E497,3)</x:f>
        <x:v>1456.661</x:v>
      </x:c>
      <x:c r="R497" s="64" t="n">
        <x:f>-ROUND(Q497*'Drivers'!F497,3)</x:f>
        <x:v>-286.946</x:v>
      </x:c>
      <x:c r="S497" s="65" t="n">
        <x:f>R497/Q497</x:f>
        <x:v>-0.1969888670047458</x:v>
      </x:c>
      <x:c r="T497" s="64" t="n">
        <x:f>-ROUND(Q497*'Drivers'!G497,3)</x:f>
        <x:v>-24.496</x:v>
      </x:c>
      <x:c r="U497" s="65" t="n">
        <x:f>T497/Q497</x:f>
        <x:v>-0.016816541391579783</x:v>
      </x:c>
      <x:c r="V497" s="64" t="n">
        <x:f>-ROUND(Q497*'Drivers'!H497,3)</x:f>
        <x:v>-12.654</x:v>
      </x:c>
      <x:c r="W497" s="64" t="n">
        <x:f>-ROUND(Q497*'Drivers'!I497,3)</x:f>
        <x:v>-13.488</x:v>
      </x:c>
      <x:c r="X497" s="64" t="n">
        <x:f>-ROUND(Q497*'Drivers'!J497,3)</x:f>
        <x:v>-25.812</x:v>
      </x:c>
      <x:c r="Y497" s="64" t="n">
        <x:f>-ROUND(Q497*'Drivers'!K497,3)</x:f>
        <x:v>-20.383</x:v>
      </x:c>
      <x:c r="Z497" s="64" t="n">
        <x:f>-ROUND(Q497*'Drivers'!L497,3)</x:f>
        <x:v>-13.972</x:v>
      </x:c>
      <x:c r="AA497" s="64" t="n">
        <x:f>-ROUND(Q497*'Drivers'!M497,3)</x:f>
        <x:v>-9.568</x:v>
      </x:c>
      <x:c r="AB497" s="64" t="n">
        <x:f>-ROUND(Q497*'Drivers'!N497,3)</x:f>
        <x:v>-9.426</x:v>
      </x:c>
      <x:c r="AC497" s="64" t="n">
        <x:f>SUM(V497:AB497)</x:f>
        <x:v>-105.303</x:v>
      </x:c>
      <x:c r="AD497" s="65" t="n">
        <x:f>AC497/Q497</x:f>
        <x:v>-0.07229067023830527</x:v>
      </x:c>
      <x:c r="AE497" s="64" t="n">
        <x:f>-ROUND(Q497*'Drivers'!O497,3)</x:f>
        <x:v>-20.114</x:v>
      </x:c>
      <x:c r="AF497" s="65" t="n">
        <x:f>AE497/Q497</x:f>
        <x:v>-0.013808291702736602</x:v>
      </x:c>
      <x:c r="AG497" s="64" t="n">
        <x:f>-ROUND(Q497*'Drivers'!P497,3)</x:f>
        <x:v>-0.606</x:v>
      </x:c>
      <x:c r="AH497" s="64" t="n">
        <x:f>-ROUND(Q497*'Drivers'!Q497,3)</x:f>
        <x:v>-7.903</x:v>
      </x:c>
      <x:c r="AI497" s="64" t="n">
        <x:f>SUM(R497,T497,AC497,AE497,AG497,AH497)</x:f>
        <x:v>-445.368</x:v>
      </x:c>
      <x:c r="AJ497" s="65" t="n">
        <x:f>AI497/Q497</x:f>
        <x:v>-0.30574581182581256</x:v>
      </x:c>
      <x:c r="AK497" s="64" t="n">
        <x:f>Q497+AI497</x:f>
        <x:v>1011.2930000000001</x:v>
      </x:c>
      <x:c r="AL497" s="65" t="n">
        <x:f>AK497/Q497</x:f>
        <x:v>0.6942541881741875</x:v>
      </x:c>
      <x:c r="AM497" s="64" t="n">
        <x:f>AK497/L497</x:f>
        <x:v>252.82325000000003</x:v>
      </x:c>
      <x:c r="AN497" s="66" t="str">
        <x:f>IF(AM497&lt;=200,"≤200K",IF(AM497&lt;=350,"200–350K",IF(AM497&lt;=500,"350–500K",IF(AM497&lt;=700,"500–700K","&gt;700K"))))</x:f>
        <x:v>200–350K</x:v>
      </x:c>
      <x:c r="AO497" s="64" t="n">
        <x:f>-ROUND(Q497*'Drivers'!R497,3)</x:f>
        <x:v>-522.92</x:v>
      </x:c>
      <x:c r="AP497" s="64" t="n">
        <x:f>-ROUND(AK497*'Drivers'!S497,3)</x:f>
        <x:v>-15.265</x:v>
      </x:c>
      <x:c r="AQ497" s="64" t="n">
        <x:f>-ROUND(AK497*'Drivers'!T497,3)</x:f>
        <x:v>-6.537</x:v>
      </x:c>
      <x:c r="AR497" s="64" t="n">
        <x:f>-ROUND(AK497*'Drivers'!U497,3)</x:f>
        <x:v>-6.885</x:v>
      </x:c>
      <x:c r="AS497" s="64" t="n">
        <x:f>-ROUND(AK497*'Drivers'!V497,3)</x:f>
        <x:v>-28.392</x:v>
      </x:c>
      <x:c r="AT497" s="64" t="n">
        <x:f>SUM(AO497:AS497)</x:f>
        <x:v>-579.999</x:v>
      </x:c>
      <x:c r="AU497" s="65" t="n">
        <x:f>AT497/AK497</x:f>
        <x:v>-0.5735222136413483</x:v>
      </x:c>
      <x:c r="AV497" s="64" t="n">
        <x:f>AK497+AT497</x:f>
        <x:v>431.2940000000001</x:v>
      </x:c>
      <x:c r="AW497" s="65" t="n">
        <x:f>AV497/AK497</x:f>
        <x:v>0.4264777863586518</x:v>
      </x:c>
      <x:c r="AX497" s="64" t="n">
        <x:f>-ROUND(AK497*'Drivers'!W497,3)</x:f>
        <x:v>-9.97</x:v>
      </x:c>
      <x:c r="AY497" s="64" t="n">
        <x:f>-ROUND(AK497*'Drivers'!X497,3)</x:f>
        <x:v>-20.947</x:v>
      </x:c>
      <x:c r="AZ497" s="64" t="n">
        <x:f>-ROUND(AK497*'Drivers'!Y497,3)</x:f>
        <x:v>-18.276</x:v>
      </x:c>
      <x:c r="BA497" s="64" t="n">
        <x:f>-ROUND(AK497*'Drivers'!Z497,3)</x:f>
        <x:v>-8.336</x:v>
      </x:c>
      <x:c r="BB497" s="64" t="n">
        <x:f>-ROUND(AK497*'Drivers'!AA497,3)</x:f>
        <x:v>-9.6</x:v>
      </x:c>
      <x:c r="BC497" s="64" t="n">
        <x:f>SUM(BA497,BB497)</x:f>
        <x:v>-17.936</x:v>
      </x:c>
      <x:c r="BD497" s="64" t="n">
        <x:f>-ROUND(AK497*'Drivers'!AB497,3)</x:f>
        <x:v>-3.993</x:v>
      </x:c>
      <x:c r="BE497" s="64" t="n">
        <x:f>SUM(AX497:BB497,BD497)</x:f>
        <x:v>-71.12199999999999</x:v>
      </x:c>
      <x:c r="BF497" s="67" t="n">
        <x:f>'Drivers'!AF497</x:f>
        <x:v>7</x:v>
      </x:c>
      <x:c r="BG497" s="64" t="n">
        <x:f>BJ497</x:f>
        <x:v>-23.886</x:v>
      </x:c>
      <x:c r="BH497" s="64" t="n">
        <x:f>BE497/BF497</x:f>
        <x:v>-10.160285714285711</x:v>
      </x:c>
      <x:c r="BI497" s="68" t="n">
        <x:f>BF497/L497</x:f>
        <x:v>1.75</x:v>
      </x:c>
      <x:c r="BJ497" s="64" t="n">
        <x:f>-ROUND(AK497*'Drivers'!AC497,3)</x:f>
        <x:v>-23.886</x:v>
      </x:c>
      <x:c r="BK497" s="64" t="n">
        <x:f>-ROUND(AK497*'Drivers'!AD497,3)</x:f>
        <x:v>-95.913</x:v>
      </x:c>
      <x:c r="BL497" s="64" t="n">
        <x:f>SUM(AV497,BE497,BJ497,BK497)</x:f>
        <x:v>240.3730000000001</x:v>
      </x:c>
      <x:c r="BM497" s="65" t="n">
        <x:f>BL497/AK497</x:f>
        <x:v>0.23768878060067664</x:v>
      </x:c>
      <x:c r="BN497" s="64" t="n">
        <x:f>-ROUND(AK497*'Drivers'!AE497,3)</x:f>
        <x:v>-66.77</x:v>
      </x:c>
      <x:c r="BO497" s="64" t="n">
        <x:f>BL497+BN497</x:f>
        <x:v>173.60300000000012</x:v>
      </x:c>
      <x:c r="BP497" s="65" t="n">
        <x:f>BO497/AK497</x:f>
        <x:v>0.1716643939985742</x:v>
      </x:c>
    </x:row>
    <x:row r="498">
      <x:c r="A498" s="61" t="n">
        <x:v>2025</x:v>
      </x:c>
      <x:c r="B498" s="18" t="str">
        <x:v>S1</x:v>
      </x:c>
      <x:c r="C498" s="18" t="str">
        <x:v>2025 S1</x:v>
      </x:c>
      <x:c r="D498" s="18" t="str">
        <x:v>CNCT0125</x:v>
      </x:c>
      <x:c r="E498" s="18" t="str">
        <x:v>厦门集美世茂广场</x:v>
      </x:c>
      <x:c r="F498" s="18" t="str">
        <x:v>厦门</x:v>
      </x:c>
      <x:c r="G498" s="18" t="str">
        <x:v>福建省</x:v>
      </x:c>
      <x:c r="H498" s="18" t="str">
        <x:v>东区</x:v>
      </x:c>
      <x:c r="I498" s="18" t="str">
        <x:v>Shopping Mall</x:v>
      </x:c>
      <x:c r="J498" s="18" t="str">
        <x:v>Regional Mall</x:v>
      </x:c>
      <x:c r="K498" s="18" t="str">
        <x:v>正常</x:v>
      </x:c>
      <x:c r="L498" s="62" t="n">
        <x:v>4</x:v>
      </x:c>
      <x:c r="M498" s="62" t="n">
        <x:v>40</x:v>
      </x:c>
      <x:c r="N498" s="63" t="n">
        <x:f>'Drivers'!C498</x:f>
        <x:v>1162</x:v>
      </x:c>
      <x:c r="O498" s="63" t="n">
        <x:f>'Drivers'!D498</x:f>
        <x:v>1001.606</x:v>
      </x:c>
      <x:c r="P498" s="64" t="n">
        <x:f>ROUND(N498*O498/1000,3)</x:f>
        <x:v>1163.866</x:v>
      </x:c>
      <x:c r="Q498" s="64" t="n">
        <x:f>ROUND(P498*'Drivers'!E498,3)</x:f>
        <x:v>1129.99</x:v>
      </x:c>
      <x:c r="R498" s="64" t="n">
        <x:f>-ROUND(Q498*'Drivers'!F498,3)</x:f>
        <x:v>-242.977</x:v>
      </x:c>
      <x:c r="S498" s="65" t="n">
        <x:f>R498/Q498</x:f>
        <x:v>-0.21502579668846628</x:v>
      </x:c>
      <x:c r="T498" s="64" t="n">
        <x:f>-ROUND(Q498*'Drivers'!G498,3)</x:f>
        <x:v>-21.269</x:v>
      </x:c>
      <x:c r="U498" s="65" t="n">
        <x:f>T498/Q498</x:f>
        <x:v>-0.018822290462747457</x:v>
      </x:c>
      <x:c r="V498" s="64" t="n">
        <x:f>-ROUND(Q498*'Drivers'!H498,3)</x:f>
        <x:v>-8.078</x:v>
      </x:c>
      <x:c r="W498" s="64" t="n">
        <x:f>-ROUND(Q498*'Drivers'!I498,3)</x:f>
        <x:v>-10.685</x:v>
      </x:c>
      <x:c r="X498" s="64" t="n">
        <x:f>-ROUND(Q498*'Drivers'!J498,3)</x:f>
        <x:v>-15.214</x:v>
      </x:c>
      <x:c r="Y498" s="64" t="n">
        <x:f>-ROUND(Q498*'Drivers'!K498,3)</x:f>
        <x:v>-14.072</x:v>
      </x:c>
      <x:c r="Z498" s="64" t="n">
        <x:f>-ROUND(Q498*'Drivers'!L498,3)</x:f>
        <x:v>-10.678</x:v>
      </x:c>
      <x:c r="AA498" s="64" t="n">
        <x:f>-ROUND(Q498*'Drivers'!M498,3)</x:f>
        <x:v>-6.725</x:v>
      </x:c>
      <x:c r="AB498" s="64" t="n">
        <x:f>-ROUND(Q498*'Drivers'!N498,3)</x:f>
        <x:v>-8.033</x:v>
      </x:c>
      <x:c r="AC498" s="64" t="n">
        <x:f>SUM(V498:AB498)</x:f>
        <x:v>-73.48499999999999</x:v>
      </x:c>
      <x:c r="AD498" s="65" t="n">
        <x:f>AC498/Q498</x:f>
        <x:v>-0.06503154895176062</x:v>
      </x:c>
      <x:c r="AE498" s="64" t="n">
        <x:f>-ROUND(Q498*'Drivers'!O498,3)</x:f>
        <x:v>-9.066</x:v>
      </x:c>
      <x:c r="AF498" s="65" t="n">
        <x:f>AE498/Q498</x:f>
        <x:v>-0.008023079850264162</x:v>
      </x:c>
      <x:c r="AG498" s="64" t="n">
        <x:f>-ROUND(Q498*'Drivers'!P498,3)</x:f>
        <x:v>-2.303</x:v>
      </x:c>
      <x:c r="AH498" s="64" t="n">
        <x:f>-ROUND(Q498*'Drivers'!Q498,3)</x:f>
        <x:v>-3.873</x:v>
      </x:c>
      <x:c r="AI498" s="64" t="n">
        <x:f>SUM(R498,T498,AC498,AE498,AG498,AH498)</x:f>
        <x:v>-352.97299999999996</x:v>
      </x:c>
      <x:c r="AJ498" s="65" t="n">
        <x:f>AI498/Q498</x:f>
        <x:v>-0.31236825104646937</x:v>
      </x:c>
      <x:c r="AK498" s="64" t="n">
        <x:f>Q498+AI498</x:f>
        <x:v>777.017</x:v>
      </x:c>
      <x:c r="AL498" s="65" t="n">
        <x:f>AK498/Q498</x:f>
        <x:v>0.6876317489535306</x:v>
      </x:c>
      <x:c r="AM498" s="64" t="n">
        <x:f>AK498/L498</x:f>
        <x:v>194.25425</x:v>
      </x:c>
      <x:c r="AN498" s="66" t="str">
        <x:f>IF(AM498&lt;=200,"≤200K",IF(AM498&lt;=350,"200–350K",IF(AM498&lt;=500,"350–500K",IF(AM498&lt;=700,"500–700K","&gt;700K"))))</x:f>
        <x:v>≤200K</x:v>
      </x:c>
      <x:c r="AO498" s="64" t="n">
        <x:f>-ROUND(Q498*'Drivers'!R498,3)</x:f>
        <x:v>-415.39</x:v>
      </x:c>
      <x:c r="AP498" s="64" t="n">
        <x:f>-ROUND(AK498*'Drivers'!S498,3)</x:f>
        <x:v>-10.418</x:v>
      </x:c>
      <x:c r="AQ498" s="64" t="n">
        <x:f>-ROUND(AK498*'Drivers'!T498,3)</x:f>
        <x:v>-4.047</x:v>
      </x:c>
      <x:c r="AR498" s="64" t="n">
        <x:f>-ROUND(AK498*'Drivers'!U498,3)</x:f>
        <x:v>-8.795</x:v>
      </x:c>
      <x:c r="AS498" s="64" t="n">
        <x:f>-ROUND(AK498*'Drivers'!V498,3)</x:f>
        <x:v>-24.156</x:v>
      </x:c>
      <x:c r="AT498" s="64" t="n">
        <x:f>SUM(AO498:AS498)</x:f>
        <x:v>-462.80600000000004</x:v>
      </x:c>
      <x:c r="AU498" s="65" t="n">
        <x:f>AT498/AK498</x:f>
        <x:v>-0.5956188860732777</x:v>
      </x:c>
      <x:c r="AV498" s="64" t="n">
        <x:f>AK498+AT498</x:f>
        <x:v>314.211</x:v>
      </x:c>
      <x:c r="AW498" s="65" t="n">
        <x:f>AV498/AK498</x:f>
        <x:v>0.4043811139267223</x:v>
      </x:c>
      <x:c r="AX498" s="64" t="n">
        <x:f>-ROUND(AK498*'Drivers'!W498,3)</x:f>
        <x:v>-10.906</x:v>
      </x:c>
      <x:c r="AY498" s="64" t="n">
        <x:f>-ROUND(AK498*'Drivers'!X498,3)</x:f>
        <x:v>-16.488</x:v>
      </x:c>
      <x:c r="AZ498" s="64" t="n">
        <x:f>-ROUND(AK498*'Drivers'!Y498,3)</x:f>
        <x:v>-16.253</x:v>
      </x:c>
      <x:c r="BA498" s="64" t="n">
        <x:f>-ROUND(AK498*'Drivers'!Z498,3)</x:f>
        <x:v>-4.496</x:v>
      </x:c>
      <x:c r="BB498" s="64" t="n">
        <x:f>-ROUND(AK498*'Drivers'!AA498,3)</x:f>
        <x:v>-5.159</x:v>
      </x:c>
      <x:c r="BC498" s="64" t="n">
        <x:f>SUM(BA498,BB498)</x:f>
        <x:v>-9.655000000000001</x:v>
      </x:c>
      <x:c r="BD498" s="64" t="n">
        <x:f>-ROUND(AK498*'Drivers'!AB498,3)</x:f>
        <x:v>-4.553</x:v>
      </x:c>
      <x:c r="BE498" s="64" t="n">
        <x:f>SUM(AX498:BB498,BD498)</x:f>
        <x:v>-57.855</x:v>
      </x:c>
      <x:c r="BF498" s="67" t="n">
        <x:f>'Drivers'!AF498</x:f>
        <x:v>6</x:v>
      </x:c>
      <x:c r="BG498" s="64" t="n">
        <x:f>BJ498</x:f>
        <x:v>-14.312</x:v>
      </x:c>
      <x:c r="BH498" s="64" t="n">
        <x:f>BE498/BF498</x:f>
        <x:v>-9.6425</x:v>
      </x:c>
      <x:c r="BI498" s="68" t="n">
        <x:f>BF498/L498</x:f>
        <x:v>1.5</x:v>
      </x:c>
      <x:c r="BJ498" s="64" t="n">
        <x:f>-ROUND(AK498*'Drivers'!AC498,3)</x:f>
        <x:v>-14.312</x:v>
      </x:c>
      <x:c r="BK498" s="64" t="n">
        <x:f>-ROUND(AK498*'Drivers'!AD498,3)</x:f>
        <x:v>-68.128</x:v>
      </x:c>
      <x:c r="BL498" s="64" t="n">
        <x:f>SUM(AV498,BE498,BJ498,BK498)</x:f>
        <x:v>173.916</x:v>
      </x:c>
      <x:c r="BM498" s="65" t="n">
        <x:f>BL498/AK498</x:f>
        <x:v>0.22382521875325764</x:v>
      </x:c>
      <x:c r="BN498" s="64" t="n">
        <x:f>-ROUND(AK498*'Drivers'!AE498,3)</x:f>
        <x:v>-65.6</x:v>
      </x:c>
      <x:c r="BO498" s="64" t="n">
        <x:f>BL498+BN498</x:f>
        <x:v>108.316</x:v>
      </x:c>
      <x:c r="BP498" s="65" t="n">
        <x:f>BO498/AK498</x:f>
        <x:v>0.13939978147196264</x:v>
      </x:c>
    </x:row>
    <x:row r="499">
      <x:c r="A499" s="61" t="n">
        <x:v>2025</x:v>
      </x:c>
      <x:c r="B499" s="18" t="str">
        <x:v>S2</x:v>
      </x:c>
      <x:c r="C499" s="18" t="str">
        <x:v>2025 S2</x:v>
      </x:c>
      <x:c r="D499" s="18" t="str">
        <x:v>CNCT0125</x:v>
      </x:c>
      <x:c r="E499" s="18" t="str">
        <x:v>厦门集美世茂广场</x:v>
      </x:c>
      <x:c r="F499" s="18" t="str">
        <x:v>厦门</x:v>
      </x:c>
      <x:c r="G499" s="18" t="str">
        <x:v>福建省</x:v>
      </x:c>
      <x:c r="H499" s="18" t="str">
        <x:v>东区</x:v>
      </x:c>
      <x:c r="I499" s="18" t="str">
        <x:v>Shopping Mall</x:v>
      </x:c>
      <x:c r="J499" s="18" t="str">
        <x:v>Regional Mall</x:v>
      </x:c>
      <x:c r="K499" s="18" t="str">
        <x:v>正常</x:v>
      </x:c>
      <x:c r="L499" s="62" t="n">
        <x:v>4</x:v>
      </x:c>
      <x:c r="M499" s="62" t="n">
        <x:v>40</x:v>
      </x:c>
      <x:c r="N499" s="63" t="n">
        <x:f>'Drivers'!C499</x:f>
        <x:v>1246</x:v>
      </x:c>
      <x:c r="O499" s="63" t="n">
        <x:f>'Drivers'!D499</x:f>
        <x:v>1013.625</x:v>
      </x:c>
      <x:c r="P499" s="64" t="n">
        <x:f>ROUND(N499*O499/1000,3)</x:f>
        <x:v>1262.977</x:v>
      </x:c>
      <x:c r="Q499" s="64" t="n">
        <x:f>ROUND(P499*'Drivers'!E499,3)</x:f>
        <x:v>1232.49</x:v>
      </x:c>
      <x:c r="R499" s="64" t="n">
        <x:f>-ROUND(Q499*'Drivers'!F499,3)</x:f>
        <x:v>-265.017</x:v>
      </x:c>
      <x:c r="S499" s="65" t="n">
        <x:f>R499/Q499</x:f>
        <x:v>-0.21502567972153933</x:v>
      </x:c>
      <x:c r="T499" s="64" t="n">
        <x:f>-ROUND(Q499*'Drivers'!G499,3)</x:f>
        <x:v>-23.198</x:v>
      </x:c>
      <x:c r="U499" s="65" t="n">
        <x:f>T499/Q499</x:f>
        <x:v>-0.018822059408189925</x:v>
      </x:c>
      <x:c r="V499" s="64" t="n">
        <x:f>-ROUND(Q499*'Drivers'!H499,3)</x:f>
        <x:v>-8.81</x:v>
      </x:c>
      <x:c r="W499" s="64" t="n">
        <x:f>-ROUND(Q499*'Drivers'!I499,3)</x:f>
        <x:v>-11.654</x:v>
      </x:c>
      <x:c r="X499" s="64" t="n">
        <x:f>-ROUND(Q499*'Drivers'!J499,3)</x:f>
        <x:v>-16.594</x:v>
      </x:c>
      <x:c r="Y499" s="64" t="n">
        <x:f>-ROUND(Q499*'Drivers'!K499,3)</x:f>
        <x:v>-15.348</x:v>
      </x:c>
      <x:c r="Z499" s="64" t="n">
        <x:f>-ROUND(Q499*'Drivers'!L499,3)</x:f>
        <x:v>-11.647</x:v>
      </x:c>
      <x:c r="AA499" s="64" t="n">
        <x:f>-ROUND(Q499*'Drivers'!M499,3)</x:f>
        <x:v>-7.335</x:v>
      </x:c>
      <x:c r="AB499" s="64" t="n">
        <x:f>-ROUND(Q499*'Drivers'!N499,3)</x:f>
        <x:v>-8.761</x:v>
      </x:c>
      <x:c r="AC499" s="64" t="n">
        <x:f>SUM(V499:AB499)</x:f>
        <x:v>-80.14899999999999</x:v>
      </x:c>
      <x:c r="AD499" s="65" t="n">
        <x:f>AC499/Q499</x:f>
        <x:v>-0.06503014223239133</x:v>
      </x:c>
      <x:c r="AE499" s="64" t="n">
        <x:f>-ROUND(Q499*'Drivers'!O499,3)</x:f>
        <x:v>-9.889</x:v>
      </x:c>
      <x:c r="AF499" s="65" t="n">
        <x:f>AE499/Q499</x:f>
        <x:v>-0.008023594511923016</x:v>
      </x:c>
      <x:c r="AG499" s="64" t="n">
        <x:f>-ROUND(Q499*'Drivers'!P499,3)</x:f>
        <x:v>-2.511</x:v>
      </x:c>
      <x:c r="AH499" s="64" t="n">
        <x:f>-ROUND(Q499*'Drivers'!Q499,3)</x:f>
        <x:v>-4.224</x:v>
      </x:c>
      <x:c r="AI499" s="64" t="n">
        <x:f>SUM(R499,T499,AC499,AE499,AG499,AH499)</x:f>
        <x:v>-384.988</x:v>
      </x:c>
      <x:c r="AJ499" s="65" t="n">
        <x:f>AI499/Q499</x:f>
        <x:v>-0.31236602325373836</x:v>
      </x:c>
      <x:c r="AK499" s="64" t="n">
        <x:f>Q499+AI499</x:f>
        <x:v>847.502</x:v>
      </x:c>
      <x:c r="AL499" s="65" t="n">
        <x:f>AK499/Q499</x:f>
        <x:v>0.6876339767462616</x:v>
      </x:c>
      <x:c r="AM499" s="64" t="n">
        <x:f>AK499/L499</x:f>
        <x:v>211.8755</x:v>
      </x:c>
      <x:c r="AN499" s="66" t="str">
        <x:f>IF(AM499&lt;=200,"≤200K",IF(AM499&lt;=350,"200–350K",IF(AM499&lt;=500,"350–500K",IF(AM499&lt;=700,"500–700K","&gt;700K"))))</x:f>
        <x:v>200–350K</x:v>
      </x:c>
      <x:c r="AO499" s="64" t="n">
        <x:f>-ROUND(Q499*'Drivers'!R499,3)</x:f>
        <x:v>-432.443</x:v>
      </x:c>
      <x:c r="AP499" s="64" t="n">
        <x:f>-ROUND(AK499*'Drivers'!S499,3)</x:f>
        <x:v>-11.363</x:v>
      </x:c>
      <x:c r="AQ499" s="64" t="n">
        <x:f>-ROUND(AK499*'Drivers'!T499,3)</x:f>
        <x:v>-4.415</x:v>
      </x:c>
      <x:c r="AR499" s="64" t="n">
        <x:f>-ROUND(AK499*'Drivers'!U499,3)</x:f>
        <x:v>-9.593</x:v>
      </x:c>
      <x:c r="AS499" s="64" t="n">
        <x:f>-ROUND(AK499*'Drivers'!V499,3)</x:f>
        <x:v>-26.347</x:v>
      </x:c>
      <x:c r="AT499" s="64" t="n">
        <x:f>SUM(AO499:AS499)</x:f>
        <x:v>-484.161</x:v>
      </x:c>
      <x:c r="AU499" s="65" t="n">
        <x:f>AT499/AK499</x:f>
        <x:v>-0.5712800677756513</x:v>
      </x:c>
      <x:c r="AV499" s="64" t="n">
        <x:f>AK499+AT499</x:f>
        <x:v>363.34099999999995</x:v>
      </x:c>
      <x:c r="AW499" s="65" t="n">
        <x:f>AV499/AK499</x:f>
        <x:v>0.4287199322243487</x:v>
      </x:c>
      <x:c r="AX499" s="64" t="n">
        <x:f>-ROUND(AK499*'Drivers'!W499,3)</x:f>
        <x:v>-11.895</x:v>
      </x:c>
      <x:c r="AY499" s="64" t="n">
        <x:f>-ROUND(AK499*'Drivers'!X499,3)</x:f>
        <x:v>-17.984</x:v>
      </x:c>
      <x:c r="AZ499" s="64" t="n">
        <x:f>-ROUND(AK499*'Drivers'!Y499,3)</x:f>
        <x:v>-17.727</x:v>
      </x:c>
      <x:c r="BA499" s="64" t="n">
        <x:f>-ROUND(AK499*'Drivers'!Z499,3)</x:f>
        <x:v>-4.903</x:v>
      </x:c>
      <x:c r="BB499" s="64" t="n">
        <x:f>-ROUND(AK499*'Drivers'!AA499,3)</x:f>
        <x:v>-5.627</x:v>
      </x:c>
      <x:c r="BC499" s="64" t="n">
        <x:f>SUM(BA499,BB499)</x:f>
        <x:v>-10.53</x:v>
      </x:c>
      <x:c r="BD499" s="64" t="n">
        <x:f>-ROUND(AK499*'Drivers'!AB499,3)</x:f>
        <x:v>-4.966</x:v>
      </x:c>
      <x:c r="BE499" s="64" t="n">
        <x:f>SUM(AX499:BB499,BD499)</x:f>
        <x:v>-63.102000000000004</x:v>
      </x:c>
      <x:c r="BF499" s="67" t="n">
        <x:f>'Drivers'!AF499</x:f>
        <x:v>6</x:v>
      </x:c>
      <x:c r="BG499" s="64" t="n">
        <x:f>BJ499</x:f>
        <x:v>-15.61</x:v>
      </x:c>
      <x:c r="BH499" s="64" t="n">
        <x:f>BE499/BF499</x:f>
        <x:v>-10.517000000000001</x:v>
      </x:c>
      <x:c r="BI499" s="68" t="n">
        <x:f>BF499/L499</x:f>
        <x:v>1.5</x:v>
      </x:c>
      <x:c r="BJ499" s="64" t="n">
        <x:f>-ROUND(AK499*'Drivers'!AC499,3)</x:f>
        <x:v>-15.61</x:v>
      </x:c>
      <x:c r="BK499" s="64" t="n">
        <x:f>-ROUND(AK499*'Drivers'!AD499,3)</x:f>
        <x:v>-74.308</x:v>
      </x:c>
      <x:c r="BL499" s="64" t="n">
        <x:f>SUM(AV499,BE499,BJ499,BK499)</x:f>
        <x:v>210.3209999999999</x:v>
      </x:c>
      <x:c r="BM499" s="65" t="n">
        <x:f>BL499/AK499</x:f>
        <x:v>0.2481657860394429</x:v>
      </x:c>
      <x:c r="BN499" s="64" t="n">
        <x:f>-ROUND(AK499*'Drivers'!AE499,3)</x:f>
        <x:v>-71.551</x:v>
      </x:c>
      <x:c r="BO499" s="64" t="n">
        <x:f>BL499+BN499</x:f>
        <x:v>138.76999999999992</x:v>
      </x:c>
      <x:c r="BP499" s="65" t="n">
        <x:f>BO499/AK499</x:f>
        <x:v>0.1637400265722086</x:v>
      </x:c>
    </x:row>
    <x:row r="500">
      <x:c r="A500" s="61" t="n">
        <x:v>2026</x:v>
      </x:c>
      <x:c r="B500" s="18" t="str">
        <x:v>S1</x:v>
      </x:c>
      <x:c r="C500" s="18" t="str">
        <x:v>2026 S1</x:v>
      </x:c>
      <x:c r="D500" s="18" t="str">
        <x:v>CNCT0125</x:v>
      </x:c>
      <x:c r="E500" s="18" t="str">
        <x:v>厦门集美世茂广场</x:v>
      </x:c>
      <x:c r="F500" s="18" t="str">
        <x:v>厦门</x:v>
      </x:c>
      <x:c r="G500" s="18" t="str">
        <x:v>福建省</x:v>
      </x:c>
      <x:c r="H500" s="18" t="str">
        <x:v>东区</x:v>
      </x:c>
      <x:c r="I500" s="18" t="str">
        <x:v>Shopping Mall</x:v>
      </x:c>
      <x:c r="J500" s="18" t="str">
        <x:v>Regional Mall</x:v>
      </x:c>
      <x:c r="K500" s="18" t="str">
        <x:v>正常</x:v>
      </x:c>
      <x:c r="L500" s="62" t="n">
        <x:v>4</x:v>
      </x:c>
      <x:c r="M500" s="62" t="n">
        <x:v>40</x:v>
      </x:c>
      <x:c r="N500" s="63" t="n">
        <x:f>'Drivers'!C500</x:f>
        <x:v>1235</x:v>
      </x:c>
      <x:c r="O500" s="63" t="n">
        <x:f>'Drivers'!D500</x:f>
        <x:v>1047.127</x:v>
      </x:c>
      <x:c r="P500" s="64" t="n">
        <x:f>ROUND(N500*O500/1000,3)</x:f>
        <x:v>1293.202</x:v>
      </x:c>
      <x:c r="Q500" s="64" t="n">
        <x:f>ROUND(P500*'Drivers'!E500,3)</x:f>
        <x:v>1260.519</x:v>
      </x:c>
      <x:c r="R500" s="64" t="n">
        <x:f>-ROUND(Q500*'Drivers'!F500,3)</x:f>
        <x:v>-266.166</x:v>
      </x:c>
      <x:c r="S500" s="65" t="n">
        <x:f>R500/Q500</x:f>
        <x:v>-0.2111558810299567</x:v>
      </x:c>
      <x:c r="T500" s="64" t="n">
        <x:f>-ROUND(Q500*'Drivers'!G500,3)</x:f>
        <x:v>-25.401</x:v>
      </x:c>
      <x:c r="U500" s="65" t="n">
        <x:f>T500/Q500</x:f>
        <x:v>-0.020151223424636995</x:v>
      </x:c>
      <x:c r="V500" s="64" t="n">
        <x:f>-ROUND(Q500*'Drivers'!H500,3)</x:f>
        <x:v>-9.011</x:v>
      </x:c>
      <x:c r="W500" s="64" t="n">
        <x:f>-ROUND(Q500*'Drivers'!I500,3)</x:f>
        <x:v>-11.919</x:v>
      </x:c>
      <x:c r="X500" s="64" t="n">
        <x:f>-ROUND(Q500*'Drivers'!J500,3)</x:f>
        <x:v>-16.972</x:v>
      </x:c>
      <x:c r="Y500" s="64" t="n">
        <x:f>-ROUND(Q500*'Drivers'!K500,3)</x:f>
        <x:v>-15.697</x:v>
      </x:c>
      <x:c r="Z500" s="64" t="n">
        <x:f>-ROUND(Q500*'Drivers'!L500,3)</x:f>
        <x:v>-11.912</x:v>
      </x:c>
      <x:c r="AA500" s="64" t="n">
        <x:f>-ROUND(Q500*'Drivers'!M500,3)</x:f>
        <x:v>-7.502</x:v>
      </x:c>
      <x:c r="AB500" s="64" t="n">
        <x:f>-ROUND(Q500*'Drivers'!N500,3)</x:f>
        <x:v>-8.961</x:v>
      </x:c>
      <x:c r="AC500" s="64" t="n">
        <x:f>SUM(V500:AB500)</x:f>
        <x:v>-81.974</x:v>
      </x:c>
      <x:c r="AD500" s="65" t="n">
        <x:f>AC500/Q500</x:f>
        <x:v>-0.0650319431916536</x:v>
      </x:c>
      <x:c r="AE500" s="64" t="n">
        <x:f>-ROUND(Q500*'Drivers'!O500,3)</x:f>
        <x:v>-11.221</x:v>
      </x:c>
      <x:c r="AF500" s="65" t="n">
        <x:f>AE500/Q500</x:f>
        <x:v>-0.008901888825158527</x:v>
      </x:c>
      <x:c r="AG500" s="64" t="n">
        <x:f>-ROUND(Q500*'Drivers'!P500,3)</x:f>
        <x:v>-2.569</x:v>
      </x:c>
      <x:c r="AH500" s="64" t="n">
        <x:f>-ROUND(Q500*'Drivers'!Q500,3)</x:f>
        <x:v>-4.32</x:v>
      </x:c>
      <x:c r="AI500" s="64" t="n">
        <x:f>SUM(R500,T500,AC500,AE500,AG500,AH500)</x:f>
        <x:v>-391.651</x:v>
      </x:c>
      <x:c r="AJ500" s="65" t="n">
        <x:f>AI500/Q500</x:f>
        <x:v>-0.3107061456431835</x:v>
      </x:c>
      <x:c r="AK500" s="64" t="n">
        <x:f>Q500+AI500</x:f>
        <x:v>868.8679999999999</x:v>
      </x:c>
      <x:c r="AL500" s="65" t="n">
        <x:f>AK500/Q500</x:f>
        <x:v>0.6892938543568164</x:v>
      </x:c>
      <x:c r="AM500" s="64" t="n">
        <x:f>AK500/L500</x:f>
        <x:v>217.21699999999998</x:v>
      </x:c>
      <x:c r="AN500" s="66" t="str">
        <x:f>IF(AM500&lt;=200,"≤200K",IF(AM500&lt;=350,"200–350K",IF(AM500&lt;=500,"350–500K",IF(AM500&lt;=700,"500–700K","&gt;700K"))))</x:f>
        <x:v>200–350K</x:v>
      </x:c>
      <x:c r="AO500" s="64" t="n">
        <x:f>-ROUND(Q500*'Drivers'!R500,3)</x:f>
        <x:v>-467.272</x:v>
      </x:c>
      <x:c r="AP500" s="64" t="n">
        <x:f>-ROUND(AK500*'Drivers'!S500,3)</x:f>
        <x:v>-11.649</x:v>
      </x:c>
      <x:c r="AQ500" s="64" t="n">
        <x:f>-ROUND(AK500*'Drivers'!T500,3)</x:f>
        <x:v>-4.526</x:v>
      </x:c>
      <x:c r="AR500" s="64" t="n">
        <x:f>-ROUND(AK500*'Drivers'!U500,3)</x:f>
        <x:v>-9.835</x:v>
      </x:c>
      <x:c r="AS500" s="64" t="n">
        <x:f>-ROUND(AK500*'Drivers'!V500,3)</x:f>
        <x:v>-27.011</x:v>
      </x:c>
      <x:c r="AT500" s="64" t="n">
        <x:f>SUM(AO500:AS500)</x:f>
        <x:v>-520.293</x:v>
      </x:c>
      <x:c r="AU500" s="65" t="n">
        <x:f>AT500/AK500</x:f>
        <x:v>-0.5988170815359756</x:v>
      </x:c>
      <x:c r="AV500" s="64" t="n">
        <x:f>AK500+AT500</x:f>
        <x:v>348.57499999999993</x:v>
      </x:c>
      <x:c r="AW500" s="65" t="n">
        <x:f>AV500/AK500</x:f>
        <x:v>0.40118291846402443</x:v>
      </x:c>
      <x:c r="AX500" s="64" t="n">
        <x:f>-ROUND(AK500*'Drivers'!W500,3)</x:f>
        <x:v>-15.006</x:v>
      </x:c>
      <x:c r="AY500" s="64" t="n">
        <x:f>-ROUND(AK500*'Drivers'!X500,3)</x:f>
        <x:v>-22.686</x:v>
      </x:c>
      <x:c r="AZ500" s="64" t="n">
        <x:f>-ROUND(AK500*'Drivers'!Y500,3)</x:f>
        <x:v>-22.362</x:v>
      </x:c>
      <x:c r="BA500" s="64" t="n">
        <x:f>-ROUND(AK500*'Drivers'!Z500,3)</x:f>
        <x:v>-6.186</x:v>
      </x:c>
      <x:c r="BB500" s="64" t="n">
        <x:f>-ROUND(AK500*'Drivers'!AA500,3)</x:f>
        <x:v>-7.098</x:v>
      </x:c>
      <x:c r="BC500" s="64" t="n">
        <x:f>SUM(BA500,BB500)</x:f>
        <x:v>-13.283999999999999</x:v>
      </x:c>
      <x:c r="BD500" s="64" t="n">
        <x:f>-ROUND(AK500*'Drivers'!AB500,3)</x:f>
        <x:v>-6.264</x:v>
      </x:c>
      <x:c r="BE500" s="64" t="n">
        <x:f>SUM(AX500:BB500,BD500)</x:f>
        <x:v>-79.602</x:v>
      </x:c>
      <x:c r="BF500" s="67" t="n">
        <x:f>'Drivers'!AF500</x:f>
        <x:v>6</x:v>
      </x:c>
      <x:c r="BG500" s="64" t="n">
        <x:f>BJ500</x:f>
        <x:v>-19.691</x:v>
      </x:c>
      <x:c r="BH500" s="64" t="n">
        <x:f>BE500/BF500</x:f>
        <x:v>-13.267000000000001</x:v>
      </x:c>
      <x:c r="BI500" s="68" t="n">
        <x:f>BF500/L500</x:f>
        <x:v>1.5</x:v>
      </x:c>
      <x:c r="BJ500" s="64" t="n">
        <x:f>-ROUND(AK500*'Drivers'!AC500,3)</x:f>
        <x:v>-19.691</x:v>
      </x:c>
      <x:c r="BK500" s="64" t="n">
        <x:f>-ROUND(AK500*'Drivers'!AD500,3)</x:f>
        <x:v>-76.181</x:v>
      </x:c>
      <x:c r="BL500" s="64" t="n">
        <x:f>SUM(AV500,BE500,BJ500,BK500)</x:f>
        <x:v>173.10099999999994</x:v>
      </x:c>
      <x:c r="BM500" s="65" t="n">
        <x:f>BL500/AK500</x:f>
        <x:v>0.19922588931805515</x:v>
      </x:c>
      <x:c r="BN500" s="64" t="n">
        <x:f>-ROUND(AK500*'Drivers'!AE500,3)</x:f>
        <x:v>-73.354</x:v>
      </x:c>
      <x:c r="BO500" s="64" t="n">
        <x:f>BL500+BN500</x:f>
        <x:v>99.74699999999994</x:v>
      </x:c>
      <x:c r="BP500" s="65" t="n">
        <x:f>BO500/AK500</x:f>
        <x:v>0.11480109751999147</x:v>
      </x:c>
    </x:row>
    <x:row r="501">
      <x:c r="A501" s="61" t="n">
        <x:v>2026</x:v>
      </x:c>
      <x:c r="B501" s="18" t="str">
        <x:v>S2</x:v>
      </x:c>
      <x:c r="C501" s="18" t="str">
        <x:v>2026 S2</x:v>
      </x:c>
      <x:c r="D501" s="18" t="str">
        <x:v>CNCT0125</x:v>
      </x:c>
      <x:c r="E501" s="18" t="str">
        <x:v>厦门集美世茂广场</x:v>
      </x:c>
      <x:c r="F501" s="18" t="str">
        <x:v>厦门</x:v>
      </x:c>
      <x:c r="G501" s="18" t="str">
        <x:v>福建省</x:v>
      </x:c>
      <x:c r="H501" s="18" t="str">
        <x:v>东区</x:v>
      </x:c>
      <x:c r="I501" s="18" t="str">
        <x:v>Shopping Mall</x:v>
      </x:c>
      <x:c r="J501" s="18" t="str">
        <x:v>Regional Mall</x:v>
      </x:c>
      <x:c r="K501" s="18" t="str">
        <x:v>正常</x:v>
      </x:c>
      <x:c r="L501" s="62" t="n">
        <x:v>4</x:v>
      </x:c>
      <x:c r="M501" s="62" t="n">
        <x:v>40</x:v>
      </x:c>
      <x:c r="N501" s="63" t="n">
        <x:f>'Drivers'!C501</x:f>
        <x:v>1337</x:v>
      </x:c>
      <x:c r="O501" s="63" t="n">
        <x:f>'Drivers'!D501</x:f>
        <x:v>1046.285</x:v>
      </x:c>
      <x:c r="P501" s="64" t="n">
        <x:f>ROUND(N501*O501/1000,3)</x:f>
        <x:v>1398.883</x:v>
      </x:c>
      <x:c r="Q501" s="64" t="n">
        <x:f>ROUND(P501*'Drivers'!E501,3)</x:f>
        <x:v>1365.115</x:v>
      </x:c>
      <x:c r="R501" s="64" t="n">
        <x:f>-ROUND(Q501*'Drivers'!F501,3)</x:f>
        <x:v>-297.766</x:v>
      </x:c>
      <x:c r="S501" s="65" t="n">
        <x:f>R501/Q501</x:f>
        <x:v>-0.2181252128941518</x:v>
      </x:c>
      <x:c r="T501" s="64" t="n">
        <x:f>-ROUND(Q501*'Drivers'!G501,3)</x:f>
        <x:v>-28.29</x:v>
      </x:c>
      <x:c r="U501" s="65" t="n">
        <x:f>T501/Q501</x:f>
        <x:v>-0.020723528786952015</x:v>
      </x:c>
      <x:c r="V501" s="64" t="n">
        <x:f>-ROUND(Q501*'Drivers'!H501,3)</x:f>
        <x:v>-9.758</x:v>
      </x:c>
      <x:c r="W501" s="64" t="n">
        <x:f>-ROUND(Q501*'Drivers'!I501,3)</x:f>
        <x:v>-12.908</x:v>
      </x:c>
      <x:c r="X501" s="64" t="n">
        <x:f>-ROUND(Q501*'Drivers'!J501,3)</x:f>
        <x:v>-18.38</x:v>
      </x:c>
      <x:c r="Y501" s="64" t="n">
        <x:f>-ROUND(Q501*'Drivers'!K501,3)</x:f>
        <x:v>-17</x:v>
      </x:c>
      <x:c r="Z501" s="64" t="n">
        <x:f>-ROUND(Q501*'Drivers'!L501,3)</x:f>
        <x:v>-12.9</x:v>
      </x:c>
      <x:c r="AA501" s="64" t="n">
        <x:f>-ROUND(Q501*'Drivers'!M501,3)</x:f>
        <x:v>-8.125</x:v>
      </x:c>
      <x:c r="AB501" s="64" t="n">
        <x:f>-ROUND(Q501*'Drivers'!N501,3)</x:f>
        <x:v>-9.704</x:v>
      </x:c>
      <x:c r="AC501" s="64" t="n">
        <x:f>SUM(V501:AB501)</x:f>
        <x:v>-88.775</x:v>
      </x:c>
      <x:c r="AD501" s="65" t="n">
        <x:f>AC501/Q501</x:f>
        <x:v>-0.06503115122169195</x:v>
      </x:c>
      <x:c r="AE501" s="64" t="n">
        <x:f>-ROUND(Q501*'Drivers'!O501,3)</x:f>
        <x:v>-10.953</x:v>
      </x:c>
      <x:c r="AF501" s="65" t="n">
        <x:f>AE501/Q501</x:f>
        <x:v>-0.00802349985166085</x:v>
      </x:c>
      <x:c r="AG501" s="64" t="n">
        <x:f>-ROUND(Q501*'Drivers'!P501,3)</x:f>
        <x:v>-2.782</x:v>
      </x:c>
      <x:c r="AH501" s="64" t="n">
        <x:f>-ROUND(Q501*'Drivers'!Q501,3)</x:f>
        <x:v>-4.679</x:v>
      </x:c>
      <x:c r="AI501" s="64" t="n">
        <x:f>SUM(R501,T501,AC501,AE501,AG501,AH501)</x:f>
        <x:v>-433.24499999999995</x:v>
      </x:c>
      <x:c r="AJ501" s="65" t="n">
        <x:f>AI501/Q501</x:f>
        <x:v>-0.31736886635924444</x:v>
      </x:c>
      <x:c r="AK501" s="64" t="n">
        <x:f>Q501+AI501</x:f>
        <x:v>931.8700000000001</x:v>
      </x:c>
      <x:c r="AL501" s="65" t="n">
        <x:f>AK501/Q501</x:f>
        <x:v>0.6826311336407557</x:v>
      </x:c>
      <x:c r="AM501" s="64" t="n">
        <x:f>AK501/L501</x:f>
        <x:v>232.96750000000003</x:v>
      </x:c>
      <x:c r="AN501" s="66" t="str">
        <x:f>IF(AM501&lt;=200,"≤200K",IF(AM501&lt;=350,"200–350K",IF(AM501&lt;=500,"350–500K",IF(AM501&lt;=700,"500–700K","&gt;700K"))))</x:f>
        <x:v>200–350K</x:v>
      </x:c>
      <x:c r="AO501" s="64" t="n">
        <x:f>-ROUND(Q501*'Drivers'!R501,3)</x:f>
        <x:v>-471.326</x:v>
      </x:c>
      <x:c r="AP501" s="64" t="n">
        <x:f>-ROUND(AK501*'Drivers'!S501,3)</x:f>
        <x:v>-12.494</x:v>
      </x:c>
      <x:c r="AQ501" s="64" t="n">
        <x:f>-ROUND(AK501*'Drivers'!T501,3)</x:f>
        <x:v>-4.854</x:v>
      </x:c>
      <x:c r="AR501" s="64" t="n">
        <x:f>-ROUND(AK501*'Drivers'!U501,3)</x:f>
        <x:v>-10.548</x:v>
      </x:c>
      <x:c r="AS501" s="64" t="n">
        <x:f>-ROUND(AK501*'Drivers'!V501,3)</x:f>
        <x:v>-28.97</x:v>
      </x:c>
      <x:c r="AT501" s="64" t="n">
        <x:f>SUM(AO501:AS501)</x:f>
        <x:v>-528.192</x:v>
      </x:c>
      <x:c r="AU501" s="65" t="n">
        <x:f>AT501/AK501</x:f>
        <x:v>-0.5668086750297787</x:v>
      </x:c>
      <x:c r="AV501" s="64" t="n">
        <x:f>AK501+AT501</x:f>
        <x:v>403.6780000000001</x:v>
      </x:c>
      <x:c r="AW501" s="65" t="n">
        <x:f>AV501/AK501</x:f>
        <x:v>0.4331913249702212</x:v>
      </x:c>
      <x:c r="AX501" s="64" t="n">
        <x:f>-ROUND(AK501*'Drivers'!W501,3)</x:f>
        <x:v>-13.864</x:v>
      </x:c>
      <x:c r="AY501" s="64" t="n">
        <x:f>-ROUND(AK501*'Drivers'!X501,3)</x:f>
        <x:v>-20.961</x:v>
      </x:c>
      <x:c r="AZ501" s="64" t="n">
        <x:f>-ROUND(AK501*'Drivers'!Y501,3)</x:f>
        <x:v>-20.661</x:v>
      </x:c>
      <x:c r="BA501" s="64" t="n">
        <x:f>-ROUND(AK501*'Drivers'!Z501,3)</x:f>
        <x:v>-5.715</x:v>
      </x:c>
      <x:c r="BB501" s="64" t="n">
        <x:f>-ROUND(AK501*'Drivers'!AA501,3)</x:f>
        <x:v>-6.559</x:v>
      </x:c>
      <x:c r="BC501" s="64" t="n">
        <x:f>SUM(BA501,BB501)</x:f>
        <x:v>-12.274000000000001</x:v>
      </x:c>
      <x:c r="BD501" s="64" t="n">
        <x:f>-ROUND(AK501*'Drivers'!AB501,3)</x:f>
        <x:v>-5.788</x:v>
      </x:c>
      <x:c r="BE501" s="64" t="n">
        <x:f>SUM(AX501:BB501,BD501)</x:f>
        <x:v>-73.548</x:v>
      </x:c>
      <x:c r="BF501" s="67" t="n">
        <x:f>'Drivers'!AF501</x:f>
        <x:v>6</x:v>
      </x:c>
      <x:c r="BG501" s="64" t="n">
        <x:f>BJ501</x:f>
        <x:v>-18.194</x:v>
      </x:c>
      <x:c r="BH501" s="64" t="n">
        <x:f>BE501/BF501</x:f>
        <x:v>-12.258000000000001</x:v>
      </x:c>
      <x:c r="BI501" s="68" t="n">
        <x:f>BF501/L501</x:f>
        <x:v>1.5</x:v>
      </x:c>
      <x:c r="BJ501" s="64" t="n">
        <x:f>-ROUND(AK501*'Drivers'!AC501,3)</x:f>
        <x:v>-18.194</x:v>
      </x:c>
      <x:c r="BK501" s="64" t="n">
        <x:f>-ROUND(AK501*'Drivers'!AD501,3)</x:f>
        <x:v>-81.705</x:v>
      </x:c>
      <x:c r="BL501" s="64" t="n">
        <x:f>SUM(AV501,BE501,BJ501,BK501)</x:f>
        <x:v>230.2310000000001</x:v>
      </x:c>
      <x:c r="BM501" s="65" t="n">
        <x:f>BL501/AK501</x:f>
        <x:v>0.2470634315945358</x:v>
      </x:c>
      <x:c r="BN501" s="64" t="n">
        <x:f>-ROUND(AK501*'Drivers'!AE501,3)</x:f>
        <x:v>-78.673</x:v>
      </x:c>
      <x:c r="BO501" s="64" t="n">
        <x:f>BL501+BN501</x:f>
        <x:v>151.5580000000001</x:v>
      </x:c>
      <x:c r="BP501" s="65" t="n">
        <x:f>BO501/AK501</x:f>
        <x:v>0.16263856546514008</x:v>
      </x:c>
    </x:row>
    <x:row r="502">
      <x:c r="A502" s="61" t="n">
        <x:v>2025</x:v>
      </x:c>
      <x:c r="B502" s="18" t="str">
        <x:v>S1</x:v>
      </x:c>
      <x:c r="C502" s="18" t="str">
        <x:v>2025 S1</x:v>
      </x:c>
      <x:c r="D502" s="18" t="str">
        <x:v>CNCT0126</x:v>
      </x:c>
      <x:c r="E502" s="18" t="str">
        <x:v>厦门中山路巴黎春天</x:v>
      </x:c>
      <x:c r="F502" s="18" t="str">
        <x:v>厦门</x:v>
      </x:c>
      <x:c r="G502" s="18" t="str">
        <x:v>福建省</x:v>
      </x:c>
      <x:c r="H502" s="18" t="str">
        <x:v>东区</x:v>
      </x:c>
      <x:c r="I502" s="18" t="str">
        <x:v>Shopping Mall</x:v>
      </x:c>
      <x:c r="J502" s="18" t="str">
        <x:v>Regional Mall</x:v>
      </x:c>
      <x:c r="K502" s="18" t="str">
        <x:v>正常</x:v>
      </x:c>
      <x:c r="L502" s="62" t="n">
        <x:v>3</x:v>
      </x:c>
      <x:c r="M502" s="62" t="n">
        <x:v>40</x:v>
      </x:c>
      <x:c r="N502" s="63" t="n">
        <x:f>'Drivers'!C502</x:f>
        <x:v>1130</x:v>
      </x:c>
      <x:c r="O502" s="63" t="n">
        <x:f>'Drivers'!D502</x:f>
        <x:v>982.98</x:v>
      </x:c>
      <x:c r="P502" s="64" t="n">
        <x:f>ROUND(N502*O502/1000,3)</x:f>
        <x:v>1110.767</x:v>
      </x:c>
      <x:c r="Q502" s="64" t="n">
        <x:f>ROUND(P502*'Drivers'!E502,3)</x:f>
        <x:v>1083.284</x:v>
      </x:c>
      <x:c r="R502" s="64" t="n">
        <x:f>-ROUND(Q502*'Drivers'!F502,3)</x:f>
        <x:v>-205.726</x:v>
      </x:c>
      <x:c r="S502" s="65" t="n">
        <x:f>R502/Q502</x:f>
        <x:v>-0.18990957126662997</x:v>
      </x:c>
      <x:c r="T502" s="64" t="n">
        <x:f>-ROUND(Q502*'Drivers'!G502,3)</x:f>
        <x:v>-14.554</x:v>
      </x:c>
      <x:c r="U502" s="65" t="n">
        <x:f>T502/Q502</x:f>
        <x:v>-0.0134350733510326</x:v>
      </x:c>
      <x:c r="V502" s="64" t="n">
        <x:f>-ROUND(Q502*'Drivers'!H502,3)</x:f>
        <x:v>-9.129</x:v>
      </x:c>
      <x:c r="W502" s="64" t="n">
        <x:f>-ROUND(Q502*'Drivers'!I502,3)</x:f>
        <x:v>-11.181</x:v>
      </x:c>
      <x:c r="X502" s="64" t="n">
        <x:f>-ROUND(Q502*'Drivers'!J502,3)</x:f>
        <x:v>-16.62</x:v>
      </x:c>
      <x:c r="Y502" s="64" t="n">
        <x:f>-ROUND(Q502*'Drivers'!K502,3)</x:f>
        <x:v>-11.086</x:v>
      </x:c>
      <x:c r="Z502" s="64" t="n">
        <x:f>-ROUND(Q502*'Drivers'!L502,3)</x:f>
        <x:v>-13.218</x:v>
      </x:c>
      <x:c r="AA502" s="64" t="n">
        <x:f>-ROUND(Q502*'Drivers'!M502,3)</x:f>
        <x:v>-6.306</x:v>
      </x:c>
      <x:c r="AB502" s="64" t="n">
        <x:f>-ROUND(Q502*'Drivers'!N502,3)</x:f>
        <x:v>-9.135</x:v>
      </x:c>
      <x:c r="AC502" s="64" t="n">
        <x:f>SUM(V502:AB502)</x:f>
        <x:v>-76.675</x:v>
      </x:c>
      <x:c r="AD502" s="65" t="n">
        <x:f>AC502/Q502</x:f>
        <x:v>-0.07078014629589285</x:v>
      </x:c>
      <x:c r="AE502" s="64" t="n">
        <x:f>-ROUND(Q502*'Drivers'!O502,3)</x:f>
        <x:v>-8.716</x:v>
      </x:c>
      <x:c r="AF502" s="65" t="n">
        <x:f>AE502/Q502</x:f>
        <x:v>-0.008045904859667455</x:v>
      </x:c>
      <x:c r="AG502" s="64" t="n">
        <x:f>-ROUND(Q502*'Drivers'!P502,3)</x:f>
        <x:v>-0.157</x:v>
      </x:c>
      <x:c r="AH502" s="64" t="n">
        <x:f>-ROUND(Q502*'Drivers'!Q502,3)</x:f>
        <x:v>-5.413</x:v>
      </x:c>
      <x:c r="AI502" s="64" t="n">
        <x:f>SUM(R502,T502,AC502,AE502,AG502,AH502)</x:f>
        <x:v>-311.241</x:v>
      </x:c>
      <x:c r="AJ502" s="65" t="n">
        <x:f>AI502/Q502</x:f>
        <x:v>-0.28731246838317553</x:v>
      </x:c>
      <x:c r="AK502" s="64" t="n">
        <x:f>Q502+AI502</x:f>
        <x:v>772.0430000000001</x:v>
      </x:c>
      <x:c r="AL502" s="65" t="n">
        <x:f>AK502/Q502</x:f>
        <x:v>0.7126875316168244</x:v>
      </x:c>
      <x:c r="AM502" s="64" t="n">
        <x:f>AK502/L502</x:f>
        <x:v>257.3476666666667</x:v>
      </x:c>
      <x:c r="AN502" s="66" t="str">
        <x:f>IF(AM502&lt;=200,"≤200K",IF(AM502&lt;=350,"200–350K",IF(AM502&lt;=500,"350–500K",IF(AM502&lt;=700,"500–700K","&gt;700K"))))</x:f>
        <x:v>200–350K</x:v>
      </x:c>
      <x:c r="AO502" s="64" t="n">
        <x:f>-ROUND(Q502*'Drivers'!R502,3)</x:f>
        <x:v>-380.216</x:v>
      </x:c>
      <x:c r="AP502" s="64" t="n">
        <x:f>-ROUND(AK502*'Drivers'!S502,3)</x:f>
        <x:v>-11.371</x:v>
      </x:c>
      <x:c r="AQ502" s="64" t="n">
        <x:f>-ROUND(AK502*'Drivers'!T502,3)</x:f>
        <x:v>-4.781</x:v>
      </x:c>
      <x:c r="AR502" s="64" t="n">
        <x:f>-ROUND(AK502*'Drivers'!U502,3)</x:f>
        <x:v>-6.815</x:v>
      </x:c>
      <x:c r="AS502" s="64" t="n">
        <x:f>-ROUND(AK502*'Drivers'!V502,3)</x:f>
        <x:v>-26.854</x:v>
      </x:c>
      <x:c r="AT502" s="64" t="n">
        <x:f>SUM(AO502:AS502)</x:f>
        <x:v>-430.037</x:v>
      </x:c>
      <x:c r="AU502" s="65" t="n">
        <x:f>AT502/AK502</x:f>
        <x:v>-0.5570117208497453</x:v>
      </x:c>
      <x:c r="AV502" s="64" t="n">
        <x:f>AK502+AT502</x:f>
        <x:v>342.00600000000014</x:v>
      </x:c>
      <x:c r="AW502" s="65" t="n">
        <x:f>AV502/AK502</x:f>
        <x:v>0.4429882791502547</x:v>
      </x:c>
      <x:c r="AX502" s="64" t="n">
        <x:f>-ROUND(AK502*'Drivers'!W502,3)</x:f>
        <x:v>-10.955</x:v>
      </x:c>
      <x:c r="AY502" s="64" t="n">
        <x:f>-ROUND(AK502*'Drivers'!X502,3)</x:f>
        <x:v>-16.97</x:v>
      </x:c>
      <x:c r="AZ502" s="64" t="n">
        <x:f>-ROUND(AK502*'Drivers'!Y502,3)</x:f>
        <x:v>-12.188</x:v>
      </x:c>
      <x:c r="BA502" s="64" t="n">
        <x:f>-ROUND(AK502*'Drivers'!Z502,3)</x:f>
        <x:v>-4.795</x:v>
      </x:c>
      <x:c r="BB502" s="64" t="n">
        <x:f>-ROUND(AK502*'Drivers'!AA502,3)</x:f>
        <x:v>-5.323</x:v>
      </x:c>
      <x:c r="BC502" s="64" t="n">
        <x:f>SUM(BA502,BB502)</x:f>
        <x:v>-10.118</x:v>
      </x:c>
      <x:c r="BD502" s="64" t="n">
        <x:f>-ROUND(AK502*'Drivers'!AB502,3)</x:f>
        <x:v>-4.986</x:v>
      </x:c>
      <x:c r="BE502" s="64" t="n">
        <x:f>SUM(AX502:BB502,BD502)</x:f>
        <x:v>-55.217</x:v>
      </x:c>
      <x:c r="BF502" s="67" t="n">
        <x:f>'Drivers'!AF502</x:f>
        <x:v>5</x:v>
      </x:c>
      <x:c r="BG502" s="64" t="n">
        <x:f>BJ502</x:f>
        <x:v>-17.008</x:v>
      </x:c>
      <x:c r="BH502" s="64" t="n">
        <x:f>BE502/BF502</x:f>
        <x:v>-11.0434</x:v>
      </x:c>
      <x:c r="BI502" s="68" t="n">
        <x:f>BF502/L502</x:f>
        <x:v>1.6666666666666667</x:v>
      </x:c>
      <x:c r="BJ502" s="64" t="n">
        <x:f>-ROUND(AK502*'Drivers'!AC502,3)</x:f>
        <x:v>-17.008</x:v>
      </x:c>
      <x:c r="BK502" s="64" t="n">
        <x:f>-ROUND(AK502*'Drivers'!AD502,3)</x:f>
        <x:v>-72.844</x:v>
      </x:c>
      <x:c r="BL502" s="64" t="n">
        <x:f>SUM(AV502,BE502,BJ502,BK502)</x:f>
        <x:v>196.93700000000018</x:v>
      </x:c>
      <x:c r="BM502" s="65" t="n">
        <x:f>BL502/AK502</x:f>
        <x:v>0.25508553280063434</x:v>
      </x:c>
      <x:c r="BN502" s="64" t="n">
        <x:f>-ROUND(AK502*'Drivers'!AE502,3)</x:f>
        <x:v>-69.976</x:v>
      </x:c>
      <x:c r="BO502" s="64" t="n">
        <x:f>BL502+BN502</x:f>
        <x:v>126.96100000000018</x:v>
      </x:c>
      <x:c r="BP502" s="65" t="n">
        <x:f>BO502/AK502</x:f>
        <x:v>0.16444809421236922</x:v>
      </x:c>
    </x:row>
    <x:row r="503">
      <x:c r="A503" s="61" t="n">
        <x:v>2025</x:v>
      </x:c>
      <x:c r="B503" s="18" t="str">
        <x:v>S2</x:v>
      </x:c>
      <x:c r="C503" s="18" t="str">
        <x:v>2025 S2</x:v>
      </x:c>
      <x:c r="D503" s="18" t="str">
        <x:v>CNCT0126</x:v>
      </x:c>
      <x:c r="E503" s="18" t="str">
        <x:v>厦门中山路巴黎春天</x:v>
      </x:c>
      <x:c r="F503" s="18" t="str">
        <x:v>厦门</x:v>
      </x:c>
      <x:c r="G503" s="18" t="str">
        <x:v>福建省</x:v>
      </x:c>
      <x:c r="H503" s="18" t="str">
        <x:v>东区</x:v>
      </x:c>
      <x:c r="I503" s="18" t="str">
        <x:v>Shopping Mall</x:v>
      </x:c>
      <x:c r="J503" s="18" t="str">
        <x:v>Regional Mall</x:v>
      </x:c>
      <x:c r="K503" s="18" t="str">
        <x:v>正常</x:v>
      </x:c>
      <x:c r="L503" s="62" t="n">
        <x:v>3</x:v>
      </x:c>
      <x:c r="M503" s="62" t="n">
        <x:v>40</x:v>
      </x:c>
      <x:c r="N503" s="63" t="n">
        <x:f>'Drivers'!C503</x:f>
        <x:v>1200</x:v>
      </x:c>
      <x:c r="O503" s="63" t="n">
        <x:f>'Drivers'!D503</x:f>
        <x:v>994.775</x:v>
      </x:c>
      <x:c r="P503" s="64" t="n">
        <x:f>ROUND(N503*O503/1000,3)</x:f>
        <x:v>1193.73</x:v>
      </x:c>
      <x:c r="Q503" s="64" t="n">
        <x:f>ROUND(P503*'Drivers'!E503,3)</x:f>
        <x:v>1148.68</x:v>
      </x:c>
      <x:c r="R503" s="64" t="n">
        <x:f>-ROUND(Q503*'Drivers'!F503,3)</x:f>
        <x:v>-218.145</x:v>
      </x:c>
      <x:c r="S503" s="65" t="n">
        <x:f>R503/Q503</x:f>
        <x:v>-0.1899092871818087</x:v>
      </x:c>
      <x:c r="T503" s="64" t="n">
        <x:f>-ROUND(Q503*'Drivers'!G503,3)</x:f>
        <x:v>-15.433</x:v>
      </x:c>
      <x:c r="U503" s="65" t="n">
        <x:f>T503/Q503</x:f>
        <x:v>-0.013435421527318312</x:v>
      </x:c>
      <x:c r="V503" s="64" t="n">
        <x:f>-ROUND(Q503*'Drivers'!H503,3)</x:f>
        <x:v>-9.68</x:v>
      </x:c>
      <x:c r="W503" s="64" t="n">
        <x:f>-ROUND(Q503*'Drivers'!I503,3)</x:f>
        <x:v>-11.856</x:v>
      </x:c>
      <x:c r="X503" s="64" t="n">
        <x:f>-ROUND(Q503*'Drivers'!J503,3)</x:f>
        <x:v>-17.624</x:v>
      </x:c>
      <x:c r="Y503" s="64" t="n">
        <x:f>-ROUND(Q503*'Drivers'!K503,3)</x:f>
        <x:v>-11.756</x:v>
      </x:c>
      <x:c r="Z503" s="64" t="n">
        <x:f>-ROUND(Q503*'Drivers'!L503,3)</x:f>
        <x:v>-14.016</x:v>
      </x:c>
      <x:c r="AA503" s="64" t="n">
        <x:f>-ROUND(Q503*'Drivers'!M503,3)</x:f>
        <x:v>-6.687</x:v>
      </x:c>
      <x:c r="AB503" s="64" t="n">
        <x:f>-ROUND(Q503*'Drivers'!N503,3)</x:f>
        <x:v>-9.687</x:v>
      </x:c>
      <x:c r="AC503" s="64" t="n">
        <x:f>SUM(V503:AB503)</x:f>
        <x:v>-81.306</x:v>
      </x:c>
      <x:c r="AD503" s="65" t="n">
        <x:f>AC503/Q503</x:f>
        <x:v>-0.07078211512344604</x:v>
      </x:c>
      <x:c r="AE503" s="64" t="n">
        <x:f>-ROUND(Q503*'Drivers'!O503,3)</x:f>
        <x:v>-9.243</x:v>
      </x:c>
      <x:c r="AF503" s="65" t="n">
        <x:f>AE503/Q503</x:f>
        <x:v>-0.008046627433227704</x:v>
      </x:c>
      <x:c r="AG503" s="64" t="n">
        <x:f>-ROUND(Q503*'Drivers'!P503,3)</x:f>
        <x:v>-0.167</x:v>
      </x:c>
      <x:c r="AH503" s="64" t="n">
        <x:f>-ROUND(Q503*'Drivers'!Q503,3)</x:f>
        <x:v>-5.739</x:v>
      </x:c>
      <x:c r="AI503" s="64" t="n">
        <x:f>SUM(R503,T503,AC503,AE503,AG503,AH503)</x:f>
        <x:v>-330.03299999999996</x:v>
      </x:c>
      <x:c r="AJ503" s="65" t="n">
        <x:f>AI503/Q503</x:f>
        <x:v>-0.2873150050492739</x:v>
      </x:c>
      <x:c r="AK503" s="64" t="n">
        <x:f>Q503+AI503</x:f>
        <x:v>818.6470000000002</x:v>
      </x:c>
      <x:c r="AL503" s="65" t="n">
        <x:f>AK503/Q503</x:f>
        <x:v>0.7126849949507261</x:v>
      </x:c>
      <x:c r="AM503" s="64" t="n">
        <x:f>AK503/L503</x:f>
        <x:v>272.8823333333334</x:v>
      </x:c>
      <x:c r="AN503" s="66" t="str">
        <x:f>IF(AM503&lt;=200,"≤200K",IF(AM503&lt;=350,"200–350K",IF(AM503&lt;=500,"350–500K",IF(AM503&lt;=700,"500–700K","&gt;700K"))))</x:f>
        <x:v>200–350K</x:v>
      </x:c>
      <x:c r="AO503" s="64" t="n">
        <x:f>-ROUND(Q503*'Drivers'!R503,3)</x:f>
        <x:v>-404.055</x:v>
      </x:c>
      <x:c r="AP503" s="64" t="n">
        <x:f>-ROUND(AK503*'Drivers'!S503,3)</x:f>
        <x:v>-12.058</x:v>
      </x:c>
      <x:c r="AQ503" s="64" t="n">
        <x:f>-ROUND(AK503*'Drivers'!T503,3)</x:f>
        <x:v>-5.07</x:v>
      </x:c>
      <x:c r="AR503" s="64" t="n">
        <x:f>-ROUND(AK503*'Drivers'!U503,3)</x:f>
        <x:v>-7.227</x:v>
      </x:c>
      <x:c r="AS503" s="64" t="n">
        <x:f>-ROUND(AK503*'Drivers'!V503,3)</x:f>
        <x:v>-28.475</x:v>
      </x:c>
      <x:c r="AT503" s="64" t="n">
        <x:f>SUM(AO503:AS503)</x:f>
        <x:v>-456.885</x:v>
      </x:c>
      <x:c r="AU503" s="65" t="n">
        <x:f>AT503/AK503</x:f>
        <x:v>-0.5580976904575475</x:v>
      </x:c>
      <x:c r="AV503" s="64" t="n">
        <x:f>AK503+AT503</x:f>
        <x:v>361.76200000000017</x:v>
      </x:c>
      <x:c r="AW503" s="65" t="n">
        <x:f>AV503/AK503</x:f>
        <x:v>0.44190230954245246</x:v>
      </x:c>
      <x:c r="AX503" s="64" t="n">
        <x:f>-ROUND(AK503*'Drivers'!W503,3)</x:f>
        <x:v>-11.616</x:v>
      </x:c>
      <x:c r="AY503" s="64" t="n">
        <x:f>-ROUND(AK503*'Drivers'!X503,3)</x:f>
        <x:v>-17.994</x:v>
      </x:c>
      <x:c r="AZ503" s="64" t="n">
        <x:f>-ROUND(AK503*'Drivers'!Y503,3)</x:f>
        <x:v>-12.924</x:v>
      </x:c>
      <x:c r="BA503" s="64" t="n">
        <x:f>-ROUND(AK503*'Drivers'!Z503,3)</x:f>
        <x:v>-5.084</x:v>
      </x:c>
      <x:c r="BB503" s="64" t="n">
        <x:f>-ROUND(AK503*'Drivers'!AA503,3)</x:f>
        <x:v>-5.645</x:v>
      </x:c>
      <x:c r="BC503" s="64" t="n">
        <x:f>SUM(BA503,BB503)</x:f>
        <x:v>-10.729</x:v>
      </x:c>
      <x:c r="BD503" s="64" t="n">
        <x:f>-ROUND(AK503*'Drivers'!AB503,3)</x:f>
        <x:v>-5.287</x:v>
      </x:c>
      <x:c r="BE503" s="64" t="n">
        <x:f>SUM(AX503:BB503,BD503)</x:f>
        <x:v>-58.54999999999999</x:v>
      </x:c>
      <x:c r="BF503" s="67" t="n">
        <x:f>'Drivers'!AF503</x:f>
        <x:v>5</x:v>
      </x:c>
      <x:c r="BG503" s="64" t="n">
        <x:f>BJ503</x:f>
        <x:v>-18.035</x:v>
      </x:c>
      <x:c r="BH503" s="64" t="n">
        <x:f>BE503/BF503</x:f>
        <x:v>-11.709999999999997</x:v>
      </x:c>
      <x:c r="BI503" s="68" t="n">
        <x:f>BF503/L503</x:f>
        <x:v>1.6666666666666667</x:v>
      </x:c>
      <x:c r="BJ503" s="64" t="n">
        <x:f>-ROUND(AK503*'Drivers'!AC503,3)</x:f>
        <x:v>-18.035</x:v>
      </x:c>
      <x:c r="BK503" s="64" t="n">
        <x:f>-ROUND(AK503*'Drivers'!AD503,3)</x:f>
        <x:v>-77.241</x:v>
      </x:c>
      <x:c r="BL503" s="64" t="n">
        <x:f>SUM(AV503,BE503,BJ503,BK503)</x:f>
        <x:v>207.93600000000015</x:v>
      </x:c>
      <x:c r="BM503" s="65" t="n">
        <x:f>BL503/AK503</x:f>
        <x:v>0.2539995871236322</x:v>
      </x:c>
      <x:c r="BN503" s="64" t="n">
        <x:f>-ROUND(AK503*'Drivers'!AE503,3)</x:f>
        <x:v>-74.2</x:v>
      </x:c>
      <x:c r="BO503" s="64" t="n">
        <x:f>BL503+BN503</x:f>
        <x:v>133.73600000000016</x:v>
      </x:c>
      <x:c r="BP503" s="65" t="n">
        <x:f>BO503/AK503</x:f>
        <x:v>0.16336223060733152</x:v>
      </x:c>
    </x:row>
    <x:row r="504">
      <x:c r="A504" s="61" t="n">
        <x:v>2026</x:v>
      </x:c>
      <x:c r="B504" s="18" t="str">
        <x:v>S1</x:v>
      </x:c>
      <x:c r="C504" s="18" t="str">
        <x:v>2026 S1</x:v>
      </x:c>
      <x:c r="D504" s="18" t="str">
        <x:v>CNCT0126</x:v>
      </x:c>
      <x:c r="E504" s="18" t="str">
        <x:v>厦门中山路巴黎春天</x:v>
      </x:c>
      <x:c r="F504" s="18" t="str">
        <x:v>厦门</x:v>
      </x:c>
      <x:c r="G504" s="18" t="str">
        <x:v>福建省</x:v>
      </x:c>
      <x:c r="H504" s="18" t="str">
        <x:v>东区</x:v>
      </x:c>
      <x:c r="I504" s="18" t="str">
        <x:v>Shopping Mall</x:v>
      </x:c>
      <x:c r="J504" s="18" t="str">
        <x:v>Regional Mall</x:v>
      </x:c>
      <x:c r="K504" s="18" t="str">
        <x:v>正常</x:v>
      </x:c>
      <x:c r="L504" s="62" t="n">
        <x:v>3</x:v>
      </x:c>
      <x:c r="M504" s="62" t="n">
        <x:v>40</x:v>
      </x:c>
      <x:c r="N504" s="63" t="n">
        <x:f>'Drivers'!C504</x:f>
        <x:v>814</x:v>
      </x:c>
      <x:c r="O504" s="63" t="n">
        <x:f>'Drivers'!D504</x:f>
        <x:v>1041.437</x:v>
      </x:c>
      <x:c r="P504" s="64" t="n">
        <x:f>ROUND(N504*O504/1000,3)</x:f>
        <x:v>847.73</x:v>
      </x:c>
      <x:c r="Q504" s="64" t="n">
        <x:f>ROUND(P504*'Drivers'!E504,3)</x:f>
        <x:v>826.991</x:v>
      </x:c>
      <x:c r="R504" s="64" t="n">
        <x:f>-ROUND(Q504*'Drivers'!F504,3)</x:f>
        <x:v>-166.977</x:v>
      </x:c>
      <x:c r="S504" s="65" t="n">
        <x:f>R504/Q504</x:f>
        <x:v>-0.2019090896998879</x:v>
      </x:c>
      <x:c r="T504" s="64" t="n">
        <x:f>-ROUND(Q504*'Drivers'!G504,3)</x:f>
        <x:v>-11.527</x:v>
      </x:c>
      <x:c r="U504" s="65" t="n">
        <x:f>T504/Q504</x:f>
        <x:v>-0.013938483006465607</x:v>
      </x:c>
      <x:c r="V504" s="64" t="n">
        <x:f>-ROUND(Q504*'Drivers'!H504,3)</x:f>
        <x:v>-6.969</x:v>
      </x:c>
      <x:c r="W504" s="64" t="n">
        <x:f>-ROUND(Q504*'Drivers'!I504,3)</x:f>
        <x:v>-8.536</x:v>
      </x:c>
      <x:c r="X504" s="64" t="n">
        <x:f>-ROUND(Q504*'Drivers'!J504,3)</x:f>
        <x:v>-12.688</x:v>
      </x:c>
      <x:c r="Y504" s="64" t="n">
        <x:f>-ROUND(Q504*'Drivers'!K504,3)</x:f>
        <x:v>-8.463</x:v>
      </x:c>
      <x:c r="Z504" s="64" t="n">
        <x:f>-ROUND(Q504*'Drivers'!L504,3)</x:f>
        <x:v>-10.091</x:v>
      </x:c>
      <x:c r="AA504" s="64" t="n">
        <x:f>-ROUND(Q504*'Drivers'!M504,3)</x:f>
        <x:v>-4.814</x:v>
      </x:c>
      <x:c r="AB504" s="64" t="n">
        <x:f>-ROUND(Q504*'Drivers'!N504,3)</x:f>
        <x:v>-6.974</x:v>
      </x:c>
      <x:c r="AC504" s="64" t="n">
        <x:f>SUM(V504:AB504)</x:f>
        <x:v>-58.535</x:v>
      </x:c>
      <x:c r="AD504" s="65" t="n">
        <x:f>AC504/Q504</x:f>
        <x:v>-0.07078069773431633</x:v>
      </x:c>
      <x:c r="AE504" s="64" t="n">
        <x:f>-ROUND(Q504*'Drivers'!O504,3)</x:f>
        <x:v>-5.082</x:v>
      </x:c>
      <x:c r="AF504" s="65" t="n">
        <x:f>AE504/Q504</x:f>
        <x:v>-0.006145169657227225</x:v>
      </x:c>
      <x:c r="AG504" s="64" t="n">
        <x:f>-ROUND(Q504*'Drivers'!P504,3)</x:f>
        <x:v>-0.12</x:v>
      </x:c>
      <x:c r="AH504" s="64" t="n">
        <x:f>-ROUND(Q504*'Drivers'!Q504,3)</x:f>
        <x:v>-4.132</x:v>
      </x:c>
      <x:c r="AI504" s="64" t="n">
        <x:f>SUM(R504,T504,AC504,AE504,AG504,AH504)</x:f>
        <x:v>-246.373</x:v>
      </x:c>
      <x:c r="AJ504" s="65" t="n">
        <x:f>AI504/Q504</x:f>
        <x:v>-0.29791497126329064</x:v>
      </x:c>
      <x:c r="AK504" s="64" t="n">
        <x:f>Q504+AI504</x:f>
        <x:v>580.6179999999999</x:v>
      </x:c>
      <x:c r="AL504" s="65" t="n">
        <x:f>AK504/Q504</x:f>
        <x:v>0.7020850287367093</x:v>
      </x:c>
      <x:c r="AM504" s="64" t="n">
        <x:f>AK504/L504</x:f>
        <x:v>193.5393333333333</x:v>
      </x:c>
      <x:c r="AN504" s="66" t="str">
        <x:f>IF(AM504&lt;=200,"≤200K",IF(AM504&lt;=350,"200–350K",IF(AM504&lt;=500,"350–500K",IF(AM504&lt;=700,"500–700K","&gt;700K"))))</x:f>
        <x:v>≤200K</x:v>
      </x:c>
      <x:c r="AO504" s="64" t="n">
        <x:f>-ROUND(Q504*'Drivers'!R504,3)</x:f>
        <x:v>-302.257</x:v>
      </x:c>
      <x:c r="AP504" s="64" t="n">
        <x:f>-ROUND(AK504*'Drivers'!S504,3)</x:f>
        <x:v>-8.552</x:v>
      </x:c>
      <x:c r="AQ504" s="64" t="n">
        <x:f>-ROUND(AK504*'Drivers'!T504,3)</x:f>
        <x:v>-3.596</x:v>
      </x:c>
      <x:c r="AR504" s="64" t="n">
        <x:f>-ROUND(AK504*'Drivers'!U504,3)</x:f>
        <x:v>-5.125</x:v>
      </x:c>
      <x:c r="AS504" s="64" t="n">
        <x:f>-ROUND(AK504*'Drivers'!V504,3)</x:f>
        <x:v>-20.195</x:v>
      </x:c>
      <x:c r="AT504" s="64" t="n">
        <x:f>SUM(AO504:AS504)</x:f>
        <x:v>-339.725</x:v>
      </x:c>
      <x:c r="AU504" s="65" t="n">
        <x:f>AT504/AK504</x:f>
        <x:v>-0.5851093145579367</x:v>
      </x:c>
      <x:c r="AV504" s="64" t="n">
        <x:f>AK504+AT504</x:f>
        <x:v>240.89299999999992</x:v>
      </x:c>
      <x:c r="AW504" s="65" t="n">
        <x:f>AV504/AK504</x:f>
        <x:v>0.41489068544206337</x:v>
      </x:c>
      <x:c r="AX504" s="64" t="n">
        <x:f>-ROUND(AK504*'Drivers'!W504,3)</x:f>
        <x:v>-10.137</x:v>
      </x:c>
      <x:c r="AY504" s="64" t="n">
        <x:f>-ROUND(AK504*'Drivers'!X504,3)</x:f>
        <x:v>-15.703</x:v>
      </x:c>
      <x:c r="AZ504" s="64" t="n">
        <x:f>-ROUND(AK504*'Drivers'!Y504,3)</x:f>
        <x:v>-11.278</x:v>
      </x:c>
      <x:c r="BA504" s="64" t="n">
        <x:f>-ROUND(AK504*'Drivers'!Z504,3)</x:f>
        <x:v>-4.437</x:v>
      </x:c>
      <x:c r="BB504" s="64" t="n">
        <x:f>-ROUND(AK504*'Drivers'!AA504,3)</x:f>
        <x:v>-4.926</x:v>
      </x:c>
      <x:c r="BC504" s="64" t="n">
        <x:f>SUM(BA504,BB504)</x:f>
        <x:v>-9.363</x:v>
      </x:c>
      <x:c r="BD504" s="64" t="n">
        <x:f>-ROUND(AK504*'Drivers'!AB504,3)</x:f>
        <x:v>-4.614</x:v>
      </x:c>
      <x:c r="BE504" s="64" t="n">
        <x:f>SUM(AX504:BB504,BD504)</x:f>
        <x:v>-51.095</x:v>
      </x:c>
      <x:c r="BF504" s="67" t="n">
        <x:f>'Drivers'!AF504</x:f>
        <x:v>5</x:v>
      </x:c>
      <x:c r="BG504" s="64" t="n">
        <x:f>BJ504</x:f>
        <x:v>-22.821</x:v>
      </x:c>
      <x:c r="BH504" s="64" t="n">
        <x:f>BE504/BF504</x:f>
        <x:v>-10.219</x:v>
      </x:c>
      <x:c r="BI504" s="68" t="n">
        <x:f>BF504/L504</x:f>
        <x:v>1.6666666666666667</x:v>
      </x:c>
      <x:c r="BJ504" s="64" t="n">
        <x:f>-ROUND(AK504*'Drivers'!AC504,3)</x:f>
        <x:v>-22.821</x:v>
      </x:c>
      <x:c r="BK504" s="64" t="n">
        <x:f>-ROUND(AK504*'Drivers'!AD504,3)</x:f>
        <x:v>-60.261</x:v>
      </x:c>
      <x:c r="BL504" s="64" t="n">
        <x:f>SUM(AV504,BE504,BJ504,BK504)</x:f>
        <x:v>106.71599999999992</x:v>
      </x:c>
      <x:c r="BM504" s="65" t="n">
        <x:f>BL504/AK504</x:f>
        <x:v>0.18379726429425186</x:v>
      </x:c>
      <x:c r="BN504" s="64" t="n">
        <x:f>-ROUND(AK504*'Drivers'!AE504,3)</x:f>
        <x:v>-124.741</x:v>
      </x:c>
      <x:c r="BO504" s="64" t="n">
        <x:f>BL504+BN504</x:f>
        <x:v>-18.025000000000077</x:v>
      </x:c>
      <x:c r="BP504" s="65" t="n">
        <x:f>BO504/AK504</x:f>
        <x:v>-0.031044507748640378</x:v>
      </x:c>
    </x:row>
    <x:row r="505">
      <x:c r="A505" s="61" t="n">
        <x:v>2026</x:v>
      </x:c>
      <x:c r="B505" s="18" t="str">
        <x:v>S2</x:v>
      </x:c>
      <x:c r="C505" s="18" t="str">
        <x:v>2026 S2</x:v>
      </x:c>
      <x:c r="D505" s="18" t="str">
        <x:v>CNCT0126</x:v>
      </x:c>
      <x:c r="E505" s="18" t="str">
        <x:v>厦门中山路巴黎春天</x:v>
      </x:c>
      <x:c r="F505" s="18" t="str">
        <x:v>厦门</x:v>
      </x:c>
      <x:c r="G505" s="18" t="str">
        <x:v>福建省</x:v>
      </x:c>
      <x:c r="H505" s="18" t="str">
        <x:v>东区</x:v>
      </x:c>
      <x:c r="I505" s="18" t="str">
        <x:v>Shopping Mall</x:v>
      </x:c>
      <x:c r="J505" s="18" t="str">
        <x:v>Regional Mall</x:v>
      </x:c>
      <x:c r="K505" s="18" t="str">
        <x:v>正常</x:v>
      </x:c>
      <x:c r="L505" s="62" t="n">
        <x:v>3</x:v>
      </x:c>
      <x:c r="M505" s="62" t="n">
        <x:v>40</x:v>
      </x:c>
      <x:c r="N505" s="63" t="n">
        <x:f>'Drivers'!C505</x:f>
        <x:v>961</x:v>
      </x:c>
      <x:c r="O505" s="63" t="n">
        <x:f>'Drivers'!D505</x:f>
        <x:v>1038.043</x:v>
      </x:c>
      <x:c r="P505" s="64" t="n">
        <x:f>ROUND(N505*O505/1000,3)</x:f>
        <x:v>997.559</x:v>
      </x:c>
      <x:c r="Q505" s="64" t="n">
        <x:f>ROUND(P505*'Drivers'!E505,3)</x:f>
        <x:v>959.912</x:v>
      </x:c>
      <x:c r="R505" s="64" t="n">
        <x:f>-ROUND(Q505*'Drivers'!F505,3)</x:f>
        <x:v>-187.639</x:v>
      </x:c>
      <x:c r="S505" s="65" t="n">
        <x:f>R505/Q505</x:f>
        <x:v>-0.1954752102276042</x:v>
      </x:c>
      <x:c r="T505" s="64" t="n">
        <x:f>-ROUND(Q505*'Drivers'!G505,3)</x:f>
        <x:v>-12.512</x:v>
      </x:c>
      <x:c r="U505" s="65" t="n">
        <x:f>T505/Q505</x:f>
        <x:v>-0.013034528165081799</x:v>
      </x:c>
      <x:c r="V505" s="64" t="n">
        <x:f>-ROUND(Q505*'Drivers'!H505,3)</x:f>
        <x:v>-8.089</x:v>
      </x:c>
      <x:c r="W505" s="64" t="n">
        <x:f>-ROUND(Q505*'Drivers'!I505,3)</x:f>
        <x:v>-9.908</x:v>
      </x:c>
      <x:c r="X505" s="64" t="n">
        <x:f>-ROUND(Q505*'Drivers'!J505,3)</x:f>
        <x:v>-14.728</x:v>
      </x:c>
      <x:c r="Y505" s="64" t="n">
        <x:f>-ROUND(Q505*'Drivers'!K505,3)</x:f>
        <x:v>-9.824</x:v>
      </x:c>
      <x:c r="Z505" s="64" t="n">
        <x:f>-ROUND(Q505*'Drivers'!L505,3)</x:f>
        <x:v>-11.713</x:v>
      </x:c>
      <x:c r="AA505" s="64" t="n">
        <x:f>-ROUND(Q505*'Drivers'!M505,3)</x:f>
        <x:v>-5.588</x:v>
      </x:c>
      <x:c r="AB505" s="64" t="n">
        <x:f>-ROUND(Q505*'Drivers'!N505,3)</x:f>
        <x:v>-8.095</x:v>
      </x:c>
      <x:c r="AC505" s="64" t="n">
        <x:f>SUM(V505:AB505)</x:f>
        <x:v>-67.94500000000001</x:v>
      </x:c>
      <x:c r="AD505" s="65" t="n">
        <x:f>AC505/Q505</x:f>
        <x:v>-0.07078253006525599</x:v>
      </x:c>
      <x:c r="AE505" s="64" t="n">
        <x:f>-ROUND(Q505*'Drivers'!O505,3)</x:f>
        <x:v>-7.724</x:v>
      </x:c>
      <x:c r="AF505" s="65" t="n">
        <x:f>AE505/Q505</x:f>
        <x:v>-0.008046570935669102</x:v>
      </x:c>
      <x:c r="AG505" s="64" t="n">
        <x:f>-ROUND(Q505*'Drivers'!P505,3)</x:f>
        <x:v>-0.139</x:v>
      </x:c>
      <x:c r="AH505" s="64" t="n">
        <x:f>-ROUND(Q505*'Drivers'!Q505,3)</x:f>
        <x:v>-4.796</x:v>
      </x:c>
      <x:c r="AI505" s="64" t="n">
        <x:f>SUM(R505,T505,AC505,AE505,AG505,AH505)</x:f>
        <x:v>-280.755</x:v>
      </x:c>
      <x:c r="AJ505" s="65" t="n">
        <x:f>AI505/Q505</x:f>
        <x:v>-0.2924799356607689</x:v>
      </x:c>
      <x:c r="AK505" s="64" t="n">
        <x:f>Q505+AI505</x:f>
        <x:v>679.157</x:v>
      </x:c>
      <x:c r="AL505" s="65" t="n">
        <x:f>AK505/Q505</x:f>
        <x:v>0.7075200643392311</x:v>
      </x:c>
      <x:c r="AM505" s="64" t="n">
        <x:f>AK505/L505</x:f>
        <x:v>226.38566666666668</x:v>
      </x:c>
      <x:c r="AN505" s="66" t="str">
        <x:f>IF(AM505&lt;=200,"≤200K",IF(AM505&lt;=350,"200–350K",IF(AM505&lt;=500,"350–500K",IF(AM505&lt;=700,"500–700K","&gt;700K"))))</x:f>
        <x:v>200–350K</x:v>
      </x:c>
      <x:c r="AO505" s="64" t="n">
        <x:f>-ROUND(Q505*'Drivers'!R505,3)</x:f>
        <x:v>-349.055</x:v>
      </x:c>
      <x:c r="AP505" s="64" t="n">
        <x:f>-ROUND(AK505*'Drivers'!S505,3)</x:f>
        <x:v>-10.003</x:v>
      </x:c>
      <x:c r="AQ505" s="64" t="n">
        <x:f>-ROUND(AK505*'Drivers'!T505,3)</x:f>
        <x:v>-4.206</x:v>
      </x:c>
      <x:c r="AR505" s="64" t="n">
        <x:f>-ROUND(AK505*'Drivers'!U505,3)</x:f>
        <x:v>-5.995</x:v>
      </x:c>
      <x:c r="AS505" s="64" t="n">
        <x:f>-ROUND(AK505*'Drivers'!V505,3)</x:f>
        <x:v>-23.623</x:v>
      </x:c>
      <x:c r="AT505" s="64" t="n">
        <x:f>SUM(AO505:AS505)</x:f>
        <x:v>-392.882</x:v>
      </x:c>
      <x:c r="AU505" s="65" t="n">
        <x:f>AT505/AK505</x:f>
        <x:v>-0.5784847980658375</x:v>
      </x:c>
      <x:c r="AV505" s="64" t="n">
        <x:f>AK505+AT505</x:f>
        <x:v>286.27500000000003</x:v>
      </x:c>
      <x:c r="AW505" s="65" t="n">
        <x:f>AV505/AK505</x:f>
        <x:v>0.42151520193416253</x:v>
      </x:c>
      <x:c r="AX505" s="64" t="n">
        <x:f>-ROUND(AK505*'Drivers'!W505,3)</x:f>
        <x:v>-10.215</x:v>
      </x:c>
      <x:c r="AY505" s="64" t="n">
        <x:f>-ROUND(AK505*'Drivers'!X505,3)</x:f>
        <x:v>-15.824</x:v>
      </x:c>
      <x:c r="AZ505" s="64" t="n">
        <x:f>-ROUND(AK505*'Drivers'!Y505,3)</x:f>
        <x:v>-11.365</x:v>
      </x:c>
      <x:c r="BA505" s="64" t="n">
        <x:f>-ROUND(AK505*'Drivers'!Z505,3)</x:f>
        <x:v>-4.471</x:v>
      </x:c>
      <x:c r="BB505" s="64" t="n">
        <x:f>-ROUND(AK505*'Drivers'!AA505,3)</x:f>
        <x:v>-4.964</x:v>
      </x:c>
      <x:c r="BC505" s="64" t="n">
        <x:f>SUM(BA505,BB505)</x:f>
        <x:v>-9.435</x:v>
      </x:c>
      <x:c r="BD505" s="64" t="n">
        <x:f>-ROUND(AK505*'Drivers'!AB505,3)</x:f>
        <x:v>-4.649</x:v>
      </x:c>
      <x:c r="BE505" s="64" t="n">
        <x:f>SUM(AX505:BB505,BD505)</x:f>
        <x:v>-51.488</x:v>
      </x:c>
      <x:c r="BF505" s="67" t="n">
        <x:f>'Drivers'!AF505</x:f>
        <x:v>5</x:v>
      </x:c>
      <x:c r="BG505" s="64" t="n">
        <x:f>BJ505</x:f>
        <x:v>-22.996</x:v>
      </x:c>
      <x:c r="BH505" s="64" t="n">
        <x:f>BE505/BF505</x:f>
        <x:v>-10.2976</x:v>
      </x:c>
      <x:c r="BI505" s="68" t="n">
        <x:f>BF505/L505</x:f>
        <x:v>1.6666666666666667</x:v>
      </x:c>
      <x:c r="BJ505" s="64" t="n">
        <x:f>-ROUND(AK505*'Drivers'!AC505,3)</x:f>
        <x:v>-22.996</x:v>
      </x:c>
      <x:c r="BK505" s="64" t="n">
        <x:f>-ROUND(AK505*'Drivers'!AD505,3)</x:f>
        <x:v>-69.206</x:v>
      </x:c>
      <x:c r="BL505" s="64" t="n">
        <x:f>SUM(AV505,BE505,BJ505,BK505)</x:f>
        <x:v>142.58500000000004</x:v>
      </x:c>
      <x:c r="BM505" s="65" t="n">
        <x:f>BL505/AK505</x:f>
        <x:v>0.2099440924557945</x:v>
      </x:c>
      <x:c r="BN505" s="64" t="n">
        <x:f>-ROUND(AK505*'Drivers'!AE505,3)</x:f>
        <x:v>-133.678</x:v>
      </x:c>
      <x:c r="BO505" s="64" t="n">
        <x:f>BL505+BN505</x:f>
        <x:v>8.907000000000039</x:v>
      </x:c>
      <x:c r="BP505" s="65" t="n">
        <x:f>BO505/AK505</x:f>
        <x:v>0.013114787891459615</x:v>
      </x:c>
    </x:row>
    <x:row r="506">
      <x:c r="A506" s="61" t="n">
        <x:v>2025</x:v>
      </x:c>
      <x:c r="B506" s="18" t="str">
        <x:v>S1</x:v>
      </x:c>
      <x:c r="C506" s="18" t="str">
        <x:v>2025 S1</x:v>
      </x:c>
      <x:c r="D506" s="18" t="str">
        <x:v>CNCT0127</x:v>
      </x:c>
      <x:c r="E506" s="18" t="str">
        <x:v>青岛海信广场</x:v>
      </x:c>
      <x:c r="F506" s="18" t="str">
        <x:v>青岛</x:v>
      </x:c>
      <x:c r="G506" s="18" t="str">
        <x:v>山东省</x:v>
      </x:c>
      <x:c r="H506" s="18" t="str">
        <x:v>北区</x:v>
      </x:c>
      <x:c r="I506" s="18" t="str">
        <x:v>Shopping Mall</x:v>
      </x:c>
      <x:c r="J506" s="18" t="str">
        <x:v>Prestige Shopping Center</x:v>
      </x:c>
      <x:c r="K506" s="18" t="str">
        <x:v>正常</x:v>
      </x:c>
      <x:c r="L506" s="62" t="n">
        <x:v>4</x:v>
      </x:c>
      <x:c r="M506" s="62" t="n">
        <x:v>34</x:v>
      </x:c>
      <x:c r="N506" s="63" t="n">
        <x:f>'Drivers'!C506</x:f>
        <x:v>1945</x:v>
      </x:c>
      <x:c r="O506" s="63" t="n">
        <x:f>'Drivers'!D506</x:f>
        <x:v>1188.579</x:v>
      </x:c>
      <x:c r="P506" s="64" t="n">
        <x:f>ROUND(N506*O506/1000,3)</x:f>
        <x:v>2311.786</x:v>
      </x:c>
      <x:c r="Q506" s="64" t="n">
        <x:f>ROUND(P506*'Drivers'!E506,3)</x:f>
        <x:v>2228.889</x:v>
      </x:c>
      <x:c r="R506" s="64" t="n">
        <x:f>-ROUND(Q506*'Drivers'!F506,3)</x:f>
        <x:v>-414.159</x:v>
      </x:c>
      <x:c r="S506" s="65" t="n">
        <x:f>R506/Q506</x:f>
        <x:v>-0.18581409841405291</x:v>
      </x:c>
      <x:c r="T506" s="64" t="n">
        <x:f>-ROUND(Q506*'Drivers'!G506,3)</x:f>
        <x:v>-46.406</x:v>
      </x:c>
      <x:c r="U506" s="65" t="n">
        <x:f>T506/Q506</x:f>
        <x:v>-0.02082023824425532</x:v>
      </x:c>
      <x:c r="V506" s="64" t="n">
        <x:f>-ROUND(Q506*'Drivers'!H506,3)</x:f>
        <x:v>-23.914</x:v>
      </x:c>
      <x:c r="W506" s="64" t="n">
        <x:f>-ROUND(Q506*'Drivers'!I506,3)</x:f>
        <x:v>-21.663</x:v>
      </x:c>
      <x:c r="X506" s="64" t="n">
        <x:f>-ROUND(Q506*'Drivers'!J506,3)</x:f>
        <x:v>-31.62</x:v>
      </x:c>
      <x:c r="Y506" s="64" t="n">
        <x:f>-ROUND(Q506*'Drivers'!K506,3)</x:f>
        <x:v>-20.676</x:v>
      </x:c>
      <x:c r="Z506" s="64" t="n">
        <x:f>-ROUND(Q506*'Drivers'!L506,3)</x:f>
        <x:v>-29.866</x:v>
      </x:c>
      <x:c r="AA506" s="64" t="n">
        <x:f>-ROUND(Q506*'Drivers'!M506,3)</x:f>
        <x:v>-17.2</x:v>
      </x:c>
      <x:c r="AB506" s="64" t="n">
        <x:f>-ROUND(Q506*'Drivers'!N506,3)</x:f>
        <x:v>-14.551</x:v>
      </x:c>
      <x:c r="AC506" s="64" t="n">
        <x:f>SUM(V506:AB506)</x:f>
        <x:v>-159.48999999999998</x:v>
      </x:c>
      <x:c r="AD506" s="65" t="n">
        <x:f>AC506/Q506</x:f>
        <x:v>-0.07155582893540233</x:v>
      </x:c>
      <x:c r="AE506" s="64" t="n">
        <x:f>-ROUND(Q506*'Drivers'!O506,3)</x:f>
        <x:v>-27.967</x:v>
      </x:c>
      <x:c r="AF506" s="65" t="n">
        <x:f>AE506/Q506</x:f>
        <x:v>-0.01254750685206845</x:v>
      </x:c>
      <x:c r="AG506" s="64" t="n">
        <x:f>-ROUND(Q506*'Drivers'!P506,3)</x:f>
        <x:v>-1.968</x:v>
      </x:c>
      <x:c r="AH506" s="64" t="n">
        <x:f>-ROUND(Q506*'Drivers'!Q506,3)</x:f>
        <x:v>-14.766</x:v>
      </x:c>
      <x:c r="AI506" s="64" t="n">
        <x:f>SUM(R506,T506,AC506,AE506,AG506,AH506)</x:f>
        <x:v>-664.7559999999999</x:v>
      </x:c>
      <x:c r="AJ506" s="65" t="n">
        <x:f>AI506/Q506</x:f>
        <x:v>-0.298245448741503</x:v>
      </x:c>
      <x:c r="AK506" s="64" t="n">
        <x:f>Q506+AI506</x:f>
        <x:v>1564.1330000000003</x:v>
      </x:c>
      <x:c r="AL506" s="65" t="n">
        <x:f>AK506/Q506</x:f>
        <x:v>0.7017545512584971</x:v>
      </x:c>
      <x:c r="AM506" s="64" t="n">
        <x:f>AK506/L506</x:f>
        <x:v>391.03325000000007</x:v>
      </x:c>
      <x:c r="AN506" s="66" t="str">
        <x:f>IF(AM506&lt;=200,"≤200K",IF(AM506&lt;=350,"200–350K",IF(AM506&lt;=500,"350–500K",IF(AM506&lt;=700,"500–700K","&gt;700K"))))</x:f>
        <x:v>350–500K</x:v>
      </x:c>
      <x:c r="AO506" s="64" t="n">
        <x:f>-ROUND(Q506*'Drivers'!R506,3)</x:f>
        <x:v>-773.994</x:v>
      </x:c>
      <x:c r="AP506" s="64" t="n">
        <x:f>-ROUND(AK506*'Drivers'!S506,3)</x:f>
        <x:v>-26.15</x:v>
      </x:c>
      <x:c r="AQ506" s="64" t="n">
        <x:f>-ROUND(AK506*'Drivers'!T506,3)</x:f>
        <x:v>-6.408</x:v>
      </x:c>
      <x:c r="AR506" s="64" t="n">
        <x:f>-ROUND(AK506*'Drivers'!U506,3)</x:f>
        <x:v>-14.444</x:v>
      </x:c>
      <x:c r="AS506" s="64" t="n">
        <x:f>-ROUND(AK506*'Drivers'!V506,3)</x:f>
        <x:v>-52.39</x:v>
      </x:c>
      <x:c r="AT506" s="64" t="n">
        <x:f>SUM(AO506:AS506)</x:f>
        <x:v>-873.386</x:v>
      </x:c>
      <x:c r="AU506" s="65" t="n">
        <x:f>AT506/AK506</x:f>
        <x:v>-0.5583834622759061</x:v>
      </x:c>
      <x:c r="AV506" s="64" t="n">
        <x:f>AK506+AT506</x:f>
        <x:v>690.7470000000003</x:v>
      </x:c>
      <x:c r="AW506" s="65" t="n">
        <x:f>AV506/AK506</x:f>
        <x:v>0.4416165377240939</x:v>
      </x:c>
      <x:c r="AX506" s="64" t="n">
        <x:f>-ROUND(AK506*'Drivers'!W506,3)</x:f>
        <x:v>-14.682</x:v>
      </x:c>
      <x:c r="AY506" s="64" t="n">
        <x:f>-ROUND(AK506*'Drivers'!X506,3)</x:f>
        <x:v>-29.876</x:v>
      </x:c>
      <x:c r="AZ506" s="64" t="n">
        <x:f>-ROUND(AK506*'Drivers'!Y506,3)</x:f>
        <x:v>-27.5</x:v>
      </x:c>
      <x:c r="BA506" s="64" t="n">
        <x:f>-ROUND(AK506*'Drivers'!Z506,3)</x:f>
        <x:v>-11.444</x:v>
      </x:c>
      <x:c r="BB506" s="64" t="n">
        <x:f>-ROUND(AK506*'Drivers'!AA506,3)</x:f>
        <x:v>-9.241</x:v>
      </x:c>
      <x:c r="BC506" s="64" t="n">
        <x:f>SUM(BA506,BB506)</x:f>
        <x:v>-20.685000000000002</x:v>
      </x:c>
      <x:c r="BD506" s="64" t="n">
        <x:f>-ROUND(AK506*'Drivers'!AB506,3)</x:f>
        <x:v>-7.884</x:v>
      </x:c>
      <x:c r="BE506" s="64" t="n">
        <x:f>SUM(AX506:BB506,BD506)</x:f>
        <x:v>-100.627</x:v>
      </x:c>
      <x:c r="BF506" s="67" t="n">
        <x:f>'Drivers'!AF506</x:f>
        <x:v>8</x:v>
      </x:c>
      <x:c r="BG506" s="64" t="n">
        <x:f>BJ506</x:f>
        <x:v>-37.144</x:v>
      </x:c>
      <x:c r="BH506" s="64" t="n">
        <x:f>BE506/BF506</x:f>
        <x:v>-12.578375</x:v>
      </x:c>
      <x:c r="BI506" s="68" t="n">
        <x:f>BF506/L506</x:f>
        <x:v>2</x:v>
      </x:c>
      <x:c r="BJ506" s="64" t="n">
        <x:f>-ROUND(AK506*'Drivers'!AC506,3)</x:f>
        <x:v>-37.144</x:v>
      </x:c>
      <x:c r="BK506" s="64" t="n">
        <x:f>-ROUND(AK506*'Drivers'!AD506,3)</x:f>
        <x:v>-170.295</x:v>
      </x:c>
      <x:c r="BL506" s="64" t="n">
        <x:f>SUM(AV506,BE506,BJ506,BK506)</x:f>
        <x:v>382.6810000000004</x:v>
      </x:c>
      <x:c r="BM506" s="65" t="n">
        <x:f>BL506/AK506</x:f>
        <x:v>0.24466014079365395</x:v>
      </x:c>
      <x:c r="BN506" s="64" t="n">
        <x:f>-ROUND(AK506*'Drivers'!AE506,3)</x:f>
        <x:v>-139.622</x:v>
      </x:c>
      <x:c r="BO506" s="64" t="n">
        <x:f>BL506+BN506</x:f>
        <x:v>243.05900000000037</x:v>
      </x:c>
      <x:c r="BP506" s="65" t="n">
        <x:f>BO506/AK506</x:f>
        <x:v>0.155395353208455</x:v>
      </x:c>
    </x:row>
    <x:row r="507">
      <x:c r="A507" s="61" t="n">
        <x:v>2025</x:v>
      </x:c>
      <x:c r="B507" s="18" t="str">
        <x:v>S2</x:v>
      </x:c>
      <x:c r="C507" s="18" t="str">
        <x:v>2025 S2</x:v>
      </x:c>
      <x:c r="D507" s="18" t="str">
        <x:v>CNCT0127</x:v>
      </x:c>
      <x:c r="E507" s="18" t="str">
        <x:v>青岛海信广场</x:v>
      </x:c>
      <x:c r="F507" s="18" t="str">
        <x:v>青岛</x:v>
      </x:c>
      <x:c r="G507" s="18" t="str">
        <x:v>山东省</x:v>
      </x:c>
      <x:c r="H507" s="18" t="str">
        <x:v>北区</x:v>
      </x:c>
      <x:c r="I507" s="18" t="str">
        <x:v>Shopping Mall</x:v>
      </x:c>
      <x:c r="J507" s="18" t="str">
        <x:v>Prestige Shopping Center</x:v>
      </x:c>
      <x:c r="K507" s="18" t="str">
        <x:v>正常</x:v>
      </x:c>
      <x:c r="L507" s="62" t="n">
        <x:v>4</x:v>
      </x:c>
      <x:c r="M507" s="62" t="n">
        <x:v>34</x:v>
      </x:c>
      <x:c r="N507" s="63" t="n">
        <x:f>'Drivers'!C507</x:f>
        <x:v>2043</x:v>
      </x:c>
      <x:c r="O507" s="63" t="n">
        <x:f>'Drivers'!D507</x:f>
        <x:v>1202.842</x:v>
      </x:c>
      <x:c r="P507" s="64" t="n">
        <x:f>ROUND(N507*O507/1000,3)</x:f>
        <x:v>2457.406</x:v>
      </x:c>
      <x:c r="Q507" s="64" t="n">
        <x:f>ROUND(P507*'Drivers'!E507,3)</x:f>
        <x:v>2390.94</x:v>
      </x:c>
      <x:c r="R507" s="64" t="n">
        <x:f>-ROUND(Q507*'Drivers'!F507,3)</x:f>
        <x:v>-444.27</x:v>
      </x:c>
      <x:c r="S507" s="65" t="n">
        <x:f>R507/Q507</x:f>
        <x:v>-0.18581394765238776</x:v>
      </x:c>
      <x:c r="T507" s="64" t="n">
        <x:f>-ROUND(Q507*'Drivers'!G507,3)</x:f>
        <x:v>-49.779</x:v>
      </x:c>
      <x:c r="U507" s="65" t="n">
        <x:f>T507/Q507</x:f>
        <x:v>-0.020819844914552438</x:v>
      </x:c>
      <x:c r="V507" s="64" t="n">
        <x:f>-ROUND(Q507*'Drivers'!H507,3)</x:f>
        <x:v>-25.652</x:v>
      </x:c>
      <x:c r="W507" s="64" t="n">
        <x:f>-ROUND(Q507*'Drivers'!I507,3)</x:f>
        <x:v>-23.238</x:v>
      </x:c>
      <x:c r="X507" s="64" t="n">
        <x:f>-ROUND(Q507*'Drivers'!J507,3)</x:f>
        <x:v>-33.918</x:v>
      </x:c>
      <x:c r="Y507" s="64" t="n">
        <x:f>-ROUND(Q507*'Drivers'!K507,3)</x:f>
        <x:v>-22.179</x:v>
      </x:c>
      <x:c r="Z507" s="64" t="n">
        <x:f>-ROUND(Q507*'Drivers'!L507,3)</x:f>
        <x:v>-32.037</x:v>
      </x:c>
      <x:c r="AA507" s="64" t="n">
        <x:f>-ROUND(Q507*'Drivers'!M507,3)</x:f>
        <x:v>-18.45</x:v>
      </x:c>
      <x:c r="AB507" s="64" t="n">
        <x:f>-ROUND(Q507*'Drivers'!N507,3)</x:f>
        <x:v>-15.609</x:v>
      </x:c>
      <x:c r="AC507" s="64" t="n">
        <x:f>SUM(V507:AB507)</x:f>
        <x:v>-171.083</x:v>
      </x:c>
      <x:c r="AD507" s="65" t="n">
        <x:f>AC507/Q507</x:f>
        <x:v>-0.07155470233464663</x:v>
      </x:c>
      <x:c r="AE507" s="64" t="n">
        <x:f>-ROUND(Q507*'Drivers'!O507,3)</x:f>
        <x:v>-30</x:v>
      </x:c>
      <x:c r="AF507" s="65" t="n">
        <x:f>AE507/Q507</x:f>
        <x:v>-0.01254736630781199</x:v>
      </x:c>
      <x:c r="AG507" s="64" t="n">
        <x:f>-ROUND(Q507*'Drivers'!P507,3)</x:f>
        <x:v>-2.111</x:v>
      </x:c>
      <x:c r="AH507" s="64" t="n">
        <x:f>-ROUND(Q507*'Drivers'!Q507,3)</x:f>
        <x:v>-15.84</x:v>
      </x:c>
      <x:c r="AI507" s="64" t="n">
        <x:f>SUM(R507,T507,AC507,AE507,AG507,AH507)</x:f>
        <x:v>-713.083</x:v>
      </x:c>
      <x:c r="AJ507" s="65" t="n">
        <x:f>AI507/Q507</x:f>
        <x:v>-0.2982437869624499</x:v>
      </x:c>
      <x:c r="AK507" s="64" t="n">
        <x:f>Q507+AI507</x:f>
        <x:v>1677.857</x:v>
      </x:c>
      <x:c r="AL507" s="65" t="n">
        <x:f>AK507/Q507</x:f>
        <x:v>0.7017562130375501</x:v>
      </x:c>
      <x:c r="AM507" s="64" t="n">
        <x:f>AK507/L507</x:f>
        <x:v>419.46425</x:v>
      </x:c>
      <x:c r="AN507" s="66" t="str">
        <x:f>IF(AM507&lt;=200,"≤200K",IF(AM507&lt;=350,"200–350K",IF(AM507&lt;=500,"350–500K",IF(AM507&lt;=700,"500–700K","&gt;700K"))))</x:f>
        <x:v>350–500K</x:v>
      </x:c>
      <x:c r="AO507" s="64" t="n">
        <x:f>-ROUND(Q507*'Drivers'!R507,3)</x:f>
        <x:v>-849.061</x:v>
      </x:c>
      <x:c r="AP507" s="64" t="n">
        <x:f>-ROUND(AK507*'Drivers'!S507,3)</x:f>
        <x:v>-28.051</x:v>
      </x:c>
      <x:c r="AQ507" s="64" t="n">
        <x:f>-ROUND(AK507*'Drivers'!T507,3)</x:f>
        <x:v>-6.874</x:v>
      </x:c>
      <x:c r="AR507" s="64" t="n">
        <x:f>-ROUND(AK507*'Drivers'!U507,3)</x:f>
        <x:v>-15.494</x:v>
      </x:c>
      <x:c r="AS507" s="64" t="n">
        <x:f>-ROUND(AK507*'Drivers'!V507,3)</x:f>
        <x:v>-56.199</x:v>
      </x:c>
      <x:c r="AT507" s="64" t="n">
        <x:f>SUM(AO507:AS507)</x:f>
        <x:v>-955.6790000000001</x:v>
      </x:c>
      <x:c r="AU507" s="65" t="n">
        <x:f>AT507/AK507</x:f>
        <x:v>-0.5695831051156327</x:v>
      </x:c>
      <x:c r="AV507" s="64" t="n">
        <x:f>AK507+AT507</x:f>
        <x:v>722.1779999999999</x:v>
      </x:c>
      <x:c r="AW507" s="65" t="n">
        <x:f>AV507/AK507</x:f>
        <x:v>0.4304168948843673</x:v>
      </x:c>
      <x:c r="AX507" s="64" t="n">
        <x:f>-ROUND(AK507*'Drivers'!W507,3)</x:f>
        <x:v>-15.749</x:v>
      </x:c>
      <x:c r="AY507" s="64" t="n">
        <x:f>-ROUND(AK507*'Drivers'!X507,3)</x:f>
        <x:v>-32.049</x:v>
      </x:c>
      <x:c r="AZ507" s="64" t="n">
        <x:f>-ROUND(AK507*'Drivers'!Y507,3)</x:f>
        <x:v>-29.499</x:v>
      </x:c>
      <x:c r="BA507" s="64" t="n">
        <x:f>-ROUND(AK507*'Drivers'!Z507,3)</x:f>
        <x:v>-12.276</x:v>
      </x:c>
      <x:c r="BB507" s="64" t="n">
        <x:f>-ROUND(AK507*'Drivers'!AA507,3)</x:f>
        <x:v>-9.913</x:v>
      </x:c>
      <x:c r="BC507" s="64" t="n">
        <x:f>SUM(BA507,BB507)</x:f>
        <x:v>-22.189</x:v>
      </x:c>
      <x:c r="BD507" s="64" t="n">
        <x:f>-ROUND(AK507*'Drivers'!AB507,3)</x:f>
        <x:v>-8.457</x:v>
      </x:c>
      <x:c r="BE507" s="64" t="n">
        <x:f>SUM(AX507:BB507,BD507)</x:f>
        <x:v>-107.94299999999998</x:v>
      </x:c>
      <x:c r="BF507" s="67" t="n">
        <x:f>'Drivers'!AF507</x:f>
        <x:v>8</x:v>
      </x:c>
      <x:c r="BG507" s="64" t="n">
        <x:f>BJ507</x:f>
        <x:v>-39.845</x:v>
      </x:c>
      <x:c r="BH507" s="64" t="n">
        <x:f>BE507/BF507</x:f>
        <x:v>-13.492874999999998</x:v>
      </x:c>
      <x:c r="BI507" s="68" t="n">
        <x:f>BF507/L507</x:f>
        <x:v>2</x:v>
      </x:c>
      <x:c r="BJ507" s="64" t="n">
        <x:f>-ROUND(AK507*'Drivers'!AC507,3)</x:f>
        <x:v>-39.845</x:v>
      </x:c>
      <x:c r="BK507" s="64" t="n">
        <x:f>-ROUND(AK507*'Drivers'!AD507,3)</x:f>
        <x:v>-182.677</x:v>
      </x:c>
      <x:c r="BL507" s="64" t="n">
        <x:f>SUM(AV507,BE507,BJ507,BK507)</x:f>
        <x:v>391.71299999999985</x:v>
      </x:c>
      <x:c r="BM507" s="65" t="n">
        <x:f>BL507/AK507</x:f>
        <x:v>0.23346030084804598</x:v>
      </x:c>
      <x:c r="BN507" s="64" t="n">
        <x:f>-ROUND(AK507*'Drivers'!AE507,3)</x:f>
        <x:v>-149.773</x:v>
      </x:c>
      <x:c r="BO507" s="64" t="n">
        <x:f>BL507+BN507</x:f>
        <x:v>241.93999999999986</x:v>
      </x:c>
      <x:c r="BP507" s="65" t="n">
        <x:f>BO507/AK507</x:f>
        <x:v>0.14419584028913063</x:v>
      </x:c>
    </x:row>
    <x:row r="508">
      <x:c r="A508" s="61" t="n">
        <x:v>2026</x:v>
      </x:c>
      <x:c r="B508" s="18" t="str">
        <x:v>S1</x:v>
      </x:c>
      <x:c r="C508" s="18" t="str">
        <x:v>2026 S1</x:v>
      </x:c>
      <x:c r="D508" s="18" t="str">
        <x:v>CNCT0127</x:v>
      </x:c>
      <x:c r="E508" s="18" t="str">
        <x:v>青岛海信广场</x:v>
      </x:c>
      <x:c r="F508" s="18" t="str">
        <x:v>青岛</x:v>
      </x:c>
      <x:c r="G508" s="18" t="str">
        <x:v>山东省</x:v>
      </x:c>
      <x:c r="H508" s="18" t="str">
        <x:v>北区</x:v>
      </x:c>
      <x:c r="I508" s="18" t="str">
        <x:v>Shopping Mall</x:v>
      </x:c>
      <x:c r="J508" s="18" t="str">
        <x:v>Prestige Shopping Center</x:v>
      </x:c>
      <x:c r="K508" s="18" t="str">
        <x:v>正常</x:v>
      </x:c>
      <x:c r="L508" s="62" t="n">
        <x:v>4</x:v>
      </x:c>
      <x:c r="M508" s="62" t="n">
        <x:v>34</x:v>
      </x:c>
      <x:c r="N508" s="63" t="n">
        <x:f>'Drivers'!C508</x:f>
        <x:v>2119</x:v>
      </x:c>
      <x:c r="O508" s="63" t="n">
        <x:f>'Drivers'!D508</x:f>
        <x:v>1252.848</x:v>
      </x:c>
      <x:c r="P508" s="64" t="n">
        <x:f>ROUND(N508*O508/1000,3)</x:f>
        <x:v>2654.785</x:v>
      </x:c>
      <x:c r="Q508" s="64" t="n">
        <x:f>ROUND(P508*'Drivers'!E508,3)</x:f>
        <x:v>2563.228</x:v>
      </x:c>
      <x:c r="R508" s="64" t="n">
        <x:f>-ROUND(Q508*'Drivers'!F508,3)</x:f>
        <x:v>-593.655</x:v>
      </x:c>
      <x:c r="S508" s="65" t="n">
        <x:f>R508/Q508</x:f>
        <x:v>-0.23160444564432034</x:v>
      </x:c>
      <x:c r="T508" s="64" t="n">
        <x:f>-ROUND(Q508*'Drivers'!G508,3)</x:f>
        <x:v>-52.91</x:v>
      </x:c>
      <x:c r="U508" s="65" t="n">
        <x:f>T508/Q508</x:f>
        <x:v>-0.020641940553083844</x:v>
      </x:c>
      <x:c r="V508" s="64" t="n">
        <x:f>-ROUND(Q508*'Drivers'!H508,3)</x:f>
        <x:v>-27.501</x:v>
      </x:c>
      <x:c r="W508" s="64" t="n">
        <x:f>-ROUND(Q508*'Drivers'!I508,3)</x:f>
        <x:v>-24.913</x:v>
      </x:c>
      <x:c r="X508" s="64" t="n">
        <x:f>-ROUND(Q508*'Drivers'!J508,3)</x:f>
        <x:v>-36.363</x:v>
      </x:c>
      <x:c r="Y508" s="64" t="n">
        <x:f>-ROUND(Q508*'Drivers'!K508,3)</x:f>
        <x:v>-23.777</x:v>
      </x:c>
      <x:c r="Z508" s="64" t="n">
        <x:f>-ROUND(Q508*'Drivers'!L508,3)</x:f>
        <x:v>-34.346</x:v>
      </x:c>
      <x:c r="AA508" s="64" t="n">
        <x:f>-ROUND(Q508*'Drivers'!M508,3)</x:f>
        <x:v>-19.78</x:v>
      </x:c>
      <x:c r="AB508" s="64" t="n">
        <x:f>-ROUND(Q508*'Drivers'!N508,3)</x:f>
        <x:v>-16.734</x:v>
      </x:c>
      <x:c r="AC508" s="64" t="n">
        <x:f>SUM(V508:AB508)</x:f>
        <x:v>-183.41400000000002</x:v>
      </x:c>
      <x:c r="AD508" s="65" t="n">
        <x:f>AC508/Q508</x:f>
        <x:v>-0.07155586627486904</x:v>
      </x:c>
      <x:c r="AE508" s="64" t="n">
        <x:f>-ROUND(Q508*'Drivers'!O508,3)</x:f>
        <x:v>-27.171</x:v>
      </x:c>
      <x:c r="AF508" s="65" t="n">
        <x:f>AE508/Q508</x:f>
        <x:v>-0.01060030555221775</x:v>
      </x:c>
      <x:c r="AG508" s="64" t="n">
        <x:f>-ROUND(Q508*'Drivers'!P508,3)</x:f>
        <x:v>-2.264</x:v>
      </x:c>
      <x:c r="AH508" s="64" t="n">
        <x:f>-ROUND(Q508*'Drivers'!Q508,3)</x:f>
        <x:v>-16.981</x:v>
      </x:c>
      <x:c r="AI508" s="64" t="n">
        <x:f>SUM(R508,T508,AC508,AE508,AG508,AH508)</x:f>
        <x:v>-876.395</x:v>
      </x:c>
      <x:c r="AJ508" s="65" t="n">
        <x:f>AI508/Q508</x:f>
        <x:v>-0.3419106688909453</x:v>
      </x:c>
      <x:c r="AK508" s="64" t="n">
        <x:f>Q508+AI508</x:f>
        <x:v>1686.833</x:v>
      </x:c>
      <x:c r="AL508" s="65" t="n">
        <x:f>AK508/Q508</x:f>
        <x:v>0.6580893311090547</x:v>
      </x:c>
      <x:c r="AM508" s="64" t="n">
        <x:f>AK508/L508</x:f>
        <x:v>421.70825</x:v>
      </x:c>
      <x:c r="AN508" s="66" t="str">
        <x:f>IF(AM508&lt;=200,"≤200K",IF(AM508&lt;=350,"200–350K",IF(AM508&lt;=500,"350–500K",IF(AM508&lt;=700,"500–700K","&gt;700K"))))</x:f>
        <x:v>350–500K</x:v>
      </x:c>
      <x:c r="AO508" s="64" t="n">
        <x:f>-ROUND(Q508*'Drivers'!R508,3)</x:f>
        <x:v>-890.862</x:v>
      </x:c>
      <x:c r="AP508" s="64" t="n">
        <x:f>-ROUND(AK508*'Drivers'!S508,3)</x:f>
        <x:v>-28.201</x:v>
      </x:c>
      <x:c r="AQ508" s="64" t="n">
        <x:f>-ROUND(AK508*'Drivers'!T508,3)</x:f>
        <x:v>-6.911</x:v>
      </x:c>
      <x:c r="AR508" s="64" t="n">
        <x:f>-ROUND(AK508*'Drivers'!U508,3)</x:f>
        <x:v>-15.577</x:v>
      </x:c>
      <x:c r="AS508" s="64" t="n">
        <x:f>-ROUND(AK508*'Drivers'!V508,3)</x:f>
        <x:v>-56.499</x:v>
      </x:c>
      <x:c r="AT508" s="64" t="n">
        <x:f>SUM(AO508:AS508)</x:f>
        <x:v>-998.05</x:v>
      </x:c>
      <x:c r="AU508" s="65" t="n">
        <x:f>AT508/AK508</x:f>
        <x:v>-0.5916709004388697</x:v>
      </x:c>
      <x:c r="AV508" s="64" t="n">
        <x:f>AK508+AT508</x:f>
        <x:v>688.7830000000001</x:v>
      </x:c>
      <x:c r="AW508" s="65" t="n">
        <x:f>AV508/AK508</x:f>
        <x:v>0.4083290995611303</x:v>
      </x:c>
      <x:c r="AX508" s="64" t="n">
        <x:f>-ROUND(AK508*'Drivers'!W508,3)</x:f>
        <x:v>-19.482</x:v>
      </x:c>
      <x:c r="AY508" s="64" t="n">
        <x:f>-ROUND(AK508*'Drivers'!X508,3)</x:f>
        <x:v>-39.645</x:v>
      </x:c>
      <x:c r="AZ508" s="64" t="n">
        <x:f>-ROUND(AK508*'Drivers'!Y508,3)</x:f>
        <x:v>-36.492</x:v>
      </x:c>
      <x:c r="BA508" s="64" t="n">
        <x:f>-ROUND(AK508*'Drivers'!Z508,3)</x:f>
        <x:v>-15.186</x:v>
      </x:c>
      <x:c r="BB508" s="64" t="n">
        <x:f>-ROUND(AK508*'Drivers'!AA508,3)</x:f>
        <x:v>-12.263</x:v>
      </x:c>
      <x:c r="BC508" s="64" t="n">
        <x:f>SUM(BA508,BB508)</x:f>
        <x:v>-27.448999999999998</x:v>
      </x:c>
      <x:c r="BD508" s="64" t="n">
        <x:f>-ROUND(AK508*'Drivers'!AB508,3)</x:f>
        <x:v>-10.462</x:v>
      </x:c>
      <x:c r="BE508" s="64" t="n">
        <x:f>SUM(AX508:BB508,BD508)</x:f>
        <x:v>-133.53</x:v>
      </x:c>
      <x:c r="BF508" s="67" t="n">
        <x:f>'Drivers'!AF508</x:f>
        <x:v>8</x:v>
      </x:c>
      <x:c r="BG508" s="64" t="n">
        <x:f>BJ508</x:f>
        <x:v>-49.29</x:v>
      </x:c>
      <x:c r="BH508" s="64" t="n">
        <x:f>BE508/BF508</x:f>
        <x:v>-16.69125</x:v>
      </x:c>
      <x:c r="BI508" s="68" t="n">
        <x:f>BF508/L508</x:f>
        <x:v>2</x:v>
      </x:c>
      <x:c r="BJ508" s="64" t="n">
        <x:f>-ROUND(AK508*'Drivers'!AC508,3)</x:f>
        <x:v>-49.29</x:v>
      </x:c>
      <x:c r="BK508" s="64" t="n">
        <x:f>-ROUND(AK508*'Drivers'!AD508,3)</x:f>
        <x:v>-183.654</x:v>
      </x:c>
      <x:c r="BL508" s="64" t="n">
        <x:f>SUM(AV508,BE508,BJ508,BK508)</x:f>
        <x:v>322.30900000000014</x:v>
      </x:c>
      <x:c r="BM508" s="65" t="n">
        <x:f>BL508/AK508</x:f>
        <x:v>0.19107344947603</x:v>
      </x:c>
      <x:c r="BN508" s="64" t="n">
        <x:f>-ROUND(AK508*'Drivers'!AE508,3)</x:f>
        <x:v>-150.574</x:v>
      </x:c>
      <x:c r="BO508" s="64" t="n">
        <x:f>BL508+BN508</x:f>
        <x:v>171.73500000000013</x:v>
      </x:c>
      <x:c r="BP508" s="65" t="n">
        <x:f>BO508/AK508</x:f>
        <x:v>0.10180912989015517</x:v>
      </x:c>
    </x:row>
    <x:row r="509">
      <x:c r="A509" s="61" t="n">
        <x:v>2026</x:v>
      </x:c>
      <x:c r="B509" s="18" t="str">
        <x:v>S2</x:v>
      </x:c>
      <x:c r="C509" s="18" t="str">
        <x:v>2026 S2</x:v>
      </x:c>
      <x:c r="D509" s="18" t="str">
        <x:v>CNCT0127</x:v>
      </x:c>
      <x:c r="E509" s="18" t="str">
        <x:v>青岛海信广场</x:v>
      </x:c>
      <x:c r="F509" s="18" t="str">
        <x:v>青岛</x:v>
      </x:c>
      <x:c r="G509" s="18" t="str">
        <x:v>山东省</x:v>
      </x:c>
      <x:c r="H509" s="18" t="str">
        <x:v>北区</x:v>
      </x:c>
      <x:c r="I509" s="18" t="str">
        <x:v>Shopping Mall</x:v>
      </x:c>
      <x:c r="J509" s="18" t="str">
        <x:v>Prestige Shopping Center</x:v>
      </x:c>
      <x:c r="K509" s="18" t="str">
        <x:v>正常</x:v>
      </x:c>
      <x:c r="L509" s="62" t="n">
        <x:v>4</x:v>
      </x:c>
      <x:c r="M509" s="62" t="n">
        <x:v>34</x:v>
      </x:c>
      <x:c r="N509" s="63" t="n">
        <x:f>'Drivers'!C509</x:f>
        <x:v>2179</x:v>
      </x:c>
      <x:c r="O509" s="63" t="n">
        <x:f>'Drivers'!D509</x:f>
        <x:v>1253.932</x:v>
      </x:c>
      <x:c r="P509" s="64" t="n">
        <x:f>ROUND(N509*O509/1000,3)</x:f>
        <x:v>2732.318</x:v>
      </x:c>
      <x:c r="Q509" s="64" t="n">
        <x:f>ROUND(P509*'Drivers'!E509,3)</x:f>
        <x:v>2658.416</x:v>
      </x:c>
      <x:c r="R509" s="64" t="n">
        <x:f>-ROUND(Q509*'Drivers'!F509,3)</x:f>
        <x:v>-594.837</x:v>
      </x:c>
      <x:c r="S509" s="65" t="n">
        <x:f>R509/Q509</x:f>
        <x:v>-0.22375617661043265</x:v>
      </x:c>
      <x:c r="T509" s="64" t="n">
        <x:f>-ROUND(Q509*'Drivers'!G509,3)</x:f>
        <x:v>-51.779</x:v>
      </x:c>
      <x:c r="U509" s="65" t="n">
        <x:f>T509/Q509</x:f>
        <x:v>-0.019477388038591403</x:v>
      </x:c>
      <x:c r="V509" s="64" t="n">
        <x:f>-ROUND(Q509*'Drivers'!H509,3)</x:f>
        <x:v>-28.522</x:v>
      </x:c>
      <x:c r="W509" s="64" t="n">
        <x:f>-ROUND(Q509*'Drivers'!I509,3)</x:f>
        <x:v>-25.838</x:v>
      </x:c>
      <x:c r="X509" s="64" t="n">
        <x:f>-ROUND(Q509*'Drivers'!J509,3)</x:f>
        <x:v>-37.713</x:v>
      </x:c>
      <x:c r="Y509" s="64" t="n">
        <x:f>-ROUND(Q509*'Drivers'!K509,3)</x:f>
        <x:v>-24.66</x:v>
      </x:c>
      <x:c r="Z509" s="64" t="n">
        <x:f>-ROUND(Q509*'Drivers'!L509,3)</x:f>
        <x:v>-35.622</x:v>
      </x:c>
      <x:c r="AA509" s="64" t="n">
        <x:f>-ROUND(Q509*'Drivers'!M509,3)</x:f>
        <x:v>-20.514</x:v>
      </x:c>
      <x:c r="AB509" s="64" t="n">
        <x:f>-ROUND(Q509*'Drivers'!N509,3)</x:f>
        <x:v>-17.355</x:v>
      </x:c>
      <x:c r="AC509" s="64" t="n">
        <x:f>SUM(V509:AB509)</x:f>
        <x:v>-190.22400000000002</x:v>
      </x:c>
      <x:c r="AD509" s="65" t="n">
        <x:f>AC509/Q509</x:f>
        <x:v>-0.07155539238403621</x:v>
      </x:c>
      <x:c r="AE509" s="64" t="n">
        <x:f>-ROUND(Q509*'Drivers'!O509,3)</x:f>
        <x:v>-33.356</x:v>
      </x:c>
      <x:c r="AF509" s="65" t="n">
        <x:f>AE509/Q509</x:f>
        <x:v>-0.012547321412450121</x:v>
      </x:c>
      <x:c r="AG509" s="64" t="n">
        <x:f>-ROUND(Q509*'Drivers'!P509,3)</x:f>
        <x:v>-2.348</x:v>
      </x:c>
      <x:c r="AH509" s="64" t="n">
        <x:f>-ROUND(Q509*'Drivers'!Q509,3)</x:f>
        <x:v>-17.612</x:v>
      </x:c>
      <x:c r="AI509" s="64" t="n">
        <x:f>SUM(R509,T509,AC509,AE509,AG509,AH509)</x:f>
        <x:v>-890.156</x:v>
      </x:c>
      <x:c r="AJ509" s="65" t="n">
        <x:f>AI509/Q509</x:f>
        <x:v>-0.33484450891056927</x:v>
      </x:c>
      <x:c r="AK509" s="64" t="n">
        <x:f>Q509+AI509</x:f>
        <x:v>1768.2600000000002</x:v>
      </x:c>
      <x:c r="AL509" s="65" t="n">
        <x:f>AK509/Q509</x:f>
        <x:v>0.6651554910894307</x:v>
      </x:c>
      <x:c r="AM509" s="64" t="n">
        <x:f>AK509/L509</x:f>
        <x:v>442.06500000000005</x:v>
      </x:c>
      <x:c r="AN509" s="66" t="str">
        <x:f>IF(AM509&lt;=200,"≤200K",IF(AM509&lt;=350,"200–350K",IF(AM509&lt;=500,"350–500K",IF(AM509&lt;=700,"500–700K","&gt;700K"))))</x:f>
        <x:v>350–500K</x:v>
      </x:c>
      <x:c r="AO509" s="64" t="n">
        <x:f>-ROUND(Q509*'Drivers'!R509,3)</x:f>
        <x:v>-944.046</x:v>
      </x:c>
      <x:c r="AP509" s="64" t="n">
        <x:f>-ROUND(AK509*'Drivers'!S509,3)</x:f>
        <x:v>-29.563</x:v>
      </x:c>
      <x:c r="AQ509" s="64" t="n">
        <x:f>-ROUND(AK509*'Drivers'!T509,3)</x:f>
        <x:v>-7.245</x:v>
      </x:c>
      <x:c r="AR509" s="64" t="n">
        <x:f>-ROUND(AK509*'Drivers'!U509,3)</x:f>
        <x:v>-16.329</x:v>
      </x:c>
      <x:c r="AS509" s="64" t="n">
        <x:f>-ROUND(AK509*'Drivers'!V509,3)</x:f>
        <x:v>-59.227</x:v>
      </x:c>
      <x:c r="AT509" s="64" t="n">
        <x:f>SUM(AO509:AS509)</x:f>
        <x:v>-1056.41</x:v>
      </x:c>
      <x:c r="AU509" s="65" t="n">
        <x:f>AT509/AK509</x:f>
        <x:v>-0.5974291111035707</x:v>
      </x:c>
      <x:c r="AV509" s="64" t="n">
        <x:f>AK509+AT509</x:f>
        <x:v>711.8500000000001</x:v>
      </x:c>
      <x:c r="AW509" s="65" t="n">
        <x:f>AV509/AK509</x:f>
        <x:v>0.4025708888964293</x:v>
      </x:c>
      <x:c r="AX509" s="64" t="n">
        <x:f>-ROUND(AK509*'Drivers'!W509,3)</x:f>
        <x:v>-17.594</x:v>
      </x:c>
      <x:c r="AY509" s="64" t="n">
        <x:f>-ROUND(AK509*'Drivers'!X509,3)</x:f>
        <x:v>-35.802</x:v>
      </x:c>
      <x:c r="AZ509" s="64" t="n">
        <x:f>-ROUND(AK509*'Drivers'!Y509,3)</x:f>
        <x:v>-32.954</x:v>
      </x:c>
      <x:c r="BA509" s="64" t="n">
        <x:f>-ROUND(AK509*'Drivers'!Z509,3)</x:f>
        <x:v>-13.714</x:v>
      </x:c>
      <x:c r="BB509" s="64" t="n">
        <x:f>-ROUND(AK509*'Drivers'!AA509,3)</x:f>
        <x:v>-11.074</x:v>
      </x:c>
      <x:c r="BC509" s="64" t="n">
        <x:f>SUM(BA509,BB509)</x:f>
        <x:v>-24.788</x:v>
      </x:c>
      <x:c r="BD509" s="64" t="n">
        <x:f>-ROUND(AK509*'Drivers'!AB509,3)</x:f>
        <x:v>-9.448</x:v>
      </x:c>
      <x:c r="BE509" s="64" t="n">
        <x:f>SUM(AX509:BB509,BD509)</x:f>
        <x:v>-120.58599999999998</x:v>
      </x:c>
      <x:c r="BF509" s="67" t="n">
        <x:f>'Drivers'!AF509</x:f>
        <x:v>8</x:v>
      </x:c>
      <x:c r="BG509" s="64" t="n">
        <x:f>BJ509</x:f>
        <x:v>-44.512</x:v>
      </x:c>
      <x:c r="BH509" s="64" t="n">
        <x:f>BE509/BF509</x:f>
        <x:v>-15.073249999999998</x:v>
      </x:c>
      <x:c r="BI509" s="68" t="n">
        <x:f>BF509/L509</x:f>
        <x:v>2</x:v>
      </x:c>
      <x:c r="BJ509" s="64" t="n">
        <x:f>-ROUND(AK509*'Drivers'!AC509,3)</x:f>
        <x:v>-44.512</x:v>
      </x:c>
      <x:c r="BK509" s="64" t="n">
        <x:f>-ROUND(AK509*'Drivers'!AD509,3)</x:f>
        <x:v>-192.519</x:v>
      </x:c>
      <x:c r="BL509" s="64" t="n">
        <x:f>SUM(AV509,BE509,BJ509,BK509)</x:f>
        <x:v>354.2330000000002</x:v>
      </x:c>
      <x:c r="BM509" s="65" t="n">
        <x:f>BL509/AK509</x:f>
        <x:v>0.20032857159015086</x:v>
      </x:c>
      <x:c r="BN509" s="64" t="n">
        <x:f>-ROUND(AK509*'Drivers'!AE509,3)</x:f>
        <x:v>-157.843</x:v>
      </x:c>
      <x:c r="BO509" s="64" t="n">
        <x:f>BL509+BN509</x:f>
        <x:v>196.39000000000019</x:v>
      </x:c>
      <x:c r="BP509" s="65" t="n">
        <x:f>BO509/AK509</x:f>
        <x:v>0.11106398380328694</x:v>
      </x:c>
    </x:row>
    <x:row r="510">
      <x:c r="A510" s="61" t="n">
        <x:v>2025</x:v>
      </x:c>
      <x:c r="B510" s="18" t="str">
        <x:v>S1</x:v>
      </x:c>
      <x:c r="C510" s="18" t="str">
        <x:v>2025 S1</x:v>
      </x:c>
      <x:c r="D510" s="18" t="str">
        <x:v>CNCT0128</x:v>
      </x:c>
      <x:c r="E510" s="18" t="str">
        <x:v>青岛万象城</x:v>
      </x:c>
      <x:c r="F510" s="18" t="str">
        <x:v>青岛</x:v>
      </x:c>
      <x:c r="G510" s="18" t="str">
        <x:v>山东省</x:v>
      </x:c>
      <x:c r="H510" s="18" t="str">
        <x:v>北区</x:v>
      </x:c>
      <x:c r="I510" s="18" t="str">
        <x:v>Shopping Mall</x:v>
      </x:c>
      <x:c r="J510" s="18" t="str">
        <x:v>Prestige Shopping Center</x:v>
      </x:c>
      <x:c r="K510" s="18" t="str">
        <x:v>正常</x:v>
      </x:c>
      <x:c r="L510" s="62" t="n">
        <x:v>4</x:v>
      </x:c>
      <x:c r="M510" s="62" t="n">
        <x:v>34</x:v>
      </x:c>
      <x:c r="N510" s="63" t="n">
        <x:f>'Drivers'!C510</x:f>
        <x:v>1867</x:v>
      </x:c>
      <x:c r="O510" s="63" t="n">
        <x:f>'Drivers'!D510</x:f>
        <x:v>1170.811</x:v>
      </x:c>
      <x:c r="P510" s="64" t="n">
        <x:f>ROUND(N510*O510/1000,3)</x:f>
        <x:v>2185.904</x:v>
      </x:c>
      <x:c r="Q510" s="64" t="n">
        <x:f>ROUND(P510*'Drivers'!E510,3)</x:f>
        <x:v>2120.333</x:v>
      </x:c>
      <x:c r="R510" s="64" t="n">
        <x:f>-ROUND(Q510*'Drivers'!F510,3)</x:f>
        <x:v>-374.737</x:v>
      </x:c>
      <x:c r="S510" s="65" t="n">
        <x:f>R510/Q510</x:f>
        <x:v>-0.17673497511947417</x:v>
      </x:c>
      <x:c r="T510" s="64" t="n">
        <x:f>-ROUND(Q510*'Drivers'!G510,3)</x:f>
        <x:v>-27.74</x:v>
      </x:c>
      <x:c r="U510" s="65" t="n">
        <x:f>T510/Q510</x:f>
        <x:v>-0.013082850665437927</x:v>
      </x:c>
      <x:c r="V510" s="64" t="n">
        <x:f>-ROUND(Q510*'Drivers'!H510,3)</x:f>
        <x:v>-16.981</x:v>
      </x:c>
      <x:c r="W510" s="64" t="n">
        <x:f>-ROUND(Q510*'Drivers'!I510,3)</x:f>
        <x:v>-12.77</x:v>
      </x:c>
      <x:c r="X510" s="64" t="n">
        <x:f>-ROUND(Q510*'Drivers'!J510,3)</x:f>
        <x:v>-32.585</x:v>
      </x:c>
      <x:c r="Y510" s="64" t="n">
        <x:f>-ROUND(Q510*'Drivers'!K510,3)</x:f>
        <x:v>-21.499</x:v>
      </x:c>
      <x:c r="Z510" s="64" t="n">
        <x:f>-ROUND(Q510*'Drivers'!L510,3)</x:f>
        <x:v>-28.122</x:v>
      </x:c>
      <x:c r="AA510" s="64" t="n">
        <x:f>-ROUND(Q510*'Drivers'!M510,3)</x:f>
        <x:v>-17.275</x:v>
      </x:c>
      <x:c r="AB510" s="64" t="n">
        <x:f>-ROUND(Q510*'Drivers'!N510,3)</x:f>
        <x:v>-17.858</x:v>
      </x:c>
      <x:c r="AC510" s="64" t="n">
        <x:f>SUM(V510:AB510)</x:f>
        <x:v>-147.09</x:v>
      </x:c>
      <x:c r="AD510" s="65" t="n">
        <x:f>AC510/Q510</x:f>
        <x:v>-0.06937117896104056</x:v>
      </x:c>
      <x:c r="AE510" s="64" t="n">
        <x:f>-ROUND(Q510*'Drivers'!O510,3)</x:f>
        <x:v>-18.129</x:v>
      </x:c>
      <x:c r="AF510" s="65" t="n">
        <x:f>AE510/Q510</x:f>
        <x:v>-0.008550072087733389</x:v>
      </x:c>
      <x:c r="AG510" s="64" t="n">
        <x:f>-ROUND(Q510*'Drivers'!P510,3)</x:f>
        <x:v>-5.497</x:v>
      </x:c>
      <x:c r="AH510" s="64" t="n">
        <x:f>-ROUND(Q510*'Drivers'!Q510,3)</x:f>
        <x:v>-9.124</x:v>
      </x:c>
      <x:c r="AI510" s="64" t="n">
        <x:f>SUM(R510,T510,AC510,AE510,AG510,AH510)</x:f>
        <x:v>-582.317</x:v>
      </x:c>
      <x:c r="AJ510" s="65" t="n">
        <x:f>AI510/Q510</x:f>
        <x:v>-0.27463469181491773</x:v>
      </x:c>
      <x:c r="AK510" s="64" t="n">
        <x:f>Q510+AI510</x:f>
        <x:v>1538.016</x:v>
      </x:c>
      <x:c r="AL510" s="65" t="n">
        <x:f>AK510/Q510</x:f>
        <x:v>0.7253653081850823</x:v>
      </x:c>
      <x:c r="AM510" s="64" t="n">
        <x:f>AK510/L510</x:f>
        <x:v>384.504</x:v>
      </x:c>
      <x:c r="AN510" s="66" t="str">
        <x:f>IF(AM510&lt;=200,"≤200K",IF(AM510&lt;=350,"200–350K",IF(AM510&lt;=500,"350–500K",IF(AM510&lt;=700,"500–700K","&gt;700K"))))</x:f>
        <x:v>350–500K</x:v>
      </x:c>
      <x:c r="AO510" s="64" t="n">
        <x:f>-ROUND(Q510*'Drivers'!R510,3)</x:f>
        <x:v>-767.143</x:v>
      </x:c>
      <x:c r="AP510" s="64" t="n">
        <x:f>-ROUND(AK510*'Drivers'!S510,3)</x:f>
        <x:v>-24.359</x:v>
      </x:c>
      <x:c r="AQ510" s="64" t="n">
        <x:f>-ROUND(AK510*'Drivers'!T510,3)</x:f>
        <x:v>-9.189</x:v>
      </x:c>
      <x:c r="AR510" s="64" t="n">
        <x:f>-ROUND(AK510*'Drivers'!U510,3)</x:f>
        <x:v>-16.761</x:v>
      </x:c>
      <x:c r="AS510" s="64" t="n">
        <x:f>-ROUND(AK510*'Drivers'!V510,3)</x:f>
        <x:v>-56.787</x:v>
      </x:c>
      <x:c r="AT510" s="64" t="n">
        <x:f>SUM(AO510:AS510)</x:f>
        <x:v>-874.239</x:v>
      </x:c>
      <x:c r="AU510" s="65" t="n">
        <x:f>AT510/AK510</x:f>
        <x:v>-0.5684199644216965</x:v>
      </x:c>
      <x:c r="AV510" s="64" t="n">
        <x:f>AK510+AT510</x:f>
        <x:v>663.777</x:v>
      </x:c>
      <x:c r="AW510" s="65" t="n">
        <x:f>AV510/AK510</x:f>
        <x:v>0.4315800355783035</x:v>
      </x:c>
      <x:c r="AX510" s="64" t="n">
        <x:f>-ROUND(AK510*'Drivers'!W510,3)</x:f>
        <x:v>-19.273</x:v>
      </x:c>
      <x:c r="AY510" s="64" t="n">
        <x:f>-ROUND(AK510*'Drivers'!X510,3)</x:f>
        <x:v>-39.917</x:v>
      </x:c>
      <x:c r="AZ510" s="64" t="n">
        <x:f>-ROUND(AK510*'Drivers'!Y510,3)</x:f>
        <x:v>-24.295</x:v>
      </x:c>
      <x:c r="BA510" s="64" t="n">
        <x:f>-ROUND(AK510*'Drivers'!Z510,3)</x:f>
        <x:v>-7.263</x:v>
      </x:c>
      <x:c r="BB510" s="64" t="n">
        <x:f>-ROUND(AK510*'Drivers'!AA510,3)</x:f>
        <x:v>-13.44</x:v>
      </x:c>
      <x:c r="BC510" s="64" t="n">
        <x:f>SUM(BA510,BB510)</x:f>
        <x:v>-20.703</x:v>
      </x:c>
      <x:c r="BD510" s="64" t="n">
        <x:f>-ROUND(AK510*'Drivers'!AB510,3)</x:f>
        <x:v>-8.412</x:v>
      </x:c>
      <x:c r="BE510" s="64" t="n">
        <x:f>SUM(AX510:BB510,BD510)</x:f>
        <x:v>-112.60000000000001</x:v>
      </x:c>
      <x:c r="BF510" s="67" t="n">
        <x:f>'Drivers'!AF510</x:f>
        <x:v>8</x:v>
      </x:c>
      <x:c r="BG510" s="64" t="n">
        <x:f>BJ510</x:f>
        <x:v>-41.98</x:v>
      </x:c>
      <x:c r="BH510" s="64" t="n">
        <x:f>BE510/BF510</x:f>
        <x:v>-14.075000000000001</x:v>
      </x:c>
      <x:c r="BI510" s="68" t="n">
        <x:f>BF510/L510</x:f>
        <x:v>2</x:v>
      </x:c>
      <x:c r="BJ510" s="64" t="n">
        <x:f>-ROUND(AK510*'Drivers'!AC510,3)</x:f>
        <x:v>-41.98</x:v>
      </x:c>
      <x:c r="BK510" s="64" t="n">
        <x:f>-ROUND(AK510*'Drivers'!AD510,3)</x:f>
        <x:v>-135.723</x:v>
      </x:c>
      <x:c r="BL510" s="64" t="n">
        <x:f>SUM(AV510,BE510,BJ510,BK510)</x:f>
        <x:v>373.474</x:v>
      </x:c>
      <x:c r="BM510" s="65" t="n">
        <x:f>BL510/AK510</x:f>
        <x:v>0.242828423111333</x:v>
      </x:c>
      <x:c r="BN510" s="64" t="n">
        <x:f>-ROUND(AK510*'Drivers'!AE510,3)</x:f>
        <x:v>-139.358</x:v>
      </x:c>
      <x:c r="BO510" s="64" t="n">
        <x:f>BL510+BN510</x:f>
        <x:v>234.11599999999999</x:v>
      </x:c>
      <x:c r="BP510" s="65" t="n">
        <x:f>BO510/AK510</x:f>
        <x:v>0.15221948276220792</x:v>
      </x:c>
    </x:row>
    <x:row r="511">
      <x:c r="A511" s="61" t="n">
        <x:v>2025</x:v>
      </x:c>
      <x:c r="B511" s="18" t="str">
        <x:v>S2</x:v>
      </x:c>
      <x:c r="C511" s="18" t="str">
        <x:v>2025 S2</x:v>
      </x:c>
      <x:c r="D511" s="18" t="str">
        <x:v>CNCT0128</x:v>
      </x:c>
      <x:c r="E511" s="18" t="str">
        <x:v>青岛万象城</x:v>
      </x:c>
      <x:c r="F511" s="18" t="str">
        <x:v>青岛</x:v>
      </x:c>
      <x:c r="G511" s="18" t="str">
        <x:v>山东省</x:v>
      </x:c>
      <x:c r="H511" s="18" t="str">
        <x:v>北区</x:v>
      </x:c>
      <x:c r="I511" s="18" t="str">
        <x:v>Shopping Mall</x:v>
      </x:c>
      <x:c r="J511" s="18" t="str">
        <x:v>Prestige Shopping Center</x:v>
      </x:c>
      <x:c r="K511" s="18" t="str">
        <x:v>正常</x:v>
      </x:c>
      <x:c r="L511" s="62" t="n">
        <x:v>4</x:v>
      </x:c>
      <x:c r="M511" s="62" t="n">
        <x:v>34</x:v>
      </x:c>
      <x:c r="N511" s="63" t="n">
        <x:f>'Drivers'!C511</x:f>
        <x:v>1966</x:v>
      </x:c>
      <x:c r="O511" s="63" t="n">
        <x:f>'Drivers'!D511</x:f>
        <x:v>1184.861</x:v>
      </x:c>
      <x:c r="P511" s="64" t="n">
        <x:f>ROUND(N511*O511/1000,3)</x:f>
        <x:v>2329.437</x:v>
      </x:c>
      <x:c r="Q511" s="64" t="n">
        <x:f>ROUND(P511*'Drivers'!E511,3)</x:f>
        <x:v>2279.607</x:v>
      </x:c>
      <x:c r="R511" s="64" t="n">
        <x:f>-ROUND(Q511*'Drivers'!F511,3)</x:f>
        <x:v>-402.886</x:v>
      </x:c>
      <x:c r="S511" s="65" t="n">
        <x:f>R511/Q511</x:f>
        <x:v>-0.17673484947186074</x:v>
      </x:c>
      <x:c r="T511" s="64" t="n">
        <x:f>-ROUND(Q511*'Drivers'!G511,3)</x:f>
        <x:v>-29.823</x:v>
      </x:c>
      <x:c r="U511" s="65" t="n">
        <x:f>T511/Q511</x:f>
        <x:v>-0.013082518170895247</x:v>
      </x:c>
      <x:c r="V511" s="64" t="n">
        <x:f>-ROUND(Q511*'Drivers'!H511,3)</x:f>
        <x:v>-18.257</x:v>
      </x:c>
      <x:c r="W511" s="64" t="n">
        <x:f>-ROUND(Q511*'Drivers'!I511,3)</x:f>
        <x:v>-13.729</x:v>
      </x:c>
      <x:c r="X511" s="64" t="n">
        <x:f>-ROUND(Q511*'Drivers'!J511,3)</x:f>
        <x:v>-35.033</x:v>
      </x:c>
      <x:c r="Y511" s="64" t="n">
        <x:f>-ROUND(Q511*'Drivers'!K511,3)</x:f>
        <x:v>-23.114</x:v>
      </x:c>
      <x:c r="Z511" s="64" t="n">
        <x:f>-ROUND(Q511*'Drivers'!L511,3)</x:f>
        <x:v>-30.234</x:v>
      </x:c>
      <x:c r="AA511" s="64" t="n">
        <x:f>-ROUND(Q511*'Drivers'!M511,3)</x:f>
        <x:v>-18.572</x:v>
      </x:c>
      <x:c r="AB511" s="64" t="n">
        <x:f>-ROUND(Q511*'Drivers'!N511,3)</x:f>
        <x:v>-19.2</x:v>
      </x:c>
      <x:c r="AC511" s="64" t="n">
        <x:f>SUM(V511:AB511)</x:f>
        <x:v>-158.139</x:v>
      </x:c>
      <x:c r="AD511" s="65" t="n">
        <x:f>AC511/Q511</x:f>
        <x:v>-0.0693711679249976</x:v>
      </x:c>
      <x:c r="AE511" s="64" t="n">
        <x:f>-ROUND(Q511*'Drivers'!O511,3)</x:f>
        <x:v>-19.491</x:v>
      </x:c>
      <x:c r="AF511" s="65" t="n">
        <x:f>AE511/Q511</x:f>
        <x:v>-0.008550157987758416</x:v>
      </x:c>
      <x:c r="AG511" s="64" t="n">
        <x:f>-ROUND(Q511*'Drivers'!P511,3)</x:f>
        <x:v>-5.91</x:v>
      </x:c>
      <x:c r="AH511" s="64" t="n">
        <x:f>-ROUND(Q511*'Drivers'!Q511,3)</x:f>
        <x:v>-9.809</x:v>
      </x:c>
      <x:c r="AI511" s="64" t="n">
        <x:f>SUM(R511,T511,AC511,AE511,AG511,AH511)</x:f>
        <x:v>-626.0579999999999</x:v>
      </x:c>
      <x:c r="AJ511" s="65" t="n">
        <x:f>AI511/Q511</x:f>
        <x:v>-0.27463418036529974</x:v>
      </x:c>
      <x:c r="AK511" s="64" t="n">
        <x:f>Q511+AI511</x:f>
        <x:v>1653.549</x:v>
      </x:c>
      <x:c r="AL511" s="65" t="n">
        <x:f>AK511/Q511</x:f>
        <x:v>0.7253658196347001</x:v>
      </x:c>
      <x:c r="AM511" s="64" t="n">
        <x:f>AK511/L511</x:f>
        <x:v>413.38725</x:v>
      </x:c>
      <x:c r="AN511" s="66" t="str">
        <x:f>IF(AM511&lt;=200,"≤200K",IF(AM511&lt;=350,"200–350K",IF(AM511&lt;=500,"350–500K",IF(AM511&lt;=700,"500–700K","&gt;700K"))))</x:f>
        <x:v>350–500K</x:v>
      </x:c>
      <x:c r="AO511" s="64" t="n">
        <x:f>-ROUND(Q511*'Drivers'!R511,3)</x:f>
        <x:v>-854.734</x:v>
      </x:c>
      <x:c r="AP511" s="64" t="n">
        <x:f>-ROUND(AK511*'Drivers'!S511,3)</x:f>
        <x:v>-26.189</x:v>
      </x:c>
      <x:c r="AQ511" s="64" t="n">
        <x:f>-ROUND(AK511*'Drivers'!T511,3)</x:f>
        <x:v>-9.879</x:v>
      </x:c>
      <x:c r="AR511" s="64" t="n">
        <x:f>-ROUND(AK511*'Drivers'!U511,3)</x:f>
        <x:v>-18.02</x:v>
      </x:c>
      <x:c r="AS511" s="64" t="n">
        <x:f>-ROUND(AK511*'Drivers'!V511,3)</x:f>
        <x:v>-61.053</x:v>
      </x:c>
      <x:c r="AT511" s="64" t="n">
        <x:f>SUM(AO511:AS511)</x:f>
        <x:v>-969.875</x:v>
      </x:c>
      <x:c r="AU511" s="65" t="n">
        <x:f>AT511/AK511</x:f>
        <x:v>-0.5865414330025902</x:v>
      </x:c>
      <x:c r="AV511" s="64" t="n">
        <x:f>AK511+AT511</x:f>
        <x:v>683.674</x:v>
      </x:c>
      <x:c r="AW511" s="65" t="n">
        <x:f>AV511/AK511</x:f>
        <x:v>0.4134585669974098</x:v>
      </x:c>
      <x:c r="AX511" s="64" t="n">
        <x:f>-ROUND(AK511*'Drivers'!W511,3)</x:f>
        <x:v>-20.72</x:v>
      </x:c>
      <x:c r="AY511" s="64" t="n">
        <x:f>-ROUND(AK511*'Drivers'!X511,3)</x:f>
        <x:v>-42.915</x:v>
      </x:c>
      <x:c r="AZ511" s="64" t="n">
        <x:f>-ROUND(AK511*'Drivers'!Y511,3)</x:f>
        <x:v>-26.12</x:v>
      </x:c>
      <x:c r="BA511" s="64" t="n">
        <x:f>-ROUND(AK511*'Drivers'!Z511,3)</x:f>
        <x:v>-7.809</x:v>
      </x:c>
      <x:c r="BB511" s="64" t="n">
        <x:f>-ROUND(AK511*'Drivers'!AA511,3)</x:f>
        <x:v>-14.45</x:v>
      </x:c>
      <x:c r="BC511" s="64" t="n">
        <x:f>SUM(BA511,BB511)</x:f>
        <x:v>-22.259</x:v>
      </x:c>
      <x:c r="BD511" s="64" t="n">
        <x:f>-ROUND(AK511*'Drivers'!AB511,3)</x:f>
        <x:v>-9.044</x:v>
      </x:c>
      <x:c r="BE511" s="64" t="n">
        <x:f>SUM(AX511:BB511,BD511)</x:f>
        <x:v>-121.05799999999999</x:v>
      </x:c>
      <x:c r="BF511" s="67" t="n">
        <x:f>'Drivers'!AF511</x:f>
        <x:v>8</x:v>
      </x:c>
      <x:c r="BG511" s="64" t="n">
        <x:f>BJ511</x:f>
        <x:v>-45.134</x:v>
      </x:c>
      <x:c r="BH511" s="64" t="n">
        <x:f>BE511/BF511</x:f>
        <x:v>-15.132249999999999</x:v>
      </x:c>
      <x:c r="BI511" s="68" t="n">
        <x:f>BF511/L511</x:f>
        <x:v>2</x:v>
      </x:c>
      <x:c r="BJ511" s="64" t="n">
        <x:f>-ROUND(AK511*'Drivers'!AC511,3)</x:f>
        <x:v>-45.134</x:v>
      </x:c>
      <x:c r="BK511" s="64" t="n">
        <x:f>-ROUND(AK511*'Drivers'!AD511,3)</x:f>
        <x:v>-145.918</x:v>
      </x:c>
      <x:c r="BL511" s="64" t="n">
        <x:f>SUM(AV511,BE511,BJ511,BK511)</x:f>
        <x:v>371.56399999999996</x:v>
      </x:c>
      <x:c r="BM511" s="65" t="n">
        <x:f>BL511/AK511</x:f>
        <x:v>0.22470697874692552</x:v>
      </x:c>
      <x:c r="BN511" s="64" t="n">
        <x:f>-ROUND(AK511*'Drivers'!AE511,3)</x:f>
        <x:v>-149.826</x:v>
      </x:c>
      <x:c r="BO511" s="64" t="n">
        <x:f>BL511+BN511</x:f>
        <x:v>221.73799999999997</x:v>
      </x:c>
      <x:c r="BP511" s="65" t="n">
        <x:f>BO511/AK511</x:f>
        <x:v>0.13409823355703399</x:v>
      </x:c>
    </x:row>
    <x:row r="512">
      <x:c r="A512" s="61" t="n">
        <x:v>2026</x:v>
      </x:c>
      <x:c r="B512" s="18" t="str">
        <x:v>S1</x:v>
      </x:c>
      <x:c r="C512" s="18" t="str">
        <x:v>2026 S1</x:v>
      </x:c>
      <x:c r="D512" s="18" t="str">
        <x:v>CNCT0128</x:v>
      </x:c>
      <x:c r="E512" s="18" t="str">
        <x:v>青岛万象城</x:v>
      </x:c>
      <x:c r="F512" s="18" t="str">
        <x:v>青岛</x:v>
      </x:c>
      <x:c r="G512" s="18" t="str">
        <x:v>山东省</x:v>
      </x:c>
      <x:c r="H512" s="18" t="str">
        <x:v>北区</x:v>
      </x:c>
      <x:c r="I512" s="18" t="str">
        <x:v>Shopping Mall</x:v>
      </x:c>
      <x:c r="J512" s="18" t="str">
        <x:v>Prestige Shopping Center</x:v>
      </x:c>
      <x:c r="K512" s="18" t="str">
        <x:v>正常</x:v>
      </x:c>
      <x:c r="L512" s="62" t="n">
        <x:v>4</x:v>
      </x:c>
      <x:c r="M512" s="62" t="n">
        <x:v>34</x:v>
      </x:c>
      <x:c r="N512" s="63" t="n">
        <x:f>'Drivers'!C512</x:f>
        <x:v>1829</x:v>
      </x:c>
      <x:c r="O512" s="63" t="n">
        <x:f>'Drivers'!D512</x:f>
        <x:v>1229.416</x:v>
      </x:c>
      <x:c r="P512" s="64" t="n">
        <x:f>ROUND(N512*O512/1000,3)</x:f>
        <x:v>2248.602</x:v>
      </x:c>
      <x:c r="Q512" s="64" t="n">
        <x:f>ROUND(P512*'Drivers'!E512,3)</x:f>
        <x:v>2176.076</x:v>
      </x:c>
      <x:c r="R512" s="64" t="n">
        <x:f>-ROUND(Q512*'Drivers'!F512,3)</x:f>
        <x:v>-392.743</x:v>
      </x:c>
      <x:c r="S512" s="65" t="n">
        <x:f>R512/Q512</x:f>
        <x:v>-0.1804822074229025</x:v>
      </x:c>
      <x:c r="T512" s="64" t="n">
        <x:f>-ROUND(Q512*'Drivers'!G512,3)</x:f>
        <x:v>-25.689</x:v>
      </x:c>
      <x:c r="U512" s="65" t="n">
        <x:f>T512/Q512</x:f>
        <x:v>-0.011805194303875416</x:v>
      </x:c>
      <x:c r="V512" s="64" t="n">
        <x:f>-ROUND(Q512*'Drivers'!H512,3)</x:f>
        <x:v>-17.428</x:v>
      </x:c>
      <x:c r="W512" s="64" t="n">
        <x:f>-ROUND(Q512*'Drivers'!I512,3)</x:f>
        <x:v>-13.105</x:v>
      </x:c>
      <x:c r="X512" s="64" t="n">
        <x:f>-ROUND(Q512*'Drivers'!J512,3)</x:f>
        <x:v>-33.442</x:v>
      </x:c>
      <x:c r="Y512" s="64" t="n">
        <x:f>-ROUND(Q512*'Drivers'!K512,3)</x:f>
        <x:v>-22.064</x:v>
      </x:c>
      <x:c r="Z512" s="64" t="n">
        <x:f>-ROUND(Q512*'Drivers'!L512,3)</x:f>
        <x:v>-28.861</x:v>
      </x:c>
      <x:c r="AA512" s="64" t="n">
        <x:f>-ROUND(Q512*'Drivers'!M512,3)</x:f>
        <x:v>-17.729</x:v>
      </x:c>
      <x:c r="AB512" s="64" t="n">
        <x:f>-ROUND(Q512*'Drivers'!N512,3)</x:f>
        <x:v>-18.328</x:v>
      </x:c>
      <x:c r="AC512" s="64" t="n">
        <x:f>SUM(V512:AB512)</x:f>
        <x:v>-150.95700000000002</x:v>
      </x:c>
      <x:c r="AD512" s="65" t="n">
        <x:f>AC512/Q512</x:f>
        <x:v>-0.0693711984324077</x:v>
      </x:c>
      <x:c r="AE512" s="64" t="n">
        <x:f>-ROUND(Q512*'Drivers'!O512,3)</x:f>
        <x:v>-18.377</x:v>
      </x:c>
      <x:c r="AF512" s="65" t="n">
        <x:f>AE512/Q512</x:f>
        <x:v>-0.008445017545343084</x:v>
      </x:c>
      <x:c r="AG512" s="64" t="n">
        <x:f>-ROUND(Q512*'Drivers'!P512,3)</x:f>
        <x:v>-5.642</x:v>
      </x:c>
      <x:c r="AH512" s="64" t="n">
        <x:f>-ROUND(Q512*'Drivers'!Q512,3)</x:f>
        <x:v>-9.363</x:v>
      </x:c>
      <x:c r="AI512" s="64" t="n">
        <x:f>SUM(R512,T512,AC512,AE512,AG512,AH512)</x:f>
        <x:v>-602.771</x:v>
      </x:c>
      <x:c r="AJ512" s="65" t="n">
        <x:f>AI512/Q512</x:f>
        <x:v>-0.27699905701822913</x:v>
      </x:c>
      <x:c r="AK512" s="64" t="n">
        <x:f>Q512+AI512</x:f>
        <x:v>1573.305</x:v>
      </x:c>
      <x:c r="AL512" s="65" t="n">
        <x:f>AK512/Q512</x:f>
        <x:v>0.7230009429817709</x:v>
      </x:c>
      <x:c r="AM512" s="64" t="n">
        <x:f>AK512/L512</x:f>
        <x:v>393.32625</x:v>
      </x:c>
      <x:c r="AN512" s="66" t="str">
        <x:f>IF(AM512&lt;=200,"≤200K",IF(AM512&lt;=350,"200–350K",IF(AM512&lt;=500,"350–500K",IF(AM512&lt;=700,"500–700K","&gt;700K"))))</x:f>
        <x:v>350–500K</x:v>
      </x:c>
      <x:c r="AO512" s="64" t="n">
        <x:f>-ROUND(Q512*'Drivers'!R512,3)</x:f>
        <x:v>-778.963</x:v>
      </x:c>
      <x:c r="AP512" s="64" t="n">
        <x:f>-ROUND(AK512*'Drivers'!S512,3)</x:f>
        <x:v>-24.918</x:v>
      </x:c>
      <x:c r="AQ512" s="64" t="n">
        <x:f>-ROUND(AK512*'Drivers'!T512,3)</x:f>
        <x:v>-9.4</x:v>
      </x:c>
      <x:c r="AR512" s="64" t="n">
        <x:f>-ROUND(AK512*'Drivers'!U512,3)</x:f>
        <x:v>-17.146</x:v>
      </x:c>
      <x:c r="AS512" s="64" t="n">
        <x:f>-ROUND(AK512*'Drivers'!V512,3)</x:f>
        <x:v>-58.09</x:v>
      </x:c>
      <x:c r="AT512" s="64" t="n">
        <x:f>SUM(AO512:AS512)</x:f>
        <x:v>-888.5169999999999</x:v>
      </x:c>
      <x:c r="AU512" s="65" t="n">
        <x:f>AT512/AK512</x:f>
        <x:v>-0.5647455515618395</x:v>
      </x:c>
      <x:c r="AV512" s="64" t="n">
        <x:f>AK512+AT512</x:f>
        <x:v>684.7880000000001</x:v>
      </x:c>
      <x:c r="AW512" s="65" t="n">
        <x:f>AV512/AK512</x:f>
        <x:v>0.43525444843816047</x:v>
      </x:c>
      <x:c r="AX512" s="64" t="n">
        <x:f>-ROUND(AK512*'Drivers'!W512,3)</x:f>
        <x:v>-24.258</x:v>
      </x:c>
      <x:c r="AY512" s="64" t="n">
        <x:f>-ROUND(AK512*'Drivers'!X512,3)</x:f>
        <x:v>-50.242</x:v>
      </x:c>
      <x:c r="AZ512" s="64" t="n">
        <x:f>-ROUND(AK512*'Drivers'!Y512,3)</x:f>
        <x:v>-30.58</x:v>
      </x:c>
      <x:c r="BA512" s="64" t="n">
        <x:f>-ROUND(AK512*'Drivers'!Z512,3)</x:f>
        <x:v>-9.142</x:v>
      </x:c>
      <x:c r="BB512" s="64" t="n">
        <x:f>-ROUND(AK512*'Drivers'!AA512,3)</x:f>
        <x:v>-16.917</x:v>
      </x:c>
      <x:c r="BC512" s="64" t="n">
        <x:f>SUM(BA512,BB512)</x:f>
        <x:v>-26.059</x:v>
      </x:c>
      <x:c r="BD512" s="64" t="n">
        <x:f>-ROUND(AK512*'Drivers'!AB512,3)</x:f>
        <x:v>-10.588</x:v>
      </x:c>
      <x:c r="BE512" s="64" t="n">
        <x:f>SUM(AX512:BB512,BD512)</x:f>
        <x:v>-141.727</x:v>
      </x:c>
      <x:c r="BF512" s="67" t="n">
        <x:f>'Drivers'!AF512</x:f>
        <x:v>8</x:v>
      </x:c>
      <x:c r="BG512" s="64" t="n">
        <x:f>BJ512</x:f>
        <x:v>-52.84</x:v>
      </x:c>
      <x:c r="BH512" s="64" t="n">
        <x:f>BE512/BF512</x:f>
        <x:v>-17.715875</x:v>
      </x:c>
      <x:c r="BI512" s="68" t="n">
        <x:f>BF512/L512</x:f>
        <x:v>2</x:v>
      </x:c>
      <x:c r="BJ512" s="64" t="n">
        <x:f>-ROUND(AK512*'Drivers'!AC512,3)</x:f>
        <x:v>-52.84</x:v>
      </x:c>
      <x:c r="BK512" s="64" t="n">
        <x:f>-ROUND(AK512*'Drivers'!AD512,3)</x:f>
        <x:v>-138.837</x:v>
      </x:c>
      <x:c r="BL512" s="64" t="n">
        <x:f>SUM(AV512,BE512,BJ512,BK512)</x:f>
        <x:v>351.3840000000001</x:v>
      </x:c>
      <x:c r="BM512" s="65" t="n">
        <x:f>BL512/AK512</x:f>
        <x:v>0.22334131017189934</x:v>
      </x:c>
      <x:c r="BN512" s="64" t="n">
        <x:f>-ROUND(AK512*'Drivers'!AE512,3)</x:f>
        <x:v>-142.555</x:v>
      </x:c>
      <x:c r="BO512" s="64" t="n">
        <x:f>BL512+BN512</x:f>
        <x:v>208.82900000000012</x:v>
      </x:c>
      <x:c r="BP512" s="65" t="n">
        <x:f>BO512/AK512</x:f>
        <x:v>0.13273268692338747</x:v>
      </x:c>
    </x:row>
    <x:row r="513">
      <x:c r="A513" s="61" t="n">
        <x:v>2026</x:v>
      </x:c>
      <x:c r="B513" s="18" t="str">
        <x:v>S2</x:v>
      </x:c>
      <x:c r="C513" s="18" t="str">
        <x:v>2026 S2</x:v>
      </x:c>
      <x:c r="D513" s="18" t="str">
        <x:v>CNCT0128</x:v>
      </x:c>
      <x:c r="E513" s="18" t="str">
        <x:v>青岛万象城</x:v>
      </x:c>
      <x:c r="F513" s="18" t="str">
        <x:v>青岛</x:v>
      </x:c>
      <x:c r="G513" s="18" t="str">
        <x:v>山东省</x:v>
      </x:c>
      <x:c r="H513" s="18" t="str">
        <x:v>北区</x:v>
      </x:c>
      <x:c r="I513" s="18" t="str">
        <x:v>Shopping Mall</x:v>
      </x:c>
      <x:c r="J513" s="18" t="str">
        <x:v>Prestige Shopping Center</x:v>
      </x:c>
      <x:c r="K513" s="18" t="str">
        <x:v>正常</x:v>
      </x:c>
      <x:c r="L513" s="62" t="n">
        <x:v>4</x:v>
      </x:c>
      <x:c r="M513" s="62" t="n">
        <x:v>34</x:v>
      </x:c>
      <x:c r="N513" s="63" t="n">
        <x:f>'Drivers'!C513</x:f>
        <x:v>1955</x:v>
      </x:c>
      <x:c r="O513" s="63" t="n">
        <x:f>'Drivers'!D513</x:f>
        <x:v>1231.436</x:v>
      </x:c>
      <x:c r="P513" s="64" t="n">
        <x:f>ROUND(N513*O513/1000,3)</x:f>
        <x:v>2407.457</x:v>
      </x:c>
      <x:c r="Q513" s="64" t="n">
        <x:f>ROUND(P513*'Drivers'!E513,3)</x:f>
        <x:v>2355.959</x:v>
      </x:c>
      <x:c r="R513" s="64" t="n">
        <x:f>-ROUND(Q513*'Drivers'!F513,3)</x:f>
        <x:v>-404.186</x:v>
      </x:c>
      <x:c r="S513" s="65" t="n">
        <x:f>R513/Q513</x:f>
        <x:v>-0.17155901269928722</x:v>
      </x:c>
      <x:c r="T513" s="64" t="n">
        <x:f>-ROUND(Q513*'Drivers'!G513,3)</x:f>
        <x:v>-33.644</x:v>
      </x:c>
      <x:c r="U513" s="65" t="n">
        <x:f>T513/Q513</x:f>
        <x:v>-0.014280384336060178</x:v>
      </x:c>
      <x:c r="V513" s="64" t="n">
        <x:f>-ROUND(Q513*'Drivers'!H513,3)</x:f>
        <x:v>-18.868</x:v>
      </x:c>
      <x:c r="W513" s="64" t="n">
        <x:f>-ROUND(Q513*'Drivers'!I513,3)</x:f>
        <x:v>-14.189</x:v>
      </x:c>
      <x:c r="X513" s="64" t="n">
        <x:f>-ROUND(Q513*'Drivers'!J513,3)</x:f>
        <x:v>-36.206</x:v>
      </x:c>
      <x:c r="Y513" s="64" t="n">
        <x:f>-ROUND(Q513*'Drivers'!K513,3)</x:f>
        <x:v>-23.888</x:v>
      </x:c>
      <x:c r="Z513" s="64" t="n">
        <x:f>-ROUND(Q513*'Drivers'!L513,3)</x:f>
        <x:v>-31.247</x:v>
      </x:c>
      <x:c r="AA513" s="64" t="n">
        <x:f>-ROUND(Q513*'Drivers'!M513,3)</x:f>
        <x:v>-19.194</x:v>
      </x:c>
      <x:c r="AB513" s="64" t="n">
        <x:f>-ROUND(Q513*'Drivers'!N513,3)</x:f>
        <x:v>-19.843</x:v>
      </x:c>
      <x:c r="AC513" s="64" t="n">
        <x:f>SUM(V513:AB513)</x:f>
        <x:v>-163.435</x:v>
      </x:c>
      <x:c r="AD513" s="65" t="n">
        <x:f>AC513/Q513</x:f>
        <x:v>-0.06937090161586004</x:v>
      </x:c>
      <x:c r="AE513" s="64" t="n">
        <x:f>-ROUND(Q513*'Drivers'!O513,3)</x:f>
        <x:v>-20.144</x:v>
      </x:c>
      <x:c r="AF513" s="65" t="n">
        <x:f>AE513/Q513</x:f>
        <x:v>-0.008550233684032701</x:v>
      </x:c>
      <x:c r="AG513" s="64" t="n">
        <x:f>-ROUND(Q513*'Drivers'!P513,3)</x:f>
        <x:v>-6.108</x:v>
      </x:c>
      <x:c r="AH513" s="64" t="n">
        <x:f>-ROUND(Q513*'Drivers'!Q513,3)</x:f>
        <x:v>-10.137</x:v>
      </x:c>
      <x:c r="AI513" s="64" t="n">
        <x:f>SUM(R513,T513,AC513,AE513,AG513,AH513)</x:f>
        <x:v>-637.654</x:v>
      </x:c>
      <x:c r="AJ513" s="65" t="n">
        <x:f>AI513/Q513</x:f>
        <x:v>-0.27065581361984653</x:v>
      </x:c>
      <x:c r="AK513" s="64" t="n">
        <x:f>Q513+AI513</x:f>
        <x:v>1718.3049999999998</x:v>
      </x:c>
      <x:c r="AL513" s="65" t="n">
        <x:f>AK513/Q513</x:f>
        <x:v>0.7293441863801534</x:v>
      </x:c>
      <x:c r="AM513" s="64" t="n">
        <x:f>AK513/L513</x:f>
        <x:v>429.57624999999996</x:v>
      </x:c>
      <x:c r="AN513" s="66" t="str">
        <x:f>IF(AM513&lt;=200,"≤200K",IF(AM513&lt;=350,"200–350K",IF(AM513&lt;=500,"350–500K",IF(AM513&lt;=700,"500–700K","&gt;700K"))))</x:f>
        <x:v>350–500K</x:v>
      </x:c>
      <x:c r="AO513" s="64" t="n">
        <x:f>-ROUND(Q513*'Drivers'!R513,3)</x:f>
        <x:v>-888.098</x:v>
      </x:c>
      <x:c r="AP513" s="64" t="n">
        <x:f>-ROUND(AK513*'Drivers'!S513,3)</x:f>
        <x:v>-27.214</x:v>
      </x:c>
      <x:c r="AQ513" s="64" t="n">
        <x:f>-ROUND(AK513*'Drivers'!T513,3)</x:f>
        <x:v>-10.266</x:v>
      </x:c>
      <x:c r="AR513" s="64" t="n">
        <x:f>-ROUND(AK513*'Drivers'!U513,3)</x:f>
        <x:v>-18.726</x:v>
      </x:c>
      <x:c r="AS513" s="64" t="n">
        <x:f>-ROUND(AK513*'Drivers'!V513,3)</x:f>
        <x:v>-63.444</x:v>
      </x:c>
      <x:c r="AT513" s="64" t="n">
        <x:f>SUM(AO513:AS513)</x:f>
        <x:v>-1007.7479999999998</x:v>
      </x:c>
      <x:c r="AU513" s="65" t="n">
        <x:f>AT513/AK513</x:f>
        <x:v>-0.5864779535647047</x:v>
      </x:c>
      <x:c r="AV513" s="64" t="n">
        <x:f>AK513+AT513</x:f>
        <x:v>710.557</x:v>
      </x:c>
      <x:c r="AW513" s="65" t="n">
        <x:f>AV513/AK513</x:f>
        <x:v>0.4135220464352953</x:v>
      </x:c>
      <x:c r="AX513" s="64" t="n">
        <x:f>-ROUND(AK513*'Drivers'!W513,3)</x:f>
        <x:v>-22.824</x:v>
      </x:c>
      <x:c r="AY513" s="64" t="n">
        <x:f>-ROUND(AK513*'Drivers'!X513,3)</x:f>
        <x:v>-47.271</x:v>
      </x:c>
      <x:c r="AZ513" s="64" t="n">
        <x:f>-ROUND(AK513*'Drivers'!Y513,3)</x:f>
        <x:v>-28.772</x:v>
      </x:c>
      <x:c r="BA513" s="64" t="n">
        <x:f>-ROUND(AK513*'Drivers'!Z513,3)</x:f>
        <x:v>-8.601</x:v>
      </x:c>
      <x:c r="BB513" s="64" t="n">
        <x:f>-ROUND(AK513*'Drivers'!AA513,3)</x:f>
        <x:v>-15.917</x:v>
      </x:c>
      <x:c r="BC513" s="64" t="n">
        <x:f>SUM(BA513,BB513)</x:f>
        <x:v>-24.518</x:v>
      </x:c>
      <x:c r="BD513" s="64" t="n">
        <x:f>-ROUND(AK513*'Drivers'!AB513,3)</x:f>
        <x:v>-9.962</x:v>
      </x:c>
      <x:c r="BE513" s="64" t="n">
        <x:f>SUM(AX513:BB513,BD513)</x:f>
        <x:v>-133.34699999999998</x:v>
      </x:c>
      <x:c r="BF513" s="67" t="n">
        <x:f>'Drivers'!AF513</x:f>
        <x:v>8</x:v>
      </x:c>
      <x:c r="BG513" s="64" t="n">
        <x:f>BJ513</x:f>
        <x:v>-49.715</x:v>
      </x:c>
      <x:c r="BH513" s="64" t="n">
        <x:f>BE513/BF513</x:f>
        <x:v>-16.668374999999997</x:v>
      </x:c>
      <x:c r="BI513" s="68" t="n">
        <x:f>BF513/L513</x:f>
        <x:v>2</x:v>
      </x:c>
      <x:c r="BJ513" s="64" t="n">
        <x:f>-ROUND(AK513*'Drivers'!AC513,3)</x:f>
        <x:v>-49.715</x:v>
      </x:c>
      <x:c r="BK513" s="64" t="n">
        <x:f>-ROUND(AK513*'Drivers'!AD513,3)</x:f>
        <x:v>-151.632</x:v>
      </x:c>
      <x:c r="BL513" s="64" t="n">
        <x:f>SUM(AV513,BE513,BJ513,BK513)</x:f>
        <x:v>375.863</x:v>
      </x:c>
      <x:c r="BM513" s="65" t="n">
        <x:f>BL513/AK513</x:f>
        <x:v>0.2187405611925706</x:v>
      </x:c>
      <x:c r="BN513" s="64" t="n">
        <x:f>-ROUND(AK513*'Drivers'!AE513,3)</x:f>
        <x:v>-155.694</x:v>
      </x:c>
      <x:c r="BO513" s="64" t="n">
        <x:f>BL513+BN513</x:f>
        <x:v>220.169</x:v>
      </x:c>
      <x:c r="BP513" s="65" t="n">
        <x:f>BO513/AK513</x:f>
        <x:v>0.12813150168334494</x:v>
      </x:c>
    </x:row>
    <x:row r="514">
      <x:c r="A514" s="61" t="n">
        <x:v>2025</x:v>
      </x:c>
      <x:c r="B514" s="18" t="str">
        <x:v>S1</x:v>
      </x:c>
      <x:c r="C514" s="18" t="str">
        <x:v>2025 S1</x:v>
      </x:c>
      <x:c r="D514" s="18" t="str">
        <x:v>CNCT0129</x:v>
      </x:c>
      <x:c r="E514" s="18" t="str">
        <x:v>青岛金狮广场</x:v>
      </x:c>
      <x:c r="F514" s="18" t="str">
        <x:v>青岛</x:v>
      </x:c>
      <x:c r="G514" s="18" t="str">
        <x:v>山东省</x:v>
      </x:c>
      <x:c r="H514" s="18" t="str">
        <x:v>北区</x:v>
      </x:c>
      <x:c r="I514" s="18" t="str">
        <x:v>Shopping Mall</x:v>
      </x:c>
      <x:c r="J514" s="18" t="str">
        <x:v>Core Shopping Center</x:v>
      </x:c>
      <x:c r="K514" s="18" t="str">
        <x:v>正常</x:v>
      </x:c>
      <x:c r="L514" s="62" t="n">
        <x:v>4</x:v>
      </x:c>
      <x:c r="M514" s="62" t="n">
        <x:v>34</x:v>
      </x:c>
      <x:c r="N514" s="63" t="n">
        <x:f>'Drivers'!C514</x:f>
        <x:v>1609</x:v>
      </x:c>
      <x:c r="O514" s="63" t="n">
        <x:f>'Drivers'!D514</x:f>
        <x:v>1048.195</x:v>
      </x:c>
      <x:c r="P514" s="64" t="n">
        <x:f>ROUND(N514*O514/1000,3)</x:f>
        <x:v>1686.546</x:v>
      </x:c>
      <x:c r="Q514" s="64" t="n">
        <x:f>ROUND(P514*'Drivers'!E514,3)</x:f>
        <x:v>1640.67</x:v>
      </x:c>
      <x:c r="R514" s="64" t="n">
        <x:f>-ROUND(Q514*'Drivers'!F514,3)</x:f>
        <x:v>-296.265</x:v>
      </x:c>
      <x:c r="S514" s="65" t="n">
        <x:f>R514/Q514</x:f>
        <x:v>-0.1805756184973212</x:v>
      </x:c>
      <x:c r="T514" s="64" t="n">
        <x:f>-ROUND(Q514*'Drivers'!G514,3)</x:f>
        <x:v>-30.151</x:v>
      </x:c>
      <x:c r="U514" s="65" t="n">
        <x:f>T514/Q514</x:f>
        <x:v>-0.018377248319284195</x:v>
      </x:c>
      <x:c r="V514" s="64" t="n">
        <x:f>-ROUND(Q514*'Drivers'!H514,3)</x:f>
        <x:v>-17.003</x:v>
      </x:c>
      <x:c r="W514" s="64" t="n">
        <x:f>-ROUND(Q514*'Drivers'!I514,3)</x:f>
        <x:v>-10.741</x:v>
      </x:c>
      <x:c r="X514" s="64" t="n">
        <x:f>-ROUND(Q514*'Drivers'!J514,3)</x:f>
        <x:v>-25.551</x:v>
      </x:c>
      <x:c r="Y514" s="64" t="n">
        <x:f>-ROUND(Q514*'Drivers'!K514,3)</x:f>
        <x:v>-19.52</x:v>
      </x:c>
      <x:c r="Z514" s="64" t="n">
        <x:f>-ROUND(Q514*'Drivers'!L514,3)</x:f>
        <x:v>-19.004</x:v>
      </x:c>
      <x:c r="AA514" s="64" t="n">
        <x:f>-ROUND(Q514*'Drivers'!M514,3)</x:f>
        <x:v>-15.199</x:v>
      </x:c>
      <x:c r="AB514" s="64" t="n">
        <x:f>-ROUND(Q514*'Drivers'!N514,3)</x:f>
        <x:v>-9.924</x:v>
      </x:c>
      <x:c r="AC514" s="64" t="n">
        <x:f>SUM(V514:AB514)</x:f>
        <x:v>-116.94200000000001</x:v>
      </x:c>
      <x:c r="AD514" s="65" t="n">
        <x:f>AC514/Q514</x:f>
        <x:v>-0.07127697830764261</x:v>
      </x:c>
      <x:c r="AE514" s="64" t="n">
        <x:f>-ROUND(Q514*'Drivers'!O514,3)</x:f>
        <x:v>-14.58</x:v>
      </x:c>
      <x:c r="AF514" s="65" t="n">
        <x:f>AE514/Q514</x:f>
        <x:v>-0.008886613395746859</x:v>
      </x:c>
      <x:c r="AG514" s="64" t="n">
        <x:f>-ROUND(Q514*'Drivers'!P514,3)</x:f>
        <x:v>-1.033</x:v>
      </x:c>
      <x:c r="AH514" s="64" t="n">
        <x:f>-ROUND(Q514*'Drivers'!Q514,3)</x:f>
        <x:v>-9.147</x:v>
      </x:c>
      <x:c r="AI514" s="64" t="n">
        <x:f>SUM(R514,T514,AC514,AE514,AG514,AH514)</x:f>
        <x:v>-468.118</x:v>
      </x:c>
      <x:c r="AJ514" s="65" t="n">
        <x:f>AI514/Q514</x:f>
        <x:v>-0.28532124071263565</x:v>
      </x:c>
      <x:c r="AK514" s="64" t="n">
        <x:f>Q514+AI514</x:f>
        <x:v>1172.5520000000001</x:v>
      </x:c>
      <x:c r="AL514" s="65" t="n">
        <x:f>AK514/Q514</x:f>
        <x:v>0.7146787592873644</x:v>
      </x:c>
      <x:c r="AM514" s="64" t="n">
        <x:f>AK514/L514</x:f>
        <x:v>293.13800000000003</x:v>
      </x:c>
      <x:c r="AN514" s="66" t="str">
        <x:f>IF(AM514&lt;=200,"≤200K",IF(AM514&lt;=350,"200–350K",IF(AM514&lt;=500,"350–500K",IF(AM514&lt;=700,"500–700K","&gt;700K"))))</x:f>
        <x:v>200–350K</x:v>
      </x:c>
      <x:c r="AO514" s="64" t="n">
        <x:f>-ROUND(Q514*'Drivers'!R514,3)</x:f>
        <x:v>-622.259</x:v>
      </x:c>
      <x:c r="AP514" s="64" t="n">
        <x:f>-ROUND(AK514*'Drivers'!S514,3)</x:f>
        <x:v>-16.266</x:v>
      </x:c>
      <x:c r="AQ514" s="64" t="n">
        <x:f>-ROUND(AK514*'Drivers'!T514,3)</x:f>
        <x:v>-6.199</x:v>
      </x:c>
      <x:c r="AR514" s="64" t="n">
        <x:f>-ROUND(AK514*'Drivers'!U514,3)</x:f>
        <x:v>-8.096</x:v>
      </x:c>
      <x:c r="AS514" s="64" t="n">
        <x:f>-ROUND(AK514*'Drivers'!V514,3)</x:f>
        <x:v>-41.842</x:v>
      </x:c>
      <x:c r="AT514" s="64" t="n">
        <x:f>SUM(AO514:AS514)</x:f>
        <x:v>-694.6619999999999</x:v>
      </x:c>
      <x:c r="AU514" s="65" t="n">
        <x:f>AT514/AK514</x:f>
        <x:v>-0.5924359857814406</x:v>
      </x:c>
      <x:c r="AV514" s="64" t="n">
        <x:f>AK514+AT514</x:f>
        <x:v>477.8900000000002</x:v>
      </x:c>
      <x:c r="AW514" s="65" t="n">
        <x:f>AV514/AK514</x:f>
        <x:v>0.4075640142185593</x:v>
      </x:c>
      <x:c r="AX514" s="64" t="n">
        <x:f>-ROUND(AK514*'Drivers'!W514,3)</x:f>
        <x:v>-15.228</x:v>
      </x:c>
      <x:c r="AY514" s="64" t="n">
        <x:f>-ROUND(AK514*'Drivers'!X514,3)</x:f>
        <x:v>-26.199</x:v>
      </x:c>
      <x:c r="AZ514" s="64" t="n">
        <x:f>-ROUND(AK514*'Drivers'!Y514,3)</x:f>
        <x:v>-22.653</x:v>
      </x:c>
      <x:c r="BA514" s="64" t="n">
        <x:f>-ROUND(AK514*'Drivers'!Z514,3)</x:f>
        <x:v>-6.238</x:v>
      </x:c>
      <x:c r="BB514" s="64" t="n">
        <x:f>-ROUND(AK514*'Drivers'!AA514,3)</x:f>
        <x:v>-8.176</x:v>
      </x:c>
      <x:c r="BC514" s="64" t="n">
        <x:f>SUM(BA514,BB514)</x:f>
        <x:v>-14.414000000000001</x:v>
      </x:c>
      <x:c r="BD514" s="64" t="n">
        <x:f>-ROUND(AK514*'Drivers'!AB514,3)</x:f>
        <x:v>-4.977</x:v>
      </x:c>
      <x:c r="BE514" s="64" t="n">
        <x:f>SUM(AX514:BB514,BD514)</x:f>
        <x:v>-83.471</x:v>
      </x:c>
      <x:c r="BF514" s="67" t="n">
        <x:f>'Drivers'!AF514</x:f>
        <x:v>8</x:v>
      </x:c>
      <x:c r="BG514" s="64" t="n">
        <x:f>BJ514</x:f>
        <x:v>-27.572</x:v>
      </x:c>
      <x:c r="BH514" s="64" t="n">
        <x:f>BE514/BF514</x:f>
        <x:v>-10.433875</x:v>
      </x:c>
      <x:c r="BI514" s="68" t="n">
        <x:f>BF514/L514</x:f>
        <x:v>2</x:v>
      </x:c>
      <x:c r="BJ514" s="64" t="n">
        <x:f>-ROUND(AK514*'Drivers'!AC514,3)</x:f>
        <x:v>-27.572</x:v>
      </x:c>
      <x:c r="BK514" s="64" t="n">
        <x:f>-ROUND(AK514*'Drivers'!AD514,3)</x:f>
        <x:v>-103.89</x:v>
      </x:c>
      <x:c r="BL514" s="64" t="n">
        <x:f>SUM(AV514,BE514,BJ514,BK514)</x:f>
        <x:v>262.9570000000002</x:v>
      </x:c>
      <x:c r="BM514" s="65" t="n">
        <x:f>BL514/AK514</x:f>
        <x:v>0.22426041659559678</x:v>
      </x:c>
      <x:c r="BN514" s="64" t="n">
        <x:f>-ROUND(AK514*'Drivers'!AE514,3)</x:f>
        <x:v>-108.012</x:v>
      </x:c>
      <x:c r="BO514" s="64" t="n">
        <x:f>BL514+BN514</x:f>
        <x:v>154.94500000000022</x:v>
      </x:c>
      <x:c r="BP514" s="65" t="n">
        <x:f>BO514/AK514</x:f>
        <x:v>0.13214339321411775</x:v>
      </x:c>
    </x:row>
    <x:row r="515">
      <x:c r="A515" s="61" t="n">
        <x:v>2025</x:v>
      </x:c>
      <x:c r="B515" s="18" t="str">
        <x:v>S2</x:v>
      </x:c>
      <x:c r="C515" s="18" t="str">
        <x:v>2025 S2</x:v>
      </x:c>
      <x:c r="D515" s="18" t="str">
        <x:v>CNCT0129</x:v>
      </x:c>
      <x:c r="E515" s="18" t="str">
        <x:v>青岛金狮广场</x:v>
      </x:c>
      <x:c r="F515" s="18" t="str">
        <x:v>青岛</x:v>
      </x:c>
      <x:c r="G515" s="18" t="str">
        <x:v>山东省</x:v>
      </x:c>
      <x:c r="H515" s="18" t="str">
        <x:v>北区</x:v>
      </x:c>
      <x:c r="I515" s="18" t="str">
        <x:v>Shopping Mall</x:v>
      </x:c>
      <x:c r="J515" s="18" t="str">
        <x:v>Core Shopping Center</x:v>
      </x:c>
      <x:c r="K515" s="18" t="str">
        <x:v>正常</x:v>
      </x:c>
      <x:c r="L515" s="62" t="n">
        <x:v>4</x:v>
      </x:c>
      <x:c r="M515" s="62" t="n">
        <x:v>34</x:v>
      </x:c>
      <x:c r="N515" s="63" t="n">
        <x:f>'Drivers'!C515</x:f>
        <x:v>1763</x:v>
      </x:c>
      <x:c r="O515" s="63" t="n">
        <x:f>'Drivers'!D515</x:f>
        <x:v>1060.774</x:v>
      </x:c>
      <x:c r="P515" s="64" t="n">
        <x:f>ROUND(N515*O515/1000,3)</x:f>
        <x:v>1870.145</x:v>
      </x:c>
      <x:c r="Q515" s="64" t="n">
        <x:f>ROUND(P515*'Drivers'!E515,3)</x:f>
        <x:v>1828.776</x:v>
      </x:c>
      <x:c r="R515" s="64" t="n">
        <x:f>-ROUND(Q515*'Drivers'!F515,3)</x:f>
        <x:v>-330.232</x:v>
      </x:c>
      <x:c r="S515" s="65" t="n">
        <x:f>R515/Q515</x:f>
        <x:v>-0.18057542312453795</x:v>
      </x:c>
      <x:c r="T515" s="64" t="n">
        <x:f>-ROUND(Q515*'Drivers'!G515,3)</x:f>
        <x:v>-33.607</x:v>
      </x:c>
      <x:c r="U515" s="65" t="n">
        <x:f>T515/Q515</x:f>
        <x:v>-0.018376772223607483</x:v>
      </x:c>
      <x:c r="V515" s="64" t="n">
        <x:f>-ROUND(Q515*'Drivers'!H515,3)</x:f>
        <x:v>-18.952</x:v>
      </x:c>
      <x:c r="W515" s="64" t="n">
        <x:f>-ROUND(Q515*'Drivers'!I515,3)</x:f>
        <x:v>-11.972</x:v>
      </x:c>
      <x:c r="X515" s="64" t="n">
        <x:f>-ROUND(Q515*'Drivers'!J515,3)</x:f>
        <x:v>-28.481</x:v>
      </x:c>
      <x:c r="Y515" s="64" t="n">
        <x:f>-ROUND(Q515*'Drivers'!K515,3)</x:f>
        <x:v>-21.758</x:v>
      </x:c>
      <x:c r="Z515" s="64" t="n">
        <x:f>-ROUND(Q515*'Drivers'!L515,3)</x:f>
        <x:v>-21.183</x:v>
      </x:c>
      <x:c r="AA515" s="64" t="n">
        <x:f>-ROUND(Q515*'Drivers'!M515,3)</x:f>
        <x:v>-16.941</x:v>
      </x:c>
      <x:c r="AB515" s="64" t="n">
        <x:f>-ROUND(Q515*'Drivers'!N515,3)</x:f>
        <x:v>-11.062</x:v>
      </x:c>
      <x:c r="AC515" s="64" t="n">
        <x:f>SUM(V515:AB515)</x:f>
        <x:v>-130.34900000000002</x:v>
      </x:c>
      <x:c r="AD515" s="65" t="n">
        <x:f>AC515/Q515</x:f>
        <x:v>-0.07127663530142567</x:v>
      </x:c>
      <x:c r="AE515" s="64" t="n">
        <x:f>-ROUND(Q515*'Drivers'!O515,3)</x:f>
        <x:v>-16.251</x:v>
      </x:c>
      <x:c r="AF515" s="65" t="n">
        <x:f>AE515/Q515</x:f>
        <x:v>-0.008886271473378915</x:v>
      </x:c>
      <x:c r="AG515" s="64" t="n">
        <x:f>-ROUND(Q515*'Drivers'!P515,3)</x:f>
        <x:v>-1.151</x:v>
      </x:c>
      <x:c r="AH515" s="64" t="n">
        <x:f>-ROUND(Q515*'Drivers'!Q515,3)</x:f>
        <x:v>-10.196</x:v>
      </x:c>
      <x:c r="AI515" s="64" t="n">
        <x:f>SUM(R515,T515,AC515,AE515,AG515,AH515)</x:f>
        <x:v>-521.7860000000001</x:v>
      </x:c>
      <x:c r="AJ515" s="65" t="n">
        <x:f>AI515/Q515</x:f>
        <x:v>-0.2853197985975319</x:v>
      </x:c>
      <x:c r="AK515" s="64" t="n">
        <x:f>Q515+AI515</x:f>
        <x:v>1306.99</x:v>
      </x:c>
      <x:c r="AL515" s="65" t="n">
        <x:f>AK515/Q515</x:f>
        <x:v>0.7146802014024681</x:v>
      </x:c>
      <x:c r="AM515" s="64" t="n">
        <x:f>AK515/L515</x:f>
        <x:v>326.7475</x:v>
      </x:c>
      <x:c r="AN515" s="66" t="str">
        <x:f>IF(AM515&lt;=200,"≤200K",IF(AM515&lt;=350,"200–350K",IF(AM515&lt;=500,"350–500K",IF(AM515&lt;=700,"500–700K","&gt;700K"))))</x:f>
        <x:v>200–350K</x:v>
      </x:c>
      <x:c r="AO515" s="64" t="n">
        <x:f>-ROUND(Q515*'Drivers'!R515,3)</x:f>
        <x:v>-705.986</x:v>
      </x:c>
      <x:c r="AP515" s="64" t="n">
        <x:f>-ROUND(AK515*'Drivers'!S515,3)</x:f>
        <x:v>-18.131</x:v>
      </x:c>
      <x:c r="AQ515" s="64" t="n">
        <x:f>-ROUND(AK515*'Drivers'!T515,3)</x:f>
        <x:v>-6.91</x:v>
      </x:c>
      <x:c r="AR515" s="64" t="n">
        <x:f>-ROUND(AK515*'Drivers'!U515,3)</x:f>
        <x:v>-9.024</x:v>
      </x:c>
      <x:c r="AS515" s="64" t="n">
        <x:f>-ROUND(AK515*'Drivers'!V515,3)</x:f>
        <x:v>-46.64</x:v>
      </x:c>
      <x:c r="AT515" s="64" t="n">
        <x:f>SUM(AO515:AS515)</x:f>
        <x:v>-786.6909999999999</x:v>
      </x:c>
      <x:c r="AU515" s="65" t="n">
        <x:f>AT515/AK515</x:f>
        <x:v>-0.6019104966373117</x:v>
      </x:c>
      <x:c r="AV515" s="64" t="n">
        <x:f>AK515+AT515</x:f>
        <x:v>520.2990000000001</x:v>
      </x:c>
      <x:c r="AW515" s="65" t="n">
        <x:f>AV515/AK515</x:f>
        <x:v>0.3980895033626884</x:v>
      </x:c>
      <x:c r="AX515" s="64" t="n">
        <x:f>-ROUND(AK515*'Drivers'!W515,3)</x:f>
        <x:v>-16.974</x:v>
      </x:c>
      <x:c r="AY515" s="64" t="n">
        <x:f>-ROUND(AK515*'Drivers'!X515,3)</x:f>
        <x:v>-29.202</x:v>
      </x:c>
      <x:c r="AZ515" s="64" t="n">
        <x:f>-ROUND(AK515*'Drivers'!Y515,3)</x:f>
        <x:v>-25.25</x:v>
      </x:c>
      <x:c r="BA515" s="64" t="n">
        <x:f>-ROUND(AK515*'Drivers'!Z515,3)</x:f>
        <x:v>-6.953</x:v>
      </x:c>
      <x:c r="BB515" s="64" t="n">
        <x:f>-ROUND(AK515*'Drivers'!AA515,3)</x:f>
        <x:v>-9.114</x:v>
      </x:c>
      <x:c r="BC515" s="64" t="n">
        <x:f>SUM(BA515,BB515)</x:f>
        <x:v>-16.067</x:v>
      </x:c>
      <x:c r="BD515" s="64" t="n">
        <x:f>-ROUND(AK515*'Drivers'!AB515,3)</x:f>
        <x:v>-5.548</x:v>
      </x:c>
      <x:c r="BE515" s="64" t="n">
        <x:f>SUM(AX515:BB515,BD515)</x:f>
        <x:v>-93.04100000000001</x:v>
      </x:c>
      <x:c r="BF515" s="67" t="n">
        <x:f>'Drivers'!AF515</x:f>
        <x:v>8</x:v>
      </x:c>
      <x:c r="BG515" s="64" t="n">
        <x:f>BJ515</x:f>
        <x:v>-30.733</x:v>
      </x:c>
      <x:c r="BH515" s="64" t="n">
        <x:f>BE515/BF515</x:f>
        <x:v>-11.630125000000001</x:v>
      </x:c>
      <x:c r="BI515" s="68" t="n">
        <x:f>BF515/L515</x:f>
        <x:v>2</x:v>
      </x:c>
      <x:c r="BJ515" s="64" t="n">
        <x:f>-ROUND(AK515*'Drivers'!AC515,3)</x:f>
        <x:v>-30.733</x:v>
      </x:c>
      <x:c r="BK515" s="64" t="n">
        <x:f>-ROUND(AK515*'Drivers'!AD515,3)</x:f>
        <x:v>-115.802</x:v>
      </x:c>
      <x:c r="BL515" s="64" t="n">
        <x:f>SUM(AV515,BE515,BJ515,BK515)</x:f>
        <x:v>280.72300000000007</x:v>
      </x:c>
      <x:c r="BM515" s="65" t="n">
        <x:f>BL515/AK515</x:f>
        <x:v>0.21478588206489727</x:v>
      </x:c>
      <x:c r="BN515" s="64" t="n">
        <x:f>-ROUND(AK515*'Drivers'!AE515,3)</x:f>
        <x:v>-120.396</x:v>
      </x:c>
      <x:c r="BO515" s="64" t="n">
        <x:f>BL515+BN515</x:f>
        <x:v>160.32700000000006</x:v>
      </x:c>
      <x:c r="BP515" s="65" t="n">
        <x:f>BO515/AK515</x:f>
        <x:v>0.1226688804045938</x:v>
      </x:c>
    </x:row>
    <x:row r="516">
      <x:c r="A516" s="61" t="n">
        <x:v>2026</x:v>
      </x:c>
      <x:c r="B516" s="18" t="str">
        <x:v>S1</x:v>
      </x:c>
      <x:c r="C516" s="18" t="str">
        <x:v>2026 S1</x:v>
      </x:c>
      <x:c r="D516" s="18" t="str">
        <x:v>CNCT0129</x:v>
      </x:c>
      <x:c r="E516" s="18" t="str">
        <x:v>青岛金狮广场</x:v>
      </x:c>
      <x:c r="F516" s="18" t="str">
        <x:v>青岛</x:v>
      </x:c>
      <x:c r="G516" s="18" t="str">
        <x:v>山东省</x:v>
      </x:c>
      <x:c r="H516" s="18" t="str">
        <x:v>北区</x:v>
      </x:c>
      <x:c r="I516" s="18" t="str">
        <x:v>Shopping Mall</x:v>
      </x:c>
      <x:c r="J516" s="18" t="str">
        <x:v>Core Shopping Center</x:v>
      </x:c>
      <x:c r="K516" s="18" t="str">
        <x:v>正常</x:v>
      </x:c>
      <x:c r="L516" s="62" t="n">
        <x:v>4</x:v>
      </x:c>
      <x:c r="M516" s="62" t="n">
        <x:v>34</x:v>
      </x:c>
      <x:c r="N516" s="63" t="n">
        <x:f>'Drivers'!C516</x:f>
        <x:v>1662</x:v>
      </x:c>
      <x:c r="O516" s="63" t="n">
        <x:f>'Drivers'!D516</x:f>
        <x:v>1093.962</x:v>
      </x:c>
      <x:c r="P516" s="64" t="n">
        <x:f>ROUND(N516*O516/1000,3)</x:f>
        <x:v>1818.165</x:v>
      </x:c>
      <x:c r="Q516" s="64" t="n">
        <x:f>ROUND(P516*'Drivers'!E516,3)</x:f>
        <x:v>1772.702</x:v>
      </x:c>
      <x:c r="R516" s="64" t="n">
        <x:f>-ROUND(Q516*'Drivers'!F516,3)</x:f>
        <x:v>-326.609</x:v>
      </x:c>
      <x:c r="S516" s="65" t="n">
        <x:f>R516/Q516</x:f>
        <x:v>-0.1842436010113375</x:v>
      </x:c>
      <x:c r="T516" s="64" t="n">
        <x:f>-ROUND(Q516*'Drivers'!G516,3)</x:f>
        <x:v>-34.632</x:v>
      </x:c>
      <x:c r="U516" s="65" t="n">
        <x:f>T516/Q516</x:f>
        <x:v>-0.019536278517201425</x:v>
      </x:c>
      <x:c r="V516" s="64" t="n">
        <x:f>-ROUND(Q516*'Drivers'!H516,3)</x:f>
        <x:v>-18.371</x:v>
      </x:c>
      <x:c r="W516" s="64" t="n">
        <x:f>-ROUND(Q516*'Drivers'!I516,3)</x:f>
        <x:v>-11.605</x:v>
      </x:c>
      <x:c r="X516" s="64" t="n">
        <x:f>-ROUND(Q516*'Drivers'!J516,3)</x:f>
        <x:v>-27.607</x:v>
      </x:c>
      <x:c r="Y516" s="64" t="n">
        <x:f>-ROUND(Q516*'Drivers'!K516,3)</x:f>
        <x:v>-21.091</x:v>
      </x:c>
      <x:c r="Z516" s="64" t="n">
        <x:f>-ROUND(Q516*'Drivers'!L516,3)</x:f>
        <x:v>-20.533</x:v>
      </x:c>
      <x:c r="AA516" s="64" t="n">
        <x:f>-ROUND(Q516*'Drivers'!M516,3)</x:f>
        <x:v>-16.422</x:v>
      </x:c>
      <x:c r="AB516" s="64" t="n">
        <x:f>-ROUND(Q516*'Drivers'!N516,3)</x:f>
        <x:v>-10.723</x:v>
      </x:c>
      <x:c r="AC516" s="64" t="n">
        <x:f>SUM(V516:AB516)</x:f>
        <x:v>-126.352</x:v>
      </x:c>
      <x:c r="AD516" s="65" t="n">
        <x:f>AC516/Q516</x:f>
        <x:v>-0.07127650332656024</x:v>
      </x:c>
      <x:c r="AE516" s="64" t="n">
        <x:f>-ROUND(Q516*'Drivers'!O516,3)</x:f>
        <x:v>-14.691</x:v>
      </x:c>
      <x:c r="AF516" s="65" t="n">
        <x:f>AE516/Q516</x:f>
        <x:v>-0.00828734891707687</x:v>
      </x:c>
      <x:c r="AG516" s="64" t="n">
        <x:f>-ROUND(Q516*'Drivers'!P516,3)</x:f>
        <x:v>-1.116</x:v>
      </x:c>
      <x:c r="AH516" s="64" t="n">
        <x:f>-ROUND(Q516*'Drivers'!Q516,3)</x:f>
        <x:v>-9.883</x:v>
      </x:c>
      <x:c r="AI516" s="64" t="n">
        <x:f>SUM(R516,T516,AC516,AE516,AG516,AH516)</x:f>
        <x:v>-513.2829999999999</x:v>
      </x:c>
      <x:c r="AJ516" s="65" t="n">
        <x:f>AI516/Q516</x:f>
        <x:v>-0.2895483843308125</x:v>
      </x:c>
      <x:c r="AK516" s="64" t="n">
        <x:f>Q516+AI516</x:f>
        <x:v>1259.419</x:v>
      </x:c>
      <x:c r="AL516" s="65" t="n">
        <x:f>AK516/Q516</x:f>
        <x:v>0.7104516156691876</x:v>
      </x:c>
      <x:c r="AM516" s="64" t="n">
        <x:f>AK516/L516</x:f>
        <x:v>314.85475</x:v>
      </x:c>
      <x:c r="AN516" s="66" t="str">
        <x:f>IF(AM516&lt;=200,"≤200K",IF(AM516&lt;=350,"200–350K",IF(AM516&lt;=500,"350–500K",IF(AM516&lt;=700,"500–700K","&gt;700K"))))</x:f>
        <x:v>200–350K</x:v>
      </x:c>
      <x:c r="AO516" s="64" t="n">
        <x:f>-ROUND(Q516*'Drivers'!R516,3)</x:f>
        <x:v>-667.793</x:v>
      </x:c>
      <x:c r="AP516" s="64" t="n">
        <x:f>-ROUND(AK516*'Drivers'!S516,3)</x:f>
        <x:v>-17.471</x:v>
      </x:c>
      <x:c r="AQ516" s="64" t="n">
        <x:f>-ROUND(AK516*'Drivers'!T516,3)</x:f>
        <x:v>-6.658</x:v>
      </x:c>
      <x:c r="AR516" s="64" t="n">
        <x:f>-ROUND(AK516*'Drivers'!U516,3)</x:f>
        <x:v>-8.696</x:v>
      </x:c>
      <x:c r="AS516" s="64" t="n">
        <x:f>-ROUND(AK516*'Drivers'!V516,3)</x:f>
        <x:v>-44.942</x:v>
      </x:c>
      <x:c r="AT516" s="64" t="n">
        <x:f>SUM(AO516:AS516)</x:f>
        <x:v>-745.5600000000001</x:v>
      </x:c>
      <x:c r="AU516" s="65" t="n">
        <x:f>AT516/AK516</x:f>
        <x:v>-0.5919872576164088</x:v>
      </x:c>
      <x:c r="AV516" s="64" t="n">
        <x:f>AK516+AT516</x:f>
        <x:v>513.859</x:v>
      </x:c>
      <x:c r="AW516" s="65" t="n">
        <x:f>AV516/AK516</x:f>
        <x:v>0.40801274238359114</x:v>
      </x:c>
      <x:c r="AX516" s="64" t="n">
        <x:f>-ROUND(AK516*'Drivers'!W516,3)</x:f>
        <x:v>-20.125</x:v>
      </x:c>
      <x:c r="AY516" s="64" t="n">
        <x:f>-ROUND(AK516*'Drivers'!X516,3)</x:f>
        <x:v>-34.624</x:v>
      </x:c>
      <x:c r="AZ516" s="64" t="n">
        <x:f>-ROUND(AK516*'Drivers'!Y516,3)</x:f>
        <x:v>-29.938</x:v>
      </x:c>
      <x:c r="BA516" s="64" t="n">
        <x:f>-ROUND(AK516*'Drivers'!Z516,3)</x:f>
        <x:v>-8.245</x:v>
      </x:c>
      <x:c r="BB516" s="64" t="n">
        <x:f>-ROUND(AK516*'Drivers'!AA516,3)</x:f>
        <x:v>-10.806</x:v>
      </x:c>
      <x:c r="BC516" s="64" t="n">
        <x:f>SUM(BA516,BB516)</x:f>
        <x:v>-19.051</x:v>
      </x:c>
      <x:c r="BD516" s="64" t="n">
        <x:f>-ROUND(AK516*'Drivers'!AB516,3)</x:f>
        <x:v>-6.578</x:v>
      </x:c>
      <x:c r="BE516" s="64" t="n">
        <x:f>SUM(AX516:BB516,BD516)</x:f>
        <x:v>-110.316</x:v>
      </x:c>
      <x:c r="BF516" s="67" t="n">
        <x:f>'Drivers'!AF516</x:f>
        <x:v>8</x:v>
      </x:c>
      <x:c r="BG516" s="64" t="n">
        <x:f>BJ516</x:f>
        <x:v>-36.439</x:v>
      </x:c>
      <x:c r="BH516" s="64" t="n">
        <x:f>BE516/BF516</x:f>
        <x:v>-13.7895</x:v>
      </x:c>
      <x:c r="BI516" s="68" t="n">
        <x:f>BF516/L516</x:f>
        <x:v>2</x:v>
      </x:c>
      <x:c r="BJ516" s="64" t="n">
        <x:f>-ROUND(AK516*'Drivers'!AC516,3)</x:f>
        <x:v>-36.439</x:v>
      </x:c>
      <x:c r="BK516" s="64" t="n">
        <x:f>-ROUND(AK516*'Drivers'!AD516,3)</x:f>
        <x:v>-111.587</x:v>
      </x:c>
      <x:c r="BL516" s="64" t="n">
        <x:f>SUM(AV516,BE516,BJ516,BK516)</x:f>
        <x:v>255.517</x:v>
      </x:c>
      <x:c r="BM516" s="65" t="n">
        <x:f>BL516/AK516</x:f>
        <x:v>0.2028848222871022</x:v>
      </x:c>
      <x:c r="BN516" s="64" t="n">
        <x:f>-ROUND(AK516*'Drivers'!AE516,3)</x:f>
        <x:v>-116.014</x:v>
      </x:c>
      <x:c r="BO516" s="64" t="n">
        <x:f>BL516+BN516</x:f>
        <x:v>139.503</x:v>
      </x:c>
      <x:c r="BP516" s="65" t="n">
        <x:f>BO516/AK516</x:f>
        <x:v>0.11076774290367222</x:v>
      </x:c>
    </x:row>
    <x:row r="517">
      <x:c r="A517" s="61" t="n">
        <x:v>2026</x:v>
      </x:c>
      <x:c r="B517" s="18" t="str">
        <x:v>S2</x:v>
      </x:c>
      <x:c r="C517" s="18" t="str">
        <x:v>2026 S2</x:v>
      </x:c>
      <x:c r="D517" s="18" t="str">
        <x:v>CNCT0129</x:v>
      </x:c>
      <x:c r="E517" s="18" t="str">
        <x:v>青岛金狮广场</x:v>
      </x:c>
      <x:c r="F517" s="18" t="str">
        <x:v>青岛</x:v>
      </x:c>
      <x:c r="G517" s="18" t="str">
        <x:v>山东省</x:v>
      </x:c>
      <x:c r="H517" s="18" t="str">
        <x:v>北区</x:v>
      </x:c>
      <x:c r="I517" s="18" t="str">
        <x:v>Shopping Mall</x:v>
      </x:c>
      <x:c r="J517" s="18" t="str">
        <x:v>Core Shopping Center</x:v>
      </x:c>
      <x:c r="K517" s="18" t="str">
        <x:v>正常</x:v>
      </x:c>
      <x:c r="L517" s="62" t="n">
        <x:v>4</x:v>
      </x:c>
      <x:c r="M517" s="62" t="n">
        <x:v>34</x:v>
      </x:c>
      <x:c r="N517" s="63" t="n">
        <x:f>'Drivers'!C517</x:f>
        <x:v>1840</x:v>
      </x:c>
      <x:c r="O517" s="63" t="n">
        <x:f>'Drivers'!D517</x:f>
        <x:v>1105.991</x:v>
      </x:c>
      <x:c r="P517" s="64" t="n">
        <x:f>ROUND(N517*O517/1000,3)</x:f>
        <x:v>2035.023</x:v>
      </x:c>
      <x:c r="Q517" s="64" t="n">
        <x:f>ROUND(P517*'Drivers'!E517,3)</x:f>
        <x:v>1990.006</x:v>
      </x:c>
      <x:c r="R517" s="64" t="n">
        <x:f>-ROUND(Q517*'Drivers'!F517,3)</x:f>
        <x:v>-352.958</x:v>
      </x:c>
      <x:c r="S517" s="65" t="n">
        <x:f>R517/Q517</x:f>
        <x:v>-0.17736529437599685</x:v>
      </x:c>
      <x:c r="T517" s="64" t="n">
        <x:f>-ROUND(Q517*'Drivers'!G517,3)</x:f>
        <x:v>-38.44</x:v>
      </x:c>
      <x:c r="U517" s="65" t="n">
        <x:f>T517/Q517</x:f>
        <x:v>-0.019316524673794952</x:v>
      </x:c>
      <x:c r="V517" s="64" t="n">
        <x:f>-ROUND(Q517*'Drivers'!H517,3)</x:f>
        <x:v>-20.623</x:v>
      </x:c>
      <x:c r="W517" s="64" t="n">
        <x:f>-ROUND(Q517*'Drivers'!I517,3)</x:f>
        <x:v>-13.028</x:v>
      </x:c>
      <x:c r="X517" s="64" t="n">
        <x:f>-ROUND(Q517*'Drivers'!J517,3)</x:f>
        <x:v>-30.991</x:v>
      </x:c>
      <x:c r="Y517" s="64" t="n">
        <x:f>-ROUND(Q517*'Drivers'!K517,3)</x:f>
        <x:v>-23.677</x:v>
      </x:c>
      <x:c r="Z517" s="64" t="n">
        <x:f>-ROUND(Q517*'Drivers'!L517,3)</x:f>
        <x:v>-23.05</x:v>
      </x:c>
      <x:c r="AA517" s="64" t="n">
        <x:f>-ROUND(Q517*'Drivers'!M517,3)</x:f>
        <x:v>-18.435</x:v>
      </x:c>
      <x:c r="AB517" s="64" t="n">
        <x:f>-ROUND(Q517*'Drivers'!N517,3)</x:f>
        <x:v>-12.037</x:v>
      </x:c>
      <x:c r="AC517" s="64" t="n">
        <x:f>SUM(V517:AB517)</x:f>
        <x:v>-141.84099999999998</x:v>
      </x:c>
      <x:c r="AD517" s="65" t="n">
        <x:f>AC517/Q517</x:f>
        <x:v>-0.07127666951757933</x:v>
      </x:c>
      <x:c r="AE517" s="64" t="n">
        <x:f>-ROUND(Q517*'Drivers'!O517,3)</x:f>
        <x:v>-17.684</x:v>
      </x:c>
      <x:c r="AF517" s="65" t="n">
        <x:f>AE517/Q517</x:f>
        <x:v>-0.008886405367622007</x:v>
      </x:c>
      <x:c r="AG517" s="64" t="n">
        <x:f>-ROUND(Q517*'Drivers'!P517,3)</x:f>
        <x:v>-1.253</x:v>
      </x:c>
      <x:c r="AH517" s="64" t="n">
        <x:f>-ROUND(Q517*'Drivers'!Q517,3)</x:f>
        <x:v>-11.095</x:v>
      </x:c>
      <x:c r="AI517" s="64" t="n">
        <x:f>SUM(R517,T517,AC517,AE517,AG517,AH517)</x:f>
        <x:v>-563.2710000000001</x:v>
      </x:c>
      <x:c r="AJ517" s="65" t="n">
        <x:f>AI517/Q517</x:f>
        <x:v>-0.2830499003520593</x:v>
      </x:c>
      <x:c r="AK517" s="64" t="n">
        <x:f>Q517+AI517</x:f>
        <x:v>1426.7350000000001</x:v>
      </x:c>
      <x:c r="AL517" s="65" t="n">
        <x:f>AK517/Q517</x:f>
        <x:v>0.7169500996479408</x:v>
      </x:c>
      <x:c r="AM517" s="64" t="n">
        <x:f>AK517/L517</x:f>
        <x:v>356.68375000000003</x:v>
      </x:c>
      <x:c r="AN517" s="66" t="str">
        <x:f>IF(AM517&lt;=200,"≤200K",IF(AM517&lt;=350,"200–350K",IF(AM517&lt;=500,"350–500K",IF(AM517&lt;=700,"500–700K","&gt;700K"))))</x:f>
        <x:v>350–500K</x:v>
      </x:c>
      <x:c r="AO517" s="64" t="n">
        <x:f>-ROUND(Q517*'Drivers'!R517,3)</x:f>
        <x:v>-765.707</x:v>
      </x:c>
      <x:c r="AP517" s="64" t="n">
        <x:f>-ROUND(AK517*'Drivers'!S517,3)</x:f>
        <x:v>-19.792</x:v>
      </x:c>
      <x:c r="AQ517" s="64" t="n">
        <x:f>-ROUND(AK517*'Drivers'!T517,3)</x:f>
        <x:v>-7.543</x:v>
      </x:c>
      <x:c r="AR517" s="64" t="n">
        <x:f>-ROUND(AK517*'Drivers'!U517,3)</x:f>
        <x:v>-9.851</x:v>
      </x:c>
      <x:c r="AS517" s="64" t="n">
        <x:f>-ROUND(AK517*'Drivers'!V517,3)</x:f>
        <x:v>-50.913</x:v>
      </x:c>
      <x:c r="AT517" s="64" t="n">
        <x:f>SUM(AO517:AS517)</x:f>
        <x:v>-853.806</x:v>
      </x:c>
      <x:c r="AU517" s="65" t="n">
        <x:f>AT517/AK517</x:f>
        <x:v>-0.5984334862465699</x:v>
      </x:c>
      <x:c r="AV517" s="64" t="n">
        <x:f>AK517+AT517</x:f>
        <x:v>572.9290000000001</x:v>
      </x:c>
      <x:c r="AW517" s="65" t="n">
        <x:f>AV517/AK517</x:f>
        <x:v>0.40156651375343005</x:v>
      </x:c>
      <x:c r="AX517" s="64" t="n">
        <x:f>-ROUND(AK517*'Drivers'!W517,3)</x:f>
        <x:v>-19.641</x:v>
      </x:c>
      <x:c r="AY517" s="64" t="n">
        <x:f>-ROUND(AK517*'Drivers'!X517,3)</x:f>
        <x:v>-33.79</x:v>
      </x:c>
      <x:c r="AZ517" s="64" t="n">
        <x:f>-ROUND(AK517*'Drivers'!Y517,3)</x:f>
        <x:v>-29.217</x:v>
      </x:c>
      <x:c r="BA517" s="64" t="n">
        <x:f>-ROUND(AK517*'Drivers'!Z517,3)</x:f>
        <x:v>-8.046</x:v>
      </x:c>
      <x:c r="BB517" s="64" t="n">
        <x:f>-ROUND(AK517*'Drivers'!AA517,3)</x:f>
        <x:v>-10.545</x:v>
      </x:c>
      <x:c r="BC517" s="64" t="n">
        <x:f>SUM(BA517,BB517)</x:f>
        <x:v>-18.591</x:v>
      </x:c>
      <x:c r="BD517" s="64" t="n">
        <x:f>-ROUND(AK517*'Drivers'!AB517,3)</x:f>
        <x:v>-6.42</x:v>
      </x:c>
      <x:c r="BE517" s="64" t="n">
        <x:f>SUM(AX517:BB517,BD517)</x:f>
        <x:v>-107.65899999999999</x:v>
      </x:c>
      <x:c r="BF517" s="67" t="n">
        <x:f>'Drivers'!AF517</x:f>
        <x:v>8</x:v>
      </x:c>
      <x:c r="BG517" s="64" t="n">
        <x:f>BJ517</x:f>
        <x:v>-35.562</x:v>
      </x:c>
      <x:c r="BH517" s="64" t="n">
        <x:f>BE517/BF517</x:f>
        <x:v>-13.457374999999999</x:v>
      </x:c>
      <x:c r="BI517" s="68" t="n">
        <x:f>BF517/L517</x:f>
        <x:v>2</x:v>
      </x:c>
      <x:c r="BJ517" s="64" t="n">
        <x:f>-ROUND(AK517*'Drivers'!AC517,3)</x:f>
        <x:v>-35.562</x:v>
      </x:c>
      <x:c r="BK517" s="64" t="n">
        <x:f>-ROUND(AK517*'Drivers'!AD517,3)</x:f>
        <x:v>-126.412</x:v>
      </x:c>
      <x:c r="BL517" s="64" t="n">
        <x:f>SUM(AV517,BE517,BJ517,BK517)</x:f>
        <x:v>303.29600000000005</x:v>
      </x:c>
      <x:c r="BM517" s="65" t="n">
        <x:f>BL517/AK517</x:f>
        <x:v>0.21258047219700926</x:v>
      </x:c>
      <x:c r="BN517" s="64" t="n">
        <x:f>-ROUND(AK517*'Drivers'!AE517,3)</x:f>
        <x:v>-131.426</x:v>
      </x:c>
      <x:c r="BO517" s="64" t="n">
        <x:f>BL517+BN517</x:f>
        <x:v>171.87000000000006</x:v>
      </x:c>
      <x:c r="BP517" s="65" t="n">
        <x:f>BO517/AK517</x:f>
        <x:v>0.1204638562872573</x:v>
      </x:c>
    </x:row>
    <x:row r="518">
      <x:c r="A518" s="61" t="n">
        <x:v>2025</x:v>
      </x:c>
      <x:c r="B518" s="18" t="str">
        <x:v>S1</x:v>
      </x:c>
      <x:c r="C518" s="18" t="str">
        <x:v>2025 S1</x:v>
      </x:c>
      <x:c r="D518" s="18" t="str">
        <x:v>CNCT0130</x:v>
      </x:c>
      <x:c r="E518" s="18" t="str">
        <x:v>青岛丽达购物中心</x:v>
      </x:c>
      <x:c r="F518" s="18" t="str">
        <x:v>青岛</x:v>
      </x:c>
      <x:c r="G518" s="18" t="str">
        <x:v>山东省</x:v>
      </x:c>
      <x:c r="H518" s="18" t="str">
        <x:v>北区</x:v>
      </x:c>
      <x:c r="I518" s="18" t="str">
        <x:v>Shopping Mall</x:v>
      </x:c>
      <x:c r="J518" s="18" t="str">
        <x:v>Core Shopping Center</x:v>
      </x:c>
      <x:c r="K518" s="18" t="str">
        <x:v>正常</x:v>
      </x:c>
      <x:c r="L518" s="62" t="n">
        <x:v>3</x:v>
      </x:c>
      <x:c r="M518" s="62" t="n">
        <x:v>34</x:v>
      </x:c>
      <x:c r="N518" s="63" t="n">
        <x:f>'Drivers'!C518</x:f>
        <x:v>1330</x:v>
      </x:c>
      <x:c r="O518" s="63" t="n">
        <x:f>'Drivers'!D518</x:f>
        <x:v>1088.717</x:v>
      </x:c>
      <x:c r="P518" s="64" t="n">
        <x:f>ROUND(N518*O518/1000,3)</x:f>
        <x:v>1447.994</x:v>
      </x:c>
      <x:c r="Q518" s="64" t="n">
        <x:f>ROUND(P518*'Drivers'!E518,3)</x:f>
        <x:v>1424.757</x:v>
      </x:c>
      <x:c r="R518" s="64" t="n">
        <x:f>-ROUND(Q518*'Drivers'!F518,3)</x:f>
        <x:v>-304.504</x:v>
      </x:c>
      <x:c r="S518" s="65" t="n">
        <x:f>R518/Q518</x:f>
        <x:v>-0.21372346301860598</x:v>
      </x:c>
      <x:c r="T518" s="64" t="n">
        <x:f>-ROUND(Q518*'Drivers'!G518,3)</x:f>
        <x:v>-27.932</x:v>
      </x:c>
      <x:c r="U518" s="65" t="n">
        <x:f>T518/Q518</x:f>
        <x:v>-0.019604746633987407</x:v>
      </x:c>
      <x:c r="V518" s="64" t="n">
        <x:f>-ROUND(Q518*'Drivers'!H518,3)</x:f>
        <x:v>-10.603</x:v>
      </x:c>
      <x:c r="W518" s="64" t="n">
        <x:f>-ROUND(Q518*'Drivers'!I518,3)</x:f>
        <x:v>-8.249</x:v>
      </x:c>
      <x:c r="X518" s="64" t="n">
        <x:f>-ROUND(Q518*'Drivers'!J518,3)</x:f>
        <x:v>-23.118</x:v>
      </x:c>
      <x:c r="Y518" s="64" t="n">
        <x:f>-ROUND(Q518*'Drivers'!K518,3)</x:f>
        <x:v>-17.693</x:v>
      </x:c>
      <x:c r="Z518" s="64" t="n">
        <x:f>-ROUND(Q518*'Drivers'!L518,3)</x:f>
        <x:v>-12.058</x:v>
      </x:c>
      <x:c r="AA518" s="64" t="n">
        <x:f>-ROUND(Q518*'Drivers'!M518,3)</x:f>
        <x:v>-8.937</x:v>
      </x:c>
      <x:c r="AB518" s="64" t="n">
        <x:f>-ROUND(Q518*'Drivers'!N518,3)</x:f>
        <x:v>-7.894</x:v>
      </x:c>
      <x:c r="AC518" s="64" t="n">
        <x:f>SUM(V518:AB518)</x:f>
        <x:v>-88.552</x:v>
      </x:c>
      <x:c r="AD518" s="65" t="n">
        <x:f>AC518/Q518</x:f>
        <x:v>-0.06215235299773927</x:v>
      </x:c>
      <x:c r="AE518" s="64" t="n">
        <x:f>-ROUND(Q518*'Drivers'!O518,3)</x:f>
        <x:v>-15.003</x:v>
      </x:c>
      <x:c r="AF518" s="65" t="n">
        <x:f>AE518/Q518</x:f>
        <x:v>-0.0105302167316953</x:v>
      </x:c>
      <x:c r="AG518" s="64" t="n">
        <x:f>-ROUND(Q518*'Drivers'!P518,3)</x:f>
        <x:v>-3.095</x:v>
      </x:c>
      <x:c r="AH518" s="64" t="n">
        <x:f>-ROUND(Q518*'Drivers'!Q518,3)</x:f>
        <x:v>-8.322</x:v>
      </x:c>
      <x:c r="AI518" s="64" t="n">
        <x:f>SUM(R518,T518,AC518,AE518,AG518,AH518)</x:f>
        <x:v>-447.4080000000001</x:v>
      </x:c>
      <x:c r="AJ518" s="65" t="n">
        <x:f>AI518/Q518</x:f>
        <x:v>-0.3140240756844852</x:v>
      </x:c>
      <x:c r="AK518" s="64" t="n">
        <x:f>Q518+AI518</x:f>
        <x:v>977.3489999999999</x:v>
      </x:c>
      <x:c r="AL518" s="65" t="n">
        <x:f>AK518/Q518</x:f>
        <x:v>0.6859759243155148</x:v>
      </x:c>
      <x:c r="AM518" s="64" t="n">
        <x:f>AK518/L518</x:f>
        <x:v>325.78299999999996</x:v>
      </x:c>
      <x:c r="AN518" s="66" t="str">
        <x:f>IF(AM518&lt;=200,"≤200K",IF(AM518&lt;=350,"200–350K",IF(AM518&lt;=500,"350–500K",IF(AM518&lt;=700,"500–700K","&gt;700K"))))</x:f>
        <x:v>200–350K</x:v>
      </x:c>
      <x:c r="AO518" s="64" t="n">
        <x:f>-ROUND(Q518*'Drivers'!R518,3)</x:f>
        <x:v>-519.715</x:v>
      </x:c>
      <x:c r="AP518" s="64" t="n">
        <x:f>-ROUND(AK518*'Drivers'!S518,3)</x:f>
        <x:v>-14.905</x:v>
      </x:c>
      <x:c r="AQ518" s="64" t="n">
        <x:f>-ROUND(AK518*'Drivers'!T518,3)</x:f>
        <x:v>-5.074</x:v>
      </x:c>
      <x:c r="AR518" s="64" t="n">
        <x:f>-ROUND(AK518*'Drivers'!U518,3)</x:f>
        <x:v>-7.813</x:v>
      </x:c>
      <x:c r="AS518" s="64" t="n">
        <x:f>-ROUND(AK518*'Drivers'!V518,3)</x:f>
        <x:v>-34.168</x:v>
      </x:c>
      <x:c r="AT518" s="64" t="n">
        <x:f>SUM(AO518:AS518)</x:f>
        <x:v>-581.675</x:v>
      </x:c>
      <x:c r="AU518" s="65" t="n">
        <x:f>AT518/AK518</x:f>
        <x:v>-0.5951558757414189</x:v>
      </x:c>
      <x:c r="AV518" s="64" t="n">
        <x:f>AK518+AT518</x:f>
        <x:v>395.674</x:v>
      </x:c>
      <x:c r="AW518" s="65" t="n">
        <x:f>AV518/AK518</x:f>
        <x:v>0.40484412425858113</x:v>
      </x:c>
      <x:c r="AX518" s="64" t="n">
        <x:f>-ROUND(AK518*'Drivers'!W518,3)</x:f>
        <x:v>-10.523</x:v>
      </x:c>
      <x:c r="AY518" s="64" t="n">
        <x:f>-ROUND(AK518*'Drivers'!X518,3)</x:f>
        <x:v>-17.007</x:v>
      </x:c>
      <x:c r="AZ518" s="64" t="n">
        <x:f>-ROUND(AK518*'Drivers'!Y518,3)</x:f>
        <x:v>-17.38</x:v>
      </x:c>
      <x:c r="BA518" s="64" t="n">
        <x:f>-ROUND(AK518*'Drivers'!Z518,3)</x:f>
        <x:v>-6.119</x:v>
      </x:c>
      <x:c r="BB518" s="64" t="n">
        <x:f>-ROUND(AK518*'Drivers'!AA518,3)</x:f>
        <x:v>-6.986</x:v>
      </x:c>
      <x:c r="BC518" s="64" t="n">
        <x:f>SUM(BA518,BB518)</x:f>
        <x:v>-13.105</x:v>
      </x:c>
      <x:c r="BD518" s="64" t="n">
        <x:f>-ROUND(AK518*'Drivers'!AB518,3)</x:f>
        <x:v>-5.218</x:v>
      </x:c>
      <x:c r="BE518" s="64" t="n">
        <x:f>SUM(AX518:BB518,BD518)</x:f>
        <x:v>-63.23299999999999</x:v>
      </x:c>
      <x:c r="BF518" s="67" t="n">
        <x:f>'Drivers'!AF518</x:f>
        <x:v>6</x:v>
      </x:c>
      <x:c r="BG518" s="64" t="n">
        <x:f>BJ518</x:f>
        <x:v>-26.861</x:v>
      </x:c>
      <x:c r="BH518" s="64" t="n">
        <x:f>BE518/BF518</x:f>
        <x:v>-10.538833333333331</x:v>
      </x:c>
      <x:c r="BI518" s="68" t="n">
        <x:f>BF518/L518</x:f>
        <x:v>2</x:v>
      </x:c>
      <x:c r="BJ518" s="64" t="n">
        <x:f>-ROUND(AK518*'Drivers'!AC518,3)</x:f>
        <x:v>-26.861</x:v>
      </x:c>
      <x:c r="BK518" s="64" t="n">
        <x:f>-ROUND(AK518*'Drivers'!AD518,3)</x:f>
        <x:v>-81.847</x:v>
      </x:c>
      <x:c r="BL518" s="64" t="n">
        <x:f>SUM(AV518,BE518,BJ518,BK518)</x:f>
        <x:v>223.733</x:v>
      </x:c>
      <x:c r="BM518" s="65" t="n">
        <x:f>BL518/AK518</x:f>
        <x:v>0.2289182267542096</x:v>
      </x:c>
      <x:c r="BN518" s="64" t="n">
        <x:f>-ROUND(AK518*'Drivers'!AE518,3)</x:f>
        <x:v>-67.449</x:v>
      </x:c>
      <x:c r="BO518" s="64" t="n">
        <x:f>BL518+BN518</x:f>
        <x:v>156.284</x:v>
      </x:c>
      <x:c r="BP518" s="65" t="n">
        <x:f>BO518/AK518</x:f>
        <x:v>0.15990603151995858</x:v>
      </x:c>
    </x:row>
    <x:row r="519">
      <x:c r="A519" s="61" t="n">
        <x:v>2025</x:v>
      </x:c>
      <x:c r="B519" s="18" t="str">
        <x:v>S2</x:v>
      </x:c>
      <x:c r="C519" s="18" t="str">
        <x:v>2025 S2</x:v>
      </x:c>
      <x:c r="D519" s="18" t="str">
        <x:v>CNCT0130</x:v>
      </x:c>
      <x:c r="E519" s="18" t="str">
        <x:v>青岛丽达购物中心</x:v>
      </x:c>
      <x:c r="F519" s="18" t="str">
        <x:v>青岛</x:v>
      </x:c>
      <x:c r="G519" s="18" t="str">
        <x:v>山东省</x:v>
      </x:c>
      <x:c r="H519" s="18" t="str">
        <x:v>北区</x:v>
      </x:c>
      <x:c r="I519" s="18" t="str">
        <x:v>Shopping Mall</x:v>
      </x:c>
      <x:c r="J519" s="18" t="str">
        <x:v>Core Shopping Center</x:v>
      </x:c>
      <x:c r="K519" s="18" t="str">
        <x:v>正常</x:v>
      </x:c>
      <x:c r="L519" s="62" t="n">
        <x:v>3</x:v>
      </x:c>
      <x:c r="M519" s="62" t="n">
        <x:v>34</x:v>
      </x:c>
      <x:c r="N519" s="63" t="n">
        <x:f>'Drivers'!C519</x:f>
        <x:v>1397</x:v>
      </x:c>
      <x:c r="O519" s="63" t="n">
        <x:f>'Drivers'!D519</x:f>
        <x:v>1101.782</x:v>
      </x:c>
      <x:c r="P519" s="64" t="n">
        <x:f>ROUND(N519*O519/1000,3)</x:f>
        <x:v>1539.189</x:v>
      </x:c>
      <x:c r="Q519" s="64" t="n">
        <x:f>ROUND(P519*'Drivers'!E519,3)</x:f>
        <x:v>1513.248</x:v>
      </x:c>
      <x:c r="R519" s="64" t="n">
        <x:f>-ROUND(Q519*'Drivers'!F519,3)</x:f>
        <x:v>-323.416</x:v>
      </x:c>
      <x:c r="S519" s="65" t="n">
        <x:f>R519/Q519</x:f>
        <x:v>-0.2137230645604686</x:v>
      </x:c>
      <x:c r="T519" s="64" t="n">
        <x:f>-ROUND(Q519*'Drivers'!G519,3)</x:f>
        <x:v>-29.667</x:v>
      </x:c>
      <x:c r="U519" s="65" t="n">
        <x:f>T519/Q519</x:f>
        <x:v>-0.019604849965108164</x:v>
      </x:c>
      <x:c r="V519" s="64" t="n">
        <x:f>-ROUND(Q519*'Drivers'!H519,3)</x:f>
        <x:v>-11.261</x:v>
      </x:c>
      <x:c r="W519" s="64" t="n">
        <x:f>-ROUND(Q519*'Drivers'!I519,3)</x:f>
        <x:v>-8.761</x:v>
      </x:c>
      <x:c r="X519" s="64" t="n">
        <x:f>-ROUND(Q519*'Drivers'!J519,3)</x:f>
        <x:v>-24.554</x:v>
      </x:c>
      <x:c r="Y519" s="64" t="n">
        <x:f>-ROUND(Q519*'Drivers'!K519,3)</x:f>
        <x:v>-18.792</x:v>
      </x:c>
      <x:c r="Z519" s="64" t="n">
        <x:f>-ROUND(Q519*'Drivers'!L519,3)</x:f>
        <x:v>-12.806</x:v>
      </x:c>
      <x:c r="AA519" s="64" t="n">
        <x:f>-ROUND(Q519*'Drivers'!M519,3)</x:f>
        <x:v>-9.492</x:v>
      </x:c>
      <x:c r="AB519" s="64" t="n">
        <x:f>-ROUND(Q519*'Drivers'!N519,3)</x:f>
        <x:v>-8.384</x:v>
      </x:c>
      <x:c r="AC519" s="64" t="n">
        <x:f>SUM(V519:AB519)</x:f>
        <x:v>-94.05</x:v>
      </x:c>
      <x:c r="AD519" s="65" t="n">
        <x:f>AC519/Q519</x:f>
        <x:v>-0.062151081646894625</x:v>
      </x:c>
      <x:c r="AE519" s="64" t="n">
        <x:f>-ROUND(Q519*'Drivers'!O519,3)</x:f>
        <x:v>-15.935</x:v>
      </x:c>
      <x:c r="AF519" s="65" t="n">
        <x:f>AE519/Q519</x:f>
        <x:v>-0.010530329463511599</x:v>
      </x:c>
      <x:c r="AG519" s="64" t="n">
        <x:f>-ROUND(Q519*'Drivers'!P519,3)</x:f>
        <x:v>-3.288</x:v>
      </x:c>
      <x:c r="AH519" s="64" t="n">
        <x:f>-ROUND(Q519*'Drivers'!Q519,3)</x:f>
        <x:v>-8.839</x:v>
      </x:c>
      <x:c r="AI519" s="64" t="n">
        <x:f>SUM(R519,T519,AC519,AE519,AG519,AH519)</x:f>
        <x:v>-475.195</x:v>
      </x:c>
      <x:c r="AJ519" s="65" t="n">
        <x:f>AI519/Q519</x:f>
        <x:v>-0.3140232136437649</x:v>
      </x:c>
      <x:c r="AK519" s="64" t="n">
        <x:f>Q519+AI519</x:f>
        <x:v>1038.053</x:v>
      </x:c>
      <x:c r="AL519" s="65" t="n">
        <x:f>AK519/Q519</x:f>
        <x:v>0.6859767863562352</x:v>
      </x:c>
      <x:c r="AM519" s="64" t="n">
        <x:f>AK519/L519</x:f>
        <x:v>346.0176666666667</x:v>
      </x:c>
      <x:c r="AN519" s="66" t="str">
        <x:f>IF(AM519&lt;=200,"≤200K",IF(AM519&lt;=350,"200–350K",IF(AM519&lt;=500,"350–500K",IF(AM519&lt;=700,"500–700K","&gt;700K"))))</x:f>
        <x:v>200–350K</x:v>
      </x:c>
      <x:c r="AO519" s="64" t="n">
        <x:f>-ROUND(Q519*'Drivers'!R519,3)</x:f>
        <x:v>-518.82</x:v>
      </x:c>
      <x:c r="AP519" s="64" t="n">
        <x:f>-ROUND(AK519*'Drivers'!S519,3)</x:f>
        <x:v>-15.83</x:v>
      </x:c>
      <x:c r="AQ519" s="64" t="n">
        <x:f>-ROUND(AK519*'Drivers'!T519,3)</x:f>
        <x:v>-5.389</x:v>
      </x:c>
      <x:c r="AR519" s="64" t="n">
        <x:f>-ROUND(AK519*'Drivers'!U519,3)</x:f>
        <x:v>-8.298</x:v>
      </x:c>
      <x:c r="AS519" s="64" t="n">
        <x:f>-ROUND(AK519*'Drivers'!V519,3)</x:f>
        <x:v>-36.29</x:v>
      </x:c>
      <x:c r="AT519" s="64" t="n">
        <x:f>SUM(AO519:AS519)</x:f>
        <x:v>-584.6270000000001</x:v>
      </x:c>
      <x:c r="AU519" s="65" t="n">
        <x:f>AT519/AK519</x:f>
        <x:v>-0.5631957135136645</x:v>
      </x:c>
      <x:c r="AV519" s="64" t="n">
        <x:f>AK519+AT519</x:f>
        <x:v>453.42600000000004</x:v>
      </x:c>
      <x:c r="AW519" s="65" t="n">
        <x:f>AV519/AK519</x:f>
        <x:v>0.43680428648633546</x:v>
      </x:c>
      <x:c r="AX519" s="64" t="n">
        <x:f>-ROUND(AK519*'Drivers'!W519,3)</x:f>
        <x:v>-11.177</x:v>
      </x:c>
      <x:c r="AY519" s="64" t="n">
        <x:f>-ROUND(AK519*'Drivers'!X519,3)</x:f>
        <x:v>-18.063</x:v>
      </x:c>
      <x:c r="AZ519" s="64" t="n">
        <x:f>-ROUND(AK519*'Drivers'!Y519,3)</x:f>
        <x:v>-18.459</x:v>
      </x:c>
      <x:c r="BA519" s="64" t="n">
        <x:f>-ROUND(AK519*'Drivers'!Z519,3)</x:f>
        <x:v>-6.499</x:v>
      </x:c>
      <x:c r="BB519" s="64" t="n">
        <x:f>-ROUND(AK519*'Drivers'!AA519,3)</x:f>
        <x:v>-7.42</x:v>
      </x:c>
      <x:c r="BC519" s="64" t="n">
        <x:f>SUM(BA519,BB519)</x:f>
        <x:v>-13.919</x:v>
      </x:c>
      <x:c r="BD519" s="64" t="n">
        <x:f>-ROUND(AK519*'Drivers'!AB519,3)</x:f>
        <x:v>-5.542</x:v>
      </x:c>
      <x:c r="BE519" s="64" t="n">
        <x:f>SUM(AX519:BB519,BD519)</x:f>
        <x:v>-67.16</x:v>
      </x:c>
      <x:c r="BF519" s="67" t="n">
        <x:f>'Drivers'!AF519</x:f>
        <x:v>6</x:v>
      </x:c>
      <x:c r="BG519" s="64" t="n">
        <x:f>BJ519</x:f>
        <x:v>-28.53</x:v>
      </x:c>
      <x:c r="BH519" s="64" t="n">
        <x:f>BE519/BF519</x:f>
        <x:v>-11.193333333333333</x:v>
      </x:c>
      <x:c r="BI519" s="68" t="n">
        <x:f>BF519/L519</x:f>
        <x:v>2</x:v>
      </x:c>
      <x:c r="BJ519" s="64" t="n">
        <x:f>-ROUND(AK519*'Drivers'!AC519,3)</x:f>
        <x:v>-28.53</x:v>
      </x:c>
      <x:c r="BK519" s="64" t="n">
        <x:f>-ROUND(AK519*'Drivers'!AD519,3)</x:f>
        <x:v>-86.931</x:v>
      </x:c>
      <x:c r="BL519" s="64" t="n">
        <x:f>SUM(AV519,BE519,BJ519,BK519)</x:f>
        <x:v>270.8050000000001</x:v>
      </x:c>
      <x:c r="BM519" s="65" t="n">
        <x:f>BL519/AK519</x:f>
        <x:v>0.2608778164506052</x:v>
      </x:c>
      <x:c r="BN519" s="64" t="n">
        <x:f>-ROUND(AK519*'Drivers'!AE519,3)</x:f>
        <x:v>-83.956</x:v>
      </x:c>
      <x:c r="BO519" s="64" t="n">
        <x:f>BL519+BN519</x:f>
        <x:v>186.8490000000001</x:v>
      </x:c>
      <x:c r="BP519" s="65" t="n">
        <x:f>BO519/AK519</x:f>
        <x:v>0.17999947979534772</x:v>
      </x:c>
    </x:row>
    <x:row r="520">
      <x:c r="A520" s="61" t="n">
        <x:v>2026</x:v>
      </x:c>
      <x:c r="B520" s="18" t="str">
        <x:v>S1</x:v>
      </x:c>
      <x:c r="C520" s="18" t="str">
        <x:v>2026 S1</x:v>
      </x:c>
      <x:c r="D520" s="18" t="str">
        <x:v>CNCT0130</x:v>
      </x:c>
      <x:c r="E520" s="18" t="str">
        <x:v>青岛丽达购物中心</x:v>
      </x:c>
      <x:c r="F520" s="18" t="str">
        <x:v>青岛</x:v>
      </x:c>
      <x:c r="G520" s="18" t="str">
        <x:v>山东省</x:v>
      </x:c>
      <x:c r="H520" s="18" t="str">
        <x:v>北区</x:v>
      </x:c>
      <x:c r="I520" s="18" t="str">
        <x:v>Shopping Mall</x:v>
      </x:c>
      <x:c r="J520" s="18" t="str">
        <x:v>Core Shopping Center</x:v>
      </x:c>
      <x:c r="K520" s="18" t="str">
        <x:v>正常</x:v>
      </x:c>
      <x:c r="L520" s="62" t="n">
        <x:v>3</x:v>
      </x:c>
      <x:c r="M520" s="62" t="n">
        <x:v>34</x:v>
      </x:c>
      <x:c r="N520" s="63" t="n">
        <x:f>'Drivers'!C520</x:f>
        <x:v>1417</x:v>
      </x:c>
      <x:c r="O520" s="63" t="n">
        <x:f>'Drivers'!D520</x:f>
        <x:v>1131.889</x:v>
      </x:c>
      <x:c r="P520" s="64" t="n">
        <x:f>ROUND(N520*O520/1000,3)</x:f>
        <x:v>1603.887</x:v>
      </x:c>
      <x:c r="Q520" s="64" t="n">
        <x:f>ROUND(P520*'Drivers'!E520,3)</x:f>
        <x:v>1573.897</x:v>
      </x:c>
      <x:c r="R520" s="64" t="n">
        <x:f>-ROUND(Q520*'Drivers'!F520,3)</x:f>
        <x:v>-341.217</x:v>
      </x:c>
      <x:c r="S520" s="65" t="n">
        <x:f>R520/Q520</x:f>
        <x:v>-0.2167975413893031</x:v>
      </x:c>
      <x:c r="T520" s="64" t="n">
        <x:f>-ROUND(Q520*'Drivers'!G520,3)</x:f>
        <x:v>-30.77</x:v>
      </x:c>
      <x:c r="U520" s="65" t="n">
        <x:f>T520/Q520</x:f>
        <x:v>-0.0195501992824181</x:v>
      </x:c>
      <x:c r="V520" s="64" t="n">
        <x:f>-ROUND(Q520*'Drivers'!H520,3)</x:f>
        <x:v>-11.712</x:v>
      </x:c>
      <x:c r="W520" s="64" t="n">
        <x:f>-ROUND(Q520*'Drivers'!I520,3)</x:f>
        <x:v>-9.112</x:v>
      </x:c>
      <x:c r="X520" s="64" t="n">
        <x:f>-ROUND(Q520*'Drivers'!J520,3)</x:f>
        <x:v>-25.538</x:v>
      </x:c>
      <x:c r="Y520" s="64" t="n">
        <x:f>-ROUND(Q520*'Drivers'!K520,3)</x:f>
        <x:v>-19.545</x:v>
      </x:c>
      <x:c r="Z520" s="64" t="n">
        <x:f>-ROUND(Q520*'Drivers'!L520,3)</x:f>
        <x:v>-13.32</x:v>
      </x:c>
      <x:c r="AA520" s="64" t="n">
        <x:f>-ROUND(Q520*'Drivers'!M520,3)</x:f>
        <x:v>-9.872</x:v>
      </x:c>
      <x:c r="AB520" s="64" t="n">
        <x:f>-ROUND(Q520*'Drivers'!N520,3)</x:f>
        <x:v>-8.72</x:v>
      </x:c>
      <x:c r="AC520" s="64" t="n">
        <x:f>SUM(V520:AB520)</x:f>
        <x:v>-97.819</x:v>
      </x:c>
      <x:c r="AD520" s="65" t="n">
        <x:f>AC520/Q520</x:f>
        <x:v>-0.06215082689655042</x:v>
      </x:c>
      <x:c r="AE520" s="64" t="n">
        <x:f>-ROUND(Q520*'Drivers'!O520,3)</x:f>
        <x:v>-15.803</x:v>
      </x:c>
      <x:c r="AF520" s="65" t="n">
        <x:f>AE520/Q520</x:f>
        <x:v>-0.01004068245889026</x:v>
      </x:c>
      <x:c r="AG520" s="64" t="n">
        <x:f>-ROUND(Q520*'Drivers'!P520,3)</x:f>
        <x:v>-3.419</x:v>
      </x:c>
      <x:c r="AH520" s="64" t="n">
        <x:f>-ROUND(Q520*'Drivers'!Q520,3)</x:f>
        <x:v>-9.193</x:v>
      </x:c>
      <x:c r="AI520" s="64" t="n">
        <x:f>SUM(R520,T520,AC520,AE520,AG520,AH520)</x:f>
        <x:v>-498.22099999999995</x:v>
      </x:c>
      <x:c r="AJ520" s="65" t="n">
        <x:f>AI520/Q520</x:f>
        <x:v>-0.3165524808802609</x:v>
      </x:c>
      <x:c r="AK520" s="64" t="n">
        <x:f>Q520+AI520</x:f>
        <x:v>1075.676</x:v>
      </x:c>
      <x:c r="AL520" s="65" t="n">
        <x:f>AK520/Q520</x:f>
        <x:v>0.6834475191197391</x:v>
      </x:c>
      <x:c r="AM520" s="64" t="n">
        <x:f>AK520/L520</x:f>
        <x:v>358.5586666666666</x:v>
      </x:c>
      <x:c r="AN520" s="66" t="str">
        <x:f>IF(AM520&lt;=200,"≤200K",IF(AM520&lt;=350,"200–350K",IF(AM520&lt;=500,"350–500K",IF(AM520&lt;=700,"500–700K","&gt;700K"))))</x:f>
        <x:v>350–500K</x:v>
      </x:c>
      <x:c r="AO520" s="64" t="n">
        <x:f>-ROUND(Q520*'Drivers'!R520,3)</x:f>
        <x:v>-571.287</x:v>
      </x:c>
      <x:c r="AP520" s="64" t="n">
        <x:f>-ROUND(AK520*'Drivers'!S520,3)</x:f>
        <x:v>-16.404</x:v>
      </x:c>
      <x:c r="AQ520" s="64" t="n">
        <x:f>-ROUND(AK520*'Drivers'!T520,3)</x:f>
        <x:v>-5.584</x:v>
      </x:c>
      <x:c r="AR520" s="64" t="n">
        <x:f>-ROUND(AK520*'Drivers'!U520,3)</x:f>
        <x:v>-8.599</x:v>
      </x:c>
      <x:c r="AS520" s="64" t="n">
        <x:f>-ROUND(AK520*'Drivers'!V520,3)</x:f>
        <x:v>-37.606</x:v>
      </x:c>
      <x:c r="AT520" s="64" t="n">
        <x:f>SUM(AO520:AS520)</x:f>
        <x:v>-639.48</x:v>
      </x:c>
      <x:c r="AU520" s="65" t="n">
        <x:f>AT520/AK520</x:f>
        <x:v>-0.5944912780428308</x:v>
      </x:c>
      <x:c r="AV520" s="64" t="n">
        <x:f>AK520+AT520</x:f>
        <x:v>436.1959999999999</x:v>
      </x:c>
      <x:c r="AW520" s="65" t="n">
        <x:f>AV520/AK520</x:f>
        <x:v>0.4055087219571692</x:v>
      </x:c>
      <x:c r="AX520" s="64" t="n">
        <x:f>-ROUND(AK520*'Drivers'!W520,3)</x:f>
        <x:v>-14.251</x:v>
      </x:c>
      <x:c r="AY520" s="64" t="n">
        <x:f>-ROUND(AK520*'Drivers'!X520,3)</x:f>
        <x:v>-23.032</x:v>
      </x:c>
      <x:c r="AZ520" s="64" t="n">
        <x:f>-ROUND(AK520*'Drivers'!Y520,3)</x:f>
        <x:v>-23.536</x:v>
      </x:c>
      <x:c r="BA520" s="64" t="n">
        <x:f>-ROUND(AK520*'Drivers'!Z520,3)</x:f>
        <x:v>-8.286</x:v>
      </x:c>
      <x:c r="BB520" s="64" t="n">
        <x:f>-ROUND(AK520*'Drivers'!AA520,3)</x:f>
        <x:v>-9.46</x:v>
      </x:c>
      <x:c r="BC520" s="64" t="n">
        <x:f>SUM(BA520,BB520)</x:f>
        <x:v>-17.746000000000002</x:v>
      </x:c>
      <x:c r="BD520" s="64" t="n">
        <x:f>-ROUND(AK520*'Drivers'!AB520,3)</x:f>
        <x:v>-7.066</x:v>
      </x:c>
      <x:c r="BE520" s="64" t="n">
        <x:f>SUM(AX520:BB520,BD520)</x:f>
        <x:v>-85.631</x:v>
      </x:c>
      <x:c r="BF520" s="67" t="n">
        <x:f>'Drivers'!AF520</x:f>
        <x:v>6</x:v>
      </x:c>
      <x:c r="BG520" s="64" t="n">
        <x:f>BJ520</x:f>
        <x:v>-36.377</x:v>
      </x:c>
      <x:c r="BH520" s="64" t="n">
        <x:f>BE520/BF520</x:f>
        <x:v>-14.271833333333333</x:v>
      </x:c>
      <x:c r="BI520" s="68" t="n">
        <x:f>BF520/L520</x:f>
        <x:v>2</x:v>
      </x:c>
      <x:c r="BJ520" s="64" t="n">
        <x:f>-ROUND(AK520*'Drivers'!AC520,3)</x:f>
        <x:v>-36.377</x:v>
      </x:c>
      <x:c r="BK520" s="64" t="n">
        <x:f>-ROUND(AK520*'Drivers'!AD520,3)</x:f>
        <x:v>-90.082</x:v>
      </x:c>
      <x:c r="BL520" s="64" t="n">
        <x:f>SUM(AV520,BE520,BJ520,BK520)</x:f>
        <x:v>224.10599999999994</x:v>
      </x:c>
      <x:c r="BM520" s="65" t="n">
        <x:f>BL520/AK520</x:f>
        <x:v>0.20833968592773283</x:v>
      </x:c>
      <x:c r="BN520" s="64" t="n">
        <x:f>-ROUND(AK520*'Drivers'!AE520,3)</x:f>
        <x:v>-74.235</x:v>
      </x:c>
      <x:c r="BO520" s="64" t="n">
        <x:f>BL520+BN520</x:f>
        <x:v>149.87099999999992</x:v>
      </x:c>
      <x:c r="BP520" s="65" t="n">
        <x:f>BO520/AK520</x:f>
        <x:v>0.1393272695495669</x:v>
      </x:c>
    </x:row>
    <x:row r="521">
      <x:c r="A521" s="61" t="n">
        <x:v>2026</x:v>
      </x:c>
      <x:c r="B521" s="18" t="str">
        <x:v>S2</x:v>
      </x:c>
      <x:c r="C521" s="18" t="str">
        <x:v>2026 S2</x:v>
      </x:c>
      <x:c r="D521" s="18" t="str">
        <x:v>CNCT0130</x:v>
      </x:c>
      <x:c r="E521" s="18" t="str">
        <x:v>青岛丽达购物中心</x:v>
      </x:c>
      <x:c r="F521" s="18" t="str">
        <x:v>青岛</x:v>
      </x:c>
      <x:c r="G521" s="18" t="str">
        <x:v>山东省</x:v>
      </x:c>
      <x:c r="H521" s="18" t="str">
        <x:v>北区</x:v>
      </x:c>
      <x:c r="I521" s="18" t="str">
        <x:v>Shopping Mall</x:v>
      </x:c>
      <x:c r="J521" s="18" t="str">
        <x:v>Core Shopping Center</x:v>
      </x:c>
      <x:c r="K521" s="18" t="str">
        <x:v>正常</x:v>
      </x:c>
      <x:c r="L521" s="62" t="n">
        <x:v>3</x:v>
      </x:c>
      <x:c r="M521" s="62" t="n">
        <x:v>34</x:v>
      </x:c>
      <x:c r="N521" s="63" t="n">
        <x:f>'Drivers'!C521</x:f>
        <x:v>1483</x:v>
      </x:c>
      <x:c r="O521" s="63" t="n">
        <x:f>'Drivers'!D521</x:f>
        <x:v>1143.69</x:v>
      </x:c>
      <x:c r="P521" s="64" t="n">
        <x:f>ROUND(N521*O521/1000,3)</x:f>
        <x:v>1696.092</x:v>
      </x:c>
      <x:c r="Q521" s="64" t="n">
        <x:f>ROUND(P521*'Drivers'!E521,3)</x:f>
        <x:v>1667.506</x:v>
      </x:c>
      <x:c r="R521" s="64" t="n">
        <x:f>-ROUND(Q521*'Drivers'!F521,3)</x:f>
        <x:v>-345.578</x:v>
      </x:c>
      <x:c r="S521" s="65" t="n">
        <x:f>R521/Q521</x:f>
        <x:v>-0.20724243271088677</x:v>
      </x:c>
      <x:c r="T521" s="64" t="n">
        <x:f>-ROUND(Q521*'Drivers'!G521,3)</x:f>
        <x:v>-32.758</x:v>
      </x:c>
      <x:c r="U521" s="65" t="n">
        <x:f>T521/Q521</x:f>
        <x:v>-0.01964490682492297</x:v>
      </x:c>
      <x:c r="V521" s="64" t="n">
        <x:f>-ROUND(Q521*'Drivers'!H521,3)</x:f>
        <x:v>-12.409</x:v>
      </x:c>
      <x:c r="W521" s="64" t="n">
        <x:f>-ROUND(Q521*'Drivers'!I521,3)</x:f>
        <x:v>-9.654</x:v>
      </x:c>
      <x:c r="X521" s="64" t="n">
        <x:f>-ROUND(Q521*'Drivers'!J521,3)</x:f>
        <x:v>-27.057</x:v>
      </x:c>
      <x:c r="Y521" s="64" t="n">
        <x:f>-ROUND(Q521*'Drivers'!K521,3)</x:f>
        <x:v>-20.708</x:v>
      </x:c>
      <x:c r="Z521" s="64" t="n">
        <x:f>-ROUND(Q521*'Drivers'!L521,3)</x:f>
        <x:v>-14.112</x:v>
      </x:c>
      <x:c r="AA521" s="64" t="n">
        <x:f>-ROUND(Q521*'Drivers'!M521,3)</x:f>
        <x:v>-10.459</x:v>
      </x:c>
      <x:c r="AB521" s="64" t="n">
        <x:f>-ROUND(Q521*'Drivers'!N521,3)</x:f>
        <x:v>-9.239</x:v>
      </x:c>
      <x:c r="AC521" s="64" t="n">
        <x:f>SUM(V521:AB521)</x:f>
        <x:v>-103.638</x:v>
      </x:c>
      <x:c r="AD521" s="65" t="n">
        <x:f>AC521/Q521</x:f>
        <x:v>-0.062151500504346015</x:v>
      </x:c>
      <x:c r="AE521" s="64" t="n">
        <x:f>-ROUND(Q521*'Drivers'!O521,3)</x:f>
        <x:v>-17.559</x:v>
      </x:c>
      <x:c r="AF521" s="65" t="n">
        <x:f>AE521/Q521</x:f>
        <x:v>-0.01053009704312908</x:v>
      </x:c>
      <x:c r="AG521" s="64" t="n">
        <x:f>-ROUND(Q521*'Drivers'!P521,3)</x:f>
        <x:v>-3.623</x:v>
      </x:c>
      <x:c r="AH521" s="64" t="n">
        <x:f>-ROUND(Q521*'Drivers'!Q521,3)</x:f>
        <x:v>-9.74</x:v>
      </x:c>
      <x:c r="AI521" s="64" t="n">
        <x:f>SUM(R521,T521,AC521,AE521,AG521,AH521)</x:f>
        <x:v>-512.896</x:v>
      </x:c>
      <x:c r="AJ521" s="65" t="n">
        <x:f>AI521/Q521</x:f>
        <x:v>-0.3075827013515993</x:v>
      </x:c>
      <x:c r="AK521" s="64" t="n">
        <x:f>Q521+AI521</x:f>
        <x:v>1154.6100000000001</x:v>
      </x:c>
      <x:c r="AL521" s="65" t="n">
        <x:f>AK521/Q521</x:f>
        <x:v>0.6924172986484007</x:v>
      </x:c>
      <x:c r="AM521" s="64" t="n">
        <x:f>AK521/L521</x:f>
        <x:v>384.87000000000006</x:v>
      </x:c>
      <x:c r="AN521" s="66" t="str">
        <x:f>IF(AM521&lt;=200,"≤200K",IF(AM521&lt;=350,"200–350K",IF(AM521&lt;=500,"350–500K",IF(AM521&lt;=700,"500–700K","&gt;700K"))))</x:f>
        <x:v>350–500K</x:v>
      </x:c>
      <x:c r="AO521" s="64" t="n">
        <x:f>-ROUND(Q521*'Drivers'!R521,3)</x:f>
        <x:v>-576.441</x:v>
      </x:c>
      <x:c r="AP521" s="64" t="n">
        <x:f>-ROUND(AK521*'Drivers'!S521,3)</x:f>
        <x:v>-17.608</x:v>
      </x:c>
      <x:c r="AQ521" s="64" t="n">
        <x:f>-ROUND(AK521*'Drivers'!T521,3)</x:f>
        <x:v>-5.994</x:v>
      </x:c>
      <x:c r="AR521" s="64" t="n">
        <x:f>-ROUND(AK521*'Drivers'!U521,3)</x:f>
        <x:v>-9.23</x:v>
      </x:c>
      <x:c r="AS521" s="64" t="n">
        <x:f>-ROUND(AK521*'Drivers'!V521,3)</x:f>
        <x:v>-40.365</x:v>
      </x:c>
      <x:c r="AT521" s="64" t="n">
        <x:f>SUM(AO521:AS521)</x:f>
        <x:v>-649.638</x:v>
      </x:c>
      <x:c r="AU521" s="65" t="n">
        <x:f>AT521/AK521</x:f>
        <x:v>-0.5626471276015278</x:v>
      </x:c>
      <x:c r="AV521" s="64" t="n">
        <x:f>AK521+AT521</x:f>
        <x:v>504.9720000000001</x:v>
      </x:c>
      <x:c r="AW521" s="65" t="n">
        <x:f>AV521/AK521</x:f>
        <x:v>0.43735287239847226</x:v>
      </x:c>
      <x:c r="AX521" s="64" t="n">
        <x:f>-ROUND(AK521*'Drivers'!W521,3)</x:f>
        <x:v>-13.178</x:v>
      </x:c>
      <x:c r="AY521" s="64" t="n">
        <x:f>-ROUND(AK521*'Drivers'!X521,3)</x:f>
        <x:v>-21.297</x:v>
      </x:c>
      <x:c r="AZ521" s="64" t="n">
        <x:f>-ROUND(AK521*'Drivers'!Y521,3)</x:f>
        <x:v>-21.764</x:v>
      </x:c>
      <x:c r="BA521" s="64" t="n">
        <x:f>-ROUND(AK521*'Drivers'!Z521,3)</x:f>
        <x:v>-7.662</x:v>
      </x:c>
      <x:c r="BB521" s="64" t="n">
        <x:f>-ROUND(AK521*'Drivers'!AA521,3)</x:f>
        <x:v>-8.748</x:v>
      </x:c>
      <x:c r="BC521" s="64" t="n">
        <x:f>SUM(BA521,BB521)</x:f>
        <x:v>-16.41</x:v>
      </x:c>
      <x:c r="BD521" s="64" t="n">
        <x:f>-ROUND(AK521*'Drivers'!AB521,3)</x:f>
        <x:v>-6.534</x:v>
      </x:c>
      <x:c r="BE521" s="64" t="n">
        <x:f>SUM(AX521:BB521,BD521)</x:f>
        <x:v>-79.183</x:v>
      </x:c>
      <x:c r="BF521" s="67" t="n">
        <x:f>'Drivers'!AF521</x:f>
        <x:v>6</x:v>
      </x:c>
      <x:c r="BG521" s="64" t="n">
        <x:f>BJ521</x:f>
        <x:v>-33.637</x:v>
      </x:c>
      <x:c r="BH521" s="64" t="n">
        <x:f>BE521/BF521</x:f>
        <x:v>-13.197166666666668</x:v>
      </x:c>
      <x:c r="BI521" s="68" t="n">
        <x:f>BF521/L521</x:f>
        <x:v>2</x:v>
      </x:c>
      <x:c r="BJ521" s="64" t="n">
        <x:f>-ROUND(AK521*'Drivers'!AC521,3)</x:f>
        <x:v>-33.637</x:v>
      </x:c>
      <x:c r="BK521" s="64" t="n">
        <x:f>-ROUND(AK521*'Drivers'!AD521,3)</x:f>
        <x:v>-96.692</x:v>
      </x:c>
      <x:c r="BL521" s="64" t="n">
        <x:f>SUM(AV521,BE521,BJ521,BK521)</x:f>
        <x:v>295.4600000000001</x:v>
      </x:c>
      <x:c r="BM521" s="65" t="n">
        <x:f>BL521/AK521</x:f>
        <x:v>0.25589593022752277</x:v>
      </x:c>
      <x:c r="BN521" s="64" t="n">
        <x:f>-ROUND(AK521*'Drivers'!AE521,3)</x:f>
        <x:v>-93.383</x:v>
      </x:c>
      <x:c r="BO521" s="64" t="n">
        <x:f>BL521+BN521</x:f>
        <x:v>202.0770000000001</x:v>
      </x:c>
      <x:c r="BP521" s="65" t="n">
        <x:f>BO521/AK521</x:f>
        <x:v>0.17501753838958617</x:v>
      </x:c>
    </x:row>
    <x:row r="522">
      <x:c r="A522" s="61" t="n">
        <x:v>2025</x:v>
      </x:c>
      <x:c r="B522" s="18" t="str">
        <x:v>S1</x:v>
      </x:c>
      <x:c r="C522" s="18" t="str">
        <x:v>2025 S1</x:v>
      </x:c>
      <x:c r="D522" s="18" t="str">
        <x:v>CNCT0131</x:v>
      </x:c>
      <x:c r="E522" s="18" t="str">
        <x:v>青岛永旺东部店</x:v>
      </x:c>
      <x:c r="F522" s="18" t="str">
        <x:v>青岛</x:v>
      </x:c>
      <x:c r="G522" s="18" t="str">
        <x:v>山东省</x:v>
      </x:c>
      <x:c r="H522" s="18" t="str">
        <x:v>北区</x:v>
      </x:c>
      <x:c r="I522" s="18" t="str">
        <x:v>Shopping Mall</x:v>
      </x:c>
      <x:c r="J522" s="18" t="str">
        <x:v>Core Shopping Center</x:v>
      </x:c>
      <x:c r="K522" s="18" t="str">
        <x:v>正常</x:v>
      </x:c>
      <x:c r="L522" s="62" t="n">
        <x:v>3</x:v>
      </x:c>
      <x:c r="M522" s="62" t="n">
        <x:v>34</x:v>
      </x:c>
      <x:c r="N522" s="63" t="n">
        <x:f>'Drivers'!C522</x:f>
        <x:v>1335</x:v>
      </x:c>
      <x:c r="O522" s="63" t="n">
        <x:f>'Drivers'!D522</x:f>
        <x:v>1057.82</x:v>
      </x:c>
      <x:c r="P522" s="64" t="n">
        <x:f>ROUND(N522*O522/1000,3)</x:f>
        <x:v>1412.19</x:v>
      </x:c>
      <x:c r="Q522" s="64" t="n">
        <x:f>ROUND(P522*'Drivers'!E522,3)</x:f>
        <x:v>1373.442</x:v>
      </x:c>
      <x:c r="R522" s="64" t="n">
        <x:f>-ROUND(Q522*'Drivers'!F522,3)</x:f>
        <x:v>-245.064</x:v>
      </x:c>
      <x:c r="S522" s="65" t="n">
        <x:f>R522/Q522</x:f>
        <x:v>-0.1784305416610239</x:v>
      </x:c>
      <x:c r="T522" s="64" t="n">
        <x:f>-ROUND(Q522*'Drivers'!G522,3)</x:f>
        <x:v>-24.262</x:v>
      </x:c>
      <x:c r="U522" s="65" t="n">
        <x:f>T522/Q522</x:f>
        <x:v>-0.017665107081332884</x:v>
      </x:c>
      <x:c r="V522" s="64" t="n">
        <x:f>-ROUND(Q522*'Drivers'!H522,3)</x:f>
        <x:v>-16.701</x:v>
      </x:c>
      <x:c r="W522" s="64" t="n">
        <x:f>-ROUND(Q522*'Drivers'!I522,3)</x:f>
        <x:v>-8.439</x:v>
      </x:c>
      <x:c r="X522" s="64" t="n">
        <x:f>-ROUND(Q522*'Drivers'!J522,3)</x:f>
        <x:v>-14.036</x:v>
      </x:c>
      <x:c r="Y522" s="64" t="n">
        <x:f>-ROUND(Q522*'Drivers'!K522,3)</x:f>
        <x:v>-18.687</x:v>
      </x:c>
      <x:c r="Z522" s="64" t="n">
        <x:f>-ROUND(Q522*'Drivers'!L522,3)</x:f>
        <x:v>-15.932</x:v>
      </x:c>
      <x:c r="AA522" s="64" t="n">
        <x:f>-ROUND(Q522*'Drivers'!M522,3)</x:f>
        <x:v>-10.156</x:v>
      </x:c>
      <x:c r="AB522" s="64" t="n">
        <x:f>-ROUND(Q522*'Drivers'!N522,3)</x:f>
        <x:v>-9.224</x:v>
      </x:c>
      <x:c r="AC522" s="64" t="n">
        <x:f>SUM(V522:AB522)</x:f>
        <x:v>-93.17500000000001</x:v>
      </x:c>
      <x:c r="AD522" s="65" t="n">
        <x:f>AC522/Q522</x:f>
        <x:v>-0.06784050582405374</x:v>
      </x:c>
      <x:c r="AE522" s="64" t="n">
        <x:f>-ROUND(Q522*'Drivers'!O522,3)</x:f>
        <x:v>-11.761</x:v>
      </x:c>
      <x:c r="AF522" s="65" t="n">
        <x:f>AE522/Q522</x:f>
        <x:v>-0.008563157381236338</x:v>
      </x:c>
      <x:c r="AG522" s="64" t="n">
        <x:f>-ROUND(Q522*'Drivers'!P522,3)</x:f>
        <x:v>-2.879</x:v>
      </x:c>
      <x:c r="AH522" s="64" t="n">
        <x:f>-ROUND(Q522*'Drivers'!Q522,3)</x:f>
        <x:v>-5.744</x:v>
      </x:c>
      <x:c r="AI522" s="64" t="n">
        <x:f>SUM(R522,T522,AC522,AE522,AG522,AH522)</x:f>
        <x:v>-382.8850000000001</x:v>
      </x:c>
      <x:c r="AJ522" s="65" t="n">
        <x:f>AI522/Q522</x:f>
        <x:v>-0.2787776986578247</x:v>
      </x:c>
      <x:c r="AK522" s="64" t="n">
        <x:f>Q522+AI522</x:f>
        <x:v>990.5569999999999</x:v>
      </x:c>
      <x:c r="AL522" s="65" t="n">
        <x:f>AK522/Q522</x:f>
        <x:v>0.7212223013421752</x:v>
      </x:c>
      <x:c r="AM522" s="64" t="n">
        <x:f>AK522/L522</x:f>
        <x:v>330.18566666666663</x:v>
      </x:c>
      <x:c r="AN522" s="66" t="str">
        <x:f>IF(AM522&lt;=200,"≤200K",IF(AM522&lt;=350,"200–350K",IF(AM522&lt;=500,"350–500K",IF(AM522&lt;=700,"500–700K","&gt;700K"))))</x:f>
        <x:v>200–350K</x:v>
      </x:c>
      <x:c r="AO522" s="64" t="n">
        <x:f>-ROUND(Q522*'Drivers'!R522,3)</x:f>
        <x:v>-529.201</x:v>
      </x:c>
      <x:c r="AP522" s="64" t="n">
        <x:f>-ROUND(AK522*'Drivers'!S522,3)</x:f>
        <x:v>-14.561</x:v>
      </x:c>
      <x:c r="AQ522" s="64" t="n">
        <x:f>-ROUND(AK522*'Drivers'!T522,3)</x:f>
        <x:v>-6.661</x:v>
      </x:c>
      <x:c r="AR522" s="64" t="n">
        <x:f>-ROUND(AK522*'Drivers'!U522,3)</x:f>
        <x:v>-7.758</x:v>
      </x:c>
      <x:c r="AS522" s="64" t="n">
        <x:f>-ROUND(AK522*'Drivers'!V522,3)</x:f>
        <x:v>-34.024</x:v>
      </x:c>
      <x:c r="AT522" s="64" t="n">
        <x:f>SUM(AO522:AS522)</x:f>
        <x:v>-592.205</x:v>
      </x:c>
      <x:c r="AU522" s="65" t="n">
        <x:f>AT522/AK522</x:f>
        <x:v>-0.5978505022931544</x:v>
      </x:c>
      <x:c r="AV522" s="64" t="n">
        <x:f>AK522+AT522</x:f>
        <x:v>398.35199999999986</x:v>
      </x:c>
      <x:c r="AW522" s="65" t="n">
        <x:f>AV522/AK522</x:f>
        <x:v>0.40214949770684566</x:v>
      </x:c>
      <x:c r="AX522" s="64" t="n">
        <x:f>-ROUND(AK522*'Drivers'!W522,3)</x:f>
        <x:v>-11.646</x:v>
      </x:c>
      <x:c r="AY522" s="64" t="n">
        <x:f>-ROUND(AK522*'Drivers'!X522,3)</x:f>
        <x:v>-24.207</x:v>
      </x:c>
      <x:c r="AZ522" s="64" t="n">
        <x:f>-ROUND(AK522*'Drivers'!Y522,3)</x:f>
        <x:v>-19.559</x:v>
      </x:c>
      <x:c r="BA522" s="64" t="n">
        <x:f>-ROUND(AK522*'Drivers'!Z522,3)</x:f>
        <x:v>-5.535</x:v>
      </x:c>
      <x:c r="BB522" s="64" t="n">
        <x:f>-ROUND(AK522*'Drivers'!AA522,3)</x:f>
        <x:v>-6.632</x:v>
      </x:c>
      <x:c r="BC522" s="64" t="n">
        <x:f>SUM(BA522,BB522)</x:f>
        <x:v>-12.167</x:v>
      </x:c>
      <x:c r="BD522" s="64" t="n">
        <x:f>-ROUND(AK522*'Drivers'!AB522,3)</x:f>
        <x:v>-4.892</x:v>
      </x:c>
      <x:c r="BE522" s="64" t="n">
        <x:f>SUM(AX522:BB522,BD522)</x:f>
        <x:v>-72.471</x:v>
      </x:c>
      <x:c r="BF522" s="67" t="n">
        <x:f>'Drivers'!AF522</x:f>
        <x:v>5</x:v>
      </x:c>
      <x:c r="BG522" s="64" t="n">
        <x:f>BJ522</x:f>
        <x:v>-23.893</x:v>
      </x:c>
      <x:c r="BH522" s="64" t="n">
        <x:f>BE522/BF522</x:f>
        <x:v>-14.494200000000001</x:v>
      </x:c>
      <x:c r="BI522" s="68" t="n">
        <x:f>BF522/L522</x:f>
        <x:v>1.6666666666666667</x:v>
      </x:c>
      <x:c r="BJ522" s="64" t="n">
        <x:f>-ROUND(AK522*'Drivers'!AC522,3)</x:f>
        <x:v>-23.893</x:v>
      </x:c>
      <x:c r="BK522" s="64" t="n">
        <x:f>-ROUND(AK522*'Drivers'!AD522,3)</x:f>
        <x:v>-96.741</x:v>
      </x:c>
      <x:c r="BL522" s="64" t="n">
        <x:f>SUM(AV522,BE522,BJ522,BK522)</x:f>
        <x:v>205.24699999999984</x:v>
      </x:c>
      <x:c r="BM522" s="65" t="n">
        <x:f>BL522/AK522</x:f>
        <x:v>0.20720362381972957</x:v>
      </x:c>
      <x:c r="BN522" s="64" t="n">
        <x:f>-ROUND(AK522*'Drivers'!AE522,3)</x:f>
        <x:v>-82.973</x:v>
      </x:c>
      <x:c r="BO522" s="64" t="n">
        <x:f>BL522+BN522</x:f>
        <x:v>122.27399999999984</x:v>
      </x:c>
      <x:c r="BP522" s="65" t="n">
        <x:f>BO522/AK522</x:f>
        <x:v>0.12343964052548198</x:v>
      </x:c>
    </x:row>
    <x:row r="523">
      <x:c r="A523" s="61" t="n">
        <x:v>2025</x:v>
      </x:c>
      <x:c r="B523" s="18" t="str">
        <x:v>S2</x:v>
      </x:c>
      <x:c r="C523" s="18" t="str">
        <x:v>2025 S2</x:v>
      </x:c>
      <x:c r="D523" s="18" t="str">
        <x:v>CNCT0131</x:v>
      </x:c>
      <x:c r="E523" s="18" t="str">
        <x:v>青岛永旺东部店</x:v>
      </x:c>
      <x:c r="F523" s="18" t="str">
        <x:v>青岛</x:v>
      </x:c>
      <x:c r="G523" s="18" t="str">
        <x:v>山东省</x:v>
      </x:c>
      <x:c r="H523" s="18" t="str">
        <x:v>北区</x:v>
      </x:c>
      <x:c r="I523" s="18" t="str">
        <x:v>Shopping Mall</x:v>
      </x:c>
      <x:c r="J523" s="18" t="str">
        <x:v>Core Shopping Center</x:v>
      </x:c>
      <x:c r="K523" s="18" t="str">
        <x:v>正常</x:v>
      </x:c>
      <x:c r="L523" s="62" t="n">
        <x:v>3</x:v>
      </x:c>
      <x:c r="M523" s="62" t="n">
        <x:v>34</x:v>
      </x:c>
      <x:c r="N523" s="63" t="n">
        <x:f>'Drivers'!C523</x:f>
        <x:v>1456</x:v>
      </x:c>
      <x:c r="O523" s="63" t="n">
        <x:f>'Drivers'!D523</x:f>
        <x:v>1070.514</x:v>
      </x:c>
      <x:c r="P523" s="64" t="n">
        <x:f>ROUND(N523*O523/1000,3)</x:f>
        <x:v>1558.668</x:v>
      </x:c>
      <x:c r="Q523" s="64" t="n">
        <x:f>ROUND(P523*'Drivers'!E523,3)</x:f>
        <x:v>1522.775</x:v>
      </x:c>
      <x:c r="R523" s="64" t="n">
        <x:f>-ROUND(Q523*'Drivers'!F523,3)</x:f>
        <x:v>-271.71</x:v>
      </x:c>
      <x:c r="S523" s="65" t="n">
        <x:f>R523/Q523</x:f>
        <x:v>-0.1784308253024905</x:v>
      </x:c>
      <x:c r="T523" s="64" t="n">
        <x:f>-ROUND(Q523*'Drivers'!G523,3)</x:f>
        <x:v>-26.9</x:v>
      </x:c>
      <x:c r="U523" s="65" t="n">
        <x:f>T523/Q523</x:f>
        <x:v>-0.017665117958989344</x:v>
      </x:c>
      <x:c r="V523" s="64" t="n">
        <x:f>-ROUND(Q523*'Drivers'!H523,3)</x:f>
        <x:v>-18.517</x:v>
      </x:c>
      <x:c r="W523" s="64" t="n">
        <x:f>-ROUND(Q523*'Drivers'!I523,3)</x:f>
        <x:v>-9.356</x:v>
      </x:c>
      <x:c r="X523" s="64" t="n">
        <x:f>-ROUND(Q523*'Drivers'!J523,3)</x:f>
        <x:v>-15.562</x:v>
      </x:c>
      <x:c r="Y523" s="64" t="n">
        <x:f>-ROUND(Q523*'Drivers'!K523,3)</x:f>
        <x:v>-20.718</x:v>
      </x:c>
      <x:c r="Z523" s="64" t="n">
        <x:f>-ROUND(Q523*'Drivers'!L523,3)</x:f>
        <x:v>-17.664</x:v>
      </x:c>
      <x:c r="AA523" s="64" t="n">
        <x:f>-ROUND(Q523*'Drivers'!M523,3)</x:f>
        <x:v>-11.26</x:v>
      </x:c>
      <x:c r="AB523" s="64" t="n">
        <x:f>-ROUND(Q523*'Drivers'!N523,3)</x:f>
        <x:v>-10.227</x:v>
      </x:c>
      <x:c r="AC523" s="64" t="n">
        <x:f>SUM(V523:AB523)</x:f>
        <x:v>-103.304</x:v>
      </x:c>
      <x:c r="AD523" s="65" t="n">
        <x:f>AC523/Q523</x:f>
        <x:v>-0.06783930652919834</x:v>
      </x:c>
      <x:c r="AE523" s="64" t="n">
        <x:f>-ROUND(Q523*'Drivers'!O523,3)</x:f>
        <x:v>-13.039</x:v>
      </x:c>
      <x:c r="AF523" s="65" t="n">
        <x:f>AE523/Q523</x:f>
        <x:v>-0.008562656991348032</x:v>
      </x:c>
      <x:c r="AG523" s="64" t="n">
        <x:f>-ROUND(Q523*'Drivers'!P523,3)</x:f>
        <x:v>-3.192</x:v>
      </x:c>
      <x:c r="AH523" s="64" t="n">
        <x:f>-ROUND(Q523*'Drivers'!Q523,3)</x:f>
        <x:v>-6.368</x:v>
      </x:c>
      <x:c r="AI523" s="64" t="n">
        <x:f>SUM(R523,T523,AC523,AE523,AG523,AH523)</x:f>
        <x:v>-424.513</x:v>
      </x:c>
      <x:c r="AJ523" s="65" t="n">
        <x:f>AI523/Q523</x:f>
        <x:v>-0.27877591896373394</x:v>
      </x:c>
      <x:c r="AK523" s="64" t="n">
        <x:f>Q523+AI523</x:f>
        <x:v>1098.2620000000002</x:v>
      </x:c>
      <x:c r="AL523" s="65" t="n">
        <x:f>AK523/Q523</x:f>
        <x:v>0.7212240810362661</x:v>
      </x:c>
      <x:c r="AM523" s="64" t="n">
        <x:f>AK523/L523</x:f>
        <x:v>366.0873333333334</x:v>
      </x:c>
      <x:c r="AN523" s="66" t="str">
        <x:f>IF(AM523&lt;=200,"≤200K",IF(AM523&lt;=350,"200–350K",IF(AM523&lt;=500,"350–500K",IF(AM523&lt;=700,"500–700K","&gt;700K"))))</x:f>
        <x:v>350–500K</x:v>
      </x:c>
      <x:c r="AO523" s="64" t="n">
        <x:f>-ROUND(Q523*'Drivers'!R523,3)</x:f>
        <x:v>-577.238</x:v>
      </x:c>
      <x:c r="AP523" s="64" t="n">
        <x:f>-ROUND(AK523*'Drivers'!S523,3)</x:f>
        <x:v>-16.144</x:v>
      </x:c>
      <x:c r="AQ523" s="64" t="n">
        <x:f>-ROUND(AK523*'Drivers'!T523,3)</x:f>
        <x:v>-7.385</x:v>
      </x:c>
      <x:c r="AR523" s="64" t="n">
        <x:f>-ROUND(AK523*'Drivers'!U523,3)</x:f>
        <x:v>-8.601</x:v>
      </x:c>
      <x:c r="AS523" s="64" t="n">
        <x:f>-ROUND(AK523*'Drivers'!V523,3)</x:f>
        <x:v>-37.724</x:v>
      </x:c>
      <x:c r="AT523" s="64" t="n">
        <x:f>SUM(AO523:AS523)</x:f>
        <x:v>-647.0920000000001</x:v>
      </x:c>
      <x:c r="AU523" s="65" t="n">
        <x:f>AT523/AK523</x:f>
        <x:v>-0.5891963848334915</x:v>
      </x:c>
      <x:c r="AV523" s="64" t="n">
        <x:f>AK523+AT523</x:f>
        <x:v>451.1700000000001</x:v>
      </x:c>
      <x:c r="AW523" s="65" t="n">
        <x:f>AV523/AK523</x:f>
        <x:v>0.41080361516650854</x:v>
      </x:c>
      <x:c r="AX523" s="64" t="n">
        <x:f>-ROUND(AK523*'Drivers'!W523,3)</x:f>
        <x:v>-12.912</x:v>
      </x:c>
      <x:c r="AY523" s="64" t="n">
        <x:f>-ROUND(AK523*'Drivers'!X523,3)</x:f>
        <x:v>-26.839</x:v>
      </x:c>
      <x:c r="AZ523" s="64" t="n">
        <x:f>-ROUND(AK523*'Drivers'!Y523,3)</x:f>
        <x:v>-21.686</x:v>
      </x:c>
      <x:c r="BA523" s="64" t="n">
        <x:f>-ROUND(AK523*'Drivers'!Z523,3)</x:f>
        <x:v>-6.136</x:v>
      </x:c>
      <x:c r="BB523" s="64" t="n">
        <x:f>-ROUND(AK523*'Drivers'!AA523,3)</x:f>
        <x:v>-7.353</x:v>
      </x:c>
      <x:c r="BC523" s="64" t="n">
        <x:f>SUM(BA523,BB523)</x:f>
        <x:v>-13.489</x:v>
      </x:c>
      <x:c r="BD523" s="64" t="n">
        <x:f>-ROUND(AK523*'Drivers'!AB523,3)</x:f>
        <x:v>-5.423</x:v>
      </x:c>
      <x:c r="BE523" s="64" t="n">
        <x:f>SUM(AX523:BB523,BD523)</x:f>
        <x:v>-80.34899999999999</x:v>
      </x:c>
      <x:c r="BF523" s="67" t="n">
        <x:f>'Drivers'!AF523</x:f>
        <x:v>5</x:v>
      </x:c>
      <x:c r="BG523" s="64" t="n">
        <x:f>BJ523</x:f>
        <x:v>-26.49</x:v>
      </x:c>
      <x:c r="BH523" s="64" t="n">
        <x:f>BE523/BF523</x:f>
        <x:v>-16.069799999999997</x:v>
      </x:c>
      <x:c r="BI523" s="68" t="n">
        <x:f>BF523/L523</x:f>
        <x:v>1.6666666666666667</x:v>
      </x:c>
      <x:c r="BJ523" s="64" t="n">
        <x:f>-ROUND(AK523*'Drivers'!AC523,3)</x:f>
        <x:v>-26.49</x:v>
      </x:c>
      <x:c r="BK523" s="64" t="n">
        <x:f>-ROUND(AK523*'Drivers'!AD523,3)</x:f>
        <x:v>-107.26</x:v>
      </x:c>
      <x:c r="BL523" s="64" t="n">
        <x:f>SUM(AV523,BE523,BJ523,BK523)</x:f>
        <x:v>237.07100000000008</x:v>
      </x:c>
      <x:c r="BM523" s="65" t="n">
        <x:f>BL523/AK523</x:f>
        <x:v>0.21586014994600564</x:v>
      </x:c>
      <x:c r="BN523" s="64" t="n">
        <x:f>-ROUND(AK523*'Drivers'!AE523,3)</x:f>
        <x:v>-91.995</x:v>
      </x:c>
      <x:c r="BO523" s="64" t="n">
        <x:f>BL523+BN523</x:f>
        <x:v>145.07600000000008</x:v>
      </x:c>
      <x:c r="BP523" s="65" t="n">
        <x:f>BO523/AK523</x:f>
        <x:v>0.1320959843825973</x:v>
      </x:c>
    </x:row>
    <x:row r="524">
      <x:c r="A524" s="61" t="n">
        <x:v>2026</x:v>
      </x:c>
      <x:c r="B524" s="18" t="str">
        <x:v>S1</x:v>
      </x:c>
      <x:c r="C524" s="18" t="str">
        <x:v>2026 S1</x:v>
      </x:c>
      <x:c r="D524" s="18" t="str">
        <x:v>CNCT0131</x:v>
      </x:c>
      <x:c r="E524" s="18" t="str">
        <x:v>青岛永旺东部店</x:v>
      </x:c>
      <x:c r="F524" s="18" t="str">
        <x:v>青岛</x:v>
      </x:c>
      <x:c r="G524" s="18" t="str">
        <x:v>山东省</x:v>
      </x:c>
      <x:c r="H524" s="18" t="str">
        <x:v>北区</x:v>
      </x:c>
      <x:c r="I524" s="18" t="str">
        <x:v>Shopping Mall</x:v>
      </x:c>
      <x:c r="J524" s="18" t="str">
        <x:v>Core Shopping Center</x:v>
      </x:c>
      <x:c r="K524" s="18" t="str">
        <x:v>正常</x:v>
      </x:c>
      <x:c r="L524" s="62" t="n">
        <x:v>3</x:v>
      </x:c>
      <x:c r="M524" s="62" t="n">
        <x:v>34</x:v>
      </x:c>
      <x:c r="N524" s="63" t="n">
        <x:f>'Drivers'!C524</x:f>
        <x:v>1059</x:v>
      </x:c>
      <x:c r="O524" s="63" t="n">
        <x:f>'Drivers'!D524</x:f>
        <x:v>1109.218</x:v>
      </x:c>
      <x:c r="P524" s="64" t="n">
        <x:f>ROUND(N524*O524/1000,3)</x:f>
        <x:v>1174.662</x:v>
      </x:c>
      <x:c r="Q524" s="64" t="n">
        <x:f>ROUND(P524*'Drivers'!E524,3)</x:f>
        <x:v>1146.779</x:v>
      </x:c>
      <x:c r="R524" s="64" t="n">
        <x:f>-ROUND(Q524*'Drivers'!F524,3)</x:f>
        <x:v>-218.382</x:v>
      </x:c>
      <x:c r="S524" s="65" t="n">
        <x:f>R524/Q524</x:f>
        <x:v>-0.19043076303280754</x:v>
      </x:c>
      <x:c r="T524" s="64" t="n">
        <x:f>-ROUND(Q524*'Drivers'!G524,3)</x:f>
        <x:v>-19.033</x:v>
      </x:c>
      <x:c r="U524" s="65" t="n">
        <x:f>T524/Q524</x:f>
        <x:v>-0.0165969205923722</x:v>
      </x:c>
      <x:c r="V524" s="64" t="n">
        <x:f>-ROUND(Q524*'Drivers'!H524,3)</x:f>
        <x:v>-13.945</x:v>
      </x:c>
      <x:c r="W524" s="64" t="n">
        <x:f>-ROUND(Q524*'Drivers'!I524,3)</x:f>
        <x:v>-7.046</x:v>
      </x:c>
      <x:c r="X524" s="64" t="n">
        <x:f>-ROUND(Q524*'Drivers'!J524,3)</x:f>
        <x:v>-11.719</x:v>
      </x:c>
      <x:c r="Y524" s="64" t="n">
        <x:f>-ROUND(Q524*'Drivers'!K524,3)</x:f>
        <x:v>-15.603</x:v>
      </x:c>
      <x:c r="Z524" s="64" t="n">
        <x:f>-ROUND(Q524*'Drivers'!L524,3)</x:f>
        <x:v>-13.302</x:v>
      </x:c>
      <x:c r="AA524" s="64" t="n">
        <x:f>-ROUND(Q524*'Drivers'!M524,3)</x:f>
        <x:v>-8.48</x:v>
      </x:c>
      <x:c r="AB524" s="64" t="n">
        <x:f>-ROUND(Q524*'Drivers'!N524,3)</x:f>
        <x:v>-7.702</x:v>
      </x:c>
      <x:c r="AC524" s="64" t="n">
        <x:f>SUM(V524:AB524)</x:f>
        <x:v>-77.797</x:v>
      </x:c>
      <x:c r="AD524" s="65" t="n">
        <x:f>AC524/Q524</x:f>
        <x:v>-0.06783957501837756</x:v>
      </x:c>
      <x:c r="AE524" s="64" t="n">
        <x:f>-ROUND(Q524*'Drivers'!O524,3)</x:f>
        <x:v>-7.762</x:v>
      </x:c>
      <x:c r="AF524" s="65" t="n">
        <x:f>AE524/Q524</x:f>
        <x:v>-0.006768522967372091</x:v>
      </x:c>
      <x:c r="AG524" s="64" t="n">
        <x:f>-ROUND(Q524*'Drivers'!P524,3)</x:f>
        <x:v>-2.404</x:v>
      </x:c>
      <x:c r="AH524" s="64" t="n">
        <x:f>-ROUND(Q524*'Drivers'!Q524,3)</x:f>
        <x:v>-4.796</x:v>
      </x:c>
      <x:c r="AI524" s="64" t="n">
        <x:f>SUM(R524,T524,AC524,AE524,AG524,AH524)</x:f>
        <x:v>-330.174</x:v>
      </x:c>
      <x:c r="AJ524" s="65" t="n">
        <x:f>AI524/Q524</x:f>
        <x:v>-0.28791423630882673</x:v>
      </x:c>
      <x:c r="AK524" s="64" t="n">
        <x:f>Q524+AI524</x:f>
        <x:v>816.605</x:v>
      </x:c>
      <x:c r="AL524" s="65" t="n">
        <x:f>AK524/Q524</x:f>
        <x:v>0.7120857636911733</x:v>
      </x:c>
      <x:c r="AM524" s="64" t="n">
        <x:f>AK524/L524</x:f>
        <x:v>272.20166666666665</x:v>
      </x:c>
      <x:c r="AN524" s="66" t="str">
        <x:f>IF(AM524&lt;=200,"≤200K",IF(AM524&lt;=350,"200–350K",IF(AM524&lt;=500,"350–500K",IF(AM524&lt;=700,"500–700K","&gt;700K"))))</x:f>
        <x:v>200–350K</x:v>
      </x:c>
      <x:c r="AO524" s="64" t="n">
        <x:f>-ROUND(Q524*'Drivers'!R524,3)</x:f>
        <x:v>-467.116</x:v>
      </x:c>
      <x:c r="AP524" s="64" t="n">
        <x:f>-ROUND(AK524*'Drivers'!S524,3)</x:f>
        <x:v>-12.004</x:v>
      </x:c>
      <x:c r="AQ524" s="64" t="n">
        <x:f>-ROUND(AK524*'Drivers'!T524,3)</x:f>
        <x:v>-5.491</x:v>
      </x:c>
      <x:c r="AR524" s="64" t="n">
        <x:f>-ROUND(AK524*'Drivers'!U524,3)</x:f>
        <x:v>-6.396</x:v>
      </x:c>
      <x:c r="AS524" s="64" t="n">
        <x:f>-ROUND(AK524*'Drivers'!V524,3)</x:f>
        <x:v>-28.049</x:v>
      </x:c>
      <x:c r="AT524" s="64" t="n">
        <x:f>SUM(AO524:AS524)</x:f>
        <x:v>-519.056</x:v>
      </x:c>
      <x:c r="AU524" s="65" t="n">
        <x:f>AT524/AK524</x:f>
        <x:v>-0.6356267718174639</x:v>
      </x:c>
      <x:c r="AV524" s="64" t="n">
        <x:f>AK524+AT524</x:f>
        <x:v>297.549</x:v>
      </x:c>
      <x:c r="AW524" s="65" t="n">
        <x:f>AV524/AK524</x:f>
        <x:v>0.3643732281825362</x:v>
      </x:c>
      <x:c r="AX524" s="64" t="n">
        <x:f>-ROUND(AK524*'Drivers'!W524,3)</x:f>
        <x:v>-11.813</x:v>
      </x:c>
      <x:c r="AY524" s="64" t="n">
        <x:f>-ROUND(AK524*'Drivers'!X524,3)</x:f>
        <x:v>-24.555</x:v>
      </x:c>
      <x:c r="AZ524" s="64" t="n">
        <x:f>-ROUND(AK524*'Drivers'!Y524,3)</x:f>
        <x:v>-19.84</x:v>
      </x:c>
      <x:c r="BA524" s="64" t="n">
        <x:f>-ROUND(AK524*'Drivers'!Z524,3)</x:f>
        <x:v>-5.614</x:v>
      </x:c>
      <x:c r="BB524" s="64" t="n">
        <x:f>-ROUND(AK524*'Drivers'!AA524,3)</x:f>
        <x:v>-6.727</x:v>
      </x:c>
      <x:c r="BC524" s="64" t="n">
        <x:f>SUM(BA524,BB524)</x:f>
        <x:v>-12.341000000000001</x:v>
      </x:c>
      <x:c r="BD524" s="64" t="n">
        <x:f>-ROUND(AK524*'Drivers'!AB524,3)</x:f>
        <x:v>-4.962</x:v>
      </x:c>
      <x:c r="BE524" s="64" t="n">
        <x:f>SUM(AX524:BB524,BD524)</x:f>
        <x:v>-73.511</x:v>
      </x:c>
      <x:c r="BF524" s="67" t="n">
        <x:f>'Drivers'!AF524</x:f>
        <x:v>5</x:v>
      </x:c>
      <x:c r="BG524" s="64" t="n">
        <x:f>BJ524</x:f>
        <x:v>-35.142</x:v>
      </x:c>
      <x:c r="BH524" s="64" t="n">
        <x:f>BE524/BF524</x:f>
        <x:v>-14.7022</x:v>
      </x:c>
      <x:c r="BI524" s="68" t="n">
        <x:f>BF524/L524</x:f>
        <x:v>1.6666666666666667</x:v>
      </x:c>
      <x:c r="BJ524" s="64" t="n">
        <x:f>-ROUND(AK524*'Drivers'!AC524,3)</x:f>
        <x:v>-35.142</x:v>
      </x:c>
      <x:c r="BK524" s="64" t="n">
        <x:f>-ROUND(AK524*'Drivers'!AD524,3)</x:f>
        <x:v>-87.727</x:v>
      </x:c>
      <x:c r="BL524" s="64" t="n">
        <x:f>SUM(AV524,BE524,BJ524,BK524)</x:f>
        <x:v>101.16899999999998</x:v>
      </x:c>
      <x:c r="BM524" s="65" t="n">
        <x:f>BL524/AK524</x:f>
        <x:v>0.12388976310456093</x:v>
      </x:c>
      <x:c r="BN524" s="64" t="n">
        <x:f>-ROUND(AK524*'Drivers'!AE524,3)</x:f>
        <x:v>-120.51</x:v>
      </x:c>
      <x:c r="BO524" s="64" t="n">
        <x:f>BL524+BN524</x:f>
        <x:v>-19.341000000000022</x:v>
      </x:c>
      <x:c r="BP524" s="65" t="n">
        <x:f>BO524/AK524</x:f>
        <x:v>-0.02368464557527816</x:v>
      </x:c>
    </x:row>
    <x:row r="525">
      <x:c r="A525" s="61" t="n">
        <x:v>2026</x:v>
      </x:c>
      <x:c r="B525" s="18" t="str">
        <x:v>S2</x:v>
      </x:c>
      <x:c r="C525" s="18" t="str">
        <x:v>2026 S2</x:v>
      </x:c>
      <x:c r="D525" s="18" t="str">
        <x:v>CNCT0131</x:v>
      </x:c>
      <x:c r="E525" s="18" t="str">
        <x:v>青岛永旺东部店</x:v>
      </x:c>
      <x:c r="F525" s="18" t="str">
        <x:v>青岛</x:v>
      </x:c>
      <x:c r="G525" s="18" t="str">
        <x:v>山东省</x:v>
      </x:c>
      <x:c r="H525" s="18" t="str">
        <x:v>北区</x:v>
      </x:c>
      <x:c r="I525" s="18" t="str">
        <x:v>Shopping Mall</x:v>
      </x:c>
      <x:c r="J525" s="18" t="str">
        <x:v>Core Shopping Center</x:v>
      </x:c>
      <x:c r="K525" s="18" t="str">
        <x:v>正常</x:v>
      </x:c>
      <x:c r="L525" s="62" t="n">
        <x:v>3</x:v>
      </x:c>
      <x:c r="M525" s="62" t="n">
        <x:v>34</x:v>
      </x:c>
      <x:c r="N525" s="63" t="n">
        <x:f>'Drivers'!C525</x:f>
        <x:v>1227</x:v>
      </x:c>
      <x:c r="O525" s="63" t="n">
        <x:f>'Drivers'!D525</x:f>
        <x:v>1103.722</x:v>
      </x:c>
      <x:c r="P525" s="64" t="n">
        <x:f>ROUND(N525*O525/1000,3)</x:f>
        <x:v>1354.267</x:v>
      </x:c>
      <x:c r="Q525" s="64" t="n">
        <x:f>ROUND(P525*'Drivers'!E525,3)</x:f>
        <x:v>1323.081</x:v>
      </x:c>
      <x:c r="R525" s="64" t="n">
        <x:f>-ROUND(Q525*'Drivers'!F525,3)</x:f>
        <x:v>-227.583</x:v>
      </x:c>
      <x:c r="S525" s="65" t="n">
        <x:f>R525/Q525</x:f>
        <x:v>-0.17200987694630943</x:v>
      </x:c>
      <x:c r="T525" s="64" t="n">
        <x:f>-ROUND(Q525*'Drivers'!G525,3)</x:f>
        <x:v>-23.121</x:v>
      </x:c>
      <x:c r="U525" s="65" t="n">
        <x:f>T525/Q525</x:f>
        <x:v>-0.017475120570849403</x:v>
      </x:c>
      <x:c r="V525" s="64" t="n">
        <x:f>-ROUND(Q525*'Drivers'!H525,3)</x:f>
        <x:v>-16.088</x:v>
      </x:c>
      <x:c r="W525" s="64" t="n">
        <x:f>-ROUND(Q525*'Drivers'!I525,3)</x:f>
        <x:v>-8.129</x:v>
      </x:c>
      <x:c r="X525" s="64" t="n">
        <x:f>-ROUND(Q525*'Drivers'!J525,3)</x:f>
        <x:v>-13.521</x:v>
      </x:c>
      <x:c r="Y525" s="64" t="n">
        <x:f>-ROUND(Q525*'Drivers'!K525,3)</x:f>
        <x:v>-18.001</x:v>
      </x:c>
      <x:c r="Z525" s="64" t="n">
        <x:f>-ROUND(Q525*'Drivers'!L525,3)</x:f>
        <x:v>-15.347</x:v>
      </x:c>
      <x:c r="AA525" s="64" t="n">
        <x:f>-ROUND(Q525*'Drivers'!M525,3)</x:f>
        <x:v>-9.784</x:v>
      </x:c>
      <x:c r="AB525" s="64" t="n">
        <x:f>-ROUND(Q525*'Drivers'!N525,3)</x:f>
        <x:v>-8.886</x:v>
      </x:c>
      <x:c r="AC525" s="64" t="n">
        <x:f>SUM(V525:AB525)</x:f>
        <x:v>-89.756</x:v>
      </x:c>
      <x:c r="AD525" s="65" t="n">
        <x:f>AC525/Q525</x:f>
        <x:v>-0.06783862817166901</x:v>
      </x:c>
      <x:c r="AE525" s="64" t="n">
        <x:f>-ROUND(Q525*'Drivers'!O525,3)</x:f>
        <x:v>-11.33</x:v>
      </x:c>
      <x:c r="AF525" s="65" t="n">
        <x:f>AE525/Q525</x:f>
        <x:v>-0.008563345705969628</x:v>
      </x:c>
      <x:c r="AG525" s="64" t="n">
        <x:f>-ROUND(Q525*'Drivers'!P525,3)</x:f>
        <x:v>-2.773</x:v>
      </x:c>
      <x:c r="AH525" s="64" t="n">
        <x:f>-ROUND(Q525*'Drivers'!Q525,3)</x:f>
        <x:v>-5.533</x:v>
      </x:c>
      <x:c r="AI525" s="64" t="n">
        <x:f>SUM(R525,T525,AC525,AE525,AG525,AH525)</x:f>
        <x:v>-360.09600000000006</x:v>
      </x:c>
      <x:c r="AJ525" s="65" t="n">
        <x:f>AI525/Q525</x:f>
        <x:v>-0.2721647427481765</x:v>
      </x:c>
      <x:c r="AK525" s="64" t="n">
        <x:f>Q525+AI525</x:f>
        <x:v>962.9849999999999</x:v>
      </x:c>
      <x:c r="AL525" s="65" t="n">
        <x:f>AK525/Q525</x:f>
        <x:v>0.7278352572518235</x:v>
      </x:c>
      <x:c r="AM525" s="64" t="n">
        <x:f>AK525/L525</x:f>
        <x:v>320.99499999999995</x:v>
      </x:c>
      <x:c r="AN525" s="66" t="str">
        <x:f>IF(AM525&lt;=200,"≤200K",IF(AM525&lt;=350,"200–350K",IF(AM525&lt;=500,"350–500K",IF(AM525&lt;=700,"500–700K","&gt;700K"))))</x:f>
        <x:v>200–350K</x:v>
      </x:c>
      <x:c r="AO525" s="64" t="n">
        <x:f>-ROUND(Q525*'Drivers'!R525,3)</x:f>
        <x:v>-527.597</x:v>
      </x:c>
      <x:c r="AP525" s="64" t="n">
        <x:f>-ROUND(AK525*'Drivers'!S525,3)</x:f>
        <x:v>-14.155</x:v>
      </x:c>
      <x:c r="AQ525" s="64" t="n">
        <x:f>-ROUND(AK525*'Drivers'!T525,3)</x:f>
        <x:v>-6.476</x:v>
      </x:c>
      <x:c r="AR525" s="64" t="n">
        <x:f>-ROUND(AK525*'Drivers'!U525,3)</x:f>
        <x:v>-7.542</x:v>
      </x:c>
      <x:c r="AS525" s="64" t="n">
        <x:f>-ROUND(AK525*'Drivers'!V525,3)</x:f>
        <x:v>-33.077</x:v>
      </x:c>
      <x:c r="AT525" s="64" t="n">
        <x:f>SUM(AO525:AS525)</x:f>
        <x:v>-588.847</x:v>
      </x:c>
      <x:c r="AU525" s="65" t="n">
        <x:f>AT525/AK525</x:f>
        <x:v>-0.6114809680316932</x:v>
      </x:c>
      <x:c r="AV525" s="64" t="n">
        <x:f>AK525+AT525</x:f>
        <x:v>374.1379999999999</x:v>
      </x:c>
      <x:c r="AW525" s="65" t="n">
        <x:f>AV525/AK525</x:f>
        <x:v>0.38851903196830684</x:v>
      </x:c>
      <x:c r="AX525" s="64" t="n">
        <x:f>-ROUND(AK525*'Drivers'!W525,3)</x:f>
        <x:v>-12.001</x:v>
      </x:c>
      <x:c r="AY525" s="64" t="n">
        <x:f>-ROUND(AK525*'Drivers'!X525,3)</x:f>
        <x:v>-24.945</x:v>
      </x:c>
      <x:c r="AZ525" s="64" t="n">
        <x:f>-ROUND(AK525*'Drivers'!Y525,3)</x:f>
        <x:v>-20.155</x:v>
      </x:c>
      <x:c r="BA525" s="64" t="n">
        <x:f>-ROUND(AK525*'Drivers'!Z525,3)</x:f>
        <x:v>-5.703</x:v>
      </x:c>
      <x:c r="BB525" s="64" t="n">
        <x:f>-ROUND(AK525*'Drivers'!AA525,3)</x:f>
        <x:v>-6.834</x:v>
      </x:c>
      <x:c r="BC525" s="64" t="n">
        <x:f>SUM(BA525,BB525)</x:f>
        <x:v>-12.536999999999999</x:v>
      </x:c>
      <x:c r="BD525" s="64" t="n">
        <x:f>-ROUND(AK525*'Drivers'!AB525,3)</x:f>
        <x:v>-5.041</x:v>
      </x:c>
      <x:c r="BE525" s="64" t="n">
        <x:f>SUM(AX525:BB525,BD525)</x:f>
        <x:v>-74.679</x:v>
      </x:c>
      <x:c r="BF525" s="67" t="n">
        <x:f>'Drivers'!AF525</x:f>
        <x:v>5</x:v>
      </x:c>
      <x:c r="BG525" s="64" t="n">
        <x:f>BJ525</x:f>
        <x:v>-35.701</x:v>
      </x:c>
      <x:c r="BH525" s="64" t="n">
        <x:f>BE525/BF525</x:f>
        <x:v>-14.9358</x:v>
      </x:c>
      <x:c r="BI525" s="68" t="n">
        <x:f>BF525/L525</x:f>
        <x:v>1.6666666666666667</x:v>
      </x:c>
      <x:c r="BJ525" s="64" t="n">
        <x:f>-ROUND(AK525*'Drivers'!AC525,3)</x:f>
        <x:v>-35.701</x:v>
      </x:c>
      <x:c r="BK525" s="64" t="n">
        <x:f>-ROUND(AK525*'Drivers'!AD525,3)</x:f>
        <x:v>-101.572</x:v>
      </x:c>
      <x:c r="BL525" s="64" t="n">
        <x:f>SUM(AV525,BE525,BJ525,BK525)</x:f>
        <x:v>162.18599999999992</x:v>
      </x:c>
      <x:c r="BM525" s="65" t="n">
        <x:f>BL525/AK525</x:f>
        <x:v>0.16842006884842436</x:v>
      </x:c>
      <x:c r="BN525" s="64" t="n">
        <x:f>-ROUND(AK525*'Drivers'!AE525,3)</x:f>
        <x:v>-144.202</x:v>
      </x:c>
      <x:c r="BO525" s="64" t="n">
        <x:f>BL525+BN525</x:f>
        <x:v>17.983999999999924</x:v>
      </x:c>
      <x:c r="BP525" s="65" t="n">
        <x:f>BO525/AK525</x:f>
        <x:v>0.01867526493143707</x:v>
      </x:c>
    </x:row>
    <x:row r="526">
      <x:c r="A526" s="61" t="n">
        <x:v>2025</x:v>
      </x:c>
      <x:c r="B526" s="18" t="str">
        <x:v>S1</x:v>
      </x:c>
      <x:c r="C526" s="18" t="str">
        <x:v>2025 S1</x:v>
      </x:c>
      <x:c r="D526" s="18" t="str">
        <x:v>CNCT0132</x:v>
      </x:c>
      <x:c r="E526" s="18" t="str">
        <x:v>青岛百丽广场</x:v>
      </x:c>
      <x:c r="F526" s="18" t="str">
        <x:v>青岛</x:v>
      </x:c>
      <x:c r="G526" s="18" t="str">
        <x:v>山东省</x:v>
      </x:c>
      <x:c r="H526" s="18" t="str">
        <x:v>北区</x:v>
      </x:c>
      <x:c r="I526" s="18" t="str">
        <x:v>Shopping Mall</x:v>
      </x:c>
      <x:c r="J526" s="18" t="str">
        <x:v>Core Shopping Center</x:v>
      </x:c>
      <x:c r="K526" s="18" t="str">
        <x:v>正常</x:v>
      </x:c>
      <x:c r="L526" s="62" t="n">
        <x:v>4</x:v>
      </x:c>
      <x:c r="M526" s="62" t="n">
        <x:v>34</x:v>
      </x:c>
      <x:c r="N526" s="63" t="n">
        <x:f>'Drivers'!C526</x:f>
        <x:v>1683</x:v>
      </x:c>
      <x:c r="O526" s="63" t="n">
        <x:f>'Drivers'!D526</x:f>
        <x:v>1092.212</x:v>
      </x:c>
      <x:c r="P526" s="64" t="n">
        <x:f>ROUND(N526*O526/1000,3)</x:f>
        <x:v>1838.193</x:v>
      </x:c>
      <x:c r="Q526" s="64" t="n">
        <x:f>ROUND(P526*'Drivers'!E526,3)</x:f>
        <x:v>1781.469</x:v>
      </x:c>
      <x:c r="R526" s="64" t="n">
        <x:f>-ROUND(Q526*'Drivers'!F526,3)</x:f>
        <x:v>-272.901</x:v>
      </x:c>
      <x:c r="S526" s="65" t="n">
        <x:f>R526/Q526</x:f>
        <x:v>-0.15318874479432423</x:v>
      </x:c>
      <x:c r="T526" s="64" t="n">
        <x:f>-ROUND(Q526*'Drivers'!G526,3)</x:f>
        <x:v>-36.454</x:v>
      </x:c>
      <x:c r="U526" s="65" t="n">
        <x:f>T526/Q526</x:f>
        <x:v>-0.020462887650584995</x:v>
      </x:c>
      <x:c r="V526" s="64" t="n">
        <x:f>-ROUND(Q526*'Drivers'!H526,3)</x:f>
        <x:v>-16.964</x:v>
      </x:c>
      <x:c r="W526" s="64" t="n">
        <x:f>-ROUND(Q526*'Drivers'!I526,3)</x:f>
        <x:v>-10.293</x:v>
      </x:c>
      <x:c r="X526" s="64" t="n">
        <x:f>-ROUND(Q526*'Drivers'!J526,3)</x:f>
        <x:v>-22.228</x:v>
      </x:c>
      <x:c r="Y526" s="64" t="n">
        <x:f>-ROUND(Q526*'Drivers'!K526,3)</x:f>
        <x:v>-19.918</x:v>
      </x:c>
      <x:c r="Z526" s="64" t="n">
        <x:f>-ROUND(Q526*'Drivers'!L526,3)</x:f>
        <x:v>-20.145</x:v>
      </x:c>
      <x:c r="AA526" s="64" t="n">
        <x:f>-ROUND(Q526*'Drivers'!M526,3)</x:f>
        <x:v>-16.004</x:v>
      </x:c>
      <x:c r="AB526" s="64" t="n">
        <x:f>-ROUND(Q526*'Drivers'!N526,3)</x:f>
        <x:v>-11.002</x:v>
      </x:c>
      <x:c r="AC526" s="64" t="n">
        <x:f>SUM(V526:AB526)</x:f>
        <x:v>-116.55399999999999</x:v>
      </x:c>
      <x:c r="AD526" s="65" t="n">
        <x:f>AC526/Q526</x:f>
        <x:v>-0.06542578063384767</x:v>
      </x:c>
      <x:c r="AE526" s="64" t="n">
        <x:f>-ROUND(Q526*'Drivers'!O526,3)</x:f>
        <x:v>-21.589</x:v>
      </x:c>
      <x:c r="AF526" s="65" t="n">
        <x:f>AE526/Q526</x:f>
        <x:v>-0.012118650394702349</x:v>
      </x:c>
      <x:c r="AG526" s="64" t="n">
        <x:f>-ROUND(Q526*'Drivers'!P526,3)</x:f>
        <x:v>-2.073</x:v>
      </x:c>
      <x:c r="AH526" s="64" t="n">
        <x:f>-ROUND(Q526*'Drivers'!Q526,3)</x:f>
        <x:v>-11.919</x:v>
      </x:c>
      <x:c r="AI526" s="64" t="n">
        <x:f>SUM(R526,T526,AC526,AE526,AG526,AH526)</x:f>
        <x:v>-461.48999999999995</x:v>
      </x:c>
      <x:c r="AJ526" s="65" t="n">
        <x:f>AI526/Q526</x:f>
        <x:v>-0.25905025571592877</x:v>
      </x:c>
      <x:c r="AK526" s="64" t="n">
        <x:f>Q526+AI526</x:f>
        <x:v>1319.979</x:v>
      </x:c>
      <x:c r="AL526" s="65" t="n">
        <x:f>AK526/Q526</x:f>
        <x:v>0.7409497442840712</x:v>
      </x:c>
      <x:c r="AM526" s="64" t="n">
        <x:f>AK526/L526</x:f>
        <x:v>329.99475</x:v>
      </x:c>
      <x:c r="AN526" s="66" t="str">
        <x:f>IF(AM526&lt;=200,"≤200K",IF(AM526&lt;=350,"200–350K",IF(AM526&lt;=500,"350–500K",IF(AM526&lt;=700,"500–700K","&gt;700K"))))</x:f>
        <x:v>200–350K</x:v>
      </x:c>
      <x:c r="AO526" s="64" t="n">
        <x:f>-ROUND(Q526*'Drivers'!R526,3)</x:f>
        <x:v>-662.298</x:v>
      </x:c>
      <x:c r="AP526" s="64" t="n">
        <x:f>-ROUND(AK526*'Drivers'!S526,3)</x:f>
        <x:v>-15.181</x:v>
      </x:c>
      <x:c r="AQ526" s="64" t="n">
        <x:f>-ROUND(AK526*'Drivers'!T526,3)</x:f>
        <x:v>-7.886</x:v>
      </x:c>
      <x:c r="AR526" s="64" t="n">
        <x:f>-ROUND(AK526*'Drivers'!U526,3)</x:f>
        <x:v>-15.406</x:v>
      </x:c>
      <x:c r="AS526" s="64" t="n">
        <x:f>-ROUND(AK526*'Drivers'!V526,3)</x:f>
        <x:v>-50.276</x:v>
      </x:c>
      <x:c r="AT526" s="64" t="n">
        <x:f>SUM(AO526:AS526)</x:f>
        <x:v>-751.0469999999999</x:v>
      </x:c>
      <x:c r="AU526" s="65" t="n">
        <x:f>AT526/AK526</x:f>
        <x:v>-0.5689840520190093</x:v>
      </x:c>
      <x:c r="AV526" s="64" t="n">
        <x:f>AK526+AT526</x:f>
        <x:v>568.9320000000001</x:v>
      </x:c>
      <x:c r="AW526" s="65" t="n">
        <x:f>AV526/AK526</x:f>
        <x:v>0.4310159479809907</x:v>
      </x:c>
      <x:c r="AX526" s="64" t="n">
        <x:f>-ROUND(AK526*'Drivers'!W526,3)</x:f>
        <x:v>-17.273</x:v>
      </x:c>
      <x:c r="AY526" s="64" t="n">
        <x:f>-ROUND(AK526*'Drivers'!X526,3)</x:f>
        <x:v>-31.099</x:v>
      </x:c>
      <x:c r="AZ526" s="64" t="n">
        <x:f>-ROUND(AK526*'Drivers'!Y526,3)</x:f>
        <x:v>-25.953</x:v>
      </x:c>
      <x:c r="BA526" s="64" t="n">
        <x:f>-ROUND(AK526*'Drivers'!Z526,3)</x:f>
        <x:v>-7.843</x:v>
      </x:c>
      <x:c r="BB526" s="64" t="n">
        <x:f>-ROUND(AK526*'Drivers'!AA526,3)</x:f>
        <x:v>-8.014</x:v>
      </x:c>
      <x:c r="BC526" s="64" t="n">
        <x:f>SUM(BA526,BB526)</x:f>
        <x:v>-15.857</x:v>
      </x:c>
      <x:c r="BD526" s="64" t="n">
        <x:f>-ROUND(AK526*'Drivers'!AB526,3)</x:f>
        <x:v>-7.701</x:v>
      </x:c>
      <x:c r="BE526" s="64" t="n">
        <x:f>SUM(AX526:BB526,BD526)</x:f>
        <x:v>-97.883</x:v>
      </x:c>
      <x:c r="BF526" s="67" t="n">
        <x:f>'Drivers'!AF526</x:f>
        <x:v>6</x:v>
      </x:c>
      <x:c r="BG526" s="64" t="n">
        <x:f>BJ526</x:f>
        <x:v>-33.324</x:v>
      </x:c>
      <x:c r="BH526" s="64" t="n">
        <x:f>BE526/BF526</x:f>
        <x:v>-16.31383333333333</x:v>
      </x:c>
      <x:c r="BI526" s="68" t="n">
        <x:f>BF526/L526</x:f>
        <x:v>1.5</x:v>
      </x:c>
      <x:c r="BJ526" s="64" t="n">
        <x:f>-ROUND(AK526*'Drivers'!AC526,3)</x:f>
        <x:v>-33.324</x:v>
      </x:c>
      <x:c r="BK526" s="64" t="n">
        <x:f>-ROUND(AK526*'Drivers'!AD526,3)</x:f>
        <x:v>-124.997</x:v>
      </x:c>
      <x:c r="BL526" s="64" t="n">
        <x:f>SUM(AV526,BE526,BJ526,BK526)</x:f>
        <x:v>312.7280000000001</x:v>
      </x:c>
      <x:c r="BM526" s="65" t="n">
        <x:f>BL526/AK526</x:f>
        <x:v>0.23691892067979878</x:v>
      </x:c>
      <x:c r="BN526" s="64" t="n">
        <x:f>-ROUND(AK526*'Drivers'!AE526,3)</x:f>
        <x:v>-126.352</x:v>
      </x:c>
      <x:c r="BO526" s="64" t="n">
        <x:f>BL526+BN526</x:f>
        <x:v>186.37600000000012</x:v>
      </x:c>
      <x:c r="BP526" s="65" t="n">
        <x:f>BO526/AK526</x:f>
        <x:v>0.14119618569689374</x:v>
      </x:c>
    </x:row>
    <x:row r="527">
      <x:c r="A527" s="61" t="n">
        <x:v>2025</x:v>
      </x:c>
      <x:c r="B527" s="18" t="str">
        <x:v>S2</x:v>
      </x:c>
      <x:c r="C527" s="18" t="str">
        <x:v>2025 S2</x:v>
      </x:c>
      <x:c r="D527" s="18" t="str">
        <x:v>CNCT0132</x:v>
      </x:c>
      <x:c r="E527" s="18" t="str">
        <x:v>青岛百丽广场</x:v>
      </x:c>
      <x:c r="F527" s="18" t="str">
        <x:v>青岛</x:v>
      </x:c>
      <x:c r="G527" s="18" t="str">
        <x:v>山东省</x:v>
      </x:c>
      <x:c r="H527" s="18" t="str">
        <x:v>北区</x:v>
      </x:c>
      <x:c r="I527" s="18" t="str">
        <x:v>Shopping Mall</x:v>
      </x:c>
      <x:c r="J527" s="18" t="str">
        <x:v>Core Shopping Center</x:v>
      </x:c>
      <x:c r="K527" s="18" t="str">
        <x:v>正常</x:v>
      </x:c>
      <x:c r="L527" s="62" t="n">
        <x:v>4</x:v>
      </x:c>
      <x:c r="M527" s="62" t="n">
        <x:v>34</x:v>
      </x:c>
      <x:c r="N527" s="63" t="n">
        <x:f>'Drivers'!C527</x:f>
        <x:v>1842</x:v>
      </x:c>
      <x:c r="O527" s="63" t="n">
        <x:f>'Drivers'!D527</x:f>
        <x:v>1105.319</x:v>
      </x:c>
      <x:c r="P527" s="64" t="n">
        <x:f>ROUND(N527*O527/1000,3)</x:f>
        <x:v>2035.998</x:v>
      </x:c>
      <x:c r="Q527" s="64" t="n">
        <x:f>ROUND(P527*'Drivers'!E527,3)</x:f>
        <x:v>1989.099</x:v>
      </x:c>
      <x:c r="R527" s="64" t="n">
        <x:f>-ROUND(Q527*'Drivers'!F527,3)</x:f>
        <x:v>-304.707</x:v>
      </x:c>
      <x:c r="S527" s="65" t="n">
        <x:f>R527/Q527</x:f>
        <x:v>-0.1531884536667104</x:v>
      </x:c>
      <x:c r="T527" s="64" t="n">
        <x:f>-ROUND(Q527*'Drivers'!G527,3)</x:f>
        <x:v>-40.703</x:v>
      </x:c>
      <x:c r="U527" s="65" t="n">
        <x:f>T527/Q527</x:f>
        <x:v>-0.02046303376553907</x:v>
      </x:c>
      <x:c r="V527" s="64" t="n">
        <x:f>-ROUND(Q527*'Drivers'!H527,3)</x:f>
        <x:v>-18.941</x:v>
      </x:c>
      <x:c r="W527" s="64" t="n">
        <x:f>-ROUND(Q527*'Drivers'!I527,3)</x:f>
        <x:v>-11.492</x:v>
      </x:c>
      <x:c r="X527" s="64" t="n">
        <x:f>-ROUND(Q527*'Drivers'!J527,3)</x:f>
        <x:v>-24.818</x:v>
      </x:c>
      <x:c r="Y527" s="64" t="n">
        <x:f>-ROUND(Q527*'Drivers'!K527,3)</x:f>
        <x:v>-22.239</x:v>
      </x:c>
      <x:c r="Z527" s="64" t="n">
        <x:f>-ROUND(Q527*'Drivers'!L527,3)</x:f>
        <x:v>-22.493</x:v>
      </x:c>
      <x:c r="AA527" s="64" t="n">
        <x:f>-ROUND(Q527*'Drivers'!M527,3)</x:f>
        <x:v>-17.87</x:v>
      </x:c>
      <x:c r="AB527" s="64" t="n">
        <x:f>-ROUND(Q527*'Drivers'!N527,3)</x:f>
        <x:v>-12.284</x:v>
      </x:c>
      <x:c r="AC527" s="64" t="n">
        <x:f>SUM(V527:AB527)</x:f>
        <x:v>-130.137</x:v>
      </x:c>
      <x:c r="AD527" s="65" t="n">
        <x:f>AC527/Q527</x:f>
        <x:v>-0.06542509950485119</x:v>
      </x:c>
      <x:c r="AE527" s="64" t="n">
        <x:f>-ROUND(Q527*'Drivers'!O527,3)</x:f>
        <x:v>-24.105</x:v>
      </x:c>
      <x:c r="AF527" s="65" t="n">
        <x:f>AE527/Q527</x:f>
        <x:v>-0.012118552168594927</x:v>
      </x:c>
      <x:c r="AG527" s="64" t="n">
        <x:f>-ROUND(Q527*'Drivers'!P527,3)</x:f>
        <x:v>-2.314</x:v>
      </x:c>
      <x:c r="AH527" s="64" t="n">
        <x:f>-ROUND(Q527*'Drivers'!Q527,3)</x:f>
        <x:v>-13.308</x:v>
      </x:c>
      <x:c r="AI527" s="64" t="n">
        <x:f>SUM(R527,T527,AC527,AE527,AG527,AH527)</x:f>
        <x:v>-515.274</x:v>
      </x:c>
      <x:c r="AJ527" s="65" t="n">
        <x:f>AI527/Q527</x:f>
        <x:v>-0.25904894628170844</x:v>
      </x:c>
      <x:c r="AK527" s="64" t="n">
        <x:f>Q527+AI527</x:f>
        <x:v>1473.8249999999998</x:v>
      </x:c>
      <x:c r="AL527" s="65" t="n">
        <x:f>AK527/Q527</x:f>
        <x:v>0.7409510537182915</x:v>
      </x:c>
      <x:c r="AM527" s="64" t="n">
        <x:f>AK527/L527</x:f>
        <x:v>368.45624999999995</x:v>
      </x:c>
      <x:c r="AN527" s="66" t="str">
        <x:f>IF(AM527&lt;=200,"≤200K",IF(AM527&lt;=350,"200–350K",IF(AM527&lt;=500,"350–500K",IF(AM527&lt;=700,"500–700K","&gt;700K"))))</x:f>
        <x:v>350–500K</x:v>
      </x:c>
      <x:c r="AO527" s="64" t="n">
        <x:f>-ROUND(Q527*'Drivers'!R527,3)</x:f>
        <x:v>-766.167</x:v>
      </x:c>
      <x:c r="AP527" s="64" t="n">
        <x:f>-ROUND(AK527*'Drivers'!S527,3)</x:f>
        <x:v>-16.95</x:v>
      </x:c>
      <x:c r="AQ527" s="64" t="n">
        <x:f>-ROUND(AK527*'Drivers'!T527,3)</x:f>
        <x:v>-8.806</x:v>
      </x:c>
      <x:c r="AR527" s="64" t="n">
        <x:f>-ROUND(AK527*'Drivers'!U527,3)</x:f>
        <x:v>-17.202</x:v>
      </x:c>
      <x:c r="AS527" s="64" t="n">
        <x:f>-ROUND(AK527*'Drivers'!V527,3)</x:f>
        <x:v>-56.136</x:v>
      </x:c>
      <x:c r="AT527" s="64" t="n">
        <x:f>SUM(AO527:AS527)</x:f>
        <x:v>-865.2610000000001</x:v>
      </x:c>
      <x:c r="AU527" s="65" t="n">
        <x:f>AT527/AK527</x:f>
        <x:v>-0.5870853052431599</x:v>
      </x:c>
      <x:c r="AV527" s="64" t="n">
        <x:f>AK527+AT527</x:f>
        <x:v>608.5639999999997</x:v>
      </x:c>
      <x:c r="AW527" s="65" t="n">
        <x:f>AV527/AK527</x:f>
        <x:v>0.41291469475684006</x:v>
      </x:c>
      <x:c r="AX527" s="64" t="n">
        <x:f>-ROUND(AK527*'Drivers'!W527,3)</x:f>
        <x:v>-19.286</x:v>
      </x:c>
      <x:c r="AY527" s="64" t="n">
        <x:f>-ROUND(AK527*'Drivers'!X527,3)</x:f>
        <x:v>-34.724</x:v>
      </x:c>
      <x:c r="AZ527" s="64" t="n">
        <x:f>-ROUND(AK527*'Drivers'!Y527,3)</x:f>
        <x:v>-28.977</x:v>
      </x:c>
      <x:c r="BA527" s="64" t="n">
        <x:f>-ROUND(AK527*'Drivers'!Z527,3)</x:f>
        <x:v>-8.757</x:v>
      </x:c>
      <x:c r="BB527" s="64" t="n">
        <x:f>-ROUND(AK527*'Drivers'!AA527,3)</x:f>
        <x:v>-8.948</x:v>
      </x:c>
      <x:c r="BC527" s="64" t="n">
        <x:f>SUM(BA527,BB527)</x:f>
        <x:v>-17.705</x:v>
      </x:c>
      <x:c r="BD527" s="64" t="n">
        <x:f>-ROUND(AK527*'Drivers'!AB527,3)</x:f>
        <x:v>-8.599</x:v>
      </x:c>
      <x:c r="BE527" s="64" t="n">
        <x:f>SUM(AX527:BB527,BD527)</x:f>
        <x:v>-109.29100000000001</x:v>
      </x:c>
      <x:c r="BF527" s="67" t="n">
        <x:f>'Drivers'!AF527</x:f>
        <x:v>6</x:v>
      </x:c>
      <x:c r="BG527" s="64" t="n">
        <x:f>BJ527</x:f>
        <x:v>-37.208</x:v>
      </x:c>
      <x:c r="BH527" s="64" t="n">
        <x:f>BE527/BF527</x:f>
        <x:v>-18.21516666666667</x:v>
      </x:c>
      <x:c r="BI527" s="68" t="n">
        <x:f>BF527/L527</x:f>
        <x:v>1.5</x:v>
      </x:c>
      <x:c r="BJ527" s="64" t="n">
        <x:f>-ROUND(AK527*'Drivers'!AC527,3)</x:f>
        <x:v>-37.208</x:v>
      </x:c>
      <x:c r="BK527" s="64" t="n">
        <x:f>-ROUND(AK527*'Drivers'!AD527,3)</x:f>
        <x:v>-139.566</x:v>
      </x:c>
      <x:c r="BL527" s="64" t="n">
        <x:f>SUM(AV527,BE527,BJ527,BK527)</x:f>
        <x:v>322.4989999999997</x:v>
      </x:c>
      <x:c r="BM527" s="65" t="n">
        <x:f>BL527/AK527</x:f>
        <x:v>0.21881770223737534</x:v>
      </x:c>
      <x:c r="BN527" s="64" t="n">
        <x:f>-ROUND(AK527*'Drivers'!AE527,3)</x:f>
        <x:v>-141.078</x:v>
      </x:c>
      <x:c r="BO527" s="64" t="n">
        <x:f>BL527+BN527</x:f>
        <x:v>181.42099999999968</x:v>
      </x:c>
      <x:c r="BP527" s="65" t="n">
        <x:f>BO527/AK527</x:f>
        <x:v>0.12309534714094258</x:v>
      </x:c>
    </x:row>
    <x:row r="528">
      <x:c r="A528" s="61" t="n">
        <x:v>2026</x:v>
      </x:c>
      <x:c r="B528" s="18" t="str">
        <x:v>S1</x:v>
      </x:c>
      <x:c r="C528" s="18" t="str">
        <x:v>2026 S1</x:v>
      </x:c>
      <x:c r="D528" s="18" t="str">
        <x:v>CNCT0132</x:v>
      </x:c>
      <x:c r="E528" s="18" t="str">
        <x:v>青岛百丽广场</x:v>
      </x:c>
      <x:c r="F528" s="18" t="str">
        <x:v>青岛</x:v>
      </x:c>
      <x:c r="G528" s="18" t="str">
        <x:v>山东省</x:v>
      </x:c>
      <x:c r="H528" s="18" t="str">
        <x:v>北区</x:v>
      </x:c>
      <x:c r="I528" s="18" t="str">
        <x:v>Shopping Mall</x:v>
      </x:c>
      <x:c r="J528" s="18" t="str">
        <x:v>Core Shopping Center</x:v>
      </x:c>
      <x:c r="K528" s="18" t="str">
        <x:v>正常</x:v>
      </x:c>
      <x:c r="L528" s="62" t="n">
        <x:v>4</x:v>
      </x:c>
      <x:c r="M528" s="62" t="n">
        <x:v>34</x:v>
      </x:c>
      <x:c r="N528" s="63" t="n">
        <x:f>'Drivers'!C528</x:f>
        <x:v>1608</x:v>
      </x:c>
      <x:c r="O528" s="63" t="n">
        <x:f>'Drivers'!D528</x:f>
        <x:v>1152.19</x:v>
      </x:c>
      <x:c r="P528" s="64" t="n">
        <x:f>ROUND(N528*O528/1000,3)</x:f>
        <x:v>1852.722</x:v>
      </x:c>
      <x:c r="Q528" s="64" t="n">
        <x:f>ROUND(P528*'Drivers'!E528,3)</x:f>
        <x:v>1796.818</x:v>
      </x:c>
      <x:c r="R528" s="64" t="n">
        <x:f>-ROUND(Q528*'Drivers'!F528,3)</x:f>
        <x:v>-283.96</x:v>
      </x:c>
      <x:c r="S528" s="65" t="n">
        <x:f>R528/Q528</x:f>
        <x:v>-0.15803492618618023</x:v>
      </x:c>
      <x:c r="T528" s="64" t="n">
        <x:f>-ROUND(Q528*'Drivers'!G528,3)</x:f>
        <x:v>-37.183</x:v>
      </x:c>
      <x:c r="U528" s="65" t="n">
        <x:f>T528/Q528</x:f>
        <x:v>-0.020693804269547613</x:v>
      </x:c>
      <x:c r="V528" s="64" t="n">
        <x:f>-ROUND(Q528*'Drivers'!H528,3)</x:f>
        <x:v>-17.11</x:v>
      </x:c>
      <x:c r="W528" s="64" t="n">
        <x:f>-ROUND(Q528*'Drivers'!I528,3)</x:f>
        <x:v>-10.381</x:v>
      </x:c>
      <x:c r="X528" s="64" t="n">
        <x:f>-ROUND(Q528*'Drivers'!J528,3)</x:f>
        <x:v>-22.419</x:v>
      </x:c>
      <x:c r="Y528" s="64" t="n">
        <x:f>-ROUND(Q528*'Drivers'!K528,3)</x:f>
        <x:v>-20.089</x:v>
      </x:c>
      <x:c r="Z528" s="64" t="n">
        <x:f>-ROUND(Q528*'Drivers'!L528,3)</x:f>
        <x:v>-20.319</x:v>
      </x:c>
      <x:c r="AA528" s="64" t="n">
        <x:f>-ROUND(Q528*'Drivers'!M528,3)</x:f>
        <x:v>-16.142</x:v>
      </x:c>
      <x:c r="AB528" s="64" t="n">
        <x:f>-ROUND(Q528*'Drivers'!N528,3)</x:f>
        <x:v>-11.097</x:v>
      </x:c>
      <x:c r="AC528" s="64" t="n">
        <x:f>SUM(V528:AB528)</x:f>
        <x:v>-117.55699999999999</x:v>
      </x:c>
      <x:c r="AD528" s="65" t="n">
        <x:f>AC528/Q528</x:f>
        <x:v>-0.0654251014849584</x:v>
      </x:c>
      <x:c r="AE528" s="64" t="n">
        <x:f>-ROUND(Q528*'Drivers'!O528,3)</x:f>
        <x:v>-20.828</x:v>
      </x:c>
      <x:c r="AF528" s="65" t="n">
        <x:f>AE528/Q528</x:f>
        <x:v>-0.011591602488398935</x:v>
      </x:c>
      <x:c r="AG528" s="64" t="n">
        <x:f>-ROUND(Q528*'Drivers'!P528,3)</x:f>
        <x:v>-2.09</x:v>
      </x:c>
      <x:c r="AH528" s="64" t="n">
        <x:f>-ROUND(Q528*'Drivers'!Q528,3)</x:f>
        <x:v>-12.022</x:v>
      </x:c>
      <x:c r="AI528" s="64" t="n">
        <x:f>SUM(R528,T528,AC528,AE528,AG528,AH528)</x:f>
        <x:v>-473.6399999999999</x:v>
      </x:c>
      <x:c r="AJ528" s="65" t="n">
        <x:f>AI528/Q528</x:f>
        <x:v>-0.2635993183505507</x:v>
      </x:c>
      <x:c r="AK528" s="64" t="n">
        <x:f>Q528+AI528</x:f>
        <x:v>1323.178</x:v>
      </x:c>
      <x:c r="AL528" s="65" t="n">
        <x:f>AK528/Q528</x:f>
        <x:v>0.7364006816494493</x:v>
      </x:c>
      <x:c r="AM528" s="64" t="n">
        <x:f>AK528/L528</x:f>
        <x:v>330.7945</x:v>
      </x:c>
      <x:c r="AN528" s="66" t="str">
        <x:f>IF(AM528&lt;=200,"≤200K",IF(AM528&lt;=350,"200–350K",IF(AM528&lt;=500,"350–500K",IF(AM528&lt;=700,"500–700K","&gt;700K"))))</x:f>
        <x:v>200–350K</x:v>
      </x:c>
      <x:c r="AO528" s="64" t="n">
        <x:f>-ROUND(Q528*'Drivers'!R528,3)</x:f>
        <x:v>-665.526</x:v>
      </x:c>
      <x:c r="AP528" s="64" t="n">
        <x:f>-ROUND(AK528*'Drivers'!S528,3)</x:f>
        <x:v>-15.218</x:v>
      </x:c>
      <x:c r="AQ528" s="64" t="n">
        <x:f>-ROUND(AK528*'Drivers'!T528,3)</x:f>
        <x:v>-7.906</x:v>
      </x:c>
      <x:c r="AR528" s="64" t="n">
        <x:f>-ROUND(AK528*'Drivers'!U528,3)</x:f>
        <x:v>-15.444</x:v>
      </x:c>
      <x:c r="AS528" s="64" t="n">
        <x:f>-ROUND(AK528*'Drivers'!V528,3)</x:f>
        <x:v>-50.398</x:v>
      </x:c>
      <x:c r="AT528" s="64" t="n">
        <x:f>SUM(AO528:AS528)</x:f>
        <x:v>-754.4919999999998</x:v>
      </x:c>
      <x:c r="AU528" s="65" t="n">
        <x:f>AT528/AK528</x:f>
        <x:v>-0.5702120198491811</x:v>
      </x:c>
      <x:c r="AV528" s="64" t="n">
        <x:f>AK528+AT528</x:f>
        <x:v>568.6860000000003</x:v>
      </x:c>
      <x:c r="AW528" s="65" t="n">
        <x:f>AV528/AK528</x:f>
        <x:v>0.42978798015081887</x:v>
      </x:c>
      <x:c r="AX528" s="64" t="n">
        <x:f>-ROUND(AK528*'Drivers'!W528,3)</x:f>
        <x:v>-21.305</x:v>
      </x:c>
      <x:c r="AY528" s="64" t="n">
        <x:f>-ROUND(AK528*'Drivers'!X528,3)</x:f>
        <x:v>-38.359</x:v>
      </x:c>
      <x:c r="AZ528" s="64" t="n">
        <x:f>-ROUND(AK528*'Drivers'!Y528,3)</x:f>
        <x:v>-32.011</x:v>
      </x:c>
      <x:c r="BA528" s="64" t="n">
        <x:f>-ROUND(AK528*'Drivers'!Z528,3)</x:f>
        <x:v>-9.674</x:v>
      </x:c>
      <x:c r="BB528" s="64" t="n">
        <x:f>-ROUND(AK528*'Drivers'!AA528,3)</x:f>
        <x:v>-9.884</x:v>
      </x:c>
      <x:c r="BC528" s="64" t="n">
        <x:f>SUM(BA528,BB528)</x:f>
        <x:v>-19.558</x:v>
      </x:c>
      <x:c r="BD528" s="64" t="n">
        <x:f>-ROUND(AK528*'Drivers'!AB528,3)</x:f>
        <x:v>-9.499</x:v>
      </x:c>
      <x:c r="BE528" s="64" t="n">
        <x:f>SUM(AX528:BB528,BD528)</x:f>
        <x:v>-120.73200000000001</x:v>
      </x:c>
      <x:c r="BF528" s="67" t="n">
        <x:f>'Drivers'!AF528</x:f>
        <x:v>6</x:v>
      </x:c>
      <x:c r="BG528" s="64" t="n">
        <x:f>BJ528</x:f>
        <x:v>-41.103</x:v>
      </x:c>
      <x:c r="BH528" s="64" t="n">
        <x:f>BE528/BF528</x:f>
        <x:v>-20.122000000000003</x:v>
      </x:c>
      <x:c r="BI528" s="68" t="n">
        <x:f>BF528/L528</x:f>
        <x:v>1.5</x:v>
      </x:c>
      <x:c r="BJ528" s="64" t="n">
        <x:f>-ROUND(AK528*'Drivers'!AC528,3)</x:f>
        <x:v>-41.103</x:v>
      </x:c>
      <x:c r="BK528" s="64" t="n">
        <x:f>-ROUND(AK528*'Drivers'!AD528,3)</x:f>
        <x:v>-125.3</x:v>
      </x:c>
      <x:c r="BL528" s="64" t="n">
        <x:f>SUM(AV528,BE528,BJ528,BK528)</x:f>
        <x:v>281.5510000000002</x:v>
      </x:c>
      <x:c r="BM528" s="65" t="n">
        <x:f>BL528/AK528</x:f>
        <x:v>0.21278391871690747</x:v>
      </x:c>
      <x:c r="BN528" s="64" t="n">
        <x:f>-ROUND(AK528*'Drivers'!AE528,3)</x:f>
        <x:v>-126.658</x:v>
      </x:c>
      <x:c r="BO528" s="64" t="n">
        <x:f>BL528+BN528</x:f>
        <x:v>154.8930000000002</x:v>
      </x:c>
      <x:c r="BP528" s="65" t="n">
        <x:f>BO528/AK528</x:f>
        <x:v>0.11706134775517744</x:v>
      </x:c>
    </x:row>
    <x:row r="529">
      <x:c r="A529" s="61" t="n">
        <x:v>2026</x:v>
      </x:c>
      <x:c r="B529" s="18" t="str">
        <x:v>S2</x:v>
      </x:c>
      <x:c r="C529" s="18" t="str">
        <x:v>2026 S2</x:v>
      </x:c>
      <x:c r="D529" s="18" t="str">
        <x:v>CNCT0132</x:v>
      </x:c>
      <x:c r="E529" s="18" t="str">
        <x:v>青岛百丽广场</x:v>
      </x:c>
      <x:c r="F529" s="18" t="str">
        <x:v>青岛</x:v>
      </x:c>
      <x:c r="G529" s="18" t="str">
        <x:v>山东省</x:v>
      </x:c>
      <x:c r="H529" s="18" t="str">
        <x:v>北区</x:v>
      </x:c>
      <x:c r="I529" s="18" t="str">
        <x:v>Shopping Mall</x:v>
      </x:c>
      <x:c r="J529" s="18" t="str">
        <x:v>Core Shopping Center</x:v>
      </x:c>
      <x:c r="K529" s="18" t="str">
        <x:v>正常</x:v>
      </x:c>
      <x:c r="L529" s="62" t="n">
        <x:v>4</x:v>
      </x:c>
      <x:c r="M529" s="62" t="n">
        <x:v>34</x:v>
      </x:c>
      <x:c r="N529" s="63" t="n">
        <x:f>'Drivers'!C529</x:f>
        <x:v>1804</x:v>
      </x:c>
      <x:c r="O529" s="63" t="n">
        <x:f>'Drivers'!D529</x:f>
        <x:v>1139.393</x:v>
      </x:c>
      <x:c r="P529" s="64" t="n">
        <x:f>ROUND(N529*O529/1000,3)</x:f>
        <x:v>2055.465</x:v>
      </x:c>
      <x:c r="Q529" s="64" t="n">
        <x:f>ROUND(P529*'Drivers'!E529,3)</x:f>
        <x:v>2008.118</x:v>
      </x:c>
      <x:c r="R529" s="64" t="n">
        <x:f>-ROUND(Q529*'Drivers'!F529,3)</x:f>
        <x:v>-297.365</x:v>
      </x:c>
      <x:c r="S529" s="65" t="n">
        <x:f>R529/Q529</x:f>
        <x:v>-0.14808143744540908</x:v>
      </x:c>
      <x:c r="T529" s="64" t="n">
        <x:f>-ROUND(Q529*'Drivers'!G529,3)</x:f>
        <x:v>-40.185</x:v>
      </x:c>
      <x:c r="U529" s="65" t="n">
        <x:f>T529/Q529</x:f>
        <x:v>-0.020011274237868495</x:v>
      </x:c>
      <x:c r="V529" s="64" t="n">
        <x:f>-ROUND(Q529*'Drivers'!H529,3)</x:f>
        <x:v>-19.122</x:v>
      </x:c>
      <x:c r="W529" s="64" t="n">
        <x:f>-ROUND(Q529*'Drivers'!I529,3)</x:f>
        <x:v>-11.602</x:v>
      </x:c>
      <x:c r="X529" s="64" t="n">
        <x:f>-ROUND(Q529*'Drivers'!J529,3)</x:f>
        <x:v>-25.055</x:v>
      </x:c>
      <x:c r="Y529" s="64" t="n">
        <x:f>-ROUND(Q529*'Drivers'!K529,3)</x:f>
        <x:v>-22.452</x:v>
      </x:c>
      <x:c r="Z529" s="64" t="n">
        <x:f>-ROUND(Q529*'Drivers'!L529,3)</x:f>
        <x:v>-22.708</x:v>
      </x:c>
      <x:c r="AA529" s="64" t="n">
        <x:f>-ROUND(Q529*'Drivers'!M529,3)</x:f>
        <x:v>-18.041</x:v>
      </x:c>
      <x:c r="AB529" s="64" t="n">
        <x:f>-ROUND(Q529*'Drivers'!N529,3)</x:f>
        <x:v>-12.402</x:v>
      </x:c>
      <x:c r="AC529" s="64" t="n">
        <x:f>SUM(V529:AB529)</x:f>
        <x:v>-131.38199999999998</x:v>
      </x:c>
      <x:c r="AD529" s="65" t="n">
        <x:f>AC529/Q529</x:f>
        <x:v>-0.0654254381465631</x:v>
      </x:c>
      <x:c r="AE529" s="64" t="n">
        <x:f>-ROUND(Q529*'Drivers'!O529,3)</x:f>
        <x:v>-24.335</x:v>
      </x:c>
      <x:c r="AF529" s="65" t="n">
        <x:f>AE529/Q529</x:f>
        <x:v>-0.01211831177251536</x:v>
      </x:c>
      <x:c r="AG529" s="64" t="n">
        <x:f>-ROUND(Q529*'Drivers'!P529,3)</x:f>
        <x:v>-2.336</x:v>
      </x:c>
      <x:c r="AH529" s="64" t="n">
        <x:f>-ROUND(Q529*'Drivers'!Q529,3)</x:f>
        <x:v>-13.436</x:v>
      </x:c>
      <x:c r="AI529" s="64" t="n">
        <x:f>SUM(R529,T529,AC529,AE529,AG529,AH529)</x:f>
        <x:v>-509.039</x:v>
      </x:c>
      <x:c r="AJ529" s="65" t="n">
        <x:f>AI529/Q529</x:f>
        <x:v>-0.25349058172876293</x:v>
      </x:c>
      <x:c r="AK529" s="64" t="n">
        <x:f>Q529+AI529</x:f>
        <x:v>1499.079</x:v>
      </x:c>
      <x:c r="AL529" s="65" t="n">
        <x:f>AK529/Q529</x:f>
        <x:v>0.7465094182712371</x:v>
      </x:c>
      <x:c r="AM529" s="64" t="n">
        <x:f>AK529/L529</x:f>
        <x:v>374.76975</x:v>
      </x:c>
      <x:c r="AN529" s="66" t="str">
        <x:f>IF(AM529&lt;=200,"≤200K",IF(AM529&lt;=350,"200–350K",IF(AM529&lt;=500,"350–500K",IF(AM529&lt;=700,"500–700K","&gt;700K"))))</x:f>
        <x:v>350–500K</x:v>
      </x:c>
      <x:c r="AO529" s="64" t="n">
        <x:f>-ROUND(Q529*'Drivers'!R529,3)</x:f>
        <x:v>-777.027</x:v>
      </x:c>
      <x:c r="AP529" s="64" t="n">
        <x:f>-ROUND(AK529*'Drivers'!S529,3)</x:f>
        <x:v>-17.241</x:v>
      </x:c>
      <x:c r="AQ529" s="64" t="n">
        <x:f>-ROUND(AK529*'Drivers'!T529,3)</x:f>
        <x:v>-8.956</x:v>
      </x:c>
      <x:c r="AR529" s="64" t="n">
        <x:f>-ROUND(AK529*'Drivers'!U529,3)</x:f>
        <x:v>-17.497</x:v>
      </x:c>
      <x:c r="AS529" s="64" t="n">
        <x:f>-ROUND(AK529*'Drivers'!V529,3)</x:f>
        <x:v>-57.098</x:v>
      </x:c>
      <x:c r="AT529" s="64" t="n">
        <x:f>SUM(AO529:AS529)</x:f>
        <x:v>-877.819</x:v>
      </x:c>
      <x:c r="AU529" s="65" t="n">
        <x:f>AT529/AK529</x:f>
        <x:v>-0.5855722080023801</x:v>
      </x:c>
      <x:c r="AV529" s="64" t="n">
        <x:f>AK529+AT529</x:f>
        <x:v>621.26</x:v>
      </x:c>
      <x:c r="AW529" s="65" t="n">
        <x:f>AV529/AK529</x:f>
        <x:v>0.41442779199761987</x:v>
      </x:c>
      <x:c r="AX529" s="64" t="n">
        <x:f>-ROUND(AK529*'Drivers'!W529,3)</x:f>
        <x:v>-20.794</x:v>
      </x:c>
      <x:c r="AY529" s="64" t="n">
        <x:f>-ROUND(AK529*'Drivers'!X529,3)</x:f>
        <x:v>-37.438</x:v>
      </x:c>
      <x:c r="AZ529" s="64" t="n">
        <x:f>-ROUND(AK529*'Drivers'!Y529,3)</x:f>
        <x:v>-31.242</x:v>
      </x:c>
      <x:c r="BA529" s="64" t="n">
        <x:f>-ROUND(AK529*'Drivers'!Z529,3)</x:f>
        <x:v>-9.442</x:v>
      </x:c>
      <x:c r="BB529" s="64" t="n">
        <x:f>-ROUND(AK529*'Drivers'!AA529,3)</x:f>
        <x:v>-9.647</x:v>
      </x:c>
      <x:c r="BC529" s="64" t="n">
        <x:f>SUM(BA529,BB529)</x:f>
        <x:v>-19.089</x:v>
      </x:c>
      <x:c r="BD529" s="64" t="n">
        <x:f>-ROUND(AK529*'Drivers'!AB529,3)</x:f>
        <x:v>-9.271</x:v>
      </x:c>
      <x:c r="BE529" s="64" t="n">
        <x:f>SUM(AX529:BB529,BD529)</x:f>
        <x:v>-117.834</x:v>
      </x:c>
      <x:c r="BF529" s="67" t="n">
        <x:f>'Drivers'!AF529</x:f>
        <x:v>6</x:v>
      </x:c>
      <x:c r="BG529" s="64" t="n">
        <x:f>BJ529</x:f>
        <x:v>-40.116</x:v>
      </x:c>
      <x:c r="BH529" s="64" t="n">
        <x:f>BE529/BF529</x:f>
        <x:v>-19.639</x:v>
      </x:c>
      <x:c r="BI529" s="68" t="n">
        <x:f>BF529/L529</x:f>
        <x:v>1.5</x:v>
      </x:c>
      <x:c r="BJ529" s="64" t="n">
        <x:f>-ROUND(AK529*'Drivers'!AC529,3)</x:f>
        <x:v>-40.116</x:v>
      </x:c>
      <x:c r="BK529" s="64" t="n">
        <x:f>-ROUND(AK529*'Drivers'!AD529,3)</x:f>
        <x:v>-141.957</x:v>
      </x:c>
      <x:c r="BL529" s="64" t="n">
        <x:f>SUM(AV529,BE529,BJ529,BK529)</x:f>
        <x:v>321.353</x:v>
      </x:c>
      <x:c r="BM529" s="65" t="n">
        <x:f>BL529/AK529</x:f>
        <x:v>0.21436695464348446</x:v>
      </x:c>
      <x:c r="BN529" s="64" t="n">
        <x:f>-ROUND(AK529*'Drivers'!AE529,3)</x:f>
        <x:v>-143.495</x:v>
      </x:c>
      <x:c r="BO529" s="64" t="n">
        <x:f>BL529+BN529</x:f>
        <x:v>177.858</x:v>
      </x:c>
      <x:c r="BP529" s="65" t="n">
        <x:f>BO529/AK529</x:f>
        <x:v>0.1186448479366331</x:v>
      </x:c>
    </x:row>
    <x:row r="530">
      <x:c r="A530" s="61" t="n">
        <x:v>2025</x:v>
      </x:c>
      <x:c r="B530" s="18" t="str">
        <x:v>S1</x:v>
      </x:c>
      <x:c r="C530" s="18" t="str">
        <x:v>2025 S1</x:v>
      </x:c>
      <x:c r="D530" s="18" t="str">
        <x:v>CNCT0133</x:v>
      </x:c>
      <x:c r="E530" s="18" t="str">
        <x:v>青岛凯德MALL新都心</x:v>
      </x:c>
      <x:c r="F530" s="18" t="str">
        <x:v>青岛</x:v>
      </x:c>
      <x:c r="G530" s="18" t="str">
        <x:v>山东省</x:v>
      </x:c>
      <x:c r="H530" s="18" t="str">
        <x:v>北区</x:v>
      </x:c>
      <x:c r="I530" s="18" t="str">
        <x:v>Shopping Mall</x:v>
      </x:c>
      <x:c r="J530" s="18" t="str">
        <x:v>Regional Mall</x:v>
      </x:c>
      <x:c r="K530" s="18" t="str">
        <x:v>正常</x:v>
      </x:c>
      <x:c r="L530" s="62" t="n">
        <x:v>4</x:v>
      </x:c>
      <x:c r="M530" s="62" t="n">
        <x:v>34</x:v>
      </x:c>
      <x:c r="N530" s="63" t="n">
        <x:f>'Drivers'!C530</x:f>
        <x:v>1117</x:v>
      </x:c>
      <x:c r="O530" s="63" t="n">
        <x:f>'Drivers'!D530</x:f>
        <x:v>888.842</x:v>
      </x:c>
      <x:c r="P530" s="64" t="n">
        <x:f>ROUND(N530*O530/1000,3)</x:f>
        <x:v>992.837</x:v>
      </x:c>
      <x:c r="Q530" s="64" t="n">
        <x:f>ROUND(P530*'Drivers'!E530,3)</x:f>
        <x:v>976.898</x:v>
      </x:c>
      <x:c r="R530" s="64" t="n">
        <x:f>-ROUND(Q530*'Drivers'!F530,3)</x:f>
        <x:v>-183.519</x:v>
      </x:c>
      <x:c r="S530" s="65" t="n">
        <x:f>R530/Q530</x:f>
        <x:v>-0.18785891669345214</x:v>
      </x:c>
      <x:c r="T530" s="64" t="n">
        <x:f>-ROUND(Q530*'Drivers'!G530,3)</x:f>
        <x:v>-14.546</x:v>
      </x:c>
      <x:c r="U530" s="65" t="n">
        <x:f>T530/Q530</x:f>
        <x:v>-0.014889988514665808</x:v>
      </x:c>
      <x:c r="V530" s="64" t="n">
        <x:f>-ROUND(Q530*'Drivers'!H530,3)</x:f>
        <x:v>-10.802</x:v>
      </x:c>
      <x:c r="W530" s="64" t="n">
        <x:f>-ROUND(Q530*'Drivers'!I530,3)</x:f>
        <x:v>-9.862</x:v>
      </x:c>
      <x:c r="X530" s="64" t="n">
        <x:f>-ROUND(Q530*'Drivers'!J530,3)</x:f>
        <x:v>-9.91</x:v>
      </x:c>
      <x:c r="Y530" s="64" t="n">
        <x:f>-ROUND(Q530*'Drivers'!K530,3)</x:f>
        <x:v>-9.829</x:v>
      </x:c>
      <x:c r="Z530" s="64" t="n">
        <x:f>-ROUND(Q530*'Drivers'!L530,3)</x:f>
        <x:v>-9.386</x:v>
      </x:c>
      <x:c r="AA530" s="64" t="n">
        <x:f>-ROUND(Q530*'Drivers'!M530,3)</x:f>
        <x:v>-10.082</x:v>
      </x:c>
      <x:c r="AB530" s="64" t="n">
        <x:f>-ROUND(Q530*'Drivers'!N530,3)</x:f>
        <x:v>-6.602</x:v>
      </x:c>
      <x:c r="AC530" s="64" t="n">
        <x:f>SUM(V530:AB530)</x:f>
        <x:v>-66.473</x:v>
      </x:c>
      <x:c r="AD530" s="65" t="n">
        <x:f>AC530/Q530</x:f>
        <x:v>-0.06804497501274442</x:v>
      </x:c>
      <x:c r="AE530" s="64" t="n">
        <x:f>-ROUND(Q530*'Drivers'!O530,3)</x:f>
        <x:v>-8.998</x:v>
      </x:c>
      <x:c r="AF530" s="65" t="n">
        <x:f>AE530/Q530</x:f>
        <x:v>-0.009210787615493122</x:v>
      </x:c>
      <x:c r="AG530" s="64" t="n">
        <x:f>-ROUND(Q530*'Drivers'!P530,3)</x:f>
        <x:v>-0.819</x:v>
      </x:c>
      <x:c r="AH530" s="64" t="n">
        <x:f>-ROUND(Q530*'Drivers'!Q530,3)</x:f>
        <x:v>-2.454</x:v>
      </x:c>
      <x:c r="AI530" s="64" t="n">
        <x:f>SUM(R530,T530,AC530,AE530,AG530,AH530)</x:f>
        <x:v>-276.809</x:v>
      </x:c>
      <x:c r="AJ530" s="65" t="n">
        <x:f>AI530/Q530</x:f>
        <x:v>-0.28335506879940386</x:v>
      </x:c>
      <x:c r="AK530" s="64" t="n">
        <x:f>Q530+AI530</x:f>
        <x:v>700.0889999999999</x:v>
      </x:c>
      <x:c r="AL530" s="65" t="n">
        <x:f>AK530/Q530</x:f>
        <x:v>0.7166449312005961</x:v>
      </x:c>
      <x:c r="AM530" s="64" t="n">
        <x:f>AK530/L530</x:f>
        <x:v>175.02224999999999</x:v>
      </x:c>
      <x:c r="AN530" s="66" t="str">
        <x:f>IF(AM530&lt;=200,"≤200K",IF(AM530&lt;=350,"200–350K",IF(AM530&lt;=500,"350–500K",IF(AM530&lt;=700,"500–700K","&gt;700K"))))</x:f>
        <x:v>≤200K</x:v>
      </x:c>
      <x:c r="AO530" s="64" t="n">
        <x:f>-ROUND(Q530*'Drivers'!R530,3)</x:f>
        <x:v>-358.418</x:v>
      </x:c>
      <x:c r="AP530" s="64" t="n">
        <x:f>-ROUND(AK530*'Drivers'!S530,3)</x:f>
        <x:v>-11.35</x:v>
      </x:c>
      <x:c r="AQ530" s="64" t="n">
        <x:f>-ROUND(AK530*'Drivers'!T530,3)</x:f>
        <x:v>-2.249</x:v>
      </x:c>
      <x:c r="AR530" s="64" t="n">
        <x:f>-ROUND(AK530*'Drivers'!U530,3)</x:f>
        <x:v>-4.484</x:v>
      </x:c>
      <x:c r="AS530" s="64" t="n">
        <x:f>-ROUND(AK530*'Drivers'!V530,3)</x:f>
        <x:v>-24.026</x:v>
      </x:c>
      <x:c r="AT530" s="64" t="n">
        <x:f>SUM(AO530:AS530)</x:f>
        <x:v>-400.52700000000004</x:v>
      </x:c>
      <x:c r="AU530" s="65" t="n">
        <x:f>AT530/AK530</x:f>
        <x:v>-0.5721086890381081</x:v>
      </x:c>
      <x:c r="AV530" s="64" t="n">
        <x:f>AK530+AT530</x:f>
        <x:v>299.5619999999999</x:v>
      </x:c>
      <x:c r="AW530" s="65" t="n">
        <x:f>AV530/AK530</x:f>
        <x:v>0.42789131096189187</x:v>
      </x:c>
      <x:c r="AX530" s="64" t="n">
        <x:f>-ROUND(AK530*'Drivers'!W530,3)</x:f>
        <x:v>-6.743</x:v>
      </x:c>
      <x:c r="AY530" s="64" t="n">
        <x:f>-ROUND(AK530*'Drivers'!X530,3)</x:f>
        <x:v>-13.682</x:v>
      </x:c>
      <x:c r="AZ530" s="64" t="n">
        <x:f>-ROUND(AK530*'Drivers'!Y530,3)</x:f>
        <x:v>-12.325</x:v>
      </x:c>
      <x:c r="BA530" s="64" t="n">
        <x:f>-ROUND(AK530*'Drivers'!Z530,3)</x:f>
        <x:v>-4.343</x:v>
      </x:c>
      <x:c r="BB530" s="64" t="n">
        <x:f>-ROUND(AK530*'Drivers'!AA530,3)</x:f>
        <x:v>-5.175</x:v>
      </x:c>
      <x:c r="BC530" s="64" t="n">
        <x:f>SUM(BA530,BB530)</x:f>
        <x:v>-9.518</x:v>
      </x:c>
      <x:c r="BD530" s="64" t="n">
        <x:f>-ROUND(AK530*'Drivers'!AB530,3)</x:f>
        <x:v>-3.657</x:v>
      </x:c>
      <x:c r="BE530" s="64" t="n">
        <x:f>SUM(AX530:BB530,BD530)</x:f>
        <x:v>-45.925</x:v>
      </x:c>
      <x:c r="BF530" s="67" t="n">
        <x:f>'Drivers'!AF530</x:f>
        <x:v>8</x:v>
      </x:c>
      <x:c r="BG530" s="64" t="n">
        <x:f>BJ530</x:f>
        <x:v>-15.204</x:v>
      </x:c>
      <x:c r="BH530" s="64" t="n">
        <x:f>BE530/BF530</x:f>
        <x:v>-5.740625</x:v>
      </x:c>
      <x:c r="BI530" s="68" t="n">
        <x:f>BF530/L530</x:f>
        <x:v>2</x:v>
      </x:c>
      <x:c r="BJ530" s="64" t="n">
        <x:f>-ROUND(AK530*'Drivers'!AC530,3)</x:f>
        <x:v>-15.204</x:v>
      </x:c>
      <x:c r="BK530" s="64" t="n">
        <x:f>-ROUND(AK530*'Drivers'!AD530,3)</x:f>
        <x:v>-84.27</x:v>
      </x:c>
      <x:c r="BL530" s="64" t="n">
        <x:f>SUM(AV530,BE530,BJ530,BK530)</x:f>
        <x:v>154.1629999999999</x:v>
      </x:c>
      <x:c r="BM530" s="65" t="n">
        <x:f>BL530/AK530</x:f>
        <x:v>0.2202048596678421</x:v>
      </x:c>
      <x:c r="BN530" s="64" t="n">
        <x:f>-ROUND(AK530*'Drivers'!AE530,3)</x:f>
        <x:v>-54.544</x:v>
      </x:c>
      <x:c r="BO530" s="64" t="n">
        <x:f>BL530+BN530</x:f>
        <x:v>99.6189999999999</x:v>
      </x:c>
      <x:c r="BP530" s="65" t="n">
        <x:f>BO530/AK530</x:f>
        <x:v>0.14229476537983016</x:v>
      </x:c>
    </x:row>
    <x:row r="531">
      <x:c r="A531" s="61" t="n">
        <x:v>2025</x:v>
      </x:c>
      <x:c r="B531" s="18" t="str">
        <x:v>S2</x:v>
      </x:c>
      <x:c r="C531" s="18" t="str">
        <x:v>2025 S2</x:v>
      </x:c>
      <x:c r="D531" s="18" t="str">
        <x:v>CNCT0133</x:v>
      </x:c>
      <x:c r="E531" s="18" t="str">
        <x:v>青岛凯德MALL新都心</x:v>
      </x:c>
      <x:c r="F531" s="18" t="str">
        <x:v>青岛</x:v>
      </x:c>
      <x:c r="G531" s="18" t="str">
        <x:v>山东省</x:v>
      </x:c>
      <x:c r="H531" s="18" t="str">
        <x:v>北区</x:v>
      </x:c>
      <x:c r="I531" s="18" t="str">
        <x:v>Shopping Mall</x:v>
      </x:c>
      <x:c r="J531" s="18" t="str">
        <x:v>Regional Mall</x:v>
      </x:c>
      <x:c r="K531" s="18" t="str">
        <x:v>正常</x:v>
      </x:c>
      <x:c r="L531" s="62" t="n">
        <x:v>4</x:v>
      </x:c>
      <x:c r="M531" s="62" t="n">
        <x:v>34</x:v>
      </x:c>
      <x:c r="N531" s="63" t="n">
        <x:f>'Drivers'!C531</x:f>
        <x:v>1224</x:v>
      </x:c>
      <x:c r="O531" s="63" t="n">
        <x:f>'Drivers'!D531</x:f>
        <x:v>899.508</x:v>
      </x:c>
      <x:c r="P531" s="64" t="n">
        <x:f>ROUND(N531*O531/1000,3)</x:f>
        <x:v>1100.998</x:v>
      </x:c>
      <x:c r="Q531" s="64" t="n">
        <x:f>ROUND(P531*'Drivers'!E531,3)</x:f>
        <x:v>1075.426</x:v>
      </x:c>
      <x:c r="R531" s="64" t="n">
        <x:f>-ROUND(Q531*'Drivers'!F531,3)</x:f>
        <x:v>-202.029</x:v>
      </x:c>
      <x:c r="S531" s="65" t="n">
        <x:f>R531/Q531</x:f>
        <x:v>-0.18785950869701867</x:v>
      </x:c>
      <x:c r="T531" s="64" t="n">
        <x:f>-ROUND(Q531*'Drivers'!G531,3)</x:f>
        <x:v>-16.013</x:v>
      </x:c>
      <x:c r="U531" s="65" t="n">
        <x:f>T531/Q531</x:f>
        <x:v>-0.014889913392460293</x:v>
      </x:c>
      <x:c r="V531" s="64" t="n">
        <x:f>-ROUND(Q531*'Drivers'!H531,3)</x:f>
        <x:v>-11.891</x:v>
      </x:c>
      <x:c r="W531" s="64" t="n">
        <x:f>-ROUND(Q531*'Drivers'!I531,3)</x:f>
        <x:v>-10.856</x:v>
      </x:c>
      <x:c r="X531" s="64" t="n">
        <x:f>-ROUND(Q531*'Drivers'!J531,3)</x:f>
        <x:v>-10.91</x:v>
      </x:c>
      <x:c r="Y531" s="64" t="n">
        <x:f>-ROUND(Q531*'Drivers'!K531,3)</x:f>
        <x:v>-10.82</x:v>
      </x:c>
      <x:c r="Z531" s="64" t="n">
        <x:f>-ROUND(Q531*'Drivers'!L531,3)</x:f>
        <x:v>-10.332</x:v>
      </x:c>
      <x:c r="AA531" s="64" t="n">
        <x:f>-ROUND(Q531*'Drivers'!M531,3)</x:f>
        <x:v>-11.099</x:v>
      </x:c>
      <x:c r="AB531" s="64" t="n">
        <x:f>-ROUND(Q531*'Drivers'!N531,3)</x:f>
        <x:v>-7.268</x:v>
      </x:c>
      <x:c r="AC531" s="64" t="n">
        <x:f>SUM(V531:AB531)</x:f>
        <x:v>-73.176</x:v>
      </x:c>
      <x:c r="AD531" s="65" t="n">
        <x:f>AC531/Q531</x:f>
        <x:v>-0.06804373336705641</x:v>
      </x:c>
      <x:c r="AE531" s="64" t="n">
        <x:f>-ROUND(Q531*'Drivers'!O531,3)</x:f>
        <x:v>-9.906</x:v>
      </x:c>
      <x:c r="AF531" s="65" t="n">
        <x:f>AE531/Q531</x:f>
        <x:v>-0.009211233501886695</x:v>
      </x:c>
      <x:c r="AG531" s="64" t="n">
        <x:f>-ROUND(Q531*'Drivers'!P531,3)</x:f>
        <x:v>-0.901</x:v>
      </x:c>
      <x:c r="AH531" s="64" t="n">
        <x:f>-ROUND(Q531*'Drivers'!Q531,3)</x:f>
        <x:v>-2.701</x:v>
      </x:c>
      <x:c r="AI531" s="64" t="n">
        <x:f>SUM(R531,T531,AC531,AE531,AG531,AH531)</x:f>
        <x:v>-304.72600000000006</x:v>
      </x:c>
      <x:c r="AJ531" s="65" t="n">
        <x:f>AI531/Q531</x:f>
        <x:v>-0.28335375934745866</x:v>
      </x:c>
      <x:c r="AK531" s="64" t="n">
        <x:f>Q531+AI531</x:f>
        <x:v>770.6999999999998</x:v>
      </x:c>
      <x:c r="AL531" s="65" t="n">
        <x:f>AK531/Q531</x:f>
        <x:v>0.7166462406525412</x:v>
      </x:c>
      <x:c r="AM531" s="64" t="n">
        <x:f>AK531/L531</x:f>
        <x:v>192.67499999999995</x:v>
      </x:c>
      <x:c r="AN531" s="66" t="str">
        <x:f>IF(AM531&lt;=200,"≤200K",IF(AM531&lt;=350,"200–350K",IF(AM531&lt;=500,"350–500K",IF(AM531&lt;=700,"500–700K","&gt;700K"))))</x:f>
        <x:v>≤200K</x:v>
      </x:c>
      <x:c r="AO531" s="64" t="n">
        <x:f>-ROUND(Q531*'Drivers'!R531,3)</x:f>
        <x:v>-389.503</x:v>
      </x:c>
      <x:c r="AP531" s="64" t="n">
        <x:f>-ROUND(AK531*'Drivers'!S531,3)</x:f>
        <x:v>-12.495</x:v>
      </x:c>
      <x:c r="AQ531" s="64" t="n">
        <x:f>-ROUND(AK531*'Drivers'!T531,3)</x:f>
        <x:v>-2.475</x:v>
      </x:c>
      <x:c r="AR531" s="64" t="n">
        <x:f>-ROUND(AK531*'Drivers'!U531,3)</x:f>
        <x:v>-4.936</x:v>
      </x:c>
      <x:c r="AS531" s="64" t="n">
        <x:f>-ROUND(AK531*'Drivers'!V531,3)</x:f>
        <x:v>-26.45</x:v>
      </x:c>
      <x:c r="AT531" s="64" t="n">
        <x:f>SUM(AO531:AS531)</x:f>
        <x:v>-435.859</x:v>
      </x:c>
      <x:c r="AU531" s="65" t="n">
        <x:f>AT531/AK531</x:f>
        <x:v>-0.5655365252367979</x:v>
      </x:c>
      <x:c r="AV531" s="64" t="n">
        <x:f>AK531+AT531</x:f>
        <x:v>334.84099999999984</x:v>
      </x:c>
      <x:c r="AW531" s="65" t="n">
        <x:f>AV531/AK531</x:f>
        <x:v>0.4344634747632022</x:v>
      </x:c>
      <x:c r="AX531" s="64" t="n">
        <x:f>-ROUND(AK531*'Drivers'!W531,3)</x:f>
        <x:v>-7.423</x:v>
      </x:c>
      <x:c r="AY531" s="64" t="n">
        <x:f>-ROUND(AK531*'Drivers'!X531,3)</x:f>
        <x:v>-15.062</x:v>
      </x:c>
      <x:c r="AZ531" s="64" t="n">
        <x:f>-ROUND(AK531*'Drivers'!Y531,3)</x:f>
        <x:v>-13.568</x:v>
      </x:c>
      <x:c r="BA531" s="64" t="n">
        <x:f>-ROUND(AK531*'Drivers'!Z531,3)</x:f>
        <x:v>-4.781</x:v>
      </x:c>
      <x:c r="BB531" s="64" t="n">
        <x:f>-ROUND(AK531*'Drivers'!AA531,3)</x:f>
        <x:v>-5.697</x:v>
      </x:c>
      <x:c r="BC531" s="64" t="n">
        <x:f>SUM(BA531,BB531)</x:f>
        <x:v>-10.478</x:v>
      </x:c>
      <x:c r="BD531" s="64" t="n">
        <x:f>-ROUND(AK531*'Drivers'!AB531,3)</x:f>
        <x:v>-4.025</x:v>
      </x:c>
      <x:c r="BE531" s="64" t="n">
        <x:f>SUM(AX531:BB531,BD531)</x:f>
        <x:v>-50.556</x:v>
      </x:c>
      <x:c r="BF531" s="67" t="n">
        <x:f>'Drivers'!AF531</x:f>
        <x:v>8</x:v>
      </x:c>
      <x:c r="BG531" s="64" t="n">
        <x:f>BJ531</x:f>
        <x:v>-16.738</x:v>
      </x:c>
      <x:c r="BH531" s="64" t="n">
        <x:f>BE531/BF531</x:f>
        <x:v>-6.3195</x:v>
      </x:c>
      <x:c r="BI531" s="68" t="n">
        <x:f>BF531/L531</x:f>
        <x:v>2</x:v>
      </x:c>
      <x:c r="BJ531" s="64" t="n">
        <x:f>-ROUND(AK531*'Drivers'!AC531,3)</x:f>
        <x:v>-16.738</x:v>
      </x:c>
      <x:c r="BK531" s="64" t="n">
        <x:f>-ROUND(AK531*'Drivers'!AD531,3)</x:f>
        <x:v>-92.77</x:v>
      </x:c>
      <x:c r="BL531" s="64" t="n">
        <x:f>SUM(AV531,BE531,BJ531,BK531)</x:f>
        <x:v>174.77699999999987</x:v>
      </x:c>
      <x:c r="BM531" s="65" t="n">
        <x:f>BL531/AK531</x:f>
        <x:v>0.22677695601401313</x:v>
      </x:c>
      <x:c r="BN531" s="64" t="n">
        <x:f>-ROUND(AK531*'Drivers'!AE531,3)</x:f>
        <x:v>-60.045</x:v>
      </x:c>
      <x:c r="BO531" s="64" t="n">
        <x:f>BL531+BN531</x:f>
        <x:v>114.73199999999987</x:v>
      </x:c>
      <x:c r="BP531" s="65" t="n">
        <x:f>BO531/AK531</x:f>
        <x:v>0.14886726352666393</x:v>
      </x:c>
    </x:row>
    <x:row r="532">
      <x:c r="A532" s="61" t="n">
        <x:v>2026</x:v>
      </x:c>
      <x:c r="B532" s="18" t="str">
        <x:v>S1</x:v>
      </x:c>
      <x:c r="C532" s="18" t="str">
        <x:v>2026 S1</x:v>
      </x:c>
      <x:c r="D532" s="18" t="str">
        <x:v>CNCT0133</x:v>
      </x:c>
      <x:c r="E532" s="18" t="str">
        <x:v>青岛凯德MALL新都心</x:v>
      </x:c>
      <x:c r="F532" s="18" t="str">
        <x:v>青岛</x:v>
      </x:c>
      <x:c r="G532" s="18" t="str">
        <x:v>山东省</x:v>
      </x:c>
      <x:c r="H532" s="18" t="str">
        <x:v>北区</x:v>
      </x:c>
      <x:c r="I532" s="18" t="str">
        <x:v>Shopping Mall</x:v>
      </x:c>
      <x:c r="J532" s="18" t="str">
        <x:v>Regional Mall</x:v>
      </x:c>
      <x:c r="K532" s="18" t="str">
        <x:v>正常</x:v>
      </x:c>
      <x:c r="L532" s="62" t="n">
        <x:v>4</x:v>
      </x:c>
      <x:c r="M532" s="62" t="n">
        <x:v>34</x:v>
      </x:c>
      <x:c r="N532" s="63" t="n">
        <x:f>'Drivers'!C532</x:f>
        <x:v>1100</x:v>
      </x:c>
      <x:c r="O532" s="63" t="n">
        <x:f>'Drivers'!D532</x:f>
        <x:v>940.998</x:v>
      </x:c>
      <x:c r="P532" s="64" t="n">
        <x:f>ROUND(N532*O532/1000,3)</x:f>
        <x:v>1035.098</x:v>
      </x:c>
      <x:c r="Q532" s="64" t="n">
        <x:f>ROUND(P532*'Drivers'!E532,3)</x:f>
        <x:v>1014.79</x:v>
      </x:c>
      <x:c r="R532" s="64" t="n">
        <x:f>-ROUND(Q532*'Drivers'!F532,3)</x:f>
        <x:v>-193.979</x:v>
      </x:c>
      <x:c r="S532" s="65" t="n">
        <x:f>R532/Q532</x:f>
        <x:v>-0.19115186393243924</x:v>
      </x:c>
      <x:c r="T532" s="64" t="n">
        <x:f>-ROUND(Q532*'Drivers'!G532,3)</x:f>
        <x:v>-17.047</x:v>
      </x:c>
      <x:c r="U532" s="65" t="n">
        <x:f>T532/Q532</x:f>
        <x:v>-0.01679854945358153</x:v>
      </x:c>
      <x:c r="V532" s="64" t="n">
        <x:f>-ROUND(Q532*'Drivers'!H532,3)</x:f>
        <x:v>-11.221</x:v>
      </x:c>
      <x:c r="W532" s="64" t="n">
        <x:f>-ROUND(Q532*'Drivers'!I532,3)</x:f>
        <x:v>-10.244</x:v>
      </x:c>
      <x:c r="X532" s="64" t="n">
        <x:f>-ROUND(Q532*'Drivers'!J532,3)</x:f>
        <x:v>-10.295</x:v>
      </x:c>
      <x:c r="Y532" s="64" t="n">
        <x:f>-ROUND(Q532*'Drivers'!K532,3)</x:f>
        <x:v>-10.21</x:v>
      </x:c>
      <x:c r="Z532" s="64" t="n">
        <x:f>-ROUND(Q532*'Drivers'!L532,3)</x:f>
        <x:v>-9.75</x:v>
      </x:c>
      <x:c r="AA532" s="64" t="n">
        <x:f>-ROUND(Q532*'Drivers'!M532,3)</x:f>
        <x:v>-10.474</x:v>
      </x:c>
      <x:c r="AB532" s="64" t="n">
        <x:f>-ROUND(Q532*'Drivers'!N532,3)</x:f>
        <x:v>-6.858</x:v>
      </x:c>
      <x:c r="AC532" s="64" t="n">
        <x:f>SUM(V532:AB532)</x:f>
        <x:v>-69.052</x:v>
      </x:c>
      <x:c r="AD532" s="65" t="n">
        <x:f>AC532/Q532</x:f>
        <x:v>-0.0680456054947329</x:v>
      </x:c>
      <x:c r="AE532" s="64" t="n">
        <x:f>-ROUND(Q532*'Drivers'!O532,3)</x:f>
        <x:v>-8.641</x:v>
      </x:c>
      <x:c r="AF532" s="65" t="n">
        <x:f>AE532/Q532</x:f>
        <x:v>-0.008515062229623864</x:v>
      </x:c>
      <x:c r="AG532" s="64" t="n">
        <x:f>-ROUND(Q532*'Drivers'!P532,3)</x:f>
        <x:v>-0.85</x:v>
      </x:c>
      <x:c r="AH532" s="64" t="n">
        <x:f>-ROUND(Q532*'Drivers'!Q532,3)</x:f>
        <x:v>-2.549</x:v>
      </x:c>
      <x:c r="AI532" s="64" t="n">
        <x:f>SUM(R532,T532,AC532,AE532,AG532,AH532)</x:f>
        <x:v>-292.11800000000005</x:v>
      </x:c>
      <x:c r="AJ532" s="65" t="n">
        <x:f>AI532/Q532</x:f>
        <x:v>-0.2878605425753112</x:v>
      </x:c>
      <x:c r="AK532" s="64" t="n">
        <x:f>Q532+AI532</x:f>
        <x:v>722.6719999999999</x:v>
      </x:c>
      <x:c r="AL532" s="65" t="n">
        <x:f>AK532/Q532</x:f>
        <x:v>0.7121394574246888</x:v>
      </x:c>
      <x:c r="AM532" s="64" t="n">
        <x:f>AK532/L532</x:f>
        <x:v>180.66799999999998</x:v>
      </x:c>
      <x:c r="AN532" s="66" t="str">
        <x:f>IF(AM532&lt;=200,"≤200K",IF(AM532&lt;=350,"200–350K",IF(AM532&lt;=500,"350–500K",IF(AM532&lt;=700,"500–700K","&gt;700K"))))</x:f>
        <x:v>≤200K</x:v>
      </x:c>
      <x:c r="AO532" s="64" t="n">
        <x:f>-ROUND(Q532*'Drivers'!R532,3)</x:f>
        <x:v>-366.927</x:v>
      </x:c>
      <x:c r="AP532" s="64" t="n">
        <x:f>-ROUND(AK532*'Drivers'!S532,3)</x:f>
        <x:v>-11.716</x:v>
      </x:c>
      <x:c r="AQ532" s="64" t="n">
        <x:f>-ROUND(AK532*'Drivers'!T532,3)</x:f>
        <x:v>-2.321</x:v>
      </x:c>
      <x:c r="AR532" s="64" t="n">
        <x:f>-ROUND(AK532*'Drivers'!U532,3)</x:f>
        <x:v>-4.628</x:v>
      </x:c>
      <x:c r="AS532" s="64" t="n">
        <x:f>-ROUND(AK532*'Drivers'!V532,3)</x:f>
        <x:v>-24.801</x:v>
      </x:c>
      <x:c r="AT532" s="64" t="n">
        <x:f>SUM(AO532:AS532)</x:f>
        <x:v>-410.39300000000003</x:v>
      </x:c>
      <x:c r="AU532" s="65" t="n">
        <x:f>AT532/AK532</x:f>
        <x:v>-0.5678828016029404</x:v>
      </x:c>
      <x:c r="AV532" s="64" t="n">
        <x:f>AK532+AT532</x:f>
        <x:v>312.2789999999999</x:v>
      </x:c>
      <x:c r="AW532" s="65" t="n">
        <x:f>AV532/AK532</x:f>
        <x:v>0.4321171983970597</x:v>
      </x:c>
      <x:c r="AX532" s="64" t="n">
        <x:f>-ROUND(AK532*'Drivers'!W532,3)</x:f>
        <x:v>-8.564</x:v>
      </x:c>
      <x:c r="AY532" s="64" t="n">
        <x:f>-ROUND(AK532*'Drivers'!X532,3)</x:f>
        <x:v>-17.378</x:v>
      </x:c>
      <x:c r="AZ532" s="64" t="n">
        <x:f>-ROUND(AK532*'Drivers'!Y532,3)</x:f>
        <x:v>-15.654</x:v>
      </x:c>
      <x:c r="BA532" s="64" t="n">
        <x:f>-ROUND(AK532*'Drivers'!Z532,3)</x:f>
        <x:v>-5.517</x:v>
      </x:c>
      <x:c r="BB532" s="64" t="n">
        <x:f>-ROUND(AK532*'Drivers'!AA532,3)</x:f>
        <x:v>-6.573</x:v>
      </x:c>
      <x:c r="BC532" s="64" t="n">
        <x:f>SUM(BA532,BB532)</x:f>
        <x:v>-12.09</x:v>
      </x:c>
      <x:c r="BD532" s="64" t="n">
        <x:f>-ROUND(AK532*'Drivers'!AB532,3)</x:f>
        <x:v>-4.644</x:v>
      </x:c>
      <x:c r="BE532" s="64" t="n">
        <x:f>SUM(AX532:BB532,BD532)</x:f>
        <x:v>-58.330000000000005</x:v>
      </x:c>
      <x:c r="BF532" s="67" t="n">
        <x:f>'Drivers'!AF532</x:f>
        <x:v>8</x:v>
      </x:c>
      <x:c r="BG532" s="64" t="n">
        <x:f>BJ532</x:f>
        <x:v>-19.312</x:v>
      </x:c>
      <x:c r="BH532" s="64" t="n">
        <x:f>BE532/BF532</x:f>
        <x:v>-7.291250000000001</x:v>
      </x:c>
      <x:c r="BI532" s="68" t="n">
        <x:f>BF532/L532</x:f>
        <x:v>2</x:v>
      </x:c>
      <x:c r="BJ532" s="64" t="n">
        <x:f>-ROUND(AK532*'Drivers'!AC532,3)</x:f>
        <x:v>-19.312</x:v>
      </x:c>
      <x:c r="BK532" s="64" t="n">
        <x:f>-ROUND(AK532*'Drivers'!AD532,3)</x:f>
        <x:v>-86.988</x:v>
      </x:c>
      <x:c r="BL532" s="64" t="n">
        <x:f>SUM(AV532,BE532,BJ532,BK532)</x:f>
        <x:v>147.64899999999986</x:v>
      </x:c>
      <x:c r="BM532" s="65" t="n">
        <x:f>BL532/AK532</x:f>
        <x:v>0.20430983904177813</x:v>
      </x:c>
      <x:c r="BN532" s="64" t="n">
        <x:f>-ROUND(AK532*'Drivers'!AE532,3)</x:f>
        <x:v>-56.303</x:v>
      </x:c>
      <x:c r="BO532" s="64" t="n">
        <x:f>BL532+BN532</x:f>
        <x:v>91.34599999999986</x:v>
      </x:c>
      <x:c r="BP532" s="65" t="n">
        <x:f>BO532/AK532</x:f>
        <x:v>0.12640035866893953</x:v>
      </x:c>
    </x:row>
    <x:row r="533">
      <x:c r="A533" s="61" t="n">
        <x:v>2026</x:v>
      </x:c>
      <x:c r="B533" s="18" t="str">
        <x:v>S2</x:v>
      </x:c>
      <x:c r="C533" s="18" t="str">
        <x:v>2026 S2</x:v>
      </x:c>
      <x:c r="D533" s="18" t="str">
        <x:v>CNCT0133</x:v>
      </x:c>
      <x:c r="E533" s="18" t="str">
        <x:v>青岛凯德MALL新都心</x:v>
      </x:c>
      <x:c r="F533" s="18" t="str">
        <x:v>青岛</x:v>
      </x:c>
      <x:c r="G533" s="18" t="str">
        <x:v>山东省</x:v>
      </x:c>
      <x:c r="H533" s="18" t="str">
        <x:v>北区</x:v>
      </x:c>
      <x:c r="I533" s="18" t="str">
        <x:v>Shopping Mall</x:v>
      </x:c>
      <x:c r="J533" s="18" t="str">
        <x:v>Regional Mall</x:v>
      </x:c>
      <x:c r="K533" s="18" t="str">
        <x:v>正常</x:v>
      </x:c>
      <x:c r="L533" s="62" t="n">
        <x:v>4</x:v>
      </x:c>
      <x:c r="M533" s="62" t="n">
        <x:v>34</x:v>
      </x:c>
      <x:c r="N533" s="63" t="n">
        <x:f>'Drivers'!C533</x:f>
        <x:v>1224</x:v>
      </x:c>
      <x:c r="O533" s="63" t="n">
        <x:f>'Drivers'!D533</x:f>
        <x:v>936.189</x:v>
      </x:c>
      <x:c r="P533" s="64" t="n">
        <x:f>ROUND(N533*O533/1000,3)</x:f>
        <x:v>1145.895</x:v>
      </x:c>
      <x:c r="Q533" s="64" t="n">
        <x:f>ROUND(P533*'Drivers'!E533,3)</x:f>
        <x:v>1119.28</x:v>
      </x:c>
      <x:c r="R533" s="64" t="n">
        <x:f>-ROUND(Q533*'Drivers'!F533,3)</x:f>
        <x:v>-215.486</x:v>
      </x:c>
      <x:c r="S533" s="65" t="n">
        <x:f>R533/Q533</x:f>
        <x:v>-0.19252197841469515</x:v>
      </x:c>
      <x:c r="T533" s="64" t="n">
        <x:f>-ROUND(Q533*'Drivers'!G533,3)</x:f>
        <x:v>-16.594</x:v>
      </x:c>
      <x:c r="U533" s="65" t="n">
        <x:f>T533/Q533</x:f>
        <x:v>-0.01482560217282539</x:v>
      </x:c>
      <x:c r="V533" s="64" t="n">
        <x:f>-ROUND(Q533*'Drivers'!H533,3)</x:f>
        <x:v>-12.376</x:v>
      </x:c>
      <x:c r="W533" s="64" t="n">
        <x:f>-ROUND(Q533*'Drivers'!I533,3)</x:f>
        <x:v>-11.299</x:v>
      </x:c>
      <x:c r="X533" s="64" t="n">
        <x:f>-ROUND(Q533*'Drivers'!J533,3)</x:f>
        <x:v>-11.355</x:v>
      </x:c>
      <x:c r="Y533" s="64" t="n">
        <x:f>-ROUND(Q533*'Drivers'!K533,3)</x:f>
        <x:v>-11.261</x:v>
      </x:c>
      <x:c r="Z533" s="64" t="n">
        <x:f>-ROUND(Q533*'Drivers'!L533,3)</x:f>
        <x:v>-10.754</x:v>
      </x:c>
      <x:c r="AA533" s="64" t="n">
        <x:f>-ROUND(Q533*'Drivers'!M533,3)</x:f>
        <x:v>-11.552</x:v>
      </x:c>
      <x:c r="AB533" s="64" t="n">
        <x:f>-ROUND(Q533*'Drivers'!N533,3)</x:f>
        <x:v>-7.564</x:v>
      </x:c>
      <x:c r="AC533" s="64" t="n">
        <x:f>SUM(V533:AB533)</x:f>
        <x:v>-76.161</x:v>
      </x:c>
      <x:c r="AD533" s="65" t="n">
        <x:f>AC533/Q533</x:f>
        <x:v>-0.068044635837324</x:v>
      </x:c>
      <x:c r="AE533" s="64" t="n">
        <x:f>-ROUND(Q533*'Drivers'!O533,3)</x:f>
        <x:v>-10.31</x:v>
      </x:c>
      <x:c r="AF533" s="65" t="n">
        <x:f>AE533/Q533</x:f>
        <x:v>-0.009211278679150883</x:v>
      </x:c>
      <x:c r="AG533" s="64" t="n">
        <x:f>-ROUND(Q533*'Drivers'!P533,3)</x:f>
        <x:v>-0.938</x:v>
      </x:c>
      <x:c r="AH533" s="64" t="n">
        <x:f>-ROUND(Q533*'Drivers'!Q533,3)</x:f>
        <x:v>-2.812</x:v>
      </x:c>
      <x:c r="AI533" s="64" t="n">
        <x:f>SUM(R533,T533,AC533,AE533,AG533,AH533)</x:f>
        <x:v>-322.301</x:v>
      </x:c>
      <x:c r="AJ533" s="65" t="n">
        <x:f>AI533/Q533</x:f>
        <x:v>-0.28795386319777</x:v>
      </x:c>
      <x:c r="AK533" s="64" t="n">
        <x:f>Q533+AI533</x:f>
        <x:v>796.979</x:v>
      </x:c>
      <x:c r="AL533" s="65" t="n">
        <x:f>AK533/Q533</x:f>
        <x:v>0.7120461368022301</x:v>
      </x:c>
      <x:c r="AM533" s="64" t="n">
        <x:f>AK533/L533</x:f>
        <x:v>199.24475</x:v>
      </x:c>
      <x:c r="AN533" s="66" t="str">
        <x:f>IF(AM533&lt;=200,"≤200K",IF(AM533&lt;=350,"200–350K",IF(AM533&lt;=500,"350–500K",IF(AM533&lt;=700,"500–700K","&gt;700K"))))</x:f>
        <x:v>≤200K</x:v>
      </x:c>
      <x:c r="AO533" s="64" t="n">
        <x:f>-ROUND(Q533*'Drivers'!R533,3)</x:f>
        <x:v>-402.865</x:v>
      </x:c>
      <x:c r="AP533" s="64" t="n">
        <x:f>-ROUND(AK533*'Drivers'!S533,3)</x:f>
        <x:v>-12.921</x:v>
      </x:c>
      <x:c r="AQ533" s="64" t="n">
        <x:f>-ROUND(AK533*'Drivers'!T533,3)</x:f>
        <x:v>-2.56</x:v>
      </x:c>
      <x:c r="AR533" s="64" t="n">
        <x:f>-ROUND(AK533*'Drivers'!U533,3)</x:f>
        <x:v>-5.104</x:v>
      </x:c>
      <x:c r="AS533" s="64" t="n">
        <x:f>-ROUND(AK533*'Drivers'!V533,3)</x:f>
        <x:v>-27.352</x:v>
      </x:c>
      <x:c r="AT533" s="64" t="n">
        <x:f>SUM(AO533:AS533)</x:f>
        <x:v>-450.80199999999996</x:v>
      </x:c>
      <x:c r="AU533" s="65" t="n">
        <x:f>AT533/AK533</x:f>
        <x:v>-0.5656384923567621</x:v>
      </x:c>
      <x:c r="AV533" s="64" t="n">
        <x:f>AK533+AT533</x:f>
        <x:v>346.1770000000001</x:v>
      </x:c>
      <x:c r="AW533" s="65" t="n">
        <x:f>AV533/AK533</x:f>
        <x:v>0.43436150764323783</x:v>
      </x:c>
      <x:c r="AX533" s="64" t="n">
        <x:f>-ROUND(AK533*'Drivers'!W533,3)</x:f>
        <x:v>-8.137</x:v>
      </x:c>
      <x:c r="AY533" s="64" t="n">
        <x:f>-ROUND(AK533*'Drivers'!X533,3)</x:f>
        <x:v>-16.51</x:v>
      </x:c>
      <x:c r="AZ533" s="64" t="n">
        <x:f>-ROUND(AK533*'Drivers'!Y533,3)</x:f>
        <x:v>-14.872</x:v>
      </x:c>
      <x:c r="BA533" s="64" t="n">
        <x:f>-ROUND(AK533*'Drivers'!Z533,3)</x:f>
        <x:v>-5.241</x:v>
      </x:c>
      <x:c r="BB533" s="64" t="n">
        <x:f>-ROUND(AK533*'Drivers'!AA533,3)</x:f>
        <x:v>-6.245</x:v>
      </x:c>
      <x:c r="BC533" s="64" t="n">
        <x:f>SUM(BA533,BB533)</x:f>
        <x:v>-11.486</x:v>
      </x:c>
      <x:c r="BD533" s="64" t="n">
        <x:f>-ROUND(AK533*'Drivers'!AB533,3)</x:f>
        <x:v>-4.413</x:v>
      </x:c>
      <x:c r="BE533" s="64" t="n">
        <x:f>SUM(AX533:BB533,BD533)</x:f>
        <x:v>-55.418000000000006</x:v>
      </x:c>
      <x:c r="BF533" s="67" t="n">
        <x:f>'Drivers'!AF533</x:f>
        <x:v>8</x:v>
      </x:c>
      <x:c r="BG533" s="64" t="n">
        <x:f>BJ533</x:f>
        <x:v>-18.347</x:v>
      </x:c>
      <x:c r="BH533" s="64" t="n">
        <x:f>BE533/BF533</x:f>
        <x:v>-6.927250000000001</x:v>
      </x:c>
      <x:c r="BI533" s="68" t="n">
        <x:f>BF533/L533</x:f>
        <x:v>2</x:v>
      </x:c>
      <x:c r="BJ533" s="64" t="n">
        <x:f>-ROUND(AK533*'Drivers'!AC533,3)</x:f>
        <x:v>-18.347</x:v>
      </x:c>
      <x:c r="BK533" s="64" t="n">
        <x:f>-ROUND(AK533*'Drivers'!AD533,3)</x:f>
        <x:v>-95.933</x:v>
      </x:c>
      <x:c r="BL533" s="64" t="n">
        <x:f>SUM(AV533,BE533,BJ533,BK533)</x:f>
        <x:v>176.4790000000001</x:v>
      </x:c>
      <x:c r="BM533" s="65" t="n">
        <x:f>BL533/AK533</x:f>
        <x:v>0.22143494370617053</x:v>
      </x:c>
      <x:c r="BN533" s="64" t="n">
        <x:f>-ROUND(AK533*'Drivers'!AE533,3)</x:f>
        <x:v>-62.092</x:v>
      </x:c>
      <x:c r="BO533" s="64" t="n">
        <x:f>BL533+BN533</x:f>
        <x:v>114.3870000000001</x:v>
      </x:c>
      <x:c r="BP533" s="65" t="n">
        <x:f>BO533/AK533</x:f>
        <x:v>0.1435257390721714</x:v>
      </x:c>
    </x:row>
    <x:row r="534">
      <x:c r="A534" s="61" t="n">
        <x:v>2025</x:v>
      </x:c>
      <x:c r="B534" s="18" t="str">
        <x:v>S1</x:v>
      </x:c>
      <x:c r="C534" s="18" t="str">
        <x:v>2025 S1</x:v>
      </x:c>
      <x:c r="D534" s="18" t="str">
        <x:v>CNCT0134</x:v>
      </x:c>
      <x:c r="E534" s="18" t="str">
        <x:v>青岛金茂湾购物中心</x:v>
      </x:c>
      <x:c r="F534" s="18" t="str">
        <x:v>青岛</x:v>
      </x:c>
      <x:c r="G534" s="18" t="str">
        <x:v>山东省</x:v>
      </x:c>
      <x:c r="H534" s="18" t="str">
        <x:v>北区</x:v>
      </x:c>
      <x:c r="I534" s="18" t="str">
        <x:v>Shopping Mall</x:v>
      </x:c>
      <x:c r="J534" s="18" t="str">
        <x:v>Regional Mall</x:v>
      </x:c>
      <x:c r="K534" s="18" t="str">
        <x:v>正常</x:v>
      </x:c>
      <x:c r="L534" s="62" t="n">
        <x:v>3</x:v>
      </x:c>
      <x:c r="M534" s="62" t="n">
        <x:v>34</x:v>
      </x:c>
      <x:c r="N534" s="63" t="n">
        <x:f>'Drivers'!C534</x:f>
        <x:v>997</x:v>
      </x:c>
      <x:c r="O534" s="63" t="n">
        <x:f>'Drivers'!D534</x:f>
        <x:v>909.739</x:v>
      </x:c>
      <x:c r="P534" s="64" t="n">
        <x:f>ROUND(N534*O534/1000,3)</x:f>
        <x:v>907.01</x:v>
      </x:c>
      <x:c r="Q534" s="64" t="n">
        <x:f>ROUND(P534*'Drivers'!E534,3)</x:f>
        <x:v>889.729</x:v>
      </x:c>
      <x:c r="R534" s="64" t="n">
        <x:f>-ROUND(Q534*'Drivers'!F534,3)</x:f>
        <x:v>-153.754</x:v>
      </x:c>
      <x:c r="S534" s="65" t="n">
        <x:f>R534/Q534</x:f>
        <x:v>-0.17280992302150427</x:v>
      </x:c>
      <x:c r="T534" s="64" t="n">
        <x:f>-ROUND(Q534*'Drivers'!G534,3)</x:f>
        <x:v>-10.062</x:v>
      </x:c>
      <x:c r="U534" s="65" t="n">
        <x:f>T534/Q534</x:f>
        <x:v>-0.011309061523227857</x:v>
      </x:c>
      <x:c r="V534" s="64" t="n">
        <x:f>-ROUND(Q534*'Drivers'!H534,3)</x:f>
        <x:v>-11.109</x:v>
      </x:c>
      <x:c r="W534" s="64" t="n">
        <x:f>-ROUND(Q534*'Drivers'!I534,3)</x:f>
        <x:v>-9.326</x:v>
      </x:c>
      <x:c r="X534" s="64" t="n">
        <x:f>-ROUND(Q534*'Drivers'!J534,3)</x:f>
        <x:v>-14.653</x:v>
      </x:c>
      <x:c r="Y534" s="64" t="n">
        <x:f>-ROUND(Q534*'Drivers'!K534,3)</x:f>
        <x:v>-9.096</x:v>
      </x:c>
      <x:c r="Z534" s="64" t="n">
        <x:f>-ROUND(Q534*'Drivers'!L534,3)</x:f>
        <x:v>-9.74</x:v>
      </x:c>
      <x:c r="AA534" s="64" t="n">
        <x:f>-ROUND(Q534*'Drivers'!M534,3)</x:f>
        <x:v>-6.46</x:v>
      </x:c>
      <x:c r="AB534" s="64" t="n">
        <x:f>-ROUND(Q534*'Drivers'!N534,3)</x:f>
        <x:v>-5.025</x:v>
      </x:c>
      <x:c r="AC534" s="64" t="n">
        <x:f>SUM(V534:AB534)</x:f>
        <x:v>-65.409</x:v>
      </x:c>
      <x:c r="AD534" s="65" t="n">
        <x:f>AC534/Q534</x:f>
        <x:v>-0.07351564352741116</x:v>
      </x:c>
      <x:c r="AE534" s="64" t="n">
        <x:f>-ROUND(Q534*'Drivers'!O534,3)</x:f>
        <x:v>-10.21</x:v>
      </x:c>
      <x:c r="AF534" s="65" t="n">
        <x:f>AE534/Q534</x:f>
        <x:v>-0.011475404308502926</x:v>
      </x:c>
      <x:c r="AG534" s="64" t="n">
        <x:f>-ROUND(Q534*'Drivers'!P534,3)</x:f>
        <x:v>-1.131</x:v>
      </x:c>
      <x:c r="AH534" s="64" t="n">
        <x:f>-ROUND(Q534*'Drivers'!Q534,3)</x:f>
        <x:v>-2.073</x:v>
      </x:c>
      <x:c r="AI534" s="64" t="n">
        <x:f>SUM(R534,T534,AC534,AE534,AG534,AH534)</x:f>
        <x:v>-242.63900000000004</x:v>
      </x:c>
      <x:c r="AJ534" s="65" t="n">
        <x:f>AI534/Q534</x:f>
        <x:v>-0.2727111288943038</x:v>
      </x:c>
      <x:c r="AK534" s="64" t="n">
        <x:f>Q534+AI534</x:f>
        <x:v>647.09</x:v>
      </x:c>
      <x:c r="AL534" s="65" t="n">
        <x:f>AK534/Q534</x:f>
        <x:v>0.7272888711056962</x:v>
      </x:c>
      <x:c r="AM534" s="64" t="n">
        <x:f>AK534/L534</x:f>
        <x:v>215.6966666666667</x:v>
      </x:c>
      <x:c r="AN534" s="66" t="str">
        <x:f>IF(AM534&lt;=200,"≤200K",IF(AM534&lt;=350,"200–350K",IF(AM534&lt;=500,"350–500K",IF(AM534&lt;=700,"500–700K","&gt;700K"))))</x:f>
        <x:v>200–350K</x:v>
      </x:c>
      <x:c r="AO534" s="64" t="n">
        <x:f>-ROUND(Q534*'Drivers'!R534,3)</x:f>
        <x:v>-326.141</x:v>
      </x:c>
      <x:c r="AP534" s="64" t="n">
        <x:f>-ROUND(AK534*'Drivers'!S534,3)</x:f>
        <x:v>-8.004</x:v>
      </x:c>
      <x:c r="AQ534" s="64" t="n">
        <x:f>-ROUND(AK534*'Drivers'!T534,3)</x:f>
        <x:v>-3.443</x:v>
      </x:c>
      <x:c r="AR534" s="64" t="n">
        <x:f>-ROUND(AK534*'Drivers'!U534,3)</x:f>
        <x:v>-5.713</x:v>
      </x:c>
      <x:c r="AS534" s="64" t="n">
        <x:f>-ROUND(AK534*'Drivers'!V534,3)</x:f>
        <x:v>-23.957</x:v>
      </x:c>
      <x:c r="AT534" s="64" t="n">
        <x:f>SUM(AO534:AS534)</x:f>
        <x:v>-367.25800000000004</x:v>
      </x:c>
      <x:c r="AU534" s="65" t="n">
        <x:f>AT534/AK534</x:f>
        <x:v>-0.5675531997094686</x:v>
      </x:c>
      <x:c r="AV534" s="64" t="n">
        <x:f>AK534+AT534</x:f>
        <x:v>279.832</x:v>
      </x:c>
      <x:c r="AW534" s="65" t="n">
        <x:f>AV534/AK534</x:f>
        <x:v>0.43244680029053145</x:v>
      </x:c>
      <x:c r="AX534" s="64" t="n">
        <x:f>-ROUND(AK534*'Drivers'!W534,3)</x:f>
        <x:v>-8.209</x:v>
      </x:c>
      <x:c r="AY534" s="64" t="n">
        <x:f>-ROUND(AK534*'Drivers'!X534,3)</x:f>
        <x:v>-12.068</x:v>
      </x:c>
      <x:c r="AZ534" s="64" t="n">
        <x:f>-ROUND(AK534*'Drivers'!Y534,3)</x:f>
        <x:v>-10.824</x:v>
      </x:c>
      <x:c r="BA534" s="64" t="n">
        <x:f>-ROUND(AK534*'Drivers'!Z534,3)</x:f>
        <x:v>-3.524</x:v>
      </x:c>
      <x:c r="BB534" s="64" t="n">
        <x:f>-ROUND(AK534*'Drivers'!AA534,3)</x:f>
        <x:v>-5.745</x:v>
      </x:c>
      <x:c r="BC534" s="64" t="n">
        <x:f>SUM(BA534,BB534)</x:f>
        <x:v>-9.269</x:v>
      </x:c>
      <x:c r="BD534" s="64" t="n">
        <x:f>-ROUND(AK534*'Drivers'!AB534,3)</x:f>
        <x:v>-2.641</x:v>
      </x:c>
      <x:c r="BE534" s="64" t="n">
        <x:f>SUM(AX534:BB534,BD534)</x:f>
        <x:v>-43.010999999999996</x:v>
      </x:c>
      <x:c r="BF534" s="67" t="n">
        <x:f>'Drivers'!AF534</x:f>
        <x:v>6</x:v>
      </x:c>
      <x:c r="BG534" s="64" t="n">
        <x:f>BJ534</x:f>
        <x:v>-14.883</x:v>
      </x:c>
      <x:c r="BH534" s="64" t="n">
        <x:f>BE534/BF534</x:f>
        <x:v>-7.168499999999999</x:v>
      </x:c>
      <x:c r="BI534" s="68" t="n">
        <x:f>BF534/L534</x:f>
        <x:v>2</x:v>
      </x:c>
      <x:c r="BJ534" s="64" t="n">
        <x:f>-ROUND(AK534*'Drivers'!AC534,3)</x:f>
        <x:v>-14.883</x:v>
      </x:c>
      <x:c r="BK534" s="64" t="n">
        <x:f>-ROUND(AK534*'Drivers'!AD534,3)</x:f>
        <x:v>-74.582</x:v>
      </x:c>
      <x:c r="BL534" s="64" t="n">
        <x:f>SUM(AV534,BE534,BJ534,BK534)</x:f>
        <x:v>147.356</x:v>
      </x:c>
      <x:c r="BM534" s="65" t="n">
        <x:f>BL534/AK534</x:f>
        <x:v>0.22772102798683333</x:v>
      </x:c>
      <x:c r="BN534" s="64" t="n">
        <x:f>-ROUND(AK534*'Drivers'!AE534,3)</x:f>
        <x:v>-52.973</x:v>
      </x:c>
      <x:c r="BO534" s="64" t="n">
        <x:f>BL534+BN534</x:f>
        <x:v>94.383</x:v>
      </x:c>
      <x:c r="BP534" s="65" t="n">
        <x:f>BO534/AK534</x:f>
        <x:v>0.14585760867885456</x:v>
      </x:c>
    </x:row>
    <x:row r="535">
      <x:c r="A535" s="61" t="n">
        <x:v>2025</x:v>
      </x:c>
      <x:c r="B535" s="18" t="str">
        <x:v>S2</x:v>
      </x:c>
      <x:c r="C535" s="18" t="str">
        <x:v>2025 S2</x:v>
      </x:c>
      <x:c r="D535" s="18" t="str">
        <x:v>CNCT0134</x:v>
      </x:c>
      <x:c r="E535" s="18" t="str">
        <x:v>青岛金茂湾购物中心</x:v>
      </x:c>
      <x:c r="F535" s="18" t="str">
        <x:v>青岛</x:v>
      </x:c>
      <x:c r="G535" s="18" t="str">
        <x:v>山东省</x:v>
      </x:c>
      <x:c r="H535" s="18" t="str">
        <x:v>北区</x:v>
      </x:c>
      <x:c r="I535" s="18" t="str">
        <x:v>Shopping Mall</x:v>
      </x:c>
      <x:c r="J535" s="18" t="str">
        <x:v>Regional Mall</x:v>
      </x:c>
      <x:c r="K535" s="18" t="str">
        <x:v>正常</x:v>
      </x:c>
      <x:c r="L535" s="62" t="n">
        <x:v>3</x:v>
      </x:c>
      <x:c r="M535" s="62" t="n">
        <x:v>34</x:v>
      </x:c>
      <x:c r="N535" s="63" t="n">
        <x:f>'Drivers'!C535</x:f>
        <x:v>1074</x:v>
      </x:c>
      <x:c r="O535" s="63" t="n">
        <x:f>'Drivers'!D535</x:f>
        <x:v>920.656</x:v>
      </x:c>
      <x:c r="P535" s="64" t="n">
        <x:f>ROUND(N535*O535/1000,3)</x:f>
        <x:v>988.785</x:v>
      </x:c>
      <x:c r="Q535" s="64" t="n">
        <x:f>ROUND(P535*'Drivers'!E535,3)</x:f>
        <x:v>951.904</x:v>
      </x:c>
      <x:c r="R535" s="64" t="n">
        <x:f>-ROUND(Q535*'Drivers'!F535,3)</x:f>
        <x:v>-164.499</x:v>
      </x:c>
      <x:c r="S535" s="65" t="n">
        <x:f>R535/Q535</x:f>
        <x:v>-0.17281049349514235</x:v>
      </x:c>
      <x:c r="T535" s="64" t="n">
        <x:f>-ROUND(Q535*'Drivers'!G535,3)</x:f>
        <x:v>-10.765</x:v>
      </x:c>
      <x:c r="U535" s="65" t="n">
        <x:f>T535/Q535</x:f>
        <x:v>-0.011308913503882745</x:v>
      </x:c>
      <x:c r="V535" s="64" t="n">
        <x:f>-ROUND(Q535*'Drivers'!H535,3)</x:f>
        <x:v>-11.885</x:v>
      </x:c>
      <x:c r="W535" s="64" t="n">
        <x:f>-ROUND(Q535*'Drivers'!I535,3)</x:f>
        <x:v>-9.978</x:v>
      </x:c>
      <x:c r="X535" s="64" t="n">
        <x:f>-ROUND(Q535*'Drivers'!J535,3)</x:f>
        <x:v>-15.677</x:v>
      </x:c>
      <x:c r="Y535" s="64" t="n">
        <x:f>-ROUND(Q535*'Drivers'!K535,3)</x:f>
        <x:v>-9.731</x:v>
      </x:c>
      <x:c r="Z535" s="64" t="n">
        <x:f>-ROUND(Q535*'Drivers'!L535,3)</x:f>
        <x:v>-10.421</x:v>
      </x:c>
      <x:c r="AA535" s="64" t="n">
        <x:f>-ROUND(Q535*'Drivers'!M535,3)</x:f>
        <x:v>-6.911</x:v>
      </x:c>
      <x:c r="AB535" s="64" t="n">
        <x:f>-ROUND(Q535*'Drivers'!N535,3)</x:f>
        <x:v>-5.376</x:v>
      </x:c>
      <x:c r="AC535" s="64" t="n">
        <x:f>SUM(V535:AB535)</x:f>
        <x:v>-69.979</x:v>
      </x:c>
      <x:c r="AD535" s="65" t="n">
        <x:f>AC535/Q535</x:f>
        <x:v>-0.07351476619491042</x:v>
      </x:c>
      <x:c r="AE535" s="64" t="n">
        <x:f>-ROUND(Q535*'Drivers'!O535,3)</x:f>
        <x:v>-10.924</x:v>
      </x:c>
      <x:c r="AF535" s="65" t="n">
        <x:f>AE535/Q535</x:f>
        <x:v>-0.01147594715433489</x:v>
      </x:c>
      <x:c r="AG535" s="64" t="n">
        <x:f>-ROUND(Q535*'Drivers'!P535,3)</x:f>
        <x:v>-1.21</x:v>
      </x:c>
      <x:c r="AH535" s="64" t="n">
        <x:f>-ROUND(Q535*'Drivers'!Q535,3)</x:f>
        <x:v>-2.218</x:v>
      </x:c>
      <x:c r="AI535" s="64" t="n">
        <x:f>SUM(R535,T535,AC535,AE535,AG535,AH535)</x:f>
        <x:v>-259.59499999999997</x:v>
      </x:c>
      <x:c r="AJ535" s="65" t="n">
        <x:f>AI535/Q535</x:f>
        <x:v>-0.2727113238309745</x:v>
      </x:c>
      <x:c r="AK535" s="64" t="n">
        <x:f>Q535+AI535</x:f>
        <x:v>692.309</x:v>
      </x:c>
      <x:c r="AL535" s="65" t="n">
        <x:f>AK535/Q535</x:f>
        <x:v>0.7272886761690254</x:v>
      </x:c>
      <x:c r="AM535" s="64" t="n">
        <x:f>AK535/L535</x:f>
        <x:v>230.76966666666667</x:v>
      </x:c>
      <x:c r="AN535" s="66" t="str">
        <x:f>IF(AM535&lt;=200,"≤200K",IF(AM535&lt;=350,"200–350K",IF(AM535&lt;=500,"350–500K",IF(AM535&lt;=700,"500–700K","&gt;700K"))))</x:f>
        <x:v>200–350K</x:v>
      </x:c>
      <x:c r="AO535" s="64" t="n">
        <x:f>-ROUND(Q535*'Drivers'!R535,3)</x:f>
        <x:v>-357.948</x:v>
      </x:c>
      <x:c r="AP535" s="64" t="n">
        <x:f>-ROUND(AK535*'Drivers'!S535,3)</x:f>
        <x:v>-8.563</x:v>
      </x:c>
      <x:c r="AQ535" s="64" t="n">
        <x:f>-ROUND(AK535*'Drivers'!T535,3)</x:f>
        <x:v>-3.683</x:v>
      </x:c>
      <x:c r="AR535" s="64" t="n">
        <x:f>-ROUND(AK535*'Drivers'!U535,3)</x:f>
        <x:v>-6.112</x:v>
      </x:c>
      <x:c r="AS535" s="64" t="n">
        <x:f>-ROUND(AK535*'Drivers'!V535,3)</x:f>
        <x:v>-25.631</x:v>
      </x:c>
      <x:c r="AT535" s="64" t="n">
        <x:f>SUM(AO535:AS535)</x:f>
        <x:v>-401.937</x:v>
      </x:c>
      <x:c r="AU535" s="65" t="n">
        <x:f>AT535/AK535</x:f>
        <x:v>-0.5805745700258123</x:v>
      </x:c>
      <x:c r="AV535" s="64" t="n">
        <x:f>AK535+AT535</x:f>
        <x:v>290.37199999999996</x:v>
      </x:c>
      <x:c r="AW535" s="65" t="n">
        <x:f>AV535/AK535</x:f>
        <x:v>0.4194254299741878</x:v>
      </x:c>
      <x:c r="AX535" s="64" t="n">
        <x:f>-ROUND(AK535*'Drivers'!W535,3)</x:f>
        <x:v>-8.783</x:v>
      </x:c>
      <x:c r="AY535" s="64" t="n">
        <x:f>-ROUND(AK535*'Drivers'!X535,3)</x:f>
        <x:v>-12.911</x:v>
      </x:c>
      <x:c r="AZ535" s="64" t="n">
        <x:f>-ROUND(AK535*'Drivers'!Y535,3)</x:f>
        <x:v>-11.58</x:v>
      </x:c>
      <x:c r="BA535" s="64" t="n">
        <x:f>-ROUND(AK535*'Drivers'!Z535,3)</x:f>
        <x:v>-3.77</x:v>
      </x:c>
      <x:c r="BB535" s="64" t="n">
        <x:f>-ROUND(AK535*'Drivers'!AA535,3)</x:f>
        <x:v>-6.146</x:v>
      </x:c>
      <x:c r="BC535" s="64" t="n">
        <x:f>SUM(BA535,BB535)</x:f>
        <x:v>-9.916</x:v>
      </x:c>
      <x:c r="BD535" s="64" t="n">
        <x:f>-ROUND(AK535*'Drivers'!AB535,3)</x:f>
        <x:v>-2.826</x:v>
      </x:c>
      <x:c r="BE535" s="64" t="n">
        <x:f>SUM(AX535:BB535,BD535)</x:f>
        <x:v>-46.016000000000005</x:v>
      </x:c>
      <x:c r="BF535" s="67" t="n">
        <x:f>'Drivers'!AF535</x:f>
        <x:v>6</x:v>
      </x:c>
      <x:c r="BG535" s="64" t="n">
        <x:f>BJ535</x:f>
        <x:v>-15.923</x:v>
      </x:c>
      <x:c r="BH535" s="64" t="n">
        <x:f>BE535/BF535</x:f>
        <x:v>-7.669333333333334</x:v>
      </x:c>
      <x:c r="BI535" s="68" t="n">
        <x:f>BF535/L535</x:f>
        <x:v>2</x:v>
      </x:c>
      <x:c r="BJ535" s="64" t="n">
        <x:f>-ROUND(AK535*'Drivers'!AC535,3)</x:f>
        <x:v>-15.923</x:v>
      </x:c>
      <x:c r="BK535" s="64" t="n">
        <x:f>-ROUND(AK535*'Drivers'!AD535,3)</x:f>
        <x:v>-79.794</x:v>
      </x:c>
      <x:c r="BL535" s="64" t="n">
        <x:f>SUM(AV535,BE535,BJ535,BK535)</x:f>
        <x:v>148.63899999999995</x:v>
      </x:c>
      <x:c r="BM535" s="65" t="n">
        <x:f>BL535/AK535</x:f>
        <x:v>0.21470037223263017</x:v>
      </x:c>
      <x:c r="BN535" s="64" t="n">
        <x:f>-ROUND(AK535*'Drivers'!AE535,3)</x:f>
        <x:v>-56.674</x:v>
      </x:c>
      <x:c r="BO535" s="64" t="n">
        <x:f>BL535+BN535</x:f>
        <x:v>91.96499999999995</x:v>
      </x:c>
      <x:c r="BP535" s="65" t="n">
        <x:f>BO535/AK535</x:f>
        <x:v>0.13283808241695536</x:v>
      </x:c>
    </x:row>
    <x:row r="536">
      <x:c r="A536" s="61" t="n">
        <x:v>2026</x:v>
      </x:c>
      <x:c r="B536" s="18" t="str">
        <x:v>S1</x:v>
      </x:c>
      <x:c r="C536" s="18" t="str">
        <x:v>2026 S1</x:v>
      </x:c>
      <x:c r="D536" s="18" t="str">
        <x:v>CNCT0134</x:v>
      </x:c>
      <x:c r="E536" s="18" t="str">
        <x:v>青岛金茂湾购物中心</x:v>
      </x:c>
      <x:c r="F536" s="18" t="str">
        <x:v>青岛</x:v>
      </x:c>
      <x:c r="G536" s="18" t="str">
        <x:v>山东省</x:v>
      </x:c>
      <x:c r="H536" s="18" t="str">
        <x:v>北区</x:v>
      </x:c>
      <x:c r="I536" s="18" t="str">
        <x:v>Shopping Mall</x:v>
      </x:c>
      <x:c r="J536" s="18" t="str">
        <x:v>Regional Mall</x:v>
      </x:c>
      <x:c r="K536" s="18" t="str">
        <x:v>正常</x:v>
      </x:c>
      <x:c r="L536" s="62" t="n">
        <x:v>3</x:v>
      </x:c>
      <x:c r="M536" s="62" t="n">
        <x:v>34</x:v>
      </x:c>
      <x:c r="N536" s="63" t="n">
        <x:f>'Drivers'!C536</x:f>
        <x:v>1035</x:v>
      </x:c>
      <x:c r="O536" s="63" t="n">
        <x:f>'Drivers'!D536</x:f>
        <x:v>947.728</x:v>
      </x:c>
      <x:c r="P536" s="64" t="n">
        <x:f>ROUND(N536*O536/1000,3)</x:f>
        <x:v>980.898</x:v>
      </x:c>
      <x:c r="Q536" s="64" t="n">
        <x:f>ROUND(P536*'Drivers'!E536,3)</x:f>
        <x:v>964.34</x:v>
      </x:c>
      <x:c r="R536" s="64" t="n">
        <x:f>-ROUND(Q536*'Drivers'!F536,3)</x:f>
        <x:v>-164.864</x:v>
      </x:c>
      <x:c r="S536" s="65" t="n">
        <x:f>R536/Q536</x:f>
        <x:v>-0.17096044963394652</x:v>
      </x:c>
      <x:c r="T536" s="64" t="n">
        <x:f>-ROUND(Q536*'Drivers'!G536,3)</x:f>
        <x:v>-9.744</x:v>
      </x:c>
      <x:c r="U536" s="65" t="n">
        <x:f>T536/Q536</x:f>
        <x:v>-0.010104320053093307</x:v>
      </x:c>
      <x:c r="V536" s="64" t="n">
        <x:f>-ROUND(Q536*'Drivers'!H536,3)</x:f>
        <x:v>-12.04</x:v>
      </x:c>
      <x:c r="W536" s="64" t="n">
        <x:f>-ROUND(Q536*'Drivers'!I536,3)</x:f>
        <x:v>-10.108</x:v>
      </x:c>
      <x:c r="X536" s="64" t="n">
        <x:f>-ROUND(Q536*'Drivers'!J536,3)</x:f>
        <x:v>-15.882</x:v>
      </x:c>
      <x:c r="Y536" s="64" t="n">
        <x:f>-ROUND(Q536*'Drivers'!K536,3)</x:f>
        <x:v>-9.858</x:v>
      </x:c>
      <x:c r="Z536" s="64" t="n">
        <x:f>-ROUND(Q536*'Drivers'!L536,3)</x:f>
        <x:v>-10.557</x:v>
      </x:c>
      <x:c r="AA536" s="64" t="n">
        <x:f>-ROUND(Q536*'Drivers'!M536,3)</x:f>
        <x:v>-7.002</x:v>
      </x:c>
      <x:c r="AB536" s="64" t="n">
        <x:f>-ROUND(Q536*'Drivers'!N536,3)</x:f>
        <x:v>-5.446</x:v>
      </x:c>
      <x:c r="AC536" s="64" t="n">
        <x:f>SUM(V536:AB536)</x:f>
        <x:v>-70.893</x:v>
      </x:c>
      <x:c r="AD536" s="65" t="n">
        <x:f>AC536/Q536</x:f>
        <x:v>-0.0735145280710123</x:v>
      </x:c>
      <x:c r="AE536" s="64" t="n">
        <x:f>-ROUND(Q536*'Drivers'!O536,3)</x:f>
        <x:v>-12.583</x:v>
      </x:c>
      <x:c r="AF536" s="65" t="n">
        <x:f>AE536/Q536</x:f>
        <x:v>-0.013048302465935252</x:v>
      </x:c>
      <x:c r="AG536" s="64" t="n">
        <x:f>-ROUND(Q536*'Drivers'!P536,3)</x:f>
        <x:v>-1.226</x:v>
      </x:c>
      <x:c r="AH536" s="64" t="n">
        <x:f>-ROUND(Q536*'Drivers'!Q536,3)</x:f>
        <x:v>-2.247</x:v>
      </x:c>
      <x:c r="AI536" s="64" t="n">
        <x:f>SUM(R536,T536,AC536,AE536,AG536,AH536)</x:f>
        <x:v>-261.557</x:v>
      </x:c>
      <x:c r="AJ536" s="65" t="n">
        <x:f>AI536/Q536</x:f>
        <x:v>-0.27122902710662217</x:v>
      </x:c>
      <x:c r="AK536" s="64" t="n">
        <x:f>Q536+AI536</x:f>
        <x:v>702.783</x:v>
      </x:c>
      <x:c r="AL536" s="65" t="n">
        <x:f>AK536/Q536</x:f>
        <x:v>0.7287709728933779</x:v>
      </x:c>
      <x:c r="AM536" s="64" t="n">
        <x:f>AK536/L536</x:f>
        <x:v>234.261</x:v>
      </x:c>
      <x:c r="AN536" s="66" t="str">
        <x:f>IF(AM536&lt;=200,"≤200K",IF(AM536&lt;=350,"200–350K",IF(AM536&lt;=500,"350–500K",IF(AM536&lt;=700,"500–700K","&gt;700K"))))</x:f>
        <x:v>200–350K</x:v>
      </x:c>
      <x:c r="AO536" s="64" t="n">
        <x:f>-ROUND(Q536*'Drivers'!R536,3)</x:f>
        <x:v>-356.83</x:v>
      </x:c>
      <x:c r="AP536" s="64" t="n">
        <x:f>-ROUND(AK536*'Drivers'!S536,3)</x:f>
        <x:v>-8.693</x:v>
      </x:c>
      <x:c r="AQ536" s="64" t="n">
        <x:f>-ROUND(AK536*'Drivers'!T536,3)</x:f>
        <x:v>-3.739</x:v>
      </x:c>
      <x:c r="AR536" s="64" t="n">
        <x:f>-ROUND(AK536*'Drivers'!U536,3)</x:f>
        <x:v>-6.205</x:v>
      </x:c>
      <x:c r="AS536" s="64" t="n">
        <x:f>-ROUND(AK536*'Drivers'!V536,3)</x:f>
        <x:v>-26.019</x:v>
      </x:c>
      <x:c r="AT536" s="64" t="n">
        <x:f>SUM(AO536:AS536)</x:f>
        <x:v>-401.48599999999993</x:v>
      </x:c>
      <x:c r="AU536" s="65" t="n">
        <x:f>AT536/AK536</x:f>
        <x:v>-0.5712801817915344</x:v>
      </x:c>
      <x:c r="AV536" s="64" t="n">
        <x:f>AK536+AT536</x:f>
        <x:v>301.2970000000001</x:v>
      </x:c>
      <x:c r="AW536" s="65" t="n">
        <x:f>AV536/AK536</x:f>
        <x:v>0.4287198182084656</x:v>
      </x:c>
      <x:c r="AX536" s="64" t="n">
        <x:f>-ROUND(AK536*'Drivers'!W536,3)</x:f>
        <x:v>-10.97</x:v>
      </x:c>
      <x:c r="AY536" s="64" t="n">
        <x:f>-ROUND(AK536*'Drivers'!X536,3)</x:f>
        <x:v>-16.127</x:v>
      </x:c>
      <x:c r="AZ536" s="64" t="n">
        <x:f>-ROUND(AK536*'Drivers'!Y536,3)</x:f>
        <x:v>-14.464</x:v>
      </x:c>
      <x:c r="BA536" s="64" t="n">
        <x:f>-ROUND(AK536*'Drivers'!Z536,3)</x:f>
        <x:v>-4.71</x:v>
      </x:c>
      <x:c r="BB536" s="64" t="n">
        <x:f>-ROUND(AK536*'Drivers'!AA536,3)</x:f>
        <x:v>-7.677</x:v>
      </x:c>
      <x:c r="BC536" s="64" t="n">
        <x:f>SUM(BA536,BB536)</x:f>
        <x:v>-12.387</x:v>
      </x:c>
      <x:c r="BD536" s="64" t="n">
        <x:f>-ROUND(AK536*'Drivers'!AB536,3)</x:f>
        <x:v>-3.529</x:v>
      </x:c>
      <x:c r="BE536" s="64" t="n">
        <x:f>SUM(AX536:BB536,BD536)</x:f>
        <x:v>-57.477000000000004</x:v>
      </x:c>
      <x:c r="BF536" s="67" t="n">
        <x:f>'Drivers'!AF536</x:f>
        <x:v>6</x:v>
      </x:c>
      <x:c r="BG536" s="64" t="n">
        <x:f>BJ536</x:f>
        <x:v>-19.889</x:v>
      </x:c>
      <x:c r="BH536" s="64" t="n">
        <x:f>BE536/BF536</x:f>
        <x:v>-9.579500000000001</x:v>
      </x:c>
      <x:c r="BI536" s="68" t="n">
        <x:f>BF536/L536</x:f>
        <x:v>2</x:v>
      </x:c>
      <x:c r="BJ536" s="64" t="n">
        <x:f>-ROUND(AK536*'Drivers'!AC536,3)</x:f>
        <x:v>-19.889</x:v>
      </x:c>
      <x:c r="BK536" s="64" t="n">
        <x:f>-ROUND(AK536*'Drivers'!AD536,3)</x:f>
        <x:v>-81.001</x:v>
      </x:c>
      <x:c r="BL536" s="64" t="n">
        <x:f>SUM(AV536,BE536,BJ536,BK536)</x:f>
        <x:v>142.93000000000006</x:v>
      </x:c>
      <x:c r="BM536" s="65" t="n">
        <x:f>BL536/AK536</x:f>
        <x:v>0.2033771448654849</x:v>
      </x:c>
      <x:c r="BN536" s="64" t="n">
        <x:f>-ROUND(AK536*'Drivers'!AE536,3)</x:f>
        <x:v>-57.532</x:v>
      </x:c>
      <x:c r="BO536" s="64" t="n">
        <x:f>BL536+BN536</x:f>
        <x:v>85.39800000000007</x:v>
      </x:c>
      <x:c r="BP536" s="65" t="n">
        <x:f>BO536/AK536</x:f>
        <x:v>0.12151403776130053</x:v>
      </x:c>
    </x:row>
    <x:row r="537">
      <x:c r="A537" s="61" t="n">
        <x:v>2026</x:v>
      </x:c>
      <x:c r="B537" s="18" t="str">
        <x:v>S2</x:v>
      </x:c>
      <x:c r="C537" s="18" t="str">
        <x:v>2026 S2</x:v>
      </x:c>
      <x:c r="D537" s="18" t="str">
        <x:v>CNCT0134</x:v>
      </x:c>
      <x:c r="E537" s="18" t="str">
        <x:v>青岛金茂湾购物中心</x:v>
      </x:c>
      <x:c r="F537" s="18" t="str">
        <x:v>青岛</x:v>
      </x:c>
      <x:c r="G537" s="18" t="str">
        <x:v>山东省</x:v>
      </x:c>
      <x:c r="H537" s="18" t="str">
        <x:v>北区</x:v>
      </x:c>
      <x:c r="I537" s="18" t="str">
        <x:v>Shopping Mall</x:v>
      </x:c>
      <x:c r="J537" s="18" t="str">
        <x:v>Regional Mall</x:v>
      </x:c>
      <x:c r="K537" s="18" t="str">
        <x:v>正常</x:v>
      </x:c>
      <x:c r="L537" s="62" t="n">
        <x:v>3</x:v>
      </x:c>
      <x:c r="M537" s="62" t="n">
        <x:v>34</x:v>
      </x:c>
      <x:c r="N537" s="63" t="n">
        <x:f>'Drivers'!C537</x:f>
        <x:v>1111</x:v>
      </x:c>
      <x:c r="O537" s="63" t="n">
        <x:f>'Drivers'!D537</x:f>
        <x:v>942.878</x:v>
      </x:c>
      <x:c r="P537" s="64" t="n">
        <x:f>ROUND(N537*O537/1000,3)</x:f>
        <x:v>1047.537</x:v>
      </x:c>
      <x:c r="Q537" s="64" t="n">
        <x:f>ROUND(P537*'Drivers'!E537,3)</x:f>
        <x:v>1008.465</x:v>
      </x:c>
      <x:c r="R537" s="64" t="n">
        <x:f>-ROUND(Q537*'Drivers'!F537,3)</x:f>
        <x:v>-173.908</x:v>
      </x:c>
      <x:c r="S537" s="65" t="n">
        <x:f>R537/Q537</x:f>
        <x:v>-0.17244822576886654</x:v>
      </x:c>
      <x:c r="T537" s="64" t="n">
        <x:f>-ROUND(Q537*'Drivers'!G537,3)</x:f>
        <x:v>-12.257</x:v>
      </x:c>
      <x:c r="U537" s="65" t="n">
        <x:f>T537/Q537</x:f>
        <x:v>-0.012154115413028712</x:v>
      </x:c>
      <x:c r="V537" s="64" t="n">
        <x:f>-ROUND(Q537*'Drivers'!H537,3)</x:f>
        <x:v>-12.591</x:v>
      </x:c>
      <x:c r="W537" s="64" t="n">
        <x:f>-ROUND(Q537*'Drivers'!I537,3)</x:f>
        <x:v>-10.571</x:v>
      </x:c>
      <x:c r="X537" s="64" t="n">
        <x:f>-ROUND(Q537*'Drivers'!J537,3)</x:f>
        <x:v>-16.609</x:v>
      </x:c>
      <x:c r="Y537" s="64" t="n">
        <x:f>-ROUND(Q537*'Drivers'!K537,3)</x:f>
        <x:v>-10.309</x:v>
      </x:c>
      <x:c r="Z537" s="64" t="n">
        <x:f>-ROUND(Q537*'Drivers'!L537,3)</x:f>
        <x:v>-11.04</x:v>
      </x:c>
      <x:c r="AA537" s="64" t="n">
        <x:f>-ROUND(Q537*'Drivers'!M537,3)</x:f>
        <x:v>-7.322</x:v>
      </x:c>
      <x:c r="AB537" s="64" t="n">
        <x:f>-ROUND(Q537*'Drivers'!N537,3)</x:f>
        <x:v>-5.695</x:v>
      </x:c>
      <x:c r="AC537" s="64" t="n">
        <x:f>SUM(V537:AB537)</x:f>
        <x:v>-74.137</x:v>
      </x:c>
      <x:c r="AD537" s="65" t="n">
        <x:f>AC537/Q537</x:f>
        <x:v>-0.07351469808074648</x:v>
      </x:c>
      <x:c r="AE537" s="64" t="n">
        <x:f>-ROUND(Q537*'Drivers'!O537,3)</x:f>
        <x:v>-11.573</x:v>
      </x:c>
      <x:c r="AF537" s="65" t="n">
        <x:f>AE537/Q537</x:f>
        <x:v>-0.011475856871582058</x:v>
      </x:c>
      <x:c r="AG537" s="64" t="n">
        <x:f>-ROUND(Q537*'Drivers'!P537,3)</x:f>
        <x:v>-1.282</x:v>
      </x:c>
      <x:c r="AH537" s="64" t="n">
        <x:f>-ROUND(Q537*'Drivers'!Q537,3)</x:f>
        <x:v>-2.35</x:v>
      </x:c>
      <x:c r="AI537" s="64" t="n">
        <x:f>SUM(R537,T537,AC537,AE537,AG537,AH537)</x:f>
        <x:v>-275.507</x:v>
      </x:c>
      <x:c r="AJ537" s="65" t="n">
        <x:f>AI537/Q537</x:f>
        <x:v>-0.27319440932506334</x:v>
      </x:c>
      <x:c r="AK537" s="64" t="n">
        <x:f>Q537+AI537</x:f>
        <x:v>732.9580000000001</x:v>
      </x:c>
      <x:c r="AL537" s="65" t="n">
        <x:f>AK537/Q537</x:f>
        <x:v>0.7268055906749368</x:v>
      </x:c>
      <x:c r="AM537" s="64" t="n">
        <x:f>AK537/L537</x:f>
        <x:v>244.31933333333336</x:v>
      </x:c>
      <x:c r="AN537" s="66" t="str">
        <x:f>IF(AM537&lt;=200,"≤200K",IF(AM537&lt;=350,"200–350K",IF(AM537&lt;=500,"350–500K",IF(AM537&lt;=700,"500–700K","&gt;700K"))))</x:f>
        <x:v>200–350K</x:v>
      </x:c>
      <x:c r="AO537" s="64" t="n">
        <x:f>-ROUND(Q537*'Drivers'!R537,3)</x:f>
        <x:v>-380.302</x:v>
      </x:c>
      <x:c r="AP537" s="64" t="n">
        <x:f>-ROUND(AK537*'Drivers'!S537,3)</x:f>
        <x:v>-9.066</x:v>
      </x:c>
      <x:c r="AQ537" s="64" t="n">
        <x:f>-ROUND(AK537*'Drivers'!T537,3)</x:f>
        <x:v>-3.9</x:v>
      </x:c>
      <x:c r="AR537" s="64" t="n">
        <x:f>-ROUND(AK537*'Drivers'!U537,3)</x:f>
        <x:v>-6.471</x:v>
      </x:c>
      <x:c r="AS537" s="64" t="n">
        <x:f>-ROUND(AK537*'Drivers'!V537,3)</x:f>
        <x:v>-27.136</x:v>
      </x:c>
      <x:c r="AT537" s="64" t="n">
        <x:f>SUM(AO537:AS537)</x:f>
        <x:v>-426.875</x:v>
      </x:c>
      <x:c r="AU537" s="65" t="n">
        <x:f>AT537/AK537</x:f>
        <x:v>-0.5824003558184779</x:v>
      </x:c>
      <x:c r="AV537" s="64" t="n">
        <x:f>AK537+AT537</x:f>
        <x:v>306.0830000000001</x:v>
      </x:c>
      <x:c r="AW537" s="65" t="n">
        <x:f>AV537/AK537</x:f>
        <x:v>0.41759964418152207</x:v>
      </x:c>
      <x:c r="AX537" s="64" t="n">
        <x:f>-ROUND(AK537*'Drivers'!W537,3)</x:f>
        <x:v>-9.857</x:v>
      </x:c>
      <x:c r="AY537" s="64" t="n">
        <x:f>-ROUND(AK537*'Drivers'!X537,3)</x:f>
        <x:v>-14.489</x:v>
      </x:c>
      <x:c r="AZ537" s="64" t="n">
        <x:f>-ROUND(AK537*'Drivers'!Y537,3)</x:f>
        <x:v>-12.996</x:v>
      </x:c>
      <x:c r="BA537" s="64" t="n">
        <x:f>-ROUND(AK537*'Drivers'!Z537,3)</x:f>
        <x:v>-4.231</x:v>
      </x:c>
      <x:c r="BB537" s="64" t="n">
        <x:f>-ROUND(AK537*'Drivers'!AA537,3)</x:f>
        <x:v>-6.897</x:v>
      </x:c>
      <x:c r="BC537" s="64" t="n">
        <x:f>SUM(BA537,BB537)</x:f>
        <x:v>-11.128</x:v>
      </x:c>
      <x:c r="BD537" s="64" t="n">
        <x:f>-ROUND(AK537*'Drivers'!AB537,3)</x:f>
        <x:v>-3.171</x:v>
      </x:c>
      <x:c r="BE537" s="64" t="n">
        <x:f>SUM(AX537:BB537,BD537)</x:f>
        <x:v>-51.641</x:v>
      </x:c>
      <x:c r="BF537" s="67" t="n">
        <x:f>'Drivers'!AF537</x:f>
        <x:v>6</x:v>
      </x:c>
      <x:c r="BG537" s="64" t="n">
        <x:f>BJ537</x:f>
        <x:v>-17.87</x:v>
      </x:c>
      <x:c r="BH537" s="64" t="n">
        <x:f>BE537/BF537</x:f>
        <x:v>-8.606833333333332</x:v>
      </x:c>
      <x:c r="BI537" s="68" t="n">
        <x:f>BF537/L537</x:f>
        <x:v>2</x:v>
      </x:c>
      <x:c r="BJ537" s="64" t="n">
        <x:f>-ROUND(AK537*'Drivers'!AC537,3)</x:f>
        <x:v>-17.87</x:v>
      </x:c>
      <x:c r="BK537" s="64" t="n">
        <x:f>-ROUND(AK537*'Drivers'!AD537,3)</x:f>
        <x:v>-84.479</x:v>
      </x:c>
      <x:c r="BL537" s="64" t="n">
        <x:f>SUM(AV537,BE537,BJ537,BK537)</x:f>
        <x:v>152.09300000000007</x:v>
      </x:c>
      <x:c r="BM537" s="65" t="n">
        <x:f>BL537/AK537</x:f>
        <x:v>0.20750575067057056</x:v>
      </x:c>
      <x:c r="BN537" s="64" t="n">
        <x:f>-ROUND(AK537*'Drivers'!AE537,3)</x:f>
        <x:v>-60.002</x:v>
      </x:c>
      <x:c r="BO537" s="64" t="n">
        <x:f>BL537+BN537</x:f>
        <x:v>92.09100000000007</x:v>
      </x:c>
      <x:c r="BP537" s="65" t="n">
        <x:f>BO537/AK537</x:f>
        <x:v>0.12564294270613058</x:v>
      </x:c>
    </x:row>
    <x:row r="538">
      <x:c r="A538" s="61" t="n">
        <x:v>2025</x:v>
      </x:c>
      <x:c r="B538" s="18" t="str">
        <x:v>S1</x:v>
      </x:c>
      <x:c r="C538" s="18" t="str">
        <x:v>2025 S1</x:v>
      </x:c>
      <x:c r="D538" s="18" t="str">
        <x:v>CNCT0135</x:v>
      </x:c>
      <x:c r="E538" s="18" t="str">
        <x:v>青岛国金中心</x:v>
      </x:c>
      <x:c r="F538" s="18" t="str">
        <x:v>青岛</x:v>
      </x:c>
      <x:c r="G538" s="18" t="str">
        <x:v>山东省</x:v>
      </x:c>
      <x:c r="H538" s="18" t="str">
        <x:v>北区</x:v>
      </x:c>
      <x:c r="I538" s="18" t="str">
        <x:v>Shopping Mall</x:v>
      </x:c>
      <x:c r="J538" s="18" t="str">
        <x:v>Prestige Shopping Center</x:v>
      </x:c>
      <x:c r="K538" s="18" t="str">
        <x:v>正常</x:v>
      </x:c>
      <x:c r="L538" s="62" t="n">
        <x:v>5</x:v>
      </x:c>
      <x:c r="M538" s="62" t="n">
        <x:v>34</x:v>
      </x:c>
      <x:c r="N538" s="63" t="n">
        <x:f>'Drivers'!C538</x:f>
        <x:v>2264</x:v>
      </x:c>
      <x:c r="O538" s="63" t="n">
        <x:f>'Drivers'!D538</x:f>
        <x:v>1226.977</x:v>
      </x:c>
      <x:c r="P538" s="64" t="n">
        <x:f>ROUND(N538*O538/1000,3)</x:f>
        <x:v>2777.876</x:v>
      </x:c>
      <x:c r="Q538" s="64" t="n">
        <x:f>ROUND(P538*'Drivers'!E538,3)</x:f>
        <x:v>2722.129</x:v>
      </x:c>
      <x:c r="R538" s="64" t="n">
        <x:f>-ROUND(Q538*'Drivers'!F538,3)</x:f>
        <x:v>-527.703</x:v>
      </x:c>
      <x:c r="S538" s="65" t="n">
        <x:f>R538/Q538</x:f>
        <x:v>-0.19385672023625625</x:v>
      </x:c>
      <x:c r="T538" s="64" t="n">
        <x:f>-ROUND(Q538*'Drivers'!G538,3)</x:f>
        <x:v>-29.839</x:v>
      </x:c>
      <x:c r="U538" s="65" t="n">
        <x:f>T538/Q538</x:f>
        <x:v>-0.01096164068638922</x:v>
      </x:c>
      <x:c r="V538" s="64" t="n">
        <x:f>-ROUND(Q538*'Drivers'!H538,3)</x:f>
        <x:v>-26.503</x:v>
      </x:c>
      <x:c r="W538" s="64" t="n">
        <x:f>-ROUND(Q538*'Drivers'!I538,3)</x:f>
        <x:v>-23.159</x:v>
      </x:c>
      <x:c r="X538" s="64" t="n">
        <x:f>-ROUND(Q538*'Drivers'!J538,3)</x:f>
        <x:v>-41.931</x:v>
      </x:c>
      <x:c r="Y538" s="64" t="n">
        <x:f>-ROUND(Q538*'Drivers'!K538,3)</x:f>
        <x:v>-35.411</x:v>
      </x:c>
      <x:c r="Z538" s="64" t="n">
        <x:f>-ROUND(Q538*'Drivers'!L538,3)</x:f>
        <x:v>-32.699</x:v>
      </x:c>
      <x:c r="AA538" s="64" t="n">
        <x:f>-ROUND(Q538*'Drivers'!M538,3)</x:f>
        <x:v>-23.45</x:v>
      </x:c>
      <x:c r="AB538" s="64" t="n">
        <x:f>-ROUND(Q538*'Drivers'!N538,3)</x:f>
        <x:v>-23.445</x:v>
      </x:c>
      <x:c r="AC538" s="64" t="n">
        <x:f>SUM(V538:AB538)</x:f>
        <x:v>-206.59799999999996</x:v>
      </x:c>
      <x:c r="AD538" s="65" t="n">
        <x:f>AC538/Q538</x:f>
        <x:v>-0.07589574189907972</x:v>
      </x:c>
      <x:c r="AE538" s="64" t="n">
        <x:f>-ROUND(Q538*'Drivers'!O538,3)</x:f>
        <x:v>-34.223</x:v>
      </x:c>
      <x:c r="AF538" s="65" t="n">
        <x:f>AE538/Q538</x:f>
        <x:v>-0.01257214481753069</x:v>
      </x:c>
      <x:c r="AG538" s="64" t="n">
        <x:f>-ROUND(Q538*'Drivers'!P538,3)</x:f>
        <x:v>-0.773</x:v>
      </x:c>
      <x:c r="AH538" s="64" t="n">
        <x:f>-ROUND(Q538*'Drivers'!Q538,3)</x:f>
        <x:v>-17.614</x:v>
      </x:c>
      <x:c r="AI538" s="64" t="n">
        <x:f>SUM(R538,T538,AC538,AE538,AG538,AH538)</x:f>
        <x:v>-816.7499999999999</x:v>
      </x:c>
      <x:c r="AJ538" s="65" t="n">
        <x:f>AI538/Q538</x:f>
        <x:v>-0.30004088711446075</x:v>
      </x:c>
      <x:c r="AK538" s="64" t="n">
        <x:f>Q538+AI538</x:f>
        <x:v>1905.379</x:v>
      </x:c>
      <x:c r="AL538" s="65" t="n">
        <x:f>AK538/Q538</x:f>
        <x:v>0.6999591128855392</x:v>
      </x:c>
      <x:c r="AM538" s="64" t="n">
        <x:f>AK538/L538</x:f>
        <x:v>381.07579999999996</x:v>
      </x:c>
      <x:c r="AN538" s="66" t="str">
        <x:f>IF(AM538&lt;=200,"≤200K",IF(AM538&lt;=350,"200–350K",IF(AM538&lt;=500,"350–500K",IF(AM538&lt;=700,"500–700K","&gt;700K"))))</x:f>
        <x:v>350–500K</x:v>
      </x:c>
      <x:c r="AO538" s="64" t="n">
        <x:f>-ROUND(Q538*'Drivers'!R538,3)</x:f>
        <x:v>-957.539</x:v>
      </x:c>
      <x:c r="AP538" s="64" t="n">
        <x:f>-ROUND(AK538*'Drivers'!S538,3)</x:f>
        <x:v>-25.117</x:v>
      </x:c>
      <x:c r="AQ538" s="64" t="n">
        <x:f>-ROUND(AK538*'Drivers'!T538,3)</x:f>
        <x:v>-10.199</x:v>
      </x:c>
      <x:c r="AR538" s="64" t="n">
        <x:f>-ROUND(AK538*'Drivers'!U538,3)</x:f>
        <x:v>-12.093</x:v>
      </x:c>
      <x:c r="AS538" s="64" t="n">
        <x:f>-ROUND(AK538*'Drivers'!V538,3)</x:f>
        <x:v>-75.469</x:v>
      </x:c>
      <x:c r="AT538" s="64" t="n">
        <x:f>SUM(AO538:AS538)</x:f>
        <x:v>-1080.417</x:v>
      </x:c>
      <x:c r="AU538" s="65" t="n">
        <x:f>AT538/AK538</x:f>
        <x:v>-0.5670352197646767</x:v>
      </x:c>
      <x:c r="AV538" s="64" t="n">
        <x:f>AK538+AT538</x:f>
        <x:v>824.962</x:v>
      </x:c>
      <x:c r="AW538" s="65" t="n">
        <x:f>AV538/AK538</x:f>
        <x:v>0.43296478023532325</x:v>
      </x:c>
      <x:c r="AX538" s="64" t="n">
        <x:f>-ROUND(AK538*'Drivers'!W538,3)</x:f>
        <x:v>-26.914</x:v>
      </x:c>
      <x:c r="AY538" s="64" t="n">
        <x:f>-ROUND(AK538*'Drivers'!X538,3)</x:f>
        <x:v>-40.825</x:v>
      </x:c>
      <x:c r="AZ538" s="64" t="n">
        <x:f>-ROUND(AK538*'Drivers'!Y538,3)</x:f>
        <x:v>-37.839</x:v>
      </x:c>
      <x:c r="BA538" s="64" t="n">
        <x:f>-ROUND(AK538*'Drivers'!Z538,3)</x:f>
        <x:v>-14.584</x:v>
      </x:c>
      <x:c r="BB538" s="64" t="n">
        <x:f>-ROUND(AK538*'Drivers'!AA538,3)</x:f>
        <x:v>-9.918</x:v>
      </x:c>
      <x:c r="BC538" s="64" t="n">
        <x:f>SUM(BA538,BB538)</x:f>
        <x:v>-24.502</x:v>
      </x:c>
      <x:c r="BD538" s="64" t="n">
        <x:f>-ROUND(AK538*'Drivers'!AB538,3)</x:f>
        <x:v>-6.462</x:v>
      </x:c>
      <x:c r="BE538" s="64" t="n">
        <x:f>SUM(AX538:BB538,BD538)</x:f>
        <x:v>-136.542</x:v>
      </x:c>
      <x:c r="BF538" s="67" t="n">
        <x:f>'Drivers'!AF538</x:f>
        <x:v>10</x:v>
      </x:c>
      <x:c r="BG538" s="64" t="n">
        <x:f>BJ538</x:f>
        <x:v>-47.709</x:v>
      </x:c>
      <x:c r="BH538" s="64" t="n">
        <x:f>BE538/BF538</x:f>
        <x:v>-13.6542</x:v>
      </x:c>
      <x:c r="BI538" s="68" t="n">
        <x:f>BF538/L538</x:f>
        <x:v>2</x:v>
      </x:c>
      <x:c r="BJ538" s="64" t="n">
        <x:f>-ROUND(AK538*'Drivers'!AC538,3)</x:f>
        <x:v>-47.709</x:v>
      </x:c>
      <x:c r="BK538" s="64" t="n">
        <x:f>-ROUND(AK538*'Drivers'!AD538,3)</x:f>
        <x:v>-195.651</x:v>
      </x:c>
      <x:c r="BL538" s="64" t="n">
        <x:f>SUM(AV538,BE538,BJ538,BK538)</x:f>
        <x:v>445.06</x:v>
      </x:c>
      <x:c r="BM538" s="65" t="n">
        <x:f>BL538/AK538</x:f>
        <x:v>0.2335808256520094</x:v>
      </x:c>
      <x:c r="BN538" s="64" t="n">
        <x:f>-ROUND(AK538*'Drivers'!AE538,3)</x:f>
        <x:v>-127.515</x:v>
      </x:c>
      <x:c r="BO538" s="64" t="n">
        <x:f>BL538+BN538</x:f>
        <x:v>317.545</x:v>
      </x:c>
      <x:c r="BP538" s="65" t="n">
        <x:f>BO538/AK538</x:f>
        <x:v>0.16665713225557752</x:v>
      </x:c>
    </x:row>
    <x:row r="539">
      <x:c r="A539" s="61" t="n">
        <x:v>2025</x:v>
      </x:c>
      <x:c r="B539" s="18" t="str">
        <x:v>S2</x:v>
      </x:c>
      <x:c r="C539" s="18" t="str">
        <x:v>2025 S2</x:v>
      </x:c>
      <x:c r="D539" s="18" t="str">
        <x:v>CNCT0135</x:v>
      </x:c>
      <x:c r="E539" s="18" t="str">
        <x:v>青岛国金中心</x:v>
      </x:c>
      <x:c r="F539" s="18" t="str">
        <x:v>青岛</x:v>
      </x:c>
      <x:c r="G539" s="18" t="str">
        <x:v>山东省</x:v>
      </x:c>
      <x:c r="H539" s="18" t="str">
        <x:v>北区</x:v>
      </x:c>
      <x:c r="I539" s="18" t="str">
        <x:v>Shopping Mall</x:v>
      </x:c>
      <x:c r="J539" s="18" t="str">
        <x:v>Prestige Shopping Center</x:v>
      </x:c>
      <x:c r="K539" s="18" t="str">
        <x:v>正常</x:v>
      </x:c>
      <x:c r="L539" s="62" t="n">
        <x:v>5</x:v>
      </x:c>
      <x:c r="M539" s="62" t="n">
        <x:v>34</x:v>
      </x:c>
      <x:c r="N539" s="63" t="n">
        <x:f>'Drivers'!C539</x:f>
        <x:v>2398</x:v>
      </x:c>
      <x:c r="O539" s="63" t="n">
        <x:f>'Drivers'!D539</x:f>
        <x:v>1241.701</x:v>
      </x:c>
      <x:c r="P539" s="64" t="n">
        <x:f>ROUND(N539*O539/1000,3)</x:f>
        <x:v>2977.599</x:v>
      </x:c>
      <x:c r="Q539" s="64" t="n">
        <x:f>ROUND(P539*'Drivers'!E539,3)</x:f>
        <x:v>2861.689</x:v>
      </x:c>
      <x:c r="R539" s="64" t="n">
        <x:f>-ROUND(Q539*'Drivers'!F539,3)</x:f>
        <x:v>-554.757</x:v>
      </x:c>
      <x:c r="S539" s="65" t="n">
        <x:f>R539/Q539</x:f>
        <x:v>-0.19385649523760268</x:v>
      </x:c>
      <x:c r="T539" s="64" t="n">
        <x:f>-ROUND(Q539*'Drivers'!G539,3)</x:f>
        <x:v>-31.369</x:v>
      </x:c>
      <x:c r="U539" s="65" t="n">
        <x:f>T539/Q539</x:f>
        <x:v>-0.010961708277873662</x:v>
      </x:c>
      <x:c r="V539" s="64" t="n">
        <x:f>-ROUND(Q539*'Drivers'!H539,3)</x:f>
        <x:v>-27.862</x:v>
      </x:c>
      <x:c r="W539" s="64" t="n">
        <x:f>-ROUND(Q539*'Drivers'!I539,3)</x:f>
        <x:v>-24.346</x:v>
      </x:c>
      <x:c r="X539" s="64" t="n">
        <x:f>-ROUND(Q539*'Drivers'!J539,3)</x:f>
        <x:v>-44.081</x:v>
      </x:c>
      <x:c r="Y539" s="64" t="n">
        <x:f>-ROUND(Q539*'Drivers'!K539,3)</x:f>
        <x:v>-37.227</x:v>
      </x:c>
      <x:c r="Z539" s="64" t="n">
        <x:f>-ROUND(Q539*'Drivers'!L539,3)</x:f>
        <x:v>-34.376</x:v>
      </x:c>
      <x:c r="AA539" s="64" t="n">
        <x:f>-ROUND(Q539*'Drivers'!M539,3)</x:f>
        <x:v>-24.652</x:v>
      </x:c>
      <x:c r="AB539" s="64" t="n">
        <x:f>-ROUND(Q539*'Drivers'!N539,3)</x:f>
        <x:v>-24.647</x:v>
      </x:c>
      <x:c r="AC539" s="64" t="n">
        <x:f>SUM(V539:AB539)</x:f>
        <x:v>-217.19099999999997</x:v>
      </x:c>
      <x:c r="AD539" s="65" t="n">
        <x:f>AC539/Q539</x:f>
        <x:v>-0.07589608793967478</x:v>
      </x:c>
      <x:c r="AE539" s="64" t="n">
        <x:f>-ROUND(Q539*'Drivers'!O539,3)</x:f>
        <x:v>-35.977</x:v>
      </x:c>
      <x:c r="AF539" s="65" t="n">
        <x:f>AE539/Q539</x:f>
        <x:v>-0.01257194614788679</x:v>
      </x:c>
      <x:c r="AG539" s="64" t="n">
        <x:f>-ROUND(Q539*'Drivers'!P539,3)</x:f>
        <x:v>-0.813</x:v>
      </x:c>
      <x:c r="AH539" s="64" t="n">
        <x:f>-ROUND(Q539*'Drivers'!Q539,3)</x:f>
        <x:v>-18.517</x:v>
      </x:c>
      <x:c r="AI539" s="64" t="n">
        <x:f>SUM(R539,T539,AC539,AE539,AG539,AH539)</x:f>
        <x:v>-858.624</x:v>
      </x:c>
      <x:c r="AJ539" s="65" t="n">
        <x:f>AI539/Q539</x:f>
        <x:v>-0.300040989779113</x:v>
      </x:c>
      <x:c r="AK539" s="64" t="n">
        <x:f>Q539+AI539</x:f>
        <x:v>2003.0649999999998</x:v>
      </x:c>
      <x:c r="AL539" s="65" t="n">
        <x:f>AK539/Q539</x:f>
        <x:v>0.699959010220887</x:v>
      </x:c>
      <x:c r="AM539" s="64" t="n">
        <x:f>AK539/L539</x:f>
        <x:v>400.61299999999994</x:v>
      </x:c>
      <x:c r="AN539" s="66" t="str">
        <x:f>IF(AM539&lt;=200,"≤200K",IF(AM539&lt;=350,"200–350K",IF(AM539&lt;=500,"350–500K",IF(AM539&lt;=700,"500–700K","&gt;700K"))))</x:f>
        <x:v>350–500K</x:v>
      </x:c>
      <x:c r="AO539" s="64" t="n">
        <x:f>-ROUND(Q539*'Drivers'!R539,3)</x:f>
        <x:v>-1052.627</x:v>
      </x:c>
      <x:c r="AP539" s="64" t="n">
        <x:f>-ROUND(AK539*'Drivers'!S539,3)</x:f>
        <x:v>-26.405</x:v>
      </x:c>
      <x:c r="AQ539" s="64" t="n">
        <x:f>-ROUND(AK539*'Drivers'!T539,3)</x:f>
        <x:v>-10.722</x:v>
      </x:c>
      <x:c r="AR539" s="64" t="n">
        <x:f>-ROUND(AK539*'Drivers'!U539,3)</x:f>
        <x:v>-12.713</x:v>
      </x:c>
      <x:c r="AS539" s="64" t="n">
        <x:f>-ROUND(AK539*'Drivers'!V539,3)</x:f>
        <x:v>-79.339</x:v>
      </x:c>
      <x:c r="AT539" s="64" t="n">
        <x:f>SUM(AO539:AS539)</x:f>
        <x:v>-1181.8059999999998</x:v>
      </x:c>
      <x:c r="AU539" s="65" t="n">
        <x:f>AT539/AK539</x:f>
        <x:v>-0.5899988267979321</x:v>
      </x:c>
      <x:c r="AV539" s="64" t="n">
        <x:f>AK539+AT539</x:f>
        <x:v>821.259</x:v>
      </x:c>
      <x:c r="AW539" s="65" t="n">
        <x:f>AV539/AK539</x:f>
        <x:v>0.41000117320206786</x:v>
      </x:c>
      <x:c r="AX539" s="64" t="n">
        <x:f>-ROUND(AK539*'Drivers'!W539,3)</x:f>
        <x:v>-28.294</x:v>
      </x:c>
      <x:c r="AY539" s="64" t="n">
        <x:f>-ROUND(AK539*'Drivers'!X539,3)</x:f>
        <x:v>-42.918</x:v>
      </x:c>
      <x:c r="AZ539" s="64" t="n">
        <x:f>-ROUND(AK539*'Drivers'!Y539,3)</x:f>
        <x:v>-39.779</x:v>
      </x:c>
      <x:c r="BA539" s="64" t="n">
        <x:f>-ROUND(AK539*'Drivers'!Z539,3)</x:f>
        <x:v>-15.332</x:v>
      </x:c>
      <x:c r="BB539" s="64" t="n">
        <x:f>-ROUND(AK539*'Drivers'!AA539,3)</x:f>
        <x:v>-10.426</x:v>
      </x:c>
      <x:c r="BC539" s="64" t="n">
        <x:f>SUM(BA539,BB539)</x:f>
        <x:v>-25.758000000000003</x:v>
      </x:c>
      <x:c r="BD539" s="64" t="n">
        <x:f>-ROUND(AK539*'Drivers'!AB539,3)</x:f>
        <x:v>-6.794</x:v>
      </x:c>
      <x:c r="BE539" s="64" t="n">
        <x:f>SUM(AX539:BB539,BD539)</x:f>
        <x:v>-143.543</x:v>
      </x:c>
      <x:c r="BF539" s="67" t="n">
        <x:f>'Drivers'!AF539</x:f>
        <x:v>10</x:v>
      </x:c>
      <x:c r="BG539" s="64" t="n">
        <x:f>BJ539</x:f>
        <x:v>-50.155</x:v>
      </x:c>
      <x:c r="BH539" s="64" t="n">
        <x:f>BE539/BF539</x:f>
        <x:v>-14.3543</x:v>
      </x:c>
      <x:c r="BI539" s="68" t="n">
        <x:f>BF539/L539</x:f>
        <x:v>2</x:v>
      </x:c>
      <x:c r="BJ539" s="64" t="n">
        <x:f>-ROUND(AK539*'Drivers'!AC539,3)</x:f>
        <x:v>-50.155</x:v>
      </x:c>
      <x:c r="BK539" s="64" t="n">
        <x:f>-ROUND(AK539*'Drivers'!AD539,3)</x:f>
        <x:v>-205.681</x:v>
      </x:c>
      <x:c r="BL539" s="64" t="n">
        <x:f>SUM(AV539,BE539,BJ539,BK539)</x:f>
        <x:v>421.88</x:v>
      </x:c>
      <x:c r="BM539" s="65" t="n">
        <x:f>BL539/AK539</x:f>
        <x:v>0.21061722909640976</x:v>
      </x:c>
      <x:c r="BN539" s="64" t="n">
        <x:f>-ROUND(AK539*'Drivers'!AE539,3)</x:f>
        <x:v>-134.052</x:v>
      </x:c>
      <x:c r="BO539" s="64" t="n">
        <x:f>BL539+BN539</x:f>
        <x:v>287.828</x:v>
      </x:c>
      <x:c r="BP539" s="65" t="n">
        <x:f>BO539/AK539</x:f>
        <x:v>0.14369378926794688</x:v>
      </x:c>
    </x:row>
    <x:row r="540">
      <x:c r="A540" s="61" t="n">
        <x:v>2026</x:v>
      </x:c>
      <x:c r="B540" s="18" t="str">
        <x:v>S1</x:v>
      </x:c>
      <x:c r="C540" s="18" t="str">
        <x:v>2026 S1</x:v>
      </x:c>
      <x:c r="D540" s="18" t="str">
        <x:v>CNCT0135</x:v>
      </x:c>
      <x:c r="E540" s="18" t="str">
        <x:v>青岛国金中心</x:v>
      </x:c>
      <x:c r="F540" s="18" t="str">
        <x:v>青岛</x:v>
      </x:c>
      <x:c r="G540" s="18" t="str">
        <x:v>山东省</x:v>
      </x:c>
      <x:c r="H540" s="18" t="str">
        <x:v>北区</x:v>
      </x:c>
      <x:c r="I540" s="18" t="str">
        <x:v>Shopping Mall</x:v>
      </x:c>
      <x:c r="J540" s="18" t="str">
        <x:v>Prestige Shopping Center</x:v>
      </x:c>
      <x:c r="K540" s="18" t="str">
        <x:v>正常</x:v>
      </x:c>
      <x:c r="L540" s="62" t="n">
        <x:v>5</x:v>
      </x:c>
      <x:c r="M540" s="62" t="n">
        <x:v>34</x:v>
      </x:c>
      <x:c r="N540" s="63" t="n">
        <x:f>'Drivers'!C540</x:f>
        <x:v>2398</x:v>
      </x:c>
      <x:c r="O540" s="63" t="n">
        <x:f>'Drivers'!D540</x:f>
        <x:v>1278.302</x:v>
      </x:c>
      <x:c r="P540" s="64" t="n">
        <x:f>ROUND(N540*O540/1000,3)</x:f>
        <x:v>3065.368</x:v>
      </x:c>
      <x:c r="Q540" s="64" t="n">
        <x:f>ROUND(P540*'Drivers'!E540,3)</x:f>
        <x:v>3011.69</x:v>
      </x:c>
      <x:c r="R540" s="64" t="n">
        <x:f>-ROUND(Q540*'Drivers'!F540,3)</x:f>
        <x:v>-589.053</x:v>
      </x:c>
      <x:c r="S540" s="65" t="n">
        <x:f>R540/Q540</x:f>
        <x:v>-0.19558885542668733</x:v>
      </x:c>
      <x:c r="T540" s="64" t="n">
        <x:f>-ROUND(Q540*'Drivers'!G540,3)</x:f>
        <x:v>-37.432</x:v>
      </x:c>
      <x:c r="U540" s="65" t="n">
        <x:f>T540/Q540</x:f>
        <x:v>-0.012428902045031196</x:v>
      </x:c>
      <x:c r="V540" s="64" t="n">
        <x:f>-ROUND(Q540*'Drivers'!H540,3)</x:f>
        <x:v>-29.322</x:v>
      </x:c>
      <x:c r="W540" s="64" t="n">
        <x:f>-ROUND(Q540*'Drivers'!I540,3)</x:f>
        <x:v>-25.622</x:v>
      </x:c>
      <x:c r="X540" s="64" t="n">
        <x:f>-ROUND(Q540*'Drivers'!J540,3)</x:f>
        <x:v>-46.392</x:v>
      </x:c>
      <x:c r="Y540" s="64" t="n">
        <x:f>-ROUND(Q540*'Drivers'!K540,3)</x:f>
        <x:v>-39.178</x:v>
      </x:c>
      <x:c r="Z540" s="64" t="n">
        <x:f>-ROUND(Q540*'Drivers'!L540,3)</x:f>
        <x:v>-36.178</x:v>
      </x:c>
      <x:c r="AA540" s="64" t="n">
        <x:f>-ROUND(Q540*'Drivers'!M540,3)</x:f>
        <x:v>-25.945</x:v>
      </x:c>
      <x:c r="AB540" s="64" t="n">
        <x:f>-ROUND(Q540*'Drivers'!N540,3)</x:f>
        <x:v>-25.939</x:v>
      </x:c>
      <x:c r="AC540" s="64" t="n">
        <x:f>SUM(V540:AB540)</x:f>
        <x:v>-228.576</x:v>
      </x:c>
      <x:c r="AD540" s="65" t="n">
        <x:f>AC540/Q540</x:f>
        <x:v>-0.07589625758295176</x:v>
      </x:c>
      <x:c r="AE540" s="64" t="n">
        <x:f>-ROUND(Q540*'Drivers'!O540,3)</x:f>
        <x:v>-40.249</x:v>
      </x:c>
      <x:c r="AF540" s="65" t="n">
        <x:f>AE540/Q540</x:f>
        <x:v>-0.013364257277475438</x:v>
      </x:c>
      <x:c r="AG540" s="64" t="n">
        <x:f>-ROUND(Q540*'Drivers'!P540,3)</x:f>
        <x:v>-0.856</x:v>
      </x:c>
      <x:c r="AH540" s="64" t="n">
        <x:f>-ROUND(Q540*'Drivers'!Q540,3)</x:f>
        <x:v>-19.487</x:v>
      </x:c>
      <x:c r="AI540" s="64" t="n">
        <x:f>SUM(R540,T540,AC540,AE540,AG540,AH540)</x:f>
        <x:v>-915.653</x:v>
      </x:c>
      <x:c r="AJ540" s="65" t="n">
        <x:f>AI540/Q540</x:f>
        <x:v>-0.3040329515986041</x:v>
      </x:c>
      <x:c r="AK540" s="64" t="n">
        <x:f>Q540+AI540</x:f>
        <x:v>2096.0370000000003</x:v>
      </x:c>
      <x:c r="AL540" s="65" t="n">
        <x:f>AK540/Q540</x:f>
        <x:v>0.695967048401396</x:v>
      </x:c>
      <x:c r="AM540" s="64" t="n">
        <x:f>AK540/L540</x:f>
        <x:v>419.20740000000006</x:v>
      </x:c>
      <x:c r="AN540" s="66" t="str">
        <x:f>IF(AM540&lt;=200,"≤200K",IF(AM540&lt;=350,"200–350K",IF(AM540&lt;=500,"350–500K",IF(AM540&lt;=700,"500–700K","&gt;700K"))))</x:f>
        <x:v>350–500K</x:v>
      </x:c>
      <x:c r="AO540" s="64" t="n">
        <x:f>-ROUND(Q540*'Drivers'!R540,3)</x:f>
        <x:v>-1046.581</x:v>
      </x:c>
      <x:c r="AP540" s="64" t="n">
        <x:f>-ROUND(AK540*'Drivers'!S540,3)</x:f>
        <x:v>-27.631</x:v>
      </x:c>
      <x:c r="AQ540" s="64" t="n">
        <x:f>-ROUND(AK540*'Drivers'!T540,3)</x:f>
        <x:v>-11.22</x:v>
      </x:c>
      <x:c r="AR540" s="64" t="n">
        <x:f>-ROUND(AK540*'Drivers'!U540,3)</x:f>
        <x:v>-13.303</x:v>
      </x:c>
      <x:c r="AS540" s="64" t="n">
        <x:f>-ROUND(AK540*'Drivers'!V540,3)</x:f>
        <x:v>-83.021</x:v>
      </x:c>
      <x:c r="AT540" s="64" t="n">
        <x:f>SUM(AO540:AS540)</x:f>
        <x:v>-1181.756</x:v>
      </x:c>
      <x:c r="AU540" s="65" t="n">
        <x:f>AT540/AK540</x:f>
        <x:v>-0.5638049328327697</x:v>
      </x:c>
      <x:c r="AV540" s="64" t="n">
        <x:f>AK540+AT540</x:f>
        <x:v>914.2810000000002</x:v>
      </x:c>
      <x:c r="AW540" s="65" t="n">
        <x:f>AV540/AK540</x:f>
        <x:v>0.4361950671672304</x:v>
      </x:c>
      <x:c r="AX540" s="64" t="n">
        <x:f>-ROUND(AK540*'Drivers'!W540,3)</x:f>
        <x:v>-36.43</x:v>
      </x:c>
      <x:c r="AY540" s="64" t="n">
        <x:f>-ROUND(AK540*'Drivers'!X540,3)</x:f>
        <x:v>-55.259</x:v>
      </x:c>
      <x:c r="AZ540" s="64" t="n">
        <x:f>-ROUND(AK540*'Drivers'!Y540,3)</x:f>
        <x:v>-51.218</x:v>
      </x:c>
      <x:c r="BA540" s="64" t="n">
        <x:f>-ROUND(AK540*'Drivers'!Z540,3)</x:f>
        <x:v>-19.741</x:v>
      </x:c>
      <x:c r="BB540" s="64" t="n">
        <x:f>-ROUND(AK540*'Drivers'!AA540,3)</x:f>
        <x:v>-13.425</x:v>
      </x:c>
      <x:c r="BC540" s="64" t="n">
        <x:f>SUM(BA540,BB540)</x:f>
        <x:v>-33.166</x:v>
      </x:c>
      <x:c r="BD540" s="64" t="n">
        <x:f>-ROUND(AK540*'Drivers'!AB540,3)</x:f>
        <x:v>-8.747</x:v>
      </x:c>
      <x:c r="BE540" s="64" t="n">
        <x:f>SUM(AX540:BB540,BD540)</x:f>
        <x:v>-184.82</x:v>
      </x:c>
      <x:c r="BF540" s="67" t="n">
        <x:f>'Drivers'!AF540</x:f>
        <x:v>10</x:v>
      </x:c>
      <x:c r="BG540" s="64" t="n">
        <x:f>BJ540</x:f>
        <x:v>-64.578</x:v>
      </x:c>
      <x:c r="BH540" s="64" t="n">
        <x:f>BE540/BF540</x:f>
        <x:v>-18.482</x:v>
      </x:c>
      <x:c r="BI540" s="68" t="n">
        <x:f>BF540/L540</x:f>
        <x:v>2</x:v>
      </x:c>
      <x:c r="BJ540" s="64" t="n">
        <x:f>-ROUND(AK540*'Drivers'!AC540,3)</x:f>
        <x:v>-64.578</x:v>
      </x:c>
      <x:c r="BK540" s="64" t="n">
        <x:f>-ROUND(AK540*'Drivers'!AD540,3)</x:f>
        <x:v>-215.228</x:v>
      </x:c>
      <x:c r="BL540" s="64" t="n">
        <x:f>SUM(AV540,BE540,BJ540,BK540)</x:f>
        <x:v>449.65500000000026</x:v>
      </x:c>
      <x:c r="BM540" s="65" t="n">
        <x:f>BL540/AK540</x:f>
        <x:v>0.2145262702900761</x:v>
      </x:c>
      <x:c r="BN540" s="64" t="n">
        <x:f>-ROUND(AK540*'Drivers'!AE540,3)</x:f>
        <x:v>-140.274</x:v>
      </x:c>
      <x:c r="BO540" s="64" t="n">
        <x:f>BL540+BN540</x:f>
        <x:v>309.38100000000026</x:v>
      </x:c>
      <x:c r="BP540" s="65" t="n">
        <x:f>BO540/AK540</x:f>
        <x:v>0.14760283334693053</x:v>
      </x:c>
    </x:row>
    <x:row r="541">
      <x:c r="A541" s="61" t="n">
        <x:v>2026</x:v>
      </x:c>
      <x:c r="B541" s="18" t="str">
        <x:v>S2</x:v>
      </x:c>
      <x:c r="C541" s="18" t="str">
        <x:v>2026 S2</x:v>
      </x:c>
      <x:c r="D541" s="18" t="str">
        <x:v>CNCT0135</x:v>
      </x:c>
      <x:c r="E541" s="18" t="str">
        <x:v>青岛国金中心</x:v>
      </x:c>
      <x:c r="F541" s="18" t="str">
        <x:v>青岛</x:v>
      </x:c>
      <x:c r="G541" s="18" t="str">
        <x:v>山东省</x:v>
      </x:c>
      <x:c r="H541" s="18" t="str">
        <x:v>北区</x:v>
      </x:c>
      <x:c r="I541" s="18" t="str">
        <x:v>Shopping Mall</x:v>
      </x:c>
      <x:c r="J541" s="18" t="str">
        <x:v>Prestige Shopping Center</x:v>
      </x:c>
      <x:c r="K541" s="18" t="str">
        <x:v>正常</x:v>
      </x:c>
      <x:c r="L541" s="62" t="n">
        <x:v>5</x:v>
      </x:c>
      <x:c r="M541" s="62" t="n">
        <x:v>34</x:v>
      </x:c>
      <x:c r="N541" s="63" t="n">
        <x:f>'Drivers'!C541</x:f>
        <x:v>2602</x:v>
      </x:c>
      <x:c r="O541" s="63" t="n">
        <x:f>'Drivers'!D541</x:f>
        <x:v>1283.237</x:v>
      </x:c>
      <x:c r="P541" s="64" t="n">
        <x:f>ROUND(N541*O541/1000,3)</x:f>
        <x:v>3338.983</x:v>
      </x:c>
      <x:c r="Q541" s="64" t="n">
        <x:f>ROUND(P541*'Drivers'!E541,3)</x:f>
        <x:v>3209.005</x:v>
      </x:c>
      <x:c r="R541" s="64" t="n">
        <x:f>-ROUND(Q541*'Drivers'!F541,3)</x:f>
        <x:v>-615.857</x:v>
      </x:c>
      <x:c r="S541" s="65" t="n">
        <x:f>R541/Q541</x:f>
        <x:v>-0.1919152509890137</x:v>
      </x:c>
      <x:c r="T541" s="64" t="n">
        <x:f>-ROUND(Q541*'Drivers'!G541,3)</x:f>
        <x:v>-31.347</x:v>
      </x:c>
      <x:c r="U541" s="65" t="n">
        <x:f>T541/Q541</x:f>
        <x:v>-0.00976844847546202</x:v>
      </x:c>
      <x:c r="V541" s="64" t="n">
        <x:f>-ROUND(Q541*'Drivers'!H541,3)</x:f>
        <x:v>-31.243</x:v>
      </x:c>
      <x:c r="W541" s="64" t="n">
        <x:f>-ROUND(Q541*'Drivers'!I541,3)</x:f>
        <x:v>-27.301</x:v>
      </x:c>
      <x:c r="X541" s="64" t="n">
        <x:f>-ROUND(Q541*'Drivers'!J541,3)</x:f>
        <x:v>-49.431</x:v>
      </x:c>
      <x:c r="Y541" s="64" t="n">
        <x:f>-ROUND(Q541*'Drivers'!K541,3)</x:f>
        <x:v>-41.745</x:v>
      </x:c>
      <x:c r="Z541" s="64" t="n">
        <x:f>-ROUND(Q541*'Drivers'!L541,3)</x:f>
        <x:v>-38.548</x:v>
      </x:c>
      <x:c r="AA541" s="64" t="n">
        <x:f>-ROUND(Q541*'Drivers'!M541,3)</x:f>
        <x:v>-27.644</x:v>
      </x:c>
      <x:c r="AB541" s="64" t="n">
        <x:f>-ROUND(Q541*'Drivers'!N541,3)</x:f>
        <x:v>-27.638</x:v>
      </x:c>
      <x:c r="AC541" s="64" t="n">
        <x:f>SUM(V541:AB541)</x:f>
        <x:v>-243.55</x:v>
      </x:c>
      <x:c r="AD541" s="65" t="n">
        <x:f>AC541/Q541</x:f>
        <x:v>-0.07589579947678486</x:v>
      </x:c>
      <x:c r="AE541" s="64" t="n">
        <x:f>-ROUND(Q541*'Drivers'!O541,3)</x:f>
        <x:v>-40.343</x:v>
      </x:c>
      <x:c r="AF541" s="65" t="n">
        <x:f>AE541/Q541</x:f>
        <x:v>-0.012571809641929508</x:v>
      </x:c>
      <x:c r="AG541" s="64" t="n">
        <x:f>-ROUND(Q541*'Drivers'!P541,3)</x:f>
        <x:v>-0.912</x:v>
      </x:c>
      <x:c r="AH541" s="64" t="n">
        <x:f>-ROUND(Q541*'Drivers'!Q541,3)</x:f>
        <x:v>-20.764</x:v>
      </x:c>
      <x:c r="AI541" s="64" t="n">
        <x:f>SUM(R541,T541,AC541,AE541,AG541,AH541)</x:f>
        <x:v>-952.7729999999999</x:v>
      </x:c>
      <x:c r="AJ541" s="65" t="n">
        <x:f>AI541/Q541</x:f>
        <x:v>-0.2969060503177776</x:v>
      </x:c>
      <x:c r="AK541" s="64" t="n">
        <x:f>Q541+AI541</x:f>
        <x:v>2256.232</x:v>
      </x:c>
      <x:c r="AL541" s="65" t="n">
        <x:f>AK541/Q541</x:f>
        <x:v>0.7030939496822224</x:v>
      </x:c>
      <x:c r="AM541" s="64" t="n">
        <x:f>AK541/L541</x:f>
        <x:v>451.2464</x:v>
      </x:c>
      <x:c r="AN541" s="66" t="str">
        <x:f>IF(AM541&lt;=200,"≤200K",IF(AM541&lt;=350,"200–350K",IF(AM541&lt;=500,"350–500K",IF(AM541&lt;=700,"500–700K","&gt;700K"))))</x:f>
        <x:v>350–500K</x:v>
      </x:c>
      <x:c r="AO541" s="64" t="n">
        <x:f>-ROUND(Q541*'Drivers'!R541,3)</x:f>
        <x:v>-1191.904</x:v>
      </x:c>
      <x:c r="AP541" s="64" t="n">
        <x:f>-ROUND(AK541*'Drivers'!S541,3)</x:f>
        <x:v>-29.742</x:v>
      </x:c>
      <x:c r="AQ541" s="64" t="n">
        <x:f>-ROUND(AK541*'Drivers'!T541,3)</x:f>
        <x:v>-12.077</x:v>
      </x:c>
      <x:c r="AR541" s="64" t="n">
        <x:f>-ROUND(AK541*'Drivers'!U541,3)</x:f>
        <x:v>-14.32</x:v>
      </x:c>
      <x:c r="AS541" s="64" t="n">
        <x:f>-ROUND(AK541*'Drivers'!V541,3)</x:f>
        <x:v>-89.366</x:v>
      </x:c>
      <x:c r="AT541" s="64" t="n">
        <x:f>SUM(AO541:AS541)</x:f>
        <x:v>-1337.4089999999999</x:v>
      </x:c>
      <x:c r="AU541" s="65" t="n">
        <x:f>AT541/AK541</x:f>
        <x:v>-0.5927621804849855</x:v>
      </x:c>
      <x:c r="AV541" s="64" t="n">
        <x:f>AK541+AT541</x:f>
        <x:v>918.8230000000001</x:v>
      </x:c>
      <x:c r="AW541" s="65" t="n">
        <x:f>AV541/AK541</x:f>
        <x:v>0.4072378195150145</x:v>
      </x:c>
      <x:c r="AX541" s="64" t="n">
        <x:f>-ROUND(AK541*'Drivers'!W541,3)</x:f>
        <x:v>-33.782</x:v>
      </x:c>
      <x:c r="AY541" s="64" t="n">
        <x:f>-ROUND(AK541*'Drivers'!X541,3)</x:f>
        <x:v>-51.243</x:v>
      </x:c>
      <x:c r="AZ541" s="64" t="n">
        <x:f>-ROUND(AK541*'Drivers'!Y541,3)</x:f>
        <x:v>-47.495</x:v>
      </x:c>
      <x:c r="BA541" s="64" t="n">
        <x:f>-ROUND(AK541*'Drivers'!Z541,3)</x:f>
        <x:v>-18.306</x:v>
      </x:c>
      <x:c r="BB541" s="64" t="n">
        <x:f>-ROUND(AK541*'Drivers'!AA541,3)</x:f>
        <x:v>-12.449</x:v>
      </x:c>
      <x:c r="BC541" s="64" t="n">
        <x:f>SUM(BA541,BB541)</x:f>
        <x:v>-30.755000000000003</x:v>
      </x:c>
      <x:c r="BD541" s="64" t="n">
        <x:f>-ROUND(AK541*'Drivers'!AB541,3)</x:f>
        <x:v>-8.111</x:v>
      </x:c>
      <x:c r="BE541" s="64" t="n">
        <x:f>SUM(AX541:BB541,BD541)</x:f>
        <x:v>-171.38600000000002</x:v>
      </x:c>
      <x:c r="BF541" s="67" t="n">
        <x:f>'Drivers'!AF541</x:f>
        <x:v>10</x:v>
      </x:c>
      <x:c r="BG541" s="64" t="n">
        <x:f>BJ541</x:f>
        <x:v>-59.884</x:v>
      </x:c>
      <x:c r="BH541" s="64" t="n">
        <x:f>BE541/BF541</x:f>
        <x:v>-17.138600000000004</x:v>
      </x:c>
      <x:c r="BI541" s="68" t="n">
        <x:f>BF541/L541</x:f>
        <x:v>2</x:v>
      </x:c>
      <x:c r="BJ541" s="64" t="n">
        <x:f>-ROUND(AK541*'Drivers'!AC541,3)</x:f>
        <x:v>-59.884</x:v>
      </x:c>
      <x:c r="BK541" s="64" t="n">
        <x:f>-ROUND(AK541*'Drivers'!AD541,3)</x:f>
        <x:v>-231.677</x:v>
      </x:c>
      <x:c r="BL541" s="64" t="n">
        <x:f>SUM(AV541,BE541,BJ541,BK541)</x:f>
        <x:v>455.8760000000001</x:v>
      </x:c>
      <x:c r="BM541" s="65" t="n">
        <x:f>BL541/AK541</x:f>
        <x:v>0.2020519166468697</x:v>
      </x:c>
      <x:c r="BN541" s="64" t="n">
        <x:f>-ROUND(AK541*'Drivers'!AE541,3)</x:f>
        <x:v>-150.995</x:v>
      </x:c>
      <x:c r="BO541" s="64" t="n">
        <x:f>BL541+BN541</x:f>
        <x:v>304.8810000000001</x:v>
      </x:c>
      <x:c r="BP541" s="65" t="n">
        <x:f>BO541/AK541</x:f>
        <x:v>0.13512839105198404</x:v>
      </x:c>
    </x:row>
    <x:row r="542">
      <x:c r="A542" s="61" t="n">
        <x:v>2025</x:v>
      </x:c>
      <x:c r="B542" s="18" t="str">
        <x:v>S1</x:v>
      </x:c>
      <x:c r="C542" s="18" t="str">
        <x:v>2025 S1</x:v>
      </x:c>
      <x:c r="D542" s="18" t="str">
        <x:v>CNCT0136</x:v>
      </x:c>
      <x:c r="E542" s="18" t="str">
        <x:v>沈阳卓展购物中心</x:v>
      </x:c>
      <x:c r="F542" s="18" t="str">
        <x:v>沈阳</x:v>
      </x:c>
      <x:c r="G542" s="18" t="str">
        <x:v>辽宁省</x:v>
      </x:c>
      <x:c r="H542" s="18" t="str">
        <x:v>北区</x:v>
      </x:c>
      <x:c r="I542" s="18" t="str">
        <x:v>Department Store</x:v>
      </x:c>
      <x:c r="J542" s="18" t="str">
        <x:v>Core Shopping Center</x:v>
      </x:c>
      <x:c r="K542" s="18" t="str">
        <x:v>正常</x:v>
      </x:c>
      <x:c r="L542" s="62" t="n">
        <x:v>4</x:v>
      </x:c>
      <x:c r="M542" s="62" t="n">
        <x:v>36</x:v>
      </x:c>
      <x:c r="N542" s="63" t="n">
        <x:f>'Drivers'!C542</x:f>
        <x:v>1327</x:v>
      </x:c>
      <x:c r="O542" s="63" t="n">
        <x:f>'Drivers'!D542</x:f>
        <x:v>1121.494</x:v>
      </x:c>
      <x:c r="P542" s="64" t="n">
        <x:f>ROUND(N542*O542/1000,3)</x:f>
        <x:v>1488.223</x:v>
      </x:c>
      <x:c r="Q542" s="64" t="n">
        <x:f>ROUND(P542*'Drivers'!E542,3)</x:f>
        <x:v>1431.036</x:v>
      </x:c>
      <x:c r="R542" s="64" t="n">
        <x:f>-ROUND(Q542*'Drivers'!F542,3)</x:f>
        <x:v>-231.252</x:v>
      </x:c>
      <x:c r="S542" s="65" t="n">
        <x:f>R542/Q542</x:f>
        <x:v>-0.16159761180012244</x:v>
      </x:c>
      <x:c r="T542" s="64" t="n">
        <x:f>-ROUND(Q542*'Drivers'!G542,3)</x:f>
        <x:v>-24.067</x:v>
      </x:c>
      <x:c r="U542" s="65" t="n">
        <x:f>T542/Q542</x:f>
        <x:v>-0.0168178857834464</x:v>
      </x:c>
      <x:c r="V542" s="64" t="n">
        <x:f>-ROUND(Q542*'Drivers'!H542,3)</x:f>
        <x:v>-12.457</x:v>
      </x:c>
      <x:c r="W542" s="64" t="n">
        <x:f>-ROUND(Q542*'Drivers'!I542,3)</x:f>
        <x:v>-9.674</x:v>
      </x:c>
      <x:c r="X542" s="64" t="n">
        <x:f>-ROUND(Q542*'Drivers'!J542,3)</x:f>
        <x:v>-23.119</x:v>
      </x:c>
      <x:c r="Y542" s="64" t="n">
        <x:f>-ROUND(Q542*'Drivers'!K542,3)</x:f>
        <x:v>-19.597</x:v>
      </x:c>
      <x:c r="Z542" s="64" t="n">
        <x:f>-ROUND(Q542*'Drivers'!L542,3)</x:f>
        <x:v>-18.199</x:v>
      </x:c>
      <x:c r="AA542" s="64" t="n">
        <x:f>-ROUND(Q542*'Drivers'!M542,3)</x:f>
        <x:v>-9.96</x:v>
      </x:c>
      <x:c r="AB542" s="64" t="n">
        <x:f>-ROUND(Q542*'Drivers'!N542,3)</x:f>
        <x:v>-9.736</x:v>
      </x:c>
      <x:c r="AC542" s="64" t="n">
        <x:f>SUM(V542:AB542)</x:f>
        <x:v>-102.742</x:v>
      </x:c>
      <x:c r="AD542" s="65" t="n">
        <x:f>AC542/Q542</x:f>
        <x:v>-0.07179553833726056</x:v>
      </x:c>
      <x:c r="AE542" s="64" t="n">
        <x:f>-ROUND(Q542*'Drivers'!O542,3)</x:f>
        <x:v>-20.349</x:v>
      </x:c>
      <x:c r="AF542" s="65" t="n">
        <x:f>AE542/Q542</x:f>
        <x:v>-0.01421976805614953</x:v>
      </x:c>
      <x:c r="AG542" s="64" t="n">
        <x:f>-ROUND(Q542*'Drivers'!P542,3)</x:f>
        <x:v>-2.865</x:v>
      </x:c>
      <x:c r="AH542" s="64" t="n">
        <x:f>-ROUND(Q542*'Drivers'!Q542,3)</x:f>
        <x:v>-6.853</x:v>
      </x:c>
      <x:c r="AI542" s="64" t="n">
        <x:f>SUM(R542,T542,AC542,AE542,AG542,AH542)</x:f>
        <x:v>-388.12800000000004</x:v>
      </x:c>
      <x:c r="AJ542" s="65" t="n">
        <x:f>AI542/Q542</x:f>
        <x:v>-0.2712216883432702</x:v>
      </x:c>
      <x:c r="AK542" s="64" t="n">
        <x:f>Q542+AI542</x:f>
        <x:v>1042.908</x:v>
      </x:c>
      <x:c r="AL542" s="65" t="n">
        <x:f>AK542/Q542</x:f>
        <x:v>0.7287783116567297</x:v>
      </x:c>
      <x:c r="AM542" s="64" t="n">
        <x:f>AK542/L542</x:f>
        <x:v>260.727</x:v>
      </x:c>
      <x:c r="AN542" s="66" t="str">
        <x:f>IF(AM542&lt;=200,"≤200K",IF(AM542&lt;=350,"200–350K",IF(AM542&lt;=500,"350–500K",IF(AM542&lt;=700,"500–700K","&gt;700K"))))</x:f>
        <x:v>200–350K</x:v>
      </x:c>
      <x:c r="AO542" s="64" t="n">
        <x:f>-ROUND(Q542*'Drivers'!R542,3)</x:f>
        <x:v>-530.045</x:v>
      </x:c>
      <x:c r="AP542" s="64" t="n">
        <x:f>-ROUND(AK542*'Drivers'!S542,3)</x:f>
        <x:v>-11.675</x:v>
      </x:c>
      <x:c r="AQ542" s="64" t="n">
        <x:f>-ROUND(AK542*'Drivers'!T542,3)</x:f>
        <x:v>-7.003</x:v>
      </x:c>
      <x:c r="AR542" s="64" t="n">
        <x:f>-ROUND(AK542*'Drivers'!U542,3)</x:f>
        <x:v>-10.311</x:v>
      </x:c>
      <x:c r="AS542" s="64" t="n">
        <x:f>-ROUND(AK542*'Drivers'!V542,3)</x:f>
        <x:v>-40.928</x:v>
      </x:c>
      <x:c r="AT542" s="64" t="n">
        <x:f>SUM(AO542:AS542)</x:f>
        <x:v>-599.962</x:v>
      </x:c>
      <x:c r="AU542" s="65" t="n">
        <x:f>AT542/AK542</x:f>
        <x:v>-0.5752779727454388</x:v>
      </x:c>
      <x:c r="AV542" s="64" t="n">
        <x:f>AK542+AT542</x:f>
        <x:v>442.9459999999999</x:v>
      </x:c>
      <x:c r="AW542" s="65" t="n">
        <x:f>AV542/AK542</x:f>
        <x:v>0.42472202725456126</x:v>
      </x:c>
      <x:c r="AX542" s="64" t="n">
        <x:f>-ROUND(AK542*'Drivers'!W542,3)</x:f>
        <x:v>-15.647</x:v>
      </x:c>
      <x:c r="AY542" s="64" t="n">
        <x:f>-ROUND(AK542*'Drivers'!X542,3)</x:f>
        <x:v>-23.328</x:v>
      </x:c>
      <x:c r="AZ542" s="64" t="n">
        <x:f>-ROUND(AK542*'Drivers'!Y542,3)</x:f>
        <x:v>-18.702</x:v>
      </x:c>
      <x:c r="BA542" s="64" t="n">
        <x:f>-ROUND(AK542*'Drivers'!Z542,3)</x:f>
        <x:v>-6.969</x:v>
      </x:c>
      <x:c r="BB542" s="64" t="n">
        <x:f>-ROUND(AK542*'Drivers'!AA542,3)</x:f>
        <x:v>-5.772</x:v>
      </x:c>
      <x:c r="BC542" s="64" t="n">
        <x:f>SUM(BA542,BB542)</x:f>
        <x:v>-12.741</x:v>
      </x:c>
      <x:c r="BD542" s="64" t="n">
        <x:f>-ROUND(AK542*'Drivers'!AB542,3)</x:f>
        <x:v>-6.537</x:v>
      </x:c>
      <x:c r="BE542" s="64" t="n">
        <x:f>SUM(AX542:BB542,BD542)</x:f>
        <x:v>-76.95500000000001</x:v>
      </x:c>
      <x:c r="BF542" s="67" t="n">
        <x:f>'Drivers'!AF542</x:f>
        <x:v>7</x:v>
      </x:c>
      <x:c r="BG542" s="64" t="n">
        <x:f>BJ542</x:f>
        <x:v>-19.216</x:v>
      </x:c>
      <x:c r="BH542" s="64" t="n">
        <x:f>BE542/BF542</x:f>
        <x:v>-10.99357142857143</x:v>
      </x:c>
      <x:c r="BI542" s="68" t="n">
        <x:f>BF542/L542</x:f>
        <x:v>1.75</x:v>
      </x:c>
      <x:c r="BJ542" s="64" t="n">
        <x:f>-ROUND(AK542*'Drivers'!AC542,3)</x:f>
        <x:v>-19.216</x:v>
      </x:c>
      <x:c r="BK542" s="64" t="n">
        <x:f>-ROUND(AK542*'Drivers'!AD542,3)</x:f>
        <x:v>-83.551</x:v>
      </x:c>
      <x:c r="BL542" s="64" t="n">
        <x:f>SUM(AV542,BE542,BJ542,BK542)</x:f>
        <x:v>263.2239999999999</x:v>
      </x:c>
      <x:c r="BM542" s="65" t="n">
        <x:f>BL542/AK542</x:f>
        <x:v>0.2523942668001395</x:v>
      </x:c>
      <x:c r="BN542" s="64" t="n">
        <x:f>-ROUND(AK542*'Drivers'!AE542,3)</x:f>
        <x:v>-75.501</x:v>
      </x:c>
      <x:c r="BO542" s="64" t="n">
        <x:f>BL542+BN542</x:f>
        <x:v>187.72299999999987</x:v>
      </x:c>
      <x:c r="BP542" s="65" t="n">
        <x:f>BO542/AK542</x:f>
        <x:v>0.1799995781027664</x:v>
      </x:c>
    </x:row>
    <x:row r="543">
      <x:c r="A543" s="61" t="n">
        <x:v>2025</x:v>
      </x:c>
      <x:c r="B543" s="18" t="str">
        <x:v>S2</x:v>
      </x:c>
      <x:c r="C543" s="18" t="str">
        <x:v>2025 S2</x:v>
      </x:c>
      <x:c r="D543" s="18" t="str">
        <x:v>CNCT0136</x:v>
      </x:c>
      <x:c r="E543" s="18" t="str">
        <x:v>沈阳卓展购物中心</x:v>
      </x:c>
      <x:c r="F543" s="18" t="str">
        <x:v>沈阳</x:v>
      </x:c>
      <x:c r="G543" s="18" t="str">
        <x:v>辽宁省</x:v>
      </x:c>
      <x:c r="H543" s="18" t="str">
        <x:v>北区</x:v>
      </x:c>
      <x:c r="I543" s="18" t="str">
        <x:v>Department Store</x:v>
      </x:c>
      <x:c r="J543" s="18" t="str">
        <x:v>Core Shopping Center</x:v>
      </x:c>
      <x:c r="K543" s="18" t="str">
        <x:v>正常</x:v>
      </x:c>
      <x:c r="L543" s="62" t="n">
        <x:v>4</x:v>
      </x:c>
      <x:c r="M543" s="62" t="n">
        <x:v>36</x:v>
      </x:c>
      <x:c r="N543" s="63" t="n">
        <x:f>'Drivers'!C543</x:f>
        <x:v>1420</x:v>
      </x:c>
      <x:c r="O543" s="63" t="n">
        <x:f>'Drivers'!D543</x:f>
        <x:v>1134.952</x:v>
      </x:c>
      <x:c r="P543" s="64" t="n">
        <x:f>ROUND(N543*O543/1000,3)</x:f>
        <x:v>1611.632</x:v>
      </x:c>
      <x:c r="Q543" s="64" t="n">
        <x:f>ROUND(P543*'Drivers'!E543,3)</x:f>
        <x:v>1569.066</x:v>
      </x:c>
      <x:c r="R543" s="64" t="n">
        <x:f>-ROUND(Q543*'Drivers'!F543,3)</x:f>
        <x:v>-253.557</x:v>
      </x:c>
      <x:c r="S543" s="65" t="n">
        <x:f>R543/Q543</x:f>
        <x:v>-0.16159740890440555</x:v>
      </x:c>
      <x:c r="T543" s="64" t="n">
        <x:f>-ROUND(Q543*'Drivers'!G543,3)</x:f>
        <x:v>-26.388</x:v>
      </x:c>
      <x:c r="U543" s="65" t="n">
        <x:f>T543/Q543</x:f>
        <x:v>-0.016817648206002806</x:v>
      </x:c>
      <x:c r="V543" s="64" t="n">
        <x:f>-ROUND(Q543*'Drivers'!H543,3)</x:f>
        <x:v>-13.658</x:v>
      </x:c>
      <x:c r="W543" s="64" t="n">
        <x:f>-ROUND(Q543*'Drivers'!I543,3)</x:f>
        <x:v>-10.607</x:v>
      </x:c>
      <x:c r="X543" s="64" t="n">
        <x:f>-ROUND(Q543*'Drivers'!J543,3)</x:f>
        <x:v>-25.348</x:v>
      </x:c>
      <x:c r="Y543" s="64" t="n">
        <x:f>-ROUND(Q543*'Drivers'!K543,3)</x:f>
        <x:v>-21.487</x:v>
      </x:c>
      <x:c r="Z543" s="64" t="n">
        <x:f>-ROUND(Q543*'Drivers'!L543,3)</x:f>
        <x:v>-19.954</x:v>
      </x:c>
      <x:c r="AA543" s="64" t="n">
        <x:f>-ROUND(Q543*'Drivers'!M543,3)</x:f>
        <x:v>-10.921</x:v>
      </x:c>
      <x:c r="AB543" s="64" t="n">
        <x:f>-ROUND(Q543*'Drivers'!N543,3)</x:f>
        <x:v>-10.675</x:v>
      </x:c>
      <x:c r="AC543" s="64" t="n">
        <x:f>SUM(V543:AB543)</x:f>
        <x:v>-112.64999999999999</x:v>
      </x:c>
      <x:c r="AD543" s="65" t="n">
        <x:f>AC543/Q543</x:f>
        <x:v>-0.07179430310770865</x:v>
      </x:c>
      <x:c r="AE543" s="64" t="n">
        <x:f>-ROUND(Q543*'Drivers'!O543,3)</x:f>
        <x:v>-22.311</x:v>
      </x:c>
      <x:c r="AF543" s="65" t="n">
        <x:f>AE543/Q543</x:f>
        <x:v>-0.014219287142797053</x:v>
      </x:c>
      <x:c r="AG543" s="64" t="n">
        <x:f>-ROUND(Q543*'Drivers'!P543,3)</x:f>
        <x:v>-3.141</x:v>
      </x:c>
      <x:c r="AH543" s="64" t="n">
        <x:f>-ROUND(Q543*'Drivers'!Q543,3)</x:f>
        <x:v>-7.514</x:v>
      </x:c>
      <x:c r="AI543" s="64" t="n">
        <x:f>SUM(R543,T543,AC543,AE543,AG543,AH543)</x:f>
        <x:v>-425.561</x:v>
      </x:c>
      <x:c r="AJ543" s="65" t="n">
        <x:f>AI543/Q543</x:f>
        <x:v>-0.2712193113610262</x:v>
      </x:c>
      <x:c r="AK543" s="64" t="n">
        <x:f>Q543+AI543</x:f>
        <x:v>1143.505</x:v>
      </x:c>
      <x:c r="AL543" s="65" t="n">
        <x:f>AK543/Q543</x:f>
        <x:v>0.7287806886389738</x:v>
      </x:c>
      <x:c r="AM543" s="64" t="n">
        <x:f>AK543/L543</x:f>
        <x:v>285.87625</x:v>
      </x:c>
      <x:c r="AN543" s="66" t="str">
        <x:f>IF(AM543&lt;=200,"≤200K",IF(AM543&lt;=350,"200–350K",IF(AM543&lt;=500,"350–500K",IF(AM543&lt;=700,"500–700K","&gt;700K"))))</x:f>
        <x:v>200–350K</x:v>
      </x:c>
      <x:c r="AO543" s="64" t="n">
        <x:f>-ROUND(Q543*'Drivers'!R543,3)</x:f>
        <x:v>-593.894</x:v>
      </x:c>
      <x:c r="AP543" s="64" t="n">
        <x:f>-ROUND(AK543*'Drivers'!S543,3)</x:f>
        <x:v>-12.802</x:v>
      </x:c>
      <x:c r="AQ543" s="64" t="n">
        <x:f>-ROUND(AK543*'Drivers'!T543,3)</x:f>
        <x:v>-7.678</x:v>
      </x:c>
      <x:c r="AR543" s="64" t="n">
        <x:f>-ROUND(AK543*'Drivers'!U543,3)</x:f>
        <x:v>-11.306</x:v>
      </x:c>
      <x:c r="AS543" s="64" t="n">
        <x:f>-ROUND(AK543*'Drivers'!V543,3)</x:f>
        <x:v>-44.876</x:v>
      </x:c>
      <x:c r="AT543" s="64" t="n">
        <x:f>SUM(AO543:AS543)</x:f>
        <x:v>-670.556</x:v>
      </x:c>
      <x:c r="AU543" s="65" t="n">
        <x:f>AT543/AK543</x:f>
        <x:v>-0.5864040821859109</x:v>
      </x:c>
      <x:c r="AV543" s="64" t="n">
        <x:f>AK543+AT543</x:f>
        <x:v>472.94900000000007</x:v>
      </x:c>
      <x:c r="AW543" s="65" t="n">
        <x:f>AV543/AK543</x:f>
        <x:v>0.41359591781408916</x:v>
      </x:c>
      <x:c r="AX543" s="64" t="n">
        <x:f>-ROUND(AK543*'Drivers'!W543,3)</x:f>
        <x:v>-17.156</x:v>
      </x:c>
      <x:c r="AY543" s="64" t="n">
        <x:f>-ROUND(AK543*'Drivers'!X543,3)</x:f>
        <x:v>-25.578</x:v>
      </x:c>
      <x:c r="AZ543" s="64" t="n">
        <x:f>-ROUND(AK543*'Drivers'!Y543,3)</x:f>
        <x:v>-20.505</x:v>
      </x:c>
      <x:c r="BA543" s="64" t="n">
        <x:f>-ROUND(AK543*'Drivers'!Z543,3)</x:f>
        <x:v>-7.641</x:v>
      </x:c>
      <x:c r="BB543" s="64" t="n">
        <x:f>-ROUND(AK543*'Drivers'!AA543,3)</x:f>
        <x:v>-6.328</x:v>
      </x:c>
      <x:c r="BC543" s="64" t="n">
        <x:f>SUM(BA543,BB543)</x:f>
        <x:v>-13.969000000000001</x:v>
      </x:c>
      <x:c r="BD543" s="64" t="n">
        <x:f>-ROUND(AK543*'Drivers'!AB543,3)</x:f>
        <x:v>-7.168</x:v>
      </x:c>
      <x:c r="BE543" s="64" t="n">
        <x:f>SUM(AX543:BB543,BD543)</x:f>
        <x:v>-84.376</x:v>
      </x:c>
      <x:c r="BF543" s="67" t="n">
        <x:f>'Drivers'!AF543</x:f>
        <x:v>7</x:v>
      </x:c>
      <x:c r="BG543" s="64" t="n">
        <x:f>BJ543</x:f>
        <x:v>-21.069</x:v>
      </x:c>
      <x:c r="BH543" s="64" t="n">
        <x:f>BE543/BF543</x:f>
        <x:v>-12.053714285714287</x:v>
      </x:c>
      <x:c r="BI543" s="68" t="n">
        <x:f>BF543/L543</x:f>
        <x:v>1.75</x:v>
      </x:c>
      <x:c r="BJ543" s="64" t="n">
        <x:f>-ROUND(AK543*'Drivers'!AC543,3)</x:f>
        <x:v>-21.069</x:v>
      </x:c>
      <x:c r="BK543" s="64" t="n">
        <x:f>-ROUND(AK543*'Drivers'!AD543,3)</x:f>
        <x:v>-91.61</x:v>
      </x:c>
      <x:c r="BL543" s="64" t="n">
        <x:f>SUM(AV543,BE543,BJ543,BK543)</x:f>
        <x:v>275.89400000000006</x:v>
      </x:c>
      <x:c r="BM543" s="65" t="n">
        <x:f>BL543/AK543</x:f>
        <x:v>0.24127047979676525</x:v>
      </x:c>
      <x:c r="BN543" s="64" t="n">
        <x:f>-ROUND(AK543*'Drivers'!AE543,3)</x:f>
        <x:v>-72.001</x:v>
      </x:c>
      <x:c r="BO543" s="64" t="n">
        <x:f>BL543+BN543</x:f>
        <x:v>203.89300000000006</x:v>
      </x:c>
      <x:c r="BP543" s="65" t="n">
        <x:f>BO543/AK543</x:f>
        <x:v>0.17830529818409194</x:v>
      </x:c>
    </x:row>
    <x:row r="544">
      <x:c r="A544" s="61" t="n">
        <x:v>2026</x:v>
      </x:c>
      <x:c r="B544" s="18" t="str">
        <x:v>S1</x:v>
      </x:c>
      <x:c r="C544" s="18" t="str">
        <x:v>2026 S1</x:v>
      </x:c>
      <x:c r="D544" s="18" t="str">
        <x:v>CNCT0136</x:v>
      </x:c>
      <x:c r="E544" s="18" t="str">
        <x:v>沈阳卓展购物中心</x:v>
      </x:c>
      <x:c r="F544" s="18" t="str">
        <x:v>沈阳</x:v>
      </x:c>
      <x:c r="G544" s="18" t="str">
        <x:v>辽宁省</x:v>
      </x:c>
      <x:c r="H544" s="18" t="str">
        <x:v>北区</x:v>
      </x:c>
      <x:c r="I544" s="18" t="str">
        <x:v>Department Store</x:v>
      </x:c>
      <x:c r="J544" s="18" t="str">
        <x:v>Core Shopping Center</x:v>
      </x:c>
      <x:c r="K544" s="18" t="str">
        <x:v>正常</x:v>
      </x:c>
      <x:c r="L544" s="62" t="n">
        <x:v>4</x:v>
      </x:c>
      <x:c r="M544" s="62" t="n">
        <x:v>36</x:v>
      </x:c>
      <x:c r="N544" s="63" t="n">
        <x:f>'Drivers'!C544</x:f>
        <x:v>1243</x:v>
      </x:c>
      <x:c r="O544" s="63" t="n">
        <x:f>'Drivers'!D544</x:f>
        <x:v>1174.998</x:v>
      </x:c>
      <x:c r="P544" s="64" t="n">
        <x:f>ROUND(N544*O544/1000,3)</x:f>
        <x:v>1460.523</x:v>
      </x:c>
      <x:c r="Q544" s="64" t="n">
        <x:f>ROUND(P544*'Drivers'!E544,3)</x:f>
        <x:v>1406.515</x:v>
      </x:c>
      <x:c r="R544" s="64" t="n">
        <x:f>-ROUND(Q544*'Drivers'!F544,3)</x:f>
        <x:v>-229.571</x:v>
      </x:c>
      <x:c r="S544" s="65" t="n">
        <x:f>R544/Q544</x:f>
        <x:v>-0.16321973103735116</x:v>
      </x:c>
      <x:c r="T544" s="64" t="n">
        <x:f>-ROUND(Q544*'Drivers'!G544,3)</x:f>
        <x:v>-23.689</x:v>
      </x:c>
      <x:c r="U544" s="65" t="n">
        <x:f>T544/Q544</x:f>
        <x:v>-0.01684233726622183</x:v>
      </x:c>
      <x:c r="V544" s="64" t="n">
        <x:f>-ROUND(Q544*'Drivers'!H544,3)</x:f>
        <x:v>-12.243</x:v>
      </x:c>
      <x:c r="W544" s="64" t="n">
        <x:f>-ROUND(Q544*'Drivers'!I544,3)</x:f>
        <x:v>-9.508</x:v>
      </x:c>
      <x:c r="X544" s="64" t="n">
        <x:f>-ROUND(Q544*'Drivers'!J544,3)</x:f>
        <x:v>-22.722</x:v>
      </x:c>
      <x:c r="Y544" s="64" t="n">
        <x:f>-ROUND(Q544*'Drivers'!K544,3)</x:f>
        <x:v>-19.261</x:v>
      </x:c>
      <x:c r="Z544" s="64" t="n">
        <x:f>-ROUND(Q544*'Drivers'!L544,3)</x:f>
        <x:v>-17.887</x:v>
      </x:c>
      <x:c r="AA544" s="64" t="n">
        <x:f>-ROUND(Q544*'Drivers'!M544,3)</x:f>
        <x:v>-9.79</x:v>
      </x:c>
      <x:c r="AB544" s="64" t="n">
        <x:f>-ROUND(Q544*'Drivers'!N544,3)</x:f>
        <x:v>-9.569</x:v>
      </x:c>
      <x:c r="AC544" s="64" t="n">
        <x:f>SUM(V544:AB544)</x:f>
        <x:v>-100.98</x:v>
      </x:c>
      <x:c r="AD544" s="65" t="n">
        <x:f>AC544/Q544</x:f>
        <x:v>-0.07179447073084894</x:v>
      </x:c>
      <x:c r="AE544" s="64" t="n">
        <x:f>-ROUND(Q544*'Drivers'!O544,3)</x:f>
        <x:v>-22.453</x:v>
      </x:c>
      <x:c r="AF544" s="65" t="n">
        <x:f>AE544/Q544</x:f>
        <x:v>-0.015963569531786008</x:v>
      </x:c>
      <x:c r="AG544" s="64" t="n">
        <x:f>-ROUND(Q544*'Drivers'!P544,3)</x:f>
        <x:v>-2.816</x:v>
      </x:c>
      <x:c r="AH544" s="64" t="n">
        <x:f>-ROUND(Q544*'Drivers'!Q544,3)</x:f>
        <x:v>-6.735</x:v>
      </x:c>
      <x:c r="AI544" s="64" t="n">
        <x:f>SUM(R544,T544,AC544,AE544,AG544,AH544)</x:f>
        <x:v>-386.24399999999997</x:v>
      </x:c>
      <x:c r="AJ544" s="65" t="n">
        <x:f>AI544/Q544</x:f>
        <x:v>-0.27461065114840577</x:v>
      </x:c>
      <x:c r="AK544" s="64" t="n">
        <x:f>Q544+AI544</x:f>
        <x:v>1020.2710000000002</x:v>
      </x:c>
      <x:c r="AL544" s="65" t="n">
        <x:f>AK544/Q544</x:f>
        <x:v>0.7253893488515942</x:v>
      </x:c>
      <x:c r="AM544" s="64" t="n">
        <x:f>AK544/L544</x:f>
        <x:v>255.06775000000005</x:v>
      </x:c>
      <x:c r="AN544" s="66" t="str">
        <x:f>IF(AM544&lt;=200,"≤200K",IF(AM544&lt;=350,"200–350K",IF(AM544&lt;=500,"350–500K",IF(AM544&lt;=700,"500–700K","&gt;700K"))))</x:f>
        <x:v>200–350K</x:v>
      </x:c>
      <x:c r="AO544" s="64" t="n">
        <x:f>-ROUND(Q544*'Drivers'!R544,3)</x:f>
        <x:v>-513.348</x:v>
      </x:c>
      <x:c r="AP544" s="64" t="n">
        <x:f>-ROUND(AK544*'Drivers'!S544,3)</x:f>
        <x:v>-11.422</x:v>
      </x:c>
      <x:c r="AQ544" s="64" t="n">
        <x:f>-ROUND(AK544*'Drivers'!T544,3)</x:f>
        <x:v>-6.851</x:v>
      </x:c>
      <x:c r="AR544" s="64" t="n">
        <x:f>-ROUND(AK544*'Drivers'!U544,3)</x:f>
        <x:v>-10.087</x:v>
      </x:c>
      <x:c r="AS544" s="64" t="n">
        <x:f>-ROUND(AK544*'Drivers'!V544,3)</x:f>
        <x:v>-40.039</x:v>
      </x:c>
      <x:c r="AT544" s="64" t="n">
        <x:f>SUM(AO544:AS544)</x:f>
        <x:v>-581.747</x:v>
      </x:c>
      <x:c r="AU544" s="65" t="n">
        <x:f>AT544/AK544</x:f>
        <x:v>-0.5701887047656945</x:v>
      </x:c>
      <x:c r="AV544" s="64" t="n">
        <x:f>AK544+AT544</x:f>
        <x:v>438.5240000000002</x:v>
      </x:c>
      <x:c r="AW544" s="65" t="n">
        <x:f>AV544/AK544</x:f>
        <x:v>0.42981129523430556</x:v>
      </x:c>
      <x:c r="AX544" s="64" t="n">
        <x:f>-ROUND(AK544*'Drivers'!W544,3)</x:f>
        <x:v>-18.835</x:v>
      </x:c>
      <x:c r="AY544" s="64" t="n">
        <x:f>-ROUND(AK544*'Drivers'!X544,3)</x:f>
        <x:v>-28.081</x:v>
      </x:c>
      <x:c r="AZ544" s="64" t="n">
        <x:f>-ROUND(AK544*'Drivers'!Y544,3)</x:f>
        <x:v>-22.512</x:v>
      </x:c>
      <x:c r="BA544" s="64" t="n">
        <x:f>-ROUND(AK544*'Drivers'!Z544,3)</x:f>
        <x:v>-8.389</x:v>
      </x:c>
      <x:c r="BB544" s="64" t="n">
        <x:f>-ROUND(AK544*'Drivers'!AA544,3)</x:f>
        <x:v>-6.948</x:v>
      </x:c>
      <x:c r="BC544" s="64" t="n">
        <x:f>SUM(BA544,BB544)</x:f>
        <x:v>-15.337</x:v>
      </x:c>
      <x:c r="BD544" s="64" t="n">
        <x:f>-ROUND(AK544*'Drivers'!AB544,3)</x:f>
        <x:v>-7.869</x:v>
      </x:c>
      <x:c r="BE544" s="64" t="n">
        <x:f>SUM(AX544:BB544,BD544)</x:f>
        <x:v>-92.63399999999999</x:v>
      </x:c>
      <x:c r="BF544" s="67" t="n">
        <x:f>'Drivers'!AF544</x:f>
        <x:v>7</x:v>
      </x:c>
      <x:c r="BG544" s="64" t="n">
        <x:f>BJ544</x:f>
        <x:v>-23.131</x:v>
      </x:c>
      <x:c r="BH544" s="64" t="n">
        <x:f>BE544/BF544</x:f>
        <x:v>-13.23342857142857</x:v>
      </x:c>
      <x:c r="BI544" s="68" t="n">
        <x:f>BF544/L544</x:f>
        <x:v>1.75</x:v>
      </x:c>
      <x:c r="BJ544" s="64" t="n">
        <x:f>-ROUND(AK544*'Drivers'!AC544,3)</x:f>
        <x:v>-23.131</x:v>
      </x:c>
      <x:c r="BK544" s="64" t="n">
        <x:f>-ROUND(AK544*'Drivers'!AD544,3)</x:f>
        <x:v>-81.737</x:v>
      </x:c>
      <x:c r="BL544" s="64" t="n">
        <x:f>SUM(AV544,BE544,BJ544,BK544)</x:f>
        <x:v>241.02200000000025</x:v>
      </x:c>
      <x:c r="BM544" s="65" t="n">
        <x:f>BL544/AK544</x:f>
        <x:v>0.2362333144821329</x:v>
      </x:c>
      <x:c r="BN544" s="64" t="n">
        <x:f>-ROUND(AK544*'Drivers'!AE544,3)</x:f>
        <x:v>-73.862</x:v>
      </x:c>
      <x:c r="BO544" s="64" t="n">
        <x:f>BL544+BN544</x:f>
        <x:v>167.16000000000025</x:v>
      </x:c>
      <x:c r="BP544" s="65" t="n">
        <x:f>BO544/AK544</x:f>
        <x:v>0.16383882321461674</x:v>
      </x:c>
    </x:row>
    <x:row r="545">
      <x:c r="A545" s="61" t="n">
        <x:v>2026</x:v>
      </x:c>
      <x:c r="B545" s="18" t="str">
        <x:v>S2</x:v>
      </x:c>
      <x:c r="C545" s="18" t="str">
        <x:v>2026 S2</x:v>
      </x:c>
      <x:c r="D545" s="18" t="str">
        <x:v>CNCT0136</x:v>
      </x:c>
      <x:c r="E545" s="18" t="str">
        <x:v>沈阳卓展购物中心</x:v>
      </x:c>
      <x:c r="F545" s="18" t="str">
        <x:v>沈阳</x:v>
      </x:c>
      <x:c r="G545" s="18" t="str">
        <x:v>辽宁省</x:v>
      </x:c>
      <x:c r="H545" s="18" t="str">
        <x:v>北区</x:v>
      </x:c>
      <x:c r="I545" s="18" t="str">
        <x:v>Department Store</x:v>
      </x:c>
      <x:c r="J545" s="18" t="str">
        <x:v>Core Shopping Center</x:v>
      </x:c>
      <x:c r="K545" s="18" t="str">
        <x:v>正常</x:v>
      </x:c>
      <x:c r="L545" s="62" t="n">
        <x:v>4</x:v>
      </x:c>
      <x:c r="M545" s="62" t="n">
        <x:v>35</x:v>
      </x:c>
      <x:c r="N545" s="63" t="n">
        <x:f>'Drivers'!C545</x:f>
        <x:v>1377</x:v>
      </x:c>
      <x:c r="O545" s="63" t="n">
        <x:f>'Drivers'!D545</x:f>
        <x:v>1169.965</x:v>
      </x:c>
      <x:c r="P545" s="64" t="n">
        <x:f>ROUND(N545*O545/1000,3)</x:f>
        <x:v>1611.042</x:v>
      </x:c>
      <x:c r="Q545" s="64" t="n">
        <x:f>ROUND(P545*'Drivers'!E545,3)</x:f>
        <x:v>1568.492</x:v>
      </x:c>
      <x:c r="R545" s="64" t="n">
        <x:f>-ROUND(Q545*'Drivers'!F545,3)</x:f>
        <x:v>-246.854</x:v>
      </x:c>
      <x:c r="S545" s="65" t="n">
        <x:f>R545/Q545</x:f>
        <x:v>-0.15738301502334728</x:v>
      </x:c>
      <x:c r="T545" s="64" t="n">
        <x:f>-ROUND(Q545*'Drivers'!G545,3)</x:f>
        <x:v>-28.117</x:v>
      </x:c>
      <x:c r="U545" s="65" t="n">
        <x:f>T545/Q545</x:f>
        <x:v>-0.017926135421793672</x:v>
      </x:c>
      <x:c r="V545" s="64" t="n">
        <x:f>-ROUND(Q545*'Drivers'!H545,3)</x:f>
        <x:v>-13.653</x:v>
      </x:c>
      <x:c r="W545" s="64" t="n">
        <x:f>-ROUND(Q545*'Drivers'!I545,3)</x:f>
        <x:v>-10.603</x:v>
      </x:c>
      <x:c r="X545" s="64" t="n">
        <x:f>-ROUND(Q545*'Drivers'!J545,3)</x:f>
        <x:v>-25.339</x:v>
      </x:c>
      <x:c r="Y545" s="64" t="n">
        <x:f>-ROUND(Q545*'Drivers'!K545,3)</x:f>
        <x:v>-21.479</x:v>
      </x:c>
      <x:c r="Z545" s="64" t="n">
        <x:f>-ROUND(Q545*'Drivers'!L545,3)</x:f>
        <x:v>-19.947</x:v>
      </x:c>
      <x:c r="AA545" s="64" t="n">
        <x:f>-ROUND(Q545*'Drivers'!M545,3)</x:f>
        <x:v>-10.917</x:v>
      </x:c>
      <x:c r="AB545" s="64" t="n">
        <x:f>-ROUND(Q545*'Drivers'!N545,3)</x:f>
        <x:v>-10.671</x:v>
      </x:c>
      <x:c r="AC545" s="64" t="n">
        <x:f>SUM(V545:AB545)</x:f>
        <x:v>-112.60900000000001</x:v>
      </x:c>
      <x:c r="AD545" s="65" t="n">
        <x:f>AC545/Q545</x:f>
        <x:v>-0.07179443694963061</x:v>
      </x:c>
      <x:c r="AE545" s="64" t="n">
        <x:f>-ROUND(Q545*'Drivers'!O545,3)</x:f>
        <x:v>-22.303</x:v>
      </x:c>
      <x:c r="AF545" s="65" t="n">
        <x:f>AE545/Q545</x:f>
        <x:v>-0.014219390344356236</x:v>
      </x:c>
      <x:c r="AG545" s="64" t="n">
        <x:f>-ROUND(Q545*'Drivers'!P545,3)</x:f>
        <x:v>-3.14</x:v>
      </x:c>
      <x:c r="AH545" s="64" t="n">
        <x:f>-ROUND(Q545*'Drivers'!Q545,3)</x:f>
        <x:v>-7.511</x:v>
      </x:c>
      <x:c r="AI545" s="64" t="n">
        <x:f>SUM(R545,T545,AC545,AE545,AG545,AH545)</x:f>
        <x:v>-420.53400000000005</x:v>
      </x:c>
      <x:c r="AJ545" s="65" t="n">
        <x:f>AI545/Q545</x:f>
        <x:v>-0.2681135766073401</x:v>
      </x:c>
      <x:c r="AK545" s="64" t="n">
        <x:f>Q545+AI545</x:f>
        <x:v>1147.9579999999999</x:v>
      </x:c>
      <x:c r="AL545" s="65" t="n">
        <x:f>AK545/Q545</x:f>
        <x:v>0.7318864233926599</x:v>
      </x:c>
      <x:c r="AM545" s="64" t="n">
        <x:f>AK545/L545</x:f>
        <x:v>286.98949999999996</x:v>
      </x:c>
      <x:c r="AN545" s="66" t="str">
        <x:f>IF(AM545&lt;=200,"≤200K",IF(AM545&lt;=350,"200–350K",IF(AM545&lt;=500,"350–500K",IF(AM545&lt;=700,"500–700K","&gt;700K"))))</x:f>
        <x:v>200–350K</x:v>
      </x:c>
      <x:c r="AO545" s="64" t="n">
        <x:f>-ROUND(Q545*'Drivers'!R545,3)</x:f>
        <x:v>-591.165</x:v>
      </x:c>
      <x:c r="AP545" s="64" t="n">
        <x:f>-ROUND(AK545*'Drivers'!S545,3)</x:f>
        <x:v>-12.851</x:v>
      </x:c>
      <x:c r="AQ545" s="64" t="n">
        <x:f>-ROUND(AK545*'Drivers'!T545,3)</x:f>
        <x:v>-7.708</x:v>
      </x:c>
      <x:c r="AR545" s="64" t="n">
        <x:f>-ROUND(AK545*'Drivers'!U545,3)</x:f>
        <x:v>-11.35</x:v>
      </x:c>
      <x:c r="AS545" s="64" t="n">
        <x:f>-ROUND(AK545*'Drivers'!V545,3)</x:f>
        <x:v>-45.05</x:v>
      </x:c>
      <x:c r="AT545" s="64" t="n">
        <x:f>SUM(AO545:AS545)</x:f>
        <x:v>-668.1239999999999</x:v>
      </x:c>
      <x:c r="AU545" s="65" t="n">
        <x:f>AT545/AK545</x:f>
        <x:v>-0.582010840117844</x:v>
      </x:c>
      <x:c r="AV545" s="64" t="n">
        <x:f>AK545+AT545</x:f>
        <x:v>479.83399999999995</x:v>
      </x:c>
      <x:c r="AW545" s="65" t="n">
        <x:f>AV545/AK545</x:f>
        <x:v>0.41798915988215596</x:v>
      </x:c>
      <x:c r="AX545" s="64" t="n">
        <x:f>-ROUND(AK545*'Drivers'!W545,3)</x:f>
        <x:v>-18.256</x:v>
      </x:c>
      <x:c r="AY545" s="64" t="n">
        <x:f>-ROUND(AK545*'Drivers'!X545,3)</x:f>
        <x:v>-27.218</x:v>
      </x:c>
      <x:c r="AZ545" s="64" t="n">
        <x:f>-ROUND(AK545*'Drivers'!Y545,3)</x:f>
        <x:v>-21.82</x:v>
      </x:c>
      <x:c r="BA545" s="64" t="n">
        <x:f>-ROUND(AK545*'Drivers'!Z545,3)</x:f>
        <x:v>-8.131</x:v>
      </x:c>
      <x:c r="BB545" s="64" t="n">
        <x:f>-ROUND(AK545*'Drivers'!AA545,3)</x:f>
        <x:v>-6.734</x:v>
      </x:c>
      <x:c r="BC545" s="64" t="n">
        <x:f>SUM(BA545,BB545)</x:f>
        <x:v>-14.865</x:v>
      </x:c>
      <x:c r="BD545" s="64" t="n">
        <x:f>-ROUND(AK545*'Drivers'!AB545,3)</x:f>
        <x:v>-7.627</x:v>
      </x:c>
      <x:c r="BE545" s="64" t="n">
        <x:f>SUM(AX545:BB545,BD545)</x:f>
        <x:v>-89.786</x:v>
      </x:c>
      <x:c r="BF545" s="67" t="n">
        <x:f>'Drivers'!AF545</x:f>
        <x:v>7</x:v>
      </x:c>
      <x:c r="BG545" s="64" t="n">
        <x:f>BJ545</x:f>
        <x:v>-22.42</x:v>
      </x:c>
      <x:c r="BH545" s="64" t="n">
        <x:f>BE545/BF545</x:f>
        <x:v>-12.826571428571429</x:v>
      </x:c>
      <x:c r="BI545" s="68" t="n">
        <x:f>BF545/L545</x:f>
        <x:v>1.75</x:v>
      </x:c>
      <x:c r="BJ545" s="64" t="n">
        <x:f>-ROUND(AK545*'Drivers'!AC545,3)</x:f>
        <x:v>-22.42</x:v>
      </x:c>
      <x:c r="BK545" s="64" t="n">
        <x:f>-ROUND(AK545*'Drivers'!AD545,3)</x:f>
        <x:v>-91.966</x:v>
      </x:c>
      <x:c r="BL545" s="64" t="n">
        <x:f>SUM(AV545,BE545,BJ545,BK545)</x:f>
        <x:v>275.6619999999999</x:v>
      </x:c>
      <x:c r="BM545" s="65" t="n">
        <x:f>BL545/AK545</x:f>
        <x:v>0.240132478714378</x:v>
      </x:c>
      <x:c r="BN545" s="64" t="n">
        <x:f>-ROUND(AK545*'Drivers'!AE545,3)</x:f>
        <x:v>-72.281</x:v>
      </x:c>
      <x:c r="BO545" s="64" t="n">
        <x:f>BL545+BN545</x:f>
        <x:v>203.38099999999991</x:v>
      </x:c>
      <x:c r="BP545" s="65" t="n">
        <x:f>BO545/AK545</x:f>
        <x:v>0.1771676315684023</x:v>
      </x:c>
    </x:row>
    <x:row r="546">
      <x:c r="A546" s="61" t="n">
        <x:v>2025</x:v>
      </x:c>
      <x:c r="B546" s="18" t="str">
        <x:v>S1</x:v>
      </x:c>
      <x:c r="C546" s="18" t="str">
        <x:v>2025 S1</x:v>
      </x:c>
      <x:c r="D546" s="18" t="str">
        <x:v>CNCT0137</x:v>
      </x:c>
      <x:c r="E546" s="18" t="str">
        <x:v>沈阳万象城</x:v>
      </x:c>
      <x:c r="F546" s="18" t="str">
        <x:v>沈阳</x:v>
      </x:c>
      <x:c r="G546" s="18" t="str">
        <x:v>辽宁省</x:v>
      </x:c>
      <x:c r="H546" s="18" t="str">
        <x:v>北区</x:v>
      </x:c>
      <x:c r="I546" s="18" t="str">
        <x:v>Shopping Mall</x:v>
      </x:c>
      <x:c r="J546" s="18" t="str">
        <x:v>Prestige Shopping Center</x:v>
      </x:c>
      <x:c r="K546" s="18" t="str">
        <x:v>正常</x:v>
      </x:c>
      <x:c r="L546" s="62" t="n">
        <x:v>4</x:v>
      </x:c>
      <x:c r="M546" s="62" t="n">
        <x:v>36</x:v>
      </x:c>
      <x:c r="N546" s="63" t="n">
        <x:f>'Drivers'!C546</x:f>
        <x:v>1693</x:v>
      </x:c>
      <x:c r="O546" s="63" t="n">
        <x:f>'Drivers'!D546</x:f>
        <x:v>1159.943</x:v>
      </x:c>
      <x:c r="P546" s="64" t="n">
        <x:f>ROUND(N546*O546/1000,3)</x:f>
        <x:v>1963.783</x:v>
      </x:c>
      <x:c r="Q546" s="64" t="n">
        <x:f>ROUND(P546*'Drivers'!E546,3)</x:f>
        <x:v>1893.667</x:v>
      </x:c>
      <x:c r="R546" s="64" t="n">
        <x:f>-ROUND(Q546*'Drivers'!F546,3)</x:f>
        <x:v>-330.802</x:v>
      </x:c>
      <x:c r="S546" s="65" t="n">
        <x:f>R546/Q546</x:f>
        <x:v>-0.17468858041038896</x:v>
      </x:c>
      <x:c r="T546" s="64" t="n">
        <x:f>-ROUND(Q546*'Drivers'!G546,3)</x:f>
        <x:v>-18.374</x:v>
      </x:c>
      <x:c r="U546" s="65" t="n">
        <x:f>T546/Q546</x:f>
        <x:v>-0.00970286750521607</x:v>
      </x:c>
      <x:c r="V546" s="64" t="n">
        <x:f>-ROUND(Q546*'Drivers'!H546,3)</x:f>
        <x:v>-21.511</x:v>
      </x:c>
      <x:c r="W546" s="64" t="n">
        <x:f>-ROUND(Q546*'Drivers'!I546,3)</x:f>
        <x:v>-11.603</x:v>
      </x:c>
      <x:c r="X546" s="64" t="n">
        <x:f>-ROUND(Q546*'Drivers'!J546,3)</x:f>
        <x:v>-20.286</x:v>
      </x:c>
      <x:c r="Y546" s="64" t="n">
        <x:f>-ROUND(Q546*'Drivers'!K546,3)</x:f>
        <x:v>-16.504</x:v>
      </x:c>
      <x:c r="Z546" s="64" t="n">
        <x:f>-ROUND(Q546*'Drivers'!L546,3)</x:f>
        <x:v>-25.021</x:v>
      </x:c>
      <x:c r="AA546" s="64" t="n">
        <x:f>-ROUND(Q546*'Drivers'!M546,3)</x:f>
        <x:v>-16.748</x:v>
      </x:c>
      <x:c r="AB546" s="64" t="n">
        <x:f>-ROUND(Q546*'Drivers'!N546,3)</x:f>
        <x:v>-11.274</x:v>
      </x:c>
      <x:c r="AC546" s="64" t="n">
        <x:f>SUM(V546:AB546)</x:f>
        <x:v>-122.947</x:v>
      </x:c>
      <x:c r="AD546" s="65" t="n">
        <x:f>AC546/Q546</x:f>
        <x:v>-0.0649253538240884</x:v>
      </x:c>
      <x:c r="AE546" s="64" t="n">
        <x:f>-ROUND(Q546*'Drivers'!O546,3)</x:f>
        <x:v>-12.813</x:v>
      </x:c>
      <x:c r="AF546" s="65" t="n">
        <x:f>AE546/Q546</x:f>
        <x:v>-0.006766237147291473</x:v>
      </x:c>
      <x:c r="AG546" s="64" t="n">
        <x:f>-ROUND(Q546*'Drivers'!P546,3)</x:f>
        <x:v>-1.055</x:v>
      </x:c>
      <x:c r="AH546" s="64" t="n">
        <x:f>-ROUND(Q546*'Drivers'!Q546,3)</x:f>
        <x:v>-4.537</x:v>
      </x:c>
      <x:c r="AI546" s="64" t="n">
        <x:f>SUM(R546,T546,AC546,AE546,AG546,AH546)</x:f>
        <x:v>-490.528</x:v>
      </x:c>
      <x:c r="AJ546" s="65" t="n">
        <x:f>AI546/Q546</x:f>
        <x:v>-0.25903603959935934</x:v>
      </x:c>
      <x:c r="AK546" s="64" t="n">
        <x:f>Q546+AI546</x:f>
        <x:v>1403.139</x:v>
      </x:c>
      <x:c r="AL546" s="65" t="n">
        <x:f>AK546/Q546</x:f>
        <x:v>0.7409639604006406</x:v>
      </x:c>
      <x:c r="AM546" s="64" t="n">
        <x:f>AK546/L546</x:f>
        <x:v>350.78475</x:v>
      </x:c>
      <x:c r="AN546" s="66" t="str">
        <x:f>IF(AM546&lt;=200,"≤200K",IF(AM546&lt;=350,"200–350K",IF(AM546&lt;=500,"350–500K",IF(AM546&lt;=700,"500–700K","&gt;700K"))))</x:f>
        <x:v>350–500K</x:v>
      </x:c>
      <x:c r="AO546" s="64" t="n">
        <x:f>-ROUND(Q546*'Drivers'!R546,3)</x:f>
        <x:v>-738.608</x:v>
      </x:c>
      <x:c r="AP546" s="64" t="n">
        <x:f>-ROUND(AK546*'Drivers'!S546,3)</x:f>
        <x:v>-19.332</x:v>
      </x:c>
      <x:c r="AQ546" s="64" t="n">
        <x:f>-ROUND(AK546*'Drivers'!T546,3)</x:f>
        <x:v>-7.935</x:v>
      </x:c>
      <x:c r="AR546" s="64" t="n">
        <x:f>-ROUND(AK546*'Drivers'!U546,3)</x:f>
        <x:v>-10.481</x:v>
      </x:c>
      <x:c r="AS546" s="64" t="n">
        <x:f>-ROUND(AK546*'Drivers'!V546,3)</x:f>
        <x:v>-47.703</x:v>
      </x:c>
      <x:c r="AT546" s="64" t="n">
        <x:f>SUM(AO546:AS546)</x:f>
        <x:v>-824.0589999999999</x:v>
      </x:c>
      <x:c r="AU546" s="65" t="n">
        <x:f>AT546/AK546</x:f>
        <x:v>-0.5872967681747852</x:v>
      </x:c>
      <x:c r="AV546" s="64" t="n">
        <x:f>AK546+AT546</x:f>
        <x:v>579.08</x:v>
      </x:c>
      <x:c r="AW546" s="65" t="n">
        <x:f>AV546/AK546</x:f>
        <x:v>0.4127032318252148</x:v>
      </x:c>
      <x:c r="AX546" s="64" t="n">
        <x:f>-ROUND(AK546*'Drivers'!W546,3)</x:f>
        <x:v>-12.923</x:v>
      </x:c>
      <x:c r="AY546" s="64" t="n">
        <x:f>-ROUND(AK546*'Drivers'!X546,3)</x:f>
        <x:v>-35.417</x:v>
      </x:c>
      <x:c r="AZ546" s="64" t="n">
        <x:f>-ROUND(AK546*'Drivers'!Y546,3)</x:f>
        <x:v>-29.635</x:v>
      </x:c>
      <x:c r="BA546" s="64" t="n">
        <x:f>-ROUND(AK546*'Drivers'!Z546,3)</x:f>
        <x:v>-6.462</x:v>
      </x:c>
      <x:c r="BB546" s="64" t="n">
        <x:f>-ROUND(AK546*'Drivers'!AA546,3)</x:f>
        <x:v>-12.052</x:v>
      </x:c>
      <x:c r="BC546" s="64" t="n">
        <x:f>SUM(BA546,BB546)</x:f>
        <x:v>-18.514</x:v>
      </x:c>
      <x:c r="BD546" s="64" t="n">
        <x:f>-ROUND(AK546*'Drivers'!AB546,3)</x:f>
        <x:v>-4.747</x:v>
      </x:c>
      <x:c r="BE546" s="64" t="n">
        <x:f>SUM(AX546:BB546,BD546)</x:f>
        <x:v>-101.236</x:v>
      </x:c>
      <x:c r="BF546" s="67" t="n">
        <x:f>'Drivers'!AF546</x:f>
        <x:v>7</x:v>
      </x:c>
      <x:c r="BG546" s="64" t="n">
        <x:f>BJ546</x:f>
        <x:v>-33.846</x:v>
      </x:c>
      <x:c r="BH546" s="64" t="n">
        <x:f>BE546/BF546</x:f>
        <x:v>-14.462285714285715</x:v>
      </x:c>
      <x:c r="BI546" s="68" t="n">
        <x:f>BF546/L546</x:f>
        <x:v>1.75</x:v>
      </x:c>
      <x:c r="BJ546" s="64" t="n">
        <x:f>-ROUND(AK546*'Drivers'!AC546,3)</x:f>
        <x:v>-33.846</x:v>
      </x:c>
      <x:c r="BK546" s="64" t="n">
        <x:f>-ROUND(AK546*'Drivers'!AD546,3)</x:f>
        <x:v>-155.027</x:v>
      </x:c>
      <x:c r="BL546" s="64" t="n">
        <x:f>SUM(AV546,BE546,BJ546,BK546)</x:f>
        <x:v>288.97100000000006</x:v>
      </x:c>
      <x:c r="BM546" s="65" t="n">
        <x:f>BL546/AK546</x:f>
        <x:v>0.20594609657346855</x:v>
      </x:c>
      <x:c r="BN546" s="64" t="n">
        <x:f>-ROUND(AK546*'Drivers'!AE546,3)</x:f>
        <x:v>-97.192</x:v>
      </x:c>
      <x:c r="BO546" s="64" t="n">
        <x:f>BL546+BN546</x:f>
        <x:v>191.77900000000005</x:v>
      </x:c>
      <x:c r="BP546" s="65" t="n">
        <x:f>BO546/AK546</x:f>
        <x:v>0.13667854717173428</x:v>
      </x:c>
    </x:row>
    <x:row r="547">
      <x:c r="A547" s="61" t="n">
        <x:v>2025</x:v>
      </x:c>
      <x:c r="B547" s="18" t="str">
        <x:v>S2</x:v>
      </x:c>
      <x:c r="C547" s="18" t="str">
        <x:v>2025 S2</x:v>
      </x:c>
      <x:c r="D547" s="18" t="str">
        <x:v>CNCT0137</x:v>
      </x:c>
      <x:c r="E547" s="18" t="str">
        <x:v>沈阳万象城</x:v>
      </x:c>
      <x:c r="F547" s="18" t="str">
        <x:v>沈阳</x:v>
      </x:c>
      <x:c r="G547" s="18" t="str">
        <x:v>辽宁省</x:v>
      </x:c>
      <x:c r="H547" s="18" t="str">
        <x:v>北区</x:v>
      </x:c>
      <x:c r="I547" s="18" t="str">
        <x:v>Shopping Mall</x:v>
      </x:c>
      <x:c r="J547" s="18" t="str">
        <x:v>Prestige Shopping Center</x:v>
      </x:c>
      <x:c r="K547" s="18" t="str">
        <x:v>正常</x:v>
      </x:c>
      <x:c r="L547" s="62" t="n">
        <x:v>4</x:v>
      </x:c>
      <x:c r="M547" s="62" t="n">
        <x:v>36</x:v>
      </x:c>
      <x:c r="N547" s="63" t="n">
        <x:f>'Drivers'!C547</x:f>
        <x:v>1802</x:v>
      </x:c>
      <x:c r="O547" s="63" t="n">
        <x:f>'Drivers'!D547</x:f>
        <x:v>1173.862</x:v>
      </x:c>
      <x:c r="P547" s="64" t="n">
        <x:f>ROUND(N547*O547/1000,3)</x:f>
        <x:v>2115.299</x:v>
      </x:c>
      <x:c r="Q547" s="64" t="n">
        <x:f>ROUND(P547*'Drivers'!E547,3)</x:f>
        <x:v>2044.756</x:v>
      </x:c>
      <x:c r="R547" s="64" t="n">
        <x:f>-ROUND(Q547*'Drivers'!F547,3)</x:f>
        <x:v>-357.196</x:v>
      </x:c>
      <x:c r="S547" s="65" t="n">
        <x:f>R547/Q547</x:f>
        <x:v>-0.17468881372642994</x:v>
      </x:c>
      <x:c r="T547" s="64" t="n">
        <x:f>-ROUND(Q547*'Drivers'!G547,3)</x:f>
        <x:v>-19.84</x:v>
      </x:c>
      <x:c r="U547" s="65" t="n">
        <x:f>T547/Q547</x:f>
        <x:v>-0.009702869193194689</x:v>
      </x:c>
      <x:c r="V547" s="64" t="n">
        <x:f>-ROUND(Q547*'Drivers'!H547,3)</x:f>
        <x:v>-23.228</x:v>
      </x:c>
      <x:c r="W547" s="64" t="n">
        <x:f>-ROUND(Q547*'Drivers'!I547,3)</x:f>
        <x:v>-12.529</x:v>
      </x:c>
      <x:c r="X547" s="64" t="n">
        <x:f>-ROUND(Q547*'Drivers'!J547,3)</x:f>
        <x:v>-21.904</x:v>
      </x:c>
      <x:c r="Y547" s="64" t="n">
        <x:f>-ROUND(Q547*'Drivers'!K547,3)</x:f>
        <x:v>-17.821</x:v>
      </x:c>
      <x:c r="Z547" s="64" t="n">
        <x:f>-ROUND(Q547*'Drivers'!L547,3)</x:f>
        <x:v>-27.018</x:v>
      </x:c>
      <x:c r="AA547" s="64" t="n">
        <x:f>-ROUND(Q547*'Drivers'!M547,3)</x:f>
        <x:v>-18.084</x:v>
      </x:c>
      <x:c r="AB547" s="64" t="n">
        <x:f>-ROUND(Q547*'Drivers'!N547,3)</x:f>
        <x:v>-12.174</x:v>
      </x:c>
      <x:c r="AC547" s="64" t="n">
        <x:f>SUM(V547:AB547)</x:f>
        <x:v>-132.758</x:v>
      </x:c>
      <x:c r="AD547" s="65" t="n">
        <x:f>AC547/Q547</x:f>
        <x:v>-0.06492608409022886</x:v>
      </x:c>
      <x:c r="AE547" s="64" t="n">
        <x:f>-ROUND(Q547*'Drivers'!O547,3)</x:f>
        <x:v>-13.835</x:v>
      </x:c>
      <x:c r="AF547" s="65" t="n">
        <x:f>AE547/Q547</x:f>
        <x:v>-0.006766088472169785</x:v>
      </x:c>
      <x:c r="AG547" s="64" t="n">
        <x:f>-ROUND(Q547*'Drivers'!P547,3)</x:f>
        <x:v>-1.139</x:v>
      </x:c>
      <x:c r="AH547" s="64" t="n">
        <x:f>-ROUND(Q547*'Drivers'!Q547,3)</x:f>
        <x:v>-4.899</x:v>
      </x:c>
      <x:c r="AI547" s="64" t="n">
        <x:f>SUM(R547,T547,AC547,AE547,AG547,AH547)</x:f>
        <x:v>-529.667</x:v>
      </x:c>
      <x:c r="AJ547" s="65" t="n">
        <x:f>AI547/Q547</x:f>
        <x:v>-0.2590367750479764</x:v>
      </x:c>
      <x:c r="AK547" s="64" t="n">
        <x:f>Q547+AI547</x:f>
        <x:v>1515.089</x:v>
      </x:c>
      <x:c r="AL547" s="65" t="n">
        <x:f>AK547/Q547</x:f>
        <x:v>0.7409632249520236</x:v>
      </x:c>
      <x:c r="AM547" s="64" t="n">
        <x:f>AK547/L547</x:f>
        <x:v>378.77225</x:v>
      </x:c>
      <x:c r="AN547" s="66" t="str">
        <x:f>IF(AM547&lt;=200,"≤200K",IF(AM547&lt;=350,"200–350K",IF(AM547&lt;=500,"350–500K",IF(AM547&lt;=700,"500–700K","&gt;700K"))))</x:f>
        <x:v>350–500K</x:v>
      </x:c>
      <x:c r="AO547" s="64" t="n">
        <x:f>-ROUND(Q547*'Drivers'!R547,3)</x:f>
        <x:v>-754.066</x:v>
      </x:c>
      <x:c r="AP547" s="64" t="n">
        <x:f>-ROUND(AK547*'Drivers'!S547,3)</x:f>
        <x:v>-20.875</x:v>
      </x:c>
      <x:c r="AQ547" s="64" t="n">
        <x:f>-ROUND(AK547*'Drivers'!T547,3)</x:f>
        <x:v>-8.569</x:v>
      </x:c>
      <x:c r="AR547" s="64" t="n">
        <x:f>-ROUND(AK547*'Drivers'!U547,3)</x:f>
        <x:v>-11.318</x:v>
      </x:c>
      <x:c r="AS547" s="64" t="n">
        <x:f>-ROUND(AK547*'Drivers'!V547,3)</x:f>
        <x:v>-51.509</x:v>
      </x:c>
      <x:c r="AT547" s="64" t="n">
        <x:f>SUM(AO547:AS547)</x:f>
        <x:v>-846.337</x:v>
      </x:c>
      <x:c r="AU547" s="65" t="n">
        <x:f>AT547/AK547</x:f>
        <x:v>-0.5586054680616123</x:v>
      </x:c>
      <x:c r="AV547" s="64" t="n">
        <x:f>AK547+AT547</x:f>
        <x:v>668.752</x:v>
      </x:c>
      <x:c r="AW547" s="65" t="n">
        <x:f>AV547/AK547</x:f>
        <x:v>0.4413945319383878</x:v>
      </x:c>
      <x:c r="AX547" s="64" t="n">
        <x:f>-ROUND(AK547*'Drivers'!W547,3)</x:f>
        <x:v>-13.954</x:v>
      </x:c>
      <x:c r="AY547" s="64" t="n">
        <x:f>-ROUND(AK547*'Drivers'!X547,3)</x:f>
        <x:v>-38.242</x:v>
      </x:c>
      <x:c r="AZ547" s="64" t="n">
        <x:f>-ROUND(AK547*'Drivers'!Y547,3)</x:f>
        <x:v>-31.999</x:v>
      </x:c>
      <x:c r="BA547" s="64" t="n">
        <x:f>-ROUND(AK547*'Drivers'!Z547,3)</x:f>
        <x:v>-6.978</x:v>
      </x:c>
      <x:c r="BB547" s="64" t="n">
        <x:f>-ROUND(AK547*'Drivers'!AA547,3)</x:f>
        <x:v>-13.013</x:v>
      </x:c>
      <x:c r="BC547" s="64" t="n">
        <x:f>SUM(BA547,BB547)</x:f>
        <x:v>-19.991</x:v>
      </x:c>
      <x:c r="BD547" s="64" t="n">
        <x:f>-ROUND(AK547*'Drivers'!AB547,3)</x:f>
        <x:v>-5.125</x:v>
      </x:c>
      <x:c r="BE547" s="64" t="n">
        <x:f>SUM(AX547:BB547,BD547)</x:f>
        <x:v>-109.31099999999999</x:v>
      </x:c>
      <x:c r="BF547" s="67" t="n">
        <x:f>'Drivers'!AF547</x:f>
        <x:v>7</x:v>
      </x:c>
      <x:c r="BG547" s="64" t="n">
        <x:f>BJ547</x:f>
        <x:v>-36.547</x:v>
      </x:c>
      <x:c r="BH547" s="64" t="n">
        <x:f>BE547/BF547</x:f>
        <x:v>-15.615857142857141</x:v>
      </x:c>
      <x:c r="BI547" s="68" t="n">
        <x:f>BF547/L547</x:f>
        <x:v>1.75</x:v>
      </x:c>
      <x:c r="BJ547" s="64" t="n">
        <x:f>-ROUND(AK547*'Drivers'!AC547,3)</x:f>
        <x:v>-36.547</x:v>
      </x:c>
      <x:c r="BK547" s="64" t="n">
        <x:f>-ROUND(AK547*'Drivers'!AD547,3)</x:f>
        <x:v>-167.396</x:v>
      </x:c>
      <x:c r="BL547" s="64" t="n">
        <x:f>SUM(AV547,BE547,BJ547,BK547)</x:f>
        <x:v>355.49799999999993</x:v>
      </x:c>
      <x:c r="BM547" s="65" t="n">
        <x:f>BL547/AK547</x:f>
        <x:v>0.2346383611787822</x:v>
      </x:c>
      <x:c r="BN547" s="64" t="n">
        <x:f>-ROUND(AK547*'Drivers'!AE547,3)</x:f>
        <x:v>-104.946</x:v>
      </x:c>
      <x:c r="BO547" s="64" t="n">
        <x:f>BL547+BN547</x:f>
        <x:v>250.55199999999994</x:v>
      </x:c>
      <x:c r="BP547" s="65" t="n">
        <x:f>BO547/AK547</x:f>
        <x:v>0.16537114321336896</x:v>
      </x:c>
    </x:row>
    <x:row r="548">
      <x:c r="A548" s="61" t="n">
        <x:v>2026</x:v>
      </x:c>
      <x:c r="B548" s="18" t="str">
        <x:v>S1</x:v>
      </x:c>
      <x:c r="C548" s="18" t="str">
        <x:v>2026 S1</x:v>
      </x:c>
      <x:c r="D548" s="18" t="str">
        <x:v>CNCT0137</x:v>
      </x:c>
      <x:c r="E548" s="18" t="str">
        <x:v>沈阳万象城</x:v>
      </x:c>
      <x:c r="F548" s="18" t="str">
        <x:v>沈阳</x:v>
      </x:c>
      <x:c r="G548" s="18" t="str">
        <x:v>辽宁省</x:v>
      </x:c>
      <x:c r="H548" s="18" t="str">
        <x:v>北区</x:v>
      </x:c>
      <x:c r="I548" s="18" t="str">
        <x:v>Shopping Mall</x:v>
      </x:c>
      <x:c r="J548" s="18" t="str">
        <x:v>Prestige Shopping Center</x:v>
      </x:c>
      <x:c r="K548" s="18" t="str">
        <x:v>正常</x:v>
      </x:c>
      <x:c r="L548" s="62" t="n">
        <x:v>4</x:v>
      </x:c>
      <x:c r="M548" s="62" t="n">
        <x:v>36</x:v>
      </x:c>
      <x:c r="N548" s="63" t="n">
        <x:f>'Drivers'!C548</x:f>
        <x:v>1626</x:v>
      </x:c>
      <x:c r="O548" s="63" t="n">
        <x:f>'Drivers'!D548</x:f>
        <x:v>1216.037</x:v>
      </x:c>
      <x:c r="P548" s="64" t="n">
        <x:f>ROUND(N548*O548/1000,3)</x:f>
        <x:v>1977.276</x:v>
      </x:c>
      <x:c r="Q548" s="64" t="n">
        <x:f>ROUND(P548*'Drivers'!E548,3)</x:f>
        <x:v>1906.771</x:v>
      </x:c>
      <x:c r="R548" s="64" t="n">
        <x:f>-ROUND(Q548*'Drivers'!F548,3)</x:f>
        <x:v>-340.909</x:v>
      </x:c>
      <x:c r="S548" s="65" t="n">
        <x:f>R548/Q548</x:f>
        <x:v>-0.17878864320885937</x:v>
      </x:c>
      <x:c r="T548" s="64" t="n">
        <x:f>-ROUND(Q548*'Drivers'!G548,3)</x:f>
        <x:v>-15.666</x:v>
      </x:c>
      <x:c r="U548" s="65" t="n">
        <x:f>T548/Q548</x:f>
        <x:v>-0.008215983985491703</x:v>
      </x:c>
      <x:c r="V548" s="64" t="n">
        <x:f>-ROUND(Q548*'Drivers'!H548,3)</x:f>
        <x:v>-21.66</x:v>
      </x:c>
      <x:c r="W548" s="64" t="n">
        <x:f>-ROUND(Q548*'Drivers'!I548,3)</x:f>
        <x:v>-11.683</x:v>
      </x:c>
      <x:c r="X548" s="64" t="n">
        <x:f>-ROUND(Q548*'Drivers'!J548,3)</x:f>
        <x:v>-20.426</x:v>
      </x:c>
      <x:c r="Y548" s="64" t="n">
        <x:f>-ROUND(Q548*'Drivers'!K548,3)</x:f>
        <x:v>-16.618</x:v>
      </x:c>
      <x:c r="Z548" s="64" t="n">
        <x:f>-ROUND(Q548*'Drivers'!L548,3)</x:f>
        <x:v>-25.194</x:v>
      </x:c>
      <x:c r="AA548" s="64" t="n">
        <x:f>-ROUND(Q548*'Drivers'!M548,3)</x:f>
        <x:v>-16.864</x:v>
      </x:c>
      <x:c r="AB548" s="64" t="n">
        <x:f>-ROUND(Q548*'Drivers'!N548,3)</x:f>
        <x:v>-11.352</x:v>
      </x:c>
      <x:c r="AC548" s="64" t="n">
        <x:f>SUM(V548:AB548)</x:f>
        <x:v>-123.79700000000001</x:v>
      </x:c>
      <x:c r="AD548" s="65" t="n">
        <x:f>AC548/Q548</x:f>
        <x:v>-0.06492494379241137</x:v>
      </x:c>
      <x:c r="AE548" s="64" t="n">
        <x:f>-ROUND(Q548*'Drivers'!O548,3)</x:f>
        <x:v>-10.49</x:v>
      </x:c>
      <x:c r="AF548" s="65" t="n">
        <x:f>AE548/Q548</x:f>
        <x:v>-0.005501447211017999</x:v>
      </x:c>
      <x:c r="AG548" s="64" t="n">
        <x:f>-ROUND(Q548*'Drivers'!P548,3)</x:f>
        <x:v>-1.062</x:v>
      </x:c>
      <x:c r="AH548" s="64" t="n">
        <x:f>-ROUND(Q548*'Drivers'!Q548,3)</x:f>
        <x:v>-4.568</x:v>
      </x:c>
      <x:c r="AI548" s="64" t="n">
        <x:f>SUM(R548,T548,AC548,AE548,AG548,AH548)</x:f>
        <x:v>-496.492</x:v>
      </x:c>
      <x:c r="AJ548" s="65" t="n">
        <x:f>AI548/Q548</x:f>
        <x:v>-0.26038365383152984</x:v>
      </x:c>
      <x:c r="AK548" s="64" t="n">
        <x:f>Q548+AI548</x:f>
        <x:v>1410.279</x:v>
      </x:c>
      <x:c r="AL548" s="65" t="n">
        <x:f>AK548/Q548</x:f>
        <x:v>0.7396163461684702</x:v>
      </x:c>
      <x:c r="AM548" s="64" t="n">
        <x:f>AK548/L548</x:f>
        <x:v>352.56975</x:v>
      </x:c>
      <x:c r="AN548" s="66" t="str">
        <x:f>IF(AM548&lt;=200,"≤200K",IF(AM548&lt;=350,"200–350K",IF(AM548&lt;=500,"350–500K",IF(AM548&lt;=700,"500–700K","&gt;700K"))))</x:f>
        <x:v>350–500K</x:v>
      </x:c>
      <x:c r="AO548" s="64" t="n">
        <x:f>-ROUND(Q548*'Drivers'!R548,3)</x:f>
        <x:v>-743.85</x:v>
      </x:c>
      <x:c r="AP548" s="64" t="n">
        <x:f>-ROUND(AK548*'Drivers'!S548,3)</x:f>
        <x:v>-19.431</x:v>
      </x:c>
      <x:c r="AQ548" s="64" t="n">
        <x:f>-ROUND(AK548*'Drivers'!T548,3)</x:f>
        <x:v>-7.976</x:v>
      </x:c>
      <x:c r="AR548" s="64" t="n">
        <x:f>-ROUND(AK548*'Drivers'!U548,3)</x:f>
        <x:v>-10.535</x:v>
      </x:c>
      <x:c r="AS548" s="64" t="n">
        <x:f>-ROUND(AK548*'Drivers'!V548,3)</x:f>
        <x:v>-47.946</x:v>
      </x:c>
      <x:c r="AT548" s="64" t="n">
        <x:f>SUM(AO548:AS548)</x:f>
        <x:v>-829.738</x:v>
      </x:c>
      <x:c r="AU548" s="65" t="n">
        <x:f>AT548/AK548</x:f>
        <x:v>-0.5883502484260207</x:v>
      </x:c>
      <x:c r="AV548" s="64" t="n">
        <x:f>AK548+AT548</x:f>
        <x:v>580.5409999999999</x:v>
      </x:c>
      <x:c r="AW548" s="65" t="n">
        <x:f>AV548/AK548</x:f>
        <x:v>0.4116497515739793</x:v>
      </x:c>
      <x:c r="AX548" s="64" t="n">
        <x:f>-ROUND(AK548*'Drivers'!W548,3)</x:f>
        <x:v>-15.982</x:v>
      </x:c>
      <x:c r="AY548" s="64" t="n">
        <x:f>-ROUND(AK548*'Drivers'!X548,3)</x:f>
        <x:v>-43.8</x:v>
      </x:c>
      <x:c r="AZ548" s="64" t="n">
        <x:f>-ROUND(AK548*'Drivers'!Y548,3)</x:f>
        <x:v>-36.649</x:v>
      </x:c>
      <x:c r="BA548" s="64" t="n">
        <x:f>-ROUND(AK548*'Drivers'!Z548,3)</x:f>
        <x:v>-7.992</x:v>
      </x:c>
      <x:c r="BB548" s="64" t="n">
        <x:f>-ROUND(AK548*'Drivers'!AA548,3)</x:f>
        <x:v>-14.904</x:v>
      </x:c>
      <x:c r="BC548" s="64" t="n">
        <x:f>SUM(BA548,BB548)</x:f>
        <x:v>-22.896</x:v>
      </x:c>
      <x:c r="BD548" s="64" t="n">
        <x:f>-ROUND(AK548*'Drivers'!AB548,3)</x:f>
        <x:v>-5.87</x:v>
      </x:c>
      <x:c r="BE548" s="64" t="n">
        <x:f>SUM(AX548:BB548,BD548)</x:f>
        <x:v>-125.197</x:v>
      </x:c>
      <x:c r="BF548" s="67" t="n">
        <x:f>'Drivers'!AF548</x:f>
        <x:v>7</x:v>
      </x:c>
      <x:c r="BG548" s="64" t="n">
        <x:f>BJ548</x:f>
        <x:v>-41.858</x:v>
      </x:c>
      <x:c r="BH548" s="64" t="n">
        <x:f>BE548/BF548</x:f>
        <x:v>-17.885285714285715</x:v>
      </x:c>
      <x:c r="BI548" s="68" t="n">
        <x:f>BF548/L548</x:f>
        <x:v>1.75</x:v>
      </x:c>
      <x:c r="BJ548" s="64" t="n">
        <x:f>-ROUND(AK548*'Drivers'!AC548,3)</x:f>
        <x:v>-41.858</x:v>
      </x:c>
      <x:c r="BK548" s="64" t="n">
        <x:f>-ROUND(AK548*'Drivers'!AD548,3)</x:f>
        <x:v>-155.816</x:v>
      </x:c>
      <x:c r="BL548" s="64" t="n">
        <x:f>SUM(AV548,BE548,BJ548,BK548)</x:f>
        <x:v>257.66999999999996</x:v>
      </x:c>
      <x:c r="BM548" s="65" t="n">
        <x:f>BL548/AK548</x:f>
        <x:v>0.1827085278870351</x:v>
      </x:c>
      <x:c r="BN548" s="64" t="n">
        <x:f>-ROUND(AK548*'Drivers'!AE548,3)</x:f>
        <x:v>-97.686</x:v>
      </x:c>
      <x:c r="BO548" s="64" t="n">
        <x:f>BL548+BN548</x:f>
        <x:v>159.98399999999995</x:v>
      </x:c>
      <x:c r="BP548" s="65" t="n">
        <x:f>BO548/AK548</x:f>
        <x:v>0.11344138287530336</x:v>
      </x:c>
    </x:row>
    <x:row r="549">
      <x:c r="A549" s="61" t="n">
        <x:v>2026</x:v>
      </x:c>
      <x:c r="B549" s="18" t="str">
        <x:v>S2</x:v>
      </x:c>
      <x:c r="C549" s="18" t="str">
        <x:v>2026 S2</x:v>
      </x:c>
      <x:c r="D549" s="18" t="str">
        <x:v>CNCT0137</x:v>
      </x:c>
      <x:c r="E549" s="18" t="str">
        <x:v>沈阳万象城</x:v>
      </x:c>
      <x:c r="F549" s="18" t="str">
        <x:v>沈阳</x:v>
      </x:c>
      <x:c r="G549" s="18" t="str">
        <x:v>辽宁省</x:v>
      </x:c>
      <x:c r="H549" s="18" t="str">
        <x:v>北区</x:v>
      </x:c>
      <x:c r="I549" s="18" t="str">
        <x:v>Shopping Mall</x:v>
      </x:c>
      <x:c r="J549" s="18" t="str">
        <x:v>Prestige Shopping Center</x:v>
      </x:c>
      <x:c r="K549" s="18" t="str">
        <x:v>正常</x:v>
      </x:c>
      <x:c r="L549" s="62" t="n">
        <x:v>4</x:v>
      </x:c>
      <x:c r="M549" s="62" t="n">
        <x:v>35</x:v>
      </x:c>
      <x:c r="N549" s="63" t="n">
        <x:f>'Drivers'!C549</x:f>
        <x:v>1769</x:v>
      </x:c>
      <x:c r="O549" s="63" t="n">
        <x:f>'Drivers'!D549</x:f>
        <x:v>1223.855</x:v>
      </x:c>
      <x:c r="P549" s="64" t="n">
        <x:f>ROUND(N549*O549/1000,3)</x:f>
        <x:v>2164.999</x:v>
      </x:c>
      <x:c r="Q549" s="64" t="n">
        <x:f>ROUND(P549*'Drivers'!E549,3)</x:f>
        <x:v>2092.799</x:v>
      </x:c>
      <x:c r="R549" s="64" t="n">
        <x:f>-ROUND(Q549*'Drivers'!F549,3)</x:f>
        <x:v>-358.122</x:v>
      </x:c>
      <x:c r="S549" s="65" t="n">
        <x:f>R549/Q549</x:f>
        <x:v>-0.1711210680050975</x:v>
      </x:c>
      <x:c r="T549" s="64" t="n">
        <x:f>-ROUND(Q549*'Drivers'!G549,3)</x:f>
        <x:v>-22.182</x:v>
      </x:c>
      <x:c r="U549" s="65" t="n">
        <x:f>T549/Q549</x:f>
        <x:v>-0.010599202312309973</x:v>
      </x:c>
      <x:c r="V549" s="64" t="n">
        <x:f>-ROUND(Q549*'Drivers'!H549,3)</x:f>
        <x:v>-23.773</x:v>
      </x:c>
      <x:c r="W549" s="64" t="n">
        <x:f>-ROUND(Q549*'Drivers'!I549,3)</x:f>
        <x:v>-12.823</x:v>
      </x:c>
      <x:c r="X549" s="64" t="n">
        <x:f>-ROUND(Q549*'Drivers'!J549,3)</x:f>
        <x:v>-22.419</x:v>
      </x:c>
      <x:c r="Y549" s="64" t="n">
        <x:f>-ROUND(Q549*'Drivers'!K549,3)</x:f>
        <x:v>-18.24</x:v>
      </x:c>
      <x:c r="Z549" s="64" t="n">
        <x:f>-ROUND(Q549*'Drivers'!L549,3)</x:f>
        <x:v>-27.652</x:v>
      </x:c>
      <x:c r="AA549" s="64" t="n">
        <x:f>-ROUND(Q549*'Drivers'!M549,3)</x:f>
        <x:v>-18.509</x:v>
      </x:c>
      <x:c r="AB549" s="64" t="n">
        <x:f>-ROUND(Q549*'Drivers'!N549,3)</x:f>
        <x:v>-12.46</x:v>
      </x:c>
      <x:c r="AC549" s="64" t="n">
        <x:f>SUM(V549:AB549)</x:f>
        <x:v>-135.876</x:v>
      </x:c>
      <x:c r="AD549" s="65" t="n">
        <x:f>AC549/Q549</x:f>
        <x:v>-0.0649254897388617</x:v>
      </x:c>
      <x:c r="AE549" s="64" t="n">
        <x:f>-ROUND(Q549*'Drivers'!O549,3)</x:f>
        <x:v>-14.16</x:v>
      </x:c>
      <x:c r="AF549" s="65" t="n">
        <x:f>AE549/Q549</x:f>
        <x:v>-0.006766058278888704</x:v>
      </x:c>
      <x:c r="AG549" s="64" t="n">
        <x:f>-ROUND(Q549*'Drivers'!P549,3)</x:f>
        <x:v>-1.166</x:v>
      </x:c>
      <x:c r="AH549" s="64" t="n">
        <x:f>-ROUND(Q549*'Drivers'!Q549,3)</x:f>
        <x:v>-5.014</x:v>
      </x:c>
      <x:c r="AI549" s="64" t="n">
        <x:f>SUM(R549,T549,AC549,AE549,AG549,AH549)</x:f>
        <x:v>-536.5200000000001</x:v>
      </x:c>
      <x:c r="AJ549" s="65" t="n">
        <x:f>AI549/Q549</x:f>
        <x:v>-0.25636480139755424</x:v>
      </x:c>
      <x:c r="AK549" s="64" t="n">
        <x:f>Q549+AI549</x:f>
        <x:v>1556.279</x:v>
      </x:c>
      <x:c r="AL549" s="65" t="n">
        <x:f>AK549/Q549</x:f>
        <x:v>0.7436351986024459</x:v>
      </x:c>
      <x:c r="AM549" s="64" t="n">
        <x:f>AK549/L549</x:f>
        <x:v>389.06975</x:v>
      </x:c>
      <x:c r="AN549" s="66" t="str">
        <x:f>IF(AM549&lt;=200,"≤200K",IF(AM549&lt;=350,"200–350K",IF(AM549&lt;=500,"350–500K",IF(AM549&lt;=700,"500–700K","&gt;700K"))))</x:f>
        <x:v>350–500K</x:v>
      </x:c>
      <x:c r="AO549" s="64" t="n">
        <x:f>-ROUND(Q549*'Drivers'!R549,3)</x:f>
        <x:v>-756.52</x:v>
      </x:c>
      <x:c r="AP549" s="64" t="n">
        <x:f>-ROUND(AK549*'Drivers'!S549,3)</x:f>
        <x:v>-21.442</x:v>
      </x:c>
      <x:c r="AQ549" s="64" t="n">
        <x:f>-ROUND(AK549*'Drivers'!T549,3)</x:f>
        <x:v>-8.801</x:v>
      </x:c>
      <x:c r="AR549" s="64" t="n">
        <x:f>-ROUND(AK549*'Drivers'!U549,3)</x:f>
        <x:v>-11.625</x:v>
      </x:c>
      <x:c r="AS549" s="64" t="n">
        <x:f>-ROUND(AK549*'Drivers'!V549,3)</x:f>
        <x:v>-52.909</x:v>
      </x:c>
      <x:c r="AT549" s="64" t="n">
        <x:f>SUM(AO549:AS549)</x:f>
        <x:v>-851.297</x:v>
      </x:c>
      <x:c r="AU549" s="65" t="n">
        <x:f>AT549/AK549</x:f>
        <x:v>-0.5470079593697531</x:v>
      </x:c>
      <x:c r="AV549" s="64" t="n">
        <x:f>AK549+AT549</x:f>
        <x:v>704.982</x:v>
      </x:c>
      <x:c r="AW549" s="65" t="n">
        <x:f>AV549/AK549</x:f>
        <x:v>0.4529920406302469</x:v>
      </x:c>
      <x:c r="AX549" s="64" t="n">
        <x:f>-ROUND(AK549*'Drivers'!W549,3)</x:f>
        <x:v>-15.193</x:v>
      </x:c>
      <x:c r="AY549" s="64" t="n">
        <x:f>-ROUND(AK549*'Drivers'!X549,3)</x:f>
        <x:v>-41.639</x:v>
      </x:c>
      <x:c r="AZ549" s="64" t="n">
        <x:f>-ROUND(AK549*'Drivers'!Y549,3)</x:f>
        <x:v>-34.841</x:v>
      </x:c>
      <x:c r="BA549" s="64" t="n">
        <x:f>-ROUND(AK549*'Drivers'!Z549,3)</x:f>
        <x:v>-7.597</x:v>
      </x:c>
      <x:c r="BB549" s="64" t="n">
        <x:f>-ROUND(AK549*'Drivers'!AA549,3)</x:f>
        <x:v>-14.169</x:v>
      </x:c>
      <x:c r="BC549" s="64" t="n">
        <x:f>SUM(BA549,BB549)</x:f>
        <x:v>-21.766000000000002</x:v>
      </x:c>
      <x:c r="BD549" s="64" t="n">
        <x:f>-ROUND(AK549*'Drivers'!AB549,3)</x:f>
        <x:v>-5.581</x:v>
      </x:c>
      <x:c r="BE549" s="64" t="n">
        <x:f>SUM(AX549:BB549,BD549)</x:f>
        <x:v>-119.02</x:v>
      </x:c>
      <x:c r="BF549" s="67" t="n">
        <x:f>'Drivers'!AF549</x:f>
        <x:v>7</x:v>
      </x:c>
      <x:c r="BG549" s="64" t="n">
        <x:f>BJ549</x:f>
        <x:v>-39.793</x:v>
      </x:c>
      <x:c r="BH549" s="64" t="n">
        <x:f>BE549/BF549</x:f>
        <x:v>-17.002857142857142</x:v>
      </x:c>
      <x:c r="BI549" s="68" t="n">
        <x:f>BF549/L549</x:f>
        <x:v>1.75</x:v>
      </x:c>
      <x:c r="BJ549" s="64" t="n">
        <x:f>-ROUND(AK549*'Drivers'!AC549,3)</x:f>
        <x:v>-39.793</x:v>
      </x:c>
      <x:c r="BK549" s="64" t="n">
        <x:f>-ROUND(AK549*'Drivers'!AD549,3)</x:f>
        <x:v>-171.946</x:v>
      </x:c>
      <x:c r="BL549" s="64" t="n">
        <x:f>SUM(AV549,BE549,BJ549,BK549)</x:f>
        <x:v>374.22299999999996</x:v>
      </x:c>
      <x:c r="BM549" s="65" t="n">
        <x:f>BL549/AK549</x:f>
        <x:v>0.24046009745039287</x:v>
      </x:c>
      <x:c r="BN549" s="64" t="n">
        <x:f>-ROUND(AK549*'Drivers'!AE549,3)</x:f>
        <x:v>-107.799</x:v>
      </x:c>
      <x:c r="BO549" s="64" t="n">
        <x:f>BL549+BN549</x:f>
        <x:v>266.424</x:v>
      </x:c>
      <x:c r="BP549" s="65" t="n">
        <x:f>BO549/AK549</x:f>
        <x:v>0.1711929544766716</x:v>
      </x:c>
    </x:row>
    <x:row r="550">
      <x:c r="A550" s="61" t="n">
        <x:v>2025</x:v>
      </x:c>
      <x:c r="B550" s="18" t="str">
        <x:v>S1</x:v>
      </x:c>
      <x:c r="C550" s="18" t="str">
        <x:v>2025 S1</x:v>
      </x:c>
      <x:c r="D550" s="18" t="str">
        <x:v>CNCT0138</x:v>
      </x:c>
      <x:c r="E550" s="18" t="str">
        <x:v>沈阳中兴商业大厦</x:v>
      </x:c>
      <x:c r="F550" s="18" t="str">
        <x:v>沈阳</x:v>
      </x:c>
      <x:c r="G550" s="18" t="str">
        <x:v>辽宁省</x:v>
      </x:c>
      <x:c r="H550" s="18" t="str">
        <x:v>北区</x:v>
      </x:c>
      <x:c r="I550" s="18" t="str">
        <x:v>Department Store</x:v>
      </x:c>
      <x:c r="J550" s="18" t="str">
        <x:v>Core Shopping Center</x:v>
      </x:c>
      <x:c r="K550" s="18" t="str">
        <x:v>正常</x:v>
      </x:c>
      <x:c r="L550" s="62" t="n">
        <x:v>5</x:v>
      </x:c>
      <x:c r="M550" s="62" t="n">
        <x:v>36</x:v>
      </x:c>
      <x:c r="N550" s="63" t="n">
        <x:f>'Drivers'!C550</x:f>
        <x:v>1674</x:v>
      </x:c>
      <x:c r="O550" s="63" t="n">
        <x:f>'Drivers'!D550</x:f>
        <x:v>1080.502</x:v>
      </x:c>
      <x:c r="P550" s="64" t="n">
        <x:f>ROUND(N550*O550/1000,3)</x:f>
        <x:v>1808.76</x:v>
      </x:c>
      <x:c r="Q550" s="64" t="n">
        <x:f>ROUND(P550*'Drivers'!E550,3)</x:f>
        <x:v>1748.565</x:v>
      </x:c>
      <x:c r="R550" s="64" t="n">
        <x:f>-ROUND(Q550*'Drivers'!F550,3)</x:f>
        <x:v>-296.45</x:v>
      </x:c>
      <x:c r="S550" s="65" t="n">
        <x:f>R550/Q550</x:f>
        <x:v>-0.1695390219980384</x:v>
      </x:c>
      <x:c r="T550" s="64" t="n">
        <x:f>-ROUND(Q550*'Drivers'!G550,3)</x:f>
        <x:v>-27.564</x:v>
      </x:c>
      <x:c r="U550" s="65" t="n">
        <x:f>T550/Q550</x:f>
        <x:v>-0.015763783445282273</x:v>
      </x:c>
      <x:c r="V550" s="64" t="n">
        <x:f>-ROUND(Q550*'Drivers'!H550,3)</x:f>
        <x:v>-15.002</x:v>
      </x:c>
      <x:c r="W550" s="64" t="n">
        <x:f>-ROUND(Q550*'Drivers'!I550,3)</x:f>
        <x:v>-10.411</x:v>
      </x:c>
      <x:c r="X550" s="64" t="n">
        <x:f>-ROUND(Q550*'Drivers'!J550,3)</x:f>
        <x:v>-28.195</x:v>
      </x:c>
      <x:c r="Y550" s="64" t="n">
        <x:f>-ROUND(Q550*'Drivers'!K550,3)</x:f>
        <x:v>-22.396</x:v>
      </x:c>
      <x:c r="Z550" s="64" t="n">
        <x:f>-ROUND(Q550*'Drivers'!L550,3)</x:f>
        <x:v>-24.153</x:v>
      </x:c>
      <x:c r="AA550" s="64" t="n">
        <x:f>-ROUND(Q550*'Drivers'!M550,3)</x:f>
        <x:v>-11.22</x:v>
      </x:c>
      <x:c r="AB550" s="64" t="n">
        <x:f>-ROUND(Q550*'Drivers'!N550,3)</x:f>
        <x:v>-11.018</x:v>
      </x:c>
      <x:c r="AC550" s="64" t="n">
        <x:f>SUM(V550:AB550)</x:f>
        <x:v>-122.39500000000001</x:v>
      </x:c>
      <x:c r="AD550" s="65" t="n">
        <x:f>AC550/Q550</x:f>
        <x:v>-0.06999739786625032</x:v>
      </x:c>
      <x:c r="AE550" s="64" t="n">
        <x:f>-ROUND(Q550*'Drivers'!O550,3)</x:f>
        <x:v>-13.998</x:v>
      </x:c>
      <x:c r="AF550" s="65" t="n">
        <x:f>AE550/Q550</x:f>
        <x:v>-0.00800542158855976</x:v>
      </x:c>
      <x:c r="AG550" s="64" t="n">
        <x:f>-ROUND(Q550*'Drivers'!P550,3)</x:f>
        <x:v>-2.543</x:v>
      </x:c>
      <x:c r="AH550" s="64" t="n">
        <x:f>-ROUND(Q550*'Drivers'!Q550,3)</x:f>
        <x:v>-3.318</x:v>
      </x:c>
      <x:c r="AI550" s="64" t="n">
        <x:f>SUM(R550,T550,AC550,AE550,AG550,AH550)</x:f>
        <x:v>-466.268</x:v>
      </x:c>
      <x:c r="AJ550" s="65" t="n">
        <x:f>AI550/Q550</x:f>
        <x:v>-0.26665751630622825</x:v>
      </x:c>
      <x:c r="AK550" s="64" t="n">
        <x:f>Q550+AI550</x:f>
        <x:v>1282.297</x:v>
      </x:c>
      <x:c r="AL550" s="65" t="n">
        <x:f>AK550/Q550</x:f>
        <x:v>0.7333424836937718</x:v>
      </x:c>
      <x:c r="AM550" s="64" t="n">
        <x:f>AK550/L550</x:f>
        <x:v>256.4594</x:v>
      </x:c>
      <x:c r="AN550" s="66" t="str">
        <x:f>IF(AM550&lt;=200,"≤200K",IF(AM550&lt;=350,"200–350K",IF(AM550&lt;=500,"350–500K",IF(AM550&lt;=700,"500–700K","&gt;700K"))))</x:f>
        <x:v>200–350K</x:v>
      </x:c>
      <x:c r="AO550" s="64" t="n">
        <x:f>-ROUND(Q550*'Drivers'!R550,3)</x:f>
        <x:v>-657.481</x:v>
      </x:c>
      <x:c r="AP550" s="64" t="n">
        <x:f>-ROUND(AK550*'Drivers'!S550,3)</x:f>
        <x:v>-19.014</x:v>
      </x:c>
      <x:c r="AQ550" s="64" t="n">
        <x:f>-ROUND(AK550*'Drivers'!T550,3)</x:f>
        <x:v>-5.515</x:v>
      </x:c>
      <x:c r="AR550" s="64" t="n">
        <x:f>-ROUND(AK550*'Drivers'!U550,3)</x:f>
        <x:v>-13.944</x:v>
      </x:c>
      <x:c r="AS550" s="64" t="n">
        <x:f>-ROUND(AK550*'Drivers'!V550,3)</x:f>
        <x:v>-40.234</x:v>
      </x:c>
      <x:c r="AT550" s="64" t="n">
        <x:f>SUM(AO550:AS550)</x:f>
        <x:v>-736.188</x:v>
      </x:c>
      <x:c r="AU550" s="65" t="n">
        <x:f>AT550/AK550</x:f>
        <x:v>-0.5741166048115218</x:v>
      </x:c>
      <x:c r="AV550" s="64" t="n">
        <x:f>AK550+AT550</x:f>
        <x:v>546.109</x:v>
      </x:c>
      <x:c r="AW550" s="65" t="n">
        <x:f>AV550/AK550</x:f>
        <x:v>0.4258833951884782</x:v>
      </x:c>
      <x:c r="AX550" s="64" t="n">
        <x:f>-ROUND(AK550*'Drivers'!W550,3)</x:f>
        <x:v>-18.219</x:v>
      </x:c>
      <x:c r="AY550" s="64" t="n">
        <x:f>-ROUND(AK550*'Drivers'!X550,3)</x:f>
        <x:v>-32.296</x:v>
      </x:c>
      <x:c r="AZ550" s="64" t="n">
        <x:f>-ROUND(AK550*'Drivers'!Y550,3)</x:f>
        <x:v>-20.266</x:v>
      </x:c>
      <x:c r="BA550" s="64" t="n">
        <x:f>-ROUND(AK550*'Drivers'!Z550,3)</x:f>
        <x:v>-9.052</x:v>
      </x:c>
      <x:c r="BB550" s="64" t="n">
        <x:f>-ROUND(AK550*'Drivers'!AA550,3)</x:f>
        <x:v>-8.781</x:v>
      </x:c>
      <x:c r="BC550" s="64" t="n">
        <x:f>SUM(BA550,BB550)</x:f>
        <x:v>-17.833</x:v>
      </x:c>
      <x:c r="BD550" s="64" t="n">
        <x:f>-ROUND(AK550*'Drivers'!AB550,3)</x:f>
        <x:v>-9.074</x:v>
      </x:c>
      <x:c r="BE550" s="64" t="n">
        <x:f>SUM(AX550:BB550,BD550)</x:f>
        <x:v>-97.688</x:v>
      </x:c>
      <x:c r="BF550" s="67" t="n">
        <x:f>'Drivers'!AF550</x:f>
        <x:v>10</x:v>
      </x:c>
      <x:c r="BG550" s="64" t="n">
        <x:f>BJ550</x:f>
        <x:v>-29.644</x:v>
      </x:c>
      <x:c r="BH550" s="64" t="n">
        <x:f>BE550/BF550</x:f>
        <x:v>-9.7688</x:v>
      </x:c>
      <x:c r="BI550" s="68" t="n">
        <x:f>BF550/L550</x:f>
        <x:v>2</x:v>
      </x:c>
      <x:c r="BJ550" s="64" t="n">
        <x:f>-ROUND(AK550*'Drivers'!AC550,3)</x:f>
        <x:v>-29.644</x:v>
      </x:c>
      <x:c r="BK550" s="64" t="n">
        <x:f>-ROUND(AK550*'Drivers'!AD550,3)</x:f>
        <x:v>-103.968</x:v>
      </x:c>
      <x:c r="BL550" s="64" t="n">
        <x:f>SUM(AV550,BE550,BJ550,BK550)</x:f>
        <x:v>314.809</x:v>
      </x:c>
      <x:c r="BM550" s="65" t="n">
        <x:f>BL550/AK550</x:f>
        <x:v>0.24550396670974042</x:v>
      </x:c>
      <x:c r="BN550" s="64" t="n">
        <x:f>-ROUND(AK550*'Drivers'!AE550,3)</x:f>
        <x:v>-121.197</x:v>
      </x:c>
      <x:c r="BO550" s="64" t="n">
        <x:f>BL550+BN550</x:f>
        <x:v>193.61200000000002</x:v>
      </x:c>
      <x:c r="BP550" s="65" t="n">
        <x:f>BO550/AK550</x:f>
        <x:v>0.15098842155912398</x:v>
      </x:c>
    </x:row>
    <x:row r="551">
      <x:c r="A551" s="61" t="n">
        <x:v>2025</x:v>
      </x:c>
      <x:c r="B551" s="18" t="str">
        <x:v>S2</x:v>
      </x:c>
      <x:c r="C551" s="18" t="str">
        <x:v>2025 S2</x:v>
      </x:c>
      <x:c r="D551" s="18" t="str">
        <x:v>CNCT0138</x:v>
      </x:c>
      <x:c r="E551" s="18" t="str">
        <x:v>沈阳中兴商业大厦</x:v>
      </x:c>
      <x:c r="F551" s="18" t="str">
        <x:v>沈阳</x:v>
      </x:c>
      <x:c r="G551" s="18" t="str">
        <x:v>辽宁省</x:v>
      </x:c>
      <x:c r="H551" s="18" t="str">
        <x:v>北区</x:v>
      </x:c>
      <x:c r="I551" s="18" t="str">
        <x:v>Department Store</x:v>
      </x:c>
      <x:c r="J551" s="18" t="str">
        <x:v>Core Shopping Center</x:v>
      </x:c>
      <x:c r="K551" s="18" t="str">
        <x:v>正常</x:v>
      </x:c>
      <x:c r="L551" s="62" t="n">
        <x:v>5</x:v>
      </x:c>
      <x:c r="M551" s="62" t="n">
        <x:v>36</x:v>
      </x:c>
      <x:c r="N551" s="63" t="n">
        <x:f>'Drivers'!C551</x:f>
        <x:v>1789</x:v>
      </x:c>
      <x:c r="O551" s="63" t="n">
        <x:f>'Drivers'!D551</x:f>
        <x:v>1093.468</x:v>
      </x:c>
      <x:c r="P551" s="64" t="n">
        <x:f>ROUND(N551*O551/1000,3)</x:f>
        <x:v>1956.214</x:v>
      </x:c>
      <x:c r="Q551" s="64" t="n">
        <x:f>ROUND(P551*'Drivers'!E551,3)</x:f>
        <x:v>1888.191</x:v>
      </x:c>
      <x:c r="R551" s="64" t="n">
        <x:f>-ROUND(Q551*'Drivers'!F551,3)</x:f>
        <x:v>-320.122</x:v>
      </x:c>
      <x:c r="S551" s="65" t="n">
        <x:f>R551/Q551</x:f>
        <x:v>-0.16953899261250582</x:v>
      </x:c>
      <x:c r="T551" s="64" t="n">
        <x:f>-ROUND(Q551*'Drivers'!G551,3)</x:f>
        <x:v>-29.765</x:v>
      </x:c>
      <x:c r="U551" s="65" t="n">
        <x:f>T551/Q551</x:f>
        <x:v>-0.015763765424154655</x:v>
      </x:c>
      <x:c r="V551" s="64" t="n">
        <x:f>-ROUND(Q551*'Drivers'!H551,3)</x:f>
        <x:v>-16.2</x:v>
      </x:c>
      <x:c r="W551" s="64" t="n">
        <x:f>-ROUND(Q551*'Drivers'!I551,3)</x:f>
        <x:v>-11.243</x:v>
      </x:c>
      <x:c r="X551" s="64" t="n">
        <x:f>-ROUND(Q551*'Drivers'!J551,3)</x:f>
        <x:v>-30.446</x:v>
      </x:c>
      <x:c r="Y551" s="64" t="n">
        <x:f>-ROUND(Q551*'Drivers'!K551,3)</x:f>
        <x:v>-24.185</x:v>
      </x:c>
      <x:c r="Z551" s="64" t="n">
        <x:f>-ROUND(Q551*'Drivers'!L551,3)</x:f>
        <x:v>-26.081</x:v>
      </x:c>
      <x:c r="AA551" s="64" t="n">
        <x:f>-ROUND(Q551*'Drivers'!M551,3)</x:f>
        <x:v>-12.116</x:v>
      </x:c>
      <x:c r="AB551" s="64" t="n">
        <x:f>-ROUND(Q551*'Drivers'!N551,3)</x:f>
        <x:v>-11.898</x:v>
      </x:c>
      <x:c r="AC551" s="64" t="n">
        <x:f>SUM(V551:AB551)</x:f>
        <x:v>-132.169</x:v>
      </x:c>
      <x:c r="AD551" s="65" t="n">
        <x:f>AC551/Q551</x:f>
        <x:v>-0.06999768561549123</x:v>
      </x:c>
      <x:c r="AE551" s="64" t="n">
        <x:f>-ROUND(Q551*'Drivers'!O551,3)</x:f>
        <x:v>-15.115</x:v>
      </x:c>
      <x:c r="AF551" s="65" t="n">
        <x:f>AE551/Q551</x:f>
        <x:v>-0.008005016441662946</x:v>
      </x:c>
      <x:c r="AG551" s="64" t="n">
        <x:f>-ROUND(Q551*'Drivers'!P551,3)</x:f>
        <x:v>-2.746</x:v>
      </x:c>
      <x:c r="AH551" s="64" t="n">
        <x:f>-ROUND(Q551*'Drivers'!Q551,3)</x:f>
        <x:v>-3.583</x:v>
      </x:c>
      <x:c r="AI551" s="64" t="n">
        <x:f>SUM(R551,T551,AC551,AE551,AG551,AH551)</x:f>
        <x:v>-503.50000000000006</x:v>
      </x:c>
      <x:c r="AJ551" s="65" t="n">
        <x:f>AI551/Q551</x:f>
        <x:v>-0.26665734557573895</x:v>
      </x:c>
      <x:c r="AK551" s="64" t="n">
        <x:f>Q551+AI551</x:f>
        <x:v>1384.691</x:v>
      </x:c>
      <x:c r="AL551" s="65" t="n">
        <x:f>AK551/Q551</x:f>
        <x:v>0.7333426544242612</x:v>
      </x:c>
      <x:c r="AM551" s="64" t="n">
        <x:f>AK551/L551</x:f>
        <x:v>276.9382</x:v>
      </x:c>
      <x:c r="AN551" s="66" t="str">
        <x:f>IF(AM551&lt;=200,"≤200K",IF(AM551&lt;=350,"200–350K",IF(AM551&lt;=500,"350–500K",IF(AM551&lt;=700,"500–700K","&gt;700K"))))</x:f>
        <x:v>200–350K</x:v>
      </x:c>
      <x:c r="AO551" s="64" t="n">
        <x:f>-ROUND(Q551*'Drivers'!R551,3)</x:f>
        <x:v>-711.122</x:v>
      </x:c>
      <x:c r="AP551" s="64" t="n">
        <x:f>-ROUND(AK551*'Drivers'!S551,3)</x:f>
        <x:v>-20.532</x:v>
      </x:c>
      <x:c r="AQ551" s="64" t="n">
        <x:f>-ROUND(AK551*'Drivers'!T551,3)</x:f>
        <x:v>-5.956</x:v>
      </x:c>
      <x:c r="AR551" s="64" t="n">
        <x:f>-ROUND(AK551*'Drivers'!U551,3)</x:f>
        <x:v>-15.058</x:v>
      </x:c>
      <x:c r="AS551" s="64" t="n">
        <x:f>-ROUND(AK551*'Drivers'!V551,3)</x:f>
        <x:v>-43.447</x:v>
      </x:c>
      <x:c r="AT551" s="64" t="n">
        <x:f>SUM(AO551:AS551)</x:f>
        <x:v>-796.115</x:v>
      </x:c>
      <x:c r="AU551" s="65" t="n">
        <x:f>AT551/AK551</x:f>
        <x:v>-0.574940546302388</x:v>
      </x:c>
      <x:c r="AV551" s="64" t="n">
        <x:f>AK551+AT551</x:f>
        <x:v>588.576</x:v>
      </x:c>
      <x:c r="AW551" s="65" t="n">
        <x:f>AV551/AK551</x:f>
        <x:v>0.42505945369761194</x:v>
      </x:c>
      <x:c r="AX551" s="64" t="n">
        <x:f>-ROUND(AK551*'Drivers'!W551,3)</x:f>
        <x:v>-19.674</x:v>
      </x:c>
      <x:c r="AY551" s="64" t="n">
        <x:f>-ROUND(AK551*'Drivers'!X551,3)</x:f>
        <x:v>-34.875</x:v>
      </x:c>
      <x:c r="AZ551" s="64" t="n">
        <x:f>-ROUND(AK551*'Drivers'!Y551,3)</x:f>
        <x:v>-21.884</x:v>
      </x:c>
      <x:c r="BA551" s="64" t="n">
        <x:f>-ROUND(AK551*'Drivers'!Z551,3)</x:f>
        <x:v>-9.774</x:v>
      </x:c>
      <x:c r="BB551" s="64" t="n">
        <x:f>-ROUND(AK551*'Drivers'!AA551,3)</x:f>
        <x:v>-9.482</x:v>
      </x:c>
      <x:c r="BC551" s="64" t="n">
        <x:f>SUM(BA551,BB551)</x:f>
        <x:v>-19.256</x:v>
      </x:c>
      <x:c r="BD551" s="64" t="n">
        <x:f>-ROUND(AK551*'Drivers'!AB551,3)</x:f>
        <x:v>-9.799</x:v>
      </x:c>
      <x:c r="BE551" s="64" t="n">
        <x:f>SUM(AX551:BB551,BD551)</x:f>
        <x:v>-105.488</x:v>
      </x:c>
      <x:c r="BF551" s="67" t="n">
        <x:f>'Drivers'!AF551</x:f>
        <x:v>10</x:v>
      </x:c>
      <x:c r="BG551" s="64" t="n">
        <x:f>BJ551</x:f>
        <x:v>-32.011</x:v>
      </x:c>
      <x:c r="BH551" s="64" t="n">
        <x:f>BE551/BF551</x:f>
        <x:v>-10.5488</x:v>
      </x:c>
      <x:c r="BI551" s="68" t="n">
        <x:f>BF551/L551</x:f>
        <x:v>2</x:v>
      </x:c>
      <x:c r="BJ551" s="64" t="n">
        <x:f>-ROUND(AK551*'Drivers'!AC551,3)</x:f>
        <x:v>-32.011</x:v>
      </x:c>
      <x:c r="BK551" s="64" t="n">
        <x:f>-ROUND(AK551*'Drivers'!AD551,3)</x:f>
        <x:v>-112.27</x:v>
      </x:c>
      <x:c r="BL551" s="64" t="n">
        <x:f>SUM(AV551,BE551,BJ551,BK551)</x:f>
        <x:v>338.807</x:v>
      </x:c>
      <x:c r="BM551" s="65" t="n">
        <x:f>BL551/AK551</x:f>
        <x:v>0.24468058216598507</x:v>
      </x:c>
      <x:c r="BN551" s="64" t="n">
        <x:f>-ROUND(AK551*'Drivers'!AE551,3)</x:f>
        <x:v>-130.875</x:v>
      </x:c>
      <x:c r="BO551" s="64" t="n">
        <x:f>BL551+BN551</x:f>
        <x:v>207.93200000000002</x:v>
      </x:c>
      <x:c r="BP551" s="65" t="n">
        <x:f>BO551/AK551</x:f>
        <x:v>0.15016491043850216</x:v>
      </x:c>
    </x:row>
    <x:row r="552">
      <x:c r="A552" s="61" t="n">
        <x:v>2026</x:v>
      </x:c>
      <x:c r="B552" s="18" t="str">
        <x:v>S1</x:v>
      </x:c>
      <x:c r="C552" s="18" t="str">
        <x:v>2026 S1</x:v>
      </x:c>
      <x:c r="D552" s="18" t="str">
        <x:v>CNCT0138</x:v>
      </x:c>
      <x:c r="E552" s="18" t="str">
        <x:v>沈阳中兴商业大厦</x:v>
      </x:c>
      <x:c r="F552" s="18" t="str">
        <x:v>沈阳</x:v>
      </x:c>
      <x:c r="G552" s="18" t="str">
        <x:v>辽宁省</x:v>
      </x:c>
      <x:c r="H552" s="18" t="str">
        <x:v>北区</x:v>
      </x:c>
      <x:c r="I552" s="18" t="str">
        <x:v>Department Store</x:v>
      </x:c>
      <x:c r="J552" s="18" t="str">
        <x:v>Core Shopping Center</x:v>
      </x:c>
      <x:c r="K552" s="18" t="str">
        <x:v>正常</x:v>
      </x:c>
      <x:c r="L552" s="62" t="n">
        <x:v>5</x:v>
      </x:c>
      <x:c r="M552" s="62" t="n">
        <x:v>36</x:v>
      </x:c>
      <x:c r="N552" s="63" t="n">
        <x:f>'Drivers'!C552</x:f>
        <x:v>1660</x:v>
      </x:c>
      <x:c r="O552" s="63" t="n">
        <x:f>'Drivers'!D552</x:f>
        <x:v>1132.723</x:v>
      </x:c>
      <x:c r="P552" s="64" t="n">
        <x:f>ROUND(N552*O552/1000,3)</x:f>
        <x:v>1880.32</x:v>
      </x:c>
      <x:c r="Q552" s="64" t="n">
        <x:f>ROUND(P552*'Drivers'!E552,3)</x:f>
        <x:v>1816.224</x:v>
      </x:c>
      <x:c r="R552" s="64" t="n">
        <x:f>-ROUND(Q552*'Drivers'!F552,3)</x:f>
        <x:v>-315.388</x:v>
      </x:c>
      <x:c r="S552" s="65" t="n">
        <x:f>R552/Q552</x:f>
        <x:v>-0.1736503867364378</x:v>
      </x:c>
      <x:c r="T552" s="64" t="n">
        <x:f>-ROUND(Q552*'Drivers'!G552,3)</x:f>
        <x:v>-25.644</x:v>
      </x:c>
      <x:c r="U552" s="65" t="n">
        <x:f>T552/Q552</x:f>
        <x:v>-0.014119403773983826</x:v>
      </x:c>
      <x:c r="V552" s="64" t="n">
        <x:f>-ROUND(Q552*'Drivers'!H552,3)</x:f>
        <x:v>-15.582</x:v>
      </x:c>
      <x:c r="W552" s="64" t="n">
        <x:f>-ROUND(Q552*'Drivers'!I552,3)</x:f>
        <x:v>-10.814</x:v>
      </x:c>
      <x:c r="X552" s="64" t="n">
        <x:f>-ROUND(Q552*'Drivers'!J552,3)</x:f>
        <x:v>-29.286</x:v>
      </x:c>
      <x:c r="Y552" s="64" t="n">
        <x:f>-ROUND(Q552*'Drivers'!K552,3)</x:f>
        <x:v>-23.263</x:v>
      </x:c>
      <x:c r="Z552" s="64" t="n">
        <x:f>-ROUND(Q552*'Drivers'!L552,3)</x:f>
        <x:v>-25.087</x:v>
      </x:c>
      <x:c r="AA552" s="64" t="n">
        <x:f>-ROUND(Q552*'Drivers'!M552,3)</x:f>
        <x:v>-11.655</x:v>
      </x:c>
      <x:c r="AB552" s="64" t="n">
        <x:f>-ROUND(Q552*'Drivers'!N552,3)</x:f>
        <x:v>-11.444</x:v>
      </x:c>
      <x:c r="AC552" s="64" t="n">
        <x:f>SUM(V552:AB552)</x:f>
        <x:v>-127.13100000000001</x:v>
      </x:c>
      <x:c r="AD552" s="65" t="n">
        <x:f>AC552/Q552</x:f>
        <x:v>-0.06999742322532905</x:v>
      </x:c>
      <x:c r="AE552" s="64" t="n">
        <x:f>-ROUND(Q552*'Drivers'!O552,3)</x:f>
        <x:v>-12.63</x:v>
      </x:c>
      <x:c r="AF552" s="65" t="n">
        <x:f>AE552/Q552</x:f>
        <x:v>-0.00695398805433691</x:v>
      </x:c>
      <x:c r="AG552" s="64" t="n">
        <x:f>-ROUND(Q552*'Drivers'!P552,3)</x:f>
        <x:v>-2.642</x:v>
      </x:c>
      <x:c r="AH552" s="64" t="n">
        <x:f>-ROUND(Q552*'Drivers'!Q552,3)</x:f>
        <x:v>-3.447</x:v>
      </x:c>
      <x:c r="AI552" s="64" t="n">
        <x:f>SUM(R552,T552,AC552,AE552,AG552,AH552)</x:f>
        <x:v>-486.882</x:v>
      </x:c>
      <x:c r="AJ552" s="65" t="n">
        <x:f>AI552/Q552</x:f>
        <x:v>-0.26807376182673504</x:v>
      </x:c>
      <x:c r="AK552" s="64" t="n">
        <x:f>Q552+AI552</x:f>
        <x:v>1329.3419999999999</x:v>
      </x:c>
      <x:c r="AL552" s="65" t="n">
        <x:f>AK552/Q552</x:f>
        <x:v>0.731926238173265</x:v>
      </x:c>
      <x:c r="AM552" s="64" t="n">
        <x:f>AK552/L552</x:f>
        <x:v>265.86839999999995</x:v>
      </x:c>
      <x:c r="AN552" s="66" t="str">
        <x:f>IF(AM552&lt;=200,"≤200K",IF(AM552&lt;=350,"200–350K",IF(AM552&lt;=500,"350–500K",IF(AM552&lt;=700,"500–700K","&gt;700K"))))</x:f>
        <x:v>200–350K</x:v>
      </x:c>
      <x:c r="AO552" s="64" t="n">
        <x:f>-ROUND(Q552*'Drivers'!R552,3)</x:f>
        <x:v>-689.284</x:v>
      </x:c>
      <x:c r="AP552" s="64" t="n">
        <x:f>-ROUND(AK552*'Drivers'!S552,3)</x:f>
        <x:v>-19.711</x:v>
      </x:c>
      <x:c r="AQ552" s="64" t="n">
        <x:f>-ROUND(AK552*'Drivers'!T552,3)</x:f>
        <x:v>-5.718</x:v>
      </x:c>
      <x:c r="AR552" s="64" t="n">
        <x:f>-ROUND(AK552*'Drivers'!U552,3)</x:f>
        <x:v>-14.456</x:v>
      </x:c>
      <x:c r="AS552" s="64" t="n">
        <x:f>-ROUND(AK552*'Drivers'!V552,3)</x:f>
        <x:v>-41.71</x:v>
      </x:c>
      <x:c r="AT552" s="64" t="n">
        <x:f>SUM(AO552:AS552)</x:f>
        <x:v>-770.879</x:v>
      </x:c>
      <x:c r="AU552" s="65" t="n">
        <x:f>AT552/AK552</x:f>
        <x:v>-0.5798951661799597</x:v>
      </x:c>
      <x:c r="AV552" s="64" t="n">
        <x:f>AK552+AT552</x:f>
        <x:v>558.4629999999999</x:v>
      </x:c>
      <x:c r="AW552" s="65" t="n">
        <x:f>AV552/AK552</x:f>
        <x:v>0.4201048338200402</x:v>
      </x:c>
      <x:c r="AX552" s="64" t="n">
        <x:f>-ROUND(AK552*'Drivers'!W552,3)</x:f>
        <x:v>-23.24</x:v>
      </x:c>
      <x:c r="AY552" s="64" t="n">
        <x:f>-ROUND(AK552*'Drivers'!X552,3)</x:f>
        <x:v>-41.197</x:v>
      </x:c>
      <x:c r="AZ552" s="64" t="n">
        <x:f>-ROUND(AK552*'Drivers'!Y552,3)</x:f>
        <x:v>-25.851</x:v>
      </x:c>
      <x:c r="BA552" s="64" t="n">
        <x:f>-ROUND(AK552*'Drivers'!Z552,3)</x:f>
        <x:v>-11.546</x:v>
      </x:c>
      <x:c r="BB552" s="64" t="n">
        <x:f>-ROUND(AK552*'Drivers'!AA552,3)</x:f>
        <x:v>-11.201</x:v>
      </x:c>
      <x:c r="BC552" s="64" t="n">
        <x:f>SUM(BA552,BB552)</x:f>
        <x:v>-22.747</x:v>
      </x:c>
      <x:c r="BD552" s="64" t="n">
        <x:f>-ROUND(AK552*'Drivers'!AB552,3)</x:f>
        <x:v>-11.575</x:v>
      </x:c>
      <x:c r="BE552" s="64" t="n">
        <x:f>SUM(AX552:BB552,BD552)</x:f>
        <x:v>-124.61</x:v>
      </x:c>
      <x:c r="BF552" s="67" t="n">
        <x:f>'Drivers'!AF552</x:f>
        <x:v>10</x:v>
      </x:c>
      <x:c r="BG552" s="64" t="n">
        <x:f>BJ552</x:f>
        <x:v>-37.813</x:v>
      </x:c>
      <x:c r="BH552" s="64" t="n">
        <x:f>BE552/BF552</x:f>
        <x:v>-12.461</x:v>
      </x:c>
      <x:c r="BI552" s="68" t="n">
        <x:f>BF552/L552</x:f>
        <x:v>2</x:v>
      </x:c>
      <x:c r="BJ552" s="64" t="n">
        <x:f>-ROUND(AK552*'Drivers'!AC552,3)</x:f>
        <x:v>-37.813</x:v>
      </x:c>
      <x:c r="BK552" s="64" t="n">
        <x:f>-ROUND(AK552*'Drivers'!AD552,3)</x:f>
        <x:v>-107.783</x:v>
      </x:c>
      <x:c r="BL552" s="64" t="n">
        <x:f>SUM(AV552,BE552,BJ552,BK552)</x:f>
        <x:v>288.25699999999983</x:v>
      </x:c>
      <x:c r="BM552" s="65" t="n">
        <x:f>BL552/AK552</x:f>
        <x:v>0.2168418661262488</x:v>
      </x:c>
      <x:c r="BN552" s="64" t="n">
        <x:f>-ROUND(AK552*'Drivers'!AE552,3)</x:f>
        <x:v>-125.644</x:v>
      </x:c>
      <x:c r="BO552" s="64" t="n">
        <x:f>BL552+BN552</x:f>
        <x:v>162.61299999999983</x:v>
      </x:c>
      <x:c r="BP552" s="65" t="n">
        <x:f>BO552/AK552</x:f>
        <x:v>0.12232593267947589</x:v>
      </x:c>
    </x:row>
    <x:row r="553">
      <x:c r="A553" s="61" t="n">
        <x:v>2026</x:v>
      </x:c>
      <x:c r="B553" s="18" t="str">
        <x:v>S2</x:v>
      </x:c>
      <x:c r="C553" s="18" t="str">
        <x:v>2026 S2</x:v>
      </x:c>
      <x:c r="D553" s="18" t="str">
        <x:v>CNCT0138</x:v>
      </x:c>
      <x:c r="E553" s="18" t="str">
        <x:v>沈阳中兴商业大厦</x:v>
      </x:c>
      <x:c r="F553" s="18" t="str">
        <x:v>沈阳</x:v>
      </x:c>
      <x:c r="G553" s="18" t="str">
        <x:v>辽宁省</x:v>
      </x:c>
      <x:c r="H553" s="18" t="str">
        <x:v>北区</x:v>
      </x:c>
      <x:c r="I553" s="18" t="str">
        <x:v>Department Store</x:v>
      </x:c>
      <x:c r="J553" s="18" t="str">
        <x:v>Core Shopping Center</x:v>
      </x:c>
      <x:c r="K553" s="18" t="str">
        <x:v>装修</x:v>
      </x:c>
      <x:c r="L553" s="62" t="n">
        <x:v>4</x:v>
      </x:c>
      <x:c r="M553" s="62" t="n">
        <x:v>35</x:v>
      </x:c>
      <x:c r="N553" s="63" t="n">
        <x:f>'Drivers'!C553</x:f>
        <x:v>1162</x:v>
      </x:c>
      <x:c r="O553" s="63" t="n">
        <x:f>'Drivers'!D553</x:f>
        <x:v>1123.644</x:v>
      </x:c>
      <x:c r="P553" s="64" t="n">
        <x:f>ROUND(N553*O553/1000,3)</x:f>
        <x:v>1305.674</x:v>
      </x:c>
      <x:c r="Q553" s="64" t="n">
        <x:f>ROUND(P553*'Drivers'!E553,3)</x:f>
        <x:v>1260.272</x:v>
      </x:c>
      <x:c r="R553" s="64" t="n">
        <x:f>-ROUND(Q553*'Drivers'!F553,3)</x:f>
        <x:v>-213.838</x:v>
      </x:c>
      <x:c r="S553" s="65" t="n">
        <x:f>R553/Q553</x:f>
        <x:v>-0.16967606992776163</x:v>
      </x:c>
      <x:c r="T553" s="64" t="n">
        <x:f>-ROUND(Q553*'Drivers'!G553,3)</x:f>
        <x:v>-18.514</x:v>
      </x:c>
      <x:c r="U553" s="65" t="n">
        <x:f>T553/Q553</x:f>
        <x:v>-0.014690479515533155</x:v>
      </x:c>
      <x:c r="V553" s="64" t="n">
        <x:f>-ROUND(Q553*'Drivers'!H553,3)</x:f>
        <x:v>-10.812</x:v>
      </x:c>
      <x:c r="W553" s="64" t="n">
        <x:f>-ROUND(Q553*'Drivers'!I553,3)</x:f>
        <x:v>-7.504</x:v>
      </x:c>
      <x:c r="X553" s="64" t="n">
        <x:f>-ROUND(Q553*'Drivers'!J553,3)</x:f>
        <x:v>-20.321</x:v>
      </x:c>
      <x:c r="Y553" s="64" t="n">
        <x:f>-ROUND(Q553*'Drivers'!K553,3)</x:f>
        <x:v>-16.142</x:v>
      </x:c>
      <x:c r="Z553" s="64" t="n">
        <x:f>-ROUND(Q553*'Drivers'!L553,3)</x:f>
        <x:v>-17.408</x:v>
      </x:c>
      <x:c r="AA553" s="64" t="n">
        <x:f>-ROUND(Q553*'Drivers'!M553,3)</x:f>
        <x:v>-8.087</x:v>
      </x:c>
      <x:c r="AB553" s="64" t="n">
        <x:f>-ROUND(Q553*'Drivers'!N553,3)</x:f>
        <x:v>-7.941</x:v>
      </x:c>
      <x:c r="AC553" s="64" t="n">
        <x:f>SUM(V553:AB553)</x:f>
        <x:v>-88.215</x:v>
      </x:c>
      <x:c r="AD553" s="65" t="n">
        <x:f>AC553/Q553</x:f>
        <x:v>-0.06999679434280855</x:v>
      </x:c>
      <x:c r="AE553" s="64" t="n">
        <x:f>-ROUND(Q553*'Drivers'!O553,3)</x:f>
        <x:v>-10.089</x:v>
      </x:c>
      <x:c r="AF553" s="65" t="n">
        <x:f>AE553/Q553</x:f>
        <x:v>-0.008005414704127363</x:v>
      </x:c>
      <x:c r="AG553" s="64" t="n">
        <x:f>-ROUND(Q553*'Drivers'!P553,3)</x:f>
        <x:v>-1.833</x:v>
      </x:c>
      <x:c r="AH553" s="64" t="n">
        <x:f>-ROUND(Q553*'Drivers'!Q553,3)</x:f>
        <x:v>-2.392</x:v>
      </x:c>
      <x:c r="AI553" s="64" t="n">
        <x:f>SUM(R553,T553,AC553,AE553,AG553,AH553)</x:f>
        <x:v>-334.88100000000003</x:v>
      </x:c>
      <x:c r="AJ553" s="65" t="n">
        <x:f>AI553/Q553</x:f>
        <x:v>-0.2657212093897191</x:v>
      </x:c>
      <x:c r="AK553" s="64" t="n">
        <x:f>Q553+AI553</x:f>
        <x:v>925.3909999999998</x:v>
      </x:c>
      <x:c r="AL553" s="65" t="n">
        <x:f>AK553/Q553</x:f>
        <x:v>0.7342787906102809</x:v>
      </x:c>
      <x:c r="AM553" s="64" t="n">
        <x:f>AK553/L553</x:f>
        <x:v>231.34774999999996</x:v>
      </x:c>
      <x:c r="AN553" s="66" t="str">
        <x:f>IF(AM553&lt;=200,"≤200K",IF(AM553&lt;=350,"200–350K",IF(AM553&lt;=500,"350–500K",IF(AM553&lt;=700,"500–700K","&gt;700K"))))</x:f>
        <x:v>200–350K</x:v>
      </x:c>
      <x:c r="AO553" s="64" t="n">
        <x:f>-ROUND(Q553*'Drivers'!R553,3)</x:f>
        <x:v>-470.95</x:v>
      </x:c>
      <x:c r="AP553" s="64" t="n">
        <x:f>-ROUND(AK553*'Drivers'!S553,3)</x:f>
        <x:v>-13.721</x:v>
      </x:c>
      <x:c r="AQ553" s="64" t="n">
        <x:f>-ROUND(AK553*'Drivers'!T553,3)</x:f>
        <x:v>-3.98</x:v>
      </x:c>
      <x:c r="AR553" s="64" t="n">
        <x:f>-ROUND(AK553*'Drivers'!U553,3)</x:f>
        <x:v>-10.063</x:v>
      </x:c>
      <x:c r="AS553" s="64" t="n">
        <x:f>-ROUND(AK553*'Drivers'!V553,3)</x:f>
        <x:v>-29.035</x:v>
      </x:c>
      <x:c r="AT553" s="64" t="n">
        <x:f>SUM(AO553:AS553)</x:f>
        <x:v>-527.749</x:v>
      </x:c>
      <x:c r="AU553" s="65" t="n">
        <x:f>AT553/AK553</x:f>
        <x:v>-0.5702983927874813</x:v>
      </x:c>
      <x:c r="AV553" s="64" t="n">
        <x:f>AK553+AT553</x:f>
        <x:v>397.6419999999998</x:v>
      </x:c>
      <x:c r="AW553" s="65" t="n">
        <x:f>AV553/AK553</x:f>
        <x:v>0.4297016072125187</x:v>
      </x:c>
      <x:c r="AX553" s="64" t="n">
        <x:f>-ROUND(AK553*'Drivers'!W553,3)</x:f>
        <x:v>-13.937</x:v>
      </x:c>
      <x:c r="AY553" s="64" t="n">
        <x:f>-ROUND(AK553*'Drivers'!X553,3)</x:f>
        <x:v>-24.706</x:v>
      </x:c>
      <x:c r="AZ553" s="64" t="n">
        <x:f>-ROUND(AK553*'Drivers'!Y553,3)</x:f>
        <x:v>-15.503</x:v>
      </x:c>
      <x:c r="BA553" s="64" t="n">
        <x:f>-ROUND(AK553*'Drivers'!Z553,3)</x:f>
        <x:v>-6.924</x:v>
      </x:c>
      <x:c r="BB553" s="64" t="n">
        <x:f>-ROUND(AK553*'Drivers'!AA553,3)</x:f>
        <x:v>-9.74</x:v>
      </x:c>
      <x:c r="BC553" s="64" t="n">
        <x:f>SUM(BA553,BB553)</x:f>
        <x:v>-16.664</x:v>
      </x:c>
      <x:c r="BD553" s="64" t="n">
        <x:f>-ROUND(AK553*'Drivers'!AB553,3)</x:f>
        <x:v>-12.495</x:v>
      </x:c>
      <x:c r="BE553" s="64" t="n">
        <x:f>SUM(AX553:BB553,BD553)</x:f>
        <x:v>-83.305</x:v>
      </x:c>
      <x:c r="BF553" s="67" t="n">
        <x:f>'Drivers'!AF553</x:f>
        <x:v>10</x:v>
      </x:c>
      <x:c r="BG553" s="64" t="n">
        <x:f>BJ553</x:f>
        <x:v>-22.676</x:v>
      </x:c>
      <x:c r="BH553" s="64" t="n">
        <x:f>BE553/BF553</x:f>
        <x:v>-8.3305</x:v>
      </x:c>
      <x:c r="BI553" s="68" t="n">
        <x:f>BF553/L553</x:f>
        <x:v>2.5</x:v>
      </x:c>
      <x:c r="BJ553" s="64" t="n">
        <x:f>-ROUND(AK553*'Drivers'!AC553,3)</x:f>
        <x:v>-22.676</x:v>
      </x:c>
      <x:c r="BK553" s="64" t="n">
        <x:f>-ROUND(AK553*'Drivers'!AD553,3)</x:f>
        <x:v>-75.031</x:v>
      </x:c>
      <x:c r="BL553" s="64" t="n">
        <x:f>SUM(AV553,BE553,BJ553,BK553)</x:f>
        <x:v>216.62999999999982</x:v>
      </x:c>
      <x:c r="BM553" s="65" t="n">
        <x:f>BL553/AK553</x:f>
        <x:v>0.2340956417341425</x:v>
      </x:c>
      <x:c r="BN553" s="64" t="n">
        <x:f>-ROUND(AK553*'Drivers'!AE553,3)</x:f>
        <x:v>-87.464</x:v>
      </x:c>
      <x:c r="BO553" s="64" t="n">
        <x:f>BL553+BN553</x:f>
        <x:v>129.16599999999983</x:v>
      </x:c>
      <x:c r="BP553" s="65" t="n">
        <x:f>BO553/AK553</x:f>
        <x:v>0.13957991811029052</x:v>
      </x:c>
    </x:row>
    <x:row r="554">
      <x:c r="A554" s="61" t="n">
        <x:v>2025</x:v>
      </x:c>
      <x:c r="B554" s="18" t="str">
        <x:v>S1</x:v>
      </x:c>
      <x:c r="C554" s="18" t="str">
        <x:v>2025 S1</x:v>
      </x:c>
      <x:c r="D554" s="18" t="str">
        <x:v>CNCT0139</x:v>
      </x:c>
      <x:c r="E554" s="18" t="str">
        <x:v>沈阳恒隆市府广场</x:v>
      </x:c>
      <x:c r="F554" s="18" t="str">
        <x:v>沈阳</x:v>
      </x:c>
      <x:c r="G554" s="18" t="str">
        <x:v>辽宁省</x:v>
      </x:c>
      <x:c r="H554" s="18" t="str">
        <x:v>北区</x:v>
      </x:c>
      <x:c r="I554" s="18" t="str">
        <x:v>Shopping Mall</x:v>
      </x:c>
      <x:c r="J554" s="18" t="str">
        <x:v>Prestige Shopping Center</x:v>
      </x:c>
      <x:c r="K554" s="18" t="str">
        <x:v>正常</x:v>
      </x:c>
      <x:c r="L554" s="62" t="n">
        <x:v>4</x:v>
      </x:c>
      <x:c r="M554" s="62" t="n">
        <x:v>36</x:v>
      </x:c>
      <x:c r="N554" s="63" t="n">
        <x:f>'Drivers'!C554</x:f>
        <x:v>1625</x:v>
      </x:c>
      <x:c r="O554" s="63" t="n">
        <x:f>'Drivers'!D554</x:f>
        <x:v>1252.253</x:v>
      </x:c>
      <x:c r="P554" s="64" t="n">
        <x:f>ROUND(N554*O554/1000,3)</x:f>
        <x:v>2034.911</x:v>
      </x:c>
      <x:c r="Q554" s="64" t="n">
        <x:f>ROUND(P554*'Drivers'!E554,3)</x:f>
        <x:v>1962.952</x:v>
      </x:c>
      <x:c r="R554" s="64" t="n">
        <x:f>-ROUND(Q554*'Drivers'!F554,3)</x:f>
        <x:v>-422.344</x:v>
      </x:c>
      <x:c r="S554" s="65" t="n">
        <x:f>R554/Q554</x:f>
        <x:v>-0.21515757899327134</x:v>
      </x:c>
      <x:c r="T554" s="64" t="n">
        <x:f>-ROUND(Q554*'Drivers'!G554,3)</x:f>
        <x:v>-18.524</x:v>
      </x:c>
      <x:c r="U554" s="65" t="n">
        <x:f>T554/Q554</x:f>
        <x:v>-0.009436807420660312</x:v>
      </x:c>
      <x:c r="V554" s="64" t="n">
        <x:f>-ROUND(Q554*'Drivers'!H554,3)</x:f>
        <x:v>-18.418</x:v>
      </x:c>
      <x:c r="W554" s="64" t="n">
        <x:f>-ROUND(Q554*'Drivers'!I554,3)</x:f>
        <x:v>-17.741</x:v>
      </x:c>
      <x:c r="X554" s="64" t="n">
        <x:f>-ROUND(Q554*'Drivers'!J554,3)</x:f>
        <x:v>-28.904</x:v>
      </x:c>
      <x:c r="Y554" s="64" t="n">
        <x:f>-ROUND(Q554*'Drivers'!K554,3)</x:f>
        <x:v>-26.178</x:v>
      </x:c>
      <x:c r="Z554" s="64" t="n">
        <x:f>-ROUND(Q554*'Drivers'!L554,3)</x:f>
        <x:v>-18.418</x:v>
      </x:c>
      <x:c r="AA554" s="64" t="n">
        <x:f>-ROUND(Q554*'Drivers'!M554,3)</x:f>
        <x:v>-11.626</x:v>
      </x:c>
      <x:c r="AB554" s="64" t="n">
        <x:f>-ROUND(Q554*'Drivers'!N554,3)</x:f>
        <x:v>-9.852</x:v>
      </x:c>
      <x:c r="AC554" s="64" t="n">
        <x:f>SUM(V554:AB554)</x:f>
        <x:v>-131.137</x:v>
      </x:c>
      <x:c r="AD554" s="65" t="n">
        <x:f>AC554/Q554</x:f>
        <x:v>-0.06680601461472313</x:v>
      </x:c>
      <x:c r="AE554" s="64" t="n">
        <x:f>-ROUND(Q554*'Drivers'!O554,3)</x:f>
        <x:v>-13.851</x:v>
      </x:c>
      <x:c r="AF554" s="65" t="n">
        <x:f>AE554/Q554</x:f>
        <x:v>-0.0070562092195835665</x:v>
      </x:c>
      <x:c r="AG554" s="64" t="n">
        <x:f>-ROUND(Q554*'Drivers'!P554,3)</x:f>
        <x:v>-5.88</x:v>
      </x:c>
      <x:c r="AH554" s="64" t="n">
        <x:f>-ROUND(Q554*'Drivers'!Q554,3)</x:f>
        <x:v>-6.59</x:v>
      </x:c>
      <x:c r="AI554" s="64" t="n">
        <x:f>SUM(R554,T554,AC554,AE554,AG554,AH554)</x:f>
        <x:v>-598.326</x:v>
      </x:c>
      <x:c r="AJ554" s="65" t="n">
        <x:f>AI554/Q554</x:f>
        <x:v>-0.30480928723677403</x:v>
      </x:c>
      <x:c r="AK554" s="64" t="n">
        <x:f>Q554+AI554</x:f>
        <x:v>1364.626</x:v>
      </x:c>
      <x:c r="AL554" s="65" t="n">
        <x:f>AK554/Q554</x:f>
        <x:v>0.695190712763226</x:v>
      </x:c>
      <x:c r="AM554" s="64" t="n">
        <x:f>AK554/L554</x:f>
        <x:v>341.1565</x:v>
      </x:c>
      <x:c r="AN554" s="66" t="str">
        <x:f>IF(AM554&lt;=200,"≤200K",IF(AM554&lt;=350,"200–350K",IF(AM554&lt;=500,"350–500K",IF(AM554&lt;=700,"500–700K","&gt;700K"))))</x:f>
        <x:v>200–350K</x:v>
      </x:c>
      <x:c r="AO554" s="64" t="n">
        <x:f>-ROUND(Q554*'Drivers'!R554,3)</x:f>
        <x:v>-702.268</x:v>
      </x:c>
      <x:c r="AP554" s="64" t="n">
        <x:f>-ROUND(AK554*'Drivers'!S554,3)</x:f>
        <x:v>-22.097</x:v>
      </x:c>
      <x:c r="AQ554" s="64" t="n">
        <x:f>-ROUND(AK554*'Drivers'!T554,3)</x:f>
        <x:v>-7.379</x:v>
      </x:c>
      <x:c r="AR554" s="64" t="n">
        <x:f>-ROUND(AK554*'Drivers'!U554,3)</x:f>
        <x:v>-10.107</x:v>
      </x:c>
      <x:c r="AS554" s="64" t="n">
        <x:f>-ROUND(AK554*'Drivers'!V554,3)</x:f>
        <x:v>-45.439</x:v>
      </x:c>
      <x:c r="AT554" s="64" t="n">
        <x:f>SUM(AO554:AS554)</x:f>
        <x:v>-787.29</x:v>
      </x:c>
      <x:c r="AU554" s="65" t="n">
        <x:f>AT554/AK554</x:f>
        <x:v>-0.5769273046241241</x:v>
      </x:c>
      <x:c r="AV554" s="64" t="n">
        <x:f>AK554+AT554</x:f>
        <x:v>577.336</x:v>
      </x:c>
      <x:c r="AW554" s="65" t="n">
        <x:f>AV554/AK554</x:f>
        <x:v>0.4230726953758759</x:v>
      </x:c>
      <x:c r="AX554" s="64" t="n">
        <x:f>-ROUND(AK554*'Drivers'!W554,3)</x:f>
        <x:v>-14.819</x:v>
      </x:c>
      <x:c r="AY554" s="64" t="n">
        <x:f>-ROUND(AK554*'Drivers'!X554,3)</x:f>
        <x:v>-30.322</x:v>
      </x:c>
      <x:c r="AZ554" s="64" t="n">
        <x:f>-ROUND(AK554*'Drivers'!Y554,3)</x:f>
        <x:v>-28.45</x:v>
      </x:c>
      <x:c r="BA554" s="64" t="n">
        <x:f>-ROUND(AK554*'Drivers'!Z554,3)</x:f>
        <x:v>-7.482</x:v>
      </x:c>
      <x:c r="BB554" s="64" t="n">
        <x:f>-ROUND(AK554*'Drivers'!AA554,3)</x:f>
        <x:v>-10.683</x:v>
      </x:c>
      <x:c r="BC554" s="64" t="n">
        <x:f>SUM(BA554,BB554)</x:f>
        <x:v>-18.165</x:v>
      </x:c>
      <x:c r="BD554" s="64" t="n">
        <x:f>-ROUND(AK554*'Drivers'!AB554,3)</x:f>
        <x:v>-9.266</x:v>
      </x:c>
      <x:c r="BE554" s="64" t="n">
        <x:f>SUM(AX554:BB554,BD554)</x:f>
        <x:v>-101.022</x:v>
      </x:c>
      <x:c r="BF554" s="67" t="n">
        <x:f>'Drivers'!AF554</x:f>
        <x:v>6</x:v>
      </x:c>
      <x:c r="BG554" s="64" t="n">
        <x:f>BJ554</x:f>
        <x:v>-33.874</x:v>
      </x:c>
      <x:c r="BH554" s="64" t="n">
        <x:f>BE554/BF554</x:f>
        <x:v>-16.837</x:v>
      </x:c>
      <x:c r="BI554" s="68" t="n">
        <x:f>BF554/L554</x:f>
        <x:v>1.5</x:v>
      </x:c>
      <x:c r="BJ554" s="64" t="n">
        <x:f>-ROUND(AK554*'Drivers'!AC554,3)</x:f>
        <x:v>-33.874</x:v>
      </x:c>
      <x:c r="BK554" s="64" t="n">
        <x:f>-ROUND(AK554*'Drivers'!AD554,3)</x:f>
        <x:v>-131.487</x:v>
      </x:c>
      <x:c r="BL554" s="64" t="n">
        <x:f>SUM(AV554,BE554,BJ554,BK554)</x:f>
        <x:v>310.953</x:v>
      </x:c>
      <x:c r="BM554" s="65" t="n">
        <x:f>BL554/AK554</x:f>
        <x:v>0.22786682944630982</x:v>
      </x:c>
      <x:c r="BN554" s="64" t="n">
        <x:f>-ROUND(AK554*'Drivers'!AE554,3)</x:f>
        <x:v>-108.55</x:v>
      </x:c>
      <x:c r="BO554" s="64" t="n">
        <x:f>BL554+BN554</x:f>
        <x:v>202.40299999999996</x:v>
      </x:c>
      <x:c r="BP554" s="65" t="n">
        <x:f>BO554/AK554</x:f>
        <x:v>0.14832122500963632</x:v>
      </x:c>
    </x:row>
    <x:row r="555">
      <x:c r="A555" s="61" t="n">
        <x:v>2025</x:v>
      </x:c>
      <x:c r="B555" s="18" t="str">
        <x:v>S2</x:v>
      </x:c>
      <x:c r="C555" s="18" t="str">
        <x:v>2025 S2</x:v>
      </x:c>
      <x:c r="D555" s="18" t="str">
        <x:v>CNCT0139</x:v>
      </x:c>
      <x:c r="E555" s="18" t="str">
        <x:v>沈阳恒隆市府广场</x:v>
      </x:c>
      <x:c r="F555" s="18" t="str">
        <x:v>沈阳</x:v>
      </x:c>
      <x:c r="G555" s="18" t="str">
        <x:v>辽宁省</x:v>
      </x:c>
      <x:c r="H555" s="18" t="str">
        <x:v>北区</x:v>
      </x:c>
      <x:c r="I555" s="18" t="str">
        <x:v>Shopping Mall</x:v>
      </x:c>
      <x:c r="J555" s="18" t="str">
        <x:v>Prestige Shopping Center</x:v>
      </x:c>
      <x:c r="K555" s="18" t="str">
        <x:v>正常</x:v>
      </x:c>
      <x:c r="L555" s="62" t="n">
        <x:v>4</x:v>
      </x:c>
      <x:c r="M555" s="62" t="n">
        <x:v>36</x:v>
      </x:c>
      <x:c r="N555" s="63" t="n">
        <x:f>'Drivers'!C555</x:f>
        <x:v>1718</x:v>
      </x:c>
      <x:c r="O555" s="63" t="n">
        <x:f>'Drivers'!D555</x:f>
        <x:v>1267.281</x:v>
      </x:c>
      <x:c r="P555" s="64" t="n">
        <x:f>ROUND(N555*O555/1000,3)</x:f>
        <x:v>2177.189</x:v>
      </x:c>
      <x:c r="Q555" s="64" t="n">
        <x:f>ROUND(P555*'Drivers'!E555,3)</x:f>
        <x:v>2094.001</x:v>
      </x:c>
      <x:c r="R555" s="64" t="n">
        <x:f>-ROUND(Q555*'Drivers'!F555,3)</x:f>
        <x:v>-450.54</x:v>
      </x:c>
      <x:c r="S555" s="65" t="n">
        <x:f>R555/Q555</x:f>
        <x:v>-0.2151574903736913</x:v>
      </x:c>
      <x:c r="T555" s="64" t="n">
        <x:f>-ROUND(Q555*'Drivers'!G555,3)</x:f>
        <x:v>-19.761</x:v>
      </x:c>
      <x:c r="U555" s="65" t="n">
        <x:f>T555/Q555</x:f>
        <x:v>-0.009436958244050503</x:v>
      </x:c>
      <x:c r="V555" s="64" t="n">
        <x:f>-ROUND(Q555*'Drivers'!H555,3)</x:f>
        <x:v>-19.648</x:v>
      </x:c>
      <x:c r="W555" s="64" t="n">
        <x:f>-ROUND(Q555*'Drivers'!I555,3)</x:f>
        <x:v>-18.925</x:v>
      </x:c>
      <x:c r="X555" s="64" t="n">
        <x:f>-ROUND(Q555*'Drivers'!J555,3)</x:f>
        <x:v>-30.833</x:v>
      </x:c>
      <x:c r="Y555" s="64" t="n">
        <x:f>-ROUND(Q555*'Drivers'!K555,3)</x:f>
        <x:v>-27.926</x:v>
      </x:c>
      <x:c r="Z555" s="64" t="n">
        <x:f>-ROUND(Q555*'Drivers'!L555,3)</x:f>
        <x:v>-19.648</x:v>
      </x:c>
      <x:c r="AA555" s="64" t="n">
        <x:f>-ROUND(Q555*'Drivers'!M555,3)</x:f>
        <x:v>-12.402</x:v>
      </x:c>
      <x:c r="AB555" s="64" t="n">
        <x:f>-ROUND(Q555*'Drivers'!N555,3)</x:f>
        <x:v>-10.51</x:v>
      </x:c>
      <x:c r="AC555" s="64" t="n">
        <x:f>SUM(V555:AB555)</x:f>
        <x:v>-139.892</x:v>
      </x:c>
      <x:c r="AD555" s="65" t="n">
        <x:f>AC555/Q555</x:f>
        <x:v>-0.06680608079938834</x:v>
      </x:c>
      <x:c r="AE555" s="64" t="n">
        <x:f>-ROUND(Q555*'Drivers'!O555,3)</x:f>
        <x:v>-14.776</x:v>
      </x:c>
      <x:c r="AF555" s="65" t="n">
        <x:f>AE555/Q555</x:f>
        <x:v>-0.007056348110626498</x:v>
      </x:c>
      <x:c r="AG555" s="64" t="n">
        <x:f>-ROUND(Q555*'Drivers'!P555,3)</x:f>
        <x:v>-6.273</x:v>
      </x:c>
      <x:c r="AH555" s="64" t="n">
        <x:f>-ROUND(Q555*'Drivers'!Q555,3)</x:f>
        <x:v>-7.03</x:v>
      </x:c>
      <x:c r="AI555" s="64" t="n">
        <x:f>SUM(R555,T555,AC555,AE555,AG555,AH555)</x:f>
        <x:v>-638.2719999999999</x:v>
      </x:c>
      <x:c r="AJ555" s="65" t="n">
        <x:f>AI555/Q555</x:f>
        <x:v>-0.30480978757889793</x:v>
      </x:c>
      <x:c r="AK555" s="64" t="n">
        <x:f>Q555+AI555</x:f>
        <x:v>1455.7290000000003</x:v>
      </x:c>
      <x:c r="AL555" s="65" t="n">
        <x:f>AK555/Q555</x:f>
        <x:v>0.695190212421102</x:v>
      </x:c>
      <x:c r="AM555" s="64" t="n">
        <x:f>AK555/L555</x:f>
        <x:v>363.93225000000007</x:v>
      </x:c>
      <x:c r="AN555" s="66" t="str">
        <x:f>IF(AM555&lt;=200,"≤200K",IF(AM555&lt;=350,"200–350K",IF(AM555&lt;=500,"350–500K",IF(AM555&lt;=700,"500–700K","&gt;700K"))))</x:f>
        <x:v>350–500K</x:v>
      </x:c>
      <x:c r="AO555" s="64" t="n">
        <x:f>-ROUND(Q555*'Drivers'!R555,3)</x:f>
        <x:v>-756.137</x:v>
      </x:c>
      <x:c r="AP555" s="64" t="n">
        <x:f>-ROUND(AK555*'Drivers'!S555,3)</x:f>
        <x:v>-23.573</x:v>
      </x:c>
      <x:c r="AQ555" s="64" t="n">
        <x:f>-ROUND(AK555*'Drivers'!T555,3)</x:f>
        <x:v>-7.872</x:v>
      </x:c>
      <x:c r="AR555" s="64" t="n">
        <x:f>-ROUND(AK555*'Drivers'!U555,3)</x:f>
        <x:v>-10.781</x:v>
      </x:c>
      <x:c r="AS555" s="64" t="n">
        <x:f>-ROUND(AK555*'Drivers'!V555,3)</x:f>
        <x:v>-48.472</x:v>
      </x:c>
      <x:c r="AT555" s="64" t="n">
        <x:f>SUM(AO555:AS555)</x:f>
        <x:v>-846.8349999999998</x:v>
      </x:c>
      <x:c r="AU555" s="65" t="n">
        <x:f>AT555/AK555</x:f>
        <x:v>-0.5817257195535706</x:v>
      </x:c>
      <x:c r="AV555" s="64" t="n">
        <x:f>AK555+AT555</x:f>
        <x:v>608.8940000000005</x:v>
      </x:c>
      <x:c r="AW555" s="65" t="n">
        <x:f>AV555/AK555</x:f>
        <x:v>0.4182742804464295</x:v>
      </x:c>
      <x:c r="AX555" s="64" t="n">
        <x:f>-ROUND(AK555*'Drivers'!W555,3)</x:f>
        <x:v>-15.808</x:v>
      </x:c>
      <x:c r="AY555" s="64" t="n">
        <x:f>-ROUND(AK555*'Drivers'!X555,3)</x:f>
        <x:v>-32.346</x:v>
      </x:c>
      <x:c r="AZ555" s="64" t="n">
        <x:f>-ROUND(AK555*'Drivers'!Y555,3)</x:f>
        <x:v>-30.349</x:v>
      </x:c>
      <x:c r="BA555" s="64" t="n">
        <x:f>-ROUND(AK555*'Drivers'!Z555,3)</x:f>
        <x:v>-7.981</x:v>
      </x:c>
      <x:c r="BB555" s="64" t="n">
        <x:f>-ROUND(AK555*'Drivers'!AA555,3)</x:f>
        <x:v>-11.396</x:v>
      </x:c>
      <x:c r="BC555" s="64" t="n">
        <x:f>SUM(BA555,BB555)</x:f>
        <x:v>-19.377000000000002</x:v>
      </x:c>
      <x:c r="BD555" s="64" t="n">
        <x:f>-ROUND(AK555*'Drivers'!AB555,3)</x:f>
        <x:v>-9.884</x:v>
      </x:c>
      <x:c r="BE555" s="64" t="n">
        <x:f>SUM(AX555:BB555,BD555)</x:f>
        <x:v>-107.764</x:v>
      </x:c>
      <x:c r="BF555" s="67" t="n">
        <x:f>'Drivers'!AF555</x:f>
        <x:v>6</x:v>
      </x:c>
      <x:c r="BG555" s="64" t="n">
        <x:f>BJ555</x:f>
        <x:v>-36.136</x:v>
      </x:c>
      <x:c r="BH555" s="64" t="n">
        <x:f>BE555/BF555</x:f>
        <x:v>-17.960666666666665</x:v>
      </x:c>
      <x:c r="BI555" s="68" t="n">
        <x:f>BF555/L555</x:f>
        <x:v>1.5</x:v>
      </x:c>
      <x:c r="BJ555" s="64" t="n">
        <x:f>-ROUND(AK555*'Drivers'!AC555,3)</x:f>
        <x:v>-36.136</x:v>
      </x:c>
      <x:c r="BK555" s="64" t="n">
        <x:f>-ROUND(AK555*'Drivers'!AD555,3)</x:f>
        <x:v>-140.265</x:v>
      </x:c>
      <x:c r="BL555" s="64" t="n">
        <x:f>SUM(AV555,BE555,BJ555,BK555)</x:f>
        <x:v>324.72900000000044</x:v>
      </x:c>
      <x:c r="BM555" s="65" t="n">
        <x:f>BL555/AK555</x:f>
        <x:v>0.22306967849098314</x:v>
      </x:c>
      <x:c r="BN555" s="64" t="n">
        <x:f>-ROUND(AK555*'Drivers'!AE555,3)</x:f>
        <x:v>-115.797</x:v>
      </x:c>
      <x:c r="BO555" s="64" t="n">
        <x:f>BL555+BN555</x:f>
        <x:v>208.93200000000044</x:v>
      </x:c>
      <x:c r="BP555" s="65" t="n">
        <x:f>BO555/AK555</x:f>
        <x:v>0.14352396634263687</x:v>
      </x:c>
    </x:row>
    <x:row r="556">
      <x:c r="A556" s="61" t="n">
        <x:v>2026</x:v>
      </x:c>
      <x:c r="B556" s="18" t="str">
        <x:v>S1</x:v>
      </x:c>
      <x:c r="C556" s="18" t="str">
        <x:v>2026 S1</x:v>
      </x:c>
      <x:c r="D556" s="18" t="str">
        <x:v>CNCT0139</x:v>
      </x:c>
      <x:c r="E556" s="18" t="str">
        <x:v>沈阳恒隆市府广场</x:v>
      </x:c>
      <x:c r="F556" s="18" t="str">
        <x:v>沈阳</x:v>
      </x:c>
      <x:c r="G556" s="18" t="str">
        <x:v>辽宁省</x:v>
      </x:c>
      <x:c r="H556" s="18" t="str">
        <x:v>北区</x:v>
      </x:c>
      <x:c r="I556" s="18" t="str">
        <x:v>Shopping Mall</x:v>
      </x:c>
      <x:c r="J556" s="18" t="str">
        <x:v>Prestige Shopping Center</x:v>
      </x:c>
      <x:c r="K556" s="18" t="str">
        <x:v>正常</x:v>
      </x:c>
      <x:c r="L556" s="62" t="n">
        <x:v>4</x:v>
      </x:c>
      <x:c r="M556" s="62" t="n">
        <x:v>36</x:v>
      </x:c>
      <x:c r="N556" s="63" t="n">
        <x:f>'Drivers'!C556</x:f>
        <x:v>1704</x:v>
      </x:c>
      <x:c r="O556" s="63" t="n">
        <x:f>'Drivers'!D556</x:f>
        <x:v>1296.233</x:v>
      </x:c>
      <x:c r="P556" s="64" t="n">
        <x:f>ROUND(N556*O556/1000,3)</x:f>
        <x:v>2208.781</x:v>
      </x:c>
      <x:c r="Q556" s="64" t="n">
        <x:f>ROUND(P556*'Drivers'!E556,3)</x:f>
        <x:v>2132.176</x:v>
      </x:c>
      <x:c r="R556" s="64" t="n">
        <x:f>-ROUND(Q556*'Drivers'!F556,3)</x:f>
        <x:v>-455.765</x:v>
      </x:c>
      <x:c r="S556" s="65" t="n">
        <x:f>R556/Q556</x:f>
        <x:v>-0.21375580627490415</x:v>
      </x:c>
      <x:c r="T556" s="64" t="n">
        <x:f>-ROUND(Q556*'Drivers'!G556,3)</x:f>
        <x:v>-23.074</x:v>
      </x:c>
      <x:c r="U556" s="65" t="n">
        <x:f>T556/Q556</x:f>
        <x:v>-0.010821808331019579</x:v>
      </x:c>
      <x:c r="V556" s="64" t="n">
        <x:f>-ROUND(Q556*'Drivers'!H556,3)</x:f>
        <x:v>-20.006</x:v>
      </x:c>
      <x:c r="W556" s="64" t="n">
        <x:f>-ROUND(Q556*'Drivers'!I556,3)</x:f>
        <x:v>-19.27</x:v>
      </x:c>
      <x:c r="X556" s="64" t="n">
        <x:f>-ROUND(Q556*'Drivers'!J556,3)</x:f>
        <x:v>-31.395</x:v>
      </x:c>
      <x:c r="Y556" s="64" t="n">
        <x:f>-ROUND(Q556*'Drivers'!K556,3)</x:f>
        <x:v>-28.435</x:v>
      </x:c>
      <x:c r="Z556" s="64" t="n">
        <x:f>-ROUND(Q556*'Drivers'!L556,3)</x:f>
        <x:v>-20.006</x:v>
      </x:c>
      <x:c r="AA556" s="64" t="n">
        <x:f>-ROUND(Q556*'Drivers'!M556,3)</x:f>
        <x:v>-12.628</x:v>
      </x:c>
      <x:c r="AB556" s="64" t="n">
        <x:f>-ROUND(Q556*'Drivers'!N556,3)</x:f>
        <x:v>-10.702</x:v>
      </x:c>
      <x:c r="AC556" s="64" t="n">
        <x:f>SUM(V556:AB556)</x:f>
        <x:v>-142.442</x:v>
      </x:c>
      <x:c r="AD556" s="65" t="n">
        <x:f>AC556/Q556</x:f>
        <x:v>-0.06680592971687141</x:v>
      </x:c>
      <x:c r="AE556" s="64" t="n">
        <x:f>-ROUND(Q556*'Drivers'!O556,3)</x:f>
        <x:v>-11.712</x:v>
      </x:c>
      <x:c r="AF556" s="65" t="n">
        <x:f>AE556/Q556</x:f>
        <x:v>-0.005492979941618328</x:v>
      </x:c>
      <x:c r="AG556" s="64" t="n">
        <x:f>-ROUND(Q556*'Drivers'!P556,3)</x:f>
        <x:v>-6.387</x:v>
      </x:c>
      <x:c r="AH556" s="64" t="n">
        <x:f>-ROUND(Q556*'Drivers'!Q556,3)</x:f>
        <x:v>-7.159</x:v>
      </x:c>
      <x:c r="AI556" s="64" t="n">
        <x:f>SUM(R556,T556,AC556,AE556,AG556,AH556)</x:f>
        <x:v>-646.5389999999999</x:v>
      </x:c>
      <x:c r="AJ556" s="65" t="n">
        <x:f>AI556/Q556</x:f>
        <x:v>-0.3032296583396492</x:v>
      </x:c>
      <x:c r="AK556" s="64" t="n">
        <x:f>Q556+AI556</x:f>
        <x:v>1485.6370000000002</x:v>
      </x:c>
      <x:c r="AL556" s="65" t="n">
        <x:f>AK556/Q556</x:f>
        <x:v>0.6967703416603508</x:v>
      </x:c>
      <x:c r="AM556" s="64" t="n">
        <x:f>AK556/L556</x:f>
        <x:v>371.40925000000004</x:v>
      </x:c>
      <x:c r="AN556" s="66" t="str">
        <x:f>IF(AM556&lt;=200,"≤200K",IF(AM556&lt;=350,"200–350K",IF(AM556&lt;=500,"350–500K",IF(AM556&lt;=700,"500–700K","&gt;700K"))))</x:f>
        <x:v>350–500K</x:v>
      </x:c>
      <x:c r="AO556" s="64" t="n">
        <x:f>-ROUND(Q556*'Drivers'!R556,3)</x:f>
        <x:v>-764.042</x:v>
      </x:c>
      <x:c r="AP556" s="64" t="n">
        <x:f>-ROUND(AK556*'Drivers'!S556,3)</x:f>
        <x:v>-24.057</x:v>
      </x:c>
      <x:c r="AQ556" s="64" t="n">
        <x:f>-ROUND(AK556*'Drivers'!T556,3)</x:f>
        <x:v>-8.033</x:v>
      </x:c>
      <x:c r="AR556" s="64" t="n">
        <x:f>-ROUND(AK556*'Drivers'!U556,3)</x:f>
        <x:v>-11.003</x:v>
      </x:c>
      <x:c r="AS556" s="64" t="n">
        <x:f>-ROUND(AK556*'Drivers'!V556,3)</x:f>
        <x:v>-49.468</x:v>
      </x:c>
      <x:c r="AT556" s="64" t="n">
        <x:f>SUM(AO556:AS556)</x:f>
        <x:v>-856.6030000000001</x:v>
      </x:c>
      <x:c r="AU556" s="65" t="n">
        <x:f>AT556/AK556</x:f>
        <x:v>-0.5765897052914002</x:v>
      </x:c>
      <x:c r="AV556" s="64" t="n">
        <x:f>AK556+AT556</x:f>
        <x:v>629.0340000000001</x:v>
      </x:c>
      <x:c r="AW556" s="65" t="n">
        <x:f>AV556/AK556</x:f>
        <x:v>0.42341029470859975</x:v>
      </x:c>
      <x:c r="AX556" s="64" t="n">
        <x:f>-ROUND(AK556*'Drivers'!W556,3)</x:f>
        <x:v>-19.851</x:v>
      </x:c>
      <x:c r="AY556" s="64" t="n">
        <x:f>-ROUND(AK556*'Drivers'!X556,3)</x:f>
        <x:v>-40.618</x:v>
      </x:c>
      <x:c r="AZ556" s="64" t="n">
        <x:f>-ROUND(AK556*'Drivers'!Y556,3)</x:f>
        <x:v>-38.11</x:v>
      </x:c>
      <x:c r="BA556" s="64" t="n">
        <x:f>-ROUND(AK556*'Drivers'!Z556,3)</x:f>
        <x:v>-10.022</x:v>
      </x:c>
      <x:c r="BB556" s="64" t="n">
        <x:f>-ROUND(AK556*'Drivers'!AA556,3)</x:f>
        <x:v>-14.31</x:v>
      </x:c>
      <x:c r="BC556" s="64" t="n">
        <x:f>SUM(BA556,BB556)</x:f>
        <x:v>-24.332</x:v>
      </x:c>
      <x:c r="BD556" s="64" t="n">
        <x:f>-ROUND(AK556*'Drivers'!AB556,3)</x:f>
        <x:v>-12.412</x:v>
      </x:c>
      <x:c r="BE556" s="64" t="n">
        <x:f>SUM(AX556:BB556,BD556)</x:f>
        <x:v>-135.323</x:v>
      </x:c>
      <x:c r="BF556" s="67" t="n">
        <x:f>'Drivers'!AF556</x:f>
        <x:v>6</x:v>
      </x:c>
      <x:c r="BG556" s="64" t="n">
        <x:f>BJ556</x:f>
        <x:v>-45.377</x:v>
      </x:c>
      <x:c r="BH556" s="64" t="n">
        <x:f>BE556/BF556</x:f>
        <x:v>-22.553833333333333</x:v>
      </x:c>
      <x:c r="BI556" s="68" t="n">
        <x:f>BF556/L556</x:f>
        <x:v>1.5</x:v>
      </x:c>
      <x:c r="BJ556" s="64" t="n">
        <x:f>-ROUND(AK556*'Drivers'!AC556,3)</x:f>
        <x:v>-45.377</x:v>
      </x:c>
      <x:c r="BK556" s="64" t="n">
        <x:f>-ROUND(AK556*'Drivers'!AD556,3)</x:f>
        <x:v>-143.147</x:v>
      </x:c>
      <x:c r="BL556" s="64" t="n">
        <x:f>SUM(AV556,BE556,BJ556,BK556)</x:f>
        <x:v>305.1870000000001</x:v>
      </x:c>
      <x:c r="BM556" s="65" t="n">
        <x:f>BL556/AK556</x:f>
        <x:v>0.20542501297423266</x:v>
      </x:c>
      <x:c r="BN556" s="64" t="n">
        <x:f>-ROUND(AK556*'Drivers'!AE556,3)</x:f>
        <x:v>-118.176</x:v>
      </x:c>
      <x:c r="BO556" s="64" t="n">
        <x:f>BL556+BN556</x:f>
        <x:v>187.01100000000014</x:v>
      </x:c>
      <x:c r="BP556" s="65" t="n">
        <x:f>BO556/AK556</x:f>
        <x:v>0.12587933660779863</x:v>
      </x:c>
    </x:row>
    <x:row r="557">
      <x:c r="A557" s="61" t="n">
        <x:v>2026</x:v>
      </x:c>
      <x:c r="B557" s="18" t="str">
        <x:v>S2</x:v>
      </x:c>
      <x:c r="C557" s="18" t="str">
        <x:v>2026 S2</x:v>
      </x:c>
      <x:c r="D557" s="18" t="str">
        <x:v>CNCT0139</x:v>
      </x:c>
      <x:c r="E557" s="18" t="str">
        <x:v>沈阳恒隆市府广场</x:v>
      </x:c>
      <x:c r="F557" s="18" t="str">
        <x:v>沈阳</x:v>
      </x:c>
      <x:c r="G557" s="18" t="str">
        <x:v>辽宁省</x:v>
      </x:c>
      <x:c r="H557" s="18" t="str">
        <x:v>北区</x:v>
      </x:c>
      <x:c r="I557" s="18" t="str">
        <x:v>Shopping Mall</x:v>
      </x:c>
      <x:c r="J557" s="18" t="str">
        <x:v>Prestige Shopping Center</x:v>
      </x:c>
      <x:c r="K557" s="18" t="str">
        <x:v>正常</x:v>
      </x:c>
      <x:c r="L557" s="62" t="n">
        <x:v>4</x:v>
      </x:c>
      <x:c r="M557" s="62" t="n">
        <x:v>35</x:v>
      </x:c>
      <x:c r="N557" s="63" t="n">
        <x:f>'Drivers'!C557</x:f>
        <x:v>1785</x:v>
      </x:c>
      <x:c r="O557" s="63" t="n">
        <x:f>'Drivers'!D557</x:f>
        <x:v>1325.636</x:v>
      </x:c>
      <x:c r="P557" s="64" t="n">
        <x:f>ROUND(N557*O557/1000,3)</x:f>
        <x:v>2366.26</x:v>
      </x:c>
      <x:c r="Q557" s="64" t="n">
        <x:f>ROUND(P557*'Drivers'!E557,3)</x:f>
        <x:v>2275.847</x:v>
      </x:c>
      <x:c r="R557" s="64" t="n">
        <x:f>-ROUND(Q557*'Drivers'!F557,3)</x:f>
        <x:v>-494.392</x:v>
      </x:c>
      <x:c r="S557" s="65" t="n">
        <x:f>R557/Q557</x:f>
        <x:v>-0.21723428683914162</x:v>
      </x:c>
      <x:c r="T557" s="64" t="n">
        <x:f>-ROUND(Q557*'Drivers'!G557,3)</x:f>
        <x:v>-20.588</x:v>
      </x:c>
      <x:c r="U557" s="65" t="n">
        <x:f>T557/Q557</x:f>
        <x:v>-0.009046302321729009</x:v>
      </x:c>
      <x:c r="V557" s="64" t="n">
        <x:f>-ROUND(Q557*'Drivers'!H557,3)</x:f>
        <x:v>-21.354</x:v>
      </x:c>
      <x:c r="W557" s="64" t="n">
        <x:f>-ROUND(Q557*'Drivers'!I557,3)</x:f>
        <x:v>-20.569</x:v>
      </x:c>
      <x:c r="X557" s="64" t="n">
        <x:f>-ROUND(Q557*'Drivers'!J557,3)</x:f>
        <x:v>-33.511</x:v>
      </x:c>
      <x:c r="Y557" s="64" t="n">
        <x:f>-ROUND(Q557*'Drivers'!K557,3)</x:f>
        <x:v>-30.351</x:v>
      </x:c>
      <x:c r="Z557" s="64" t="n">
        <x:f>-ROUND(Q557*'Drivers'!L557,3)</x:f>
        <x:v>-21.354</x:v>
      </x:c>
      <x:c r="AA557" s="64" t="n">
        <x:f>-ROUND(Q557*'Drivers'!M557,3)</x:f>
        <x:v>-13.479</x:v>
      </x:c>
      <x:c r="AB557" s="64" t="n">
        <x:f>-ROUND(Q557*'Drivers'!N557,3)</x:f>
        <x:v>-11.423</x:v>
      </x:c>
      <x:c r="AC557" s="64" t="n">
        <x:f>SUM(V557:AB557)</x:f>
        <x:v>-152.041</x:v>
      </x:c>
      <x:c r="AD557" s="65" t="n">
        <x:f>AC557/Q557</x:f>
        <x:v>-0.06680633627831747</x:v>
      </x:c>
      <x:c r="AE557" s="64" t="n">
        <x:f>-ROUND(Q557*'Drivers'!O557,3)</x:f>
        <x:v>-16.059</x:v>
      </x:c>
      <x:c r="AF557" s="65" t="n">
        <x:f>AE557/Q557</x:f>
        <x:v>-0.007056273993814171</x:v>
      </x:c>
      <x:c r="AG557" s="64" t="n">
        <x:f>-ROUND(Q557*'Drivers'!P557,3)</x:f>
        <x:v>-6.818</x:v>
      </x:c>
      <x:c r="AH557" s="64" t="n">
        <x:f>-ROUND(Q557*'Drivers'!Q557,3)</x:f>
        <x:v>-7.641</x:v>
      </x:c>
      <x:c r="AI557" s="64" t="n">
        <x:f>SUM(R557,T557,AC557,AE557,AG557,AH557)</x:f>
        <x:v>-697.5389999999999</x:v>
      </x:c>
      <x:c r="AJ557" s="65" t="n">
        <x:f>AI557/Q557</x:f>
        <x:v>-0.3064964384688425</x:v>
      </x:c>
      <x:c r="AK557" s="64" t="n">
        <x:f>Q557+AI557</x:f>
        <x:v>1578.3080000000004</x:v>
      </x:c>
      <x:c r="AL557" s="65" t="n">
        <x:f>AK557/Q557</x:f>
        <x:v>0.6935035615311576</x:v>
      </x:c>
      <x:c r="AM557" s="64" t="n">
        <x:f>AK557/L557</x:f>
        <x:v>394.5770000000001</x:v>
      </x:c>
      <x:c r="AN557" s="66" t="str">
        <x:f>IF(AM557&lt;=200,"≤200K",IF(AM557&lt;=350,"200–350K",IF(AM557&lt;=500,"350–500K",IF(AM557&lt;=700,"500–700K","&gt;700K"))))</x:f>
        <x:v>350–500K</x:v>
      </x:c>
      <x:c r="AO557" s="64" t="n">
        <x:f>-ROUND(Q557*'Drivers'!R557,3)</x:f>
        <x:v>-807.66</x:v>
      </x:c>
      <x:c r="AP557" s="64" t="n">
        <x:f>-ROUND(AK557*'Drivers'!S557,3)</x:f>
        <x:v>-25.558</x:v>
      </x:c>
      <x:c r="AQ557" s="64" t="n">
        <x:f>-ROUND(AK557*'Drivers'!T557,3)</x:f>
        <x:v>-8.535</x:v>
      </x:c>
      <x:c r="AR557" s="64" t="n">
        <x:f>-ROUND(AK557*'Drivers'!U557,3)</x:f>
        <x:v>-11.689</x:v>
      </x:c>
      <x:c r="AS557" s="64" t="n">
        <x:f>-ROUND(AK557*'Drivers'!V557,3)</x:f>
        <x:v>-52.554</x:v>
      </x:c>
      <x:c r="AT557" s="64" t="n">
        <x:f>SUM(AO557:AS557)</x:f>
        <x:v>-905.9959999999999</x:v>
      </x:c>
      <x:c r="AU557" s="65" t="n">
        <x:f>AT557/AK557</x:f>
        <x:v>-0.574029910511763</x:v>
      </x:c>
      <x:c r="AV557" s="64" t="n">
        <x:f>AK557+AT557</x:f>
        <x:v>672.3120000000006</x:v>
      </x:c>
      <x:c r="AW557" s="65" t="n">
        <x:f>AV557/AK557</x:f>
        <x:v>0.425970089488237</x:v>
      </x:c>
      <x:c r="AX557" s="64" t="n">
        <x:f>-ROUND(AK557*'Drivers'!W557,3)</x:f>
        <x:v>-18.168</x:v>
      </x:c>
      <x:c r="AY557" s="64" t="n">
        <x:f>-ROUND(AK557*'Drivers'!X557,3)</x:f>
        <x:v>-37.174</x:v>
      </x:c>
      <x:c r="AZ557" s="64" t="n">
        <x:f>-ROUND(AK557*'Drivers'!Y557,3)</x:f>
        <x:v>-34.879</x:v>
      </x:c>
      <x:c r="BA557" s="64" t="n">
        <x:f>-ROUND(AK557*'Drivers'!Z557,3)</x:f>
        <x:v>-9.173</x:v>
      </x:c>
      <x:c r="BB557" s="64" t="n">
        <x:f>-ROUND(AK557*'Drivers'!AA557,3)</x:f>
        <x:v>-13.097</x:v>
      </x:c>
      <x:c r="BC557" s="64" t="n">
        <x:f>SUM(BA557,BB557)</x:f>
        <x:v>-22.27</x:v>
      </x:c>
      <x:c r="BD557" s="64" t="n">
        <x:f>-ROUND(AK557*'Drivers'!AB557,3)</x:f>
        <x:v>-11.36</x:v>
      </x:c>
      <x:c r="BE557" s="64" t="n">
        <x:f>SUM(AX557:BB557,BD557)</x:f>
        <x:v>-123.851</x:v>
      </x:c>
      <x:c r="BF557" s="67" t="n">
        <x:f>'Drivers'!AF557</x:f>
        <x:v>6</x:v>
      </x:c>
      <x:c r="BG557" s="64" t="n">
        <x:f>BJ557</x:f>
        <x:v>-41.529</x:v>
      </x:c>
      <x:c r="BH557" s="64" t="n">
        <x:f>BE557/BF557</x:f>
        <x:v>-20.641833333333334</x:v>
      </x:c>
      <x:c r="BI557" s="68" t="n">
        <x:f>BF557/L557</x:f>
        <x:v>1.5</x:v>
      </x:c>
      <x:c r="BJ557" s="64" t="n">
        <x:f>-ROUND(AK557*'Drivers'!AC557,3)</x:f>
        <x:v>-41.529</x:v>
      </x:c>
      <x:c r="BK557" s="64" t="n">
        <x:f>-ROUND(AK557*'Drivers'!AD557,3)</x:f>
        <x:v>-152.076</x:v>
      </x:c>
      <x:c r="BL557" s="64" t="n">
        <x:f>SUM(AV557,BE557,BJ557,BK557)</x:f>
        <x:v>354.85600000000056</x:v>
      </x:c>
      <x:c r="BM557" s="65" t="n">
        <x:f>BL557/AK557</x:f>
        <x:v>0.2248331757806464</x:v>
      </x:c>
      <x:c r="BN557" s="64" t="n">
        <x:f>-ROUND(AK557*'Drivers'!AE557,3)</x:f>
        <x:v>-125.548</x:v>
      </x:c>
      <x:c r="BO557" s="64" t="n">
        <x:f>BL557+BN557</x:f>
        <x:v>229.30800000000056</x:v>
      </x:c>
      <x:c r="BP557" s="65" t="n">
        <x:f>BO557/AK557</x:f>
        <x:v>0.14528723164300028</x:v>
      </x:c>
    </x:row>
    <x:row r="558">
      <x:c r="A558" s="61" t="n">
        <x:v>2025</x:v>
      </x:c>
      <x:c r="B558" s="18" t="str">
        <x:v>S1</x:v>
      </x:c>
      <x:c r="C558" s="18" t="str">
        <x:v>2025 S1</x:v>
      </x:c>
      <x:c r="D558" s="18" t="str">
        <x:v>CNCT0140</x:v>
      </x:c>
      <x:c r="E558" s="18" t="str">
        <x:v>沈阳皇城恒隆广场</x:v>
      </x:c>
      <x:c r="F558" s="18" t="str">
        <x:v>沈阳</x:v>
      </x:c>
      <x:c r="G558" s="18" t="str">
        <x:v>辽宁省</x:v>
      </x:c>
      <x:c r="H558" s="18" t="str">
        <x:v>北区</x:v>
      </x:c>
      <x:c r="I558" s="18" t="str">
        <x:v>Shopping Mall</x:v>
      </x:c>
      <x:c r="J558" s="18" t="str">
        <x:v>Prestige Shopping Center</x:v>
      </x:c>
      <x:c r="K558" s="18" t="str">
        <x:v>正常</x:v>
      </x:c>
      <x:c r="L558" s="62" t="n">
        <x:v>5</x:v>
      </x:c>
      <x:c r="M558" s="62" t="n">
        <x:v>36</x:v>
      </x:c>
      <x:c r="N558" s="63" t="n">
        <x:f>'Drivers'!C558</x:f>
        <x:v>2031</x:v>
      </x:c>
      <x:c r="O558" s="63" t="n">
        <x:f>'Drivers'!D558</x:f>
        <x:v>1168.624</x:v>
      </x:c>
      <x:c r="P558" s="64" t="n">
        <x:f>ROUND(N558*O558/1000,3)</x:f>
        <x:v>2373.475</x:v>
      </x:c>
      <x:c r="Q558" s="64" t="n">
        <x:f>ROUND(P558*'Drivers'!E558,3)</x:f>
        <x:v>2314.901</x:v>
      </x:c>
      <x:c r="R558" s="64" t="n">
        <x:f>-ROUND(Q558*'Drivers'!F558,3)</x:f>
        <x:v>-386.473</x:v>
      </x:c>
      <x:c r="S558" s="65" t="n">
        <x:f>R558/Q558</x:f>
        <x:v>-0.16695012011312796</x:v>
      </x:c>
      <x:c r="T558" s="64" t="n">
        <x:f>-ROUND(Q558*'Drivers'!G558,3)</x:f>
        <x:v>-48.579</x:v>
      </x:c>
      <x:c r="U558" s="65" t="n">
        <x:f>T558/Q558</x:f>
        <x:v>-0.02098534667357265</x:v>
      </x:c>
      <x:c r="V558" s="64" t="n">
        <x:f>-ROUND(Q558*'Drivers'!H558,3)</x:f>
        <x:v>-22.739</x:v>
      </x:c>
      <x:c r="W558" s="64" t="n">
        <x:f>-ROUND(Q558*'Drivers'!I558,3)</x:f>
        <x:v>-13.914</x:v>
      </x:c>
      <x:c r="X558" s="64" t="n">
        <x:f>-ROUND(Q558*'Drivers'!J558,3)</x:f>
        <x:v>-38.575</x:v>
      </x:c>
      <x:c r="Y558" s="64" t="n">
        <x:f>-ROUND(Q558*'Drivers'!K558,3)</x:f>
        <x:v>-30.408</x:v>
      </x:c>
      <x:c r="Z558" s="64" t="n">
        <x:f>-ROUND(Q558*'Drivers'!L558,3)</x:f>
        <x:v>-20.185</x:v>
      </x:c>
      <x:c r="AA558" s="64" t="n">
        <x:f>-ROUND(Q558*'Drivers'!M558,3)</x:f>
        <x:v>-14.341</x:v>
      </x:c>
      <x:c r="AB558" s="64" t="n">
        <x:f>-ROUND(Q558*'Drivers'!N558,3)</x:f>
        <x:v>-15.73</x:v>
      </x:c>
      <x:c r="AC558" s="64" t="n">
        <x:f>SUM(V558:AB558)</x:f>
        <x:v>-155.892</x:v>
      </x:c>
      <x:c r="AD558" s="65" t="n">
        <x:f>AC558/Q558</x:f>
        <x:v>-0.0673428366915043</x:v>
      </x:c>
      <x:c r="AE558" s="64" t="n">
        <x:f>-ROUND(Q558*'Drivers'!O558,3)</x:f>
        <x:v>-28.84</x:v>
      </x:c>
      <x:c r="AF558" s="65" t="n">
        <x:f>AE558/Q558</x:f>
        <x:v>-0.01245841614824997</x:v>
      </x:c>
      <x:c r="AG558" s="64" t="n">
        <x:f>-ROUND(Q558*'Drivers'!P558,3)</x:f>
        <x:v>-2.751</x:v>
      </x:c>
      <x:c r="AH558" s="64" t="n">
        <x:f>-ROUND(Q558*'Drivers'!Q558,3)</x:f>
        <x:v>-10.352</x:v>
      </x:c>
      <x:c r="AI558" s="64" t="n">
        <x:f>SUM(R558,T558,AC558,AE558,AG558,AH558)</x:f>
        <x:v>-632.887</x:v>
      </x:c>
      <x:c r="AJ558" s="65" t="n">
        <x:f>AI558/Q558</x:f>
        <x:v>-0.2733970048827142</x:v>
      </x:c>
      <x:c r="AK558" s="64" t="n">
        <x:f>Q558+AI558</x:f>
        <x:v>1682.014</x:v>
      </x:c>
      <x:c r="AL558" s="65" t="n">
        <x:f>AK558/Q558</x:f>
        <x:v>0.7266029951172858</x:v>
      </x:c>
      <x:c r="AM558" s="64" t="n">
        <x:f>AK558/L558</x:f>
        <x:v>336.40279999999996</x:v>
      </x:c>
      <x:c r="AN558" s="66" t="str">
        <x:f>IF(AM558&lt;=200,"≤200K",IF(AM558&lt;=350,"200–350K",IF(AM558&lt;=500,"350–500K",IF(AM558&lt;=700,"500–700K","&gt;700K"))))</x:f>
        <x:v>200–350K</x:v>
      </x:c>
      <x:c r="AO558" s="64" t="n">
        <x:f>-ROUND(Q558*'Drivers'!R558,3)</x:f>
        <x:v>-863.478</x:v>
      </x:c>
      <x:c r="AP558" s="64" t="n">
        <x:f>-ROUND(AK558*'Drivers'!S558,3)</x:f>
        <x:v>-25.984</x:v>
      </x:c>
      <x:c r="AQ558" s="64" t="n">
        <x:f>-ROUND(AK558*'Drivers'!T558,3)</x:f>
        <x:v>-10.7</x:v>
      </x:c>
      <x:c r="AR558" s="64" t="n">
        <x:f>-ROUND(AK558*'Drivers'!U558,3)</x:f>
        <x:v>-21.627</x:v>
      </x:c>
      <x:c r="AS558" s="64" t="n">
        <x:f>-ROUND(AK558*'Drivers'!V558,3)</x:f>
        <x:v>-57.384</x:v>
      </x:c>
      <x:c r="AT558" s="64" t="n">
        <x:f>SUM(AO558:AS558)</x:f>
        <x:v>-979.173</x:v>
      </x:c>
      <x:c r="AU558" s="65" t="n">
        <x:f>AT558/AK558</x:f>
        <x:v>-0.5821431926250317</x:v>
      </x:c>
      <x:c r="AV558" s="64" t="n">
        <x:f>AK558+AT558</x:f>
        <x:v>702.8409999999999</x:v>
      </x:c>
      <x:c r="AW558" s="65" t="n">
        <x:f>AV558/AK558</x:f>
        <x:v>0.41785680737496833</x:v>
      </x:c>
      <x:c r="AX558" s="64" t="n">
        <x:f>-ROUND(AK558*'Drivers'!W558,3)</x:f>
        <x:v>-18.258</x:v>
      </x:c>
      <x:c r="AY558" s="64" t="n">
        <x:f>-ROUND(AK558*'Drivers'!X558,3)</x:f>
        <x:v>-36.641</x:v>
      </x:c>
      <x:c r="AZ558" s="64" t="n">
        <x:f>-ROUND(AK558*'Drivers'!Y558,3)</x:f>
        <x:v>-23.873</x:v>
      </x:c>
      <x:c r="BA558" s="64" t="n">
        <x:f>-ROUND(AK558*'Drivers'!Z558,3)</x:f>
        <x:v>-9.66</x:v>
      </x:c>
      <x:c r="BB558" s="64" t="n">
        <x:f>-ROUND(AK558*'Drivers'!AA558,3)</x:f>
        <x:v>-10.471</x:v>
      </x:c>
      <x:c r="BC558" s="64" t="n">
        <x:f>SUM(BA558,BB558)</x:f>
        <x:v>-20.131</x:v>
      </x:c>
      <x:c r="BD558" s="64" t="n">
        <x:f>-ROUND(AK558*'Drivers'!AB558,3)</x:f>
        <x:v>-10.264</x:v>
      </x:c>
      <x:c r="BE558" s="64" t="n">
        <x:f>SUM(AX558:BB558,BD558)</x:f>
        <x:v>-109.167</x:v>
      </x:c>
      <x:c r="BF558" s="67" t="n">
        <x:f>'Drivers'!AF558</x:f>
        <x:v>8</x:v>
      </x:c>
      <x:c r="BG558" s="64" t="n">
        <x:f>BJ558</x:f>
        <x:v>-38.269</x:v>
      </x:c>
      <x:c r="BH558" s="64" t="n">
        <x:f>BE558/BF558</x:f>
        <x:v>-13.645875</x:v>
      </x:c>
      <x:c r="BI558" s="68" t="n">
        <x:f>BF558/L558</x:f>
        <x:v>1.6</x:v>
      </x:c>
      <x:c r="BJ558" s="64" t="n">
        <x:f>-ROUND(AK558*'Drivers'!AC558,3)</x:f>
        <x:v>-38.269</x:v>
      </x:c>
      <x:c r="BK558" s="64" t="n">
        <x:f>-ROUND(AK558*'Drivers'!AD558,3)</x:f>
        <x:v>-184.029</x:v>
      </x:c>
      <x:c r="BL558" s="64" t="n">
        <x:f>SUM(AV558,BE558,BJ558,BK558)</x:f>
        <x:v>371.37599999999986</x:v>
      </x:c>
      <x:c r="BM558" s="65" t="n">
        <x:f>BL558/AK558</x:f>
        <x:v>0.2207924547595917</x:v>
      </x:c>
      <x:c r="BN558" s="64" t="n">
        <x:f>-ROUND(AK558*'Drivers'!AE558,3)</x:f>
        <x:v>-117.785</x:v>
      </x:c>
      <x:c r="BO558" s="64" t="n">
        <x:f>BL558+BN558</x:f>
        <x:v>253.59099999999987</x:v>
      </x:c>
      <x:c r="BP558" s="65" t="n">
        <x:f>BO558/AK558</x:f>
        <x:v>0.15076628375269163</x:v>
      </x:c>
    </x:row>
    <x:row r="559">
      <x:c r="A559" s="61" t="n">
        <x:v>2025</x:v>
      </x:c>
      <x:c r="B559" s="18" t="str">
        <x:v>S2</x:v>
      </x:c>
      <x:c r="C559" s="18" t="str">
        <x:v>2025 S2</x:v>
      </x:c>
      <x:c r="D559" s="18" t="str">
        <x:v>CNCT0140</x:v>
      </x:c>
      <x:c r="E559" s="18" t="str">
        <x:v>沈阳皇城恒隆广场</x:v>
      </x:c>
      <x:c r="F559" s="18" t="str">
        <x:v>沈阳</x:v>
      </x:c>
      <x:c r="G559" s="18" t="str">
        <x:v>辽宁省</x:v>
      </x:c>
      <x:c r="H559" s="18" t="str">
        <x:v>北区</x:v>
      </x:c>
      <x:c r="I559" s="18" t="str">
        <x:v>Shopping Mall</x:v>
      </x:c>
      <x:c r="J559" s="18" t="str">
        <x:v>Prestige Shopping Center</x:v>
      </x:c>
      <x:c r="K559" s="18" t="str">
        <x:v>正常</x:v>
      </x:c>
      <x:c r="L559" s="62" t="n">
        <x:v>5</x:v>
      </x:c>
      <x:c r="M559" s="62" t="n">
        <x:v>36</x:v>
      </x:c>
      <x:c r="N559" s="63" t="n">
        <x:f>'Drivers'!C559</x:f>
        <x:v>2149</x:v>
      </x:c>
      <x:c r="O559" s="63" t="n">
        <x:f>'Drivers'!D559</x:f>
        <x:v>1182.648</x:v>
      </x:c>
      <x:c r="P559" s="64" t="n">
        <x:f>ROUND(N559*O559/1000,3)</x:f>
        <x:v>2541.511</x:v>
      </x:c>
      <x:c r="Q559" s="64" t="n">
        <x:f>ROUND(P559*'Drivers'!E559,3)</x:f>
        <x:v>2458.343</x:v>
      </x:c>
      <x:c r="R559" s="64" t="n">
        <x:f>-ROUND(Q559*'Drivers'!F559,3)</x:f>
        <x:v>-410.421</x:v>
      </x:c>
      <x:c r="S559" s="65" t="n">
        <x:f>R559/Q559</x:f>
        <x:v>-0.1669502587718638</x:v>
      </x:c>
      <x:c r="T559" s="64" t="n">
        <x:f>-ROUND(Q559*'Drivers'!G559,3)</x:f>
        <x:v>-51.59</x:v>
      </x:c>
      <x:c r="U559" s="65" t="n">
        <x:f>T559/Q559</x:f>
        <x:v>-0.020985680191901623</x:v>
      </x:c>
      <x:c r="V559" s="64" t="n">
        <x:f>-ROUND(Q559*'Drivers'!H559,3)</x:f>
        <x:v>-24.148</x:v>
      </x:c>
      <x:c r="W559" s="64" t="n">
        <x:f>-ROUND(Q559*'Drivers'!I559,3)</x:f>
        <x:v>-14.776</x:v>
      </x:c>
      <x:c r="X559" s="64" t="n">
        <x:f>-ROUND(Q559*'Drivers'!J559,3)</x:f>
        <x:v>-40.965</x:v>
      </x:c>
      <x:c r="Y559" s="64" t="n">
        <x:f>-ROUND(Q559*'Drivers'!K559,3)</x:f>
        <x:v>-32.293</x:v>
      </x:c>
      <x:c r="Z559" s="64" t="n">
        <x:f>-ROUND(Q559*'Drivers'!L559,3)</x:f>
        <x:v>-21.436</x:v>
      </x:c>
      <x:c r="AA559" s="64" t="n">
        <x:f>-ROUND(Q559*'Drivers'!M559,3)</x:f>
        <x:v>-15.23</x:v>
      </x:c>
      <x:c r="AB559" s="64" t="n">
        <x:f>-ROUND(Q559*'Drivers'!N559,3)</x:f>
        <x:v>-16.704</x:v>
      </x:c>
      <x:c r="AC559" s="64" t="n">
        <x:f>SUM(V559:AB559)</x:f>
        <x:v>-165.55200000000002</x:v>
      </x:c>
      <x:c r="AD559" s="65" t="n">
        <x:f>AC559/Q559</x:f>
        <x:v>-0.06734292163461325</x:v>
      </x:c>
      <x:c r="AE559" s="64" t="n">
        <x:f>-ROUND(Q559*'Drivers'!O559,3)</x:f>
        <x:v>-30.627</x:v>
      </x:c>
      <x:c r="AF559" s="65" t="n">
        <x:f>AE559/Q559</x:f>
        <x:v>-0.01245839168903607</x:v>
      </x:c>
      <x:c r="AG559" s="64" t="n">
        <x:f>-ROUND(Q559*'Drivers'!P559,3)</x:f>
        <x:v>-2.921</x:v>
      </x:c>
      <x:c r="AH559" s="64" t="n">
        <x:f>-ROUND(Q559*'Drivers'!Q559,3)</x:f>
        <x:v>-10.993</x:v>
      </x:c>
      <x:c r="AI559" s="64" t="n">
        <x:f>SUM(R559,T559,AC559,AE559,AG559,AH559)</x:f>
        <x:v>-672.104</x:v>
      </x:c>
      <x:c r="AJ559" s="65" t="n">
        <x:f>AI559/Q559</x:f>
        <x:v>-0.2733971622348875</x:v>
      </x:c>
      <x:c r="AK559" s="64" t="n">
        <x:f>Q559+AI559</x:f>
        <x:v>1786.2389999999998</x:v>
      </x:c>
      <x:c r="AL559" s="65" t="n">
        <x:f>AK559/Q559</x:f>
        <x:v>0.7266028377651125</x:v>
      </x:c>
      <x:c r="AM559" s="64" t="n">
        <x:f>AK559/L559</x:f>
        <x:v>357.2478</x:v>
      </x:c>
      <x:c r="AN559" s="66" t="str">
        <x:f>IF(AM559&lt;=200,"≤200K",IF(AM559&lt;=350,"200–350K",IF(AM559&lt;=500,"350–500K",IF(AM559&lt;=700,"500–700K","&gt;700K"))))</x:f>
        <x:v>350–500K</x:v>
      </x:c>
      <x:c r="AO559" s="64" t="n">
        <x:f>-ROUND(Q559*'Drivers'!R559,3)</x:f>
        <x:v>-877.11</x:v>
      </x:c>
      <x:c r="AP559" s="64" t="n">
        <x:f>-ROUND(AK559*'Drivers'!S559,3)</x:f>
        <x:v>-27.594</x:v>
      </x:c>
      <x:c r="AQ559" s="64" t="n">
        <x:f>-ROUND(AK559*'Drivers'!T559,3)</x:f>
        <x:v>-11.363</x:v>
      </x:c>
      <x:c r="AR559" s="64" t="n">
        <x:f>-ROUND(AK559*'Drivers'!U559,3)</x:f>
        <x:v>-22.967</x:v>
      </x:c>
      <x:c r="AS559" s="64" t="n">
        <x:f>-ROUND(AK559*'Drivers'!V559,3)</x:f>
        <x:v>-60.939</x:v>
      </x:c>
      <x:c r="AT559" s="64" t="n">
        <x:f>SUM(AO559:AS559)</x:f>
        <x:v>-999.973</x:v>
      </x:c>
      <x:c r="AU559" s="65" t="n">
        <x:f>AT559/AK559</x:f>
        <x:v>-0.5598203823788418</x:v>
      </x:c>
      <x:c r="AV559" s="64" t="n">
        <x:f>AK559+AT559</x:f>
        <x:v>786.2659999999998</x:v>
      </x:c>
      <x:c r="AW559" s="65" t="n">
        <x:f>AV559/AK559</x:f>
        <x:v>0.44017961762115815</x:v>
      </x:c>
      <x:c r="AX559" s="64" t="n">
        <x:f>-ROUND(AK559*'Drivers'!W559,3)</x:f>
        <x:v>-19.39</x:v>
      </x:c>
      <x:c r="AY559" s="64" t="n">
        <x:f>-ROUND(AK559*'Drivers'!X559,3)</x:f>
        <x:v>-38.911</x:v>
      </x:c>
      <x:c r="AZ559" s="64" t="n">
        <x:f>-ROUND(AK559*'Drivers'!Y559,3)</x:f>
        <x:v>-25.352</x:v>
      </x:c>
      <x:c r="BA559" s="64" t="n">
        <x:f>-ROUND(AK559*'Drivers'!Z559,3)</x:f>
        <x:v>-10.258</x:v>
      </x:c>
      <x:c r="BB559" s="64" t="n">
        <x:f>-ROUND(AK559*'Drivers'!AA559,3)</x:f>
        <x:v>-11.12</x:v>
      </x:c>
      <x:c r="BC559" s="64" t="n">
        <x:f>SUM(BA559,BB559)</x:f>
        <x:v>-21.378</x:v>
      </x:c>
      <x:c r="BD559" s="64" t="n">
        <x:f>-ROUND(AK559*'Drivers'!AB559,3)</x:f>
        <x:v>-10.9</x:v>
      </x:c>
      <x:c r="BE559" s="64" t="n">
        <x:f>SUM(AX559:BB559,BD559)</x:f>
        <x:v>-115.93100000000001</x:v>
      </x:c>
      <x:c r="BF559" s="67" t="n">
        <x:f>'Drivers'!AF559</x:f>
        <x:v>8</x:v>
      </x:c>
      <x:c r="BG559" s="64" t="n">
        <x:f>BJ559</x:f>
        <x:v>-40.64</x:v>
      </x:c>
      <x:c r="BH559" s="64" t="n">
        <x:f>BE559/BF559</x:f>
        <x:v>-14.491375000000001</x:v>
      </x:c>
      <x:c r="BI559" s="68" t="n">
        <x:f>BF559/L559</x:f>
        <x:v>1.6</x:v>
      </x:c>
      <x:c r="BJ559" s="64" t="n">
        <x:f>-ROUND(AK559*'Drivers'!AC559,3)</x:f>
        <x:v>-40.64</x:v>
      </x:c>
      <x:c r="BK559" s="64" t="n">
        <x:f>-ROUND(AK559*'Drivers'!AD559,3)</x:f>
        <x:v>-195.432</x:v>
      </x:c>
      <x:c r="BL559" s="64" t="n">
        <x:f>SUM(AV559,BE559,BJ559,BK559)</x:f>
        <x:v>434.2629999999998</x:v>
      </x:c>
      <x:c r="BM559" s="65" t="n">
        <x:f>BL559/AK559</x:f>
        <x:v>0.2431158428407396</x:v>
      </x:c>
      <x:c r="BN559" s="64" t="n">
        <x:f>-ROUND(AK559*'Drivers'!AE559,3)</x:f>
        <x:v>-125.083</x:v>
      </x:c>
      <x:c r="BO559" s="64" t="n">
        <x:f>BL559+BN559</x:f>
        <x:v>309.17999999999984</x:v>
      </x:c>
      <x:c r="BP559" s="65" t="n">
        <x:f>BO559/AK559</x:f>
        <x:v>0.17308993925225005</x:v>
      </x:c>
    </x:row>
    <x:row r="560">
      <x:c r="A560" s="61" t="n">
        <x:v>2026</x:v>
      </x:c>
      <x:c r="B560" s="18" t="str">
        <x:v>S1</x:v>
      </x:c>
      <x:c r="C560" s="18" t="str">
        <x:v>2026 S1</x:v>
      </x:c>
      <x:c r="D560" s="18" t="str">
        <x:v>CNCT0140</x:v>
      </x:c>
      <x:c r="E560" s="18" t="str">
        <x:v>沈阳皇城恒隆广场</x:v>
      </x:c>
      <x:c r="F560" s="18" t="str">
        <x:v>沈阳</x:v>
      </x:c>
      <x:c r="G560" s="18" t="str">
        <x:v>辽宁省</x:v>
      </x:c>
      <x:c r="H560" s="18" t="str">
        <x:v>北区</x:v>
      </x:c>
      <x:c r="I560" s="18" t="str">
        <x:v>Shopping Mall</x:v>
      </x:c>
      <x:c r="J560" s="18" t="str">
        <x:v>Prestige Shopping Center</x:v>
      </x:c>
      <x:c r="K560" s="18" t="str">
        <x:v>正常</x:v>
      </x:c>
      <x:c r="L560" s="62" t="n">
        <x:v>5</x:v>
      </x:c>
      <x:c r="M560" s="62" t="n">
        <x:v>36</x:v>
      </x:c>
      <x:c r="N560" s="63" t="n">
        <x:f>'Drivers'!C560</x:f>
        <x:v>2191</x:v>
      </x:c>
      <x:c r="O560" s="63" t="n">
        <x:f>'Drivers'!D560</x:f>
        <x:v>1215.816</x:v>
      </x:c>
      <x:c r="P560" s="64" t="n">
        <x:f>ROUND(N560*O560/1000,3)</x:f>
        <x:v>2663.853</x:v>
      </x:c>
      <x:c r="Q560" s="64" t="n">
        <x:f>ROUND(P560*'Drivers'!E560,3)</x:f>
        <x:v>2592.772</x:v>
      </x:c>
      <x:c r="R560" s="64" t="n">
        <x:f>-ROUND(Q560*'Drivers'!F560,3)</x:f>
        <x:v>-424.143</x:v>
      </x:c>
      <x:c r="S560" s="65" t="n">
        <x:f>R560/Q560</x:f>
        <x:v>-0.1635866940864835</x:v>
      </x:c>
      <x:c r="T560" s="64" t="n">
        <x:f>-ROUND(Q560*'Drivers'!G560,3)</x:f>
        <x:v>-56.194</x:v>
      </x:c>
      <x:c r="U560" s="65" t="n">
        <x:f>T560/Q560</x:f>
        <x:v>-0.0216733287770772</x:v>
      </x:c>
      <x:c r="V560" s="64" t="n">
        <x:f>-ROUND(Q560*'Drivers'!H560,3)</x:f>
        <x:v>-25.469</x:v>
      </x:c>
      <x:c r="W560" s="64" t="n">
        <x:f>-ROUND(Q560*'Drivers'!I560,3)</x:f>
        <x:v>-15.584</x:v>
      </x:c>
      <x:c r="X560" s="64" t="n">
        <x:f>-ROUND(Q560*'Drivers'!J560,3)</x:f>
        <x:v>-43.205</x:v>
      </x:c>
      <x:c r="Y560" s="64" t="n">
        <x:f>-ROUND(Q560*'Drivers'!K560,3)</x:f>
        <x:v>-34.058</x:v>
      </x:c>
      <x:c r="Z560" s="64" t="n">
        <x:f>-ROUND(Q560*'Drivers'!L560,3)</x:f>
        <x:v>-22.608</x:v>
      </x:c>
      <x:c r="AA560" s="64" t="n">
        <x:f>-ROUND(Q560*'Drivers'!M560,3)</x:f>
        <x:v>-16.063</x:v>
      </x:c>
      <x:c r="AB560" s="64" t="n">
        <x:f>-ROUND(Q560*'Drivers'!N560,3)</x:f>
        <x:v>-17.618</x:v>
      </x:c>
      <x:c r="AC560" s="64" t="n">
        <x:f>SUM(V560:AB560)</x:f>
        <x:v>-174.605</x:v>
      </x:c>
      <x:c r="AD560" s="65" t="n">
        <x:f>AC560/Q560</x:f>
        <x:v>-0.06734298272273845</x:v>
      </x:c>
      <x:c r="AE560" s="64" t="n">
        <x:f>-ROUND(Q560*'Drivers'!O560,3)</x:f>
        <x:v>-28.052</x:v>
      </x:c>
      <x:c r="AF560" s="65" t="n">
        <x:f>AE560/Q560</x:f>
        <x:v>-0.01081930844671263</x:v>
      </x:c>
      <x:c r="AG560" s="64" t="n">
        <x:f>-ROUND(Q560*'Drivers'!P560,3)</x:f>
        <x:v>-3.081</x:v>
      </x:c>
      <x:c r="AH560" s="64" t="n">
        <x:f>-ROUND(Q560*'Drivers'!Q560,3)</x:f>
        <x:v>-11.595</x:v>
      </x:c>
      <x:c r="AI560" s="64" t="n">
        <x:f>SUM(R560,T560,AC560,AE560,AG560,AH560)</x:f>
        <x:v>-697.6700000000001</x:v>
      </x:c>
      <x:c r="AJ560" s="65" t="n">
        <x:f>AI560/Q560</x:f>
        <x:v>-0.2690826651938543</x:v>
      </x:c>
      <x:c r="AK560" s="64" t="n">
        <x:f>Q560+AI560</x:f>
        <x:v>1895.1019999999999</x:v>
      </x:c>
      <x:c r="AL560" s="65" t="n">
        <x:f>AK560/Q560</x:f>
        <x:v>0.7309173348061456</x:v>
      </x:c>
      <x:c r="AM560" s="64" t="n">
        <x:f>AK560/L560</x:f>
        <x:v>379.0204</x:v>
      </x:c>
      <x:c r="AN560" s="66" t="str">
        <x:f>IF(AM560&lt;=200,"≤200K",IF(AM560&lt;=350,"200–350K",IF(AM560&lt;=500,"350–500K",IF(AM560&lt;=700,"500–700K","&gt;700K"))))</x:f>
        <x:v>350–500K</x:v>
      </x:c>
      <x:c r="AO560" s="64" t="n">
        <x:f>-ROUND(Q560*'Drivers'!R560,3)</x:f>
        <x:v>-965.595</x:v>
      </x:c>
      <x:c r="AP560" s="64" t="n">
        <x:f>-ROUND(AK560*'Drivers'!S560,3)</x:f>
        <x:v>-29.276</x:v>
      </x:c>
      <x:c r="AQ560" s="64" t="n">
        <x:f>-ROUND(AK560*'Drivers'!T560,3)</x:f>
        <x:v>-12.056</x:v>
      </x:c>
      <x:c r="AR560" s="64" t="n">
        <x:f>-ROUND(AK560*'Drivers'!U560,3)</x:f>
        <x:v>-24.366</x:v>
      </x:c>
      <x:c r="AS560" s="64" t="n">
        <x:f>-ROUND(AK560*'Drivers'!V560,3)</x:f>
        <x:v>-64.653</x:v>
      </x:c>
      <x:c r="AT560" s="64" t="n">
        <x:f>SUM(AO560:AS560)</x:f>
        <x:v>-1095.9460000000001</x:v>
      </x:c>
      <x:c r="AU560" s="65" t="n">
        <x:f>AT560/AK560</x:f>
        <x:v>-0.578304492317564</x:v>
      </x:c>
      <x:c r="AV560" s="64" t="n">
        <x:f>AK560+AT560</x:f>
        <x:v>799.1559999999997</x:v>
      </x:c>
      <x:c r="AW560" s="65" t="n">
        <x:f>AV560/AK560</x:f>
        <x:v>0.42169550768243597</x:v>
      </x:c>
      <x:c r="AX560" s="64" t="n">
        <x:f>-ROUND(AK560*'Drivers'!W560,3)</x:f>
        <x:v>-25.312</x:v>
      </x:c>
      <x:c r="AY560" s="64" t="n">
        <x:f>-ROUND(AK560*'Drivers'!X560,3)</x:f>
        <x:v>-50.797</x:v>
      </x:c>
      <x:c r="AZ560" s="64" t="n">
        <x:f>-ROUND(AK560*'Drivers'!Y560,3)</x:f>
        <x:v>-33.096</x:v>
      </x:c>
      <x:c r="BA560" s="64" t="n">
        <x:f>-ROUND(AK560*'Drivers'!Z560,3)</x:f>
        <x:v>-13.392</x:v>
      </x:c>
      <x:c r="BB560" s="64" t="n">
        <x:f>-ROUND(AK560*'Drivers'!AA560,3)</x:f>
        <x:v>-14.517</x:v>
      </x:c>
      <x:c r="BC560" s="64" t="n">
        <x:f>SUM(BA560,BB560)</x:f>
        <x:v>-27.909</x:v>
      </x:c>
      <x:c r="BD560" s="64" t="n">
        <x:f>-ROUND(AK560*'Drivers'!AB560,3)</x:f>
        <x:v>-14.23</x:v>
      </x:c>
      <x:c r="BE560" s="64" t="n">
        <x:f>SUM(AX560:BB560,BD560)</x:f>
        <x:v>-151.34399999999997</x:v>
      </x:c>
      <x:c r="BF560" s="67" t="n">
        <x:f>'Drivers'!AF560</x:f>
        <x:v>8</x:v>
      </x:c>
      <x:c r="BG560" s="64" t="n">
        <x:f>BJ560</x:f>
        <x:v>-53.054</x:v>
      </x:c>
      <x:c r="BH560" s="64" t="n">
        <x:f>BE560/BF560</x:f>
        <x:v>-18.917999999999996</x:v>
      </x:c>
      <x:c r="BI560" s="68" t="n">
        <x:f>BF560/L560</x:f>
        <x:v>1.6</x:v>
      </x:c>
      <x:c r="BJ560" s="64" t="n">
        <x:f>-ROUND(AK560*'Drivers'!AC560,3)</x:f>
        <x:v>-53.054</x:v>
      </x:c>
      <x:c r="BK560" s="64" t="n">
        <x:f>-ROUND(AK560*'Drivers'!AD560,3)</x:f>
        <x:v>-207.343</x:v>
      </x:c>
      <x:c r="BL560" s="64" t="n">
        <x:f>SUM(AV560,BE560,BJ560,BK560)</x:f>
        <x:v>387.41499999999985</x:v>
      </x:c>
      <x:c r="BM560" s="65" t="n">
        <x:f>BL560/AK560</x:f>
        <x:v>0.2044296296452644</x:v>
      </x:c>
      <x:c r="BN560" s="64" t="n">
        <x:f>-ROUND(AK560*'Drivers'!AE560,3)</x:f>
        <x:v>-132.706</x:v>
      </x:c>
      <x:c r="BO560" s="64" t="n">
        <x:f>BL560+BN560</x:f>
        <x:v>254.70899999999986</x:v>
      </x:c>
      <x:c r="BP560" s="65" t="n">
        <x:f>BO560/AK560</x:f>
        <x:v>0.13440384739185537</x:v>
      </x:c>
    </x:row>
    <x:row r="561">
      <x:c r="A561" s="61" t="n">
        <x:v>2026</x:v>
      </x:c>
      <x:c r="B561" s="18" t="str">
        <x:v>S2</x:v>
      </x:c>
      <x:c r="C561" s="18" t="str">
        <x:v>2026 S2</x:v>
      </x:c>
      <x:c r="D561" s="18" t="str">
        <x:v>CNCT0140</x:v>
      </x:c>
      <x:c r="E561" s="18" t="str">
        <x:v>沈阳皇城恒隆广场</x:v>
      </x:c>
      <x:c r="F561" s="18" t="str">
        <x:v>沈阳</x:v>
      </x:c>
      <x:c r="G561" s="18" t="str">
        <x:v>辽宁省</x:v>
      </x:c>
      <x:c r="H561" s="18" t="str">
        <x:v>北区</x:v>
      </x:c>
      <x:c r="I561" s="18" t="str">
        <x:v>Shopping Mall</x:v>
      </x:c>
      <x:c r="J561" s="18" t="str">
        <x:v>Prestige Shopping Center</x:v>
      </x:c>
      <x:c r="K561" s="18" t="str">
        <x:v>正常</x:v>
      </x:c>
      <x:c r="L561" s="62" t="n">
        <x:v>5</x:v>
      </x:c>
      <x:c r="M561" s="62" t="n">
        <x:v>35</x:v>
      </x:c>
      <x:c r="N561" s="63" t="n">
        <x:f>'Drivers'!C561</x:f>
        <x:v>2269</x:v>
      </x:c>
      <x:c r="O561" s="63" t="n">
        <x:f>'Drivers'!D561</x:f>
        <x:v>1236.682</x:v>
      </x:c>
      <x:c r="P561" s="64" t="n">
        <x:f>ROUND(N561*O561/1000,3)</x:f>
        <x:v>2806.031</x:v>
      </x:c>
      <x:c r="Q561" s="64" t="n">
        <x:f>ROUND(P561*'Drivers'!E561,3)</x:f>
        <x:v>2714.207</x:v>
      </x:c>
      <x:c r="R561" s="64" t="n">
        <x:f>-ROUND(Q561*'Drivers'!F561,3)</x:f>
        <x:v>-458.563</x:v>
      </x:c>
      <x:c r="S561" s="65" t="n">
        <x:f>R561/Q561</x:f>
        <x:v>-0.16894916268361257</x:v>
      </x:c>
      <x:c r="T561" s="64" t="n">
        <x:f>-ROUND(Q561*'Drivers'!G561,3)</x:f>
        <x:v>-61.344</x:v>
      </x:c>
      <x:c r="U561" s="65" t="n">
        <x:f>T561/Q561</x:f>
        <x:v>-0.02260107648384961</x:v>
      </x:c>
      <x:c r="V561" s="64" t="n">
        <x:f>-ROUND(Q561*'Drivers'!H561,3)</x:f>
        <x:v>-26.662</x:v>
      </x:c>
      <x:c r="W561" s="64" t="n">
        <x:f>-ROUND(Q561*'Drivers'!I561,3)</x:f>
        <x:v>-16.314</x:v>
      </x:c>
      <x:c r="X561" s="64" t="n">
        <x:f>-ROUND(Q561*'Drivers'!J561,3)</x:f>
        <x:v>-45.229</x:v>
      </x:c>
      <x:c r="Y561" s="64" t="n">
        <x:f>-ROUND(Q561*'Drivers'!K561,3)</x:f>
        <x:v>-35.654</x:v>
      </x:c>
      <x:c r="Z561" s="64" t="n">
        <x:f>-ROUND(Q561*'Drivers'!L561,3)</x:f>
        <x:v>-23.667</x:v>
      </x:c>
      <x:c r="AA561" s="64" t="n">
        <x:f>-ROUND(Q561*'Drivers'!M561,3)</x:f>
        <x:v>-16.815</x:v>
      </x:c>
      <x:c r="AB561" s="64" t="n">
        <x:f>-ROUND(Q561*'Drivers'!N561,3)</x:f>
        <x:v>-18.443</x:v>
      </x:c>
      <x:c r="AC561" s="64" t="n">
        <x:f>SUM(V561:AB561)</x:f>
        <x:v>-182.78400000000002</x:v>
      </x:c>
      <x:c r="AD561" s="65" t="n">
        <x:f>AC561/Q561</x:f>
        <x:v>-0.0673434266435832</x:v>
      </x:c>
      <x:c r="AE561" s="64" t="n">
        <x:f>-ROUND(Q561*'Drivers'!O561,3)</x:f>
        <x:v>-33.815</x:v>
      </x:c>
      <x:c r="AF561" s="65" t="n">
        <x:f>AE561/Q561</x:f>
        <x:v>-0.012458519191793404</x:v>
      </x:c>
      <x:c r="AG561" s="64" t="n">
        <x:f>-ROUND(Q561*'Drivers'!P561,3)</x:f>
        <x:v>-3.225</x:v>
      </x:c>
      <x:c r="AH561" s="64" t="n">
        <x:f>-ROUND(Q561*'Drivers'!Q561,3)</x:f>
        <x:v>-12.138</x:v>
      </x:c>
      <x:c r="AI561" s="64" t="n">
        <x:f>SUM(R561,T561,AC561,AE561,AG561,AH561)</x:f>
        <x:v>-751.8690000000001</x:v>
      </x:c>
      <x:c r="AJ561" s="65" t="n">
        <x:f>AI561/Q561</x:f>
        <x:v>-0.27701240178070435</x:v>
      </x:c>
      <x:c r="AK561" s="64" t="n">
        <x:f>Q561+AI561</x:f>
        <x:v>1962.3379999999997</x:v>
      </x:c>
      <x:c r="AL561" s="65" t="n">
        <x:f>AK561/Q561</x:f>
        <x:v>0.7229875982192957</x:v>
      </x:c>
      <x:c r="AM561" s="64" t="n">
        <x:f>AK561/L561</x:f>
        <x:v>392.46759999999995</x:v>
      </x:c>
      <x:c r="AN561" s="66" t="str">
        <x:f>IF(AM561&lt;=200,"≤200K",IF(AM561&lt;=350,"200–350K",IF(AM561&lt;=500,"350–500K",IF(AM561&lt;=700,"500–700K","&gt;700K"))))</x:f>
        <x:v>350–500K</x:v>
      </x:c>
      <x:c r="AO561" s="64" t="n">
        <x:f>-ROUND(Q561*'Drivers'!R561,3)</x:f>
        <x:v>-967.314</x:v>
      </x:c>
      <x:c r="AP561" s="64" t="n">
        <x:f>-ROUND(AK561*'Drivers'!S561,3)</x:f>
        <x:v>-30.315</x:v>
      </x:c>
      <x:c r="AQ561" s="64" t="n">
        <x:f>-ROUND(AK561*'Drivers'!T561,3)</x:f>
        <x:v>-12.484</x:v>
      </x:c>
      <x:c r="AR561" s="64" t="n">
        <x:f>-ROUND(AK561*'Drivers'!U561,3)</x:f>
        <x:v>-25.231</x:v>
      </x:c>
      <x:c r="AS561" s="64" t="n">
        <x:f>-ROUND(AK561*'Drivers'!V561,3)</x:f>
        <x:v>-66.947</x:v>
      </x:c>
      <x:c r="AT561" s="64" t="n">
        <x:f>SUM(AO561:AS561)</x:f>
        <x:v>-1102.2910000000002</x:v>
      </x:c>
      <x:c r="AU561" s="65" t="n">
        <x:f>AT561/AK561</x:f>
        <x:v>-0.5617233116822894</x:v>
      </x:c>
      <x:c r="AV561" s="64" t="n">
        <x:f>AK561+AT561</x:f>
        <x:v>860.0469999999996</x:v>
      </x:c>
      <x:c r="AW561" s="65" t="n">
        <x:f>AV561/AK561</x:f>
        <x:v>0.43827668831771066</x:v>
      </x:c>
      <x:c r="AX561" s="64" t="n">
        <x:f>-ROUND(AK561*'Drivers'!W561,3)</x:f>
        <x:v>-22.579</x:v>
      </x:c>
      <x:c r="AY561" s="64" t="n">
        <x:f>-ROUND(AK561*'Drivers'!X561,3)</x:f>
        <x:v>-45.312</x:v>
      </x:c>
      <x:c r="AZ561" s="64" t="n">
        <x:f>-ROUND(AK561*'Drivers'!Y561,3)</x:f>
        <x:v>-29.523</x:v>
      </x:c>
      <x:c r="BA561" s="64" t="n">
        <x:f>-ROUND(AK561*'Drivers'!Z561,3)</x:f>
        <x:v>-11.946</x:v>
      </x:c>
      <x:c r="BB561" s="64" t="n">
        <x:f>-ROUND(AK561*'Drivers'!AA561,3)</x:f>
        <x:v>-12.95</x:v>
      </x:c>
      <x:c r="BC561" s="64" t="n">
        <x:f>SUM(BA561,BB561)</x:f>
        <x:v>-24.896</x:v>
      </x:c>
      <x:c r="BD561" s="64" t="n">
        <x:f>-ROUND(AK561*'Drivers'!AB561,3)</x:f>
        <x:v>-12.693</x:v>
      </x:c>
      <x:c r="BE561" s="64" t="n">
        <x:f>SUM(AX561:BB561,BD561)</x:f>
        <x:v>-135.003</x:v>
      </x:c>
      <x:c r="BF561" s="67" t="n">
        <x:f>'Drivers'!AF561</x:f>
        <x:v>8</x:v>
      </x:c>
      <x:c r="BG561" s="64" t="n">
        <x:f>BJ561</x:f>
        <x:v>-47.326</x:v>
      </x:c>
      <x:c r="BH561" s="64" t="n">
        <x:f>BE561/BF561</x:f>
        <x:v>-16.875375</x:v>
      </x:c>
      <x:c r="BI561" s="68" t="n">
        <x:f>BF561/L561</x:f>
        <x:v>1.6</x:v>
      </x:c>
      <x:c r="BJ561" s="64" t="n">
        <x:f>-ROUND(AK561*'Drivers'!AC561,3)</x:f>
        <x:v>-47.326</x:v>
      </x:c>
      <x:c r="BK561" s="64" t="n">
        <x:f>-ROUND(AK561*'Drivers'!AD561,3)</x:f>
        <x:v>-214.699</x:v>
      </x:c>
      <x:c r="BL561" s="64" t="n">
        <x:f>SUM(AV561,BE561,BJ561,BK561)</x:f>
        <x:v>463.0189999999996</x:v>
      </x:c>
      <x:c r="BM561" s="65" t="n">
        <x:f>BL561/AK561</x:f>
        <x:v>0.23595272577914694</x:v>
      </x:c>
      <x:c r="BN561" s="64" t="n">
        <x:f>-ROUND(AK561*'Drivers'!AE561,3)</x:f>
        <x:v>-137.415</x:v>
      </x:c>
      <x:c r="BO561" s="64" t="n">
        <x:f>BL561+BN561</x:f>
        <x:v>325.6039999999996</x:v>
      </x:c>
      <x:c r="BP561" s="65" t="n">
        <x:f>BO561/AK561</x:f>
        <x:v>0.16592656310992276</x:v>
      </x:c>
    </x:row>
    <x:row r="562">
      <x:c r="A562" s="61" t="n">
        <x:v>2025</x:v>
      </x:c>
      <x:c r="B562" s="18" t="str">
        <x:v>S1</x:v>
      </x:c>
      <x:c r="C562" s="18" t="str">
        <x:v>2025 S1</x:v>
      </x:c>
      <x:c r="D562" s="18" t="str">
        <x:v>CNCT0141</x:v>
      </x:c>
      <x:c r="E562" s="18" t="str">
        <x:v>沈阳K11</x:v>
      </x:c>
      <x:c r="F562" s="18" t="str">
        <x:v>沈阳</x:v>
      </x:c>
      <x:c r="G562" s="18" t="str">
        <x:v>辽宁省</x:v>
      </x:c>
      <x:c r="H562" s="18" t="str">
        <x:v>北区</x:v>
      </x:c>
      <x:c r="I562" s="18" t="str">
        <x:v>Shopping Mall</x:v>
      </x:c>
      <x:c r="J562" s="18" t="str">
        <x:v>Core Shopping Center</x:v>
      </x:c>
      <x:c r="K562" s="18" t="str">
        <x:v>正常</x:v>
      </x:c>
      <x:c r="L562" s="62" t="n">
        <x:v>4</x:v>
      </x:c>
      <x:c r="M562" s="62" t="n">
        <x:v>36</x:v>
      </x:c>
      <x:c r="N562" s="63" t="n">
        <x:f>'Drivers'!C562</x:f>
        <x:v>1287</x:v>
      </x:c>
      <x:c r="O562" s="63" t="n">
        <x:f>'Drivers'!D562</x:f>
        <x:v>1024.994</x:v>
      </x:c>
      <x:c r="P562" s="64" t="n">
        <x:f>ROUND(N562*O562/1000,3)</x:f>
        <x:v>1319.167</x:v>
      </x:c>
      <x:c r="Q562" s="64" t="n">
        <x:f>ROUND(P562*'Drivers'!E562,3)</x:f>
        <x:v>1288.206</x:v>
      </x:c>
      <x:c r="R562" s="64" t="n">
        <x:f>-ROUND(Q562*'Drivers'!F562,3)</x:f>
        <x:v>-277.023</x:v>
      </x:c>
      <x:c r="S562" s="65" t="n">
        <x:f>R562/Q562</x:f>
        <x:v>-0.21504557500896598</x:v>
      </x:c>
      <x:c r="T562" s="64" t="n">
        <x:f>-ROUND(Q562*'Drivers'!G562,3)</x:f>
        <x:v>-25.992</x:v>
      </x:c>
      <x:c r="U562" s="65" t="n">
        <x:f>T562/Q562</x:f>
        <x:v>-0.02017689717327819</x:v>
      </x:c>
      <x:c r="V562" s="64" t="n">
        <x:f>-ROUND(Q562*'Drivers'!H562,3)</x:f>
        <x:v>-12.25</x:v>
      </x:c>
      <x:c r="W562" s="64" t="n">
        <x:f>-ROUND(Q562*'Drivers'!I562,3)</x:f>
        <x:v>-11.306</x:v>
      </x:c>
      <x:c r="X562" s="64" t="n">
        <x:f>-ROUND(Q562*'Drivers'!J562,3)</x:f>
        <x:v>-15.273</x:v>
      </x:c>
      <x:c r="Y562" s="64" t="n">
        <x:f>-ROUND(Q562*'Drivers'!K562,3)</x:f>
        <x:v>-13.108</x:v>
      </x:c>
      <x:c r="Z562" s="64" t="n">
        <x:f>-ROUND(Q562*'Drivers'!L562,3)</x:f>
        <x:v>-16.396</x:v>
      </x:c>
      <x:c r="AA562" s="64" t="n">
        <x:f>-ROUND(Q562*'Drivers'!M562,3)</x:f>
        <x:v>-12.665</x:v>
      </x:c>
      <x:c r="AB562" s="64" t="n">
        <x:f>-ROUND(Q562*'Drivers'!N562,3)</x:f>
        <x:v>-8.274</x:v>
      </x:c>
      <x:c r="AC562" s="64" t="n">
        <x:f>SUM(V562:AB562)</x:f>
        <x:v>-89.27199999999999</x:v>
      </x:c>
      <x:c r="AD562" s="65" t="n">
        <x:f>AC562/Q562</x:f>
        <x:v>-0.06929947539446331</x:v>
      </x:c>
      <x:c r="AE562" s="64" t="n">
        <x:f>-ROUND(Q562*'Drivers'!O562,3)</x:f>
        <x:v>-16.87</x:v>
      </x:c>
      <x:c r="AF562" s="65" t="n">
        <x:f>AE562/Q562</x:f>
        <x:v>-0.013095731583302673</x:v>
      </x:c>
      <x:c r="AG562" s="64" t="n">
        <x:f>-ROUND(Q562*'Drivers'!P562,3)</x:f>
        <x:v>-3.495</x:v>
      </x:c>
      <x:c r="AH562" s="64" t="n">
        <x:f>-ROUND(Q562*'Drivers'!Q562,3)</x:f>
        <x:v>-1.647</x:v>
      </x:c>
      <x:c r="AI562" s="64" t="n">
        <x:f>SUM(R562,T562,AC562,AE562,AG562,AH562)</x:f>
        <x:v>-414.29900000000004</x:v>
      </x:c>
      <x:c r="AJ562" s="65" t="n">
        <x:f>AI562/Q562</x:f>
        <x:v>-0.32160927677716145</x:v>
      </x:c>
      <x:c r="AK562" s="64" t="n">
        <x:f>Q562+AI562</x:f>
        <x:v>873.9069999999999</x:v>
      </x:c>
      <x:c r="AL562" s="65" t="n">
        <x:f>AK562/Q562</x:f>
        <x:v>0.6783907232228386</x:v>
      </x:c>
      <x:c r="AM562" s="64" t="n">
        <x:f>AK562/L562</x:f>
        <x:v>218.47674999999998</x:v>
      </x:c>
      <x:c r="AN562" s="66" t="str">
        <x:f>IF(AM562&lt;=200,"≤200K",IF(AM562&lt;=350,"200–350K",IF(AM562&lt;=500,"350–500K",IF(AM562&lt;=700,"500–700K","&gt;700K"))))</x:f>
        <x:v>200–350K</x:v>
      </x:c>
      <x:c r="AO562" s="64" t="n">
        <x:f>-ROUND(Q562*'Drivers'!R562,3)</x:f>
        <x:v>-459.644</x:v>
      </x:c>
      <x:c r="AP562" s="64" t="n">
        <x:f>-ROUND(AK562*'Drivers'!S562,3)</x:f>
        <x:v>-11.886</x:v>
      </x:c>
      <x:c r="AQ562" s="64" t="n">
        <x:f>-ROUND(AK562*'Drivers'!T562,3)</x:f>
        <x:v>-4.694</x:v>
      </x:c>
      <x:c r="AR562" s="64" t="n">
        <x:f>-ROUND(AK562*'Drivers'!U562,3)</x:f>
        <x:v>-6.214</x:v>
      </x:c>
      <x:c r="AS562" s="64" t="n">
        <x:f>-ROUND(AK562*'Drivers'!V562,3)</x:f>
        <x:v>-27.075</x:v>
      </x:c>
      <x:c r="AT562" s="64" t="n">
        <x:f>SUM(AO562:AS562)</x:f>
        <x:v>-509.51300000000003</x:v>
      </x:c>
      <x:c r="AU562" s="65" t="n">
        <x:f>AT562/AK562</x:f>
        <x:v>-0.5830288577617527</x:v>
      </x:c>
      <x:c r="AV562" s="64" t="n">
        <x:f>AK562+AT562</x:f>
        <x:v>364.3939999999999</x:v>
      </x:c>
      <x:c r="AW562" s="65" t="n">
        <x:f>AV562/AK562</x:f>
        <x:v>0.4169711422382472</x:v>
      </x:c>
      <x:c r="AX562" s="64" t="n">
        <x:f>-ROUND(AK562*'Drivers'!W562,3)</x:f>
        <x:v>-10.796</x:v>
      </x:c>
      <x:c r="AY562" s="64" t="n">
        <x:f>-ROUND(AK562*'Drivers'!X562,3)</x:f>
        <x:v>-19.002</x:v>
      </x:c>
      <x:c r="AZ562" s="64" t="n">
        <x:f>-ROUND(AK562*'Drivers'!Y562,3)</x:f>
        <x:v>-13.382</x:v>
      </x:c>
      <x:c r="BA562" s="64" t="n">
        <x:f>-ROUND(AK562*'Drivers'!Z562,3)</x:f>
        <x:v>-6.66</x:v>
      </x:c>
      <x:c r="BB562" s="64" t="n">
        <x:f>-ROUND(AK562*'Drivers'!AA562,3)</x:f>
        <x:v>-6.745</x:v>
      </x:c>
      <x:c r="BC562" s="64" t="n">
        <x:f>SUM(BA562,BB562)</x:f>
        <x:v>-13.405000000000001</x:v>
      </x:c>
      <x:c r="BD562" s="64" t="n">
        <x:f>-ROUND(AK562*'Drivers'!AB562,3)</x:f>
        <x:v>-4.438</x:v>
      </x:c>
      <x:c r="BE562" s="64" t="n">
        <x:f>SUM(AX562:BB562,BD562)</x:f>
        <x:v>-61.023</x:v>
      </x:c>
      <x:c r="BF562" s="67" t="n">
        <x:f>'Drivers'!AF562</x:f>
        <x:v>6</x:v>
      </x:c>
      <x:c r="BG562" s="64" t="n">
        <x:f>BJ562</x:f>
        <x:v>-23.542</x:v>
      </x:c>
      <x:c r="BH562" s="64" t="n">
        <x:f>BE562/BF562</x:f>
        <x:v>-10.1705</x:v>
      </x:c>
      <x:c r="BI562" s="68" t="n">
        <x:f>BF562/L562</x:f>
        <x:v>1.5</x:v>
      </x:c>
      <x:c r="BJ562" s="64" t="n">
        <x:f>-ROUND(AK562*'Drivers'!AC562,3)</x:f>
        <x:v>-23.542</x:v>
      </x:c>
      <x:c r="BK562" s="64" t="n">
        <x:f>-ROUND(AK562*'Drivers'!AD562,3)</x:f>
        <x:v>-86.974</x:v>
      </x:c>
      <x:c r="BL562" s="64" t="n">
        <x:f>SUM(AV562,BE562,BJ562,BK562)</x:f>
        <x:v>192.85499999999985</x:v>
      </x:c>
      <x:c r="BM562" s="65" t="n">
        <x:f>BL562/AK562</x:f>
        <x:v>0.2206813768513124</x:v>
      </x:c>
      <x:c r="BN562" s="64" t="n">
        <x:f>-ROUND(AK562*'Drivers'!AE562,3)</x:f>
        <x:v>-57.364</x:v>
      </x:c>
      <x:c r="BO562" s="64" t="n">
        <x:f>BL562+BN562</x:f>
        <x:v>135.49099999999984</x:v>
      </x:c>
      <x:c r="BP562" s="65" t="n">
        <x:f>BO562/AK562</x:f>
        <x:v>0.15504052490711237</x:v>
      </x:c>
    </x:row>
    <x:row r="563">
      <x:c r="A563" s="61" t="n">
        <x:v>2025</x:v>
      </x:c>
      <x:c r="B563" s="18" t="str">
        <x:v>S2</x:v>
      </x:c>
      <x:c r="C563" s="18" t="str">
        <x:v>2025 S2</x:v>
      </x:c>
      <x:c r="D563" s="18" t="str">
        <x:v>CNCT0141</x:v>
      </x:c>
      <x:c r="E563" s="18" t="str">
        <x:v>沈阳K11</x:v>
      </x:c>
      <x:c r="F563" s="18" t="str">
        <x:v>沈阳</x:v>
      </x:c>
      <x:c r="G563" s="18" t="str">
        <x:v>辽宁省</x:v>
      </x:c>
      <x:c r="H563" s="18" t="str">
        <x:v>北区</x:v>
      </x:c>
      <x:c r="I563" s="18" t="str">
        <x:v>Shopping Mall</x:v>
      </x:c>
      <x:c r="J563" s="18" t="str">
        <x:v>Core Shopping Center</x:v>
      </x:c>
      <x:c r="K563" s="18" t="str">
        <x:v>正常</x:v>
      </x:c>
      <x:c r="L563" s="62" t="n">
        <x:v>4</x:v>
      </x:c>
      <x:c r="M563" s="62" t="n">
        <x:v>36</x:v>
      </x:c>
      <x:c r="N563" s="63" t="n">
        <x:f>'Drivers'!C563</x:f>
        <x:v>1368</x:v>
      </x:c>
      <x:c r="O563" s="63" t="n">
        <x:f>'Drivers'!D563</x:f>
        <x:v>1037.294</x:v>
      </x:c>
      <x:c r="P563" s="64" t="n">
        <x:f>ROUND(N563*O563/1000,3)</x:f>
        <x:v>1419.018</x:v>
      </x:c>
      <x:c r="Q563" s="64" t="n">
        <x:f>ROUND(P563*'Drivers'!E563,3)</x:f>
        <x:v>1392.876</x:v>
      </x:c>
      <x:c r="R563" s="64" t="n">
        <x:f>-ROUND(Q563*'Drivers'!F563,3)</x:f>
        <x:v>-299.532</x:v>
      </x:c>
      <x:c r="S563" s="65" t="n">
        <x:f>R563/Q563</x:f>
        <x:v>-0.21504570399662282</x:v>
      </x:c>
      <x:c r="T563" s="64" t="n">
        <x:f>-ROUND(Q563*'Drivers'!G563,3)</x:f>
        <x:v>-28.104</x:v>
      </x:c>
      <x:c r="U563" s="65" t="n">
        <x:f>T563/Q563</x:f>
        <x:v>-0.02017695760426628</x:v>
      </x:c>
      <x:c r="V563" s="64" t="n">
        <x:f>-ROUND(Q563*'Drivers'!H563,3)</x:f>
        <x:v>-13.246</x:v>
      </x:c>
      <x:c r="W563" s="64" t="n">
        <x:f>-ROUND(Q563*'Drivers'!I563,3)</x:f>
        <x:v>-12.225</x:v>
      </x:c>
      <x:c r="X563" s="64" t="n">
        <x:f>-ROUND(Q563*'Drivers'!J563,3)</x:f>
        <x:v>-16.514</x:v>
      </x:c>
      <x:c r="Y563" s="64" t="n">
        <x:f>-ROUND(Q563*'Drivers'!K563,3)</x:f>
        <x:v>-14.173</x:v>
      </x:c>
      <x:c r="Z563" s="64" t="n">
        <x:f>-ROUND(Q563*'Drivers'!L563,3)</x:f>
        <x:v>-17.729</x:v>
      </x:c>
      <x:c r="AA563" s="64" t="n">
        <x:f>-ROUND(Q563*'Drivers'!M563,3)</x:f>
        <x:v>-13.694</x:v>
      </x:c>
      <x:c r="AB563" s="64" t="n">
        <x:f>-ROUND(Q563*'Drivers'!N563,3)</x:f>
        <x:v>-8.946</x:v>
      </x:c>
      <x:c r="AC563" s="64" t="n">
        <x:f>SUM(V563:AB563)</x:f>
        <x:v>-96.527</x:v>
      </x:c>
      <x:c r="AD563" s="65" t="n">
        <x:f>AC563/Q563</x:f>
        <x:v>-0.06930049767531353</x:v>
      </x:c>
      <x:c r="AE563" s="64" t="n">
        <x:f>-ROUND(Q563*'Drivers'!O563,3)</x:f>
        <x:v>-18.241</x:v>
      </x:c>
      <x:c r="AF563" s="65" t="n">
        <x:f>AE563/Q563</x:f>
        <x:v>-0.013095925265422047</x:v>
      </x:c>
      <x:c r="AG563" s="64" t="n">
        <x:f>-ROUND(Q563*'Drivers'!P563,3)</x:f>
        <x:v>-3.779</x:v>
      </x:c>
      <x:c r="AH563" s="64" t="n">
        <x:f>-ROUND(Q563*'Drivers'!Q563,3)</x:f>
        <x:v>-1.78</x:v>
      </x:c>
      <x:c r="AI563" s="64" t="n">
        <x:f>SUM(R563,T563,AC563,AE563,AG563,AH563)</x:f>
        <x:v>-447.9629999999999</x:v>
      </x:c>
      <x:c r="AJ563" s="65" t="n">
        <x:f>AI563/Q563</x:f>
        <x:v>-0.3216101074323916</x:v>
      </x:c>
      <x:c r="AK563" s="64" t="n">
        <x:f>Q563+AI563</x:f>
        <x:v>944.913</x:v>
      </x:c>
      <x:c r="AL563" s="65" t="n">
        <x:f>AK563/Q563</x:f>
        <x:v>0.6783898925676083</x:v>
      </x:c>
      <x:c r="AM563" s="64" t="n">
        <x:f>AK563/L563</x:f>
        <x:v>236.22825</x:v>
      </x:c>
      <x:c r="AN563" s="66" t="str">
        <x:f>IF(AM563&lt;=200,"≤200K",IF(AM563&lt;=350,"200–350K",IF(AM563&lt;=500,"350–500K",IF(AM563&lt;=700,"500–700K","&gt;700K"))))</x:f>
        <x:v>200–350K</x:v>
      </x:c>
      <x:c r="AO563" s="64" t="n">
        <x:f>-ROUND(Q563*'Drivers'!R563,3)</x:f>
        <x:v>-493.859</x:v>
      </x:c>
      <x:c r="AP563" s="64" t="n">
        <x:f>-ROUND(AK563*'Drivers'!S563,3)</x:f>
        <x:v>-12.852</x:v>
      </x:c>
      <x:c r="AQ563" s="64" t="n">
        <x:f>-ROUND(AK563*'Drivers'!T563,3)</x:f>
        <x:v>-5.075</x:v>
      </x:c>
      <x:c r="AR563" s="64" t="n">
        <x:f>-ROUND(AK563*'Drivers'!U563,3)</x:f>
        <x:v>-6.719</x:v>
      </x:c>
      <x:c r="AS563" s="64" t="n">
        <x:f>-ROUND(AK563*'Drivers'!V563,3)</x:f>
        <x:v>-29.275</x:v>
      </x:c>
      <x:c r="AT563" s="64" t="n">
        <x:f>SUM(AO563:AS563)</x:f>
        <x:v>-547.78</x:v>
      </x:c>
      <x:c r="AU563" s="65" t="n">
        <x:f>AT563/AK563</x:f>
        <x:v>-0.5797147462253138</x:v>
      </x:c>
      <x:c r="AV563" s="64" t="n">
        <x:f>AK563+AT563</x:f>
        <x:v>397.13300000000004</x:v>
      </x:c>
      <x:c r="AW563" s="65" t="n">
        <x:f>AV563/AK563</x:f>
        <x:v>0.4202852537746862</x:v>
      </x:c>
      <x:c r="AX563" s="64" t="n">
        <x:f>-ROUND(AK563*'Drivers'!W563,3)</x:f>
        <x:v>-11.673</x:v>
      </x:c>
      <x:c r="AY563" s="64" t="n">
        <x:f>-ROUND(AK563*'Drivers'!X563,3)</x:f>
        <x:v>-20.546</x:v>
      </x:c>
      <x:c r="AZ563" s="64" t="n">
        <x:f>-ROUND(AK563*'Drivers'!Y563,3)</x:f>
        <x:v>-14.469</x:v>
      </x:c>
      <x:c r="BA563" s="64" t="n">
        <x:f>-ROUND(AK563*'Drivers'!Z563,3)</x:f>
        <x:v>-7.201</x:v>
      </x:c>
      <x:c r="BB563" s="64" t="n">
        <x:f>-ROUND(AK563*'Drivers'!AA563,3)</x:f>
        <x:v>-7.293</x:v>
      </x:c>
      <x:c r="BC563" s="64" t="n">
        <x:f>SUM(BA563,BB563)</x:f>
        <x:v>-14.494</x:v>
      </x:c>
      <x:c r="BD563" s="64" t="n">
        <x:f>-ROUND(AK563*'Drivers'!AB563,3)</x:f>
        <x:v>-4.798</x:v>
      </x:c>
      <x:c r="BE563" s="64" t="n">
        <x:f>SUM(AX563:BB563,BD563)</x:f>
        <x:v>-65.98</x:v>
      </x:c>
      <x:c r="BF563" s="67" t="n">
        <x:f>'Drivers'!AF563</x:f>
        <x:v>6</x:v>
      </x:c>
      <x:c r="BG563" s="64" t="n">
        <x:f>BJ563</x:f>
        <x:v>-25.455</x:v>
      </x:c>
      <x:c r="BH563" s="64" t="n">
        <x:f>BE563/BF563</x:f>
        <x:v>-10.996666666666668</x:v>
      </x:c>
      <x:c r="BI563" s="68" t="n">
        <x:f>BF563/L563</x:f>
        <x:v>1.5</x:v>
      </x:c>
      <x:c r="BJ563" s="64" t="n">
        <x:f>-ROUND(AK563*'Drivers'!AC563,3)</x:f>
        <x:v>-25.455</x:v>
      </x:c>
      <x:c r="BK563" s="64" t="n">
        <x:f>-ROUND(AK563*'Drivers'!AD563,3)</x:f>
        <x:v>-94.041</x:v>
      </x:c>
      <x:c r="BL563" s="64" t="n">
        <x:f>SUM(AV563,BE563,BJ563,BK563)</x:f>
        <x:v>211.65700000000004</x:v>
      </x:c>
      <x:c r="BM563" s="65" t="n">
        <x:f>BL563/AK563</x:f>
        <x:v>0.22399628325570717</x:v>
      </x:c>
      <x:c r="BN563" s="64" t="n">
        <x:f>-ROUND(AK563*'Drivers'!AE563,3)</x:f>
        <x:v>-62.024</x:v>
      </x:c>
      <x:c r="BO563" s="64" t="n">
        <x:f>BL563+BN563</x:f>
        <x:v>149.63300000000004</x:v>
      </x:c>
      <x:c r="BP563" s="65" t="n">
        <x:f>BO563/AK563</x:f>
        <x:v>0.15835637778292821</x:v>
      </x:c>
    </x:row>
    <x:row r="564">
      <x:c r="A564" s="61" t="n">
        <x:v>2026</x:v>
      </x:c>
      <x:c r="B564" s="18" t="str">
        <x:v>S1</x:v>
      </x:c>
      <x:c r="C564" s="18" t="str">
        <x:v>2026 S1</x:v>
      </x:c>
      <x:c r="D564" s="18" t="str">
        <x:v>CNCT0141</x:v>
      </x:c>
      <x:c r="E564" s="18" t="str">
        <x:v>沈阳K11</x:v>
      </x:c>
      <x:c r="F564" s="18" t="str">
        <x:v>沈阳</x:v>
      </x:c>
      <x:c r="G564" s="18" t="str">
        <x:v>辽宁省</x:v>
      </x:c>
      <x:c r="H564" s="18" t="str">
        <x:v>北区</x:v>
      </x:c>
      <x:c r="I564" s="18" t="str">
        <x:v>Shopping Mall</x:v>
      </x:c>
      <x:c r="J564" s="18" t="str">
        <x:v>Core Shopping Center</x:v>
      </x:c>
      <x:c r="K564" s="18" t="str">
        <x:v>正常</x:v>
      </x:c>
      <x:c r="L564" s="62" t="n">
        <x:v>4</x:v>
      </x:c>
      <x:c r="M564" s="62" t="n">
        <x:v>36</x:v>
      </x:c>
      <x:c r="N564" s="63" t="n">
        <x:f>'Drivers'!C564</x:f>
        <x:v>1203</x:v>
      </x:c>
      <x:c r="O564" s="63" t="n">
        <x:f>'Drivers'!D564</x:f>
        <x:v>1074.944</x:v>
      </x:c>
      <x:c r="P564" s="64" t="n">
        <x:f>ROUND(N564*O564/1000,3)</x:f>
        <x:v>1293.158</x:v>
      </x:c>
      <x:c r="Q564" s="64" t="n">
        <x:f>ROUND(P564*'Drivers'!E564,3)</x:f>
        <x:v>1266.035</x:v>
      </x:c>
      <x:c r="R564" s="64" t="n">
        <x:f>-ROUND(Q564*'Drivers'!F564,3)</x:f>
        <x:v>-273.738</x:v>
      </x:c>
      <x:c r="S564" s="65" t="n">
        <x:f>R564/Q564</x:f>
        <x:v>-0.21621677125829852</x:v>
      </x:c>
      <x:c r="T564" s="64" t="n">
        <x:f>-ROUND(Q564*'Drivers'!G564,3)</x:f>
        <x:v>-26.303</x:v>
      </x:c>
      <x:c r="U564" s="65" t="n">
        <x:f>T564/Q564</x:f>
        <x:v>-0.020775886922557434</x:v>
      </x:c>
      <x:c r="V564" s="64" t="n">
        <x:f>-ROUND(Q564*'Drivers'!H564,3)</x:f>
        <x:v>-12.04</x:v>
      </x:c>
      <x:c r="W564" s="64" t="n">
        <x:f>-ROUND(Q564*'Drivers'!I564,3)</x:f>
        <x:v>-11.112</x:v>
      </x:c>
      <x:c r="X564" s="64" t="n">
        <x:f>-ROUND(Q564*'Drivers'!J564,3)</x:f>
        <x:v>-15.01</x:v>
      </x:c>
      <x:c r="Y564" s="64" t="n">
        <x:f>-ROUND(Q564*'Drivers'!K564,3)</x:f>
        <x:v>-12.882</x:v>
      </x:c>
      <x:c r="Z564" s="64" t="n">
        <x:f>-ROUND(Q564*'Drivers'!L564,3)</x:f>
        <x:v>-16.114</x:v>
      </x:c>
      <x:c r="AA564" s="64" t="n">
        <x:f>-ROUND(Q564*'Drivers'!M564,3)</x:f>
        <x:v>-12.447</x:v>
      </x:c>
      <x:c r="AB564" s="64" t="n">
        <x:f>-ROUND(Q564*'Drivers'!N564,3)</x:f>
        <x:v>-8.131</x:v>
      </x:c>
      <x:c r="AC564" s="64" t="n">
        <x:f>SUM(V564:AB564)</x:f>
        <x:v>-87.736</x:v>
      </x:c>
      <x:c r="AD564" s="65" t="n">
        <x:f>AC564/Q564</x:f>
        <x:v>-0.069299821884861</x:v>
      </x:c>
      <x:c r="AE564" s="64" t="n">
        <x:f>-ROUND(Q564*'Drivers'!O564,3)</x:f>
        <x:v>-15.006</x:v>
      </x:c>
      <x:c r="AF564" s="65" t="n">
        <x:f>AE564/Q564</x:f>
        <x:v>-0.011852752885978665</x:v>
      </x:c>
      <x:c r="AG564" s="64" t="n">
        <x:f>-ROUND(Q564*'Drivers'!P564,3)</x:f>
        <x:v>-3.435</x:v>
      </x:c>
      <x:c r="AH564" s="64" t="n">
        <x:f>-ROUND(Q564*'Drivers'!Q564,3)</x:f>
        <x:v>-1.618</x:v>
      </x:c>
      <x:c r="AI564" s="64" t="n">
        <x:f>SUM(R564,T564,AC564,AE564,AG564,AH564)</x:f>
        <x:v>-407.836</x:v>
      </x:c>
      <x:c r="AJ564" s="65" t="n">
        <x:f>AI564/Q564</x:f>
        <x:v>-0.3221364338268689</x:v>
      </x:c>
      <x:c r="AK564" s="64" t="n">
        <x:f>Q564+AI564</x:f>
        <x:v>858.1990000000001</x:v>
      </x:c>
      <x:c r="AL564" s="65" t="n">
        <x:f>AK564/Q564</x:f>
        <x:v>0.677863566173131</x:v>
      </x:c>
      <x:c r="AM564" s="64" t="n">
        <x:f>AK564/L564</x:f>
        <x:v>214.54975000000002</x:v>
      </x:c>
      <x:c r="AN564" s="66" t="str">
        <x:f>IF(AM564&lt;=200,"≤200K",IF(AM564&lt;=350,"200–350K",IF(AM564&lt;=500,"350–500K",IF(AM564&lt;=700,"500–700K","&gt;700K"))))</x:f>
        <x:v>200–350K</x:v>
      </x:c>
      <x:c r="AO564" s="64" t="n">
        <x:f>-ROUND(Q564*'Drivers'!R564,3)</x:f>
        <x:v>-446.793</x:v>
      </x:c>
      <x:c r="AP564" s="64" t="n">
        <x:f>-ROUND(AK564*'Drivers'!S564,3)</x:f>
        <x:v>-11.673</x:v>
      </x:c>
      <x:c r="AQ564" s="64" t="n">
        <x:f>-ROUND(AK564*'Drivers'!T564,3)</x:f>
        <x:v>-4.61</x:v>
      </x:c>
      <x:c r="AR564" s="64" t="n">
        <x:f>-ROUND(AK564*'Drivers'!U564,3)</x:f>
        <x:v>-6.103</x:v>
      </x:c>
      <x:c r="AS564" s="64" t="n">
        <x:f>-ROUND(AK564*'Drivers'!V564,3)</x:f>
        <x:v>-26.588</x:v>
      </x:c>
      <x:c r="AT564" s="64" t="n">
        <x:f>SUM(AO564:AS564)</x:f>
        <x:v>-495.76700000000005</x:v>
      </x:c>
      <x:c r="AU564" s="65" t="n">
        <x:f>AT564/AK564</x:f>
        <x:v>-0.5776830315579486</x:v>
      </x:c>
      <x:c r="AV564" s="64" t="n">
        <x:f>AK564+AT564</x:f>
        <x:v>362.432</x:v>
      </x:c>
      <x:c r="AW564" s="65" t="n">
        <x:f>AV564/AK564</x:f>
        <x:v>0.4223169684420513</x:v>
      </x:c>
      <x:c r="AX564" s="64" t="n">
        <x:f>-ROUND(AK564*'Drivers'!W564,3)</x:f>
        <x:v>-13.045</x:v>
      </x:c>
      <x:c r="AY564" s="64" t="n">
        <x:f>-ROUND(AK564*'Drivers'!X564,3)</x:f>
        <x:v>-22.96</x:v>
      </x:c>
      <x:c r="AZ564" s="64" t="n">
        <x:f>-ROUND(AK564*'Drivers'!Y564,3)</x:f>
        <x:v>-16.17</x:v>
      </x:c>
      <x:c r="BA564" s="64" t="n">
        <x:f>-ROUND(AK564*'Drivers'!Z564,3)</x:f>
        <x:v>-8.047</x:v>
      </x:c>
      <x:c r="BB564" s="64" t="n">
        <x:f>-ROUND(AK564*'Drivers'!AA564,3)</x:f>
        <x:v>-8.151</x:v>
      </x:c>
      <x:c r="BC564" s="64" t="n">
        <x:f>SUM(BA564,BB564)</x:f>
        <x:v>-16.198</x:v>
      </x:c>
      <x:c r="BD564" s="64" t="n">
        <x:f>-ROUND(AK564*'Drivers'!AB564,3)</x:f>
        <x:v>-5.362</x:v>
      </x:c>
      <x:c r="BE564" s="64" t="n">
        <x:f>SUM(AX564:BB564,BD564)</x:f>
        <x:v>-73.735</x:v>
      </x:c>
      <x:c r="BF564" s="67" t="n">
        <x:f>'Drivers'!AF564</x:f>
        <x:v>6</x:v>
      </x:c>
      <x:c r="BG564" s="64" t="n">
        <x:f>BJ564</x:f>
        <x:v>-28.446</x:v>
      </x:c>
      <x:c r="BH564" s="64" t="n">
        <x:f>BE564/BF564</x:f>
        <x:v>-12.289166666666667</x:v>
      </x:c>
      <x:c r="BI564" s="68" t="n">
        <x:f>BF564/L564</x:f>
        <x:v>1.5</x:v>
      </x:c>
      <x:c r="BJ564" s="64" t="n">
        <x:f>-ROUND(AK564*'Drivers'!AC564,3)</x:f>
        <x:v>-28.446</x:v>
      </x:c>
      <x:c r="BK564" s="64" t="n">
        <x:f>-ROUND(AK564*'Drivers'!AD564,3)</x:f>
        <x:v>-85.411</x:v>
      </x:c>
      <x:c r="BL564" s="64" t="n">
        <x:f>SUM(AV564,BE564,BJ564,BK564)</x:f>
        <x:v>174.83999999999997</x:v>
      </x:c>
      <x:c r="BM564" s="65" t="n">
        <x:f>BL564/AK564</x:f>
        <x:v>0.20372897195172676</x:v>
      </x:c>
      <x:c r="BN564" s="64" t="n">
        <x:f>-ROUND(AK564*'Drivers'!AE564,3)</x:f>
        <x:v>-56.333</x:v>
      </x:c>
      <x:c r="BO564" s="64" t="n">
        <x:f>BL564+BN564</x:f>
        <x:v>118.50699999999998</x:v>
      </x:c>
      <x:c r="BP564" s="65" t="n">
        <x:f>BO564/AK564</x:f>
        <x:v>0.13808801921232716</x:v>
      </x:c>
    </x:row>
    <x:row r="565">
      <x:c r="A565" s="61" t="n">
        <x:v>2026</x:v>
      </x:c>
      <x:c r="B565" s="18" t="str">
        <x:v>S2</x:v>
      </x:c>
      <x:c r="C565" s="18" t="str">
        <x:v>2026 S2</x:v>
      </x:c>
      <x:c r="D565" s="18" t="str">
        <x:v>CNCT0141</x:v>
      </x:c>
      <x:c r="E565" s="18" t="str">
        <x:v>沈阳K11</x:v>
      </x:c>
      <x:c r="F565" s="18" t="str">
        <x:v>沈阳</x:v>
      </x:c>
      <x:c r="G565" s="18" t="str">
        <x:v>辽宁省</x:v>
      </x:c>
      <x:c r="H565" s="18" t="str">
        <x:v>北区</x:v>
      </x:c>
      <x:c r="I565" s="18" t="str">
        <x:v>Shopping Mall</x:v>
      </x:c>
      <x:c r="J565" s="18" t="str">
        <x:v>Core Shopping Center</x:v>
      </x:c>
      <x:c r="K565" s="18" t="str">
        <x:v>正常</x:v>
      </x:c>
      <x:c r="L565" s="62" t="n">
        <x:v>4</x:v>
      </x:c>
      <x:c r="M565" s="62" t="n">
        <x:v>35</x:v>
      </x:c>
      <x:c r="N565" s="63" t="n">
        <x:f>'Drivers'!C565</x:f>
        <x:v>1344</x:v>
      </x:c>
      <x:c r="O565" s="63" t="n">
        <x:f>'Drivers'!D565</x:f>
        <x:v>1076.952</x:v>
      </x:c>
      <x:c r="P565" s="64" t="n">
        <x:f>ROUND(N565*O565/1000,3)</x:f>
        <x:v>1447.423</x:v>
      </x:c>
      <x:c r="Q565" s="64" t="n">
        <x:f>ROUND(P565*'Drivers'!E565,3)</x:f>
        <x:v>1420.758</x:v>
      </x:c>
      <x:c r="R565" s="64" t="n">
        <x:f>-ROUND(Q565*'Drivers'!F565,3)</x:f>
        <x:v>-295.583</x:v>
      </x:c>
      <x:c r="S565" s="65" t="n">
        <x:f>R565/Q565</x:f>
        <x:v>-0.2080459867197651</x:v>
      </x:c>
      <x:c r="T565" s="64" t="n">
        <x:f>-ROUND(Q565*'Drivers'!G565,3)</x:f>
        <x:v>-26.872</x:v>
      </x:c>
      <x:c r="U565" s="65" t="n">
        <x:f>T565/Q565</x:f>
        <x:v>-0.018913847396952895</x:v>
      </x:c>
      <x:c r="V565" s="64" t="n">
        <x:f>-ROUND(Q565*'Drivers'!H565,3)</x:f>
        <x:v>-13.511</x:v>
      </x:c>
      <x:c r="W565" s="64" t="n">
        <x:f>-ROUND(Q565*'Drivers'!I565,3)</x:f>
        <x:v>-12.47</x:v>
      </x:c>
      <x:c r="X565" s="64" t="n">
        <x:f>-ROUND(Q565*'Drivers'!J565,3)</x:f>
        <x:v>-16.845</x:v>
      </x:c>
      <x:c r="Y565" s="64" t="n">
        <x:f>-ROUND(Q565*'Drivers'!K565,3)</x:f>
        <x:v>-14.457</x:v>
      </x:c>
      <x:c r="Z565" s="64" t="n">
        <x:f>-ROUND(Q565*'Drivers'!L565,3)</x:f>
        <x:v>-18.083</x:v>
      </x:c>
      <x:c r="AA565" s="64" t="n">
        <x:f>-ROUND(Q565*'Drivers'!M565,3)</x:f>
        <x:v>-13.968</x:v>
      </x:c>
      <x:c r="AB565" s="64" t="n">
        <x:f>-ROUND(Q565*'Drivers'!N565,3)</x:f>
        <x:v>-9.125</x:v>
      </x:c>
      <x:c r="AC565" s="64" t="n">
        <x:f>SUM(V565:AB565)</x:f>
        <x:v>-98.459</x:v>
      </x:c>
      <x:c r="AD565" s="65" t="n">
        <x:f>AC565/Q565</x:f>
        <x:v>-0.06930033123163833</x:v>
      </x:c>
      <x:c r="AE565" s="64" t="n">
        <x:f>-ROUND(Q565*'Drivers'!O565,3)</x:f>
        <x:v>-18.606</x:v>
      </x:c>
      <x:c r="AF565" s="65" t="n">
        <x:f>AE565/Q565</x:f>
        <x:v>-0.013095826312433223</x:v>
      </x:c>
      <x:c r="AG565" s="64" t="n">
        <x:f>-ROUND(Q565*'Drivers'!P565,3)</x:f>
        <x:v>-3.854</x:v>
      </x:c>
      <x:c r="AH565" s="64" t="n">
        <x:f>-ROUND(Q565*'Drivers'!Q565,3)</x:f>
        <x:v>-1.816</x:v>
      </x:c>
      <x:c r="AI565" s="64" t="n">
        <x:f>SUM(R565,T565,AC565,AE565,AG565,AH565)</x:f>
        <x:v>-445.19</x:v>
      </x:c>
      <x:c r="AJ565" s="65" t="n">
        <x:f>AI565/Q565</x:f>
        <x:v>-0.31334681909234363</x:v>
      </x:c>
      <x:c r="AK565" s="64" t="n">
        <x:f>Q565+AI565</x:f>
        <x:v>975.568</x:v>
      </x:c>
      <x:c r="AL565" s="65" t="n">
        <x:f>AK565/Q565</x:f>
        <x:v>0.6866531809076563</x:v>
      </x:c>
      <x:c r="AM565" s="64" t="n">
        <x:f>AK565/L565</x:f>
        <x:v>243.892</x:v>
      </x:c>
      <x:c r="AN565" s="66" t="str">
        <x:f>IF(AM565&lt;=200,"≤200K",IF(AM565&lt;=350,"200–350K",IF(AM565&lt;=500,"350–500K",IF(AM565&lt;=700,"500–700K","&gt;700K"))))</x:f>
        <x:v>200–350K</x:v>
      </x:c>
      <x:c r="AO565" s="64" t="n">
        <x:f>-ROUND(Q565*'Drivers'!R565,3)</x:f>
        <x:v>-511.335</x:v>
      </x:c>
      <x:c r="AP565" s="64" t="n">
        <x:f>-ROUND(AK565*'Drivers'!S565,3)</x:f>
        <x:v>-13.269</x:v>
      </x:c>
      <x:c r="AQ565" s="64" t="n">
        <x:f>-ROUND(AK565*'Drivers'!T565,3)</x:f>
        <x:v>-5.24</x:v>
      </x:c>
      <x:c r="AR565" s="64" t="n">
        <x:f>-ROUND(AK565*'Drivers'!U565,3)</x:f>
        <x:v>-6.937</x:v>
      </x:c>
      <x:c r="AS565" s="64" t="n">
        <x:f>-ROUND(AK565*'Drivers'!V565,3)</x:f>
        <x:v>-30.225</x:v>
      </x:c>
      <x:c r="AT565" s="64" t="n">
        <x:f>SUM(AO565:AS565)</x:f>
        <x:v>-567.006</x:v>
      </x:c>
      <x:c r="AU565" s="65" t="n">
        <x:f>AT565/AK565</x:f>
        <x:v>-0.5812060256178965</x:v>
      </x:c>
      <x:c r="AV565" s="64" t="n">
        <x:f>AK565+AT565</x:f>
        <x:v>408.562</x:v>
      </x:c>
      <x:c r="AW565" s="65" t="n">
        <x:f>AV565/AK565</x:f>
        <x:v>0.4187939743821036</x:v>
      </x:c>
      <x:c r="AX565" s="64" t="n">
        <x:f>-ROUND(AK565*'Drivers'!W565,3)</x:f>
        <x:v>-12.775</x:v>
      </x:c>
      <x:c r="AY565" s="64" t="n">
        <x:f>-ROUND(AK565*'Drivers'!X565,3)</x:f>
        <x:v>-22.485</x:v>
      </x:c>
      <x:c r="AZ565" s="64" t="n">
        <x:f>-ROUND(AK565*'Drivers'!Y565,3)</x:f>
        <x:v>-15.835</x:v>
      </x:c>
      <x:c r="BA565" s="64" t="n">
        <x:f>-ROUND(AK565*'Drivers'!Z565,3)</x:f>
        <x:v>-7.88</x:v>
      </x:c>
      <x:c r="BB565" s="64" t="n">
        <x:f>-ROUND(AK565*'Drivers'!AA565,3)</x:f>
        <x:v>-7.982</x:v>
      </x:c>
      <x:c r="BC565" s="64" t="n">
        <x:f>SUM(BA565,BB565)</x:f>
        <x:v>-15.862</x:v>
      </x:c>
      <x:c r="BD565" s="64" t="n">
        <x:f>-ROUND(AK565*'Drivers'!AB565,3)</x:f>
        <x:v>-5.251</x:v>
      </x:c>
      <x:c r="BE565" s="64" t="n">
        <x:f>SUM(AX565:BB565,BD565)</x:f>
        <x:v>-72.20800000000001</x:v>
      </x:c>
      <x:c r="BF565" s="67" t="n">
        <x:f>'Drivers'!AF565</x:f>
        <x:v>6</x:v>
      </x:c>
      <x:c r="BG565" s="64" t="n">
        <x:f>BJ565</x:f>
        <x:v>-27.857</x:v>
      </x:c>
      <x:c r="BH565" s="64" t="n">
        <x:f>BE565/BF565</x:f>
        <x:v>-12.034666666666668</x:v>
      </x:c>
      <x:c r="BI565" s="68" t="n">
        <x:f>BF565/L565</x:f>
        <x:v>1.5</x:v>
      </x:c>
      <x:c r="BJ565" s="64" t="n">
        <x:f>-ROUND(AK565*'Drivers'!AC565,3)</x:f>
        <x:v>-27.857</x:v>
      </x:c>
      <x:c r="BK565" s="64" t="n">
        <x:f>-ROUND(AK565*'Drivers'!AD565,3)</x:f>
        <x:v>-97.092</x:v>
      </x:c>
      <x:c r="BL565" s="64" t="n">
        <x:f>SUM(AV565,BE565,BJ565,BK565)</x:f>
        <x:v>211.40499999999997</x:v>
      </x:c>
      <x:c r="BM565" s="65" t="n">
        <x:f>BL565/AK565</x:f>
        <x:v>0.2166993997343086</x:v>
      </x:c>
      <x:c r="BN565" s="64" t="n">
        <x:f>-ROUND(AK565*'Drivers'!AE565,3)</x:f>
        <x:v>-64.037</x:v>
      </x:c>
      <x:c r="BO565" s="64" t="n">
        <x:f>BL565+BN565</x:f>
        <x:v>147.36799999999997</x:v>
      </x:c>
      <x:c r="BP565" s="65" t="n">
        <x:f>BO565/AK565</x:f>
        <x:v>0.15105866531087528</x:v>
      </x:c>
    </x:row>
    <x:row r="566">
      <x:c r="A566" s="61" t="n">
        <x:v>2025</x:v>
      </x:c>
      <x:c r="B566" s="18" t="str">
        <x:v>S1</x:v>
      </x:c>
      <x:c r="C566" s="18" t="str">
        <x:v>2025 S1</x:v>
      </x:c>
      <x:c r="D566" s="18" t="str">
        <x:v>CNCT0142</x:v>
      </x:c>
      <x:c r="E566" s="18" t="str">
        <x:v>沈阳大悦城</x:v>
      </x:c>
      <x:c r="F566" s="18" t="str">
        <x:v>沈阳</x:v>
      </x:c>
      <x:c r="G566" s="18" t="str">
        <x:v>辽宁省</x:v>
      </x:c>
      <x:c r="H566" s="18" t="str">
        <x:v>北区</x:v>
      </x:c>
      <x:c r="I566" s="18" t="str">
        <x:v>Shopping Mall</x:v>
      </x:c>
      <x:c r="J566" s="18" t="str">
        <x:v>Regional Mall</x:v>
      </x:c>
      <x:c r="K566" s="18" t="str">
        <x:v>正常</x:v>
      </x:c>
      <x:c r="L566" s="62" t="n">
        <x:v>2</x:v>
      </x:c>
      <x:c r="M566" s="62" t="n">
        <x:v>36</x:v>
      </x:c>
      <x:c r="N566" s="63" t="n">
        <x:f>'Drivers'!C566</x:f>
        <x:v>915</x:v>
      </x:c>
      <x:c r="O566" s="63" t="n">
        <x:f>'Drivers'!D566</x:f>
        <x:v>938.312</x:v>
      </x:c>
      <x:c r="P566" s="64" t="n">
        <x:f>ROUND(N566*O566/1000,3)</x:f>
        <x:v>858.555</x:v>
      </x:c>
      <x:c r="Q566" s="64" t="n">
        <x:f>ROUND(P566*'Drivers'!E566,3)</x:f>
        <x:v>831.946</x:v>
      </x:c>
      <x:c r="R566" s="64" t="n">
        <x:f>-ROUND(Q566*'Drivers'!F566,3)</x:f>
        <x:v>-151.803</x:v>
      </x:c>
      <x:c r="S566" s="65" t="n">
        <x:f>R566/Q566</x:f>
        <x:v>-0.18246737168037347</x:v>
      </x:c>
      <x:c r="T566" s="64" t="n">
        <x:f>-ROUND(Q566*'Drivers'!G566,3)</x:f>
        <x:v>-16.481</x:v>
      </x:c>
      <x:c r="U566" s="65" t="n">
        <x:f>T566/Q566</x:f>
        <x:v>-0.01981017998764343</x:v>
      </x:c>
      <x:c r="V566" s="64" t="n">
        <x:f>-ROUND(Q566*'Drivers'!H566,3)</x:f>
        <x:v>-5.961</x:v>
      </x:c>
      <x:c r="W566" s="64" t="n">
        <x:f>-ROUND(Q566*'Drivers'!I566,3)</x:f>
        <x:v>-8.54</x:v>
      </x:c>
      <x:c r="X566" s="64" t="n">
        <x:f>-ROUND(Q566*'Drivers'!J566,3)</x:f>
        <x:v>-8.84</x:v>
      </x:c>
      <x:c r="Y566" s="64" t="n">
        <x:f>-ROUND(Q566*'Drivers'!K566,3)</x:f>
        <x:v>-6.754</x:v>
      </x:c>
      <x:c r="Z566" s="64" t="n">
        <x:f>-ROUND(Q566*'Drivers'!L566,3)</x:f>
        <x:v>-10.78</x:v>
      </x:c>
      <x:c r="AA566" s="64" t="n">
        <x:f>-ROUND(Q566*'Drivers'!M566,3)</x:f>
        <x:v>-5.37</x:v>
      </x:c>
      <x:c r="AB566" s="64" t="n">
        <x:f>-ROUND(Q566*'Drivers'!N566,3)</x:f>
        <x:v>-6.559</x:v>
      </x:c>
      <x:c r="AC566" s="64" t="n">
        <x:f>SUM(V566:AB566)</x:f>
        <x:v>-52.803999999999995</x:v>
      </x:c>
      <x:c r="AD566" s="65" t="n">
        <x:f>AC566/Q566</x:f>
        <x:v>-0.06347046563118279</x:v>
      </x:c>
      <x:c r="AE566" s="64" t="n">
        <x:f>-ROUND(Q566*'Drivers'!O566,3)</x:f>
        <x:v>-8.077</x:v>
      </x:c>
      <x:c r="AF566" s="65" t="n">
        <x:f>AE566/Q566</x:f>
        <x:v>-0.009708562815375035</x:v>
      </x:c>
      <x:c r="AG566" s="64" t="n">
        <x:f>-ROUND(Q566*'Drivers'!P566,3)</x:f>
        <x:v>-0.658</x:v>
      </x:c>
      <x:c r="AH566" s="64" t="n">
        <x:f>-ROUND(Q566*'Drivers'!Q566,3)</x:f>
        <x:v>-5.563</x:v>
      </x:c>
      <x:c r="AI566" s="64" t="n">
        <x:f>SUM(R566,T566,AC566,AE566,AG566,AH566)</x:f>
        <x:v>-235.38599999999997</x:v>
      </x:c>
      <x:c r="AJ566" s="65" t="n">
        <x:f>AI566/Q566</x:f>
        <x:v>-0.28293422890427977</x:v>
      </x:c>
      <x:c r="AK566" s="64" t="n">
        <x:f>Q566+AI566</x:f>
        <x:v>596.5600000000001</x:v>
      </x:c>
      <x:c r="AL566" s="65" t="n">
        <x:f>AK566/Q566</x:f>
        <x:v>0.7170657710957202</x:v>
      </x:c>
      <x:c r="AM566" s="64" t="n">
        <x:f>AK566/L566</x:f>
        <x:v>298.28000000000003</x:v>
      </x:c>
      <x:c r="AN566" s="66" t="str">
        <x:f>IF(AM566&lt;=200,"≤200K",IF(AM566&lt;=350,"200–350K",IF(AM566&lt;=500,"350–500K",IF(AM566&lt;=700,"500–700K","&gt;700K"))))</x:f>
        <x:v>200–350K</x:v>
      </x:c>
      <x:c r="AO566" s="64" t="n">
        <x:f>-ROUND(Q566*'Drivers'!R566,3)</x:f>
        <x:v>-306.208</x:v>
      </x:c>
      <x:c r="AP566" s="64" t="n">
        <x:f>-ROUND(AK566*'Drivers'!S566,3)</x:f>
        <x:v>-9.772</x:v>
      </x:c>
      <x:c r="AQ566" s="64" t="n">
        <x:f>-ROUND(AK566*'Drivers'!T566,3)</x:f>
        <x:v>-2.082</x:v>
      </x:c>
      <x:c r="AR566" s="64" t="n">
        <x:f>-ROUND(AK566*'Drivers'!U566,3)</x:f>
        <x:v>-3.802</x:v>
      </x:c>
      <x:c r="AS566" s="64" t="n">
        <x:f>-ROUND(AK566*'Drivers'!V566,3)</x:f>
        <x:v>-19.732</x:v>
      </x:c>
      <x:c r="AT566" s="64" t="n">
        <x:f>SUM(AO566:AS566)</x:f>
        <x:v>-341.596</x:v>
      </x:c>
      <x:c r="AU566" s="65" t="n">
        <x:f>AT566/AK566</x:f>
        <x:v>-0.5726096285369451</x:v>
      </x:c>
      <x:c r="AV566" s="64" t="n">
        <x:f>AK566+AT566</x:f>
        <x:v>254.96400000000006</x:v>
      </x:c>
      <x:c r="AW566" s="65" t="n">
        <x:f>AV566/AK566</x:f>
        <x:v>0.4273903714630549</x:v>
      </x:c>
      <x:c r="AX566" s="64" t="n">
        <x:f>-ROUND(AK566*'Drivers'!W566,3)</x:f>
        <x:v>-5.79</x:v>
      </x:c>
      <x:c r="AY566" s="64" t="n">
        <x:f>-ROUND(AK566*'Drivers'!X566,3)</x:f>
        <x:v>-11.768</x:v>
      </x:c>
      <x:c r="AZ566" s="64" t="n">
        <x:f>-ROUND(AK566*'Drivers'!Y566,3)</x:f>
        <x:v>-11.302</x:v>
      </x:c>
      <x:c r="BA566" s="64" t="n">
        <x:f>-ROUND(AK566*'Drivers'!Z566,3)</x:f>
        <x:v>-4.596</x:v>
      </x:c>
      <x:c r="BB566" s="64" t="n">
        <x:f>-ROUND(AK566*'Drivers'!AA566,3)</x:f>
        <x:v>-5.25</x:v>
      </x:c>
      <x:c r="BC566" s="64" t="n">
        <x:f>SUM(BA566,BB566)</x:f>
        <x:v>-9.846</x:v>
      </x:c>
      <x:c r="BD566" s="64" t="n">
        <x:f>-ROUND(AK566*'Drivers'!AB566,3)</x:f>
        <x:v>-2.578</x:v>
      </x:c>
      <x:c r="BE566" s="64" t="n">
        <x:f>SUM(AX566:BB566,BD566)</x:f>
        <x:v>-41.284000000000006</x:v>
      </x:c>
      <x:c r="BF566" s="67" t="n">
        <x:f>'Drivers'!AF566</x:f>
        <x:v>3</x:v>
      </x:c>
      <x:c r="BG566" s="64" t="n">
        <x:f>BJ566</x:f>
        <x:v>-12.905</x:v>
      </x:c>
      <x:c r="BH566" s="64" t="n">
        <x:f>BE566/BF566</x:f>
        <x:v>-13.761333333333335</x:v>
      </x:c>
      <x:c r="BI566" s="68" t="n">
        <x:f>BF566/L566</x:f>
        <x:v>1.5</x:v>
      </x:c>
      <x:c r="BJ566" s="64" t="n">
        <x:f>-ROUND(AK566*'Drivers'!AC566,3)</x:f>
        <x:v>-12.905</x:v>
      </x:c>
      <x:c r="BK566" s="64" t="n">
        <x:f>-ROUND(AK566*'Drivers'!AD566,3)</x:f>
        <x:v>-60.486</x:v>
      </x:c>
      <x:c r="BL566" s="64" t="n">
        <x:f>SUM(AV566,BE566,BJ566,BK566)</x:f>
        <x:v>140.28900000000007</x:v>
      </x:c>
      <x:c r="BM566" s="65" t="n">
        <x:f>BL566/AK566</x:f>
        <x:v>0.2351632694112915</x:v>
      </x:c>
      <x:c r="BN566" s="64" t="n">
        <x:f>-ROUND(AK566*'Drivers'!AE566,3)</x:f>
        <x:v>-52.048</x:v>
      </x:c>
      <x:c r="BO566" s="64" t="n">
        <x:f>BL566+BN566</x:f>
        <x:v>88.24100000000007</x:v>
      </x:c>
      <x:c r="BP566" s="65" t="n">
        <x:f>BO566/AK566</x:f>
        <x:v>0.14791638728711287</x:v>
      </x:c>
    </x:row>
    <x:row r="567">
      <x:c r="A567" s="61" t="n">
        <x:v>2025</x:v>
      </x:c>
      <x:c r="B567" s="18" t="str">
        <x:v>S2</x:v>
      </x:c>
      <x:c r="C567" s="18" t="str">
        <x:v>2025 S2</x:v>
      </x:c>
      <x:c r="D567" s="18" t="str">
        <x:v>CNCT0142</x:v>
      </x:c>
      <x:c r="E567" s="18" t="str">
        <x:v>沈阳大悦城</x:v>
      </x:c>
      <x:c r="F567" s="18" t="str">
        <x:v>沈阳</x:v>
      </x:c>
      <x:c r="G567" s="18" t="str">
        <x:v>辽宁省</x:v>
      </x:c>
      <x:c r="H567" s="18" t="str">
        <x:v>北区</x:v>
      </x:c>
      <x:c r="I567" s="18" t="str">
        <x:v>Shopping Mall</x:v>
      </x:c>
      <x:c r="J567" s="18" t="str">
        <x:v>Regional Mall</x:v>
      </x:c>
      <x:c r="K567" s="18" t="str">
        <x:v>正常</x:v>
      </x:c>
      <x:c r="L567" s="62" t="n">
        <x:v>2</x:v>
      </x:c>
      <x:c r="M567" s="62" t="n">
        <x:v>36</x:v>
      </x:c>
      <x:c r="N567" s="63" t="n">
        <x:f>'Drivers'!C567</x:f>
        <x:v>995</x:v>
      </x:c>
      <x:c r="O567" s="63" t="n">
        <x:f>'Drivers'!D567</x:f>
        <x:v>949.572</x:v>
      </x:c>
      <x:c r="P567" s="64" t="n">
        <x:f>ROUND(N567*O567/1000,3)</x:f>
        <x:v>944.824</x:v>
      </x:c>
      <x:c r="Q567" s="64" t="n">
        <x:f>ROUND(P567*'Drivers'!E567,3)</x:f>
        <x:v>929.731</x:v>
      </x:c>
      <x:c r="R567" s="64" t="n">
        <x:f>-ROUND(Q567*'Drivers'!F567,3)</x:f>
        <x:v>-169.645</x:v>
      </x:c>
      <x:c r="S567" s="65" t="n">
        <x:f>R567/Q567</x:f>
        <x:v>-0.18246675651344316</x:v>
      </x:c>
      <x:c r="T567" s="64" t="n">
        <x:f>-ROUND(Q567*'Drivers'!G567,3)</x:f>
        <x:v>-18.418</x:v>
      </x:c>
      <x:c r="U567" s="65" t="n">
        <x:f>T567/Q567</x:f>
        <x:v>-0.019810031073504056</x:v>
      </x:c>
      <x:c r="V567" s="64" t="n">
        <x:f>-ROUND(Q567*'Drivers'!H567,3)</x:f>
        <x:v>-6.662</x:v>
      </x:c>
      <x:c r="W567" s="64" t="n">
        <x:f>-ROUND(Q567*'Drivers'!I567,3)</x:f>
        <x:v>-9.543</x:v>
      </x:c>
      <x:c r="X567" s="64" t="n">
        <x:f>-ROUND(Q567*'Drivers'!J567,3)</x:f>
        <x:v>-9.879</x:v>
      </x:c>
      <x:c r="Y567" s="64" t="n">
        <x:f>-ROUND(Q567*'Drivers'!K567,3)</x:f>
        <x:v>-7.548</x:v>
      </x:c>
      <x:c r="Z567" s="64" t="n">
        <x:f>-ROUND(Q567*'Drivers'!L567,3)</x:f>
        <x:v>-12.047</x:v>
      </x:c>
      <x:c r="AA567" s="64" t="n">
        <x:f>-ROUND(Q567*'Drivers'!M567,3)</x:f>
        <x:v>-6.001</x:v>
      </x:c>
      <x:c r="AB567" s="64" t="n">
        <x:f>-ROUND(Q567*'Drivers'!N567,3)</x:f>
        <x:v>-7.33</x:v>
      </x:c>
      <x:c r="AC567" s="64" t="n">
        <x:f>SUM(V567:AB567)</x:f>
        <x:v>-59.01</x:v>
      </x:c>
      <x:c r="AD567" s="65" t="n">
        <x:f>AC567/Q567</x:f>
        <x:v>-0.06346997142184137</x:v>
      </x:c>
      <x:c r="AE567" s="64" t="n">
        <x:f>-ROUND(Q567*'Drivers'!O567,3)</x:f>
        <x:v>-9.026</x:v>
      </x:c>
      <x:c r="AF567" s="65" t="n">
        <x:f>AE567/Q567</x:f>
        <x:v>-0.009708184410329439</x:v>
      </x:c>
      <x:c r="AG567" s="64" t="n">
        <x:f>-ROUND(Q567*'Drivers'!P567,3)</x:f>
        <x:v>-0.735</x:v>
      </x:c>
      <x:c r="AH567" s="64" t="n">
        <x:f>-ROUND(Q567*'Drivers'!Q567,3)</x:f>
        <x:v>-6.217</x:v>
      </x:c>
      <x:c r="AI567" s="64" t="n">
        <x:f>SUM(R567,T567,AC567,AE567,AG567,AH567)</x:f>
        <x:v>-263.051</x:v>
      </x:c>
      <x:c r="AJ567" s="65" t="n">
        <x:f>AI567/Q567</x:f>
        <x:v>-0.28293237506332475</x:v>
      </x:c>
      <x:c r="AK567" s="64" t="n">
        <x:f>Q567+AI567</x:f>
        <x:v>666.6800000000001</x:v>
      </x:c>
      <x:c r="AL567" s="65" t="n">
        <x:f>AK567/Q567</x:f>
        <x:v>0.7170676249366753</x:v>
      </x:c>
      <x:c r="AM567" s="64" t="n">
        <x:f>AK567/L567</x:f>
        <x:v>333.34000000000003</x:v>
      </x:c>
      <x:c r="AN567" s="66" t="str">
        <x:f>IF(AM567&lt;=200,"≤200K",IF(AM567&lt;=350,"200–350K",IF(AM567&lt;=500,"350–500K",IF(AM567&lt;=700,"500–700K","&gt;700K"))))</x:f>
        <x:v>200–350K</x:v>
      </x:c>
      <x:c r="AO567" s="64" t="n">
        <x:f>-ROUND(Q567*'Drivers'!R567,3)</x:f>
        <x:v>-336.151</x:v>
      </x:c>
      <x:c r="AP567" s="64" t="n">
        <x:f>-ROUND(AK567*'Drivers'!S567,3)</x:f>
        <x:v>-10.921</x:v>
      </x:c>
      <x:c r="AQ567" s="64" t="n">
        <x:f>-ROUND(AK567*'Drivers'!T567,3)</x:f>
        <x:v>-2.327</x:v>
      </x:c>
      <x:c r="AR567" s="64" t="n">
        <x:f>-ROUND(AK567*'Drivers'!U567,3)</x:f>
        <x:v>-4.249</x:v>
      </x:c>
      <x:c r="AS567" s="64" t="n">
        <x:f>-ROUND(AK567*'Drivers'!V567,3)</x:f>
        <x:v>-22.052</x:v>
      </x:c>
      <x:c r="AT567" s="64" t="n">
        <x:f>SUM(AO567:AS567)</x:f>
        <x:v>-375.70000000000005</x:v>
      </x:c>
      <x:c r="AU567" s="65" t="n">
        <x:f>AT567/AK567</x:f>
        <x:v>-0.5635387292254155</x:v>
      </x:c>
      <x:c r="AV567" s="64" t="n">
        <x:f>AK567+AT567</x:f>
        <x:v>290.98</x:v>
      </x:c>
      <x:c r="AW567" s="65" t="n">
        <x:f>AV567/AK567</x:f>
        <x:v>0.4364612707745845</x:v>
      </x:c>
      <x:c r="AX567" s="64" t="n">
        <x:f>-ROUND(AK567*'Drivers'!W567,3)</x:f>
        <x:v>-6.471</x:v>
      </x:c>
      <x:c r="AY567" s="64" t="n">
        <x:f>-ROUND(AK567*'Drivers'!X567,3)</x:f>
        <x:v>-13.151</x:v>
      </x:c>
      <x:c r="AZ567" s="64" t="n">
        <x:f>-ROUND(AK567*'Drivers'!Y567,3)</x:f>
        <x:v>-12.63</x:v>
      </x:c>
      <x:c r="BA567" s="64" t="n">
        <x:f>-ROUND(AK567*'Drivers'!Z567,3)</x:f>
        <x:v>-5.136</x:v>
      </x:c>
      <x:c r="BB567" s="64" t="n">
        <x:f>-ROUND(AK567*'Drivers'!AA567,3)</x:f>
        <x:v>-5.867</x:v>
      </x:c>
      <x:c r="BC567" s="64" t="n">
        <x:f>SUM(BA567,BB567)</x:f>
        <x:v>-11.003</x:v>
      </x:c>
      <x:c r="BD567" s="64" t="n">
        <x:f>-ROUND(AK567*'Drivers'!AB567,3)</x:f>
        <x:v>-2.881</x:v>
      </x:c>
      <x:c r="BE567" s="64" t="n">
        <x:f>SUM(AX567:BB567,BD567)</x:f>
        <x:v>-46.136</x:v>
      </x:c>
      <x:c r="BF567" s="67" t="n">
        <x:f>'Drivers'!AF567</x:f>
        <x:v>3</x:v>
      </x:c>
      <x:c r="BG567" s="64" t="n">
        <x:f>BJ567</x:f>
        <x:v>-14.422</x:v>
      </x:c>
      <x:c r="BH567" s="64" t="n">
        <x:f>BE567/BF567</x:f>
        <x:v>-15.378666666666668</x:v>
      </x:c>
      <x:c r="BI567" s="68" t="n">
        <x:f>BF567/L567</x:f>
        <x:v>1.5</x:v>
      </x:c>
      <x:c r="BJ567" s="64" t="n">
        <x:f>-ROUND(AK567*'Drivers'!AC567,3)</x:f>
        <x:v>-14.422</x:v>
      </x:c>
      <x:c r="BK567" s="64" t="n">
        <x:f>-ROUND(AK567*'Drivers'!AD567,3)</x:f>
        <x:v>-67.596</x:v>
      </x:c>
      <x:c r="BL567" s="64" t="n">
        <x:f>SUM(AV567,BE567,BJ567,BK567)</x:f>
        <x:v>162.82600000000002</x:v>
      </x:c>
      <x:c r="BM567" s="65" t="n">
        <x:f>BL567/AK567</x:f>
        <x:v>0.24423411531769365</x:v>
      </x:c>
      <x:c r="BN567" s="64" t="n">
        <x:f>-ROUND(AK567*'Drivers'!AE567,3)</x:f>
        <x:v>-58.166</x:v>
      </x:c>
      <x:c r="BO567" s="64" t="n">
        <x:f>BL567+BN567</x:f>
        <x:v>104.66000000000003</x:v>
      </x:c>
      <x:c r="BP567" s="65" t="n">
        <x:f>BO567/AK567</x:f>
        <x:v>0.15698686026279476</x:v>
      </x:c>
    </x:row>
    <x:row r="568">
      <x:c r="A568" s="61" t="n">
        <x:v>2026</x:v>
      </x:c>
      <x:c r="B568" s="18" t="str">
        <x:v>S1</x:v>
      </x:c>
      <x:c r="C568" s="18" t="str">
        <x:v>2026 S1</x:v>
      </x:c>
      <x:c r="D568" s="18" t="str">
        <x:v>CNCT0142</x:v>
      </x:c>
      <x:c r="E568" s="18" t="str">
        <x:v>沈阳大悦城</x:v>
      </x:c>
      <x:c r="F568" s="18" t="str">
        <x:v>沈阳</x:v>
      </x:c>
      <x:c r="G568" s="18" t="str">
        <x:v>辽宁省</x:v>
      </x:c>
      <x:c r="H568" s="18" t="str">
        <x:v>北区</x:v>
      </x:c>
      <x:c r="I568" s="18" t="str">
        <x:v>Shopping Mall</x:v>
      </x:c>
      <x:c r="J568" s="18" t="str">
        <x:v>Regional Mall</x:v>
      </x:c>
      <x:c r="K568" s="18" t="str">
        <x:v>正常</x:v>
      </x:c>
      <x:c r="L568" s="62" t="n">
        <x:v>2</x:v>
      </x:c>
      <x:c r="M568" s="62" t="n">
        <x:v>36</x:v>
      </x:c>
      <x:c r="N568" s="63" t="n">
        <x:f>'Drivers'!C568</x:f>
        <x:v>897</x:v>
      </x:c>
      <x:c r="O568" s="63" t="n">
        <x:f>'Drivers'!D568</x:f>
        <x:v>984.004</x:v>
      </x:c>
      <x:c r="P568" s="64" t="n">
        <x:f>ROUND(N568*O568/1000,3)</x:f>
        <x:v>882.652</x:v>
      </x:c>
      <x:c r="Q568" s="64" t="n">
        <x:f>ROUND(P568*'Drivers'!E568,3)</x:f>
        <x:v>858.638</x:v>
      </x:c>
      <x:c r="R568" s="64" t="n">
        <x:f>-ROUND(Q568*'Drivers'!F568,3)</x:f>
        <x:v>-156.521</x:v>
      </x:c>
      <x:c r="S568" s="65" t="n">
        <x:f>R568/Q568</x:f>
        <x:v>-0.18228985905585354</x:v>
      </x:c>
      <x:c r="T568" s="64" t="n">
        <x:f>-ROUND(Q568*'Drivers'!G568,3)</x:f>
        <x:v>-16.419</x:v>
      </x:c>
      <x:c r="U568" s="65" t="n">
        <x:f>T568/Q568</x:f>
        <x:v>-0.019122144605759353</x:v>
      </x:c>
      <x:c r="V568" s="64" t="n">
        <x:f>-ROUND(Q568*'Drivers'!H568,3)</x:f>
        <x:v>-6.152</x:v>
      </x:c>
      <x:c r="W568" s="64" t="n">
        <x:f>-ROUND(Q568*'Drivers'!I568,3)</x:f>
        <x:v>-8.814</x:v>
      </x:c>
      <x:c r="X568" s="64" t="n">
        <x:f>-ROUND(Q568*'Drivers'!J568,3)</x:f>
        <x:v>-9.123</x:v>
      </x:c>
      <x:c r="Y568" s="64" t="n">
        <x:f>-ROUND(Q568*'Drivers'!K568,3)</x:f>
        <x:v>-6.971</x:v>
      </x:c>
      <x:c r="Z568" s="64" t="n">
        <x:f>-ROUND(Q568*'Drivers'!L568,3)</x:f>
        <x:v>-11.126</x:v>
      </x:c>
      <x:c r="AA568" s="64" t="n">
        <x:f>-ROUND(Q568*'Drivers'!M568,3)</x:f>
        <x:v>-5.542</x:v>
      </x:c>
      <x:c r="AB568" s="64" t="n">
        <x:f>-ROUND(Q568*'Drivers'!N568,3)</x:f>
        <x:v>-6.77</x:v>
      </x:c>
      <x:c r="AC568" s="64" t="n">
        <x:f>SUM(V568:AB568)</x:f>
        <x:v>-54.498000000000005</x:v>
      </x:c>
      <x:c r="AD568" s="65" t="n">
        <x:f>AC568/Q568</x:f>
        <x:v>-0.06347028666329699</x:v>
      </x:c>
      <x:c r="AE568" s="64" t="n">
        <x:f>-ROUND(Q568*'Drivers'!O568,3)</x:f>
        <x:v>-9.65</x:v>
      </x:c>
      <x:c r="AF568" s="65" t="n">
        <x:f>AE568/Q568</x:f>
        <x:v>-0.011238729243289955</x:v>
      </x:c>
      <x:c r="AG568" s="64" t="n">
        <x:f>-ROUND(Q568*'Drivers'!P568,3)</x:f>
        <x:v>-0.679</x:v>
      </x:c>
      <x:c r="AH568" s="64" t="n">
        <x:f>-ROUND(Q568*'Drivers'!Q568,3)</x:f>
        <x:v>-5.741</x:v>
      </x:c>
      <x:c r="AI568" s="64" t="n">
        <x:f>SUM(R568,T568,AC568,AE568,AG568,AH568)</x:f>
        <x:v>-243.50799999999998</x:v>
      </x:c>
      <x:c r="AJ568" s="65" t="n">
        <x:f>AI568/Q568</x:f>
        <x:v>-0.2835979772616632</x:v>
      </x:c>
      <x:c r="AK568" s="64" t="n">
        <x:f>Q568+AI568</x:f>
        <x:v>615.1300000000001</x:v>
      </x:c>
      <x:c r="AL568" s="65" t="n">
        <x:f>AK568/Q568</x:f>
        <x:v>0.7164020227383369</x:v>
      </x:c>
      <x:c r="AM568" s="64" t="n">
        <x:f>AK568/L568</x:f>
        <x:v>307.56500000000005</x:v>
      </x:c>
      <x:c r="AN568" s="66" t="str">
        <x:f>IF(AM568&lt;=200,"≤200K",IF(AM568&lt;=350,"200–350K",IF(AM568&lt;=500,"350–500K",IF(AM568&lt;=700,"500–700K","&gt;700K"))))</x:f>
        <x:v>200–350K</x:v>
      </x:c>
      <x:c r="AO568" s="64" t="n">
        <x:f>-ROUND(Q568*'Drivers'!R568,3)</x:f>
        <x:v>-310.823</x:v>
      </x:c>
      <x:c r="AP568" s="64" t="n">
        <x:f>-ROUND(AK568*'Drivers'!S568,3)</x:f>
        <x:v>-10.076</x:v>
      </x:c>
      <x:c r="AQ568" s="64" t="n">
        <x:f>-ROUND(AK568*'Drivers'!T568,3)</x:f>
        <x:v>-2.147</x:v>
      </x:c>
      <x:c r="AR568" s="64" t="n">
        <x:f>-ROUND(AK568*'Drivers'!U568,3)</x:f>
        <x:v>-3.92</x:v>
      </x:c>
      <x:c r="AS568" s="64" t="n">
        <x:f>-ROUND(AK568*'Drivers'!V568,3)</x:f>
        <x:v>-20.347</x:v>
      </x:c>
      <x:c r="AT568" s="64" t="n">
        <x:f>SUM(AO568:AS568)</x:f>
        <x:v>-347.313</x:v>
      </x:c>
      <x:c r="AU568" s="65" t="n">
        <x:f>AT568/AK568</x:f>
        <x:v>-0.5646172353811388</x:v>
      </x:c>
      <x:c r="AV568" s="64" t="n">
        <x:f>AK568+AT568</x:f>
        <x:v>267.8170000000001</x:v>
      </x:c>
      <x:c r="AW568" s="65" t="n">
        <x:f>AV568/AK568</x:f>
        <x:v>0.43538276461886116</x:v>
      </x:c>
      <x:c r="AX568" s="64" t="n">
        <x:f>-ROUND(AK568*'Drivers'!W568,3)</x:f>
        <x:v>-7.346</x:v>
      </x:c>
      <x:c r="AY568" s="64" t="n">
        <x:f>-ROUND(AK568*'Drivers'!X568,3)</x:f>
        <x:v>-14.93</x:v>
      </x:c>
      <x:c r="AZ568" s="64" t="n">
        <x:f>-ROUND(AK568*'Drivers'!Y568,3)</x:f>
        <x:v>-14.339</x:v>
      </x:c>
      <x:c r="BA568" s="64" t="n">
        <x:f>-ROUND(AK568*'Drivers'!Z568,3)</x:f>
        <x:v>-5.831</x:v>
      </x:c>
      <x:c r="BB568" s="64" t="n">
        <x:f>-ROUND(AK568*'Drivers'!AA568,3)</x:f>
        <x:v>-6.661</x:v>
      </x:c>
      <x:c r="BC568" s="64" t="n">
        <x:f>SUM(BA568,BB568)</x:f>
        <x:v>-12.492</x:v>
      </x:c>
      <x:c r="BD568" s="64" t="n">
        <x:f>-ROUND(AK568*'Drivers'!AB568,3)</x:f>
        <x:v>-3.271</x:v>
      </x:c>
      <x:c r="BE568" s="64" t="n">
        <x:f>SUM(AX568:BB568,BD568)</x:f>
        <x:v>-52.37800000000001</x:v>
      </x:c>
      <x:c r="BF568" s="67" t="n">
        <x:f>'Drivers'!AF568</x:f>
        <x:v>3</x:v>
      </x:c>
      <x:c r="BG568" s="64" t="n">
        <x:f>BJ568</x:f>
        <x:v>-16.373</x:v>
      </x:c>
      <x:c r="BH568" s="64" t="n">
        <x:f>BE568/BF568</x:f>
        <x:v>-17.459333333333337</x:v>
      </x:c>
      <x:c r="BI568" s="68" t="n">
        <x:f>BF568/L568</x:f>
        <x:v>1.5</x:v>
      </x:c>
      <x:c r="BJ568" s="64" t="n">
        <x:f>-ROUND(AK568*'Drivers'!AC568,3)</x:f>
        <x:v>-16.373</x:v>
      </x:c>
      <x:c r="BK568" s="64" t="n">
        <x:f>-ROUND(AK568*'Drivers'!AD568,3)</x:f>
        <x:v>-62.369</x:v>
      </x:c>
      <x:c r="BL568" s="64" t="n">
        <x:f>SUM(AV568,BE568,BJ568,BK568)</x:f>
        <x:v>136.69700000000012</x:v>
      </x:c>
      <x:c r="BM568" s="65" t="n">
        <x:f>BL568/AK568</x:f>
        <x:v>0.22222457041600976</x:v>
      </x:c>
      <x:c r="BN568" s="64" t="n">
        <x:f>-ROUND(AK568*'Drivers'!AE568,3)</x:f>
        <x:v>-53.668</x:v>
      </x:c>
      <x:c r="BO568" s="64" t="n">
        <x:f>BL568+BN568</x:f>
        <x:v>83.02900000000011</x:v>
      </x:c>
      <x:c r="BP568" s="65" t="n">
        <x:f>BO568/AK568</x:f>
        <x:v>0.1349779721359714</x:v>
      </x:c>
    </x:row>
    <x:row r="569">
      <x:c r="A569" s="61" t="n">
        <x:v>2026</x:v>
      </x:c>
      <x:c r="B569" s="18" t="str">
        <x:v>S2</x:v>
      </x:c>
      <x:c r="C569" s="18" t="str">
        <x:v>2026 S2</x:v>
      </x:c>
      <x:c r="D569" s="18" t="str">
        <x:v>CNCT0142</x:v>
      </x:c>
      <x:c r="E569" s="18" t="str">
        <x:v>沈阳大悦城</x:v>
      </x:c>
      <x:c r="F569" s="18" t="str">
        <x:v>沈阳</x:v>
      </x:c>
      <x:c r="G569" s="18" t="str">
        <x:v>辽宁省</x:v>
      </x:c>
      <x:c r="H569" s="18" t="str">
        <x:v>北区</x:v>
      </x:c>
      <x:c r="I569" s="18" t="str">
        <x:v>Shopping Mall</x:v>
      </x:c>
      <x:c r="J569" s="18" t="str">
        <x:v>Regional Mall</x:v>
      </x:c>
      <x:c r="K569" s="18" t="str">
        <x:v>正常</x:v>
      </x:c>
      <x:c r="L569" s="62" t="n">
        <x:v>2</x:v>
      </x:c>
      <x:c r="M569" s="62" t="n">
        <x:v>35</x:v>
      </x:c>
      <x:c r="N569" s="63" t="n">
        <x:f>'Drivers'!C569</x:f>
        <x:v>960</x:v>
      </x:c>
      <x:c r="O569" s="63" t="n">
        <x:f>'Drivers'!D569</x:f>
        <x:v>991.97</x:v>
      </x:c>
      <x:c r="P569" s="64" t="n">
        <x:f>ROUND(N569*O569/1000,3)</x:f>
        <x:v>952.291</x:v>
      </x:c>
      <x:c r="Q569" s="64" t="n">
        <x:f>ROUND(P569*'Drivers'!E569,3)</x:f>
        <x:v>937.079</x:v>
      </x:c>
      <x:c r="R569" s="64" t="n">
        <x:f>-ROUND(Q569*'Drivers'!F569,3)</x:f>
        <x:v>-172.081</x:v>
      </x:c>
      <x:c r="S569" s="65" t="n">
        <x:f>R569/Q569</x:f>
        <x:v>-0.18363553126257232</x:v>
      </x:c>
      <x:c r="T569" s="64" t="n">
        <x:f>-ROUND(Q569*'Drivers'!G569,3)</x:f>
        <x:v>-16.941</x:v>
      </x:c>
      <x:c r="U569" s="65" t="n">
        <x:f>T569/Q569</x:f>
        <x:v>-0.018078518460023115</x:v>
      </x:c>
      <x:c r="V569" s="64" t="n">
        <x:f>-ROUND(Q569*'Drivers'!H569,3)</x:f>
        <x:v>-6.714</x:v>
      </x:c>
      <x:c r="W569" s="64" t="n">
        <x:f>-ROUND(Q569*'Drivers'!I569,3)</x:f>
        <x:v>-9.619</x:v>
      </x:c>
      <x:c r="X569" s="64" t="n">
        <x:f>-ROUND(Q569*'Drivers'!J569,3)</x:f>
        <x:v>-9.957</x:v>
      </x:c>
      <x:c r="Y569" s="64" t="n">
        <x:f>-ROUND(Q569*'Drivers'!K569,3)</x:f>
        <x:v>-7.608</x:v>
      </x:c>
      <x:c r="Z569" s="64" t="n">
        <x:f>-ROUND(Q569*'Drivers'!L569,3)</x:f>
        <x:v>-12.142</x:v>
      </x:c>
      <x:c r="AA569" s="64" t="n">
        <x:f>-ROUND(Q569*'Drivers'!M569,3)</x:f>
        <x:v>-6.048</x:v>
      </x:c>
      <x:c r="AB569" s="64" t="n">
        <x:f>-ROUND(Q569*'Drivers'!N569,3)</x:f>
        <x:v>-7.388</x:v>
      </x:c>
      <x:c r="AC569" s="64" t="n">
        <x:f>SUM(V569:AB569)</x:f>
        <x:v>-59.47599999999999</x:v>
      </x:c>
      <x:c r="AD569" s="65" t="n">
        <x:f>AC569/Q569</x:f>
        <x:v>-0.06346956873433296</x:v>
      </x:c>
      <x:c r="AE569" s="64" t="n">
        <x:f>-ROUND(Q569*'Drivers'!O569,3)</x:f>
        <x:v>-9.098</x:v>
      </x:c>
      <x:c r="AF569" s="65" t="n">
        <x:f>AE569/Q569</x:f>
        <x:v>-0.009708893273672765</x:v>
      </x:c>
      <x:c r="AG569" s="64" t="n">
        <x:f>-ROUND(Q569*'Drivers'!P569,3)</x:f>
        <x:v>-0.741</x:v>
      </x:c>
      <x:c r="AH569" s="64" t="n">
        <x:f>-ROUND(Q569*'Drivers'!Q569,3)</x:f>
        <x:v>-6.266</x:v>
      </x:c>
      <x:c r="AI569" s="64" t="n">
        <x:f>SUM(R569,T569,AC569,AE569,AG569,AH569)</x:f>
        <x:v>-264.603</x:v>
      </x:c>
      <x:c r="AJ569" s="65" t="n">
        <x:f>AI569/Q569</x:f>
        <x:v>-0.2823700029559941</x:v>
      </x:c>
      <x:c r="AK569" s="64" t="n">
        <x:f>Q569+AI569</x:f>
        <x:v>672.4759999999999</x:v>
      </x:c>
      <x:c r="AL569" s="65" t="n">
        <x:f>AK569/Q569</x:f>
        <x:v>0.7176299970440058</x:v>
      </x:c>
      <x:c r="AM569" s="64" t="n">
        <x:f>AK569/L569</x:f>
        <x:v>336.23799999999994</x:v>
      </x:c>
      <x:c r="AN569" s="66" t="str">
        <x:f>IF(AM569&lt;=200,"≤200K",IF(AM569&lt;=350,"200–350K",IF(AM569&lt;=500,"350–500K",IF(AM569&lt;=700,"500–700K","&gt;700K"))))</x:f>
        <x:v>200–350K</x:v>
      </x:c>
      <x:c r="AO569" s="64" t="n">
        <x:f>-ROUND(Q569*'Drivers'!R569,3)</x:f>
        <x:v>-336.189</x:v>
      </x:c>
      <x:c r="AP569" s="64" t="n">
        <x:f>-ROUND(AK569*'Drivers'!S569,3)</x:f>
        <x:v>-11.016</x:v>
      </x:c>
      <x:c r="AQ569" s="64" t="n">
        <x:f>-ROUND(AK569*'Drivers'!T569,3)</x:f>
        <x:v>-2.347</x:v>
      </x:c>
      <x:c r="AR569" s="64" t="n">
        <x:f>-ROUND(AK569*'Drivers'!U569,3)</x:f>
        <x:v>-4.286</x:v>
      </x:c>
      <x:c r="AS569" s="64" t="n">
        <x:f>-ROUND(AK569*'Drivers'!V569,3)</x:f>
        <x:v>-22.243</x:v>
      </x:c>
      <x:c r="AT569" s="64" t="n">
        <x:f>SUM(AO569:AS569)</x:f>
        <x:v>-376.081</x:v>
      </x:c>
      <x:c r="AU569" s="65" t="n">
        <x:f>AT569/AK569</x:f>
        <x:v>-0.5592482110885743</x:v>
      </x:c>
      <x:c r="AV569" s="64" t="n">
        <x:f>AK569+AT569</x:f>
        <x:v>296.39499999999987</x:v>
      </x:c>
      <x:c r="AW569" s="65" t="n">
        <x:f>AV569/AK569</x:f>
        <x:v>0.4407517889114257</x:v>
      </x:c>
      <x:c r="AX569" s="64" t="n">
        <x:f>-ROUND(AK569*'Drivers'!W569,3)</x:f>
        <x:v>-6.918</x:v>
      </x:c>
      <x:c r="AY569" s="64" t="n">
        <x:f>-ROUND(AK569*'Drivers'!X569,3)</x:f>
        <x:v>-14.061</x:v>
      </x:c>
      <x:c r="AZ569" s="64" t="n">
        <x:f>-ROUND(AK569*'Drivers'!Y569,3)</x:f>
        <x:v>-13.504</x:v>
      </x:c>
      <x:c r="BA569" s="64" t="n">
        <x:f>-ROUND(AK569*'Drivers'!Z569,3)</x:f>
        <x:v>-5.491</x:v>
      </x:c>
      <x:c r="BB569" s="64" t="n">
        <x:f>-ROUND(AK569*'Drivers'!AA569,3)</x:f>
        <x:v>-6.273</x:v>
      </x:c>
      <x:c r="BC569" s="64" t="n">
        <x:f>SUM(BA569,BB569)</x:f>
        <x:v>-11.764</x:v>
      </x:c>
      <x:c r="BD569" s="64" t="n">
        <x:f>-ROUND(AK569*'Drivers'!AB569,3)</x:f>
        <x:v>-3.081</x:v>
      </x:c>
      <x:c r="BE569" s="64" t="n">
        <x:f>SUM(AX569:BB569,BD569)</x:f>
        <x:v>-49.328</x:v>
      </x:c>
      <x:c r="BF569" s="67" t="n">
        <x:f>'Drivers'!AF569</x:f>
        <x:v>3</x:v>
      </x:c>
      <x:c r="BG569" s="64" t="n">
        <x:f>BJ569</x:f>
        <x:v>-15.42</x:v>
      </x:c>
      <x:c r="BH569" s="64" t="n">
        <x:f>BE569/BF569</x:f>
        <x:v>-16.442666666666668</x:v>
      </x:c>
      <x:c r="BI569" s="68" t="n">
        <x:f>BF569/L569</x:f>
        <x:v>1.5</x:v>
      </x:c>
      <x:c r="BJ569" s="64" t="n">
        <x:f>-ROUND(AK569*'Drivers'!AC569,3)</x:f>
        <x:v>-15.42</x:v>
      </x:c>
      <x:c r="BK569" s="64" t="n">
        <x:f>-ROUND(AK569*'Drivers'!AD569,3)</x:f>
        <x:v>-68.183</x:v>
      </x:c>
      <x:c r="BL569" s="64" t="n">
        <x:f>SUM(AV569,BE569,BJ569,BK569)</x:f>
        <x:v>163.46399999999988</x:v>
      </x:c>
      <x:c r="BM569" s="65" t="n">
        <x:f>BL569/AK569</x:f>
        <x:v>0.2430778198775866</x:v>
      </x:c>
      <x:c r="BN569" s="64" t="n">
        <x:f>-ROUND(AK569*'Drivers'!AE569,3)</x:f>
        <x:v>-58.671</x:v>
      </x:c>
      <x:c r="BO569" s="64" t="n">
        <x:f>BL569+BN569</x:f>
        <x:v>104.79299999999989</x:v>
      </x:c>
      <x:c r="BP569" s="65" t="n">
        <x:f>BO569/AK569</x:f>
        <x:v>0.15583158358067783</x:v>
      </x:c>
    </x:row>
    <x:row r="570">
      <x:c r="A570" s="61" t="n">
        <x:v>2025</x:v>
      </x:c>
      <x:c r="B570" s="18" t="str">
        <x:v>S1</x:v>
      </x:c>
      <x:c r="C570" s="18" t="str">
        <x:v>2025 S1</x:v>
      </x:c>
      <x:c r="D570" s="18" t="str">
        <x:v>CNCT0143</x:v>
      </x:c>
      <x:c r="E570" s="18" t="str">
        <x:v>沈阳龙之梦购物中心</x:v>
      </x:c>
      <x:c r="F570" s="18" t="str">
        <x:v>沈阳</x:v>
      </x:c>
      <x:c r="G570" s="18" t="str">
        <x:v>辽宁省</x:v>
      </x:c>
      <x:c r="H570" s="18" t="str">
        <x:v>北区</x:v>
      </x:c>
      <x:c r="I570" s="18" t="str">
        <x:v>Shopping Mall</x:v>
      </x:c>
      <x:c r="J570" s="18" t="str">
        <x:v>Regional Mall</x:v>
      </x:c>
      <x:c r="K570" s="18" t="str">
        <x:v>正常</x:v>
      </x:c>
      <x:c r="L570" s="62" t="n">
        <x:v>4</x:v>
      </x:c>
      <x:c r="M570" s="62" t="n">
        <x:v>36</x:v>
      </x:c>
      <x:c r="N570" s="63" t="n">
        <x:f>'Drivers'!C570</x:f>
        <x:v>1285</x:v>
      </x:c>
      <x:c r="O570" s="63" t="n">
        <x:f>'Drivers'!D570</x:f>
        <x:v>967.448</x:v>
      </x:c>
      <x:c r="P570" s="64" t="n">
        <x:f>ROUND(N570*O570/1000,3)</x:f>
        <x:v>1243.171</x:v>
      </x:c>
      <x:c r="Q570" s="64" t="n">
        <x:f>ROUND(P570*'Drivers'!E570,3)</x:f>
        <x:v>1222.042</x:v>
      </x:c>
      <x:c r="R570" s="64" t="n">
        <x:f>-ROUND(Q570*'Drivers'!F570,3)</x:f>
        <x:v>-219.229</x:v>
      </x:c>
      <x:c r="S570" s="65" t="n">
        <x:f>R570/Q570</x:f>
        <x:v>-0.17939563451992652</x:v>
      </x:c>
      <x:c r="T570" s="64" t="n">
        <x:f>-ROUND(Q570*'Drivers'!G570,3)</x:f>
        <x:v>-22.999</x:v>
      </x:c>
      <x:c r="U570" s="65" t="n">
        <x:f>T570/Q570</x:f>
        <x:v>-0.01882013875136861</x:v>
      </x:c>
      <x:c r="V570" s="64" t="n">
        <x:f>-ROUND(Q570*'Drivers'!H570,3)</x:f>
        <x:v>-10.917</x:v>
      </x:c>
      <x:c r="W570" s="64" t="n">
        <x:f>-ROUND(Q570*'Drivers'!I570,3)</x:f>
        <x:v>-9.011</x:v>
      </x:c>
      <x:c r="X570" s="64" t="n">
        <x:f>-ROUND(Q570*'Drivers'!J570,3)</x:f>
        <x:v>-15.881</x:v>
      </x:c>
      <x:c r="Y570" s="64" t="n">
        <x:f>-ROUND(Q570*'Drivers'!K570,3)</x:f>
        <x:v>-16.002</x:v>
      </x:c>
      <x:c r="Z570" s="64" t="n">
        <x:f>-ROUND(Q570*'Drivers'!L570,3)</x:f>
        <x:v>-15.53</x:v>
      </x:c>
      <x:c r="AA570" s="64" t="n">
        <x:f>-ROUND(Q570*'Drivers'!M570,3)</x:f>
        <x:v>-10.405</x:v>
      </x:c>
      <x:c r="AB570" s="64" t="n">
        <x:f>-ROUND(Q570*'Drivers'!N570,3)</x:f>
        <x:v>-10.274</x:v>
      </x:c>
      <x:c r="AC570" s="64" t="n">
        <x:f>SUM(V570:AB570)</x:f>
        <x:v>-88.02</x:v>
      </x:c>
      <x:c r="AD570" s="65" t="n">
        <x:f>AC570/Q570</x:f>
        <x:v>-0.07202698434260034</x:v>
      </x:c>
      <x:c r="AE570" s="64" t="n">
        <x:f>-ROUND(Q570*'Drivers'!O570,3)</x:f>
        <x:v>-9.572</x:v>
      </x:c>
      <x:c r="AF570" s="65" t="n">
        <x:f>AE570/Q570</x:f>
        <x:v>-0.007832791344323681</x:v>
      </x:c>
      <x:c r="AG570" s="64" t="n">
        <x:f>-ROUND(Q570*'Drivers'!P570,3)</x:f>
        <x:v>-1.131</x:v>
      </x:c>
      <x:c r="AH570" s="64" t="n">
        <x:f>-ROUND(Q570*'Drivers'!Q570,3)</x:f>
        <x:v>-5.832</x:v>
      </x:c>
      <x:c r="AI570" s="64" t="n">
        <x:f>SUM(R570,T570,AC570,AE570,AG570,AH570)</x:f>
        <x:v>-346.78299999999996</x:v>
      </x:c>
      <x:c r="AJ570" s="65" t="n">
        <x:f>AI570/Q570</x:f>
        <x:v>-0.2837733891306518</x:v>
      </x:c>
      <x:c r="AK570" s="64" t="n">
        <x:f>Q570+AI570</x:f>
        <x:v>875.259</x:v>
      </x:c>
      <x:c r="AL570" s="65" t="n">
        <x:f>AK570/Q570</x:f>
        <x:v>0.7162266108693482</x:v>
      </x:c>
      <x:c r="AM570" s="64" t="n">
        <x:f>AK570/L570</x:f>
        <x:v>218.81475</x:v>
      </x:c>
      <x:c r="AN570" s="66" t="str">
        <x:f>IF(AM570&lt;=200,"≤200K",IF(AM570&lt;=350,"200–350K",IF(AM570&lt;=500,"350–500K",IF(AM570&lt;=700,"500–700K","&gt;700K"))))</x:f>
        <x:v>200–350K</x:v>
      </x:c>
      <x:c r="AO570" s="64" t="n">
        <x:f>-ROUND(Q570*'Drivers'!R570,3)</x:f>
        <x:v>-446.735</x:v>
      </x:c>
      <x:c r="AP570" s="64" t="n">
        <x:f>-ROUND(AK570*'Drivers'!S570,3)</x:f>
        <x:v>-13.472</x:v>
      </x:c>
      <x:c r="AQ570" s="64" t="n">
        <x:f>-ROUND(AK570*'Drivers'!T570,3)</x:f>
        <x:v>-5.709</x:v>
      </x:c>
      <x:c r="AR570" s="64" t="n">
        <x:f>-ROUND(AK570*'Drivers'!U570,3)</x:f>
        <x:v>-9.039</x:v>
      </x:c>
      <x:c r="AS570" s="64" t="n">
        <x:f>-ROUND(AK570*'Drivers'!V570,3)</x:f>
        <x:v>-29.554</x:v>
      </x:c>
      <x:c r="AT570" s="64" t="n">
        <x:f>SUM(AO570:AS570)</x:f>
        <x:v>-504.50899999999996</x:v>
      </x:c>
      <x:c r="AU570" s="65" t="n">
        <x:f>AT570/AK570</x:f>
        <x:v>-0.5764110966011203</x:v>
      </x:c>
      <x:c r="AV570" s="64" t="n">
        <x:f>AK570+AT570</x:f>
        <x:v>370.75000000000006</x:v>
      </x:c>
      <x:c r="AW570" s="65" t="n">
        <x:f>AV570/AK570</x:f>
        <x:v>0.4235889033988797</x:v>
      </x:c>
      <x:c r="AX570" s="64" t="n">
        <x:f>-ROUND(AK570*'Drivers'!W570,3)</x:f>
        <x:v>-10.987</x:v>
      </x:c>
      <x:c r="AY570" s="64" t="n">
        <x:f>-ROUND(AK570*'Drivers'!X570,3)</x:f>
        <x:v>-17.789</x:v>
      </x:c>
      <x:c r="AZ570" s="64" t="n">
        <x:f>-ROUND(AK570*'Drivers'!Y570,3)</x:f>
        <x:v>-16.756</x:v>
      </x:c>
      <x:c r="BA570" s="64" t="n">
        <x:f>-ROUND(AK570*'Drivers'!Z570,3)</x:f>
        <x:v>-4.417</x:v>
      </x:c>
      <x:c r="BB570" s="64" t="n">
        <x:f>-ROUND(AK570*'Drivers'!AA570,3)</x:f>
        <x:v>-7.779</x:v>
      </x:c>
      <x:c r="BC570" s="64" t="n">
        <x:f>SUM(BA570,BB570)</x:f>
        <x:v>-12.196</x:v>
      </x:c>
      <x:c r="BD570" s="64" t="n">
        <x:f>-ROUND(AK570*'Drivers'!AB570,3)</x:f>
        <x:v>-5.63</x:v>
      </x:c>
      <x:c r="BE570" s="64" t="n">
        <x:f>SUM(AX570:BB570,BD570)</x:f>
        <x:v>-63.35800000000001</x:v>
      </x:c>
      <x:c r="BF570" s="67" t="n">
        <x:f>'Drivers'!AF570</x:f>
        <x:v>7</x:v>
      </x:c>
      <x:c r="BG570" s="64" t="n">
        <x:f>BJ570</x:f>
        <x:v>-16.749</x:v>
      </x:c>
      <x:c r="BH570" s="64" t="n">
        <x:f>BE570/BF570</x:f>
        <x:v>-9.051142857142858</x:v>
      </x:c>
      <x:c r="BI570" s="68" t="n">
        <x:f>BF570/L570</x:f>
        <x:v>1.75</x:v>
      </x:c>
      <x:c r="BJ570" s="64" t="n">
        <x:f>-ROUND(AK570*'Drivers'!AC570,3)</x:f>
        <x:v>-16.749</x:v>
      </x:c>
      <x:c r="BK570" s="64" t="n">
        <x:f>-ROUND(AK570*'Drivers'!AD570,3)</x:f>
        <x:v>-91.595</x:v>
      </x:c>
      <x:c r="BL570" s="64" t="n">
        <x:f>SUM(AV570,BE570,BJ570,BK570)</x:f>
        <x:v>199.04800000000003</x:v>
      </x:c>
      <x:c r="BM570" s="65" t="n">
        <x:f>BL570/AK570</x:f>
        <x:v>0.22741611340186166</x:v>
      </x:c>
      <x:c r="BN570" s="64" t="n">
        <x:f>-ROUND(AK570*'Drivers'!AE570,3)</x:f>
        <x:v>-55.692</x:v>
      </x:c>
      <x:c r="BO570" s="64" t="n">
        <x:f>BL570+BN570</x:f>
        <x:v>143.35600000000002</x:v>
      </x:c>
      <x:c r="BP570" s="65" t="n">
        <x:f>BO570/AK570</x:f>
        <x:v>0.16378694763492865</x:v>
      </x:c>
    </x:row>
    <x:row r="571">
      <x:c r="A571" s="61" t="n">
        <x:v>2025</x:v>
      </x:c>
      <x:c r="B571" s="18" t="str">
        <x:v>S2</x:v>
      </x:c>
      <x:c r="C571" s="18" t="str">
        <x:v>2025 S2</x:v>
      </x:c>
      <x:c r="D571" s="18" t="str">
        <x:v>CNCT0143</x:v>
      </x:c>
      <x:c r="E571" s="18" t="str">
        <x:v>沈阳龙之梦购物中心</x:v>
      </x:c>
      <x:c r="F571" s="18" t="str">
        <x:v>沈阳</x:v>
      </x:c>
      <x:c r="G571" s="18" t="str">
        <x:v>辽宁省</x:v>
      </x:c>
      <x:c r="H571" s="18" t="str">
        <x:v>北区</x:v>
      </x:c>
      <x:c r="I571" s="18" t="str">
        <x:v>Shopping Mall</x:v>
      </x:c>
      <x:c r="J571" s="18" t="str">
        <x:v>Regional Mall</x:v>
      </x:c>
      <x:c r="K571" s="18" t="str">
        <x:v>正常</x:v>
      </x:c>
      <x:c r="L571" s="62" t="n">
        <x:v>4</x:v>
      </x:c>
      <x:c r="M571" s="62" t="n">
        <x:v>36</x:v>
      </x:c>
      <x:c r="N571" s="63" t="n">
        <x:f>'Drivers'!C571</x:f>
        <x:v>1402</x:v>
      </x:c>
      <x:c r="O571" s="63" t="n">
        <x:f>'Drivers'!D571</x:f>
        <x:v>979.057</x:v>
      </x:c>
      <x:c r="P571" s="64" t="n">
        <x:f>ROUND(N571*O571/1000,3)</x:f>
        <x:v>1372.638</x:v>
      </x:c>
      <x:c r="Q571" s="64" t="n">
        <x:f>ROUND(P571*'Drivers'!E571,3)</x:f>
        <x:v>1344.392</x:v>
      </x:c>
      <x:c r="R571" s="64" t="n">
        <x:f>-ROUND(Q571*'Drivers'!F571,3)</x:f>
        <x:v>-241.178</x:v>
      </x:c>
      <x:c r="S571" s="65" t="n">
        <x:f>R571/Q571</x:f>
        <x:v>-0.17939559295205565</x:v>
      </x:c>
      <x:c r="T571" s="64" t="n">
        <x:f>-ROUND(Q571*'Drivers'!G571,3)</x:f>
        <x:v>-25.302</x:v>
      </x:c>
      <x:c r="U571" s="65" t="n">
        <x:f>T571/Q571</x:f>
        <x:v>-0.018820403572767465</x:v>
      </x:c>
      <x:c r="V571" s="64" t="n">
        <x:f>-ROUND(Q571*'Drivers'!H571,3)</x:f>
        <x:v>-12.01</x:v>
      </x:c>
      <x:c r="W571" s="64" t="n">
        <x:f>-ROUND(Q571*'Drivers'!I571,3)</x:f>
        <x:v>-9.913</x:v>
      </x:c>
      <x:c r="X571" s="64" t="n">
        <x:f>-ROUND(Q571*'Drivers'!J571,3)</x:f>
        <x:v>-17.471</x:v>
      </x:c>
      <x:c r="Y571" s="64" t="n">
        <x:f>-ROUND(Q571*'Drivers'!K571,3)</x:f>
        <x:v>-17.604</x:v>
      </x:c>
      <x:c r="Z571" s="64" t="n">
        <x:f>-ROUND(Q571*'Drivers'!L571,3)</x:f>
        <x:v>-17.085</x:v>
      </x:c>
      <x:c r="AA571" s="64" t="n">
        <x:f>-ROUND(Q571*'Drivers'!M571,3)</x:f>
        <x:v>-11.447</x:v>
      </x:c>
      <x:c r="AB571" s="64" t="n">
        <x:f>-ROUND(Q571*'Drivers'!N571,3)</x:f>
        <x:v>-11.302</x:v>
      </x:c>
      <x:c r="AC571" s="64" t="n">
        <x:f>SUM(V571:AB571)</x:f>
        <x:v>-96.832</x:v>
      </x:c>
      <x:c r="AD571" s="65" t="n">
        <x:f>AC571/Q571</x:f>
        <x:v>-0.07202661128599396</x:v>
      </x:c>
      <x:c r="AE571" s="64" t="n">
        <x:f>-ROUND(Q571*'Drivers'!O571,3)</x:f>
        <x:v>-10.53</x:v>
      </x:c>
      <x:c r="AF571" s="65" t="n">
        <x:f>AE571/Q571</x:f>
        <x:v>-0.007832536938630993</x:v>
      </x:c>
      <x:c r="AG571" s="64" t="n">
        <x:f>-ROUND(Q571*'Drivers'!P571,3)</x:f>
        <x:v>-1.244</x:v>
      </x:c>
      <x:c r="AH571" s="64" t="n">
        <x:f>-ROUND(Q571*'Drivers'!Q571,3)</x:f>
        <x:v>-6.416</x:v>
      </x:c>
      <x:c r="AI571" s="64" t="n">
        <x:f>SUM(R571,T571,AC571,AE571,AG571,AH571)</x:f>
        <x:v>-381.502</x:v>
      </x:c>
      <x:c r="AJ571" s="65" t="n">
        <x:f>AI571/Q571</x:f>
        <x:v>-0.2837728876696678</x:v>
      </x:c>
      <x:c r="AK571" s="64" t="n">
        <x:f>Q571+AI571</x:f>
        <x:v>962.8900000000001</x:v>
      </x:c>
      <x:c r="AL571" s="65" t="n">
        <x:f>AK571/Q571</x:f>
        <x:v>0.7162271123303323</x:v>
      </x:c>
      <x:c r="AM571" s="64" t="n">
        <x:f>AK571/L571</x:f>
        <x:v>240.72250000000003</x:v>
      </x:c>
      <x:c r="AN571" s="66" t="str">
        <x:f>IF(AM571&lt;=200,"≤200K",IF(AM571&lt;=350,"200–350K",IF(AM571&lt;=500,"350–500K",IF(AM571&lt;=700,"500–700K","&gt;700K"))))</x:f>
        <x:v>200–350K</x:v>
      </x:c>
      <x:c r="AO571" s="64" t="n">
        <x:f>-ROUND(Q571*'Drivers'!R571,3)</x:f>
        <x:v>-512.226</x:v>
      </x:c>
      <x:c r="AP571" s="64" t="n">
        <x:f>-ROUND(AK571*'Drivers'!S571,3)</x:f>
        <x:v>-14.821</x:v>
      </x:c>
      <x:c r="AQ571" s="64" t="n">
        <x:f>-ROUND(AK571*'Drivers'!T571,3)</x:f>
        <x:v>-6.28</x:v>
      </x:c>
      <x:c r="AR571" s="64" t="n">
        <x:f>-ROUND(AK571*'Drivers'!U571,3)</x:f>
        <x:v>-9.944</x:v>
      </x:c>
      <x:c r="AS571" s="64" t="n">
        <x:f>-ROUND(AK571*'Drivers'!V571,3)</x:f>
        <x:v>-32.513</x:v>
      </x:c>
      <x:c r="AT571" s="64" t="n">
        <x:f>SUM(AO571:AS571)</x:f>
        <x:v>-575.784</x:v>
      </x:c>
      <x:c r="AU571" s="65" t="n">
        <x:f>AT571/AK571</x:f>
        <x:v>-0.5979748465556812</x:v>
      </x:c>
      <x:c r="AV571" s="64" t="n">
        <x:f>AK571+AT571</x:f>
        <x:v>387.1060000000001</x:v>
      </x:c>
      <x:c r="AW571" s="65" t="n">
        <x:f>AV571/AK571</x:f>
        <x:v>0.4020251534443187</x:v>
      </x:c>
      <x:c r="AX571" s="64" t="n">
        <x:f>-ROUND(AK571*'Drivers'!W571,3)</x:f>
        <x:v>-12.087</x:v>
      </x:c>
      <x:c r="AY571" s="64" t="n">
        <x:f>-ROUND(AK571*'Drivers'!X571,3)</x:f>
        <x:v>-19.57</x:v>
      </x:c>
      <x:c r="AZ571" s="64" t="n">
        <x:f>-ROUND(AK571*'Drivers'!Y571,3)</x:f>
        <x:v>-18.434</x:v>
      </x:c>
      <x:c r="BA571" s="64" t="n">
        <x:f>-ROUND(AK571*'Drivers'!Z571,3)</x:f>
        <x:v>-4.86</x:v>
      </x:c>
      <x:c r="BB571" s="64" t="n">
        <x:f>-ROUND(AK571*'Drivers'!AA571,3)</x:f>
        <x:v>-8.558</x:v>
      </x:c>
      <x:c r="BC571" s="64" t="n">
        <x:f>SUM(BA571,BB571)</x:f>
        <x:v>-13.418</x:v>
      </x:c>
      <x:c r="BD571" s="64" t="n">
        <x:f>-ROUND(AK571*'Drivers'!AB571,3)</x:f>
        <x:v>-6.194</x:v>
      </x:c>
      <x:c r="BE571" s="64" t="n">
        <x:f>SUM(AX571:BB571,BD571)</x:f>
        <x:v>-69.703</x:v>
      </x:c>
      <x:c r="BF571" s="67" t="n">
        <x:f>'Drivers'!AF571</x:f>
        <x:v>7</x:v>
      </x:c>
      <x:c r="BG571" s="64" t="n">
        <x:f>BJ571</x:f>
        <x:v>-18.426</x:v>
      </x:c>
      <x:c r="BH571" s="64" t="n">
        <x:f>BE571/BF571</x:f>
        <x:v>-9.957571428571429</x:v>
      </x:c>
      <x:c r="BI571" s="68" t="n">
        <x:f>BF571/L571</x:f>
        <x:v>1.75</x:v>
      </x:c>
      <x:c r="BJ571" s="64" t="n">
        <x:f>-ROUND(AK571*'Drivers'!AC571,3)</x:f>
        <x:v>-18.426</x:v>
      </x:c>
      <x:c r="BK571" s="64" t="n">
        <x:f>-ROUND(AK571*'Drivers'!AD571,3)</x:f>
        <x:v>-100.765</x:v>
      </x:c>
      <x:c r="BL571" s="64" t="n">
        <x:f>SUM(AV571,BE571,BJ571,BK571)</x:f>
        <x:v>198.21200000000016</x:v>
      </x:c>
      <x:c r="BM571" s="65" t="n">
        <x:f>BL571/AK571</x:f>
        <x:v>0.2058511356437393</x:v>
      </x:c>
      <x:c r="BN571" s="64" t="n">
        <x:f>-ROUND(AK571*'Drivers'!AE571,3)</x:f>
        <x:v>-61.268</x:v>
      </x:c>
      <x:c r="BO571" s="64" t="n">
        <x:f>BL571+BN571</x:f>
        <x:v>136.94400000000016</x:v>
      </x:c>
      <x:c r="BP571" s="65" t="n">
        <x:f>BO571/AK571</x:f>
        <x:v>0.1422218529634747</x:v>
      </x:c>
    </x:row>
    <x:row r="572">
      <x:c r="A572" s="61" t="n">
        <x:v>2026</x:v>
      </x:c>
      <x:c r="B572" s="18" t="str">
        <x:v>S1</x:v>
      </x:c>
      <x:c r="C572" s="18" t="str">
        <x:v>2026 S1</x:v>
      </x:c>
      <x:c r="D572" s="18" t="str">
        <x:v>CNCT0143</x:v>
      </x:c>
      <x:c r="E572" s="18" t="str">
        <x:v>沈阳龙之梦购物中心</x:v>
      </x:c>
      <x:c r="F572" s="18" t="str">
        <x:v>沈阳</x:v>
      </x:c>
      <x:c r="G572" s="18" t="str">
        <x:v>辽宁省</x:v>
      </x:c>
      <x:c r="H572" s="18" t="str">
        <x:v>北区</x:v>
      </x:c>
      <x:c r="I572" s="18" t="str">
        <x:v>Shopping Mall</x:v>
      </x:c>
      <x:c r="J572" s="18" t="str">
        <x:v>Regional Mall</x:v>
      </x:c>
      <x:c r="K572" s="18" t="str">
        <x:v>正常</x:v>
      </x:c>
      <x:c r="L572" s="62" t="n">
        <x:v>4</x:v>
      </x:c>
      <x:c r="M572" s="62" t="n">
        <x:v>36</x:v>
      </x:c>
      <x:c r="N572" s="63" t="n">
        <x:f>'Drivers'!C572</x:f>
        <x:v>1260</x:v>
      </x:c>
      <x:c r="O572" s="63" t="n">
        <x:f>'Drivers'!D572</x:f>
        <x:v>1017.562</x:v>
      </x:c>
      <x:c r="P572" s="64" t="n">
        <x:f>ROUND(N572*O572/1000,3)</x:f>
        <x:v>1282.128</x:v>
      </x:c>
      <x:c r="Q572" s="64" t="n">
        <x:f>ROUND(P572*'Drivers'!E572,3)</x:f>
        <x:v>1260.801</x:v>
      </x:c>
      <x:c r="R572" s="64" t="n">
        <x:f>-ROUND(Q572*'Drivers'!F572,3)</x:f>
        <x:v>-218.916</x:v>
      </x:c>
      <x:c r="S572" s="65" t="n">
        <x:f>R572/Q572</x:f>
        <x:v>-0.173632476497084</x:v>
      </x:c>
      <x:c r="T572" s="64" t="n">
        <x:f>-ROUND(Q572*'Drivers'!G572,3)</x:f>
        <x:v>-24.79</x:v>
      </x:c>
      <x:c r="U572" s="65" t="n">
        <x:f>T572/Q572</x:f>
        <x:v>-0.01966210369439745</x:v>
      </x:c>
      <x:c r="V572" s="64" t="n">
        <x:f>-ROUND(Q572*'Drivers'!H572,3)</x:f>
        <x:v>-11.263</x:v>
      </x:c>
      <x:c r="W572" s="64" t="n">
        <x:f>-ROUND(Q572*'Drivers'!I572,3)</x:f>
        <x:v>-9.297</x:v>
      </x:c>
      <x:c r="X572" s="64" t="n">
        <x:f>-ROUND(Q572*'Drivers'!J572,3)</x:f>
        <x:v>-16.385</x:v>
      </x:c>
      <x:c r="Y572" s="64" t="n">
        <x:f>-ROUND(Q572*'Drivers'!K572,3)</x:f>
        <x:v>-16.51</x:v>
      </x:c>
      <x:c r="Z572" s="64" t="n">
        <x:f>-ROUND(Q572*'Drivers'!L572,3)</x:f>
        <x:v>-16.022</x:v>
      </x:c>
      <x:c r="AA572" s="64" t="n">
        <x:f>-ROUND(Q572*'Drivers'!M572,3)</x:f>
        <x:v>-10.736</x:v>
      </x:c>
      <x:c r="AB572" s="64" t="n">
        <x:f>-ROUND(Q572*'Drivers'!N572,3)</x:f>
        <x:v>-10.599</x:v>
      </x:c>
      <x:c r="AC572" s="64" t="n">
        <x:f>SUM(V572:AB572)</x:f>
        <x:v>-90.81200000000001</x:v>
      </x:c>
      <x:c r="AD572" s="65" t="n">
        <x:f>AC572/Q572</x:f>
        <x:v>-0.07202722713576529</x:v>
      </x:c>
      <x:c r="AE572" s="64" t="n">
        <x:f>-ROUND(Q572*'Drivers'!O572,3)</x:f>
        <x:v>-10.696</x:v>
      </x:c>
      <x:c r="AF572" s="65" t="n">
        <x:f>AE572/Q572</x:f>
        <x:v>-0.00848349580941005</x:v>
      </x:c>
      <x:c r="AG572" s="64" t="n">
        <x:f>-ROUND(Q572*'Drivers'!P572,3)</x:f>
        <x:v>-1.166</x:v>
      </x:c>
      <x:c r="AH572" s="64" t="n">
        <x:f>-ROUND(Q572*'Drivers'!Q572,3)</x:f>
        <x:v>-6.017</x:v>
      </x:c>
      <x:c r="AI572" s="64" t="n">
        <x:f>SUM(R572,T572,AC572,AE572,AG572,AH572)</x:f>
        <x:v>-352.39700000000005</x:v>
      </x:c>
      <x:c r="AJ572" s="65" t="n">
        <x:f>AI572/Q572</x:f>
        <x:v>-0.27950247501389996</x:v>
      </x:c>
      <x:c r="AK572" s="64" t="n">
        <x:f>Q572+AI572</x:f>
        <x:v>908.4039999999999</x:v>
      </x:c>
      <x:c r="AL572" s="65" t="n">
        <x:f>AK572/Q572</x:f>
        <x:v>0.7204975249861001</x:v>
      </x:c>
      <x:c r="AM572" s="64" t="n">
        <x:f>AK572/L572</x:f>
        <x:v>227.10099999999997</x:v>
      </x:c>
      <x:c r="AN572" s="66" t="str">
        <x:f>IF(AM572&lt;=200,"≤200K",IF(AM572&lt;=350,"200–350K",IF(AM572&lt;=500,"350–500K",IF(AM572&lt;=700,"500–700K","&gt;700K"))))</x:f>
        <x:v>200–350K</x:v>
      </x:c>
      <x:c r="AO572" s="64" t="n">
        <x:f>-ROUND(Q572*'Drivers'!R572,3)</x:f>
        <x:v>-461.799</x:v>
      </x:c>
      <x:c r="AP572" s="64" t="n">
        <x:f>-ROUND(AK572*'Drivers'!S572,3)</x:f>
        <x:v>-13.983</x:v>
      </x:c>
      <x:c r="AQ572" s="64" t="n">
        <x:f>-ROUND(AK572*'Drivers'!T572,3)</x:f>
        <x:v>-5.925</x:v>
      </x:c>
      <x:c r="AR572" s="64" t="n">
        <x:f>-ROUND(AK572*'Drivers'!U572,3)</x:f>
        <x:v>-9.381</x:v>
      </x:c>
      <x:c r="AS572" s="64" t="n">
        <x:f>-ROUND(AK572*'Drivers'!V572,3)</x:f>
        <x:v>-30.673</x:v>
      </x:c>
      <x:c r="AT572" s="64" t="n">
        <x:f>SUM(AO572:AS572)</x:f>
        <x:v>-521.761</x:v>
      </x:c>
      <x:c r="AU572" s="65" t="n">
        <x:f>AT572/AK572</x:f>
        <x:v>-0.5743710947992303</x:v>
      </x:c>
      <x:c r="AV572" s="64" t="n">
        <x:f>AK572+AT572</x:f>
        <x:v>386.6429999999999</x:v>
      </x:c>
      <x:c r="AW572" s="65" t="n">
        <x:f>AV572/AK572</x:f>
        <x:v>0.4256289052007697</x:v>
      </x:c>
      <x:c r="AX572" s="64" t="n">
        <x:f>-ROUND(AK572*'Drivers'!W572,3)</x:f>
        <x:v>-14.031</x:v>
      </x:c>
      <x:c r="AY572" s="64" t="n">
        <x:f>-ROUND(AK572*'Drivers'!X572,3)</x:f>
        <x:v>-22.717</x:v>
      </x:c>
      <x:c r="AZ572" s="64" t="n">
        <x:f>-ROUND(AK572*'Drivers'!Y572,3)</x:f>
        <x:v>-21.399</x:v>
      </x:c>
      <x:c r="BA572" s="64" t="n">
        <x:f>-ROUND(AK572*'Drivers'!Z572,3)</x:f>
        <x:v>-5.641</x:v>
      </x:c>
      <x:c r="BB572" s="64" t="n">
        <x:f>-ROUND(AK572*'Drivers'!AA572,3)</x:f>
        <x:v>-9.934</x:v>
      </x:c>
      <x:c r="BC572" s="64" t="n">
        <x:f>SUM(BA572,BB572)</x:f>
        <x:v>-15.575</x:v>
      </x:c>
      <x:c r="BD572" s="64" t="n">
        <x:f>-ROUND(AK572*'Drivers'!AB572,3)</x:f>
        <x:v>-7.19</x:v>
      </x:c>
      <x:c r="BE572" s="64" t="n">
        <x:f>SUM(AX572:BB572,BD572)</x:f>
        <x:v>-80.91199999999999</x:v>
      </x:c>
      <x:c r="BF572" s="67" t="n">
        <x:f>'Drivers'!AF572</x:f>
        <x:v>7</x:v>
      </x:c>
      <x:c r="BG572" s="64" t="n">
        <x:f>BJ572</x:f>
        <x:v>-21.389</x:v>
      </x:c>
      <x:c r="BH572" s="64" t="n">
        <x:f>BE572/BF572</x:f>
        <x:v>-11.558857142857141</x:v>
      </x:c>
      <x:c r="BI572" s="68" t="n">
        <x:f>BF572/L572</x:f>
        <x:v>1.75</x:v>
      </x:c>
      <x:c r="BJ572" s="64" t="n">
        <x:f>-ROUND(AK572*'Drivers'!AC572,3)</x:f>
        <x:v>-21.389</x:v>
      </x:c>
      <x:c r="BK572" s="64" t="n">
        <x:f>-ROUND(AK572*'Drivers'!AD572,3)</x:f>
        <x:v>-95.063</x:v>
      </x:c>
      <x:c r="BL572" s="64" t="n">
        <x:f>SUM(AV572,BE572,BJ572,BK572)</x:f>
        <x:v>189.27899999999994</x:v>
      </x:c>
      <x:c r="BM572" s="65" t="n">
        <x:f>BL572/AK572</x:f>
        <x:v>0.20836434009537602</x:v>
      </x:c>
      <x:c r="BN572" s="64" t="n">
        <x:f>-ROUND(AK572*'Drivers'!AE572,3)</x:f>
        <x:v>-57.801</x:v>
      </x:c>
      <x:c r="BO572" s="64" t="n">
        <x:f>BL572+BN572</x:f>
        <x:v>131.47799999999995</x:v>
      </x:c>
      <x:c r="BP572" s="65" t="n">
        <x:f>BO572/AK572</x:f>
        <x:v>0.14473516188832278</x:v>
      </x:c>
    </x:row>
    <x:row r="573">
      <x:c r="A573" s="61" t="n">
        <x:v>2026</x:v>
      </x:c>
      <x:c r="B573" s="18" t="str">
        <x:v>S2</x:v>
      </x:c>
      <x:c r="C573" s="18" t="str">
        <x:v>2026 S2</x:v>
      </x:c>
      <x:c r="D573" s="18" t="str">
        <x:v>CNCT0143</x:v>
      </x:c>
      <x:c r="E573" s="18" t="str">
        <x:v>沈阳龙之梦购物中心</x:v>
      </x:c>
      <x:c r="F573" s="18" t="str">
        <x:v>沈阳</x:v>
      </x:c>
      <x:c r="G573" s="18" t="str">
        <x:v>辽宁省</x:v>
      </x:c>
      <x:c r="H573" s="18" t="str">
        <x:v>北区</x:v>
      </x:c>
      <x:c r="I573" s="18" t="str">
        <x:v>Shopping Mall</x:v>
      </x:c>
      <x:c r="J573" s="18" t="str">
        <x:v>Regional Mall</x:v>
      </x:c>
      <x:c r="K573" s="18" t="str">
        <x:v>正常</x:v>
      </x:c>
      <x:c r="L573" s="62" t="n">
        <x:v>4</x:v>
      </x:c>
      <x:c r="M573" s="62" t="n">
        <x:v>35</x:v>
      </x:c>
      <x:c r="N573" s="63" t="n">
        <x:f>'Drivers'!C573</x:f>
        <x:v>1394</x:v>
      </x:c>
      <x:c r="O573" s="63" t="n">
        <x:f>'Drivers'!D573</x:f>
        <x:v>1019.141</x:v>
      </x:c>
      <x:c r="P573" s="64" t="n">
        <x:f>ROUND(N573*O573/1000,3)</x:f>
        <x:v>1420.683</x:v>
      </x:c>
      <x:c r="Q573" s="64" t="n">
        <x:f>ROUND(P573*'Drivers'!E573,3)</x:f>
        <x:v>1391.449</x:v>
      </x:c>
      <x:c r="R573" s="64" t="n">
        <x:f>-ROUND(Q573*'Drivers'!F573,3)</x:f>
        <x:v>-257.184</x:v>
      </x:c>
      <x:c r="S573" s="65" t="n">
        <x:f>R573/Q573</x:f>
        <x:v>-0.1848317832705331</x:v>
      </x:c>
      <x:c r="T573" s="64" t="n">
        <x:f>-ROUND(Q573*'Drivers'!G573,3)</x:f>
        <x:v>-24.077</x:v>
      </x:c>
      <x:c r="U573" s="65" t="n">
        <x:f>T573/Q573</x:f>
        <x:v>-0.017303544722084677</x:v>
      </x:c>
      <x:c r="V573" s="64" t="n">
        <x:f>-ROUND(Q573*'Drivers'!H573,3)</x:f>
        <x:v>-12.43</x:v>
      </x:c>
      <x:c r="W573" s="64" t="n">
        <x:f>-ROUND(Q573*'Drivers'!I573,3)</x:f>
        <x:v>-10.26</x:v>
      </x:c>
      <x:c r="X573" s="64" t="n">
        <x:f>-ROUND(Q573*'Drivers'!J573,3)</x:f>
        <x:v>-18.083</x:v>
      </x:c>
      <x:c r="Y573" s="64" t="n">
        <x:f>-ROUND(Q573*'Drivers'!K573,3)</x:f>
        <x:v>-18.221</x:v>
      </x:c>
      <x:c r="Z573" s="64" t="n">
        <x:f>-ROUND(Q573*'Drivers'!L573,3)</x:f>
        <x:v>-17.683</x:v>
      </x:c>
      <x:c r="AA573" s="64" t="n">
        <x:f>-ROUND(Q573*'Drivers'!M573,3)</x:f>
        <x:v>-11.848</x:v>
      </x:c>
      <x:c r="AB573" s="64" t="n">
        <x:f>-ROUND(Q573*'Drivers'!N573,3)</x:f>
        <x:v>-11.698</x:v>
      </x:c>
      <x:c r="AC573" s="64" t="n">
        <x:f>SUM(V573:AB573)</x:f>
        <x:v>-100.22299999999998</x:v>
      </x:c>
      <x:c r="AD573" s="65" t="n">
        <x:f>AC573/Q573</x:f>
        <x:v>-0.07202779261043701</x:v>
      </x:c>
      <x:c r="AE573" s="64" t="n">
        <x:f>-ROUND(Q573*'Drivers'!O573,3)</x:f>
        <x:v>-10.898</x:v>
      </x:c>
      <x:c r="AF573" s="65" t="n">
        <x:f>AE573/Q573</x:f>
        <x:v>-0.00783212320394064</x:v>
      </x:c>
      <x:c r="AG573" s="64" t="n">
        <x:f>-ROUND(Q573*'Drivers'!P573,3)</x:f>
        <x:v>-1.287</x:v>
      </x:c>
      <x:c r="AH573" s="64" t="n">
        <x:f>-ROUND(Q573*'Drivers'!Q573,3)</x:f>
        <x:v>-6.641</x:v>
      </x:c>
      <x:c r="AI573" s="64" t="n">
        <x:f>SUM(R573,T573,AC573,AE573,AG573,AH573)</x:f>
        <x:v>-400.31000000000006</x:v>
      </x:c>
      <x:c r="AJ573" s="65" t="n">
        <x:f>AI573/Q573</x:f>
        <x:v>-0.2876929014286546</x:v>
      </x:c>
      <x:c r="AK573" s="64" t="n">
        <x:f>Q573+AI573</x:f>
        <x:v>991.139</x:v>
      </x:c>
      <x:c r="AL573" s="65" t="n">
        <x:f>AK573/Q573</x:f>
        <x:v>0.7123070985713453</x:v>
      </x:c>
      <x:c r="AM573" s="64" t="n">
        <x:f>AK573/L573</x:f>
        <x:v>247.78475</x:v>
      </x:c>
      <x:c r="AN573" s="66" t="str">
        <x:f>IF(AM573&lt;=200,"≤200K",IF(AM573&lt;=350,"200–350K",IF(AM573&lt;=500,"350–500K",IF(AM573&lt;=700,"500–700K","&gt;700K"))))</x:f>
        <x:v>200–350K</x:v>
      </x:c>
      <x:c r="AO573" s="64" t="n">
        <x:f>-ROUND(Q573*'Drivers'!R573,3)</x:f>
        <x:v>-518.014</x:v>
      </x:c>
      <x:c r="AP573" s="64" t="n">
        <x:f>-ROUND(AK573*'Drivers'!S573,3)</x:f>
        <x:v>-15.256</x:v>
      </x:c>
      <x:c r="AQ573" s="64" t="n">
        <x:f>-ROUND(AK573*'Drivers'!T573,3)</x:f>
        <x:v>-6.464</x:v>
      </x:c>
      <x:c r="AR573" s="64" t="n">
        <x:f>-ROUND(AK573*'Drivers'!U573,3)</x:f>
        <x:v>-10.236</x:v>
      </x:c>
      <x:c r="AS573" s="64" t="n">
        <x:f>-ROUND(AK573*'Drivers'!V573,3)</x:f>
        <x:v>-33.466</x:v>
      </x:c>
      <x:c r="AT573" s="64" t="n">
        <x:f>SUM(AO573:AS573)</x:f>
        <x:v>-583.436</x:v>
      </x:c>
      <x:c r="AU573" s="65" t="n">
        <x:f>AT573/AK573</x:f>
        <x:v>-0.5886520457776356</x:v>
      </x:c>
      <x:c r="AV573" s="64" t="n">
        <x:f>AK573+AT573</x:f>
        <x:v>407.703</x:v>
      </x:c>
      <x:c r="AW573" s="65" t="n">
        <x:f>AV573/AK573</x:f>
        <x:v>0.41134795422236436</x:v>
      </x:c>
      <x:c r="AX573" s="64" t="n">
        <x:f>-ROUND(AK573*'Drivers'!W573,3)</x:f>
        <x:v>-13.188</x:v>
      </x:c>
      <x:c r="AY573" s="64" t="n">
        <x:f>-ROUND(AK573*'Drivers'!X573,3)</x:f>
        <x:v>-21.353</x:v>
      </x:c>
      <x:c r="AZ573" s="64" t="n">
        <x:f>-ROUND(AK573*'Drivers'!Y573,3)</x:f>
        <x:v>-20.113</x:v>
      </x:c>
      <x:c r="BA573" s="64" t="n">
        <x:f>-ROUND(AK573*'Drivers'!Z573,3)</x:f>
        <x:v>-5.302</x:v>
      </x:c>
      <x:c r="BB573" s="64" t="n">
        <x:f>-ROUND(AK573*'Drivers'!AA573,3)</x:f>
        <x:v>-9.338</x:v>
      </x:c>
      <x:c r="BC573" s="64" t="n">
        <x:f>SUM(BA573,BB573)</x:f>
        <x:v>-14.639999999999999</x:v>
      </x:c>
      <x:c r="BD573" s="64" t="n">
        <x:f>-ROUND(AK573*'Drivers'!AB573,3)</x:f>
        <x:v>-6.758</x:v>
      </x:c>
      <x:c r="BE573" s="64" t="n">
        <x:f>SUM(AX573:BB573,BD573)</x:f>
        <x:v>-76.05199999999999</x:v>
      </x:c>
      <x:c r="BF573" s="67" t="n">
        <x:f>'Drivers'!AF573</x:f>
        <x:v>7</x:v>
      </x:c>
      <x:c r="BG573" s="64" t="n">
        <x:f>BJ573</x:f>
        <x:v>-20.104</x:v>
      </x:c>
      <x:c r="BH573" s="64" t="n">
        <x:f>BE573/BF573</x:f>
        <x:v>-10.864571428571427</x:v>
      </x:c>
      <x:c r="BI573" s="68" t="n">
        <x:f>BF573/L573</x:f>
        <x:v>1.75</x:v>
      </x:c>
      <x:c r="BJ573" s="64" t="n">
        <x:f>-ROUND(AK573*'Drivers'!AC573,3)</x:f>
        <x:v>-20.104</x:v>
      </x:c>
      <x:c r="BK573" s="64" t="n">
        <x:f>-ROUND(AK573*'Drivers'!AD573,3)</x:f>
        <x:v>-103.721</x:v>
      </x:c>
      <x:c r="BL573" s="64" t="n">
        <x:f>SUM(AV573,BE573,BJ573,BK573)</x:f>
        <x:v>207.82599999999996</x:v>
      </x:c>
      <x:c r="BM573" s="65" t="n">
        <x:f>BL573/AK573</x:f>
        <x:v>0.2096840100127227</x:v>
      </x:c>
      <x:c r="BN573" s="64" t="n">
        <x:f>-ROUND(AK573*'Drivers'!AE573,3)</x:f>
        <x:v>-63.065</x:v>
      </x:c>
      <x:c r="BO573" s="64" t="n">
        <x:f>BL573+BN573</x:f>
        <x:v>144.76099999999997</x:v>
      </x:c>
      <x:c r="BP573" s="65" t="n">
        <x:f>BO573/AK573</x:f>
        <x:v>0.14605519508363607</x:v>
      </x:c>
    </x:row>
    <x:row r="574">
      <x:c r="A574" s="61" t="n">
        <x:v>2025</x:v>
      </x:c>
      <x:c r="B574" s="18" t="str">
        <x:v>S1</x:v>
      </x:c>
      <x:c r="C574" s="18" t="str">
        <x:v>2025 S1</x:v>
      </x:c>
      <x:c r="D574" s="18" t="str">
        <x:v>CNCT0144</x:v>
      </x:c>
      <x:c r="E574" s="18" t="str">
        <x:v>沈阳赛特奥莱</x:v>
      </x:c>
      <x:c r="F574" s="18" t="str">
        <x:v>沈阳</x:v>
      </x:c>
      <x:c r="G574" s="18" t="str">
        <x:v>辽宁省</x:v>
      </x:c>
      <x:c r="H574" s="18" t="str">
        <x:v>北区</x:v>
      </x:c>
      <x:c r="I574" s="18" t="str">
        <x:v>Shopping Mall</x:v>
      </x:c>
      <x:c r="J574" s="18" t="str">
        <x:v>Regional Mall</x:v>
      </x:c>
      <x:c r="K574" s="18" t="str">
        <x:v>正常</x:v>
      </x:c>
      <x:c r="L574" s="62" t="n">
        <x:v>4</x:v>
      </x:c>
      <x:c r="M574" s="62" t="n">
        <x:v>36</x:v>
      </x:c>
      <x:c r="N574" s="63" t="n">
        <x:f>'Drivers'!C574</x:f>
        <x:v>1313</x:v>
      </x:c>
      <x:c r="O574" s="63" t="n">
        <x:f>'Drivers'!D574</x:f>
        <x:v>925.553</x:v>
      </x:c>
      <x:c r="P574" s="64" t="n">
        <x:f>ROUND(N574*O574/1000,3)</x:f>
        <x:v>1215.251</x:v>
      </x:c>
      <x:c r="Q574" s="64" t="n">
        <x:f>ROUND(P574*'Drivers'!E574,3)</x:f>
        <x:v>1175.891</x:v>
      </x:c>
      <x:c r="R574" s="64" t="n">
        <x:f>-ROUND(Q574*'Drivers'!F574,3)</x:f>
        <x:v>-218.684</x:v>
      </x:c>
      <x:c r="S574" s="65" t="n">
        <x:f>R574/Q574</x:f>
        <x:v>-0.1859730196081099</x:v>
      </x:c>
      <x:c r="T574" s="64" t="n">
        <x:f>-ROUND(Q574*'Drivers'!G574,3)</x:f>
        <x:v>-12.747</x:v>
      </x:c>
      <x:c r="U574" s="65" t="n">
        <x:f>T574/Q574</x:f>
        <x:v>-0.010840290469099602</x:v>
      </x:c>
      <x:c r="V574" s="64" t="n">
        <x:f>-ROUND(Q574*'Drivers'!H574,3)</x:f>
        <x:v>-8.962</x:v>
      </x:c>
      <x:c r="W574" s="64" t="n">
        <x:f>-ROUND(Q574*'Drivers'!I574,3)</x:f>
        <x:v>-8.743</x:v>
      </x:c>
      <x:c r="X574" s="64" t="n">
        <x:f>-ROUND(Q574*'Drivers'!J574,3)</x:f>
        <x:v>-12.571</x:v>
      </x:c>
      <x:c r="Y574" s="64" t="n">
        <x:f>-ROUND(Q574*'Drivers'!K574,3)</x:f>
        <x:v>-9.469</x:v>
      </x:c>
      <x:c r="Z574" s="64" t="n">
        <x:f>-ROUND(Q574*'Drivers'!L574,3)</x:f>
        <x:v>-10.823</x:v>
      </x:c>
      <x:c r="AA574" s="64" t="n">
        <x:f>-ROUND(Q574*'Drivers'!M574,3)</x:f>
        <x:v>-10.981</x:v>
      </x:c>
      <x:c r="AB574" s="64" t="n">
        <x:f>-ROUND(Q574*'Drivers'!N574,3)</x:f>
        <x:v>-9.786</x:v>
      </x:c>
      <x:c r="AC574" s="64" t="n">
        <x:f>SUM(V574:AB574)</x:f>
        <x:v>-71.335</x:v>
      </x:c>
      <x:c r="AD574" s="65" t="n">
        <x:f>AC574/Q574</x:f>
        <x:v>-0.060664636433138776</x:v>
      </x:c>
      <x:c r="AE574" s="64" t="n">
        <x:f>-ROUND(Q574*'Drivers'!O574,3)</x:f>
        <x:v>-15.468</x:v>
      </x:c>
      <x:c r="AF574" s="65" t="n">
        <x:f>AE574/Q574</x:f>
        <x:v>-0.013154280456266779</x:v>
      </x:c>
      <x:c r="AG574" s="64" t="n">
        <x:f>-ROUND(Q574*'Drivers'!P574,3)</x:f>
        <x:v>-3.199</x:v>
      </x:c>
      <x:c r="AH574" s="64" t="n">
        <x:f>-ROUND(Q574*'Drivers'!Q574,3)</x:f>
        <x:v>-2.485</x:v>
      </x:c>
      <x:c r="AI574" s="64" t="n">
        <x:f>SUM(R574,T574,AC574,AE574,AG574,AH574)</x:f>
        <x:v>-323.918</x:v>
      </x:c>
      <x:c r="AJ574" s="65" t="n">
        <x:f>AI574/Q574</x:f>
        <x:v>-0.27546600832900325</x:v>
      </x:c>
      <x:c r="AK574" s="64" t="n">
        <x:f>Q574+AI574</x:f>
        <x:v>851.9730000000001</x:v>
      </x:c>
      <x:c r="AL574" s="65" t="n">
        <x:f>AK574/Q574</x:f>
        <x:v>0.7245339916709967</x:v>
      </x:c>
      <x:c r="AM574" s="64" t="n">
        <x:f>AK574/L574</x:f>
        <x:v>212.99325000000002</x:v>
      </x:c>
      <x:c r="AN574" s="66" t="str">
        <x:f>IF(AM574&lt;=200,"≤200K",IF(AM574&lt;=350,"200–350K",IF(AM574&lt;=500,"350–500K",IF(AM574&lt;=700,"500–700K","&gt;700K"))))</x:f>
        <x:v>200–350K</x:v>
      </x:c>
      <x:c r="AO574" s="64" t="n">
        <x:f>-ROUND(Q574*'Drivers'!R574,3)</x:f>
        <x:v>-427.92</x:v>
      </x:c>
      <x:c r="AP574" s="64" t="n">
        <x:f>-ROUND(AK574*'Drivers'!S574,3)</x:f>
        <x:v>-13.764</x:v>
      </x:c>
      <x:c r="AQ574" s="64" t="n">
        <x:f>-ROUND(AK574*'Drivers'!T574,3)</x:f>
        <x:v>-4.101</x:v>
      </x:c>
      <x:c r="AR574" s="64" t="n">
        <x:f>-ROUND(AK574*'Drivers'!U574,3)</x:f>
        <x:v>-6.718</x:v>
      </x:c>
      <x:c r="AS574" s="64" t="n">
        <x:f>-ROUND(AK574*'Drivers'!V574,3)</x:f>
        <x:v>-31.198</x:v>
      </x:c>
      <x:c r="AT574" s="64" t="n">
        <x:f>SUM(AO574:AS574)</x:f>
        <x:v>-483.701</x:v>
      </x:c>
      <x:c r="AU574" s="65" t="n">
        <x:f>AT574/AK574</x:f>
        <x:v>-0.5677421702330943</x:v>
      </x:c>
      <x:c r="AV574" s="64" t="n">
        <x:f>AK574+AT574</x:f>
        <x:v>368.27200000000005</x:v>
      </x:c>
      <x:c r="AW574" s="65" t="n">
        <x:f>AV574/AK574</x:f>
        <x:v>0.4322578297669058</x:v>
      </x:c>
      <x:c r="AX574" s="64" t="n">
        <x:f>-ROUND(AK574*'Drivers'!W574,3)</x:f>
        <x:v>-11.63</x:v>
      </x:c>
      <x:c r="AY574" s="64" t="n">
        <x:f>-ROUND(AK574*'Drivers'!X574,3)</x:f>
        <x:v>-19.785</x:v>
      </x:c>
      <x:c r="AZ574" s="64" t="n">
        <x:f>-ROUND(AK574*'Drivers'!Y574,3)</x:f>
        <x:v>-15.312</x:v>
      </x:c>
      <x:c r="BA574" s="64" t="n">
        <x:f>-ROUND(AK574*'Drivers'!Z574,3)</x:f>
        <x:v>-4.533</x:v>
      </x:c>
      <x:c r="BB574" s="64" t="n">
        <x:f>-ROUND(AK574*'Drivers'!AA574,3)</x:f>
        <x:v>-5.382</x:v>
      </x:c>
      <x:c r="BC574" s="64" t="n">
        <x:f>SUM(BA574,BB574)</x:f>
        <x:v>-9.915</x:v>
      </x:c>
      <x:c r="BD574" s="64" t="n">
        <x:f>-ROUND(AK574*'Drivers'!AB574,3)</x:f>
        <x:v>-4.452</x:v>
      </x:c>
      <x:c r="BE574" s="64" t="n">
        <x:f>SUM(AX574:BB574,BD574)</x:f>
        <x:v>-61.093999999999994</x:v>
      </x:c>
      <x:c r="BF574" s="67" t="n">
        <x:f>'Drivers'!AF574</x:f>
        <x:v>8</x:v>
      </x:c>
      <x:c r="BG574" s="64" t="n">
        <x:f>BJ574</x:f>
        <x:v>-14.388</x:v>
      </x:c>
      <x:c r="BH574" s="64" t="n">
        <x:f>BE574/BF574</x:f>
        <x:v>-7.636749999999999</x:v>
      </x:c>
      <x:c r="BI574" s="68" t="n">
        <x:f>BF574/L574</x:f>
        <x:v>2</x:v>
      </x:c>
      <x:c r="BJ574" s="64" t="n">
        <x:f>-ROUND(AK574*'Drivers'!AC574,3)</x:f>
        <x:v>-14.388</x:v>
      </x:c>
      <x:c r="BK574" s="64" t="n">
        <x:f>-ROUND(AK574*'Drivers'!AD574,3)</x:f>
        <x:v>-84.656</x:v>
      </x:c>
      <x:c r="BL574" s="64" t="n">
        <x:f>SUM(AV574,BE574,BJ574,BK574)</x:f>
        <x:v>208.13400000000007</x:v>
      </x:c>
      <x:c r="BM574" s="65" t="n">
        <x:f>BL574/AK574</x:f>
        <x:v>0.2442964741840411</x:v>
      </x:c>
      <x:c r="BN574" s="64" t="n">
        <x:f>-ROUND(AK574*'Drivers'!AE574,3)</x:f>
        <x:v>-62.674</x:v>
      </x:c>
      <x:c r="BO574" s="64" t="n">
        <x:f>BL574+BN574</x:f>
        <x:v>145.46000000000006</x:v>
      </x:c>
      <x:c r="BP574" s="65" t="n">
        <x:f>BO574/AK574</x:f>
        <x:v>0.17073311008682207</x:v>
      </x:c>
    </x:row>
    <x:row r="575">
      <x:c r="A575" s="61" t="n">
        <x:v>2025</x:v>
      </x:c>
      <x:c r="B575" s="18" t="str">
        <x:v>S2</x:v>
      </x:c>
      <x:c r="C575" s="18" t="str">
        <x:v>2025 S2</x:v>
      </x:c>
      <x:c r="D575" s="18" t="str">
        <x:v>CNCT0144</x:v>
      </x:c>
      <x:c r="E575" s="18" t="str">
        <x:v>沈阳赛特奥莱</x:v>
      </x:c>
      <x:c r="F575" s="18" t="str">
        <x:v>沈阳</x:v>
      </x:c>
      <x:c r="G575" s="18" t="str">
        <x:v>辽宁省</x:v>
      </x:c>
      <x:c r="H575" s="18" t="str">
        <x:v>北区</x:v>
      </x:c>
      <x:c r="I575" s="18" t="str">
        <x:v>Shopping Mall</x:v>
      </x:c>
      <x:c r="J575" s="18" t="str">
        <x:v>Regional Mall</x:v>
      </x:c>
      <x:c r="K575" s="18" t="str">
        <x:v>正常</x:v>
      </x:c>
      <x:c r="L575" s="62" t="n">
        <x:v>4</x:v>
      </x:c>
      <x:c r="M575" s="62" t="n">
        <x:v>36</x:v>
      </x:c>
      <x:c r="N575" s="63" t="n">
        <x:f>'Drivers'!C575</x:f>
        <x:v>1405</x:v>
      </x:c>
      <x:c r="O575" s="63" t="n">
        <x:f>'Drivers'!D575</x:f>
        <x:v>936.659</x:v>
      </x:c>
      <x:c r="P575" s="64" t="n">
        <x:f>ROUND(N575*O575/1000,3)</x:f>
        <x:v>1316.006</x:v>
      </x:c>
      <x:c r="Q575" s="64" t="n">
        <x:f>ROUND(P575*'Drivers'!E575,3)</x:f>
        <x:v>1290.43</x:v>
      </x:c>
      <x:c r="R575" s="64" t="n">
        <x:f>-ROUND(Q575*'Drivers'!F575,3)</x:f>
        <x:v>-239.985</x:v>
      </x:c>
      <x:c r="S575" s="65" t="n">
        <x:f>R575/Q575</x:f>
        <x:v>-0.185972892756678</x:v>
      </x:c>
      <x:c r="T575" s="64" t="n">
        <x:f>-ROUND(Q575*'Drivers'!G575,3)</x:f>
        <x:v>-13.988</x:v>
      </x:c>
      <x:c r="U575" s="65" t="n">
        <x:f>T575/Q575</x:f>
        <x:v>-0.010839797586850894</x:v>
      </x:c>
      <x:c r="V575" s="64" t="n">
        <x:f>-ROUND(Q575*'Drivers'!H575,3)</x:f>
        <x:v>-9.835</x:v>
      </x:c>
      <x:c r="W575" s="64" t="n">
        <x:f>-ROUND(Q575*'Drivers'!I575,3)</x:f>
        <x:v>-9.595</x:v>
      </x:c>
      <x:c r="X575" s="64" t="n">
        <x:f>-ROUND(Q575*'Drivers'!J575,3)</x:f>
        <x:v>-13.796</x:v>
      </x:c>
      <x:c r="Y575" s="64" t="n">
        <x:f>-ROUND(Q575*'Drivers'!K575,3)</x:f>
        <x:v>-10.392</x:v>
      </x:c>
      <x:c r="Z575" s="64" t="n">
        <x:f>-ROUND(Q575*'Drivers'!L575,3)</x:f>
        <x:v>-11.877</x:v>
      </x:c>
      <x:c r="AA575" s="64" t="n">
        <x:f>-ROUND(Q575*'Drivers'!M575,3)</x:f>
        <x:v>-12.051</x:v>
      </x:c>
      <x:c r="AB575" s="64" t="n">
        <x:f>-ROUND(Q575*'Drivers'!N575,3)</x:f>
        <x:v>-10.739</x:v>
      </x:c>
      <x:c r="AC575" s="64" t="n">
        <x:f>SUM(V575:AB575)</x:f>
        <x:v>-78.285</x:v>
      </x:c>
      <x:c r="AD575" s="65" t="n">
        <x:f>AC575/Q575</x:f>
        <x:v>-0.06066582457010453</x:v>
      </x:c>
      <x:c r="AE575" s="64" t="n">
        <x:f>-ROUND(Q575*'Drivers'!O575,3)</x:f>
        <x:v>-16.974</x:v>
      </x:c>
      <x:c r="AF575" s="65" t="n">
        <x:f>AE575/Q575</x:f>
        <x:v>-0.01315375494990042</x:v>
      </x:c>
      <x:c r="AG575" s="64" t="n">
        <x:f>-ROUND(Q575*'Drivers'!P575,3)</x:f>
        <x:v>-3.511</x:v>
      </x:c>
      <x:c r="AH575" s="64" t="n">
        <x:f>-ROUND(Q575*'Drivers'!Q575,3)</x:f>
        <x:v>-2.727</x:v>
      </x:c>
      <x:c r="AI575" s="64" t="n">
        <x:f>SUM(R575,T575,AC575,AE575,AG575,AH575)</x:f>
        <x:v>-355.47</x:v>
      </x:c>
      <x:c r="AJ575" s="65" t="n">
        <x:f>AI575/Q575</x:f>
        <x:v>-0.275466317429074</x:v>
      </x:c>
      <x:c r="AK575" s="64" t="n">
        <x:f>Q575+AI575</x:f>
        <x:v>934.96</x:v>
      </x:c>
      <x:c r="AL575" s="65" t="n">
        <x:f>AK575/Q575</x:f>
        <x:v>0.724533682570926</x:v>
      </x:c>
      <x:c r="AM575" s="64" t="n">
        <x:f>AK575/L575</x:f>
        <x:v>233.74</x:v>
      </x:c>
      <x:c r="AN575" s="66" t="str">
        <x:f>IF(AM575&lt;=200,"≤200K",IF(AM575&lt;=350,"200–350K",IF(AM575&lt;=500,"350–500K",IF(AM575&lt;=700,"500–700K","&gt;700K"))))</x:f>
        <x:v>200–350K</x:v>
      </x:c>
      <x:c r="AO575" s="64" t="n">
        <x:f>-ROUND(Q575*'Drivers'!R575,3)</x:f>
        <x:v>-476.595</x:v>
      </x:c>
      <x:c r="AP575" s="64" t="n">
        <x:f>-ROUND(AK575*'Drivers'!S575,3)</x:f>
        <x:v>-15.104</x:v>
      </x:c>
      <x:c r="AQ575" s="64" t="n">
        <x:f>-ROUND(AK575*'Drivers'!T575,3)</x:f>
        <x:v>-4.501</x:v>
      </x:c>
      <x:c r="AR575" s="64" t="n">
        <x:f>-ROUND(AK575*'Drivers'!U575,3)</x:f>
        <x:v>-7.373</x:v>
      </x:c>
      <x:c r="AS575" s="64" t="n">
        <x:f>-ROUND(AK575*'Drivers'!V575,3)</x:f>
        <x:v>-34.237</x:v>
      </x:c>
      <x:c r="AT575" s="64" t="n">
        <x:f>SUM(AO575:AS575)</x:f>
        <x:v>-537.81</x:v>
      </x:c>
      <x:c r="AU575" s="65" t="n">
        <x:f>AT575/AK575</x:f>
        <x:v>-0.575222469410456</x:v>
      </x:c>
      <x:c r="AV575" s="64" t="n">
        <x:f>AK575+AT575</x:f>
        <x:v>397.1500000000001</x:v>
      </x:c>
      <x:c r="AW575" s="65" t="n">
        <x:f>AV575/AK575</x:f>
        <x:v>0.42477753058954404</x:v>
      </x:c>
      <x:c r="AX575" s="64" t="n">
        <x:f>-ROUND(AK575*'Drivers'!W575,3)</x:f>
        <x:v>-12.763</x:v>
      </x:c>
      <x:c r="AY575" s="64" t="n">
        <x:f>-ROUND(AK575*'Drivers'!X575,3)</x:f>
        <x:v>-21.712</x:v>
      </x:c>
      <x:c r="AZ575" s="64" t="n">
        <x:f>-ROUND(AK575*'Drivers'!Y575,3)</x:f>
        <x:v>-16.803</x:v>
      </x:c>
      <x:c r="BA575" s="64" t="n">
        <x:f>-ROUND(AK575*'Drivers'!Z575,3)</x:f>
        <x:v>-4.975</x:v>
      </x:c>
      <x:c r="BB575" s="64" t="n">
        <x:f>-ROUND(AK575*'Drivers'!AA575,3)</x:f>
        <x:v>-5.906</x:v>
      </x:c>
      <x:c r="BC575" s="64" t="n">
        <x:f>SUM(BA575,BB575)</x:f>
        <x:v>-10.881</x:v>
      </x:c>
      <x:c r="BD575" s="64" t="n">
        <x:f>-ROUND(AK575*'Drivers'!AB575,3)</x:f>
        <x:v>-4.886</x:v>
      </x:c>
      <x:c r="BE575" s="64" t="n">
        <x:f>SUM(AX575:BB575,BD575)</x:f>
        <x:v>-67.045</x:v>
      </x:c>
      <x:c r="BF575" s="67" t="n">
        <x:f>'Drivers'!AF575</x:f>
        <x:v>8</x:v>
      </x:c>
      <x:c r="BG575" s="64" t="n">
        <x:f>BJ575</x:f>
        <x:v>-15.79</x:v>
      </x:c>
      <x:c r="BH575" s="64" t="n">
        <x:f>BE575/BF575</x:f>
        <x:v>-8.380625</x:v>
      </x:c>
      <x:c r="BI575" s="68" t="n">
        <x:f>BF575/L575</x:f>
        <x:v>2</x:v>
      </x:c>
      <x:c r="BJ575" s="64" t="n">
        <x:f>-ROUND(AK575*'Drivers'!AC575,3)</x:f>
        <x:v>-15.79</x:v>
      </x:c>
      <x:c r="BK575" s="64" t="n">
        <x:f>-ROUND(AK575*'Drivers'!AD575,3)</x:f>
        <x:v>-92.902</x:v>
      </x:c>
      <x:c r="BL575" s="64" t="n">
        <x:f>SUM(AV575,BE575,BJ575,BK575)</x:f>
        <x:v>221.41300000000007</x:v>
      </x:c>
      <x:c r="BM575" s="65" t="n">
        <x:f>BL575/AK575</x:f>
        <x:v>0.23681547873705833</x:v>
      </x:c>
      <x:c r="BN575" s="64" t="n">
        <x:f>-ROUND(AK575*'Drivers'!AE575,3)</x:f>
        <x:v>-68.779</x:v>
      </x:c>
      <x:c r="BO575" s="64" t="n">
        <x:f>BL575+BN575</x:f>
        <x:v>152.63400000000007</x:v>
      </x:c>
      <x:c r="BP575" s="65" t="n">
        <x:f>BO575/AK575</x:f>
        <x:v>0.16325190382476262</x:v>
      </x:c>
    </x:row>
    <x:row r="576">
      <x:c r="A576" s="61" t="n">
        <x:v>2026</x:v>
      </x:c>
      <x:c r="B576" s="18" t="str">
        <x:v>S1</x:v>
      </x:c>
      <x:c r="C576" s="18" t="str">
        <x:v>2026 S1</x:v>
      </x:c>
      <x:c r="D576" s="18" t="str">
        <x:v>CNCT0144</x:v>
      </x:c>
      <x:c r="E576" s="18" t="str">
        <x:v>沈阳赛特奥莱</x:v>
      </x:c>
      <x:c r="F576" s="18" t="str">
        <x:v>沈阳</x:v>
      </x:c>
      <x:c r="G576" s="18" t="str">
        <x:v>辽宁省</x:v>
      </x:c>
      <x:c r="H576" s="18" t="str">
        <x:v>北区</x:v>
      </x:c>
      <x:c r="I576" s="18" t="str">
        <x:v>Shopping Mall</x:v>
      </x:c>
      <x:c r="J576" s="18" t="str">
        <x:v>Regional Mall</x:v>
      </x:c>
      <x:c r="K576" s="18" t="str">
        <x:v>正常</x:v>
      </x:c>
      <x:c r="L576" s="62" t="n">
        <x:v>4</x:v>
      </x:c>
      <x:c r="M576" s="62" t="n">
        <x:v>36</x:v>
      </x:c>
      <x:c r="N576" s="63" t="n">
        <x:f>'Drivers'!C576</x:f>
        <x:v>1086</x:v>
      </x:c>
      <x:c r="O576" s="63" t="n">
        <x:f>'Drivers'!D576</x:f>
        <x:v>970.679</x:v>
      </x:c>
      <x:c r="P576" s="64" t="n">
        <x:f>ROUND(N576*O576/1000,3)</x:f>
        <x:v>1054.157</x:v>
      </x:c>
      <x:c r="Q576" s="64" t="n">
        <x:f>ROUND(P576*'Drivers'!E576,3)</x:f>
        <x:v>1020.126</x:v>
      </x:c>
      <x:c r="R576" s="64" t="n">
        <x:f>-ROUND(Q576*'Drivers'!F576,3)</x:f>
        <x:v>-201.957</x:v>
      </x:c>
      <x:c r="S576" s="65" t="n">
        <x:f>R576/Q576</x:f>
        <x:v>-0.19797260338428782</x:v>
      </x:c>
      <x:c r="T576" s="64" t="n">
        <x:f>-ROUND(Q576*'Drivers'!G576,3)</x:f>
        <x:v>-12.965</x:v>
      </x:c>
      <x:c r="U576" s="65" t="n">
        <x:f>T576/Q576</x:f>
        <x:v>-0.012709214351952602</x:v>
      </x:c>
      <x:c r="V576" s="64" t="n">
        <x:f>-ROUND(Q576*'Drivers'!H576,3)</x:f>
        <x:v>-7.775</x:v>
      </x:c>
      <x:c r="W576" s="64" t="n">
        <x:f>-ROUND(Q576*'Drivers'!I576,3)</x:f>
        <x:v>-7.585</x:v>
      </x:c>
      <x:c r="X576" s="64" t="n">
        <x:f>-ROUND(Q576*'Drivers'!J576,3)</x:f>
        <x:v>-10.906</x:v>
      </x:c>
      <x:c r="Y576" s="64" t="n">
        <x:f>-ROUND(Q576*'Drivers'!K576,3)</x:f>
        <x:v>-8.215</x:v>
      </x:c>
      <x:c r="Z576" s="64" t="n">
        <x:f>-ROUND(Q576*'Drivers'!L576,3)</x:f>
        <x:v>-9.389</x:v>
      </x:c>
      <x:c r="AA576" s="64" t="n">
        <x:f>-ROUND(Q576*'Drivers'!M576,3)</x:f>
        <x:v>-9.527</x:v>
      </x:c>
      <x:c r="AB576" s="64" t="n">
        <x:f>-ROUND(Q576*'Drivers'!N576,3)</x:f>
        <x:v>-8.49</x:v>
      </x:c>
      <x:c r="AC576" s="64" t="n">
        <x:f>SUM(V576:AB576)</x:f>
        <x:v>-61.88699999999999</x:v>
      </x:c>
      <x:c r="AD576" s="65" t="n">
        <x:f>AC576/Q576</x:f>
        <x:v>-0.060666035372101086</x:v>
      </x:c>
      <x:c r="AE576" s="64" t="n">
        <x:f>-ROUND(Q576*'Drivers'!O576,3)</x:f>
        <x:v>-12.436</x:v>
      </x:c>
      <x:c r="AF576" s="65" t="n">
        <x:f>AE576/Q576</x:f>
        <x:v>-0.012190650958803128</x:v>
      </x:c>
      <x:c r="AG576" s="64" t="n">
        <x:f>-ROUND(Q576*'Drivers'!P576,3)</x:f>
        <x:v>-2.775</x:v>
      </x:c>
      <x:c r="AH576" s="64" t="n">
        <x:f>-ROUND(Q576*'Drivers'!Q576,3)</x:f>
        <x:v>-2.156</x:v>
      </x:c>
      <x:c r="AI576" s="64" t="n">
        <x:f>SUM(R576,T576,AC576,AE576,AG576,AH576)</x:f>
        <x:v>-294.17599999999993</x:v>
      </x:c>
      <x:c r="AJ576" s="65" t="n">
        <x:f>AI576/Q576</x:f>
        <x:v>-0.2883722206864642</x:v>
      </x:c>
      <x:c r="AK576" s="64" t="n">
        <x:f>Q576+AI576</x:f>
        <x:v>725.95</x:v>
      </x:c>
      <x:c r="AL576" s="65" t="n">
        <x:f>AK576/Q576</x:f>
        <x:v>0.7116277793135358</x:v>
      </x:c>
      <x:c r="AM576" s="64" t="n">
        <x:f>AK576/L576</x:f>
        <x:v>181.4875</x:v>
      </x:c>
      <x:c r="AN576" s="66" t="str">
        <x:f>IF(AM576&lt;=200,"≤200K",IF(AM576&lt;=350,"200–350K",IF(AM576&lt;=500,"350–500K",IF(AM576&lt;=700,"500–700K","&gt;700K"))))</x:f>
        <x:v>≤200K</x:v>
      </x:c>
      <x:c r="AO576" s="64" t="n">
        <x:f>-ROUND(Q576*'Drivers'!R576,3)</x:f>
        <x:v>-394.112</x:v>
      </x:c>
      <x:c r="AP576" s="64" t="n">
        <x:f>-ROUND(AK576*'Drivers'!S576,3)</x:f>
        <x:v>-11.728</x:v>
      </x:c>
      <x:c r="AQ576" s="64" t="n">
        <x:f>-ROUND(AK576*'Drivers'!T576,3)</x:f>
        <x:v>-3.494</x:v>
      </x:c>
      <x:c r="AR576" s="64" t="n">
        <x:f>-ROUND(AK576*'Drivers'!U576,3)</x:f>
        <x:v>-5.724</x:v>
      </x:c>
      <x:c r="AS576" s="64" t="n">
        <x:f>-ROUND(AK576*'Drivers'!V576,3)</x:f>
        <x:v>-26.584</x:v>
      </x:c>
      <x:c r="AT576" s="64" t="n">
        <x:f>SUM(AO576:AS576)</x:f>
        <x:v>-441.64200000000005</x:v>
      </x:c>
      <x:c r="AU576" s="65" t="n">
        <x:f>AT576/AK576</x:f>
        <x:v>-0.6083642124113231</x:v>
      </x:c>
      <x:c r="AV576" s="64" t="n">
        <x:f>AK576+AT576</x:f>
        <x:v>284.308</x:v>
      </x:c>
      <x:c r="AW576" s="65" t="n">
        <x:f>AV576/AK576</x:f>
        <x:v>0.3916357875886769</x:v>
      </x:c>
      <x:c r="AX576" s="64" t="n">
        <x:f>-ROUND(AK576*'Drivers'!W576,3)</x:f>
        <x:v>-12.194</x:v>
      </x:c>
      <x:c r="AY576" s="64" t="n">
        <x:f>-ROUND(AK576*'Drivers'!X576,3)</x:f>
        <x:v>-20.743</x:v>
      </x:c>
      <x:c r="AZ576" s="64" t="n">
        <x:f>-ROUND(AK576*'Drivers'!Y576,3)</x:f>
        <x:v>-16.053</x:v>
      </x:c>
      <x:c r="BA576" s="64" t="n">
        <x:f>-ROUND(AK576*'Drivers'!Z576,3)</x:f>
        <x:v>-4.753</x:v>
      </x:c>
      <x:c r="BB576" s="64" t="n">
        <x:f>-ROUND(AK576*'Drivers'!AA576,3)</x:f>
        <x:v>-5.642</x:v>
      </x:c>
      <x:c r="BC576" s="64" t="n">
        <x:f>SUM(BA576,BB576)</x:f>
        <x:v>-10.395</x:v>
      </x:c>
      <x:c r="BD576" s="64" t="n">
        <x:f>-ROUND(AK576*'Drivers'!AB576,3)</x:f>
        <x:v>-4.668</x:v>
      </x:c>
      <x:c r="BE576" s="64" t="n">
        <x:f>SUM(AX576:BB576,BD576)</x:f>
        <x:v>-64.053</x:v>
      </x:c>
      <x:c r="BF576" s="67" t="n">
        <x:f>'Drivers'!AF576</x:f>
        <x:v>8</x:v>
      </x:c>
      <x:c r="BG576" s="64" t="n">
        <x:f>BJ576</x:f>
        <x:v>-21.874</x:v>
      </x:c>
      <x:c r="BH576" s="64" t="n">
        <x:f>BE576/BF576</x:f>
        <x:v>-8.006625</x:v>
      </x:c>
      <x:c r="BI576" s="68" t="n">
        <x:f>BF576/L576</x:f>
        <x:v>2</x:v>
      </x:c>
      <x:c r="BJ576" s="64" t="n">
        <x:f>-ROUND(AK576*'Drivers'!AC576,3)</x:f>
        <x:v>-21.874</x:v>
      </x:c>
      <x:c r="BK576" s="64" t="n">
        <x:f>-ROUND(AK576*'Drivers'!AD576,3)</x:f>
        <x:v>-79.347</x:v>
      </x:c>
      <x:c r="BL576" s="64" t="n">
        <x:f>SUM(AV576,BE576,BJ576,BK576)</x:f>
        <x:v>119.034</x:v>
      </x:c>
      <x:c r="BM576" s="65" t="n">
        <x:f>BL576/AK576</x:f>
        <x:v>0.16396997038363523</x:v>
      </x:c>
      <x:c r="BN576" s="64" t="n">
        <x:f>-ROUND(AK576*'Drivers'!AE576,3)</x:f>
        <x:v>-137.087</x:v>
      </x:c>
      <x:c r="BO576" s="64" t="n">
        <x:f>BL576+BN576</x:f>
        <x:v>-18.052999999999983</x:v>
      </x:c>
      <x:c r="BP576" s="65" t="n">
        <x:f>BO576/AK576</x:f>
        <x:v>-0.02486810386390245</x:v>
      </x:c>
    </x:row>
    <x:row r="577">
      <x:c r="A577" s="61" t="n">
        <x:v>2026</x:v>
      </x:c>
      <x:c r="B577" s="18" t="str">
        <x:v>S2</x:v>
      </x:c>
      <x:c r="C577" s="18" t="str">
        <x:v>2026 S2</x:v>
      </x:c>
      <x:c r="D577" s="18" t="str">
        <x:v>CNCT0144</x:v>
      </x:c>
      <x:c r="E577" s="18" t="str">
        <x:v>沈阳赛特奥莱</x:v>
      </x:c>
      <x:c r="F577" s="18" t="str">
        <x:v>沈阳</x:v>
      </x:c>
      <x:c r="G577" s="18" t="str">
        <x:v>辽宁省</x:v>
      </x:c>
      <x:c r="H577" s="18" t="str">
        <x:v>北区</x:v>
      </x:c>
      <x:c r="I577" s="18" t="str">
        <x:v>Shopping Mall</x:v>
      </x:c>
      <x:c r="J577" s="18" t="str">
        <x:v>Regional Mall</x:v>
      </x:c>
      <x:c r="K577" s="18" t="str">
        <x:v>正常</x:v>
      </x:c>
      <x:c r="L577" s="62" t="n">
        <x:v>4</x:v>
      </x:c>
      <x:c r="M577" s="62" t="n">
        <x:v>35</x:v>
      </x:c>
      <x:c r="N577" s="63" t="n">
        <x:f>'Drivers'!C577</x:f>
        <x:v>1140</x:v>
      </x:c>
      <x:c r="O577" s="63" t="n">
        <x:f>'Drivers'!D577</x:f>
        <x:v>965.09</x:v>
      </x:c>
      <x:c r="P577" s="64" t="n">
        <x:f>ROUND(N577*O577/1000,3)</x:f>
        <x:v>1100.203</x:v>
      </x:c>
      <x:c r="Q577" s="64" t="n">
        <x:f>ROUND(P577*'Drivers'!E577,3)</x:f>
        <x:v>1078.821</x:v>
      </x:c>
      <x:c r="R577" s="64" t="n">
        <x:f>-ROUND(Q577*'Drivers'!F577,3)</x:f>
        <x:v>-197.484</x:v>
      </x:c>
      <x:c r="S577" s="65" t="n">
        <x:f>R577/Q577</x:f>
        <x:v>-0.1830553910240902</x:v>
      </x:c>
      <x:c r="T577" s="64" t="n">
        <x:f>-ROUND(Q577*'Drivers'!G577,3)</x:f>
        <x:v>-9.617</x:v>
      </x:c>
      <x:c r="U577" s="65" t="n">
        <x:f>T577/Q577</x:f>
        <x:v>-0.008914361140541388</x:v>
      </x:c>
      <x:c r="V577" s="64" t="n">
        <x:f>-ROUND(Q577*'Drivers'!H577,3)</x:f>
        <x:v>-8.223</x:v>
      </x:c>
      <x:c r="W577" s="64" t="n">
        <x:f>-ROUND(Q577*'Drivers'!I577,3)</x:f>
        <x:v>-8.022</x:v>
      </x:c>
      <x:c r="X577" s="64" t="n">
        <x:f>-ROUND(Q577*'Drivers'!J577,3)</x:f>
        <x:v>-11.533</x:v>
      </x:c>
      <x:c r="Y577" s="64" t="n">
        <x:f>-ROUND(Q577*'Drivers'!K577,3)</x:f>
        <x:v>-8.688</x:v>
      </x:c>
      <x:c r="Z577" s="64" t="n">
        <x:f>-ROUND(Q577*'Drivers'!L577,3)</x:f>
        <x:v>-9.929</x:v>
      </x:c>
      <x:c r="AA577" s="64" t="n">
        <x:f>-ROUND(Q577*'Drivers'!M577,3)</x:f>
        <x:v>-10.075</x:v>
      </x:c>
      <x:c r="AB577" s="64" t="n">
        <x:f>-ROUND(Q577*'Drivers'!N577,3)</x:f>
        <x:v>-8.978</x:v>
      </x:c>
      <x:c r="AC577" s="64" t="n">
        <x:f>SUM(V577:AB577)</x:f>
        <x:v>-65.448</x:v>
      </x:c>
      <x:c r="AD577" s="65" t="n">
        <x:f>AC577/Q577</x:f>
        <x:v>-0.06066622729813379</x:v>
      </x:c>
      <x:c r="AE577" s="64" t="n">
        <x:f>-ROUND(Q577*'Drivers'!O577,3)</x:f>
        <x:v>-14.191</x:v>
      </x:c>
      <x:c r="AF577" s="65" t="n">
        <x:f>AE577/Q577</x:f>
        <x:v>-0.01315417478895943</x:v>
      </x:c>
      <x:c r="AG577" s="64" t="n">
        <x:f>-ROUND(Q577*'Drivers'!P577,3)</x:f>
        <x:v>-2.935</x:v>
      </x:c>
      <x:c r="AH577" s="64" t="n">
        <x:f>-ROUND(Q577*'Drivers'!Q577,3)</x:f>
        <x:v>-2.28</x:v>
      </x:c>
      <x:c r="AI577" s="64" t="n">
        <x:f>SUM(R577,T577,AC577,AE577,AG577,AH577)</x:f>
        <x:v>-291.9549999999999</x:v>
      </x:c>
      <x:c r="AJ577" s="65" t="n">
        <x:f>AI577/Q577</x:f>
        <x:v>-0.2706241350511345</x:v>
      </x:c>
      <x:c r="AK577" s="64" t="n">
        <x:f>Q577+AI577</x:f>
        <x:v>786.866</x:v>
      </x:c>
      <x:c r="AL577" s="65" t="n">
        <x:f>AK577/Q577</x:f>
        <x:v>0.7293758649488655</x:v>
      </x:c>
      <x:c r="AM577" s="64" t="n">
        <x:f>AK577/L577</x:f>
        <x:v>196.7165</x:v>
      </x:c>
      <x:c r="AN577" s="66" t="str">
        <x:f>IF(AM577&lt;=200,"≤200K",IF(AM577&lt;=350,"200–350K",IF(AM577&lt;=500,"350–500K",IF(AM577&lt;=700,"500–700K","&gt;700K"))))</x:f>
        <x:v>≤200K</x:v>
      </x:c>
      <x:c r="AO577" s="64" t="n">
        <x:f>-ROUND(Q577*'Drivers'!R577,3)</x:f>
        <x:v>-418.893</x:v>
      </x:c>
      <x:c r="AP577" s="64" t="n">
        <x:f>-ROUND(AK577*'Drivers'!S577,3)</x:f>
        <x:v>-12.712</x:v>
      </x:c>
      <x:c r="AQ577" s="64" t="n">
        <x:f>-ROUND(AK577*'Drivers'!T577,3)</x:f>
        <x:v>-3.788</x:v>
      </x:c>
      <x:c r="AR577" s="64" t="n">
        <x:f>-ROUND(AK577*'Drivers'!U577,3)</x:f>
        <x:v>-6.205</x:v>
      </x:c>
      <x:c r="AS577" s="64" t="n">
        <x:f>-ROUND(AK577*'Drivers'!V577,3)</x:f>
        <x:v>-28.814</x:v>
      </x:c>
      <x:c r="AT577" s="64" t="n">
        <x:f>SUM(AO577:AS577)</x:f>
        <x:v>-470.412</x:v>
      </x:c>
      <x:c r="AU577" s="65" t="n">
        <x:f>AT577/AK577</x:f>
        <x:v>-0.5978298719222841</x:v>
      </x:c>
      <x:c r="AV577" s="64" t="n">
        <x:f>AK577+AT577</x:f>
        <x:v>316.454</x:v>
      </x:c>
      <x:c r="AW577" s="65" t="n">
        <x:f>AV577/AK577</x:f>
        <x:v>0.4021701280777159</x:v>
      </x:c>
      <x:c r="AX577" s="64" t="n">
        <x:f>-ROUND(AK577*'Drivers'!W577,3)</x:f>
        <x:v>-11.386</x:v>
      </x:c>
      <x:c r="AY577" s="64" t="n">
        <x:f>-ROUND(AK577*'Drivers'!X577,3)</x:f>
        <x:v>-19.369</x:v>
      </x:c>
      <x:c r="AZ577" s="64" t="n">
        <x:f>-ROUND(AK577*'Drivers'!Y577,3)</x:f>
        <x:v>-14.99</x:v>
      </x:c>
      <x:c r="BA577" s="64" t="n">
        <x:f>-ROUND(AK577*'Drivers'!Z577,3)</x:f>
        <x:v>-4.438</x:v>
      </x:c>
      <x:c r="BB577" s="64" t="n">
        <x:f>-ROUND(AK577*'Drivers'!AA577,3)</x:f>
        <x:v>-5.269</x:v>
      </x:c>
      <x:c r="BC577" s="64" t="n">
        <x:f>SUM(BA577,BB577)</x:f>
        <x:v>-9.707</x:v>
      </x:c>
      <x:c r="BD577" s="64" t="n">
        <x:f>-ROUND(AK577*'Drivers'!AB577,3)</x:f>
        <x:v>-4.359</x:v>
      </x:c>
      <x:c r="BE577" s="64" t="n">
        <x:f>SUM(AX577:BB577,BD577)</x:f>
        <x:v>-59.811</x:v>
      </x:c>
      <x:c r="BF577" s="67" t="n">
        <x:f>'Drivers'!AF577</x:f>
        <x:v>8</x:v>
      </x:c>
      <x:c r="BG577" s="64" t="n">
        <x:f>BJ577</x:f>
        <x:v>-20.425</x:v>
      </x:c>
      <x:c r="BH577" s="64" t="n">
        <x:f>BE577/BF577</x:f>
        <x:v>-7.476375</x:v>
      </x:c>
      <x:c r="BI577" s="68" t="n">
        <x:f>BF577/L577</x:f>
        <x:v>2</x:v>
      </x:c>
      <x:c r="BJ577" s="64" t="n">
        <x:f>-ROUND(AK577*'Drivers'!AC577,3)</x:f>
        <x:v>-20.425</x:v>
      </x:c>
      <x:c r="BK577" s="64" t="n">
        <x:f>-ROUND(AK577*'Drivers'!AD577,3)</x:f>
        <x:v>-84.441</x:v>
      </x:c>
      <x:c r="BL577" s="64" t="n">
        <x:f>SUM(AV577,BE577,BJ577,BK577)</x:f>
        <x:v>151.77700000000002</x:v>
      </x:c>
      <x:c r="BM577" s="65" t="n">
        <x:f>BL577/AK577</x:f>
        <x:v>0.19288798855205336</x:v>
      </x:c>
      <x:c r="BN577" s="64" t="n">
        <x:f>-ROUND(AK577*'Drivers'!AE577,3)</x:f>
        <x:v>-167.032</x:v>
      </x:c>
      <x:c r="BO577" s="64" t="n">
        <x:f>BL577+BN577</x:f>
        <x:v>-15.254999999999995</x:v>
      </x:c>
      <x:c r="BP577" s="65" t="n">
        <x:f>BO577/AK577</x:f>
        <x:v>-0.019387036674605326</x:v>
      </x:c>
    </x:row>
    <x:row r="578">
      <x:c r="A578" s="61" t="n">
        <x:v>2025</x:v>
      </x:c>
      <x:c r="B578" s="18" t="str">
        <x:v>S1</x:v>
      </x:c>
      <x:c r="C578" s="18" t="str">
        <x:v>2025 S1</x:v>
      </x:c>
      <x:c r="D578" s="18" t="str">
        <x:v>CNCT0145</x:v>
      </x:c>
      <x:c r="E578" s="18" t="str">
        <x:v>郑州丹尼斯大卫城</x:v>
      </x:c>
      <x:c r="F578" s="18" t="str">
        <x:v>郑州</x:v>
      </x:c>
      <x:c r="G578" s="18" t="str">
        <x:v>河南省</x:v>
      </x:c>
      <x:c r="H578" s="18" t="str">
        <x:v>北区</x:v>
      </x:c>
      <x:c r="I578" s="18" t="str">
        <x:v>Shopping Mall</x:v>
      </x:c>
      <x:c r="J578" s="18" t="str">
        <x:v>Prestige Shopping Center</x:v>
      </x:c>
      <x:c r="K578" s="18" t="str">
        <x:v>正常</x:v>
      </x:c>
      <x:c r="L578" s="62" t="n">
        <x:v>4</x:v>
      </x:c>
      <x:c r="M578" s="62" t="n">
        <x:v>33</x:v>
      </x:c>
      <x:c r="N578" s="63" t="n">
        <x:f>'Drivers'!C578</x:f>
        <x:v>1632</x:v>
      </x:c>
      <x:c r="O578" s="63" t="n">
        <x:f>'Drivers'!D578</x:f>
        <x:v>1129.214</x:v>
      </x:c>
      <x:c r="P578" s="64" t="n">
        <x:f>ROUND(N578*O578/1000,3)</x:f>
        <x:v>1842.877</x:v>
      </x:c>
      <x:c r="Q578" s="64" t="n">
        <x:f>ROUND(P578*'Drivers'!E578,3)</x:f>
        <x:v>1795.377</x:v>
      </x:c>
      <x:c r="R578" s="64" t="n">
        <x:f>-ROUND(Q578*'Drivers'!F578,3)</x:f>
        <x:v>-368.725</x:v>
      </x:c>
      <x:c r="S578" s="65" t="n">
        <x:f>R578/Q578</x:f>
        <x:v>-0.20537469289179935</x:v>
      </x:c>
      <x:c r="T578" s="64" t="n">
        <x:f>-ROUND(Q578*'Drivers'!G578,3)</x:f>
        <x:v>-26.109</x:v>
      </x:c>
      <x:c r="U578" s="65" t="n">
        <x:f>T578/Q578</x:f>
        <x:v>-0.014542349601225817</x:v>
      </x:c>
      <x:c r="V578" s="64" t="n">
        <x:f>-ROUND(Q578*'Drivers'!H578,3)</x:f>
        <x:v>-22.981</x:v>
      </x:c>
      <x:c r="W578" s="64" t="n">
        <x:f>-ROUND(Q578*'Drivers'!I578,3)</x:f>
        <x:v>-17.687</x:v>
      </x:c>
      <x:c r="X578" s="64" t="n">
        <x:f>-ROUND(Q578*'Drivers'!J578,3)</x:f>
        <x:v>-26.688</x:v>
      </x:c>
      <x:c r="Y578" s="64" t="n">
        <x:f>-ROUND(Q578*'Drivers'!K578,3)</x:f>
        <x:v>-24.349</x:v>
      </x:c>
      <x:c r="Z578" s="64" t="n">
        <x:f>-ROUND(Q578*'Drivers'!L578,3)</x:f>
        <x:v>-15.731</x:v>
      </x:c>
      <x:c r="AA578" s="64" t="n">
        <x:f>-ROUND(Q578*'Drivers'!M578,3)</x:f>
        <x:v>-16.161</x:v>
      </x:c>
      <x:c r="AB578" s="64" t="n">
        <x:f>-ROUND(Q578*'Drivers'!N578,3)</x:f>
        <x:v>-15.053</x:v>
      </x:c>
      <x:c r="AC578" s="64" t="n">
        <x:f>SUM(V578:AB578)</x:f>
        <x:v>-138.65</x:v>
      </x:c>
      <x:c r="AD578" s="65" t="n">
        <x:f>AC578/Q578</x:f>
        <x:v>-0.07722612019648241</x:v>
      </x:c>
      <x:c r="AE578" s="64" t="n">
        <x:f>-ROUND(Q578*'Drivers'!O578,3)</x:f>
        <x:v>-14.377</x:v>
      </x:c>
      <x:c r="AF578" s="65" t="n">
        <x:f>AE578/Q578</x:f>
        <x:v>-0.008007788893363345</x:v>
      </x:c>
      <x:c r="AG578" s="64" t="n">
        <x:f>-ROUND(Q578*'Drivers'!P578,3)</x:f>
        <x:v>-3.513</x:v>
      </x:c>
      <x:c r="AH578" s="64" t="n">
        <x:f>-ROUND(Q578*'Drivers'!Q578,3)</x:f>
        <x:v>-9.605</x:v>
      </x:c>
      <x:c r="AI578" s="64" t="n">
        <x:f>SUM(R578,T578,AC578,AE578,AG578,AH578)</x:f>
        <x:v>-560.979</x:v>
      </x:c>
      <x:c r="AJ578" s="65" t="n">
        <x:f>AI578/Q578</x:f>
        <x:v>-0.31245749499965747</x:v>
      </x:c>
      <x:c r="AK578" s="64" t="n">
        <x:f>Q578+AI578</x:f>
        <x:v>1234.398</x:v>
      </x:c>
      <x:c r="AL578" s="65" t="n">
        <x:f>AK578/Q578</x:f>
        <x:v>0.6875425050003425</x:v>
      </x:c>
      <x:c r="AM578" s="64" t="n">
        <x:f>AK578/L578</x:f>
        <x:v>308.5995</x:v>
      </x:c>
      <x:c r="AN578" s="66" t="str">
        <x:f>IF(AM578&lt;=200,"≤200K",IF(AM578&lt;=350,"200–350K",IF(AM578&lt;=500,"350–500K",IF(AM578&lt;=700,"500–700K","&gt;700K"))))</x:f>
        <x:v>200–350K</x:v>
      </x:c>
      <x:c r="AO578" s="64" t="n">
        <x:f>-ROUND(Q578*'Drivers'!R578,3)</x:f>
        <x:v>-606.144</x:v>
      </x:c>
      <x:c r="AP578" s="64" t="n">
        <x:f>-ROUND(AK578*'Drivers'!S578,3)</x:f>
        <x:v>-17.087</x:v>
      </x:c>
      <x:c r="AQ578" s="64" t="n">
        <x:f>-ROUND(AK578*'Drivers'!T578,3)</x:f>
        <x:v>-7.283</x:v>
      </x:c>
      <x:c r="AR578" s="64" t="n">
        <x:f>-ROUND(AK578*'Drivers'!U578,3)</x:f>
        <x:v>-14.69</x:v>
      </x:c>
      <x:c r="AS578" s="64" t="n">
        <x:f>-ROUND(AK578*'Drivers'!V578,3)</x:f>
        <x:v>-43.144</x:v>
      </x:c>
      <x:c r="AT578" s="64" t="n">
        <x:f>SUM(AO578:AS578)</x:f>
        <x:v>-688.3480000000001</x:v>
      </x:c>
      <x:c r="AU578" s="65" t="n">
        <x:f>AT578/AK578</x:f>
        <x:v>-0.557638622227191</x:v>
      </x:c>
      <x:c r="AV578" s="64" t="n">
        <x:f>AK578+AT578</x:f>
        <x:v>546.0499999999998</x:v>
      </x:c>
      <x:c r="AW578" s="65" t="n">
        <x:f>AV578/AK578</x:f>
        <x:v>0.442361377772809</x:v>
      </x:c>
      <x:c r="AX578" s="64" t="n">
        <x:f>-ROUND(AK578*'Drivers'!W578,3)</x:f>
        <x:v>-17.246</x:v>
      </x:c>
      <x:c r="AY578" s="64" t="n">
        <x:f>-ROUND(AK578*'Drivers'!X578,3)</x:f>
        <x:v>-28.872</x:v>
      </x:c>
      <x:c r="AZ578" s="64" t="n">
        <x:f>-ROUND(AK578*'Drivers'!Y578,3)</x:f>
        <x:v>-24.175</x:v>
      </x:c>
      <x:c r="BA578" s="64" t="n">
        <x:f>-ROUND(AK578*'Drivers'!Z578,3)</x:f>
        <x:v>-9.087</x:v>
      </x:c>
      <x:c r="BB578" s="64" t="n">
        <x:f>-ROUND(AK578*'Drivers'!AA578,3)</x:f>
        <x:v>-9.333</x:v>
      </x:c>
      <x:c r="BC578" s="64" t="n">
        <x:f>SUM(BA578,BB578)</x:f>
        <x:v>-18.42</x:v>
      </x:c>
      <x:c r="BD578" s="64" t="n">
        <x:f>-ROUND(AK578*'Drivers'!AB578,3)</x:f>
        <x:v>-6.821</x:v>
      </x:c>
      <x:c r="BE578" s="64" t="n">
        <x:f>SUM(AX578:BB578,BD578)</x:f>
        <x:v>-95.53399999999999</x:v>
      </x:c>
      <x:c r="BF578" s="67" t="n">
        <x:f>'Drivers'!AF578</x:f>
        <x:v>7</x:v>
      </x:c>
      <x:c r="BG578" s="64" t="n">
        <x:f>BJ578</x:f>
        <x:v>-32.164</x:v>
      </x:c>
      <x:c r="BH578" s="64" t="n">
        <x:f>BE578/BF578</x:f>
        <x:v>-13.647714285714285</x:v>
      </x:c>
      <x:c r="BI578" s="68" t="n">
        <x:f>BF578/L578</x:f>
        <x:v>1.75</x:v>
      </x:c>
      <x:c r="BJ578" s="64" t="n">
        <x:f>-ROUND(AK578*'Drivers'!AC578,3)</x:f>
        <x:v>-32.164</x:v>
      </x:c>
      <x:c r="BK578" s="64" t="n">
        <x:f>-ROUND(AK578*'Drivers'!AD578,3)</x:f>
        <x:v>-116.505</x:v>
      </x:c>
      <x:c r="BL578" s="64" t="n">
        <x:f>SUM(AV578,BE578,BJ578,BK578)</x:f>
        <x:v>301.84699999999987</x:v>
      </x:c>
      <x:c r="BM578" s="65" t="n">
        <x:f>BL578/AK578</x:f>
        <x:v>0.24452972218036637</x:v>
      </x:c>
      <x:c r="BN578" s="64" t="n">
        <x:f>-ROUND(AK578*'Drivers'!AE578,3)</x:f>
        <x:v>-98.225</x:v>
      </x:c>
      <x:c r="BO578" s="64" t="n">
        <x:f>BL578+BN578</x:f>
        <x:v>203.62199999999987</x:v>
      </x:c>
      <x:c r="BP578" s="65" t="n">
        <x:f>BO578/AK578</x:f>
        <x:v>0.1649565213164635</x:v>
      </x:c>
    </x:row>
    <x:row r="579">
      <x:c r="A579" s="61" t="n">
        <x:v>2025</x:v>
      </x:c>
      <x:c r="B579" s="18" t="str">
        <x:v>S2</x:v>
      </x:c>
      <x:c r="C579" s="18" t="str">
        <x:v>2025 S2</x:v>
      </x:c>
      <x:c r="D579" s="18" t="str">
        <x:v>CNCT0145</x:v>
      </x:c>
      <x:c r="E579" s="18" t="str">
        <x:v>郑州丹尼斯大卫城</x:v>
      </x:c>
      <x:c r="F579" s="18" t="str">
        <x:v>郑州</x:v>
      </x:c>
      <x:c r="G579" s="18" t="str">
        <x:v>河南省</x:v>
      </x:c>
      <x:c r="H579" s="18" t="str">
        <x:v>北区</x:v>
      </x:c>
      <x:c r="I579" s="18" t="str">
        <x:v>Shopping Mall</x:v>
      </x:c>
      <x:c r="J579" s="18" t="str">
        <x:v>Prestige Shopping Center</x:v>
      </x:c>
      <x:c r="K579" s="18" t="str">
        <x:v>正常</x:v>
      </x:c>
      <x:c r="L579" s="62" t="n">
        <x:v>4</x:v>
      </x:c>
      <x:c r="M579" s="62" t="n">
        <x:v>33</x:v>
      </x:c>
      <x:c r="N579" s="63" t="n">
        <x:f>'Drivers'!C579</x:f>
        <x:v>1749</x:v>
      </x:c>
      <x:c r="O579" s="63" t="n">
        <x:f>'Drivers'!D579</x:f>
        <x:v>1142.765</x:v>
      </x:c>
      <x:c r="P579" s="64" t="n">
        <x:f>ROUND(N579*O579/1000,3)</x:f>
        <x:v>1998.696</x:v>
      </x:c>
      <x:c r="Q579" s="64" t="n">
        <x:f>ROUND(P579*'Drivers'!E579,3)</x:f>
        <x:v>1965.42</x:v>
      </x:c>
      <x:c r="R579" s="64" t="n">
        <x:f>-ROUND(Q579*'Drivers'!F579,3)</x:f>
        <x:v>-403.647</x:v>
      </x:c>
      <x:c r="S579" s="65" t="n">
        <x:f>R579/Q579</x:f>
        <x:v>-0.2053744237872821</x:v>
      </x:c>
      <x:c r="T579" s="64" t="n">
        <x:f>-ROUND(Q579*'Drivers'!G579,3)</x:f>
        <x:v>-28.582</x:v>
      </x:c>
      <x:c r="U579" s="65" t="n">
        <x:f>T579/Q579</x:f>
        <x:v>-0.014542438766268788</x:v>
      </x:c>
      <x:c r="V579" s="64" t="n">
        <x:f>-ROUND(Q579*'Drivers'!H579,3)</x:f>
        <x:v>-25.157</x:v>
      </x:c>
      <x:c r="W579" s="64" t="n">
        <x:f>-ROUND(Q579*'Drivers'!I579,3)</x:f>
        <x:v>-19.362</x:v>
      </x:c>
      <x:c r="X579" s="64" t="n">
        <x:f>-ROUND(Q579*'Drivers'!J579,3)</x:f>
        <x:v>-29.216</x:v>
      </x:c>
      <x:c r="Y579" s="64" t="n">
        <x:f>-ROUND(Q579*'Drivers'!K579,3)</x:f>
        <x:v>-26.655</x:v>
      </x:c>
      <x:c r="Z579" s="64" t="n">
        <x:f>-ROUND(Q579*'Drivers'!L579,3)</x:f>
        <x:v>-17.221</x:v>
      </x:c>
      <x:c r="AA579" s="64" t="n">
        <x:f>-ROUND(Q579*'Drivers'!M579,3)</x:f>
        <x:v>-17.692</x:v>
      </x:c>
      <x:c r="AB579" s="64" t="n">
        <x:f>-ROUND(Q579*'Drivers'!N579,3)</x:f>
        <x:v>-16.479</x:v>
      </x:c>
      <x:c r="AC579" s="64" t="n">
        <x:f>SUM(V579:AB579)</x:f>
        <x:v>-151.78199999999998</x:v>
      </x:c>
      <x:c r="AD579" s="65" t="n">
        <x:f>AC579/Q579</x:f>
        <x:v>-0.07722624171932715</x:v>
      </x:c>
      <x:c r="AE579" s="64" t="n">
        <x:f>-ROUND(Q579*'Drivers'!O579,3)</x:f>
        <x:v>-15.739</x:v>
      </x:c>
      <x:c r="AF579" s="65" t="n">
        <x:f>AE579/Q579</x:f>
        <x:v>-0.008007957586673586</x:v>
      </x:c>
      <x:c r="AG579" s="64" t="n">
        <x:f>-ROUND(Q579*'Drivers'!P579,3)</x:f>
        <x:v>-3.846</x:v>
      </x:c>
      <x:c r="AH579" s="64" t="n">
        <x:f>-ROUND(Q579*'Drivers'!Q579,3)</x:f>
        <x:v>-10.515</x:v>
      </x:c>
      <x:c r="AI579" s="64" t="n">
        <x:f>SUM(R579,T579,AC579,AE579,AG579,AH579)</x:f>
        <x:v>-614.111</x:v>
      </x:c>
      <x:c r="AJ579" s="65" t="n">
        <x:f>AI579/Q579</x:f>
        <x:v>-0.31245789703981847</x:v>
      </x:c>
      <x:c r="AK579" s="64" t="n">
        <x:f>Q579+AI579</x:f>
        <x:v>1351.3090000000002</x:v>
      </x:c>
      <x:c r="AL579" s="65" t="n">
        <x:f>AK579/Q579</x:f>
        <x:v>0.6875421029601816</x:v>
      </x:c>
      <x:c r="AM579" s="64" t="n">
        <x:f>AK579/L579</x:f>
        <x:v>337.82725000000005</x:v>
      </x:c>
      <x:c r="AN579" s="66" t="str">
        <x:f>IF(AM579&lt;=200,"≤200K",IF(AM579&lt;=350,"200–350K",IF(AM579&lt;=500,"350–500K",IF(AM579&lt;=700,"500–700K","&gt;700K"))))</x:f>
        <x:v>200–350K</x:v>
      </x:c>
      <x:c r="AO579" s="64" t="n">
        <x:f>-ROUND(Q579*'Drivers'!R579,3)</x:f>
        <x:v>-668.107</x:v>
      </x:c>
      <x:c r="AP579" s="64" t="n">
        <x:f>-ROUND(AK579*'Drivers'!S579,3)</x:f>
        <x:v>-18.705</x:v>
      </x:c>
      <x:c r="AQ579" s="64" t="n">
        <x:f>-ROUND(AK579*'Drivers'!T579,3)</x:f>
        <x:v>-7.973</x:v>
      </x:c>
      <x:c r="AR579" s="64" t="n">
        <x:f>-ROUND(AK579*'Drivers'!U579,3)</x:f>
        <x:v>-16.081</x:v>
      </x:c>
      <x:c r="AS579" s="64" t="n">
        <x:f>-ROUND(AK579*'Drivers'!V579,3)</x:f>
        <x:v>-47.23</x:v>
      </x:c>
      <x:c r="AT579" s="64" t="n">
        <x:f>SUM(AO579:AS579)</x:f>
        <x:v>-758.096</x:v>
      </x:c>
      <x:c r="AU579" s="65" t="n">
        <x:f>AT579/AK579</x:f>
        <x:v>-0.5610086220102137</x:v>
      </x:c>
      <x:c r="AV579" s="64" t="n">
        <x:f>AK579+AT579</x:f>
        <x:v>593.2130000000002</x:v>
      </x:c>
      <x:c r="AW579" s="65" t="n">
        <x:f>AV579/AK579</x:f>
        <x:v>0.43899137798978627</x:v>
      </x:c>
      <x:c r="AX579" s="64" t="n">
        <x:f>-ROUND(AK579*'Drivers'!W579,3)</x:f>
        <x:v>-18.88</x:v>
      </x:c>
      <x:c r="AY579" s="64" t="n">
        <x:f>-ROUND(AK579*'Drivers'!X579,3)</x:f>
        <x:v>-31.606</x:v>
      </x:c>
      <x:c r="AZ579" s="64" t="n">
        <x:f>-ROUND(AK579*'Drivers'!Y579,3)</x:f>
        <x:v>-26.465</x:v>
      </x:c>
      <x:c r="BA579" s="64" t="n">
        <x:f>-ROUND(AK579*'Drivers'!Z579,3)</x:f>
        <x:v>-9.947</x:v>
      </x:c>
      <x:c r="BB579" s="64" t="n">
        <x:f>-ROUND(AK579*'Drivers'!AA579,3)</x:f>
        <x:v>-10.217</x:v>
      </x:c>
      <x:c r="BC579" s="64" t="n">
        <x:f>SUM(BA579,BB579)</x:f>
        <x:v>-20.164</x:v>
      </x:c>
      <x:c r="BD579" s="64" t="n">
        <x:f>-ROUND(AK579*'Drivers'!AB579,3)</x:f>
        <x:v>-7.467</x:v>
      </x:c>
      <x:c r="BE579" s="64" t="n">
        <x:f>SUM(AX579:BB579,BD579)</x:f>
        <x:v>-104.58200000000001</x:v>
      </x:c>
      <x:c r="BF579" s="67" t="n">
        <x:f>'Drivers'!AF579</x:f>
        <x:v>7</x:v>
      </x:c>
      <x:c r="BG579" s="64" t="n">
        <x:f>BJ579</x:f>
        <x:v>-35.21</x:v>
      </x:c>
      <x:c r="BH579" s="64" t="n">
        <x:f>BE579/BF579</x:f>
        <x:v>-14.940285714285716</x:v>
      </x:c>
      <x:c r="BI579" s="68" t="n">
        <x:f>BF579/L579</x:f>
        <x:v>1.75</x:v>
      </x:c>
      <x:c r="BJ579" s="64" t="n">
        <x:f>-ROUND(AK579*'Drivers'!AC579,3)</x:f>
        <x:v>-35.21</x:v>
      </x:c>
      <x:c r="BK579" s="64" t="n">
        <x:f>-ROUND(AK579*'Drivers'!AD579,3)</x:f>
        <x:v>-127.539</x:v>
      </x:c>
      <x:c r="BL579" s="64" t="n">
        <x:f>SUM(AV579,BE579,BJ579,BK579)</x:f>
        <x:v>325.88200000000023</x:v>
      </x:c>
      <x:c r="BM579" s="65" t="n">
        <x:f>BL579/AK579</x:f>
        <x:v>0.24116023796185787</x:v>
      </x:c>
      <x:c r="BN579" s="64" t="n">
        <x:f>-ROUND(AK579*'Drivers'!AE579,3)</x:f>
        <x:v>-107.528</x:v>
      </x:c>
      <x:c r="BO579" s="64" t="n">
        <x:f>BL579+BN579</x:f>
        <x:v>218.3540000000002</x:v>
      </x:c>
      <x:c r="BP579" s="65" t="n">
        <x:f>BO579/AK579</x:f>
        <x:v>0.1615870241373366</x:v>
      </x:c>
    </x:row>
    <x:row r="580">
      <x:c r="A580" s="61" t="n">
        <x:v>2026</x:v>
      </x:c>
      <x:c r="B580" s="18" t="str">
        <x:v>S1</x:v>
      </x:c>
      <x:c r="C580" s="18" t="str">
        <x:v>2026 S1</x:v>
      </x:c>
      <x:c r="D580" s="18" t="str">
        <x:v>CNCT0145</x:v>
      </x:c>
      <x:c r="E580" s="18" t="str">
        <x:v>郑州丹尼斯大卫城</x:v>
      </x:c>
      <x:c r="F580" s="18" t="str">
        <x:v>郑州</x:v>
      </x:c>
      <x:c r="G580" s="18" t="str">
        <x:v>河南省</x:v>
      </x:c>
      <x:c r="H580" s="18" t="str">
        <x:v>北区</x:v>
      </x:c>
      <x:c r="I580" s="18" t="str">
        <x:v>Shopping Mall</x:v>
      </x:c>
      <x:c r="J580" s="18" t="str">
        <x:v>Prestige Shopping Center</x:v>
      </x:c>
      <x:c r="K580" s="18" t="str">
        <x:v>正常</x:v>
      </x:c>
      <x:c r="L580" s="62" t="n">
        <x:v>4</x:v>
      </x:c>
      <x:c r="M580" s="62" t="n">
        <x:v>33</x:v>
      </x:c>
      <x:c r="N580" s="63" t="n">
        <x:f>'Drivers'!C580</x:f>
        <x:v>1779</x:v>
      </x:c>
      <x:c r="O580" s="63" t="n">
        <x:f>'Drivers'!D580</x:f>
        <x:v>1177.409</x:v>
      </x:c>
      <x:c r="P580" s="64" t="n">
        <x:f>ROUND(N580*O580/1000,3)</x:f>
        <x:v>2094.611</x:v>
      </x:c>
      <x:c r="Q580" s="64" t="n">
        <x:f>ROUND(P580*'Drivers'!E580,3)</x:f>
        <x:v>2039.934</x:v>
      </x:c>
      <x:c r="R580" s="64" t="n">
        <x:f>-ROUND(Q580*'Drivers'!F580,3)</x:f>
        <x:v>-494.423</x:v>
      </x:c>
      <x:c r="S580" s="65" t="n">
        <x:f>R580/Q580</x:f>
        <x:v>-0.24237205713518184</x:v>
      </x:c>
      <x:c r="T580" s="64" t="n">
        <x:f>-ROUND(Q580*'Drivers'!G580,3)</x:f>
        <x:v>-30.287</x:v>
      </x:c>
      <x:c r="U580" s="65" t="n">
        <x:f>T580/Q580</x:f>
        <x:v>-0.014847048973153053</x:v>
      </x:c>
      <x:c r="V580" s="64" t="n">
        <x:f>-ROUND(Q580*'Drivers'!H580,3)</x:f>
        <x:v>-26.111</x:v>
      </x:c>
      <x:c r="W580" s="64" t="n">
        <x:f>-ROUND(Q580*'Drivers'!I580,3)</x:f>
        <x:v>-20.096</x:v>
      </x:c>
      <x:c r="X580" s="64" t="n">
        <x:f>-ROUND(Q580*'Drivers'!J580,3)</x:f>
        <x:v>-30.323</x:v>
      </x:c>
      <x:c r="Y580" s="64" t="n">
        <x:f>-ROUND(Q580*'Drivers'!K580,3)</x:f>
        <x:v>-27.666</x:v>
      </x:c>
      <x:c r="Z580" s="64" t="n">
        <x:f>-ROUND(Q580*'Drivers'!L580,3)</x:f>
        <x:v>-17.874</x:v>
      </x:c>
      <x:c r="AA580" s="64" t="n">
        <x:f>-ROUND(Q580*'Drivers'!M580,3)</x:f>
        <x:v>-18.362</x:v>
      </x:c>
      <x:c r="AB580" s="64" t="n">
        <x:f>-ROUND(Q580*'Drivers'!N580,3)</x:f>
        <x:v>-17.103</x:v>
      </x:c>
      <x:c r="AC580" s="64" t="n">
        <x:f>SUM(V580:AB580)</x:f>
        <x:v>-157.535</x:v>
      </x:c>
      <x:c r="AD580" s="65" t="n">
        <x:f>AC580/Q580</x:f>
        <x:v>-0.07722553768896445</x:v>
      </x:c>
      <x:c r="AE580" s="64" t="n">
        <x:f>-ROUND(Q580*'Drivers'!O580,3)</x:f>
        <x:v>-17.478</x:v>
      </x:c>
      <x:c r="AF580" s="65" t="n">
        <x:f>AE580/Q580</x:f>
        <x:v>-0.008567924256373002</x:v>
      </x:c>
      <x:c r="AG580" s="64" t="n">
        <x:f>-ROUND(Q580*'Drivers'!P580,3)</x:f>
        <x:v>-3.992</x:v>
      </x:c>
      <x:c r="AH580" s="64" t="n">
        <x:f>-ROUND(Q580*'Drivers'!Q580,3)</x:f>
        <x:v>-10.913</x:v>
      </x:c>
      <x:c r="AI580" s="64" t="n">
        <x:f>SUM(R580,T580,AC580,AE580,AG580,AH580)</x:f>
        <x:v>-714.6279999999999</x:v>
      </x:c>
      <x:c r="AJ580" s="65" t="n">
        <x:f>AI580/Q580</x:f>
        <x:v>-0.3503191769929811</x:v>
      </x:c>
      <x:c r="AK580" s="64" t="n">
        <x:f>Q580+AI580</x:f>
        <x:v>1325.306</x:v>
      </x:c>
      <x:c r="AL580" s="65" t="n">
        <x:f>AK580/Q580</x:f>
        <x:v>0.6496808230070189</x:v>
      </x:c>
      <x:c r="AM580" s="64" t="n">
        <x:f>AK580/L580</x:f>
        <x:v>331.3265</x:v>
      </x:c>
      <x:c r="AN580" s="66" t="str">
        <x:f>IF(AM580&lt;=200,"≤200K",IF(AM580&lt;=350,"200–350K",IF(AM580&lt;=500,"350–500K",IF(AM580&lt;=700,"500–700K","&gt;700K"))))</x:f>
        <x:v>200–350K</x:v>
      </x:c>
      <x:c r="AO580" s="64" t="n">
        <x:f>-ROUND(Q580*'Drivers'!R580,3)</x:f>
        <x:v>-682.146</x:v>
      </x:c>
      <x:c r="AP580" s="64" t="n">
        <x:f>-ROUND(AK580*'Drivers'!S580,3)</x:f>
        <x:v>-18.345</x:v>
      </x:c>
      <x:c r="AQ580" s="64" t="n">
        <x:f>-ROUND(AK580*'Drivers'!T580,3)</x:f>
        <x:v>-7.819</x:v>
      </x:c>
      <x:c r="AR580" s="64" t="n">
        <x:f>-ROUND(AK580*'Drivers'!U580,3)</x:f>
        <x:v>-15.771</x:v>
      </x:c>
      <x:c r="AS580" s="64" t="n">
        <x:f>-ROUND(AK580*'Drivers'!V580,3)</x:f>
        <x:v>-46.321</x:v>
      </x:c>
      <x:c r="AT580" s="64" t="n">
        <x:f>SUM(AO580:AS580)</x:f>
        <x:v>-770.4019999999999</x:v>
      </x:c>
      <x:c r="AU580" s="65" t="n">
        <x:f>AT580/AK580</x:f>
        <x:v>-0.5813012240192076</x:v>
      </x:c>
      <x:c r="AV580" s="64" t="n">
        <x:f>AK580+AT580</x:f>
        <x:v>554.9040000000001</x:v>
      </x:c>
      <x:c r="AW580" s="65" t="n">
        <x:f>AV580/AK580</x:f>
        <x:v>0.4186987759807924</x:v>
      </x:c>
      <x:c r="AX580" s="64" t="n">
        <x:f>-ROUND(AK580*'Drivers'!W580,3)</x:f>
        <x:v>-22.784</x:v>
      </x:c>
      <x:c r="AY580" s="64" t="n">
        <x:f>-ROUND(AK580*'Drivers'!X580,3)</x:f>
        <x:v>-38.142</x:v>
      </x:c>
      <x:c r="AZ580" s="64" t="n">
        <x:f>-ROUND(AK580*'Drivers'!Y580,3)</x:f>
        <x:v>-31.937</x:v>
      </x:c>
      <x:c r="BA580" s="64" t="n">
        <x:f>-ROUND(AK580*'Drivers'!Z580,3)</x:f>
        <x:v>-12.004</x:v>
      </x:c>
      <x:c r="BB580" s="64" t="n">
        <x:f>-ROUND(AK580*'Drivers'!AA580,3)</x:f>
        <x:v>-12.33</x:v>
      </x:c>
      <x:c r="BC580" s="64" t="n">
        <x:f>SUM(BA580,BB580)</x:f>
        <x:v>-24.334</x:v>
      </x:c>
      <x:c r="BD580" s="64" t="n">
        <x:f>-ROUND(AK580*'Drivers'!AB580,3)</x:f>
        <x:v>-9.012</x:v>
      </x:c>
      <x:c r="BE580" s="64" t="n">
        <x:f>SUM(AX580:BB580,BD580)</x:f>
        <x:v>-126.209</x:v>
      </x:c>
      <x:c r="BF580" s="67" t="n">
        <x:f>'Drivers'!AF580</x:f>
        <x:v>7</x:v>
      </x:c>
      <x:c r="BG580" s="64" t="n">
        <x:f>BJ580</x:f>
        <x:v>-42.49</x:v>
      </x:c>
      <x:c r="BH580" s="64" t="n">
        <x:f>BE580/BF580</x:f>
        <x:v>-18.029857142857143</x:v>
      </x:c>
      <x:c r="BI580" s="68" t="n">
        <x:f>BF580/L580</x:f>
        <x:v>1.75</x:v>
      </x:c>
      <x:c r="BJ580" s="64" t="n">
        <x:f>-ROUND(AK580*'Drivers'!AC580,3)</x:f>
        <x:v>-42.49</x:v>
      </x:c>
      <x:c r="BK580" s="64" t="n">
        <x:f>-ROUND(AK580*'Drivers'!AD580,3)</x:f>
        <x:v>-125.085</x:v>
      </x:c>
      <x:c r="BL580" s="64" t="n">
        <x:f>SUM(AV580,BE580,BJ580,BK580)</x:f>
        <x:v>261.1200000000001</x:v>
      </x:c>
      <x:c r="BM580" s="65" t="n">
        <x:f>BL580/AK580</x:f>
        <x:v>0.19702619621430834</x:v>
      </x:c>
      <x:c r="BN580" s="64" t="n">
        <x:f>-ROUND(AK580*'Drivers'!AE580,3)</x:f>
        <x:v>-105.459</x:v>
      </x:c>
      <x:c r="BO580" s="64" t="n">
        <x:f>BL580+BN580</x:f>
        <x:v>155.66100000000012</x:v>
      </x:c>
      <x:c r="BP580" s="65" t="n">
        <x:f>BO580/AK580</x:f>
        <x:v>0.11745287503414314</x:v>
      </x:c>
    </x:row>
    <x:row r="581">
      <x:c r="A581" s="61" t="n">
        <x:v>2026</x:v>
      </x:c>
      <x:c r="B581" s="18" t="str">
        <x:v>S2</x:v>
      </x:c>
      <x:c r="C581" s="18" t="str">
        <x:v>2026 S2</x:v>
      </x:c>
      <x:c r="D581" s="18" t="str">
        <x:v>CNCT0145</x:v>
      </x:c>
      <x:c r="E581" s="18" t="str">
        <x:v>郑州丹尼斯大卫城</x:v>
      </x:c>
      <x:c r="F581" s="18" t="str">
        <x:v>郑州</x:v>
      </x:c>
      <x:c r="G581" s="18" t="str">
        <x:v>河南省</x:v>
      </x:c>
      <x:c r="H581" s="18" t="str">
        <x:v>北区</x:v>
      </x:c>
      <x:c r="I581" s="18" t="str">
        <x:v>Shopping Mall</x:v>
      </x:c>
      <x:c r="J581" s="18" t="str">
        <x:v>Prestige Shopping Center</x:v>
      </x:c>
      <x:c r="K581" s="18" t="str">
        <x:v>正常</x:v>
      </x:c>
      <x:c r="L581" s="62" t="n">
        <x:v>4</x:v>
      </x:c>
      <x:c r="M581" s="62" t="n">
        <x:v>31</x:v>
      </x:c>
      <x:c r="N581" s="63" t="n">
        <x:f>'Drivers'!C581</x:f>
        <x:v>1844</x:v>
      </x:c>
      <x:c r="O581" s="63" t="n">
        <x:f>'Drivers'!D581</x:f>
        <x:v>1189.966</x:v>
      </x:c>
      <x:c r="P581" s="64" t="n">
        <x:f>ROUND(N581*O581/1000,3)</x:f>
        <x:v>2194.297</x:v>
      </x:c>
      <x:c r="Q581" s="64" t="n">
        <x:f>ROUND(P581*'Drivers'!E581,3)</x:f>
        <x:v>2157.765</x:v>
      </x:c>
      <x:c r="R581" s="64" t="n">
        <x:f>-ROUND(Q581*'Drivers'!F581,3)</x:f>
        <x:v>-513.68</x:v>
      </x:c>
      <x:c r="S581" s="65" t="n">
        <x:f>R581/Q581</x:f>
        <x:v>-0.23806114196865738</x:v>
      </x:c>
      <x:c r="T581" s="64" t="n">
        <x:f>-ROUND(Q581*'Drivers'!G581,3)</x:f>
        <x:v>-32.837</x:v>
      </x:c>
      <x:c r="U581" s="65" t="n">
        <x:f>T581/Q581</x:f>
        <x:v>-0.01521806128100141</x:v>
      </x:c>
      <x:c r="V581" s="64" t="n">
        <x:f>-ROUND(Q581*'Drivers'!H581,3)</x:f>
        <x:v>-27.619</x:v>
      </x:c>
      <x:c r="W581" s="64" t="n">
        <x:f>-ROUND(Q581*'Drivers'!I581,3)</x:f>
        <x:v>-21.257</x:v>
      </x:c>
      <x:c r="X581" s="64" t="n">
        <x:f>-ROUND(Q581*'Drivers'!J581,3)</x:f>
        <x:v>-32.075</x:v>
      </x:c>
      <x:c r="Y581" s="64" t="n">
        <x:f>-ROUND(Q581*'Drivers'!K581,3)</x:f>
        <x:v>-29.264</x:v>
      </x:c>
      <x:c r="Z581" s="64" t="n">
        <x:f>-ROUND(Q581*'Drivers'!L581,3)</x:f>
        <x:v>-18.906</x:v>
      </x:c>
      <x:c r="AA581" s="64" t="n">
        <x:f>-ROUND(Q581*'Drivers'!M581,3)</x:f>
        <x:v>-19.423</x:v>
      </x:c>
      <x:c r="AB581" s="64" t="n">
        <x:f>-ROUND(Q581*'Drivers'!N581,3)</x:f>
        <x:v>-18.091</x:v>
      </x:c>
      <x:c r="AC581" s="64" t="n">
        <x:f>SUM(V581:AB581)</x:f>
        <x:v>-166.63500000000002</x:v>
      </x:c>
      <x:c r="AD581" s="65" t="n">
        <x:f>AC581/Q581</x:f>
        <x:v>-0.07722574052318025</x:v>
      </x:c>
      <x:c r="AE581" s="64" t="n">
        <x:f>-ROUND(Q581*'Drivers'!O581,3)</x:f>
        <x:v>-17.279</x:v>
      </x:c>
      <x:c r="AF581" s="65" t="n">
        <x:f>AE581/Q581</x:f>
        <x:v>-0.008007822909352966</x:v>
      </x:c>
      <x:c r="AG581" s="64" t="n">
        <x:f>-ROUND(Q581*'Drivers'!P581,3)</x:f>
        <x:v>-4.223</x:v>
      </x:c>
      <x:c r="AH581" s="64" t="n">
        <x:f>-ROUND(Q581*'Drivers'!Q581,3)</x:f>
        <x:v>-11.544</x:v>
      </x:c>
      <x:c r="AI581" s="64" t="n">
        <x:f>SUM(R581,T581,AC581,AE581,AG581,AH581)</x:f>
        <x:v>-746.1979999999999</x:v>
      </x:c>
      <x:c r="AJ581" s="65" t="n">
        <x:f>AI581/Q581</x:f>
        <x:v>-0.345819864535758</x:v>
      </x:c>
      <x:c r="AK581" s="64" t="n">
        <x:f>Q581+AI581</x:f>
        <x:v>1411.567</x:v>
      </x:c>
      <x:c r="AL581" s="65" t="n">
        <x:f>AK581/Q581</x:f>
        <x:v>0.654180135464242</x:v>
      </x:c>
      <x:c r="AM581" s="64" t="n">
        <x:f>AK581/L581</x:f>
        <x:v>352.89175</x:v>
      </x:c>
      <x:c r="AN581" s="66" t="str">
        <x:f>IF(AM581&lt;=200,"≤200K",IF(AM581&lt;=350,"200–350K",IF(AM581&lt;=500,"350–500K",IF(AM581&lt;=700,"500–700K","&gt;700K"))))</x:f>
        <x:v>350–500K</x:v>
      </x:c>
      <x:c r="AO581" s="64" t="n">
        <x:f>-ROUND(Q581*'Drivers'!R581,3)</x:f>
        <x:v>-733.492</x:v>
      </x:c>
      <x:c r="AP581" s="64" t="n">
        <x:f>-ROUND(AK581*'Drivers'!S581,3)</x:f>
        <x:v>-19.54</x:v>
      </x:c>
      <x:c r="AQ581" s="64" t="n">
        <x:f>-ROUND(AK581*'Drivers'!T581,3)</x:f>
        <x:v>-8.328</x:v>
      </x:c>
      <x:c r="AR581" s="64" t="n">
        <x:f>-ROUND(AK581*'Drivers'!U581,3)</x:f>
        <x:v>-16.798</x:v>
      </x:c>
      <x:c r="AS581" s="64" t="n">
        <x:f>-ROUND(AK581*'Drivers'!V581,3)</x:f>
        <x:v>-49.336</x:v>
      </x:c>
      <x:c r="AT581" s="64" t="n">
        <x:f>SUM(AO581:AS581)</x:f>
        <x:v>-827.4939999999999</x:v>
      </x:c>
      <x:c r="AU581" s="65" t="n">
        <x:f>AT581/AK581</x:f>
        <x:v>-0.5862236790743903</x:v>
      </x:c>
      <x:c r="AV581" s="64" t="n">
        <x:f>AK581+AT581</x:f>
        <x:v>584.0730000000001</x:v>
      </x:c>
      <x:c r="AW581" s="65" t="n">
        <x:f>AV581/AK581</x:f>
        <x:v>0.4137763209256097</x:v>
      </x:c>
      <x:c r="AX581" s="64" t="n">
        <x:f>-ROUND(AK581*'Drivers'!W581,3)</x:f>
        <x:v>-20.905</x:v>
      </x:c>
      <x:c r="AY581" s="64" t="n">
        <x:f>-ROUND(AK581*'Drivers'!X581,3)</x:f>
        <x:v>-34.997</x:v>
      </x:c>
      <x:c r="AZ581" s="64" t="n">
        <x:f>-ROUND(AK581*'Drivers'!Y581,3)</x:f>
        <x:v>-29.304</x:v>
      </x:c>
      <x:c r="BA581" s="64" t="n">
        <x:f>-ROUND(AK581*'Drivers'!Z581,3)</x:f>
        <x:v>-11.014</x:v>
      </x:c>
      <x:c r="BB581" s="64" t="n">
        <x:f>-ROUND(AK581*'Drivers'!AA581,3)</x:f>
        <x:v>-11.313</x:v>
      </x:c>
      <x:c r="BC581" s="64" t="n">
        <x:f>SUM(BA581,BB581)</x:f>
        <x:v>-22.326999999999998</x:v>
      </x:c>
      <x:c r="BD581" s="64" t="n">
        <x:f>-ROUND(AK581*'Drivers'!AB581,3)</x:f>
        <x:v>-8.268</x:v>
      </x:c>
      <x:c r="BE581" s="64" t="n">
        <x:f>SUM(AX581:BB581,BD581)</x:f>
        <x:v>-115.801</x:v>
      </x:c>
      <x:c r="BF581" s="67" t="n">
        <x:f>'Drivers'!AF581</x:f>
        <x:v>7</x:v>
      </x:c>
      <x:c r="BG581" s="64" t="n">
        <x:f>BJ581</x:f>
        <x:v>-38.987</x:v>
      </x:c>
      <x:c r="BH581" s="64" t="n">
        <x:f>BE581/BF581</x:f>
        <x:v>-16.543</x:v>
      </x:c>
      <x:c r="BI581" s="68" t="n">
        <x:f>BF581/L581</x:f>
        <x:v>1.75</x:v>
      </x:c>
      <x:c r="BJ581" s="64" t="n">
        <x:f>-ROUND(AK581*'Drivers'!AC581,3)</x:f>
        <x:v>-38.987</x:v>
      </x:c>
      <x:c r="BK581" s="64" t="n">
        <x:f>-ROUND(AK581*'Drivers'!AD581,3)</x:f>
        <x:v>-133.227</x:v>
      </x:c>
      <x:c r="BL581" s="64" t="n">
        <x:f>SUM(AV581,BE581,BJ581,BK581)</x:f>
        <x:v>296.0580000000001</x:v>
      </x:c>
      <x:c r="BM581" s="65" t="n">
        <x:f>BL581/AK581</x:f>
        <x:v>0.20973712193611788</x:v>
      </x:c>
      <x:c r="BN581" s="64" t="n">
        <x:f>-ROUND(AK581*'Drivers'!AE581,3)</x:f>
        <x:v>-112.323</x:v>
      </x:c>
      <x:c r="BO581" s="64" t="n">
        <x:f>BL581+BN581</x:f>
        <x:v>183.73500000000013</x:v>
      </x:c>
      <x:c r="BP581" s="65" t="n">
        <x:f>BO581/AK581</x:f>
        <x:v>0.1301638533629648</x:v>
      </x:c>
    </x:row>
    <x:row r="582">
      <x:c r="A582" s="61" t="n">
        <x:v>2025</x:v>
      </x:c>
      <x:c r="B582" s="18" t="str">
        <x:v>S1</x:v>
      </x:c>
      <x:c r="C582" s="18" t="str">
        <x:v>2025 S1</x:v>
      </x:c>
      <x:c r="D582" s="18" t="str">
        <x:v>CNCT0146</x:v>
      </x:c>
      <x:c r="E582" s="18" t="str">
        <x:v>郑州正弘城</x:v>
      </x:c>
      <x:c r="F582" s="18" t="str">
        <x:v>郑州</x:v>
      </x:c>
      <x:c r="G582" s="18" t="str">
        <x:v>河南省</x:v>
      </x:c>
      <x:c r="H582" s="18" t="str">
        <x:v>北区</x:v>
      </x:c>
      <x:c r="I582" s="18" t="str">
        <x:v>Shopping Mall</x:v>
      </x:c>
      <x:c r="J582" s="18" t="str">
        <x:v>Core Shopping Center</x:v>
      </x:c>
      <x:c r="K582" s="18" t="str">
        <x:v>正常</x:v>
      </x:c>
      <x:c r="L582" s="62" t="n">
        <x:v>5</x:v>
      </x:c>
      <x:c r="M582" s="62" t="n">
        <x:v>33</x:v>
      </x:c>
      <x:c r="N582" s="63" t="n">
        <x:f>'Drivers'!C582</x:f>
        <x:v>1771</x:v>
      </x:c>
      <x:c r="O582" s="63" t="n">
        <x:f>'Drivers'!D582</x:f>
        <x:v>1137.725</x:v>
      </x:c>
      <x:c r="P582" s="64" t="n">
        <x:f>ROUND(N582*O582/1000,3)</x:f>
        <x:v>2014.911</x:v>
      </x:c>
      <x:c r="Q582" s="64" t="n">
        <x:f>ROUND(P582*'Drivers'!E582,3)</x:f>
        <x:v>1983.86</x:v>
      </x:c>
      <x:c r="R582" s="64" t="n">
        <x:f>-ROUND(Q582*'Drivers'!F582,3)</x:f>
        <x:v>-339.776</x:v>
      </x:c>
      <x:c r="S582" s="65" t="n">
        <x:f>R582/Q582</x:f>
        <x:v>-0.171270150111399</x:v>
      </x:c>
      <x:c r="T582" s="64" t="n">
        <x:f>-ROUND(Q582*'Drivers'!G582,3)</x:f>
        <x:v>-19.74</x:v>
      </x:c>
      <x:c r="U582" s="65" t="n">
        <x:f>T582/Q582</x:f>
        <x:v>-0.009950298912221628</x:v>
      </x:c>
      <x:c r="V582" s="64" t="n">
        <x:f>-ROUND(Q582*'Drivers'!H582,3)</x:f>
        <x:v>-15.331</x:v>
      </x:c>
      <x:c r="W582" s="64" t="n">
        <x:f>-ROUND(Q582*'Drivers'!I582,3)</x:f>
        <x:v>-12.803</x:v>
      </x:c>
      <x:c r="X582" s="64" t="n">
        <x:f>-ROUND(Q582*'Drivers'!J582,3)</x:f>
        <x:v>-23.135</x:v>
      </x:c>
      <x:c r="Y582" s="64" t="n">
        <x:f>-ROUND(Q582*'Drivers'!K582,3)</x:f>
        <x:v>-21.553</x:v>
      </x:c>
      <x:c r="Z582" s="64" t="n">
        <x:f>-ROUND(Q582*'Drivers'!L582,3)</x:f>
        <x:v>-21.721</x:v>
      </x:c>
      <x:c r="AA582" s="64" t="n">
        <x:f>-ROUND(Q582*'Drivers'!M582,3)</x:f>
        <x:v>-18.127</x:v>
      </x:c>
      <x:c r="AB582" s="64" t="n">
        <x:f>-ROUND(Q582*'Drivers'!N582,3)</x:f>
        <x:v>-12.571</x:v>
      </x:c>
      <x:c r="AC582" s="64" t="n">
        <x:f>SUM(V582:AB582)</x:f>
        <x:v>-125.241</x:v>
      </x:c>
      <x:c r="AD582" s="65" t="n">
        <x:f>AC582/Q582</x:f>
        <x:v>-0.06312995876725172</x:v>
      </x:c>
      <x:c r="AE582" s="64" t="n">
        <x:f>-ROUND(Q582*'Drivers'!O582,3)</x:f>
        <x:v>-28.028</x:v>
      </x:c>
      <x:c r="AF582" s="65" t="n">
        <x:f>AE582/Q582</x:f>
        <x:v>-0.014128013065438086</x:v>
      </x:c>
      <x:c r="AG582" s="64" t="n">
        <x:f>-ROUND(Q582*'Drivers'!P582,3)</x:f>
        <x:v>-5.84</x:v>
      </x:c>
      <x:c r="AH582" s="64" t="n">
        <x:f>-ROUND(Q582*'Drivers'!Q582,3)</x:f>
        <x:v>-11.271</x:v>
      </x:c>
      <x:c r="AI582" s="64" t="n">
        <x:f>SUM(R582,T582,AC582,AE582,AG582,AH582)</x:f>
        <x:v>-529.896</x:v>
      </x:c>
      <x:c r="AJ582" s="65" t="n">
        <x:f>AI582/Q582</x:f>
        <x:v>-0.26710352545038457</x:v>
      </x:c>
      <x:c r="AK582" s="64" t="n">
        <x:f>Q582+AI582</x:f>
        <x:v>1453.964</x:v>
      </x:c>
      <x:c r="AL582" s="65" t="n">
        <x:f>AK582/Q582</x:f>
        <x:v>0.7328964745496154</x:v>
      </x:c>
      <x:c r="AM582" s="64" t="n">
        <x:f>AK582/L582</x:f>
        <x:v>290.7928</x:v>
      </x:c>
      <x:c r="AN582" s="66" t="str">
        <x:f>IF(AM582&lt;=200,"≤200K",IF(AM582&lt;=350,"200–350K",IF(AM582&lt;=500,"350–500K",IF(AM582&lt;=700,"500–700K","&gt;700K"))))</x:f>
        <x:v>200–350K</x:v>
      </x:c>
      <x:c r="AO582" s="64" t="n">
        <x:f>-ROUND(Q582*'Drivers'!R582,3)</x:f>
        <x:v>-751.553</x:v>
      </x:c>
      <x:c r="AP582" s="64" t="n">
        <x:f>-ROUND(AK582*'Drivers'!S582,3)</x:f>
        <x:v>-18.784</x:v>
      </x:c>
      <x:c r="AQ582" s="64" t="n">
        <x:f>-ROUND(AK582*'Drivers'!T582,3)</x:f>
        <x:v>-6.272</x:v>
      </x:c>
      <x:c r="AR582" s="64" t="n">
        <x:f>-ROUND(AK582*'Drivers'!U582,3)</x:f>
        <x:v>-13.524</x:v>
      </x:c>
      <x:c r="AS582" s="64" t="n">
        <x:f>-ROUND(AK582*'Drivers'!V582,3)</x:f>
        <x:v>-42.77</x:v>
      </x:c>
      <x:c r="AT582" s="64" t="n">
        <x:f>SUM(AO582:AS582)</x:f>
        <x:v>-832.903</x:v>
      </x:c>
      <x:c r="AU582" s="65" t="n">
        <x:f>AT582/AK582</x:f>
        <x:v>-0.5728498092112322</x:v>
      </x:c>
      <x:c r="AV582" s="64" t="n">
        <x:f>AK582+AT582</x:f>
        <x:v>621.0609999999999</x:v>
      </x:c>
      <x:c r="AW582" s="65" t="n">
        <x:f>AV582/AK582</x:f>
        <x:v>0.42715019078876776</x:v>
      </x:c>
      <x:c r="AX582" s="64" t="n">
        <x:f>-ROUND(AK582*'Drivers'!W582,3)</x:f>
        <x:v>-21.382</x:v>
      </x:c>
      <x:c r="AY582" s="64" t="n">
        <x:f>-ROUND(AK582*'Drivers'!X582,3)</x:f>
        <x:v>-36.912</x:v>
      </x:c>
      <x:c r="AZ582" s="64" t="n">
        <x:f>-ROUND(AK582*'Drivers'!Y582,3)</x:f>
        <x:v>-26.998</x:v>
      </x:c>
      <x:c r="BA582" s="64" t="n">
        <x:f>-ROUND(AK582*'Drivers'!Z582,3)</x:f>
        <x:v>-10.206</x:v>
      </x:c>
      <x:c r="BB582" s="64" t="n">
        <x:f>-ROUND(AK582*'Drivers'!AA582,3)</x:f>
        <x:v>-7.659</x:v>
      </x:c>
      <x:c r="BC582" s="64" t="n">
        <x:f>SUM(BA582,BB582)</x:f>
        <x:v>-17.865</x:v>
      </x:c>
      <x:c r="BD582" s="64" t="n">
        <x:f>-ROUND(AK582*'Drivers'!AB582,3)</x:f>
        <x:v>-8.922</x:v>
      </x:c>
      <x:c r="BE582" s="64" t="n">
        <x:f>SUM(AX582:BB582,BD582)</x:f>
        <x:v>-112.07900000000001</x:v>
      </x:c>
      <x:c r="BF582" s="67" t="n">
        <x:f>'Drivers'!AF582</x:f>
        <x:v>8</x:v>
      </x:c>
      <x:c r="BG582" s="64" t="n">
        <x:f>BJ582</x:f>
        <x:v>-31.854</x:v>
      </x:c>
      <x:c r="BH582" s="64" t="n">
        <x:f>BE582/BF582</x:f>
        <x:v>-14.009875000000001</x:v>
      </x:c>
      <x:c r="BI582" s="68" t="n">
        <x:f>BF582/L582</x:f>
        <x:v>1.6</x:v>
      </x:c>
      <x:c r="BJ582" s="64" t="n">
        <x:f>-ROUND(AK582*'Drivers'!AC582,3)</x:f>
        <x:v>-31.854</x:v>
      </x:c>
      <x:c r="BK582" s="64" t="n">
        <x:f>-ROUND(AK582*'Drivers'!AD582,3)</x:f>
        <x:v>-159.24</x:v>
      </x:c>
      <x:c r="BL582" s="64" t="n">
        <x:f>SUM(AV582,BE582,BJ582,BK582)</x:f>
        <x:v>317.8879999999999</x:v>
      </x:c>
      <x:c r="BM582" s="65" t="n">
        <x:f>BL582/AK582</x:f>
        <x:v>0.21863539950095046</x:v>
      </x:c>
      <x:c r="BN582" s="64" t="n">
        <x:f>-ROUND(AK582*'Drivers'!AE582,3)</x:f>
        <x:v>-108.684</x:v>
      </x:c>
      <x:c r="BO582" s="64" t="n">
        <x:f>BL582+BN582</x:f>
        <x:v>209.20399999999992</x:v>
      </x:c>
      <x:c r="BP582" s="65" t="n">
        <x:f>BO582/AK582</x:f>
        <x:v>0.1438852681359373</x:v>
      </x:c>
    </x:row>
    <x:row r="583">
      <x:c r="A583" s="61" t="n">
        <x:v>2025</x:v>
      </x:c>
      <x:c r="B583" s="18" t="str">
        <x:v>S2</x:v>
      </x:c>
      <x:c r="C583" s="18" t="str">
        <x:v>2025 S2</x:v>
      </x:c>
      <x:c r="D583" s="18" t="str">
        <x:v>CNCT0146</x:v>
      </x:c>
      <x:c r="E583" s="18" t="str">
        <x:v>郑州正弘城</x:v>
      </x:c>
      <x:c r="F583" s="18" t="str">
        <x:v>郑州</x:v>
      </x:c>
      <x:c r="G583" s="18" t="str">
        <x:v>河南省</x:v>
      </x:c>
      <x:c r="H583" s="18" t="str">
        <x:v>北区</x:v>
      </x:c>
      <x:c r="I583" s="18" t="str">
        <x:v>Shopping Mall</x:v>
      </x:c>
      <x:c r="J583" s="18" t="str">
        <x:v>Core Shopping Center</x:v>
      </x:c>
      <x:c r="K583" s="18" t="str">
        <x:v>正常</x:v>
      </x:c>
      <x:c r="L583" s="62" t="n">
        <x:v>5</x:v>
      </x:c>
      <x:c r="M583" s="62" t="n">
        <x:v>33</x:v>
      </x:c>
      <x:c r="N583" s="63" t="n">
        <x:f>'Drivers'!C583</x:f>
        <x:v>1947</x:v>
      </x:c>
      <x:c r="O583" s="63" t="n">
        <x:f>'Drivers'!D583</x:f>
        <x:v>1151.378</x:v>
      </x:c>
      <x:c r="P583" s="64" t="n">
        <x:f>ROUND(N583*O583/1000,3)</x:f>
        <x:v>2241.733</x:v>
      </x:c>
      <x:c r="Q583" s="64" t="n">
        <x:f>ROUND(P583*'Drivers'!E583,3)</x:f>
        <x:v>2188.272</x:v>
      </x:c>
      <x:c r="R583" s="64" t="n">
        <x:f>-ROUND(Q583*'Drivers'!F583,3)</x:f>
        <x:v>-374.786</x:v>
      </x:c>
      <x:c r="S583" s="65" t="n">
        <x:f>R583/Q583</x:f>
        <x:v>-0.1712702991218642</x:v>
      </x:c>
      <x:c r="T583" s="64" t="n">
        <x:f>-ROUND(Q583*'Drivers'!G583,3)</x:f>
        <x:v>-21.774</x:v>
      </x:c>
      <x:c r="U583" s="65" t="n">
        <x:f>T583/Q583</x:f>
        <x:v>-0.009950316962425147</x:v>
      </x:c>
      <x:c r="V583" s="64" t="n">
        <x:f>-ROUND(Q583*'Drivers'!H583,3)</x:f>
        <x:v>-16.911</x:v>
      </x:c>
      <x:c r="W583" s="64" t="n">
        <x:f>-ROUND(Q583*'Drivers'!I583,3)</x:f>
        <x:v>-14.122</x:v>
      </x:c>
      <x:c r="X583" s="64" t="n">
        <x:f>-ROUND(Q583*'Drivers'!J583,3)</x:f>
        <x:v>-25.519</x:v>
      </x:c>
      <x:c r="Y583" s="64" t="n">
        <x:f>-ROUND(Q583*'Drivers'!K583,3)</x:f>
        <x:v>-23.774</x:v>
      </x:c>
      <x:c r="Z583" s="64" t="n">
        <x:f>-ROUND(Q583*'Drivers'!L583,3)</x:f>
        <x:v>-23.959</x:v>
      </x:c>
      <x:c r="AA583" s="64" t="n">
        <x:f>-ROUND(Q583*'Drivers'!M583,3)</x:f>
        <x:v>-19.995</x:v>
      </x:c>
      <x:c r="AB583" s="64" t="n">
        <x:f>-ROUND(Q583*'Drivers'!N583,3)</x:f>
        <x:v>-13.866</x:v>
      </x:c>
      <x:c r="AC583" s="64" t="n">
        <x:f>SUM(V583:AB583)</x:f>
        <x:v>-138.14600000000002</x:v>
      </x:c>
      <x:c r="AD583" s="65" t="n">
        <x:f>AC583/Q583</x:f>
        <x:v>-0.06313017760132196</x:v>
      </x:c>
      <x:c r="AE583" s="64" t="n">
        <x:f>-ROUND(Q583*'Drivers'!O583,3)</x:f>
        <x:v>-30.915</x:v>
      </x:c>
      <x:c r="AF583" s="65" t="n">
        <x:f>AE583/Q583</x:f>
        <x:v>-0.014127585601789906</x:v>
      </x:c>
      <x:c r="AG583" s="64" t="n">
        <x:f>-ROUND(Q583*'Drivers'!P583,3)</x:f>
        <x:v>-6.442</x:v>
      </x:c>
      <x:c r="AH583" s="64" t="n">
        <x:f>-ROUND(Q583*'Drivers'!Q583,3)</x:f>
        <x:v>-12.433</x:v>
      </x:c>
      <x:c r="AI583" s="64" t="n">
        <x:f>SUM(R583,T583,AC583,AE583,AG583,AH583)</x:f>
        <x:v>-584.496</x:v>
      </x:c>
      <x:c r="AJ583" s="65" t="n">
        <x:f>AI583/Q583</x:f>
        <x:v>-0.2671039066441466</x:v>
      </x:c>
      <x:c r="AK583" s="64" t="n">
        <x:f>Q583+AI583</x:f>
        <x:v>1603.7759999999998</x:v>
      </x:c>
      <x:c r="AL583" s="65" t="n">
        <x:f>AK583/Q583</x:f>
        <x:v>0.7328960933558534</x:v>
      </x:c>
      <x:c r="AM583" s="64" t="n">
        <x:f>AK583/L583</x:f>
        <x:v>320.75519999999995</x:v>
      </x:c>
      <x:c r="AN583" s="66" t="str">
        <x:f>IF(AM583&lt;=200,"≤200K",IF(AM583&lt;=350,"200–350K",IF(AM583&lt;=500,"350–500K",IF(AM583&lt;=700,"500–700K","&gt;700K"))))</x:f>
        <x:v>200–350K</x:v>
      </x:c>
      <x:c r="AO583" s="64" t="n">
        <x:f>-ROUND(Q583*'Drivers'!R583,3)</x:f>
        <x:v>-875.092</x:v>
      </x:c>
      <x:c r="AP583" s="64" t="n">
        <x:f>-ROUND(AK583*'Drivers'!S583,3)</x:f>
        <x:v>-20.72</x:v>
      </x:c>
      <x:c r="AQ583" s="64" t="n">
        <x:f>-ROUND(AK583*'Drivers'!T583,3)</x:f>
        <x:v>-6.919</x:v>
      </x:c>
      <x:c r="AR583" s="64" t="n">
        <x:f>-ROUND(AK583*'Drivers'!U583,3)</x:f>
        <x:v>-14.917</x:v>
      </x:c>
      <x:c r="AS583" s="64" t="n">
        <x:f>-ROUND(AK583*'Drivers'!V583,3)</x:f>
        <x:v>-47.176</x:v>
      </x:c>
      <x:c r="AT583" s="64" t="n">
        <x:f>SUM(AO583:AS583)</x:f>
        <x:v>-964.8240000000001</x:v>
      </x:c>
      <x:c r="AU583" s="65" t="n">
        <x:f>AT583/AK583</x:f>
        <x:v>-0.6015952352448223</x:v>
      </x:c>
      <x:c r="AV583" s="64" t="n">
        <x:f>AK583+AT583</x:f>
        <x:v>638.9519999999998</x:v>
      </x:c>
      <x:c r="AW583" s="65" t="n">
        <x:f>AV583/AK583</x:f>
        <x:v>0.39840476475517766</x:v>
      </x:c>
      <x:c r="AX583" s="64" t="n">
        <x:f>-ROUND(AK583*'Drivers'!W583,3)</x:f>
        <x:v>-23.585</x:v>
      </x:c>
      <x:c r="AY583" s="64" t="n">
        <x:f>-ROUND(AK583*'Drivers'!X583,3)</x:f>
        <x:v>-40.715</x:v>
      </x:c>
      <x:c r="AZ583" s="64" t="n">
        <x:f>-ROUND(AK583*'Drivers'!Y583,3)</x:f>
        <x:v>-29.779</x:v>
      </x:c>
      <x:c r="BA583" s="64" t="n">
        <x:f>-ROUND(AK583*'Drivers'!Z583,3)</x:f>
        <x:v>-11.257</x:v>
      </x:c>
      <x:c r="BB583" s="64" t="n">
        <x:f>-ROUND(AK583*'Drivers'!AA583,3)</x:f>
        <x:v>-8.448</x:v>
      </x:c>
      <x:c r="BC583" s="64" t="n">
        <x:f>SUM(BA583,BB583)</x:f>
        <x:v>-19.705</x:v>
      </x:c>
      <x:c r="BD583" s="64" t="n">
        <x:f>-ROUND(AK583*'Drivers'!AB583,3)</x:f>
        <x:v>-9.842</x:v>
      </x:c>
      <x:c r="BE583" s="64" t="n">
        <x:f>SUM(AX583:BB583,BD583)</x:f>
        <x:v>-123.62600000000002</x:v>
      </x:c>
      <x:c r="BF583" s="67" t="n">
        <x:f>'Drivers'!AF583</x:f>
        <x:v>8</x:v>
      </x:c>
      <x:c r="BG583" s="64" t="n">
        <x:f>BJ583</x:f>
        <x:v>-35.136</x:v>
      </x:c>
      <x:c r="BH583" s="64" t="n">
        <x:f>BE583/BF583</x:f>
        <x:v>-15.453250000000002</x:v>
      </x:c>
      <x:c r="BI583" s="68" t="n">
        <x:f>BF583/L583</x:f>
        <x:v>1.6</x:v>
      </x:c>
      <x:c r="BJ583" s="64" t="n">
        <x:f>-ROUND(AK583*'Drivers'!AC583,3)</x:f>
        <x:v>-35.136</x:v>
      </x:c>
      <x:c r="BK583" s="64" t="n">
        <x:f>-ROUND(AK583*'Drivers'!AD583,3)</x:f>
        <x:v>-175.648</x:v>
      </x:c>
      <x:c r="BL583" s="64" t="n">
        <x:f>SUM(AV583,BE583,BJ583,BK583)</x:f>
        <x:v>304.5419999999998</x:v>
      </x:c>
      <x:c r="BM583" s="65" t="n">
        <x:f>BL583/AK583</x:f>
        <x:v>0.18989060816473113</x:v>
      </x:c>
      <x:c r="BN583" s="64" t="n">
        <x:f>-ROUND(AK583*'Drivers'!AE583,3)</x:f>
        <x:v>-119.883</x:v>
      </x:c>
      <x:c r="BO583" s="64" t="n">
        <x:f>BL583+BN583</x:f>
        <x:v>184.65899999999982</x:v>
      </x:c>
      <x:c r="BP583" s="65" t="n">
        <x:f>BO583/AK583</x:f>
        <x:v>0.11514014425954737</x:v>
      </x:c>
    </x:row>
    <x:row r="584">
      <x:c r="A584" s="61" t="n">
        <x:v>2026</x:v>
      </x:c>
      <x:c r="B584" s="18" t="str">
        <x:v>S1</x:v>
      </x:c>
      <x:c r="C584" s="18" t="str">
        <x:v>2026 S1</x:v>
      </x:c>
      <x:c r="D584" s="18" t="str">
        <x:v>CNCT0146</x:v>
      </x:c>
      <x:c r="E584" s="18" t="str">
        <x:v>郑州正弘城</x:v>
      </x:c>
      <x:c r="F584" s="18" t="str">
        <x:v>郑州</x:v>
      </x:c>
      <x:c r="G584" s="18" t="str">
        <x:v>河南省</x:v>
      </x:c>
      <x:c r="H584" s="18" t="str">
        <x:v>北区</x:v>
      </x:c>
      <x:c r="I584" s="18" t="str">
        <x:v>Shopping Mall</x:v>
      </x:c>
      <x:c r="J584" s="18" t="str">
        <x:v>Core Shopping Center</x:v>
      </x:c>
      <x:c r="K584" s="18" t="str">
        <x:v>正常</x:v>
      </x:c>
      <x:c r="L584" s="62" t="n">
        <x:v>5</x:v>
      </x:c>
      <x:c r="M584" s="62" t="n">
        <x:v>33</x:v>
      </x:c>
      <x:c r="N584" s="63" t="n">
        <x:f>'Drivers'!C584</x:f>
        <x:v>1625</x:v>
      </x:c>
      <x:c r="O584" s="63" t="n">
        <x:f>'Drivers'!D584</x:f>
        <x:v>1205.357</x:v>
      </x:c>
      <x:c r="P584" s="64" t="n">
        <x:f>ROUND(N584*O584/1000,3)</x:f>
        <x:v>1958.705</x:v>
      </x:c>
      <x:c r="Q584" s="64" t="n">
        <x:f>ROUND(P584*'Drivers'!E584,3)</x:f>
        <x:v>1921.07</x:v>
      </x:c>
      <x:c r="R584" s="64" t="n">
        <x:f>-ROUND(Q584*'Drivers'!F584,3)</x:f>
        <x:v>-337.169</x:v>
      </x:c>
      <x:c r="S584" s="65" t="n">
        <x:f>R584/Q584</x:f>
        <x:v>-0.17551104332481376</x:v>
      </x:c>
      <x:c r="T584" s="64" t="n">
        <x:f>-ROUND(Q584*'Drivers'!G584,3)</x:f>
        <x:v>-21.857</x:v>
      </x:c>
      <x:c r="U584" s="65" t="n">
        <x:f>T584/Q584</x:f>
        <x:v>-0.011377513573164955</x:v>
      </x:c>
      <x:c r="V584" s="64" t="n">
        <x:f>-ROUND(Q584*'Drivers'!H584,3)</x:f>
        <x:v>-14.846</x:v>
      </x:c>
      <x:c r="W584" s="64" t="n">
        <x:f>-ROUND(Q584*'Drivers'!I584,3)</x:f>
        <x:v>-12.398</x:v>
      </x:c>
      <x:c r="X584" s="64" t="n">
        <x:f>-ROUND(Q584*'Drivers'!J584,3)</x:f>
        <x:v>-22.403</x:v>
      </x:c>
      <x:c r="Y584" s="64" t="n">
        <x:f>-ROUND(Q584*'Drivers'!K584,3)</x:f>
        <x:v>-20.871</x:v>
      </x:c>
      <x:c r="Z584" s="64" t="n">
        <x:f>-ROUND(Q584*'Drivers'!L584,3)</x:f>
        <x:v>-21.033</x:v>
      </x:c>
      <x:c r="AA584" s="64" t="n">
        <x:f>-ROUND(Q584*'Drivers'!M584,3)</x:f>
        <x:v>-17.553</x:v>
      </x:c>
      <x:c r="AB584" s="64" t="n">
        <x:f>-ROUND(Q584*'Drivers'!N584,3)</x:f>
        <x:v>-12.173</x:v>
      </x:c>
      <x:c r="AC584" s="64" t="n">
        <x:f>SUM(V584:AB584)</x:f>
        <x:v>-121.277</x:v>
      </x:c>
      <x:c r="AD584" s="65" t="n">
        <x:f>AC584/Q584</x:f>
        <x:v>-0.06312992238700307</x:v>
      </x:c>
      <x:c r="AE584" s="64" t="n">
        <x:f>-ROUND(Q584*'Drivers'!O584,3)</x:f>
        <x:v>-30.276</x:v>
      </x:c>
      <x:c r="AF584" s="65" t="n">
        <x:f>AE584/Q584</x:f>
        <x:v>-0.0157599671016673</x:v>
      </x:c>
      <x:c r="AG584" s="64" t="n">
        <x:f>-ROUND(Q584*'Drivers'!P584,3)</x:f>
        <x:v>-5.655</x:v>
      </x:c>
      <x:c r="AH584" s="64" t="n">
        <x:f>-ROUND(Q584*'Drivers'!Q584,3)</x:f>
        <x:v>-10.914</x:v>
      </x:c>
      <x:c r="AI584" s="64" t="n">
        <x:f>SUM(R584,T584,AC584,AE584,AG584,AH584)</x:f>
        <x:v>-527.1479999999999</x:v>
      </x:c>
      <x:c r="AJ584" s="65" t="n">
        <x:f>AI584/Q584</x:f>
        <x:v>-0.27440332731238315</x:v>
      </x:c>
      <x:c r="AK584" s="64" t="n">
        <x:f>Q584+AI584</x:f>
        <x:v>1393.922</x:v>
      </x:c>
      <x:c r="AL584" s="65" t="n">
        <x:f>AK584/Q584</x:f>
        <x:v>0.7255966726876169</x:v>
      </x:c>
      <x:c r="AM584" s="64" t="n">
        <x:f>AK584/L584</x:f>
        <x:v>278.7844</x:v>
      </x:c>
      <x:c r="AN584" s="66" t="str">
        <x:f>IF(AM584&lt;=200,"≤200K",IF(AM584&lt;=350,"200–350K",IF(AM584&lt;=500,"350–500K",IF(AM584&lt;=700,"500–700K","&gt;700K"))))</x:f>
        <x:v>200–350K</x:v>
      </x:c>
      <x:c r="AO584" s="64" t="n">
        <x:f>-ROUND(Q584*'Drivers'!R584,3)</x:f>
        <x:v>-726.015</x:v>
      </x:c>
      <x:c r="AP584" s="64" t="n">
        <x:f>-ROUND(AK584*'Drivers'!S584,3)</x:f>
        <x:v>-18.008</x:v>
      </x:c>
      <x:c r="AQ584" s="64" t="n">
        <x:f>-ROUND(AK584*'Drivers'!T584,3)</x:f>
        <x:v>-6.013</x:v>
      </x:c>
      <x:c r="AR584" s="64" t="n">
        <x:f>-ROUND(AK584*'Drivers'!U584,3)</x:f>
        <x:v>-12.965</x:v>
      </x:c>
      <x:c r="AS584" s="64" t="n">
        <x:f>-ROUND(AK584*'Drivers'!V584,3)</x:f>
        <x:v>-41.003</x:v>
      </x:c>
      <x:c r="AT584" s="64" t="n">
        <x:f>SUM(AO584:AS584)</x:f>
        <x:v>-804.0040000000001</x:v>
      </x:c>
      <x:c r="AU584" s="65" t="n">
        <x:f>AT584/AK584</x:f>
        <x:v>-0.5767926756303439</x:v>
      </x:c>
      <x:c r="AV584" s="64" t="n">
        <x:f>AK584+AT584</x:f>
        <x:v>589.9179999999999</x:v>
      </x:c>
      <x:c r="AW584" s="65" t="n">
        <x:f>AV584/AK584</x:f>
        <x:v>0.4232073243696562</x:v>
      </x:c>
      <x:c r="AX584" s="64" t="n">
        <x:f>-ROUND(AK584*'Drivers'!W584,3)</x:f>
        <x:v>-25.223</x:v>
      </x:c>
      <x:c r="AY584" s="64" t="n">
        <x:f>-ROUND(AK584*'Drivers'!X584,3)</x:f>
        <x:v>-43.543</x:v>
      </x:c>
      <x:c r="AZ584" s="64" t="n">
        <x:f>-ROUND(AK584*'Drivers'!Y584,3)</x:f>
        <x:v>-31.848</x:v>
      </x:c>
      <x:c r="BA584" s="64" t="n">
        <x:f>-ROUND(AK584*'Drivers'!Z584,3)</x:f>
        <x:v>-12.039</x:v>
      </x:c>
      <x:c r="BB584" s="64" t="n">
        <x:f>-ROUND(AK584*'Drivers'!AA584,3)</x:f>
        <x:v>-9.035</x:v>
      </x:c>
      <x:c r="BC584" s="64" t="n">
        <x:f>SUM(BA584,BB584)</x:f>
        <x:v>-21.073999999999998</x:v>
      </x:c>
      <x:c r="BD584" s="64" t="n">
        <x:f>-ROUND(AK584*'Drivers'!AB584,3)</x:f>
        <x:v>-10.525</x:v>
      </x:c>
      <x:c r="BE584" s="64" t="n">
        <x:f>SUM(AX584:BB584,BD584)</x:f>
        <x:v>-132.213</x:v>
      </x:c>
      <x:c r="BF584" s="67" t="n">
        <x:f>'Drivers'!AF584</x:f>
        <x:v>8</x:v>
      </x:c>
      <x:c r="BG584" s="64" t="n">
        <x:f>BJ584</x:f>
        <x:v>-37.576</x:v>
      </x:c>
      <x:c r="BH584" s="64" t="n">
        <x:f>BE584/BF584</x:f>
        <x:v>-16.526625</x:v>
      </x:c>
      <x:c r="BI584" s="68" t="n">
        <x:f>BF584/L584</x:f>
        <x:v>1.6</x:v>
      </x:c>
      <x:c r="BJ584" s="64" t="n">
        <x:f>-ROUND(AK584*'Drivers'!AC584,3)</x:f>
        <x:v>-37.576</x:v>
      </x:c>
      <x:c r="BK584" s="64" t="n">
        <x:f>-ROUND(AK584*'Drivers'!AD584,3)</x:f>
        <x:v>-152.664</x:v>
      </x:c>
      <x:c r="BL584" s="64" t="n">
        <x:f>SUM(AV584,BE584,BJ584,BK584)</x:f>
        <x:v>267.4649999999999</x:v>
      </x:c>
      <x:c r="BM584" s="65" t="n">
        <x:f>BL584/AK584</x:f>
        <x:v>0.19187945953934288</x:v>
      </x:c>
      <x:c r="BN584" s="64" t="n">
        <x:f>-ROUND(AK584*'Drivers'!AE584,3)</x:f>
        <x:v>-104.196</x:v>
      </x:c>
      <x:c r="BO584" s="64" t="n">
        <x:f>BL584+BN584</x:f>
        <x:v>163.26899999999992</x:v>
      </x:c>
      <x:c r="BP584" s="65" t="n">
        <x:f>BO584/AK584</x:f>
        <x:v>0.1171292224385582</x:v>
      </x:c>
    </x:row>
    <x:row r="585">
      <x:c r="A585" s="61" t="n">
        <x:v>2026</x:v>
      </x:c>
      <x:c r="B585" s="18" t="str">
        <x:v>S2</x:v>
      </x:c>
      <x:c r="C585" s="18" t="str">
        <x:v>2026 S2</x:v>
      </x:c>
      <x:c r="D585" s="18" t="str">
        <x:v>CNCT0146</x:v>
      </x:c>
      <x:c r="E585" s="18" t="str">
        <x:v>郑州正弘城</x:v>
      </x:c>
      <x:c r="F585" s="18" t="str">
        <x:v>郑州</x:v>
      </x:c>
      <x:c r="G585" s="18" t="str">
        <x:v>河南省</x:v>
      </x:c>
      <x:c r="H585" s="18" t="str">
        <x:v>北区</x:v>
      </x:c>
      <x:c r="I585" s="18" t="str">
        <x:v>Shopping Mall</x:v>
      </x:c>
      <x:c r="J585" s="18" t="str">
        <x:v>Core Shopping Center</x:v>
      </x:c>
      <x:c r="K585" s="18" t="str">
        <x:v>正常</x:v>
      </x:c>
      <x:c r="L585" s="62" t="n">
        <x:v>5</x:v>
      </x:c>
      <x:c r="M585" s="62" t="n">
        <x:v>31</x:v>
      </x:c>
      <x:c r="N585" s="63" t="n">
        <x:f>'Drivers'!C585</x:f>
        <x:v>1931</x:v>
      </x:c>
      <x:c r="O585" s="63" t="n">
        <x:f>'Drivers'!D585</x:f>
        <x:v>1175.761</x:v>
      </x:c>
      <x:c r="P585" s="64" t="n">
        <x:f>ROUND(N585*O585/1000,3)</x:f>
        <x:v>2270.394</x:v>
      </x:c>
      <x:c r="Q585" s="64" t="n">
        <x:f>ROUND(P585*'Drivers'!E585,3)</x:f>
        <x:v>2216.249</x:v>
      </x:c>
      <x:c r="R585" s="64" t="n">
        <x:f>-ROUND(Q585*'Drivers'!F585,3)</x:f>
        <x:v>-366.036</x:v>
      </x:c>
      <x:c r="S585" s="65" t="n">
        <x:f>R585/Q585</x:f>
        <x:v>-0.1651601422042379</x:v>
      </x:c>
      <x:c r="T585" s="64" t="n">
        <x:f>-ROUND(Q585*'Drivers'!G585,3)</x:f>
        <x:v>-20.006</x:v>
      </x:c>
      <x:c r="U585" s="65" t="n">
        <x:f>T585/Q585</x:f>
        <x:v>-0.009026964027958953</x:v>
      </x:c>
      <x:c r="V585" s="64" t="n">
        <x:f>-ROUND(Q585*'Drivers'!H585,3)</x:f>
        <x:v>-17.127</x:v>
      </x:c>
      <x:c r="W585" s="64" t="n">
        <x:f>-ROUND(Q585*'Drivers'!I585,3)</x:f>
        <x:v>-14.303</x:v>
      </x:c>
      <x:c r="X585" s="64" t="n">
        <x:f>-ROUND(Q585*'Drivers'!J585,3)</x:f>
        <x:v>-25.845</x:v>
      </x:c>
      <x:c r="Y585" s="64" t="n">
        <x:f>-ROUND(Q585*'Drivers'!K585,3)</x:f>
        <x:v>-24.078</x:v>
      </x:c>
      <x:c r="Z585" s="64" t="n">
        <x:f>-ROUND(Q585*'Drivers'!L585,3)</x:f>
        <x:v>-24.265</x:v>
      </x:c>
      <x:c r="AA585" s="64" t="n">
        <x:f>-ROUND(Q585*'Drivers'!M585,3)</x:f>
        <x:v>-20.25</x:v>
      </x:c>
      <x:c r="AB585" s="64" t="n">
        <x:f>-ROUND(Q585*'Drivers'!N585,3)</x:f>
        <x:v>-14.044</x:v>
      </x:c>
      <x:c r="AC585" s="64" t="n">
        <x:f>SUM(V585:AB585)</x:f>
        <x:v>-139.912</x:v>
      </x:c>
      <x:c r="AD585" s="65" t="n">
        <x:f>AC585/Q585</x:f>
        <x:v>-0.0631300905268316</x:v>
      </x:c>
      <x:c r="AE585" s="64" t="n">
        <x:f>-ROUND(Q585*'Drivers'!O585,3)</x:f>
        <x:v>-31.311</x:v>
      </x:c>
      <x:c r="AF585" s="65" t="n">
        <x:f>AE585/Q585</x:f>
        <x:v>-0.014127925156424212</x:v>
      </x:c>
      <x:c r="AG585" s="64" t="n">
        <x:f>-ROUND(Q585*'Drivers'!P585,3)</x:f>
        <x:v>-6.524</x:v>
      </x:c>
      <x:c r="AH585" s="64" t="n">
        <x:f>-ROUND(Q585*'Drivers'!Q585,3)</x:f>
        <x:v>-12.591</x:v>
      </x:c>
      <x:c r="AI585" s="64" t="n">
        <x:f>SUM(R585,T585,AC585,AE585,AG585,AH585)</x:f>
        <x:v>-576.3800000000001</x:v>
      </x:c>
      <x:c r="AJ585" s="65" t="n">
        <x:f>AI585/Q585</x:f>
        <x:v>-0.2600700553051576</x:v>
      </x:c>
      <x:c r="AK585" s="64" t="n">
        <x:f>Q585+AI585</x:f>
        <x:v>1639.8689999999997</x:v>
      </x:c>
      <x:c r="AL585" s="65" t="n">
        <x:f>AK585/Q585</x:f>
        <x:v>0.7399299446948424</x:v>
      </x:c>
      <x:c r="AM585" s="64" t="n">
        <x:f>AK585/L585</x:f>
        <x:v>327.9737999999999</x:v>
      </x:c>
      <x:c r="AN585" s="66" t="str">
        <x:f>IF(AM585&lt;=200,"≤200K",IF(AM585&lt;=350,"200–350K",IF(AM585&lt;=500,"350–500K",IF(AM585&lt;=700,"500–700K","&gt;700K"))))</x:f>
        <x:v>200–350K</x:v>
      </x:c>
      <x:c r="AO585" s="64" t="n">
        <x:f>-ROUND(Q585*'Drivers'!R585,3)</x:f>
        <x:v>-882.606</x:v>
      </x:c>
      <x:c r="AP585" s="64" t="n">
        <x:f>-ROUND(AK585*'Drivers'!S585,3)</x:f>
        <x:v>-21.186</x:v>
      </x:c>
      <x:c r="AQ585" s="64" t="n">
        <x:f>-ROUND(AK585*'Drivers'!T585,3)</x:f>
        <x:v>-7.074</x:v>
      </x:c>
      <x:c r="AR585" s="64" t="n">
        <x:f>-ROUND(AK585*'Drivers'!U585,3)</x:f>
        <x:v>-15.253</x:v>
      </x:c>
      <x:c r="AS585" s="64" t="n">
        <x:f>-ROUND(AK585*'Drivers'!V585,3)</x:f>
        <x:v>-48.238</x:v>
      </x:c>
      <x:c r="AT585" s="64" t="n">
        <x:f>SUM(AO585:AS585)</x:f>
        <x:v>-974.357</x:v>
      </x:c>
      <x:c r="AU585" s="65" t="n">
        <x:f>AT585/AK585</x:f>
        <x:v>-0.5941675828983901</x:v>
      </x:c>
      <x:c r="AV585" s="64" t="n">
        <x:f>AK585+AT585</x:f>
        <x:v>665.5119999999997</x:v>
      </x:c>
      <x:c r="AW585" s="65" t="n">
        <x:f>AV585/AK585</x:f>
        <x:v>0.40583241710160983</x:v>
      </x:c>
      <x:c r="AX585" s="64" t="n">
        <x:f>-ROUND(AK585*'Drivers'!W585,3)</x:f>
        <x:v>-25.563</x:v>
      </x:c>
      <x:c r="AY585" s="64" t="n">
        <x:f>-ROUND(AK585*'Drivers'!X585,3)</x:f>
        <x:v>-44.129</x:v>
      </x:c>
      <x:c r="AZ585" s="64" t="n">
        <x:f>-ROUND(AK585*'Drivers'!Y585,3)</x:f>
        <x:v>-32.277</x:v>
      </x:c>
      <x:c r="BA585" s="64" t="n">
        <x:f>-ROUND(AK585*'Drivers'!Z585,3)</x:f>
        <x:v>-12.201</x:v>
      </x:c>
      <x:c r="BB585" s="64" t="n">
        <x:f>-ROUND(AK585*'Drivers'!AA585,3)</x:f>
        <x:v>-9.157</x:v>
      </x:c>
      <x:c r="BC585" s="64" t="n">
        <x:f>SUM(BA585,BB585)</x:f>
        <x:v>-21.358</x:v>
      </x:c>
      <x:c r="BD585" s="64" t="n">
        <x:f>-ROUND(AK585*'Drivers'!AB585,3)</x:f>
        <x:v>-10.667</x:v>
      </x:c>
      <x:c r="BE585" s="64" t="n">
        <x:f>SUM(AX585:BB585,BD585)</x:f>
        <x:v>-133.99399999999997</x:v>
      </x:c>
      <x:c r="BF585" s="67" t="n">
        <x:f>'Drivers'!AF585</x:f>
        <x:v>8</x:v>
      </x:c>
      <x:c r="BG585" s="64" t="n">
        <x:f>BJ585</x:f>
        <x:v>-38.082</x:v>
      </x:c>
      <x:c r="BH585" s="64" t="n">
        <x:f>BE585/BF585</x:f>
        <x:v>-16.749249999999996</x:v>
      </x:c>
      <x:c r="BI585" s="68" t="n">
        <x:f>BF585/L585</x:f>
        <x:v>1.6</x:v>
      </x:c>
      <x:c r="BJ585" s="64" t="n">
        <x:f>-ROUND(AK585*'Drivers'!AC585,3)</x:f>
        <x:v>-38.082</x:v>
      </x:c>
      <x:c r="BK585" s="64" t="n">
        <x:f>-ROUND(AK585*'Drivers'!AD585,3)</x:f>
        <x:v>-179.601</x:v>
      </x:c>
      <x:c r="BL585" s="64" t="n">
        <x:f>SUM(AV585,BE585,BJ585,BK585)</x:f>
        <x:v>313.8349999999998</x:v>
      </x:c>
      <x:c r="BM585" s="65" t="n">
        <x:f>BL585/AK585</x:f>
        <x:v>0.19137809178659995</x:v>
      </x:c>
      <x:c r="BN585" s="64" t="n">
        <x:f>-ROUND(AK585*'Drivers'!AE585,3)</x:f>
        <x:v>-122.581</x:v>
      </x:c>
      <x:c r="BO585" s="64" t="n">
        <x:f>BL585+BN585</x:f>
        <x:v>191.2539999999998</x:v>
      </x:c>
      <x:c r="BP585" s="65" t="n">
        <x:f>BO585/AK585</x:f>
        <x:v>0.11662760866874111</x:v>
      </x:c>
    </x:row>
    <x:row r="586">
      <x:c r="A586" s="61" t="n">
        <x:v>2025</x:v>
      </x:c>
      <x:c r="B586" s="18" t="str">
        <x:v>S1</x:v>
      </x:c>
      <x:c r="C586" s="18" t="str">
        <x:v>2025 S1</x:v>
      </x:c>
      <x:c r="D586" s="18" t="str">
        <x:v>CNCT0147</x:v>
      </x:c>
      <x:c r="E586" s="18" t="str">
        <x:v>郑州万象城</x:v>
      </x:c>
      <x:c r="F586" s="18" t="str">
        <x:v>郑州</x:v>
      </x:c>
      <x:c r="G586" s="18" t="str">
        <x:v>河南省</x:v>
      </x:c>
      <x:c r="H586" s="18" t="str">
        <x:v>北区</x:v>
      </x:c>
      <x:c r="I586" s="18" t="str">
        <x:v>Shopping Mall</x:v>
      </x:c>
      <x:c r="J586" s="18" t="str">
        <x:v>Prestige Shopping Center</x:v>
      </x:c>
      <x:c r="K586" s="18" t="str">
        <x:v>正常</x:v>
      </x:c>
      <x:c r="L586" s="62" t="n">
        <x:v>6</x:v>
      </x:c>
      <x:c r="M586" s="62" t="n">
        <x:v>33</x:v>
      </x:c>
      <x:c r="N586" s="63" t="n">
        <x:f>'Drivers'!C586</x:f>
        <x:v>2261</x:v>
      </x:c>
      <x:c r="O586" s="63" t="n">
        <x:f>'Drivers'!D586</x:f>
        <x:v>1279.89</x:v>
      </x:c>
      <x:c r="P586" s="64" t="n">
        <x:f>ROUND(N586*O586/1000,3)</x:f>
        <x:v>2893.831</x:v>
      </x:c>
      <x:c r="Q586" s="64" t="n">
        <x:f>ROUND(P586*'Drivers'!E586,3)</x:f>
        <x:v>2788.091</x:v>
      </x:c>
      <x:c r="R586" s="64" t="n">
        <x:f>-ROUND(Q586*'Drivers'!F586,3)</x:f>
        <x:v>-454.717</x:v>
      </x:c>
      <x:c r="S586" s="65" t="n">
        <x:f>R586/Q586</x:f>
        <x:v>-0.16309259633204226</x:v>
      </x:c>
      <x:c r="T586" s="64" t="n">
        <x:f>-ROUND(Q586*'Drivers'!G586,3)</x:f>
        <x:v>-50.741</x:v>
      </x:c>
      <x:c r="U586" s="65" t="n">
        <x:f>T586/Q586</x:f>
        <x:v>-0.018199190772467615</x:v>
      </x:c>
      <x:c r="V586" s="64" t="n">
        <x:f>-ROUND(Q586*'Drivers'!H586,3)</x:f>
        <x:v>-19.834</x:v>
      </x:c>
      <x:c r="W586" s="64" t="n">
        <x:f>-ROUND(Q586*'Drivers'!I586,3)</x:f>
        <x:v>-26.442</x:v>
      </x:c>
      <x:c r="X586" s="64" t="n">
        <x:f>-ROUND(Q586*'Drivers'!J586,3)</x:f>
        <x:v>-42.454</x:v>
      </x:c>
      <x:c r="Y586" s="64" t="n">
        <x:f>-ROUND(Q586*'Drivers'!K586,3)</x:f>
        <x:v>-34.779</x:v>
      </x:c>
      <x:c r="Z586" s="64" t="n">
        <x:f>-ROUND(Q586*'Drivers'!L586,3)</x:f>
        <x:v>-23.698</x:v>
      </x:c>
      <x:c r="AA586" s="64" t="n">
        <x:f>-ROUND(Q586*'Drivers'!M586,3)</x:f>
        <x:v>-24.411</x:v>
      </x:c>
      <x:c r="AB586" s="64" t="n">
        <x:f>-ROUND(Q586*'Drivers'!N586,3)</x:f>
        <x:v>-23.745</x:v>
      </x:c>
      <x:c r="AC586" s="64" t="n">
        <x:f>SUM(V586:AB586)</x:f>
        <x:v>-195.363</x:v>
      </x:c>
      <x:c r="AD586" s="65" t="n">
        <x:f>AC586/Q586</x:f>
        <x:v>-0.07007052495775784</x:v>
      </x:c>
      <x:c r="AE586" s="64" t="n">
        <x:f>-ROUND(Q586*'Drivers'!O586,3)</x:f>
        <x:v>-31.202</x:v>
      </x:c>
      <x:c r="AF586" s="65" t="n">
        <x:f>AE586/Q586</x:f>
        <x:v>-0.011191169872145494</x:v>
      </x:c>
      <x:c r="AG586" s="64" t="n">
        <x:f>-ROUND(Q586*'Drivers'!P586,3)</x:f>
        <x:v>-0.54</x:v>
      </x:c>
      <x:c r="AH586" s="64" t="n">
        <x:f>-ROUND(Q586*'Drivers'!Q586,3)</x:f>
        <x:v>-3.064</x:v>
      </x:c>
      <x:c r="AI586" s="64" t="n">
        <x:f>SUM(R586,T586,AC586,AE586,AG586,AH586)</x:f>
        <x:v>-735.6269999999998</x:v>
      </x:c>
      <x:c r="AJ586" s="65" t="n">
        <x:f>AI586/Q586</x:f>
        <x:v>-0.26384612266959717</x:v>
      </x:c>
      <x:c r="AK586" s="64" t="n">
        <x:f>Q586+AI586</x:f>
        <x:v>2052.464</x:v>
      </x:c>
      <x:c r="AL586" s="65" t="n">
        <x:f>AK586/Q586</x:f>
        <x:v>0.7361538773304028</x:v>
      </x:c>
      <x:c r="AM586" s="64" t="n">
        <x:f>AK586/L586</x:f>
        <x:v>342.07733333333334</x:v>
      </x:c>
      <x:c r="AN586" s="66" t="str">
        <x:f>IF(AM586&lt;=200,"≤200K",IF(AM586&lt;=350,"200–350K",IF(AM586&lt;=500,"350–500K",IF(AM586&lt;=700,"500–700K","&gt;700K"))))</x:f>
        <x:v>200–350K</x:v>
      </x:c>
      <x:c r="AO586" s="64" t="n">
        <x:f>-ROUND(Q586*'Drivers'!R586,3)</x:f>
        <x:v>-1024.62</x:v>
      </x:c>
      <x:c r="AP586" s="64" t="n">
        <x:f>-ROUND(AK586*'Drivers'!S586,3)</x:f>
        <x:v>-30.156</x:v>
      </x:c>
      <x:c r="AQ586" s="64" t="n">
        <x:f>-ROUND(AK586*'Drivers'!T586,3)</x:f>
        <x:v>-6.556</x:v>
      </x:c>
      <x:c r="AR586" s="64" t="n">
        <x:f>-ROUND(AK586*'Drivers'!U586,3)</x:f>
        <x:v>-11.225</x:v>
      </x:c>
      <x:c r="AS586" s="64" t="n">
        <x:f>-ROUND(AK586*'Drivers'!V586,3)</x:f>
        <x:v>-81.413</x:v>
      </x:c>
      <x:c r="AT586" s="64" t="n">
        <x:f>SUM(AO586:AS586)</x:f>
        <x:v>-1153.9699999999998</x:v>
      </x:c>
      <x:c r="AU586" s="65" t="n">
        <x:f>AT586/AK586</x:f>
        <x:v>-0.5622364143780353</x:v>
      </x:c>
      <x:c r="AV586" s="64" t="n">
        <x:f>AK586+AT586</x:f>
        <x:v>898.4940000000001</x:v>
      </x:c>
      <x:c r="AW586" s="65" t="n">
        <x:f>AV586/AK586</x:f>
        <x:v>0.4377635856219647</x:v>
      </x:c>
      <x:c r="AX586" s="64" t="n">
        <x:f>-ROUND(AK586*'Drivers'!W586,3)</x:f>
        <x:v>-26.295</x:v>
      </x:c>
      <x:c r="AY586" s="64" t="n">
        <x:f>-ROUND(AK586*'Drivers'!X586,3)</x:f>
        <x:v>-53.385</x:v>
      </x:c>
      <x:c r="AZ586" s="64" t="n">
        <x:f>-ROUND(AK586*'Drivers'!Y586,3)</x:f>
        <x:v>-27.674</x:v>
      </x:c>
      <x:c r="BA586" s="64" t="n">
        <x:f>-ROUND(AK586*'Drivers'!Z586,3)</x:f>
        <x:v>-16.128</x:v>
      </x:c>
      <x:c r="BB586" s="64" t="n">
        <x:f>-ROUND(AK586*'Drivers'!AA586,3)</x:f>
        <x:v>-14.878</x:v>
      </x:c>
      <x:c r="BC586" s="64" t="n">
        <x:f>SUM(BA586,BB586)</x:f>
        <x:v>-31.006</x:v>
      </x:c>
      <x:c r="BD586" s="64" t="n">
        <x:f>-ROUND(AK586*'Drivers'!AB586,3)</x:f>
        <x:v>-7.845</x:v>
      </x:c>
      <x:c r="BE586" s="64" t="n">
        <x:f>SUM(AX586:BB586,BD586)</x:f>
        <x:v>-146.205</x:v>
      </x:c>
      <x:c r="BF586" s="67" t="n">
        <x:f>'Drivers'!AF586</x:f>
        <x:v>13</x:v>
      </x:c>
      <x:c r="BG586" s="64" t="n">
        <x:f>BJ586</x:f>
        <x:v>-34.884</x:v>
      </x:c>
      <x:c r="BH586" s="64" t="n">
        <x:f>BE586/BF586</x:f>
        <x:v>-11.246538461538462</x:v>
      </x:c>
      <x:c r="BI586" s="68" t="n">
        <x:f>BF586/L586</x:f>
        <x:v>2.1666666666666665</x:v>
      </x:c>
      <x:c r="BJ586" s="64" t="n">
        <x:f>-ROUND(AK586*'Drivers'!AC586,3)</x:f>
        <x:v>-34.884</x:v>
      </x:c>
      <x:c r="BK586" s="64" t="n">
        <x:f>-ROUND(AK586*'Drivers'!AD586,3)</x:f>
        <x:v>-231.193</x:v>
      </x:c>
      <x:c r="BL586" s="64" t="n">
        <x:f>SUM(AV586,BE586,BJ586,BK586)</x:f>
        <x:v>486.2120000000001</x:v>
      </x:c>
      <x:c r="BM586" s="65" t="n">
        <x:f>BL586/AK586</x:f>
        <x:v>0.2368918529143508</x:v>
      </x:c>
      <x:c r="BN586" s="64" t="n">
        <x:f>-ROUND(AK586*'Drivers'!AE586,3)</x:f>
        <x:v>-184.966</x:v>
      </x:c>
      <x:c r="BO586" s="64" t="n">
        <x:f>BL586+BN586</x:f>
        <x:v>301.2460000000001</x:v>
      </x:c>
      <x:c r="BP586" s="65" t="n">
        <x:f>BO586/AK586</x:f>
        <x:v>0.14677285448124797</x:v>
      </x:c>
    </x:row>
    <x:row r="587">
      <x:c r="A587" s="61" t="n">
        <x:v>2025</x:v>
      </x:c>
      <x:c r="B587" s="18" t="str">
        <x:v>S2</x:v>
      </x:c>
      <x:c r="C587" s="18" t="str">
        <x:v>2025 S2</x:v>
      </x:c>
      <x:c r="D587" s="18" t="str">
        <x:v>CNCT0147</x:v>
      </x:c>
      <x:c r="E587" s="18" t="str">
        <x:v>郑州万象城</x:v>
      </x:c>
      <x:c r="F587" s="18" t="str">
        <x:v>郑州</x:v>
      </x:c>
      <x:c r="G587" s="18" t="str">
        <x:v>河南省</x:v>
      </x:c>
      <x:c r="H587" s="18" t="str">
        <x:v>北区</x:v>
      </x:c>
      <x:c r="I587" s="18" t="str">
        <x:v>Shopping Mall</x:v>
      </x:c>
      <x:c r="J587" s="18" t="str">
        <x:v>Prestige Shopping Center</x:v>
      </x:c>
      <x:c r="K587" s="18" t="str">
        <x:v>正常</x:v>
      </x:c>
      <x:c r="L587" s="62" t="n">
        <x:v>6</x:v>
      </x:c>
      <x:c r="M587" s="62" t="n">
        <x:v>33</x:v>
      </x:c>
      <x:c r="N587" s="63" t="n">
        <x:f>'Drivers'!C587</x:f>
        <x:v>2444</x:v>
      </x:c>
      <x:c r="O587" s="63" t="n">
        <x:f>'Drivers'!D587</x:f>
        <x:v>1295.249</x:v>
      </x:c>
      <x:c r="P587" s="64" t="n">
        <x:f>ROUND(N587*O587/1000,3)</x:f>
        <x:v>3165.589</x:v>
      </x:c>
      <x:c r="Q587" s="64" t="n">
        <x:f>ROUND(P587*'Drivers'!E587,3)</x:f>
        <x:v>3094.773</x:v>
      </x:c>
      <x:c r="R587" s="64" t="n">
        <x:f>-ROUND(Q587*'Drivers'!F587,3)</x:f>
        <x:v>-504.734</x:v>
      </x:c>
      <x:c r="S587" s="65" t="n">
        <x:f>R587/Q587</x:f>
        <x:v>-0.16309241420937817</x:v>
      </x:c>
      <x:c r="T587" s="64" t="n">
        <x:f>-ROUND(Q587*'Drivers'!G587,3)</x:f>
        <x:v>-56.322</x:v>
      </x:c>
      <x:c r="U587" s="65" t="n">
        <x:f>T587/Q587</x:f>
        <x:v>-0.018199073082258377</x:v>
      </x:c>
      <x:c r="V587" s="64" t="n">
        <x:f>-ROUND(Q587*'Drivers'!H587,3)</x:f>
        <x:v>-22.015</x:v>
      </x:c>
      <x:c r="W587" s="64" t="n">
        <x:f>-ROUND(Q587*'Drivers'!I587,3)</x:f>
        <x:v>-29.351</x:v>
      </x:c>
      <x:c r="X587" s="64" t="n">
        <x:f>-ROUND(Q587*'Drivers'!J587,3)</x:f>
        <x:v>-47.124</x:v>
      </x:c>
      <x:c r="Y587" s="64" t="n">
        <x:f>-ROUND(Q587*'Drivers'!K587,3)</x:f>
        <x:v>-38.604</x:v>
      </x:c>
      <x:c r="Z587" s="64" t="n">
        <x:f>-ROUND(Q587*'Drivers'!L587,3)</x:f>
        <x:v>-26.305</x:v>
      </x:c>
      <x:c r="AA587" s="64" t="n">
        <x:f>-ROUND(Q587*'Drivers'!M587,3)</x:f>
        <x:v>-27.097</x:v>
      </x:c>
      <x:c r="AB587" s="64" t="n">
        <x:f>-ROUND(Q587*'Drivers'!N587,3)</x:f>
        <x:v>-26.356</x:v>
      </x:c>
      <x:c r="AC587" s="64" t="n">
        <x:f>SUM(V587:AB587)</x:f>
        <x:v>-216.852</x:v>
      </x:c>
      <x:c r="AD587" s="65" t="n">
        <x:f>AC587/Q587</x:f>
        <x:v>-0.07007040581005457</x:v>
      </x:c>
      <x:c r="AE587" s="64" t="n">
        <x:f>-ROUND(Q587*'Drivers'!O587,3)</x:f>
        <x:v>-34.634</x:v>
      </x:c>
      <x:c r="AF587" s="65" t="n">
        <x:f>AE587/Q587</x:f>
        <x:v>-0.011191127749918976</x:v>
      </x:c>
      <x:c r="AG587" s="64" t="n">
        <x:f>-ROUND(Q587*'Drivers'!P587,3)</x:f>
        <x:v>-0.6</x:v>
      </x:c>
      <x:c r="AH587" s="64" t="n">
        <x:f>-ROUND(Q587*'Drivers'!Q587,3)</x:f>
        <x:v>-3.401</x:v>
      </x:c>
      <x:c r="AI587" s="64" t="n">
        <x:f>SUM(R587,T587,AC587,AE587,AG587,AH587)</x:f>
        <x:v>-816.543</x:v>
      </x:c>
      <x:c r="AJ587" s="65" t="n">
        <x:f>AI587/Q587</x:f>
        <x:v>-0.26384584588271903</x:v>
      </x:c>
      <x:c r="AK587" s="64" t="n">
        <x:f>Q587+AI587</x:f>
        <x:v>2278.23</x:v>
      </x:c>
      <x:c r="AL587" s="65" t="n">
        <x:f>AK587/Q587</x:f>
        <x:v>0.7361541541172809</x:v>
      </x:c>
      <x:c r="AM587" s="64" t="n">
        <x:f>AK587/L587</x:f>
        <x:v>379.705</x:v>
      </x:c>
      <x:c r="AN587" s="66" t="str">
        <x:f>IF(AM587&lt;=200,"≤200K",IF(AM587&lt;=350,"200–350K",IF(AM587&lt;=500,"350–500K",IF(AM587&lt;=700,"500–700K","&gt;700K"))))</x:f>
        <x:v>350–500K</x:v>
      </x:c>
      <x:c r="AO587" s="64" t="n">
        <x:f>-ROUND(Q587*'Drivers'!R587,3)</x:f>
        <x:v>-1130.605</x:v>
      </x:c>
      <x:c r="AP587" s="64" t="n">
        <x:f>-ROUND(AK587*'Drivers'!S587,3)</x:f>
        <x:v>-33.473</x:v>
      </x:c>
      <x:c r="AQ587" s="64" t="n">
        <x:f>-ROUND(AK587*'Drivers'!T587,3)</x:f>
        <x:v>-7.277</x:v>
      </x:c>
      <x:c r="AR587" s="64" t="n">
        <x:f>-ROUND(AK587*'Drivers'!U587,3)</x:f>
        <x:v>-12.46</x:v>
      </x:c>
      <x:c r="AS587" s="64" t="n">
        <x:f>-ROUND(AK587*'Drivers'!V587,3)</x:f>
        <x:v>-90.369</x:v>
      </x:c>
      <x:c r="AT587" s="64" t="n">
        <x:f>SUM(AO587:AS587)</x:f>
        <x:v>-1274.184</x:v>
      </x:c>
      <x:c r="AU587" s="65" t="n">
        <x:f>AT587/AK587</x:f>
        <x:v>-0.5592868147640931</x:v>
      </x:c>
      <x:c r="AV587" s="64" t="n">
        <x:f>AK587+AT587</x:f>
        <x:v>1004.046</x:v>
      </x:c>
      <x:c r="AW587" s="65" t="n">
        <x:f>AV587/AK587</x:f>
        <x:v>0.44071318523590686</x:v>
      </x:c>
      <x:c r="AX587" s="64" t="n">
        <x:f>-ROUND(AK587*'Drivers'!W587,3)</x:f>
        <x:v>-29.187</x:v>
      </x:c>
      <x:c r="AY587" s="64" t="n">
        <x:f>-ROUND(AK587*'Drivers'!X587,3)</x:f>
        <x:v>-59.257</x:v>
      </x:c>
      <x:c r="AZ587" s="64" t="n">
        <x:f>-ROUND(AK587*'Drivers'!Y587,3)</x:f>
        <x:v>-30.718</x:v>
      </x:c>
      <x:c r="BA587" s="64" t="n">
        <x:f>-ROUND(AK587*'Drivers'!Z587,3)</x:f>
        <x:v>-17.902</x:v>
      </x:c>
      <x:c r="BB587" s="64" t="n">
        <x:f>-ROUND(AK587*'Drivers'!AA587,3)</x:f>
        <x:v>-16.514</x:v>
      </x:c>
      <x:c r="BC587" s="64" t="n">
        <x:f>SUM(BA587,BB587)</x:f>
        <x:v>-34.416</x:v>
      </x:c>
      <x:c r="BD587" s="64" t="n">
        <x:f>-ROUND(AK587*'Drivers'!AB587,3)</x:f>
        <x:v>-8.708</x:v>
      </x:c>
      <x:c r="BE587" s="64" t="n">
        <x:f>SUM(AX587:BB587,BD587)</x:f>
        <x:v>-162.28600000000003</x:v>
      </x:c>
      <x:c r="BF587" s="67" t="n">
        <x:f>'Drivers'!AF587</x:f>
        <x:v>13</x:v>
      </x:c>
      <x:c r="BG587" s="64" t="n">
        <x:f>BJ587</x:f>
        <x:v>-38.721</x:v>
      </x:c>
      <x:c r="BH587" s="64" t="n">
        <x:f>BE587/BF587</x:f>
        <x:v>-12.483538461538464</x:v>
      </x:c>
      <x:c r="BI587" s="68" t="n">
        <x:f>BF587/L587</x:f>
        <x:v>2.1666666666666665</x:v>
      </x:c>
      <x:c r="BJ587" s="64" t="n">
        <x:f>-ROUND(AK587*'Drivers'!AC587,3)</x:f>
        <x:v>-38.721</x:v>
      </x:c>
      <x:c r="BK587" s="64" t="n">
        <x:f>-ROUND(AK587*'Drivers'!AD587,3)</x:f>
        <x:v>-256.624</x:v>
      </x:c>
      <x:c r="BL587" s="64" t="n">
        <x:f>SUM(AV587,BE587,BJ587,BK587)</x:f>
        <x:v>546.415</x:v>
      </x:c>
      <x:c r="BM587" s="65" t="n">
        <x:f>BL587/AK587</x:f>
        <x:v>0.23984189480429982</x:v>
      </x:c>
      <x:c r="BN587" s="64" t="n">
        <x:f>-ROUND(AK587*'Drivers'!AE587,3)</x:f>
        <x:v>-205.311</x:v>
      </x:c>
      <x:c r="BO587" s="64" t="n">
        <x:f>BL587+BN587</x:f>
        <x:v>341.1039999999999</x:v>
      </x:c>
      <x:c r="BP587" s="65" t="n">
        <x:f>BO587/AK587</x:f>
        <x:v>0.1497232500669379</x:v>
      </x:c>
    </x:row>
    <x:row r="588">
      <x:c r="A588" s="61" t="n">
        <x:v>2026</x:v>
      </x:c>
      <x:c r="B588" s="18" t="str">
        <x:v>S1</x:v>
      </x:c>
      <x:c r="C588" s="18" t="str">
        <x:v>2026 S1</x:v>
      </x:c>
      <x:c r="D588" s="18" t="str">
        <x:v>CNCT0147</x:v>
      </x:c>
      <x:c r="E588" s="18" t="str">
        <x:v>郑州万象城</x:v>
      </x:c>
      <x:c r="F588" s="18" t="str">
        <x:v>郑州</x:v>
      </x:c>
      <x:c r="G588" s="18" t="str">
        <x:v>河南省</x:v>
      </x:c>
      <x:c r="H588" s="18" t="str">
        <x:v>北区</x:v>
      </x:c>
      <x:c r="I588" s="18" t="str">
        <x:v>Shopping Mall</x:v>
      </x:c>
      <x:c r="J588" s="18" t="str">
        <x:v>Prestige Shopping Center</x:v>
      </x:c>
      <x:c r="K588" s="18" t="str">
        <x:v>正常</x:v>
      </x:c>
      <x:c r="L588" s="62" t="n">
        <x:v>6</x:v>
      </x:c>
      <x:c r="M588" s="62" t="n">
        <x:v>33</x:v>
      </x:c>
      <x:c r="N588" s="63" t="n">
        <x:f>'Drivers'!C588</x:f>
        <x:v>2167</x:v>
      </x:c>
      <x:c r="O588" s="63" t="n">
        <x:f>'Drivers'!D588</x:f>
        <x:v>1353.915</x:v>
      </x:c>
      <x:c r="P588" s="64" t="n">
        <x:f>ROUND(N588*O588/1000,3)</x:f>
        <x:v>2933.934</x:v>
      </x:c>
      <x:c r="Q588" s="64" t="n">
        <x:f>ROUND(P588*'Drivers'!E588,3)</x:f>
        <x:v>2838.284</x:v>
      </x:c>
      <x:c r="R588" s="64" t="n">
        <x:f>-ROUND(Q588*'Drivers'!F588,3)</x:f>
        <x:v>-453.379</x:v>
      </x:c>
      <x:c r="S588" s="65" t="n">
        <x:f>R588/Q588</x:f>
        <x:v>-0.15973701010892496</x:v>
      </x:c>
      <x:c r="T588" s="64" t="n">
        <x:f>-ROUND(Q588*'Drivers'!G588,3)</x:f>
        <x:v>-55.094</x:v>
      </x:c>
      <x:c r="U588" s="65" t="n">
        <x:f>T588/Q588</x:f>
        <x:v>-0.0194110244077055</x:v>
      </x:c>
      <x:c r="V588" s="64" t="n">
        <x:f>-ROUND(Q588*'Drivers'!H588,3)</x:f>
        <x:v>-20.191</x:v>
      </x:c>
      <x:c r="W588" s="64" t="n">
        <x:f>-ROUND(Q588*'Drivers'!I588,3)</x:f>
        <x:v>-26.918</x:v>
      </x:c>
      <x:c r="X588" s="64" t="n">
        <x:f>-ROUND(Q588*'Drivers'!J588,3)</x:f>
        <x:v>-43.218</x:v>
      </x:c>
      <x:c r="Y588" s="64" t="n">
        <x:f>-ROUND(Q588*'Drivers'!K588,3)</x:f>
        <x:v>-35.405</x:v>
      </x:c>
      <x:c r="Z588" s="64" t="n">
        <x:f>-ROUND(Q588*'Drivers'!L588,3)</x:f>
        <x:v>-24.125</x:v>
      </x:c>
      <x:c r="AA588" s="64" t="n">
        <x:f>-ROUND(Q588*'Drivers'!M588,3)</x:f>
        <x:v>-24.851</x:v>
      </x:c>
      <x:c r="AB588" s="64" t="n">
        <x:f>-ROUND(Q588*'Drivers'!N588,3)</x:f>
        <x:v>-24.172</x:v>
      </x:c>
      <x:c r="AC588" s="64" t="n">
        <x:f>SUM(V588:AB588)</x:f>
        <x:v>-198.88</x:v>
      </x:c>
      <x:c r="AD588" s="65" t="n">
        <x:f>AC588/Q588</x:f>
        <x:v>-0.0700705073910856</x:v>
      </x:c>
      <x:c r="AE588" s="64" t="n">
        <x:f>-ROUND(Q588*'Drivers'!O588,3)</x:f>
        <x:v>-36.307</x:v>
      </x:c>
      <x:c r="AF588" s="65" t="n">
        <x:f>AE588/Q588</x:f>
        <x:v>-0.01279188411025817</x:v>
      </x:c>
      <x:c r="AG588" s="64" t="n">
        <x:f>-ROUND(Q588*'Drivers'!P588,3)</x:f>
        <x:v>-0.55</x:v>
      </x:c>
      <x:c r="AH588" s="64" t="n">
        <x:f>-ROUND(Q588*'Drivers'!Q588,3)</x:f>
        <x:v>-3.119</x:v>
      </x:c>
      <x:c r="AI588" s="64" t="n">
        <x:f>SUM(R588,T588,AC588,AE588,AG588,AH588)</x:f>
        <x:v>-747.3290000000001</x:v>
      </x:c>
      <x:c r="AJ588" s="65" t="n">
        <x:f>AI588/Q588</x:f>
        <x:v>-0.2633031084979516</x:v>
      </x:c>
      <x:c r="AK588" s="64" t="n">
        <x:f>Q588+AI588</x:f>
        <x:v>2090.955</x:v>
      </x:c>
      <x:c r="AL588" s="65" t="n">
        <x:f>AK588/Q588</x:f>
        <x:v>0.7366968915020484</x:v>
      </x:c>
      <x:c r="AM588" s="64" t="n">
        <x:f>AK588/L588</x:f>
        <x:v>348.4925</x:v>
      </x:c>
      <x:c r="AN588" s="66" t="str">
        <x:f>IF(AM588&lt;=200,"≤200K",IF(AM588&lt;=350,"200–350K",IF(AM588&lt;=500,"350–500K",IF(AM588&lt;=700,"500–700K","&gt;700K"))))</x:f>
        <x:v>200–350K</x:v>
      </x:c>
      <x:c r="AO588" s="64" t="n">
        <x:f>-ROUND(Q588*'Drivers'!R588,3)</x:f>
        <x:v>-1033.509</x:v>
      </x:c>
      <x:c r="AP588" s="64" t="n">
        <x:f>-ROUND(AK588*'Drivers'!S588,3)</x:f>
        <x:v>-30.721</x:v>
      </x:c>
      <x:c r="AQ588" s="64" t="n">
        <x:f>-ROUND(AK588*'Drivers'!T588,3)</x:f>
        <x:v>-6.679</x:v>
      </x:c>
      <x:c r="AR588" s="64" t="n">
        <x:f>-ROUND(AK588*'Drivers'!U588,3)</x:f>
        <x:v>-11.436</x:v>
      </x:c>
      <x:c r="AS588" s="64" t="n">
        <x:f>-ROUND(AK588*'Drivers'!V588,3)</x:f>
        <x:v>-82.94</x:v>
      </x:c>
      <x:c r="AT588" s="64" t="n">
        <x:f>SUM(AO588:AS588)</x:f>
        <x:v>-1165.285</x:v>
      </x:c>
      <x:c r="AU588" s="65" t="n">
        <x:f>AT588/AK588</x:f>
        <x:v>-0.557297981066068</x:v>
      </x:c>
      <x:c r="AV588" s="64" t="n">
        <x:f>AK588+AT588</x:f>
        <x:v>925.6699999999998</x:v>
      </x:c>
      <x:c r="AW588" s="65" t="n">
        <x:f>AV588/AK588</x:f>
        <x:v>0.442702018933932</x:v>
      </x:c>
      <x:c r="AX588" s="64" t="n">
        <x:f>-ROUND(AK588*'Drivers'!W588,3)</x:f>
        <x:v>-32.961</x:v>
      </x:c>
      <x:c r="AY588" s="64" t="n">
        <x:f>-ROUND(AK588*'Drivers'!X588,3)</x:f>
        <x:v>-66.919</x:v>
      </x:c>
      <x:c r="AZ588" s="64" t="n">
        <x:f>-ROUND(AK588*'Drivers'!Y588,3)</x:f>
        <x:v>-34.69</x:v>
      </x:c>
      <x:c r="BA588" s="64" t="n">
        <x:f>-ROUND(AK588*'Drivers'!Z588,3)</x:f>
        <x:v>-20.217</x:v>
      </x:c>
      <x:c r="BB588" s="64" t="n">
        <x:f>-ROUND(AK588*'Drivers'!AA588,3)</x:f>
        <x:v>-18.65</x:v>
      </x:c>
      <x:c r="BC588" s="64" t="n">
        <x:f>SUM(BA588,BB588)</x:f>
        <x:v>-38.867</x:v>
      </x:c>
      <x:c r="BD588" s="64" t="n">
        <x:f>-ROUND(AK588*'Drivers'!AB588,3)</x:f>
        <x:v>-9.834</x:v>
      </x:c>
      <x:c r="BE588" s="64" t="n">
        <x:f>SUM(AX588:BB588,BD588)</x:f>
        <x:v>-183.271</x:v>
      </x:c>
      <x:c r="BF588" s="67" t="n">
        <x:f>'Drivers'!AF588</x:f>
        <x:v>13</x:v>
      </x:c>
      <x:c r="BG588" s="64" t="n">
        <x:f>BJ588</x:f>
        <x:v>-43.727</x:v>
      </x:c>
      <x:c r="BH588" s="64" t="n">
        <x:f>BE588/BF588</x:f>
        <x:v>-14.097769230769229</x:v>
      </x:c>
      <x:c r="BI588" s="68" t="n">
        <x:f>BF588/L588</x:f>
        <x:v>2.1666666666666665</x:v>
      </x:c>
      <x:c r="BJ588" s="64" t="n">
        <x:f>-ROUND(AK588*'Drivers'!AC588,3)</x:f>
        <x:v>-43.727</x:v>
      </x:c>
      <x:c r="BK588" s="64" t="n">
        <x:f>-ROUND(AK588*'Drivers'!AD588,3)</x:f>
        <x:v>-235.529</x:v>
      </x:c>
      <x:c r="BL588" s="64" t="n">
        <x:f>SUM(AV588,BE588,BJ588,BK588)</x:f>
        <x:v>463.1429999999999</x:v>
      </x:c>
      <x:c r="BM588" s="65" t="n">
        <x:f>BL588/AK588</x:f>
        <x:v>0.221498310580572</x:v>
      </x:c>
      <x:c r="BN588" s="64" t="n">
        <x:f>-ROUND(AK588*'Drivers'!AE588,3)</x:f>
        <x:v>-188.434</x:v>
      </x:c>
      <x:c r="BO588" s="64" t="n">
        <x:f>BL588+BN588</x:f>
        <x:v>274.70899999999995</x:v>
      </x:c>
      <x:c r="BP588" s="65" t="n">
        <x:f>BO588/AK588</x:f>
        <x:v>0.13137968057657862</x:v>
      </x:c>
    </x:row>
    <x:row r="589">
      <x:c r="A589" s="61" t="n">
        <x:v>2026</x:v>
      </x:c>
      <x:c r="B589" s="18" t="str">
        <x:v>S2</x:v>
      </x:c>
      <x:c r="C589" s="18" t="str">
        <x:v>2026 S2</x:v>
      </x:c>
      <x:c r="D589" s="18" t="str">
        <x:v>CNCT0147</x:v>
      </x:c>
      <x:c r="E589" s="18" t="str">
        <x:v>郑州万象城</x:v>
      </x:c>
      <x:c r="F589" s="18" t="str">
        <x:v>郑州</x:v>
      </x:c>
      <x:c r="G589" s="18" t="str">
        <x:v>河南省</x:v>
      </x:c>
      <x:c r="H589" s="18" t="str">
        <x:v>北区</x:v>
      </x:c>
      <x:c r="I589" s="18" t="str">
        <x:v>Shopping Mall</x:v>
      </x:c>
      <x:c r="J589" s="18" t="str">
        <x:v>Prestige Shopping Center</x:v>
      </x:c>
      <x:c r="K589" s="18" t="str">
        <x:v>正常</x:v>
      </x:c>
      <x:c r="L589" s="62" t="n">
        <x:v>6</x:v>
      </x:c>
      <x:c r="M589" s="62" t="n">
        <x:v>31</x:v>
      </x:c>
      <x:c r="N589" s="63" t="n">
        <x:f>'Drivers'!C589</x:f>
        <x:v>2393</x:v>
      </x:c>
      <x:c r="O589" s="63" t="n">
        <x:f>'Drivers'!D589</x:f>
        <x:v>1344.718</x:v>
      </x:c>
      <x:c r="P589" s="64" t="n">
        <x:f>ROUND(N589*O589/1000,3)</x:f>
        <x:v>3217.91</x:v>
      </x:c>
      <x:c r="Q589" s="64" t="n">
        <x:f>ROUND(P589*'Drivers'!E589,3)</x:f>
        <x:v>3145.924</x:v>
      </x:c>
      <x:c r="R589" s="64" t="n">
        <x:f>-ROUND(Q589*'Drivers'!F589,3)</x:f>
        <x:v>-502.639</x:v>
      </x:c>
      <x:c r="S589" s="65" t="n">
        <x:f>R589/Q589</x:f>
        <x:v>-0.15977467987147814</x:v>
      </x:c>
      <x:c r="T589" s="64" t="n">
        <x:f>-ROUND(Q589*'Drivers'!G589,3)</x:f>
        <x:v>-54.791</x:v>
      </x:c>
      <x:c r="U589" s="65" t="n">
        <x:f>T589/Q589</x:f>
        <x:v>-0.017416504658090914</x:v>
      </x:c>
      <x:c r="V589" s="64" t="n">
        <x:f>-ROUND(Q589*'Drivers'!H589,3)</x:f>
        <x:v>-22.379</x:v>
      </x:c>
      <x:c r="W589" s="64" t="n">
        <x:f>-ROUND(Q589*'Drivers'!I589,3)</x:f>
        <x:v>-29.836</x:v>
      </x:c>
      <x:c r="X589" s="64" t="n">
        <x:f>-ROUND(Q589*'Drivers'!J589,3)</x:f>
        <x:v>-47.903</x:v>
      </x:c>
      <x:c r="Y589" s="64" t="n">
        <x:f>-ROUND(Q589*'Drivers'!K589,3)</x:f>
        <x:v>-39.242</x:v>
      </x:c>
      <x:c r="Z589" s="64" t="n">
        <x:f>-ROUND(Q589*'Drivers'!L589,3)</x:f>
        <x:v>-26.74</x:v>
      </x:c>
      <x:c r="AA589" s="64" t="n">
        <x:f>-ROUND(Q589*'Drivers'!M589,3)</x:f>
        <x:v>-27.545</x:v>
      </x:c>
      <x:c r="AB589" s="64" t="n">
        <x:f>-ROUND(Q589*'Drivers'!N589,3)</x:f>
        <x:v>-26.792</x:v>
      </x:c>
      <x:c r="AC589" s="64" t="n">
        <x:f>SUM(V589:AB589)</x:f>
        <x:v>-220.43699999999998</x:v>
      </x:c>
      <x:c r="AD589" s="65" t="n">
        <x:f>AC589/Q589</x:f>
        <x:v>-0.07007066922150694</x:v>
      </x:c>
      <x:c r="AE589" s="64" t="n">
        <x:f>-ROUND(Q589*'Drivers'!O589,3)</x:f>
        <x:v>-35.207</x:v>
      </x:c>
      <x:c r="AF589" s="65" t="n">
        <x:f>AE589/Q589</x:f>
        <x:v>-0.011191306592276228</x:v>
      </x:c>
      <x:c r="AG589" s="64" t="n">
        <x:f>-ROUND(Q589*'Drivers'!P589,3)</x:f>
        <x:v>-0.61</x:v>
      </x:c>
      <x:c r="AH589" s="64" t="n">
        <x:f>-ROUND(Q589*'Drivers'!Q589,3)</x:f>
        <x:v>-3.457</x:v>
      </x:c>
      <x:c r="AI589" s="64" t="n">
        <x:f>SUM(R589,T589,AC589,AE589,AG589,AH589)</x:f>
        <x:v>-817.1410000000001</x:v>
      </x:c>
      <x:c r="AJ589" s="65" t="n">
        <x:f>AI589/Q589</x:f>
        <x:v>-0.25974594427583125</x:v>
      </x:c>
      <x:c r="AK589" s="64" t="n">
        <x:f>Q589+AI589</x:f>
        <x:v>2328.783</x:v>
      </x:c>
      <x:c r="AL589" s="65" t="n">
        <x:f>AK589/Q589</x:f>
        <x:v>0.7402540557241688</x:v>
      </x:c>
      <x:c r="AM589" s="64" t="n">
        <x:f>AK589/L589</x:f>
        <x:v>388.1305</x:v>
      </x:c>
      <x:c r="AN589" s="66" t="str">
        <x:f>IF(AM589&lt;=200,"≤200K",IF(AM589&lt;=350,"200–350K",IF(AM589&lt;=500,"350–500K",IF(AM589&lt;=700,"500–700K","&gt;700K"))))</x:f>
        <x:v>350–500K</x:v>
      </x:c>
      <x:c r="AO589" s="64" t="n">
        <x:f>-ROUND(Q589*'Drivers'!R589,3)</x:f>
        <x:v>-1157.612</x:v>
      </x:c>
      <x:c r="AP589" s="64" t="n">
        <x:f>-ROUND(AK589*'Drivers'!S589,3)</x:f>
        <x:v>-34.216</x:v>
      </x:c>
      <x:c r="AQ589" s="64" t="n">
        <x:f>-ROUND(AK589*'Drivers'!T589,3)</x:f>
        <x:v>-7.439</x:v>
      </x:c>
      <x:c r="AR589" s="64" t="n">
        <x:f>-ROUND(AK589*'Drivers'!U589,3)</x:f>
        <x:v>-12.737</x:v>
      </x:c>
      <x:c r="AS589" s="64" t="n">
        <x:f>-ROUND(AK589*'Drivers'!V589,3)</x:f>
        <x:v>-92.374</x:v>
      </x:c>
      <x:c r="AT589" s="64" t="n">
        <x:f>SUM(AO589:AS589)</x:f>
        <x:v>-1304.3780000000002</x:v>
      </x:c>
      <x:c r="AU589" s="65" t="n">
        <x:f>AT589/AK589</x:f>
        <x:v>-0.5601114401814168</x:v>
      </x:c>
      <x:c r="AV589" s="64" t="n">
        <x:f>AK589+AT589</x:f>
        <x:v>1024.4049999999997</x:v>
      </x:c>
      <x:c r="AW589" s="65" t="n">
        <x:f>AV589/AK589</x:f>
        <x:v>0.43988855981858327</x:v>
      </x:c>
      <x:c r="AX589" s="64" t="n">
        <x:f>-ROUND(AK589*'Drivers'!W589,3)</x:f>
        <x:v>-31.625</x:v>
      </x:c>
      <x:c r="AY589" s="64" t="n">
        <x:f>-ROUND(AK589*'Drivers'!X589,3)</x:f>
        <x:v>-64.206</x:v>
      </x:c>
      <x:c r="AZ589" s="64" t="n">
        <x:f>-ROUND(AK589*'Drivers'!Y589,3)</x:f>
        <x:v>-33.284</x:v>
      </x:c>
      <x:c r="BA589" s="64" t="n">
        <x:f>-ROUND(AK589*'Drivers'!Z589,3)</x:f>
        <x:v>-19.397</x:v>
      </x:c>
      <x:c r="BB589" s="64" t="n">
        <x:f>-ROUND(AK589*'Drivers'!AA589,3)</x:f>
        <x:v>-17.894</x:v>
      </x:c>
      <x:c r="BC589" s="64" t="n">
        <x:f>SUM(BA589,BB589)</x:f>
        <x:v>-37.291</x:v>
      </x:c>
      <x:c r="BD589" s="64" t="n">
        <x:f>-ROUND(AK589*'Drivers'!AB589,3)</x:f>
        <x:v>-9.435</x:v>
      </x:c>
      <x:c r="BE589" s="64" t="n">
        <x:f>SUM(AX589:BB589,BD589)</x:f>
        <x:v>-175.841</x:v>
      </x:c>
      <x:c r="BF589" s="67" t="n">
        <x:f>'Drivers'!AF589</x:f>
        <x:v>13</x:v>
      </x:c>
      <x:c r="BG589" s="64" t="n">
        <x:f>BJ589</x:f>
        <x:v>-41.955</x:v>
      </x:c>
      <x:c r="BH589" s="64" t="n">
        <x:f>BE589/BF589</x:f>
        <x:v>-13.52623076923077</x:v>
      </x:c>
      <x:c r="BI589" s="68" t="n">
        <x:f>BF589/L589</x:f>
        <x:v>2.1666666666666665</x:v>
      </x:c>
      <x:c r="BJ589" s="64" t="n">
        <x:f>-ROUND(AK589*'Drivers'!AC589,3)</x:f>
        <x:v>-41.955</x:v>
      </x:c>
      <x:c r="BK589" s="64" t="n">
        <x:f>-ROUND(AK589*'Drivers'!AD589,3)</x:f>
        <x:v>-262.318</x:v>
      </x:c>
      <x:c r="BL589" s="64" t="n">
        <x:f>SUM(AV589,BE589,BJ589,BK589)</x:f>
        <x:v>544.2909999999997</x:v>
      </x:c>
      <x:c r="BM589" s="65" t="n">
        <x:f>BL589/AK589</x:f>
        <x:v>0.23372336538011473</x:v>
      </x:c>
      <x:c r="BN589" s="64" t="n">
        <x:f>-ROUND(AK589*'Drivers'!AE589,3)</x:f>
        <x:v>-209.867</x:v>
      </x:c>
      <x:c r="BO589" s="64" t="n">
        <x:f>BL589+BN589</x:f>
        <x:v>334.42399999999975</x:v>
      </x:c>
      <x:c r="BP589" s="65" t="n">
        <x:f>BO589/AK589</x:f>
        <x:v>0.1436046209543782</x:v>
      </x:c>
    </x:row>
    <x:row r="590">
      <x:c r="A590" s="61" t="n">
        <x:v>2025</x:v>
      </x:c>
      <x:c r="B590" s="18" t="str">
        <x:v>S1</x:v>
      </x:c>
      <x:c r="C590" s="18" t="str">
        <x:v>2025 S1</x:v>
      </x:c>
      <x:c r="D590" s="18" t="str">
        <x:v>CNCT0148</x:v>
      </x:c>
      <x:c r="E590" s="18" t="str">
        <x:v>郑州国贸360</x:v>
      </x:c>
      <x:c r="F590" s="18" t="str">
        <x:v>郑州</x:v>
      </x:c>
      <x:c r="G590" s="18" t="str">
        <x:v>河南省</x:v>
      </x:c>
      <x:c r="H590" s="18" t="str">
        <x:v>北区</x:v>
      </x:c>
      <x:c r="I590" s="18" t="str">
        <x:v>Shopping Mall</x:v>
      </x:c>
      <x:c r="J590" s="18" t="str">
        <x:v>Core Shopping Center</x:v>
      </x:c>
      <x:c r="K590" s="18" t="str">
        <x:v>正常</x:v>
      </x:c>
      <x:c r="L590" s="62" t="n">
        <x:v>3</x:v>
      </x:c>
      <x:c r="M590" s="62" t="n">
        <x:v>33</x:v>
      </x:c>
      <x:c r="N590" s="63" t="n">
        <x:f>'Drivers'!C590</x:f>
        <x:v>1214</x:v>
      </x:c>
      <x:c r="O590" s="63" t="n">
        <x:f>'Drivers'!D590</x:f>
        <x:v>1133.602</x:v>
      </x:c>
      <x:c r="P590" s="64" t="n">
        <x:f>ROUND(N590*O590/1000,3)</x:f>
        <x:v>1376.193</x:v>
      </x:c>
      <x:c r="Q590" s="64" t="n">
        <x:f>ROUND(P590*'Drivers'!E590,3)</x:f>
        <x:v>1325.016</x:v>
      </x:c>
      <x:c r="R590" s="64" t="n">
        <x:f>-ROUND(Q590*'Drivers'!F590,3)</x:f>
        <x:v>-253.441</x:v>
      </x:c>
      <x:c r="S590" s="65" t="n">
        <x:f>R590/Q590</x:f>
        <x:v>-0.1912739166923267</x:v>
      </x:c>
      <x:c r="T590" s="64" t="n">
        <x:f>-ROUND(Q590*'Drivers'!G590,3)</x:f>
        <x:v>-13.426</x:v>
      </x:c>
      <x:c r="U590" s="65" t="n">
        <x:f>T590/Q590</x:f>
        <x:v>-0.0101327078314526</x:v>
      </x:c>
      <x:c r="V590" s="64" t="n">
        <x:f>-ROUND(Q590*'Drivers'!H590,3)</x:f>
        <x:v>-11.598</x:v>
      </x:c>
      <x:c r="W590" s="64" t="n">
        <x:f>-ROUND(Q590*'Drivers'!I590,3)</x:f>
        <x:v>-11.381</x:v>
      </x:c>
      <x:c r="X590" s="64" t="n">
        <x:f>-ROUND(Q590*'Drivers'!J590,3)</x:f>
        <x:v>-17.618</x:v>
      </x:c>
      <x:c r="Y590" s="64" t="n">
        <x:f>-ROUND(Q590*'Drivers'!K590,3)</x:f>
        <x:v>-12.272</x:v>
      </x:c>
      <x:c r="Z590" s="64" t="n">
        <x:f>-ROUND(Q590*'Drivers'!L590,3)</x:f>
        <x:v>-11.019</x:v>
      </x:c>
      <x:c r="AA590" s="64" t="n">
        <x:f>-ROUND(Q590*'Drivers'!M590,3)</x:f>
        <x:v>-10.799</x:v>
      </x:c>
      <x:c r="AB590" s="64" t="n">
        <x:f>-ROUND(Q590*'Drivers'!N590,3)</x:f>
        <x:v>-10.068</x:v>
      </x:c>
      <x:c r="AC590" s="64" t="n">
        <x:f>SUM(V590:AB590)</x:f>
        <x:v>-84.75499999999998</x:v>
      </x:c>
      <x:c r="AD590" s="65" t="n">
        <x:f>AC590/Q590</x:f>
        <x:v>-0.06396526532509794</x:v>
      </x:c>
      <x:c r="AE590" s="64" t="n">
        <x:f>-ROUND(Q590*'Drivers'!O590,3)</x:f>
        <x:v>-19.526</x:v>
      </x:c>
      <x:c r="AF590" s="65" t="n">
        <x:f>AE590/Q590</x:f>
        <x:v>-0.014736425824291932</x:v>
      </x:c>
      <x:c r="AG590" s="64" t="n">
        <x:f>-ROUND(Q590*'Drivers'!P590,3)</x:f>
        <x:v>-3.083</x:v>
      </x:c>
      <x:c r="AH590" s="64" t="n">
        <x:f>-ROUND(Q590*'Drivers'!Q590,3)</x:f>
        <x:v>-2.519</x:v>
      </x:c>
      <x:c r="AI590" s="64" t="n">
        <x:f>SUM(R590,T590,AC590,AE590,AG590,AH590)</x:f>
        <x:v>-376.75000000000006</x:v>
      </x:c>
      <x:c r="AJ590" s="65" t="n">
        <x:f>AI590/Q590</x:f>
        <x:v>-0.28433618914790465</x:v>
      </x:c>
      <x:c r="AK590" s="64" t="n">
        <x:f>Q590+AI590</x:f>
        <x:v>948.2660000000001</x:v>
      </x:c>
      <x:c r="AL590" s="65" t="n">
        <x:f>AK590/Q590</x:f>
        <x:v>0.7156638108520954</x:v>
      </x:c>
      <x:c r="AM590" s="64" t="n">
        <x:f>AK590/L590</x:f>
        <x:v>316.0886666666667</x:v>
      </x:c>
      <x:c r="AN590" s="66" t="str">
        <x:f>IF(AM590&lt;=200,"≤200K",IF(AM590&lt;=350,"200–350K",IF(AM590&lt;=500,"350–500K",IF(AM590&lt;=700,"500–700K","&gt;700K"))))</x:f>
        <x:v>200–350K</x:v>
      </x:c>
      <x:c r="AO590" s="64" t="n">
        <x:f>-ROUND(Q590*'Drivers'!R590,3)</x:f>
        <x:v>-497.13</x:v>
      </x:c>
      <x:c r="AP590" s="64" t="n">
        <x:f>-ROUND(AK590*'Drivers'!S590,3)</x:f>
        <x:v>-12.559</x:v>
      </x:c>
      <x:c r="AQ590" s="64" t="n">
        <x:f>-ROUND(AK590*'Drivers'!T590,3)</x:f>
        <x:v>-4.445</x:v>
      </x:c>
      <x:c r="AR590" s="64" t="n">
        <x:f>-ROUND(AK590*'Drivers'!U590,3)</x:f>
        <x:v>-5.322</x:v>
      </x:c>
      <x:c r="AS590" s="64" t="n">
        <x:f>-ROUND(AK590*'Drivers'!V590,3)</x:f>
        <x:v>-28.564</x:v>
      </x:c>
      <x:c r="AT590" s="64" t="n">
        <x:f>SUM(AO590:AS590)</x:f>
        <x:v>-548.02</x:v>
      </x:c>
      <x:c r="AU590" s="65" t="n">
        <x:f>AT590/AK590</x:f>
        <x:v>-0.5779180103473075</x:v>
      </x:c>
      <x:c r="AV590" s="64" t="n">
        <x:f>AK590+AT590</x:f>
        <x:v>400.2460000000001</x:v>
      </x:c>
      <x:c r="AW590" s="65" t="n">
        <x:f>AV590/AK590</x:f>
        <x:v>0.42208198965269245</x:v>
      </x:c>
      <x:c r="AX590" s="64" t="n">
        <x:f>-ROUND(AK590*'Drivers'!W590,3)</x:f>
        <x:v>-12.642</x:v>
      </x:c>
      <x:c r="AY590" s="64" t="n">
        <x:f>-ROUND(AK590*'Drivers'!X590,3)</x:f>
        <x:v>-23.549</x:v>
      </x:c>
      <x:c r="AZ590" s="64" t="n">
        <x:f>-ROUND(AK590*'Drivers'!Y590,3)</x:f>
        <x:v>-16.735</x:v>
      </x:c>
      <x:c r="BA590" s="64" t="n">
        <x:f>-ROUND(AK590*'Drivers'!Z590,3)</x:f>
        <x:v>-5.134</x:v>
      </x:c>
      <x:c r="BB590" s="64" t="n">
        <x:f>-ROUND(AK590*'Drivers'!AA590,3)</x:f>
        <x:v>-5.932</x:v>
      </x:c>
      <x:c r="BC590" s="64" t="n">
        <x:f>SUM(BA590,BB590)</x:f>
        <x:v>-11.066</x:v>
      </x:c>
      <x:c r="BD590" s="64" t="n">
        <x:f>-ROUND(AK590*'Drivers'!AB590,3)</x:f>
        <x:v>-6.071</x:v>
      </x:c>
      <x:c r="BE590" s="64" t="n">
        <x:f>SUM(AX590:BB590,BD590)</x:f>
        <x:v>-70.063</x:v>
      </x:c>
      <x:c r="BF590" s="67" t="n">
        <x:f>'Drivers'!AF590</x:f>
        <x:v>5</x:v>
      </x:c>
      <x:c r="BG590" s="64" t="n">
        <x:f>BJ590</x:f>
        <x:v>-17.299</x:v>
      </x:c>
      <x:c r="BH590" s="64" t="n">
        <x:f>BE590/BF590</x:f>
        <x:v>-14.0126</x:v>
      </x:c>
      <x:c r="BI590" s="68" t="n">
        <x:f>BF590/L590</x:f>
        <x:v>1.6666666666666667</x:v>
      </x:c>
      <x:c r="BJ590" s="64" t="n">
        <x:f>-ROUND(AK590*'Drivers'!AC590,3)</x:f>
        <x:v>-17.299</x:v>
      </x:c>
      <x:c r="BK590" s="64" t="n">
        <x:f>-ROUND(AK590*'Drivers'!AD590,3)</x:f>
        <x:v>-107.351</x:v>
      </x:c>
      <x:c r="BL590" s="64" t="n">
        <x:f>SUM(AV590,BE590,BJ590,BK590)</x:f>
        <x:v>205.53300000000013</x:v>
      </x:c>
      <x:c r="BM590" s="65" t="n">
        <x:f>BL590/AK590</x:f>
        <x:v>0.21674614506899975</x:v>
      </x:c>
      <x:c r="BN590" s="64" t="n">
        <x:f>-ROUND(AK590*'Drivers'!AE590,3)</x:f>
        <x:v>-61.409</x:v>
      </x:c>
      <x:c r="BO590" s="64" t="n">
        <x:f>BL590+BN590</x:f>
        <x:v>144.12400000000014</x:v>
      </x:c>
      <x:c r="BP590" s="65" t="n">
        <x:f>BO590/AK590</x:f>
        <x:v>0.15198688975456268</x:v>
      </x:c>
    </x:row>
    <x:row r="591">
      <x:c r="A591" s="61" t="n">
        <x:v>2025</x:v>
      </x:c>
      <x:c r="B591" s="18" t="str">
        <x:v>S2</x:v>
      </x:c>
      <x:c r="C591" s="18" t="str">
        <x:v>2025 S2</x:v>
      </x:c>
      <x:c r="D591" s="18" t="str">
        <x:v>CNCT0148</x:v>
      </x:c>
      <x:c r="E591" s="18" t="str">
        <x:v>郑州国贸360</x:v>
      </x:c>
      <x:c r="F591" s="18" t="str">
        <x:v>郑州</x:v>
      </x:c>
      <x:c r="G591" s="18" t="str">
        <x:v>河南省</x:v>
      </x:c>
      <x:c r="H591" s="18" t="str">
        <x:v>北区</x:v>
      </x:c>
      <x:c r="I591" s="18" t="str">
        <x:v>Shopping Mall</x:v>
      </x:c>
      <x:c r="J591" s="18" t="str">
        <x:v>Core Shopping Center</x:v>
      </x:c>
      <x:c r="K591" s="18" t="str">
        <x:v>正常</x:v>
      </x:c>
      <x:c r="L591" s="62" t="n">
        <x:v>3</x:v>
      </x:c>
      <x:c r="M591" s="62" t="n">
        <x:v>33</x:v>
      </x:c>
      <x:c r="N591" s="63" t="n">
        <x:f>'Drivers'!C591</x:f>
        <x:v>1315</x:v>
      </x:c>
      <x:c r="O591" s="63" t="n">
        <x:f>'Drivers'!D591</x:f>
        <x:v>1147.205</x:v>
      </x:c>
      <x:c r="P591" s="64" t="n">
        <x:f>ROUND(N591*O591/1000,3)</x:f>
        <x:v>1508.575</x:v>
      </x:c>
      <x:c r="Q591" s="64" t="n">
        <x:f>ROUND(P591*'Drivers'!E591,3)</x:f>
        <x:v>1475.973</x:v>
      </x:c>
      <x:c r="R591" s="64" t="n">
        <x:f>-ROUND(Q591*'Drivers'!F591,3)</x:f>
        <x:v>-282.316</x:v>
      </x:c>
      <x:c r="S591" s="65" t="n">
        <x:f>R591/Q591</x:f>
        <x:v>-0.19127450163383747</x:v>
      </x:c>
      <x:c r="T591" s="64" t="n">
        <x:f>-ROUND(Q591*'Drivers'!G591,3)</x:f>
        <x:v>-14.955</x:v>
      </x:c>
      <x:c r="U591" s="65" t="n">
        <x:f>T591/Q591</x:f>
        <x:v>-0.010132299168074213</x:v>
      </x:c>
      <x:c r="V591" s="64" t="n">
        <x:f>-ROUND(Q591*'Drivers'!H591,3)</x:f>
        <x:v>-12.919</x:v>
      </x:c>
      <x:c r="W591" s="64" t="n">
        <x:f>-ROUND(Q591*'Drivers'!I591,3)</x:f>
        <x:v>-12.678</x:v>
      </x:c>
      <x:c r="X591" s="64" t="n">
        <x:f>-ROUND(Q591*'Drivers'!J591,3)</x:f>
        <x:v>-19.625</x:v>
      </x:c>
      <x:c r="Y591" s="64" t="n">
        <x:f>-ROUND(Q591*'Drivers'!K591,3)</x:f>
        <x:v>-13.67</x:v>
      </x:c>
      <x:c r="Z591" s="64" t="n">
        <x:f>-ROUND(Q591*'Drivers'!L591,3)</x:f>
        <x:v>-12.274</x:v>
      </x:c>
      <x:c r="AA591" s="64" t="n">
        <x:f>-ROUND(Q591*'Drivers'!M591,3)</x:f>
        <x:v>-12.029</x:v>
      </x:c>
      <x:c r="AB591" s="64" t="n">
        <x:f>-ROUND(Q591*'Drivers'!N591,3)</x:f>
        <x:v>-11.216</x:v>
      </x:c>
      <x:c r="AC591" s="64" t="n">
        <x:f>SUM(V591:AB591)</x:f>
        <x:v>-94.41099999999999</x:v>
      </x:c>
      <x:c r="AD591" s="65" t="n">
        <x:f>AC591/Q591</x:f>
        <x:v>-0.06396526223718184</x:v>
      </x:c>
      <x:c r="AE591" s="64" t="n">
        <x:f>-ROUND(Q591*'Drivers'!O591,3)</x:f>
        <x:v>-21.75</x:v>
      </x:c>
      <x:c r="AF591" s="65" t="n">
        <x:f>AE591/Q591</x:f>
        <x:v>-0.014736041919466007</x:v>
      </x:c>
      <x:c r="AG591" s="64" t="n">
        <x:f>-ROUND(Q591*'Drivers'!P591,3)</x:f>
        <x:v>-3.434</x:v>
      </x:c>
      <x:c r="AH591" s="64" t="n">
        <x:f>-ROUND(Q591*'Drivers'!Q591,3)</x:f>
        <x:v>-2.806</x:v>
      </x:c>
      <x:c r="AI591" s="64" t="n">
        <x:f>SUM(R591,T591,AC591,AE591,AG591,AH591)</x:f>
        <x:v>-419.67199999999997</x:v>
      </x:c>
      <x:c r="AJ591" s="65" t="n">
        <x:f>AI591/Q591</x:f>
        <x:v>-0.2843358245713167</x:v>
      </x:c>
      <x:c r="AK591" s="64" t="n">
        <x:f>Q591+AI591</x:f>
        <x:v>1056.301</x:v>
      </x:c>
      <x:c r="AL591" s="65" t="n">
        <x:f>AK591/Q591</x:f>
        <x:v>0.7156641754286833</x:v>
      </x:c>
      <x:c r="AM591" s="64" t="n">
        <x:f>AK591/L591</x:f>
        <x:v>352.1003333333333</x:v>
      </x:c>
      <x:c r="AN591" s="66" t="str">
        <x:f>IF(AM591&lt;=200,"≤200K",IF(AM591&lt;=350,"200–350K",IF(AM591&lt;=500,"350–500K",IF(AM591&lt;=700,"500–700K","&gt;700K"))))</x:f>
        <x:v>350–500K</x:v>
      </x:c>
      <x:c r="AO591" s="64" t="n">
        <x:f>-ROUND(Q591*'Drivers'!R591,3)</x:f>
        <x:v>-539.758</x:v>
      </x:c>
      <x:c r="AP591" s="64" t="n">
        <x:f>-ROUND(AK591*'Drivers'!S591,3)</x:f>
        <x:v>-13.99</x:v>
      </x:c>
      <x:c r="AQ591" s="64" t="n">
        <x:f>-ROUND(AK591*'Drivers'!T591,3)</x:f>
        <x:v>-4.951</x:v>
      </x:c>
      <x:c r="AR591" s="64" t="n">
        <x:f>-ROUND(AK591*'Drivers'!U591,3)</x:f>
        <x:v>-5.928</x:v>
      </x:c>
      <x:c r="AS591" s="64" t="n">
        <x:f>-ROUND(AK591*'Drivers'!V591,3)</x:f>
        <x:v>-31.818</x:v>
      </x:c>
      <x:c r="AT591" s="64" t="n">
        <x:f>SUM(AO591:AS591)</x:f>
        <x:v>-596.445</x:v>
      </x:c>
      <x:c r="AU591" s="65" t="n">
        <x:f>AT591/AK591</x:f>
        <x:v>-0.5646543930186567</x:v>
      </x:c>
      <x:c r="AV591" s="64" t="n">
        <x:f>AK591+AT591</x:f>
        <x:v>459.8559999999999</x:v>
      </x:c>
      <x:c r="AW591" s="65" t="n">
        <x:f>AV591/AK591</x:f>
        <x:v>0.4353456069813433</x:v>
      </x:c>
      <x:c r="AX591" s="64" t="n">
        <x:f>-ROUND(AK591*'Drivers'!W591,3)</x:f>
        <x:v>-14.082</x:v>
      </x:c>
      <x:c r="AY591" s="64" t="n">
        <x:f>-ROUND(AK591*'Drivers'!X591,3)</x:f>
        <x:v>-26.232</x:v>
      </x:c>
      <x:c r="AZ591" s="64" t="n">
        <x:f>-ROUND(AK591*'Drivers'!Y591,3)</x:f>
        <x:v>-18.642</x:v>
      </x:c>
      <x:c r="BA591" s="64" t="n">
        <x:f>-ROUND(AK591*'Drivers'!Z591,3)</x:f>
        <x:v>-5.719</x:v>
      </x:c>
      <x:c r="BB591" s="64" t="n">
        <x:f>-ROUND(AK591*'Drivers'!AA591,3)</x:f>
        <x:v>-6.608</x:v>
      </x:c>
      <x:c r="BC591" s="64" t="n">
        <x:f>SUM(BA591,BB591)</x:f>
        <x:v>-12.327</x:v>
      </x:c>
      <x:c r="BD591" s="64" t="n">
        <x:f>-ROUND(AK591*'Drivers'!AB591,3)</x:f>
        <x:v>-6.762</x:v>
      </x:c>
      <x:c r="BE591" s="64" t="n">
        <x:f>SUM(AX591:BB591,BD591)</x:f>
        <x:v>-78.045</x:v>
      </x:c>
      <x:c r="BF591" s="67" t="n">
        <x:f>'Drivers'!AF591</x:f>
        <x:v>5</x:v>
      </x:c>
      <x:c r="BG591" s="64" t="n">
        <x:f>BJ591</x:f>
        <x:v>-19.27</x:v>
      </x:c>
      <x:c r="BH591" s="64" t="n">
        <x:f>BE591/BF591</x:f>
        <x:v>-15.609</x:v>
      </x:c>
      <x:c r="BI591" s="68" t="n">
        <x:f>BF591/L591</x:f>
        <x:v>1.6666666666666667</x:v>
      </x:c>
      <x:c r="BJ591" s="64" t="n">
        <x:f>-ROUND(AK591*'Drivers'!AC591,3)</x:f>
        <x:v>-19.27</x:v>
      </x:c>
      <x:c r="BK591" s="64" t="n">
        <x:f>-ROUND(AK591*'Drivers'!AD591,3)</x:f>
        <x:v>-119.581</x:v>
      </x:c>
      <x:c r="BL591" s="64" t="n">
        <x:f>SUM(AV591,BE591,BJ591,BK591)</x:f>
        <x:v>242.95999999999987</x:v>
      </x:c>
      <x:c r="BM591" s="65" t="n">
        <x:f>BL591/AK591</x:f>
        <x:v>0.23001019595740219</x:v>
      </x:c>
      <x:c r="BN591" s="64" t="n">
        <x:f>-ROUND(AK591*'Drivers'!AE591,3)</x:f>
        <x:v>-68.405</x:v>
      </x:c>
      <x:c r="BO591" s="64" t="n">
        <x:f>BL591+BN591</x:f>
        <x:v>174.55499999999986</x:v>
      </x:c>
      <x:c r="BP591" s="65" t="n">
        <x:f>BO591/AK591</x:f>
        <x:v>0.16525119260513801</x:v>
      </x:c>
    </x:row>
    <x:row r="592">
      <x:c r="A592" s="61" t="n">
        <x:v>2026</x:v>
      </x:c>
      <x:c r="B592" s="18" t="str">
        <x:v>S1</x:v>
      </x:c>
      <x:c r="C592" s="18" t="str">
        <x:v>2026 S1</x:v>
      </x:c>
      <x:c r="D592" s="18" t="str">
        <x:v>CNCT0148</x:v>
      </x:c>
      <x:c r="E592" s="18" t="str">
        <x:v>郑州国贸360</x:v>
      </x:c>
      <x:c r="F592" s="18" t="str">
        <x:v>郑州</x:v>
      </x:c>
      <x:c r="G592" s="18" t="str">
        <x:v>河南省</x:v>
      </x:c>
      <x:c r="H592" s="18" t="str">
        <x:v>北区</x:v>
      </x:c>
      <x:c r="I592" s="18" t="str">
        <x:v>Shopping Mall</x:v>
      </x:c>
      <x:c r="J592" s="18" t="str">
        <x:v>Core Shopping Center</x:v>
      </x:c>
      <x:c r="K592" s="18" t="str">
        <x:v>正常</x:v>
      </x:c>
      <x:c r="L592" s="62" t="n">
        <x:v>3</x:v>
      </x:c>
      <x:c r="M592" s="62" t="n">
        <x:v>33</x:v>
      </x:c>
      <x:c r="N592" s="63" t="n">
        <x:f>'Drivers'!C592</x:f>
        <x:v>1216</x:v>
      </x:c>
      <x:c r="O592" s="63" t="n">
        <x:f>'Drivers'!D592</x:f>
        <x:v>1188.745</x:v>
      </x:c>
      <x:c r="P592" s="64" t="n">
        <x:f>ROUND(N592*O592/1000,3)</x:f>
        <x:v>1445.514</x:v>
      </x:c>
      <x:c r="Q592" s="64" t="n">
        <x:f>ROUND(P592*'Drivers'!E592,3)</x:f>
        <x:v>1396.282</x:v>
      </x:c>
      <x:c r="R592" s="64" t="n">
        <x:f>-ROUND(Q592*'Drivers'!F592,3)</x:f>
        <x:v>-264.735</x:v>
      </x:c>
      <x:c r="S592" s="65" t="n">
        <x:f>R592/Q592</x:f>
        <x:v>-0.18959995187218628</x:v>
      </x:c>
      <x:c r="T592" s="64" t="n">
        <x:f>-ROUND(Q592*'Drivers'!G592,3)</x:f>
        <x:v>-11.575</x:v>
      </x:c>
      <x:c r="U592" s="65" t="n">
        <x:f>T592/Q592</x:f>
        <x:v>-0.008289872676149947</x:v>
      </x:c>
      <x:c r="V592" s="64" t="n">
        <x:f>-ROUND(Q592*'Drivers'!H592,3)</x:f>
        <x:v>-12.221</x:v>
      </x:c>
      <x:c r="W592" s="64" t="n">
        <x:f>-ROUND(Q592*'Drivers'!I592,3)</x:f>
        <x:v>-11.993</x:v>
      </x:c>
      <x:c r="X592" s="64" t="n">
        <x:f>-ROUND(Q592*'Drivers'!J592,3)</x:f>
        <x:v>-18.565</x:v>
      </x:c>
      <x:c r="Y592" s="64" t="n">
        <x:f>-ROUND(Q592*'Drivers'!K592,3)</x:f>
        <x:v>-12.932</x:v>
      </x:c>
      <x:c r="Z592" s="64" t="n">
        <x:f>-ROUND(Q592*'Drivers'!L592,3)</x:f>
        <x:v>-11.612</x:v>
      </x:c>
      <x:c r="AA592" s="64" t="n">
        <x:f>-ROUND(Q592*'Drivers'!M592,3)</x:f>
        <x:v>-11.38</x:v>
      </x:c>
      <x:c r="AB592" s="64" t="n">
        <x:f>-ROUND(Q592*'Drivers'!N592,3)</x:f>
        <x:v>-10.61</x:v>
      </x:c>
      <x:c r="AC592" s="64" t="n">
        <x:f>SUM(V592:AB592)</x:f>
        <x:v>-89.31299999999999</x:v>
      </x:c>
      <x:c r="AD592" s="65" t="n">
        <x:f>AC592/Q592</x:f>
        <x:v>-0.06396487242548425</x:v>
      </x:c>
      <x:c r="AE592" s="64" t="n">
        <x:f>-ROUND(Q592*'Drivers'!O592,3)</x:f>
        <x:v>-19.952</x:v>
      </x:c>
      <x:c r="AF592" s="65" t="n">
        <x:f>AE592/Q592</x:f>
        <x:v>-0.01428937707425864</x:v>
      </x:c>
      <x:c r="AG592" s="64" t="n">
        <x:f>-ROUND(Q592*'Drivers'!P592,3)</x:f>
        <x:v>-3.249</x:v>
      </x:c>
      <x:c r="AH592" s="64" t="n">
        <x:f>-ROUND(Q592*'Drivers'!Q592,3)</x:f>
        <x:v>-2.655</x:v>
      </x:c>
      <x:c r="AI592" s="64" t="n">
        <x:f>SUM(R592,T592,AC592,AE592,AG592,AH592)</x:f>
        <x:v>-391.479</x:v>
      </x:c>
      <x:c r="AJ592" s="65" t="n">
        <x:f>AI592/Q592</x:f>
        <x:v>-0.28037244625369373</x:v>
      </x:c>
      <x:c r="AK592" s="64" t="n">
        <x:f>Q592+AI592</x:f>
        <x:v>1004.8029999999999</x:v>
      </x:c>
      <x:c r="AL592" s="65" t="n">
        <x:f>AK592/Q592</x:f>
        <x:v>0.7196275537463063</x:v>
      </x:c>
      <x:c r="AM592" s="64" t="n">
        <x:f>AK592/L592</x:f>
        <x:v>334.9343333333333</x:v>
      </x:c>
      <x:c r="AN592" s="66" t="str">
        <x:f>IF(AM592&lt;=200,"≤200K",IF(AM592&lt;=350,"200–350K",IF(AM592&lt;=500,"350–500K",IF(AM592&lt;=700,"500–700K","&gt;700K"))))</x:f>
        <x:v>200–350K</x:v>
      </x:c>
      <x:c r="AO592" s="64" t="n">
        <x:f>-ROUND(Q592*'Drivers'!R592,3)</x:f>
        <x:v>-530.186</x:v>
      </x:c>
      <x:c r="AP592" s="64" t="n">
        <x:f>-ROUND(AK592*'Drivers'!S592,3)</x:f>
        <x:v>-13.308</x:v>
      </x:c>
      <x:c r="AQ592" s="64" t="n">
        <x:f>-ROUND(AK592*'Drivers'!T592,3)</x:f>
        <x:v>-4.71</x:v>
      </x:c>
      <x:c r="AR592" s="64" t="n">
        <x:f>-ROUND(AK592*'Drivers'!U592,3)</x:f>
        <x:v>-5.639</x:v>
      </x:c>
      <x:c r="AS592" s="64" t="n">
        <x:f>-ROUND(AK592*'Drivers'!V592,3)</x:f>
        <x:v>-30.267</x:v>
      </x:c>
      <x:c r="AT592" s="64" t="n">
        <x:f>SUM(AO592:AS592)</x:f>
        <x:v>-584.1100000000001</x:v>
      </x:c>
      <x:c r="AU592" s="65" t="n">
        <x:f>AT592/AK592</x:f>
        <x:v>-0.5813179299822953</x:v>
      </x:c>
      <x:c r="AV592" s="64" t="n">
        <x:f>AK592+AT592</x:f>
        <x:v>420.69299999999976</x:v>
      </x:c>
      <x:c r="AW592" s="65" t="n">
        <x:f>AV592/AK592</x:f>
        <x:v>0.41868207001770474</x:v>
      </x:c>
      <x:c r="AX592" s="64" t="n">
        <x:f>-ROUND(AK592*'Drivers'!W592,3)</x:f>
        <x:v>-16.482</x:v>
      </x:c>
      <x:c r="AY592" s="64" t="n">
        <x:f>-ROUND(AK592*'Drivers'!X592,3)</x:f>
        <x:v>-30.703</x:v>
      </x:c>
      <x:c r="AZ592" s="64" t="n">
        <x:f>-ROUND(AK592*'Drivers'!Y592,3)</x:f>
        <x:v>-21.819</x:v>
      </x:c>
      <x:c r="BA592" s="64" t="n">
        <x:f>-ROUND(AK592*'Drivers'!Z592,3)</x:f>
        <x:v>-6.694</x:v>
      </x:c>
      <x:c r="BB592" s="64" t="n">
        <x:f>-ROUND(AK592*'Drivers'!AA592,3)</x:f>
        <x:v>-7.734</x:v>
      </x:c>
      <x:c r="BC592" s="64" t="n">
        <x:f>SUM(BA592,BB592)</x:f>
        <x:v>-14.428</x:v>
      </x:c>
      <x:c r="BD592" s="64" t="n">
        <x:f>-ROUND(AK592*'Drivers'!AB592,3)</x:f>
        <x:v>-7.915</x:v>
      </x:c>
      <x:c r="BE592" s="64" t="n">
        <x:f>SUM(AX592:BB592,BD592)</x:f>
        <x:v>-91.34700000000001</x:v>
      </x:c>
      <x:c r="BF592" s="67" t="n">
        <x:f>'Drivers'!AF592</x:f>
        <x:v>5</x:v>
      </x:c>
      <x:c r="BG592" s="64" t="n">
        <x:f>BJ592</x:f>
        <x:v>-22.554</x:v>
      </x:c>
      <x:c r="BH592" s="64" t="n">
        <x:f>BE592/BF592</x:f>
        <x:v>-18.2694</x:v>
      </x:c>
      <x:c r="BI592" s="68" t="n">
        <x:f>BF592/L592</x:f>
        <x:v>1.6666666666666667</x:v>
      </x:c>
      <x:c r="BJ592" s="64" t="n">
        <x:f>-ROUND(AK592*'Drivers'!AC592,3)</x:f>
        <x:v>-22.554</x:v>
      </x:c>
      <x:c r="BK592" s="64" t="n">
        <x:f>-ROUND(AK592*'Drivers'!AD592,3)</x:f>
        <x:v>-113.752</x:v>
      </x:c>
      <x:c r="BL592" s="64" t="n">
        <x:f>SUM(AV592,BE592,BJ592,BK592)</x:f>
        <x:v>193.0399999999998</x:v>
      </x:c>
      <x:c r="BM592" s="65" t="n">
        <x:f>BL592/AK592</x:f>
        <x:v>0.19211726079639474</x:v>
      </x:c>
      <x:c r="BN592" s="64" t="n">
        <x:f>-ROUND(AK592*'Drivers'!AE592,3)</x:f>
        <x:v>-65.07</x:v>
      </x:c>
      <x:c r="BO592" s="64" t="n">
        <x:f>BL592+BN592</x:f>
        <x:v>127.9699999999998</x:v>
      </x:c>
      <x:c r="BP592" s="65" t="n">
        <x:f>BO592/AK592</x:f>
        <x:v>0.12735829809425311</x:v>
      </x:c>
    </x:row>
    <x:row r="593">
      <x:c r="A593" s="61" t="n">
        <x:v>2026</x:v>
      </x:c>
      <x:c r="B593" s="18" t="str">
        <x:v>S2</x:v>
      </x:c>
      <x:c r="C593" s="18" t="str">
        <x:v>2026 S2</x:v>
      </x:c>
      <x:c r="D593" s="18" t="str">
        <x:v>CNCT0148</x:v>
      </x:c>
      <x:c r="E593" s="18" t="str">
        <x:v>郑州国贸360</x:v>
      </x:c>
      <x:c r="F593" s="18" t="str">
        <x:v>郑州</x:v>
      </x:c>
      <x:c r="G593" s="18" t="str">
        <x:v>河南省</x:v>
      </x:c>
      <x:c r="H593" s="18" t="str">
        <x:v>北区</x:v>
      </x:c>
      <x:c r="I593" s="18" t="str">
        <x:v>Shopping Mall</x:v>
      </x:c>
      <x:c r="J593" s="18" t="str">
        <x:v>Core Shopping Center</x:v>
      </x:c>
      <x:c r="K593" s="18" t="str">
        <x:v>正常</x:v>
      </x:c>
      <x:c r="L593" s="62" t="n">
        <x:v>3</x:v>
      </x:c>
      <x:c r="M593" s="62" t="n">
        <x:v>31</x:v>
      </x:c>
      <x:c r="N593" s="63" t="n">
        <x:f>'Drivers'!C593</x:f>
        <x:v>1351</x:v>
      </x:c>
      <x:c r="O593" s="63" t="n">
        <x:f>'Drivers'!D593</x:f>
        <x:v>1174.412</x:v>
      </x:c>
      <x:c r="P593" s="64" t="n">
        <x:f>ROUND(N593*O593/1000,3)</x:f>
        <x:v>1586.631</x:v>
      </x:c>
      <x:c r="Q593" s="64" t="n">
        <x:f>ROUND(P593*'Drivers'!E593,3)</x:f>
        <x:v>1552.342</x:v>
      </x:c>
      <x:c r="R593" s="64" t="n">
        <x:f>-ROUND(Q593*'Drivers'!F593,3)</x:f>
        <x:v>-300.109</x:v>
      </x:c>
      <x:c r="S593" s="65" t="n">
        <x:f>R593/Q593</x:f>
        <x:v>-0.19332659942203456</x:v>
      </x:c>
      <x:c r="T593" s="64" t="n">
        <x:f>-ROUND(Q593*'Drivers'!G593,3)</x:f>
        <x:v>-15.747</x:v>
      </x:c>
      <x:c r="U593" s="65" t="n">
        <x:f>T593/Q593</x:f>
        <x:v>-0.010144027540322944</x:v>
      </x:c>
      <x:c r="V593" s="64" t="n">
        <x:f>-ROUND(Q593*'Drivers'!H593,3)</x:f>
        <x:v>-13.587</x:v>
      </x:c>
      <x:c r="W593" s="64" t="n">
        <x:f>-ROUND(Q593*'Drivers'!I593,3)</x:f>
        <x:v>-13.334</x:v>
      </x:c>
      <x:c r="X593" s="64" t="n">
        <x:f>-ROUND(Q593*'Drivers'!J593,3)</x:f>
        <x:v>-20.64</x:v>
      </x:c>
      <x:c r="Y593" s="64" t="n">
        <x:f>-ROUND(Q593*'Drivers'!K593,3)</x:f>
        <x:v>-14.377</x:v>
      </x:c>
      <x:c r="Z593" s="64" t="n">
        <x:f>-ROUND(Q593*'Drivers'!L593,3)</x:f>
        <x:v>-12.909</x:v>
      </x:c>
      <x:c r="AA593" s="64" t="n">
        <x:f>-ROUND(Q593*'Drivers'!M593,3)</x:f>
        <x:v>-12.651</x:v>
      </x:c>
      <x:c r="AB593" s="64" t="n">
        <x:f>-ROUND(Q593*'Drivers'!N593,3)</x:f>
        <x:v>-11.796</x:v>
      </x:c>
      <x:c r="AC593" s="64" t="n">
        <x:f>SUM(V593:AB593)</x:f>
        <x:v>-99.29400000000001</x:v>
      </x:c>
      <x:c r="AD593" s="65" t="n">
        <x:f>AC593/Q593</x:f>
        <x:v>-0.06396399762423487</x:v>
      </x:c>
      <x:c r="AE593" s="64" t="n">
        <x:f>-ROUND(Q593*'Drivers'!O593,3)</x:f>
        <x:v>-22.876</x:v>
      </x:c>
      <x:c r="AF593" s="65" t="n">
        <x:f>AE593/Q593</x:f>
        <x:v>-0.014736443386830994</x:v>
      </x:c>
      <x:c r="AG593" s="64" t="n">
        <x:f>-ROUND(Q593*'Drivers'!P593,3)</x:f>
        <x:v>-3.612</x:v>
      </x:c>
      <x:c r="AH593" s="64" t="n">
        <x:f>-ROUND(Q593*'Drivers'!Q593,3)</x:f>
        <x:v>-2.952</x:v>
      </x:c>
      <x:c r="AI593" s="64" t="n">
        <x:f>SUM(R593,T593,AC593,AE593,AG593,AH593)</x:f>
        <x:v>-444.59</x:v>
      </x:c>
      <x:c r="AJ593" s="65" t="n">
        <x:f>AI593/Q593</x:f>
        <x:v>-0.28639951763206817</x:v>
      </x:c>
      <x:c r="AK593" s="64" t="n">
        <x:f>Q593+AI593</x:f>
        <x:v>1107.7520000000002</x:v>
      </x:c>
      <x:c r="AL593" s="65" t="n">
        <x:f>AK593/Q593</x:f>
        <x:v>0.7136004823679318</x:v>
      </x:c>
      <x:c r="AM593" s="64" t="n">
        <x:f>AK593/L593</x:f>
        <x:v>369.25066666666675</x:v>
      </x:c>
      <x:c r="AN593" s="66" t="str">
        <x:f>IF(AM593&lt;=200,"≤200K",IF(AM593&lt;=350,"200–350K",IF(AM593&lt;=500,"350–500K",IF(AM593&lt;=700,"500–700K","&gt;700K"))))</x:f>
        <x:v>350–500K</x:v>
      </x:c>
      <x:c r="AO593" s="64" t="n">
        <x:f>-ROUND(Q593*'Drivers'!R593,3)</x:f>
        <x:v>-553.95</x:v>
      </x:c>
      <x:c r="AP593" s="64" t="n">
        <x:f>-ROUND(AK593*'Drivers'!S593,3)</x:f>
        <x:v>-14.672</x:v>
      </x:c>
      <x:c r="AQ593" s="64" t="n">
        <x:f>-ROUND(AK593*'Drivers'!T593,3)</x:f>
        <x:v>-5.192</x:v>
      </x:c>
      <x:c r="AR593" s="64" t="n">
        <x:f>-ROUND(AK593*'Drivers'!U593,3)</x:f>
        <x:v>-6.217</x:v>
      </x:c>
      <x:c r="AS593" s="64" t="n">
        <x:f>-ROUND(AK593*'Drivers'!V593,3)</x:f>
        <x:v>-33.368</x:v>
      </x:c>
      <x:c r="AT593" s="64" t="n">
        <x:f>SUM(AO593:AS593)</x:f>
        <x:v>-613.3990000000001</x:v>
      </x:c>
      <x:c r="AU593" s="65" t="n">
        <x:f>AT593/AK593</x:f>
        <x:v>-0.5537331460471296</x:v>
      </x:c>
      <x:c r="AV593" s="64" t="n">
        <x:f>AK593+AT593</x:f>
        <x:v>494.35300000000007</x:v>
      </x:c>
      <x:c r="AW593" s="65" t="n">
        <x:f>AV593/AK593</x:f>
        <x:v>0.4462668539528703</x:v>
      </x:c>
      <x:c r="AX593" s="64" t="n">
        <x:f>-ROUND(AK593*'Drivers'!W593,3)</x:f>
        <x:v>-15.654</x:v>
      </x:c>
      <x:c r="AY593" s="64" t="n">
        <x:f>-ROUND(AK593*'Drivers'!X593,3)</x:f>
        <x:v>-29.16</x:v>
      </x:c>
      <x:c r="AZ593" s="64" t="n">
        <x:f>-ROUND(AK593*'Drivers'!Y593,3)</x:f>
        <x:v>-20.723</x:v>
      </x:c>
      <x:c r="BA593" s="64" t="n">
        <x:f>-ROUND(AK593*'Drivers'!Z593,3)</x:f>
        <x:v>-6.357</x:v>
      </x:c>
      <x:c r="BB593" s="64" t="n">
        <x:f>-ROUND(AK593*'Drivers'!AA593,3)</x:f>
        <x:v>-7.345</x:v>
      </x:c>
      <x:c r="BC593" s="64" t="n">
        <x:f>SUM(BA593,BB593)</x:f>
        <x:v>-13.702</x:v>
      </x:c>
      <x:c r="BD593" s="64" t="n">
        <x:f>-ROUND(AK593*'Drivers'!AB593,3)</x:f>
        <x:v>-7.517</x:v>
      </x:c>
      <x:c r="BE593" s="64" t="n">
        <x:f>SUM(AX593:BB593,BD593)</x:f>
        <x:v>-86.756</x:v>
      </x:c>
      <x:c r="BF593" s="67" t="n">
        <x:f>'Drivers'!AF593</x:f>
        <x:v>5</x:v>
      </x:c>
      <x:c r="BG593" s="64" t="n">
        <x:f>BJ593</x:f>
        <x:v>-21.421</x:v>
      </x:c>
      <x:c r="BH593" s="64" t="n">
        <x:f>BE593/BF593</x:f>
        <x:v>-17.3512</x:v>
      </x:c>
      <x:c r="BI593" s="68" t="n">
        <x:f>BF593/L593</x:f>
        <x:v>1.6666666666666667</x:v>
      </x:c>
      <x:c r="BJ593" s="64" t="n">
        <x:f>-ROUND(AK593*'Drivers'!AC593,3)</x:f>
        <x:v>-21.421</x:v>
      </x:c>
      <x:c r="BK593" s="64" t="n">
        <x:f>-ROUND(AK593*'Drivers'!AD593,3)</x:f>
        <x:v>-125.406</x:v>
      </x:c>
      <x:c r="BL593" s="64" t="n">
        <x:f>SUM(AV593,BE593,BJ593,BK593)</x:f>
        <x:v>260.7700000000001</x:v>
      </x:c>
      <x:c r="BM593" s="65" t="n">
        <x:f>BL593/AK593</x:f>
        <x:v>0.2354046754147138</x:v>
      </x:c>
      <x:c r="BN593" s="64" t="n">
        <x:f>-ROUND(AK593*'Drivers'!AE593,3)</x:f>
        <x:v>-71.737</x:v>
      </x:c>
      <x:c r="BO593" s="64" t="n">
        <x:f>BL593+BN593</x:f>
        <x:v>189.0330000000001</x:v>
      </x:c>
      <x:c r="BP593" s="65" t="n">
        <x:f>BO593/AK593</x:f>
        <x:v>0.17064559576511718</x:v>
      </x:c>
    </x:row>
    <x:row r="594">
      <x:c r="A594" s="61" t="n">
        <x:v>2025</x:v>
      </x:c>
      <x:c r="B594" s="18" t="str">
        <x:v>S1</x:v>
      </x:c>
      <x:c r="C594" s="18" t="str">
        <x:v>2025 S1</x:v>
      </x:c>
      <x:c r="D594" s="18" t="str">
        <x:v>CNCT0149</x:v>
      </x:c>
      <x:c r="E594" s="18" t="str">
        <x:v>郑州熙地港</x:v>
      </x:c>
      <x:c r="F594" s="18" t="str">
        <x:v>郑州</x:v>
      </x:c>
      <x:c r="G594" s="18" t="str">
        <x:v>河南省</x:v>
      </x:c>
      <x:c r="H594" s="18" t="str">
        <x:v>北区</x:v>
      </x:c>
      <x:c r="I594" s="18" t="str">
        <x:v>Shopping Mall</x:v>
      </x:c>
      <x:c r="J594" s="18" t="str">
        <x:v>Core Shopping Center</x:v>
      </x:c>
      <x:c r="K594" s="18" t="str">
        <x:v>正常</x:v>
      </x:c>
      <x:c r="L594" s="62" t="n">
        <x:v>4</x:v>
      </x:c>
      <x:c r="M594" s="62" t="n">
        <x:v>33</x:v>
      </x:c>
      <x:c r="N594" s="63" t="n">
        <x:f>'Drivers'!C594</x:f>
        <x:v>1486</x:v>
      </x:c>
      <x:c r="O594" s="63" t="n">
        <x:f>'Drivers'!D594</x:f>
        <x:v>1090.301</x:v>
      </x:c>
      <x:c r="P594" s="64" t="n">
        <x:f>ROUND(N594*O594/1000,3)</x:f>
        <x:v>1620.187</x:v>
      </x:c>
      <x:c r="Q594" s="64" t="n">
        <x:f>ROUND(P594*'Drivers'!E594,3)</x:f>
        <x:v>1581.851</x:v>
      </x:c>
      <x:c r="R594" s="64" t="n">
        <x:f>-ROUND(Q594*'Drivers'!F594,3)</x:f>
        <x:v>-267.355</x:v>
      </x:c>
      <x:c r="S594" s="65" t="n">
        <x:f>R594/Q594</x:f>
        <x:v>-0.16901402218034442</x:v>
      </x:c>
      <x:c r="T594" s="64" t="n">
        <x:f>-ROUND(Q594*'Drivers'!G594,3)</x:f>
        <x:v>-15.509</x:v>
      </x:c>
      <x:c r="U594" s="65" t="n">
        <x:f>T594/Q594</x:f>
        <x:v>-0.009804336818069463</x:v>
      </x:c>
      <x:c r="V594" s="64" t="n">
        <x:f>-ROUND(Q594*'Drivers'!H594,3)</x:f>
        <x:v>-19.565</x:v>
      </x:c>
      <x:c r="W594" s="64" t="n">
        <x:f>-ROUND(Q594*'Drivers'!I594,3)</x:f>
        <x:v>-9.963</x:v>
      </x:c>
      <x:c r="X594" s="64" t="n">
        <x:f>-ROUND(Q594*'Drivers'!J594,3)</x:f>
        <x:v>-18.803</x:v>
      </x:c>
      <x:c r="Y594" s="64" t="n">
        <x:f>-ROUND(Q594*'Drivers'!K594,3)</x:f>
        <x:v>-16.962</x:v>
      </x:c>
      <x:c r="Z594" s="64" t="n">
        <x:f>-ROUND(Q594*'Drivers'!L594,3)</x:f>
        <x:v>-14.779</x:v>
      </x:c>
      <x:c r="AA594" s="64" t="n">
        <x:f>-ROUND(Q594*'Drivers'!M594,3)</x:f>
        <x:v>-15.731</x:v>
      </x:c>
      <x:c r="AB594" s="64" t="n">
        <x:f>-ROUND(Q594*'Drivers'!N594,3)</x:f>
        <x:v>-9.494</x:v>
      </x:c>
      <x:c r="AC594" s="64" t="n">
        <x:f>SUM(V594:AB594)</x:f>
        <x:v>-105.297</x:v>
      </x:c>
      <x:c r="AD594" s="65" t="n">
        <x:f>AC594/Q594</x:f>
        <x:v>-0.06656568791877364</x:v>
      </x:c>
      <x:c r="AE594" s="64" t="n">
        <x:f>-ROUND(Q594*'Drivers'!O594,3)</x:f>
        <x:v>-20.26</x:v>
      </x:c>
      <x:c r="AF594" s="65" t="n">
        <x:f>AE594/Q594</x:f>
        <x:v>-0.012807780252375224</x:v>
      </x:c>
      <x:c r="AG594" s="64" t="n">
        <x:f>-ROUND(Q594*'Drivers'!P594,3)</x:f>
        <x:v>-3.554</x:v>
      </x:c>
      <x:c r="AH594" s="64" t="n">
        <x:f>-ROUND(Q594*'Drivers'!Q594,3)</x:f>
        <x:v>-3.818</x:v>
      </x:c>
      <x:c r="AI594" s="64" t="n">
        <x:f>SUM(R594,T594,AC594,AE594,AG594,AH594)</x:f>
        <x:v>-415.793</x:v>
      </x:c>
      <x:c r="AJ594" s="65" t="n">
        <x:f>AI594/Q594</x:f>
        <x:v>-0.2628521902505356</x:v>
      </x:c>
      <x:c r="AK594" s="64" t="n">
        <x:f>Q594+AI594</x:f>
        <x:v>1166.058</x:v>
      </x:c>
      <x:c r="AL594" s="65" t="n">
        <x:f>AK594/Q594</x:f>
        <x:v>0.7371478097494644</x:v>
      </x:c>
      <x:c r="AM594" s="64" t="n">
        <x:f>AK594/L594</x:f>
        <x:v>291.5145</x:v>
      </x:c>
      <x:c r="AN594" s="66" t="str">
        <x:f>IF(AM594&lt;=200,"≤200K",IF(AM594&lt;=350,"200–350K",IF(AM594&lt;=500,"350–500K",IF(AM594&lt;=700,"500–700K","&gt;700K"))))</x:f>
        <x:v>200–350K</x:v>
      </x:c>
      <x:c r="AO594" s="64" t="n">
        <x:f>-ROUND(Q594*'Drivers'!R594,3)</x:f>
        <x:v>-596.595</x:v>
      </x:c>
      <x:c r="AP594" s="64" t="n">
        <x:f>-ROUND(AK594*'Drivers'!S594,3)</x:f>
        <x:v>-19.074</x:v>
      </x:c>
      <x:c r="AQ594" s="64" t="n">
        <x:f>-ROUND(AK594*'Drivers'!T594,3)</x:f>
        <x:v>-4.319</x:v>
      </x:c>
      <x:c r="AR594" s="64" t="n">
        <x:f>-ROUND(AK594*'Drivers'!U594,3)</x:f>
        <x:v>-13.402</x:v>
      </x:c>
      <x:c r="AS594" s="64" t="n">
        <x:f>-ROUND(AK594*'Drivers'!V594,3)</x:f>
        <x:v>-44.14</x:v>
      </x:c>
      <x:c r="AT594" s="64" t="n">
        <x:f>SUM(AO594:AS594)</x:f>
        <x:v>-677.53</x:v>
      </x:c>
      <x:c r="AU594" s="65" t="n">
        <x:f>AT594/AK594</x:f>
        <x:v>-0.5810431385059748</x:v>
      </x:c>
      <x:c r="AV594" s="64" t="n">
        <x:f>AK594+AT594</x:f>
        <x:v>488.528</x:v>
      </x:c>
      <x:c r="AW594" s="65" t="n">
        <x:f>AV594/AK594</x:f>
        <x:v>0.41895686149402517</x:v>
      </x:c>
      <x:c r="AX594" s="64" t="n">
        <x:f>-ROUND(AK594*'Drivers'!W594,3)</x:f>
        <x:v>-15.037</x:v>
      </x:c>
      <x:c r="AY594" s="64" t="n">
        <x:f>-ROUND(AK594*'Drivers'!X594,3)</x:f>
        <x:v>-26.006</x:v>
      </x:c>
      <x:c r="AZ594" s="64" t="n">
        <x:f>-ROUND(AK594*'Drivers'!Y594,3)</x:f>
        <x:v>-21.8</x:v>
      </x:c>
      <x:c r="BA594" s="64" t="n">
        <x:f>-ROUND(AK594*'Drivers'!Z594,3)</x:f>
        <x:v>-7.521</x:v>
      </x:c>
      <x:c r="BB594" s="64" t="n">
        <x:f>-ROUND(AK594*'Drivers'!AA594,3)</x:f>
        <x:v>-8.213</x:v>
      </x:c>
      <x:c r="BC594" s="64" t="n">
        <x:f>SUM(BA594,BB594)</x:f>
        <x:v>-15.733999999999998</x:v>
      </x:c>
      <x:c r="BD594" s="64" t="n">
        <x:f>-ROUND(AK594*'Drivers'!AB594,3)</x:f>
        <x:v>-5.017</x:v>
      </x:c>
      <x:c r="BE594" s="64" t="n">
        <x:f>SUM(AX594:BB594,BD594)</x:f>
        <x:v>-83.594</x:v>
      </x:c>
      <x:c r="BF594" s="67" t="n">
        <x:f>'Drivers'!AF594</x:f>
        <x:v>7</x:v>
      </x:c>
      <x:c r="BG594" s="64" t="n">
        <x:f>BJ594</x:f>
        <x:v>-23.184</x:v>
      </x:c>
      <x:c r="BH594" s="64" t="n">
        <x:f>BE594/BF594</x:f>
        <x:v>-11.941999999999998</x:v>
      </x:c>
      <x:c r="BI594" s="68" t="n">
        <x:f>BF594/L594</x:f>
        <x:v>1.75</x:v>
      </x:c>
      <x:c r="BJ594" s="64" t="n">
        <x:f>-ROUND(AK594*'Drivers'!AC594,3)</x:f>
        <x:v>-23.184</x:v>
      </x:c>
      <x:c r="BK594" s="64" t="n">
        <x:f>-ROUND(AK594*'Drivers'!AD594,3)</x:f>
        <x:v>-120.836</x:v>
      </x:c>
      <x:c r="BL594" s="64" t="n">
        <x:f>SUM(AV594,BE594,BJ594,BK594)</x:f>
        <x:v>260.914</x:v>
      </x:c>
      <x:c r="BM594" s="65" t="n">
        <x:f>BL594/AK594</x:f>
        <x:v>0.2237573088131122</x:v>
      </x:c>
      <x:c r="BN594" s="64" t="n">
        <x:f>-ROUND(AK594*'Drivers'!AE594,3)</x:f>
        <x:v>-110.982</x:v>
      </x:c>
      <x:c r="BO594" s="64" t="n">
        <x:f>BL594+BN594</x:f>
        <x:v>149.932</x:v>
      </x:c>
      <x:c r="BP594" s="65" t="n">
        <x:f>BO594/AK594</x:f>
        <x:v>0.12858022499738433</x:v>
      </x:c>
    </x:row>
    <x:row r="595">
      <x:c r="A595" s="61" t="n">
        <x:v>2025</x:v>
      </x:c>
      <x:c r="B595" s="18" t="str">
        <x:v>S2</x:v>
      </x:c>
      <x:c r="C595" s="18" t="str">
        <x:v>2025 S2</x:v>
      </x:c>
      <x:c r="D595" s="18" t="str">
        <x:v>CNCT0149</x:v>
      </x:c>
      <x:c r="E595" s="18" t="str">
        <x:v>郑州熙地港</x:v>
      </x:c>
      <x:c r="F595" s="18" t="str">
        <x:v>郑州</x:v>
      </x:c>
      <x:c r="G595" s="18" t="str">
        <x:v>河南省</x:v>
      </x:c>
      <x:c r="H595" s="18" t="str">
        <x:v>北区</x:v>
      </x:c>
      <x:c r="I595" s="18" t="str">
        <x:v>Shopping Mall</x:v>
      </x:c>
      <x:c r="J595" s="18" t="str">
        <x:v>Core Shopping Center</x:v>
      </x:c>
      <x:c r="K595" s="18" t="str">
        <x:v>正常</x:v>
      </x:c>
      <x:c r="L595" s="62" t="n">
        <x:v>4</x:v>
      </x:c>
      <x:c r="M595" s="62" t="n">
        <x:v>33</x:v>
      </x:c>
      <x:c r="N595" s="63" t="n">
        <x:f>'Drivers'!C595</x:f>
        <x:v>1571</x:v>
      </x:c>
      <x:c r="O595" s="63" t="n">
        <x:f>'Drivers'!D595</x:f>
        <x:v>1103.385</x:v>
      </x:c>
      <x:c r="P595" s="64" t="n">
        <x:f>ROUND(N595*O595/1000,3)</x:f>
        <x:v>1733.418</x:v>
      </x:c>
      <x:c r="Q595" s="64" t="n">
        <x:f>ROUND(P595*'Drivers'!E595,3)</x:f>
        <x:v>1671.907</x:v>
      </x:c>
      <x:c r="R595" s="64" t="n">
        <x:f>-ROUND(Q595*'Drivers'!F595,3)</x:f>
        <x:v>-282.576</x:v>
      </x:c>
      <x:c r="S595" s="65" t="n">
        <x:f>R595/Q595</x:f>
        <x:v>-0.16901418559764392</x:v>
      </x:c>
      <x:c r="T595" s="64" t="n">
        <x:f>-ROUND(Q595*'Drivers'!G595,3)</x:f>
        <x:v>-16.392</x:v>
      </x:c>
      <x:c r="U595" s="65" t="n">
        <x:f>T595/Q595</x:f>
        <x:v>-0.009804373090130013</x:v>
      </x:c>
      <x:c r="V595" s="64" t="n">
        <x:f>-ROUND(Q595*'Drivers'!H595,3)</x:f>
        <x:v>-20.679</x:v>
      </x:c>
      <x:c r="W595" s="64" t="n">
        <x:f>-ROUND(Q595*'Drivers'!I595,3)</x:f>
        <x:v>-10.53</x:v>
      </x:c>
      <x:c r="X595" s="64" t="n">
        <x:f>-ROUND(Q595*'Drivers'!J595,3)</x:f>
        <x:v>-19.873</x:v>
      </x:c>
      <x:c r="Y595" s="64" t="n">
        <x:f>-ROUND(Q595*'Drivers'!K595,3)</x:f>
        <x:v>-17.927</x:v>
      </x:c>
      <x:c r="Z595" s="64" t="n">
        <x:f>-ROUND(Q595*'Drivers'!L595,3)</x:f>
        <x:v>-15.62</x:v>
      </x:c>
      <x:c r="AA595" s="64" t="n">
        <x:f>-ROUND(Q595*'Drivers'!M595,3)</x:f>
        <x:v>-16.626</x:v>
      </x:c>
      <x:c r="AB595" s="64" t="n">
        <x:f>-ROUND(Q595*'Drivers'!N595,3)</x:f>
        <x:v>-10.035</x:v>
      </x:c>
      <x:c r="AC595" s="64" t="n">
        <x:f>SUM(V595:AB595)</x:f>
        <x:v>-111.28999999999999</x:v>
      </x:c>
      <x:c r="AD595" s="65" t="n">
        <x:f>AC595/Q595</x:f>
        <x:v>-0.0665647072474725</x:v>
      </x:c>
      <x:c r="AE595" s="64" t="n">
        <x:f>-ROUND(Q595*'Drivers'!O595,3)</x:f>
        <x:v>-21.413</x:v>
      </x:c>
      <x:c r="AF595" s="65" t="n">
        <x:f>AE595/Q595</x:f>
        <x:v>-0.012807530562405686</x:v>
      </x:c>
      <x:c r="AG595" s="64" t="n">
        <x:f>-ROUND(Q595*'Drivers'!P595,3)</x:f>
        <x:v>-3.756</x:v>
      </x:c>
      <x:c r="AH595" s="64" t="n">
        <x:f>-ROUND(Q595*'Drivers'!Q595,3)</x:f>
        <x:v>-4.036</x:v>
      </x:c>
      <x:c r="AI595" s="64" t="n">
        <x:f>SUM(R595,T595,AC595,AE595,AG595,AH595)</x:f>
        <x:v>-439.463</x:v>
      </x:c>
      <x:c r="AJ595" s="65" t="n">
        <x:f>AI595/Q595</x:f>
        <x:v>-0.2628513428079433</x:v>
      </x:c>
      <x:c r="AK595" s="64" t="n">
        <x:f>Q595+AI595</x:f>
        <x:v>1232.444</x:v>
      </x:c>
      <x:c r="AL595" s="65" t="n">
        <x:f>AK595/Q595</x:f>
        <x:v>0.7371486571920567</x:v>
      </x:c>
      <x:c r="AM595" s="64" t="n">
        <x:f>AK595/L595</x:f>
        <x:v>308.111</x:v>
      </x:c>
      <x:c r="AN595" s="66" t="str">
        <x:f>IF(AM595&lt;=200,"≤200K",IF(AM595&lt;=350,"200–350K",IF(AM595&lt;=500,"350–500K",IF(AM595&lt;=700,"500–700K","&gt;700K"))))</x:f>
        <x:v>200–350K</x:v>
      </x:c>
      <x:c r="AO595" s="64" t="n">
        <x:f>-ROUND(Q595*'Drivers'!R595,3)</x:f>
        <x:v>-655.961</x:v>
      </x:c>
      <x:c r="AP595" s="64" t="n">
        <x:f>-ROUND(AK595*'Drivers'!S595,3)</x:f>
        <x:v>-20.16</x:v>
      </x:c>
      <x:c r="AQ595" s="64" t="n">
        <x:f>-ROUND(AK595*'Drivers'!T595,3)</x:f>
        <x:v>-4.565</x:v>
      </x:c>
      <x:c r="AR595" s="64" t="n">
        <x:f>-ROUND(AK595*'Drivers'!U595,3)</x:f>
        <x:v>-14.165</x:v>
      </x:c>
      <x:c r="AS595" s="64" t="n">
        <x:f>-ROUND(AK595*'Drivers'!V595,3)</x:f>
        <x:v>-46.653</x:v>
      </x:c>
      <x:c r="AT595" s="64" t="n">
        <x:f>SUM(AO595:AS595)</x:f>
        <x:v>-741.504</x:v>
      </x:c>
      <x:c r="AU595" s="65" t="n">
        <x:f>AT595/AK595</x:f>
        <x:v>-0.6016533002716554</x:v>
      </x:c>
      <x:c r="AV595" s="64" t="n">
        <x:f>AK595+AT595</x:f>
        <x:v>490.93999999999994</x:v>
      </x:c>
      <x:c r="AW595" s="65" t="n">
        <x:f>AV595/AK595</x:f>
        <x:v>0.39834669972834463</x:v>
      </x:c>
      <x:c r="AX595" s="64" t="n">
        <x:f>-ROUND(AK595*'Drivers'!W595,3)</x:f>
        <x:v>-15.893</x:v>
      </x:c>
      <x:c r="AY595" s="64" t="n">
        <x:f>-ROUND(AK595*'Drivers'!X595,3)</x:f>
        <x:v>-27.486</x:v>
      </x:c>
      <x:c r="AZ595" s="64" t="n">
        <x:f>-ROUND(AK595*'Drivers'!Y595,3)</x:f>
        <x:v>-23.041</x:v>
      </x:c>
      <x:c r="BA595" s="64" t="n">
        <x:f>-ROUND(AK595*'Drivers'!Z595,3)</x:f>
        <x:v>-7.949</x:v>
      </x:c>
      <x:c r="BB595" s="64" t="n">
        <x:f>-ROUND(AK595*'Drivers'!AA595,3)</x:f>
        <x:v>-8.681</x:v>
      </x:c>
      <x:c r="BC595" s="64" t="n">
        <x:f>SUM(BA595,BB595)</x:f>
        <x:v>-16.63</x:v>
      </x:c>
      <x:c r="BD595" s="64" t="n">
        <x:f>-ROUND(AK595*'Drivers'!AB595,3)</x:f>
        <x:v>-5.303</x:v>
      </x:c>
      <x:c r="BE595" s="64" t="n">
        <x:f>SUM(AX595:BB595,BD595)</x:f>
        <x:v>-88.353</x:v>
      </x:c>
      <x:c r="BF595" s="67" t="n">
        <x:f>'Drivers'!AF595</x:f>
        <x:v>7</x:v>
      </x:c>
      <x:c r="BG595" s="64" t="n">
        <x:f>BJ595</x:f>
        <x:v>-24.504</x:v>
      </x:c>
      <x:c r="BH595" s="64" t="n">
        <x:f>BE595/BF595</x:f>
        <x:v>-12.621857142857142</x:v>
      </x:c>
      <x:c r="BI595" s="68" t="n">
        <x:f>BF595/L595</x:f>
        <x:v>1.75</x:v>
      </x:c>
      <x:c r="BJ595" s="64" t="n">
        <x:f>-ROUND(AK595*'Drivers'!AC595,3)</x:f>
        <x:v>-24.504</x:v>
      </x:c>
      <x:c r="BK595" s="64" t="n">
        <x:f>-ROUND(AK595*'Drivers'!AD595,3)</x:f>
        <x:v>-127.715</x:v>
      </x:c>
      <x:c r="BL595" s="64" t="n">
        <x:f>SUM(AV595,BE595,BJ595,BK595)</x:f>
        <x:v>250.3679999999999</x:v>
      </x:c>
      <x:c r="BM595" s="65" t="n">
        <x:f>BL595/AK595</x:f>
        <x:v>0.20314756694827507</x:v>
      </x:c>
      <x:c r="BN595" s="64" t="n">
        <x:f>-ROUND(AK595*'Drivers'!AE595,3)</x:f>
        <x:v>-117.3</x:v>
      </x:c>
      <x:c r="BO595" s="64" t="n">
        <x:f>BL595+BN595</x:f>
        <x:v>133.06799999999993</x:v>
      </x:c>
      <x:c r="BP595" s="65" t="n">
        <x:f>BO595/AK595</x:f>
        <x:v>0.10797082869485342</x:v>
      </x:c>
    </x:row>
    <x:row r="596">
      <x:c r="A596" s="61" t="n">
        <x:v>2026</x:v>
      </x:c>
      <x:c r="B596" s="18" t="str">
        <x:v>S1</x:v>
      </x:c>
      <x:c r="C596" s="18" t="str">
        <x:v>2026 S1</x:v>
      </x:c>
      <x:c r="D596" s="18" t="str">
        <x:v>CNCT0149</x:v>
      </x:c>
      <x:c r="E596" s="18" t="str">
        <x:v>郑州熙地港</x:v>
      </x:c>
      <x:c r="F596" s="18" t="str">
        <x:v>郑州</x:v>
      </x:c>
      <x:c r="G596" s="18" t="str">
        <x:v>河南省</x:v>
      </x:c>
      <x:c r="H596" s="18" t="str">
        <x:v>北区</x:v>
      </x:c>
      <x:c r="I596" s="18" t="str">
        <x:v>Shopping Mall</x:v>
      </x:c>
      <x:c r="J596" s="18" t="str">
        <x:v>Core Shopping Center</x:v>
      </x:c>
      <x:c r="K596" s="18" t="str">
        <x:v>正常</x:v>
      </x:c>
      <x:c r="L596" s="62" t="n">
        <x:v>4</x:v>
      </x:c>
      <x:c r="M596" s="62" t="n">
        <x:v>33</x:v>
      </x:c>
      <x:c r="N596" s="63" t="n">
        <x:f>'Drivers'!C596</x:f>
        <x:v>1537</x:v>
      </x:c>
      <x:c r="O596" s="63" t="n">
        <x:f>'Drivers'!D596</x:f>
        <x:v>1148.64</x:v>
      </x:c>
      <x:c r="P596" s="64" t="n">
        <x:f>ROUND(N596*O596/1000,3)</x:f>
        <x:v>1765.46</x:v>
      </x:c>
      <x:c r="Q596" s="64" t="n">
        <x:f>ROUND(P596*'Drivers'!E596,3)</x:f>
        <x:v>1719.824</x:v>
      </x:c>
      <x:c r="R596" s="64" t="n">
        <x:f>-ROUND(Q596*'Drivers'!F596,3)</x:f>
        <x:v>-283.455</x:v>
      </x:c>
      <x:c r="S596" s="65" t="n">
        <x:f>R596/Q596</x:f>
        <x:v>-0.16481628352668642</x:v>
      </x:c>
      <x:c r="T596" s="64" t="n">
        <x:f>-ROUND(Q596*'Drivers'!G596,3)</x:f>
        <x:v>-13.546</x:v>
      </x:c>
      <x:c r="U596" s="65" t="n">
        <x:f>T596/Q596</x:f>
        <x:v>-0.00787638735126385</x:v>
      </x:c>
      <x:c r="V596" s="64" t="n">
        <x:f>-ROUND(Q596*'Drivers'!H596,3)</x:f>
        <x:v>-21.271</x:v>
      </x:c>
      <x:c r="W596" s="64" t="n">
        <x:f>-ROUND(Q596*'Drivers'!I596,3)</x:f>
        <x:v>-10.832</x:v>
      </x:c>
      <x:c r="X596" s="64" t="n">
        <x:f>-ROUND(Q596*'Drivers'!J596,3)</x:f>
        <x:v>-20.443</x:v>
      </x:c>
      <x:c r="Y596" s="64" t="n">
        <x:f>-ROUND(Q596*'Drivers'!K596,3)</x:f>
        <x:v>-18.441</x:v>
      </x:c>
      <x:c r="Z596" s="64" t="n">
        <x:f>-ROUND(Q596*'Drivers'!L596,3)</x:f>
        <x:v>-16.068</x:v>
      </x:c>
      <x:c r="AA596" s="64" t="n">
        <x:f>-ROUND(Q596*'Drivers'!M596,3)</x:f>
        <x:v>-17.103</x:v>
      </x:c>
      <x:c r="AB596" s="64" t="n">
        <x:f>-ROUND(Q596*'Drivers'!N596,3)</x:f>
        <x:v>-10.323</x:v>
      </x:c>
      <x:c r="AC596" s="64" t="n">
        <x:f>SUM(V596:AB596)</x:f>
        <x:v>-114.48100000000002</x:v>
      </x:c>
      <x:c r="AD596" s="65" t="n">
        <x:f>AC596/Q596</x:f>
        <x:v>-0.06656553228702473</x:v>
      </x:c>
      <x:c r="AE596" s="64" t="n">
        <x:f>-ROUND(Q596*'Drivers'!O596,3)</x:f>
        <x:v>-24.3</x:v>
      </x:c>
      <x:c r="AF596" s="65" t="n">
        <x:f>AE596/Q596</x:f>
        <x:v>-0.014129352770981216</x:v>
      </x:c>
      <x:c r="AG596" s="64" t="n">
        <x:f>-ROUND(Q596*'Drivers'!P596,3)</x:f>
        <x:v>-3.864</x:v>
      </x:c>
      <x:c r="AH596" s="64" t="n">
        <x:f>-ROUND(Q596*'Drivers'!Q596,3)</x:f>
        <x:v>-4.152</x:v>
      </x:c>
      <x:c r="AI596" s="64" t="n">
        <x:f>SUM(R596,T596,AC596,AE596,AG596,AH596)</x:f>
        <x:v>-443.79799999999994</x:v>
      </x:c>
      <x:c r="AJ596" s="65" t="n">
        <x:f>AI596/Q596</x:f>
        <x:v>-0.25804849798584034</x:v>
      </x:c>
      <x:c r="AK596" s="64" t="n">
        <x:f>Q596+AI596</x:f>
        <x:v>1276.026</x:v>
      </x:c>
      <x:c r="AL596" s="65" t="n">
        <x:f>AK596/Q596</x:f>
        <x:v>0.7419515020141596</x:v>
      </x:c>
      <x:c r="AM596" s="64" t="n">
        <x:f>AK596/L596</x:f>
        <x:v>319.0065</x:v>
      </x:c>
      <x:c r="AN596" s="66" t="str">
        <x:f>IF(AM596&lt;=200,"≤200K",IF(AM596&lt;=350,"200–350K",IF(AM596&lt;=500,"350–500K",IF(AM596&lt;=700,"500–700K","&gt;700K"))))</x:f>
        <x:v>200–350K</x:v>
      </x:c>
      <x:c r="AO596" s="64" t="n">
        <x:f>-ROUND(Q596*'Drivers'!R596,3)</x:f>
        <x:v>-649.32</x:v>
      </x:c>
      <x:c r="AP596" s="64" t="n">
        <x:f>-ROUND(AK596*'Drivers'!S596,3)</x:f>
        <x:v>-20.873</x:v>
      </x:c>
      <x:c r="AQ596" s="64" t="n">
        <x:f>-ROUND(AK596*'Drivers'!T596,3)</x:f>
        <x:v>-4.727</x:v>
      </x:c>
      <x:c r="AR596" s="64" t="n">
        <x:f>-ROUND(AK596*'Drivers'!U596,3)</x:f>
        <x:v>-14.666</x:v>
      </x:c>
      <x:c r="AS596" s="64" t="n">
        <x:f>-ROUND(AK596*'Drivers'!V596,3)</x:f>
        <x:v>-48.303</x:v>
      </x:c>
      <x:c r="AT596" s="64" t="n">
        <x:f>SUM(AO596:AS596)</x:f>
        <x:v>-737.8890000000001</x:v>
      </x:c>
      <x:c r="AU596" s="65" t="n">
        <x:f>AT596/AK596</x:f>
        <x:v>-0.578271132406393</x:v>
      </x:c>
      <x:c r="AV596" s="64" t="n">
        <x:f>AK596+AT596</x:f>
        <x:v>538.137</x:v>
      </x:c>
      <x:c r="AW596" s="65" t="n">
        <x:f>AV596/AK596</x:f>
        <x:v>0.42172886759360695</x:v>
      </x:c>
      <x:c r="AX596" s="64" t="n">
        <x:f>-ROUND(AK596*'Drivers'!W596,3)</x:f>
        <x:v>-20.247</x:v>
      </x:c>
      <x:c r="AY596" s="64" t="n">
        <x:f>-ROUND(AK596*'Drivers'!X596,3)</x:f>
        <x:v>-35.016</x:v>
      </x:c>
      <x:c r="AZ596" s="64" t="n">
        <x:f>-ROUND(AK596*'Drivers'!Y596,3)</x:f>
        <x:v>-29.353</x:v>
      </x:c>
      <x:c r="BA596" s="64" t="n">
        <x:f>-ROUND(AK596*'Drivers'!Z596,3)</x:f>
        <x:v>-10.127</x:v>
      </x:c>
      <x:c r="BB596" s="64" t="n">
        <x:f>-ROUND(AK596*'Drivers'!AA596,3)</x:f>
        <x:v>-11.059</x:v>
      </x:c>
      <x:c r="BC596" s="64" t="n">
        <x:f>SUM(BA596,BB596)</x:f>
        <x:v>-21.186</x:v>
      </x:c>
      <x:c r="BD596" s="64" t="n">
        <x:f>-ROUND(AK596*'Drivers'!AB596,3)</x:f>
        <x:v>-6.756</x:v>
      </x:c>
      <x:c r="BE596" s="64" t="n">
        <x:f>SUM(AX596:BB596,BD596)</x:f>
        <x:v>-112.55799999999999</x:v>
      </x:c>
      <x:c r="BF596" s="67" t="n">
        <x:f>'Drivers'!AF596</x:f>
        <x:v>7</x:v>
      </x:c>
      <x:c r="BG596" s="64" t="n">
        <x:f>BJ596</x:f>
        <x:v>-31.217</x:v>
      </x:c>
      <x:c r="BH596" s="64" t="n">
        <x:f>BE596/BF596</x:f>
        <x:v>-16.079714285714285</x:v>
      </x:c>
      <x:c r="BI596" s="68" t="n">
        <x:f>BF596/L596</x:f>
        <x:v>1.75</x:v>
      </x:c>
      <x:c r="BJ596" s="64" t="n">
        <x:f>-ROUND(AK596*'Drivers'!AC596,3)</x:f>
        <x:v>-31.217</x:v>
      </x:c>
      <x:c r="BK596" s="64" t="n">
        <x:f>-ROUND(AK596*'Drivers'!AD596,3)</x:f>
        <x:v>-132.231</x:v>
      </x:c>
      <x:c r="BL596" s="64" t="n">
        <x:f>SUM(AV596,BE596,BJ596,BK596)</x:f>
        <x:v>262.131</x:v>
      </x:c>
      <x:c r="BM596" s="65" t="n">
        <x:f>BL596/AK596</x:f>
        <x:v>0.2054276323523188</x:v>
      </x:c>
      <x:c r="BN596" s="64" t="n">
        <x:f>-ROUND(AK596*'Drivers'!AE596,3)</x:f>
        <x:v>-121.448</x:v>
      </x:c>
      <x:c r="BO596" s="64" t="n">
        <x:f>BL596+BN596</x:f>
        <x:v>140.683</x:v>
      </x:c>
      <x:c r="BP596" s="65" t="n">
        <x:f>BO596/AK596</x:f>
        <x:v>0.11025088830478375</x:v>
      </x:c>
    </x:row>
    <x:row r="597">
      <x:c r="A597" s="61" t="n">
        <x:v>2026</x:v>
      </x:c>
      <x:c r="B597" s="18" t="str">
        <x:v>S2</x:v>
      </x:c>
      <x:c r="C597" s="18" t="str">
        <x:v>2026 S2</x:v>
      </x:c>
      <x:c r="D597" s="18" t="str">
        <x:v>CNCT0149</x:v>
      </x:c>
      <x:c r="E597" s="18" t="str">
        <x:v>郑州熙地港</x:v>
      </x:c>
      <x:c r="F597" s="18" t="str">
        <x:v>郑州</x:v>
      </x:c>
      <x:c r="G597" s="18" t="str">
        <x:v>河南省</x:v>
      </x:c>
      <x:c r="H597" s="18" t="str">
        <x:v>北区</x:v>
      </x:c>
      <x:c r="I597" s="18" t="str">
        <x:v>Shopping Mall</x:v>
      </x:c>
      <x:c r="J597" s="18" t="str">
        <x:v>Core Shopping Center</x:v>
      </x:c>
      <x:c r="K597" s="18" t="str">
        <x:v>正常</x:v>
      </x:c>
      <x:c r="L597" s="62" t="n">
        <x:v>4</x:v>
      </x:c>
      <x:c r="M597" s="62" t="n">
        <x:v>31</x:v>
      </x:c>
      <x:c r="N597" s="63" t="n">
        <x:f>'Drivers'!C597</x:f>
        <x:v>1679</x:v>
      </x:c>
      <x:c r="O597" s="63" t="n">
        <x:f>'Drivers'!D597</x:f>
        <x:v>1126.606</x:v>
      </x:c>
      <x:c r="P597" s="64" t="n">
        <x:f>ROUND(N597*O597/1000,3)</x:f>
        <x:v>1891.571</x:v>
      </x:c>
      <x:c r="Q597" s="64" t="n">
        <x:f>ROUND(P597*'Drivers'!E597,3)</x:f>
        <x:v>1824.448</x:v>
      </x:c>
      <x:c r="R597" s="64" t="n">
        <x:f>-ROUND(Q597*'Drivers'!F597,3)</x:f>
        <x:v>-299.738</x:v>
      </x:c>
      <x:c r="S597" s="65" t="n">
        <x:f>R597/Q597</x:f>
        <x:v>-0.16428969200547233</x:v>
      </x:c>
      <x:c r="T597" s="64" t="n">
        <x:f>-ROUND(Q597*'Drivers'!G597,3)</x:f>
        <x:v>-19.085</x:v>
      </x:c>
      <x:c r="U597" s="65" t="n">
        <x:f>T597/Q597</x:f>
        <x:v>-0.010460698249552742</x:v>
      </x:c>
      <x:c r="V597" s="64" t="n">
        <x:f>-ROUND(Q597*'Drivers'!H597,3)</x:f>
        <x:v>-22.565</x:v>
      </x:c>
      <x:c r="W597" s="64" t="n">
        <x:f>-ROUND(Q597*'Drivers'!I597,3)</x:f>
        <x:v>-11.491</x:v>
      </x:c>
      <x:c r="X597" s="64" t="n">
        <x:f>-ROUND(Q597*'Drivers'!J597,3)</x:f>
        <x:v>-21.686</x:v>
      </x:c>
      <x:c r="Y597" s="64" t="n">
        <x:f>-ROUND(Q597*'Drivers'!K597,3)</x:f>
        <x:v>-19.563</x:v>
      </x:c>
      <x:c r="Z597" s="64" t="n">
        <x:f>-ROUND(Q597*'Drivers'!L597,3)</x:f>
        <x:v>-17.045</x:v>
      </x:c>
      <x:c r="AA597" s="64" t="n">
        <x:f>-ROUND(Q597*'Drivers'!M597,3)</x:f>
        <x:v>-18.143</x:v>
      </x:c>
      <x:c r="AB597" s="64" t="n">
        <x:f>-ROUND(Q597*'Drivers'!N597,3)</x:f>
        <x:v>-10.951</x:v>
      </x:c>
      <x:c r="AC597" s="64" t="n">
        <x:f>SUM(V597:AB597)</x:f>
        <x:v>-121.44399999999999</x:v>
      </x:c>
      <x:c r="AD597" s="65" t="n">
        <x:f>AC597/Q597</x:f>
        <x:v>-0.06656479110393937</x:v>
      </x:c>
      <x:c r="AE597" s="64" t="n">
        <x:f>-ROUND(Q597*'Drivers'!O597,3)</x:f>
        <x:v>-23.367</x:v>
      </x:c>
      <x:c r="AF597" s="65" t="n">
        <x:f>AE597/Q597</x:f>
        <x:v>-0.012807709509944925</x:v>
      </x:c>
      <x:c r="AG597" s="64" t="n">
        <x:f>-ROUND(Q597*'Drivers'!P597,3)</x:f>
        <x:v>-4.099</x:v>
      </x:c>
      <x:c r="AH597" s="64" t="n">
        <x:f>-ROUND(Q597*'Drivers'!Q597,3)</x:f>
        <x:v>-4.404</x:v>
      </x:c>
      <x:c r="AI597" s="64" t="n">
        <x:f>SUM(R597,T597,AC597,AE597,AG597,AH597)</x:f>
        <x:v>-472.13699999999994</x:v>
      </x:c>
      <x:c r="AJ597" s="65" t="n">
        <x:f>AI597/Q597</x:f>
        <x:v>-0.25878347861928647</x:v>
      </x:c>
      <x:c r="AK597" s="64" t="n">
        <x:f>Q597+AI597</x:f>
        <x:v>1352.3110000000001</x:v>
      </x:c>
      <x:c r="AL597" s="65" t="n">
        <x:f>AK597/Q597</x:f>
        <x:v>0.7412165213807136</x:v>
      </x:c>
      <x:c r="AM597" s="64" t="n">
        <x:f>AK597/L597</x:f>
        <x:v>338.07775000000004</x:v>
      </x:c>
      <x:c r="AN597" s="66" t="str">
        <x:f>IF(AM597&lt;=200,"≤200K",IF(AM597&lt;=350,"200–350K",IF(AM597&lt;=500,"350–500K",IF(AM597&lt;=700,"500–700K","&gt;700K"))))</x:f>
        <x:v>200–350K</x:v>
      </x:c>
      <x:c r="AO597" s="64" t="n">
        <x:f>-ROUND(Q597*'Drivers'!R597,3)</x:f>
        <x:v>-717.395</x:v>
      </x:c>
      <x:c r="AP597" s="64" t="n">
        <x:f>-ROUND(AK597*'Drivers'!S597,3)</x:f>
        <x:v>-22.121</x:v>
      </x:c>
      <x:c r="AQ597" s="64" t="n">
        <x:f>-ROUND(AK597*'Drivers'!T597,3)</x:f>
        <x:v>-5.009</x:v>
      </x:c>
      <x:c r="AR597" s="64" t="n">
        <x:f>-ROUND(AK597*'Drivers'!U597,3)</x:f>
        <x:v>-15.543</x:v>
      </x:c>
      <x:c r="AS597" s="64" t="n">
        <x:f>-ROUND(AK597*'Drivers'!V597,3)</x:f>
        <x:v>-51.191</x:v>
      </x:c>
      <x:c r="AT597" s="64" t="n">
        <x:f>SUM(AO597:AS597)</x:f>
        <x:v>-811.259</x:v>
      </x:c>
      <x:c r="AU597" s="65" t="n">
        <x:f>AT597/AK597</x:f>
        <x:v>-0.5999056430066751</x:v>
      </x:c>
      <x:c r="AV597" s="64" t="n">
        <x:f>AK597+AT597</x:f>
        <x:v>541.0520000000001</x:v>
      </x:c>
      <x:c r="AW597" s="65" t="n">
        <x:f>AV597/AK597</x:f>
        <x:v>0.4000943569933248</x:v>
      </x:c>
      <x:c r="AX597" s="64" t="n">
        <x:f>-ROUND(AK597*'Drivers'!W597,3)</x:f>
        <x:v>-18.485</x:v>
      </x:c>
      <x:c r="AY597" s="64" t="n">
        <x:f>-ROUND(AK597*'Drivers'!X597,3)</x:f>
        <x:v>-31.969</x:v>
      </x:c>
      <x:c r="AZ597" s="64" t="n">
        <x:f>-ROUND(AK597*'Drivers'!Y597,3)</x:f>
        <x:v>-26.798</x:v>
      </x:c>
      <x:c r="BA597" s="64" t="n">
        <x:f>-ROUND(AK597*'Drivers'!Z597,3)</x:f>
        <x:v>-9.245</x:v>
      </x:c>
      <x:c r="BB597" s="64" t="n">
        <x:f>-ROUND(AK597*'Drivers'!AA597,3)</x:f>
        <x:v>-10.096</x:v>
      </x:c>
      <x:c r="BC597" s="64" t="n">
        <x:f>SUM(BA597,BB597)</x:f>
        <x:v>-19.341</x:v>
      </x:c>
      <x:c r="BD597" s="64" t="n">
        <x:f>-ROUND(AK597*'Drivers'!AB597,3)</x:f>
        <x:v>-6.168</x:v>
      </x:c>
      <x:c r="BE597" s="64" t="n">
        <x:f>SUM(AX597:BB597,BD597)</x:f>
        <x:v>-102.76100000000001</x:v>
      </x:c>
      <x:c r="BF597" s="67" t="n">
        <x:f>'Drivers'!AF597</x:f>
        <x:v>7</x:v>
      </x:c>
      <x:c r="BG597" s="64" t="n">
        <x:f>BJ597</x:f>
        <x:v>-28.5</x:v>
      </x:c>
      <x:c r="BH597" s="64" t="n">
        <x:f>BE597/BF597</x:f>
        <x:v>-14.680142857142858</x:v>
      </x:c>
      <x:c r="BI597" s="68" t="n">
        <x:f>BF597/L597</x:f>
        <x:v>1.75</x:v>
      </x:c>
      <x:c r="BJ597" s="64" t="n">
        <x:f>-ROUND(AK597*'Drivers'!AC597,3)</x:f>
        <x:v>-28.5</x:v>
      </x:c>
      <x:c r="BK597" s="64" t="n">
        <x:f>-ROUND(AK597*'Drivers'!AD597,3)</x:f>
        <x:v>-140.136</x:v>
      </x:c>
      <x:c r="BL597" s="64" t="n">
        <x:f>SUM(AV597,BE597,BJ597,BK597)</x:f>
        <x:v>269.6550000000001</x:v>
      </x:c>
      <x:c r="BM597" s="65" t="n">
        <x:f>BL597/AK597</x:f>
        <x:v>0.19940309588548794</x:v>
      </x:c>
      <x:c r="BN597" s="64" t="n">
        <x:f>-ROUND(AK597*'Drivers'!AE597,3)</x:f>
        <x:v>-128.709</x:v>
      </x:c>
      <x:c r="BO597" s="64" t="n">
        <x:f>BL597+BN597</x:f>
        <x:v>140.94600000000008</x:v>
      </x:c>
      <x:c r="BP597" s="65" t="n">
        <x:f>BO597/AK597</x:f>
        <x:v>0.10422602493065579</x:v>
      </x:c>
    </x:row>
    <x:row r="598">
      <x:c r="A598" s="61" t="n">
        <x:v>2025</x:v>
      </x:c>
      <x:c r="B598" s="18" t="str">
        <x:v>S1</x:v>
      </x:c>
      <x:c r="C598" s="18" t="str">
        <x:v>2025 S1</x:v>
      </x:c>
      <x:c r="D598" s="18" t="str">
        <x:v>CNCT0150</x:v>
      </x:c>
      <x:c r="E598" s="18" t="str">
        <x:v>郑州杉杉奥莱</x:v>
      </x:c>
      <x:c r="F598" s="18" t="str">
        <x:v>郑州</x:v>
      </x:c>
      <x:c r="G598" s="18" t="str">
        <x:v>河南省</x:v>
      </x:c>
      <x:c r="H598" s="18" t="str">
        <x:v>北区</x:v>
      </x:c>
      <x:c r="I598" s="18" t="str">
        <x:v>Shopping Mall</x:v>
      </x:c>
      <x:c r="J598" s="18" t="str">
        <x:v>Core Shopping Center</x:v>
      </x:c>
      <x:c r="K598" s="18" t="str">
        <x:v>正常</x:v>
      </x:c>
      <x:c r="L598" s="62" t="n">
        <x:v>5</x:v>
      </x:c>
      <x:c r="M598" s="62" t="n">
        <x:v>33</x:v>
      </x:c>
      <x:c r="N598" s="63" t="n">
        <x:f>'Drivers'!C598</x:f>
        <x:v>1738</x:v>
      </x:c>
      <x:c r="O598" s="63" t="n">
        <x:f>'Drivers'!D598</x:f>
        <x:v>1155.105</x:v>
      </x:c>
      <x:c r="P598" s="64" t="n">
        <x:f>ROUND(N598*O598/1000,3)</x:f>
        <x:v>2007.572</x:v>
      </x:c>
      <x:c r="Q598" s="64" t="n">
        <x:f>ROUND(P598*'Drivers'!E598,3)</x:f>
        <x:v>1949.517</x:v>
      </x:c>
      <x:c r="R598" s="64" t="n">
        <x:f>-ROUND(Q598*'Drivers'!F598,3)</x:f>
        <x:v>-414.095</x:v>
      </x:c>
      <x:c r="S598" s="65" t="n">
        <x:f>R598/Q598</x:f>
        <x:v>-0.21240902233732767</x:v>
      </x:c>
      <x:c r="T598" s="64" t="n">
        <x:f>-ROUND(Q598*'Drivers'!G598,3)</x:f>
        <x:v>-32.783</x:v>
      </x:c>
      <x:c r="U598" s="65" t="n">
        <x:f>T598/Q598</x:f>
        <x:v>-0.01681596005574714</x:v>
      </x:c>
      <x:c r="V598" s="64" t="n">
        <x:f>-ROUND(Q598*'Drivers'!H598,3)</x:f>
        <x:v>-20.877</x:v>
      </x:c>
      <x:c r="W598" s="64" t="n">
        <x:f>-ROUND(Q598*'Drivers'!I598,3)</x:f>
        <x:v>-18.034</x:v>
      </x:c>
      <x:c r="X598" s="64" t="n">
        <x:f>-ROUND(Q598*'Drivers'!J598,3)</x:f>
        <x:v>-20.648</x:v>
      </x:c>
      <x:c r="Y598" s="64" t="n">
        <x:f>-ROUND(Q598*'Drivers'!K598,3)</x:f>
        <x:v>-17.149</x:v>
      </x:c>
      <x:c r="Z598" s="64" t="n">
        <x:f>-ROUND(Q598*'Drivers'!L598,3)</x:f>
        <x:v>-26.797</x:v>
      </x:c>
      <x:c r="AA598" s="64" t="n">
        <x:f>-ROUND(Q598*'Drivers'!M598,3)</x:f>
        <x:v>-17.543</x:v>
      </x:c>
      <x:c r="AB598" s="64" t="n">
        <x:f>-ROUND(Q598*'Drivers'!N598,3)</x:f>
        <x:v>-13.422</x:v>
      </x:c>
      <x:c r="AC598" s="64" t="n">
        <x:f>SUM(V598:AB598)</x:f>
        <x:v>-134.47</x:v>
      </x:c>
      <x:c r="AD598" s="65" t="n">
        <x:f>AC598/Q598</x:f>
        <x:v>-0.0689760591982527</x:v>
      </x:c>
      <x:c r="AE598" s="64" t="n">
        <x:f>-ROUND(Q598*'Drivers'!O598,3)</x:f>
        <x:v>-25.415</x:v>
      </x:c>
      <x:c r="AF598" s="65" t="n">
        <x:f>AE598/Q598</x:f>
        <x:v>-0.013036562389555976</x:v>
      </x:c>
      <x:c r="AG598" s="64" t="n">
        <x:f>-ROUND(Q598*'Drivers'!P598,3)</x:f>
        <x:v>-0.831</x:v>
      </x:c>
      <x:c r="AH598" s="64" t="n">
        <x:f>-ROUND(Q598*'Drivers'!Q598,3)</x:f>
        <x:v>-3.016</x:v>
      </x:c>
      <x:c r="AI598" s="64" t="n">
        <x:f>SUM(R598,T598,AC598,AE598,AG598,AH598)</x:f>
        <x:v>-610.61</x:v>
      </x:c>
      <x:c r="AJ598" s="65" t="n">
        <x:f>AI598/Q598</x:f>
        <x:v>-0.31321091326723494</x:v>
      </x:c>
      <x:c r="AK598" s="64" t="n">
        <x:f>Q598+AI598</x:f>
        <x:v>1338.9070000000002</x:v>
      </x:c>
      <x:c r="AL598" s="65" t="n">
        <x:f>AK598/Q598</x:f>
        <x:v>0.6867890867327652</x:v>
      </x:c>
      <x:c r="AM598" s="64" t="n">
        <x:f>AK598/L598</x:f>
        <x:v>267.7814</x:v>
      </x:c>
      <x:c r="AN598" s="66" t="str">
        <x:f>IF(AM598&lt;=200,"≤200K",IF(AM598&lt;=350,"200–350K",IF(AM598&lt;=500,"350–500K",IF(AM598&lt;=700,"500–700K","&gt;700K"))))</x:f>
        <x:v>200–350K</x:v>
      </x:c>
      <x:c r="AO598" s="64" t="n">
        <x:f>-ROUND(Q598*'Drivers'!R598,3)</x:f>
        <x:v>-733.356</x:v>
      </x:c>
      <x:c r="AP598" s="64" t="n">
        <x:f>-ROUND(AK598*'Drivers'!S598,3)</x:f>
        <x:v>-16.574</x:v>
      </x:c>
      <x:c r="AQ598" s="64" t="n">
        <x:f>-ROUND(AK598*'Drivers'!T598,3)</x:f>
        <x:v>-9.186</x:v>
      </x:c>
      <x:c r="AR598" s="64" t="n">
        <x:f>-ROUND(AK598*'Drivers'!U598,3)</x:f>
        <x:v>-10.507</x:v>
      </x:c>
      <x:c r="AS598" s="64" t="n">
        <x:f>-ROUND(AK598*'Drivers'!V598,3)</x:f>
        <x:v>-38.335</x:v>
      </x:c>
      <x:c r="AT598" s="64" t="n">
        <x:f>SUM(AO598:AS598)</x:f>
        <x:v>-807.958</x:v>
      </x:c>
      <x:c r="AU598" s="65" t="n">
        <x:f>AT598/AK598</x:f>
        <x:v>-0.6034459450880456</x:v>
      </x:c>
      <x:c r="AV598" s="64" t="n">
        <x:f>AK598+AT598</x:f>
        <x:v>530.9490000000002</x:v>
      </x:c>
      <x:c r="AW598" s="65" t="n">
        <x:f>AV598/AK598</x:f>
        <x:v>0.3965540549119544</x:v>
      </x:c>
      <x:c r="AX598" s="64" t="n">
        <x:f>-ROUND(AK598*'Drivers'!W598,3)</x:f>
        <x:v>-14.45</x:v>
      </x:c>
      <x:c r="AY598" s="64" t="n">
        <x:f>-ROUND(AK598*'Drivers'!X598,3)</x:f>
        <x:v>-31.17</x:v>
      </x:c>
      <x:c r="AZ598" s="64" t="n">
        <x:f>-ROUND(AK598*'Drivers'!Y598,3)</x:f>
        <x:v>-23.603</x:v>
      </x:c>
      <x:c r="BA598" s="64" t="n">
        <x:f>-ROUND(AK598*'Drivers'!Z598,3)</x:f>
        <x:v>-5.961</x:v>
      </x:c>
      <x:c r="BB598" s="64" t="n">
        <x:f>-ROUND(AK598*'Drivers'!AA598,3)</x:f>
        <x:v>-8.551</x:v>
      </x:c>
      <x:c r="BC598" s="64" t="n">
        <x:f>SUM(BA598,BB598)</x:f>
        <x:v>-14.512</x:v>
      </x:c>
      <x:c r="BD598" s="64" t="n">
        <x:f>-ROUND(AK598*'Drivers'!AB598,3)</x:f>
        <x:v>-4.782</x:v>
      </x:c>
      <x:c r="BE598" s="64" t="n">
        <x:f>SUM(AX598:BB598,BD598)</x:f>
        <x:v>-88.51700000000001</x:v>
      </x:c>
      <x:c r="BF598" s="67" t="n">
        <x:f>'Drivers'!AF598</x:f>
        <x:v>8</x:v>
      </x:c>
      <x:c r="BG598" s="64" t="n">
        <x:f>BJ598</x:f>
        <x:v>-31.107</x:v>
      </x:c>
      <x:c r="BH598" s="64" t="n">
        <x:f>BE598/BF598</x:f>
        <x:v>-11.064625000000001</x:v>
      </x:c>
      <x:c r="BI598" s="68" t="n">
        <x:f>BF598/L598</x:f>
        <x:v>1.6</x:v>
      </x:c>
      <x:c r="BJ598" s="64" t="n">
        <x:f>-ROUND(AK598*'Drivers'!AC598,3)</x:f>
        <x:v>-31.107</x:v>
      </x:c>
      <x:c r="BK598" s="64" t="n">
        <x:f>-ROUND(AK598*'Drivers'!AD598,3)</x:f>
        <x:v>-110.728</x:v>
      </x:c>
      <x:c r="BL598" s="64" t="n">
        <x:f>SUM(AV598,BE598,BJ598,BK598)</x:f>
        <x:v>300.59700000000015</x:v>
      </x:c>
      <x:c r="BM598" s="65" t="n">
        <x:f>BL598/AK598</x:f>
        <x:v>0.22450924522763727</x:v>
      </x:c>
      <x:c r="BN598" s="64" t="n">
        <x:f>-ROUND(AK598*'Drivers'!AE598,3)</x:f>
        <x:v>-91.49</x:v>
      </x:c>
      <x:c r="BO598" s="64" t="n">
        <x:f>BL598+BN598</x:f>
        <x:v>209.10700000000014</x:v>
      </x:c>
      <x:c r="BP598" s="65" t="n">
        <x:f>BO598/AK598</x:f>
        <x:v>0.15617738946767784</x:v>
      </x:c>
    </x:row>
    <x:row r="599">
      <x:c r="A599" s="61" t="n">
        <x:v>2025</x:v>
      </x:c>
      <x:c r="B599" s="18" t="str">
        <x:v>S2</x:v>
      </x:c>
      <x:c r="C599" s="18" t="str">
        <x:v>2025 S2</x:v>
      </x:c>
      <x:c r="D599" s="18" t="str">
        <x:v>CNCT0150</x:v>
      </x:c>
      <x:c r="E599" s="18" t="str">
        <x:v>郑州杉杉奥莱</x:v>
      </x:c>
      <x:c r="F599" s="18" t="str">
        <x:v>郑州</x:v>
      </x:c>
      <x:c r="G599" s="18" t="str">
        <x:v>河南省</x:v>
      </x:c>
      <x:c r="H599" s="18" t="str">
        <x:v>北区</x:v>
      </x:c>
      <x:c r="I599" s="18" t="str">
        <x:v>Shopping Mall</x:v>
      </x:c>
      <x:c r="J599" s="18" t="str">
        <x:v>Core Shopping Center</x:v>
      </x:c>
      <x:c r="K599" s="18" t="str">
        <x:v>正常</x:v>
      </x:c>
      <x:c r="L599" s="62" t="n">
        <x:v>5</x:v>
      </x:c>
      <x:c r="M599" s="62" t="n">
        <x:v>33</x:v>
      </x:c>
      <x:c r="N599" s="63" t="n">
        <x:f>'Drivers'!C599</x:f>
        <x:v>1845</x:v>
      </x:c>
      <x:c r="O599" s="63" t="n">
        <x:f>'Drivers'!D599</x:f>
        <x:v>1168.967</x:v>
      </x:c>
      <x:c r="P599" s="64" t="n">
        <x:f>ROUND(N599*O599/1000,3)</x:f>
        <x:v>2156.744</x:v>
      </x:c>
      <x:c r="Q599" s="64" t="n">
        <x:f>ROUND(P599*'Drivers'!E599,3)</x:f>
        <x:v>2106.668</x:v>
      </x:c>
      <x:c r="R599" s="64" t="n">
        <x:f>-ROUND(Q599*'Drivers'!F599,3)</x:f>
        <x:v>-447.475</x:v>
      </x:c>
      <x:c r="S599" s="65" t="n">
        <x:f>R599/Q599</x:f>
        <x:v>-0.21240888455133888</x:v>
      </x:c>
      <x:c r="T599" s="64" t="n">
        <x:f>-ROUND(Q599*'Drivers'!G599,3)</x:f>
        <x:v>-35.425</x:v>
      </x:c>
      <x:c r="U599" s="65" t="n">
        <x:f>T599/Q599</x:f>
        <x:v>-0.01681565391414309</x:v>
      </x:c>
      <x:c r="V599" s="64" t="n">
        <x:f>-ROUND(Q599*'Drivers'!H599,3)</x:f>
        <x:v>-22.56</x:v>
      </x:c>
      <x:c r="W599" s="64" t="n">
        <x:f>-ROUND(Q599*'Drivers'!I599,3)</x:f>
        <x:v>-19.488</x:v>
      </x:c>
      <x:c r="X599" s="64" t="n">
        <x:f>-ROUND(Q599*'Drivers'!J599,3)</x:f>
        <x:v>-22.313</x:v>
      </x:c>
      <x:c r="Y599" s="64" t="n">
        <x:f>-ROUND(Q599*'Drivers'!K599,3)</x:f>
        <x:v>-18.532</x:v>
      </x:c>
      <x:c r="Z599" s="64" t="n">
        <x:f>-ROUND(Q599*'Drivers'!L599,3)</x:f>
        <x:v>-28.957</x:v>
      </x:c>
      <x:c r="AA599" s="64" t="n">
        <x:f>-ROUND(Q599*'Drivers'!M599,3)</x:f>
        <x:v>-18.957</x:v>
      </x:c>
      <x:c r="AB599" s="64" t="n">
        <x:f>-ROUND(Q599*'Drivers'!N599,3)</x:f>
        <x:v>-14.504</x:v>
      </x:c>
      <x:c r="AC599" s="64" t="n">
        <x:f>SUM(V599:AB599)</x:f>
        <x:v>-145.31099999999998</x:v>
      </x:c>
      <x:c r="AD599" s="65" t="n">
        <x:f>AC599/Q599</x:f>
        <x:v>-0.06897669685019185</x:v>
      </x:c>
      <x:c r="AE599" s="64" t="n">
        <x:f>-ROUND(Q599*'Drivers'!O599,3)</x:f>
        <x:v>-27.463</x:v>
      </x:c>
      <x:c r="AF599" s="65" t="n">
        <x:f>AE599/Q599</x:f>
        <x:v>-0.013036225926439287</x:v>
      </x:c>
      <x:c r="AG599" s="64" t="n">
        <x:f>-ROUND(Q599*'Drivers'!P599,3)</x:f>
        <x:v>-0.898</x:v>
      </x:c>
      <x:c r="AH599" s="64" t="n">
        <x:f>-ROUND(Q599*'Drivers'!Q599,3)</x:f>
        <x:v>-3.259</x:v>
      </x:c>
      <x:c r="AI599" s="64" t="n">
        <x:f>SUM(R599,T599,AC599,AE599,AG599,AH599)</x:f>
        <x:v>-659.831</x:v>
      </x:c>
      <x:c r="AJ599" s="65" t="n">
        <x:f>AI599/Q599</x:f>
        <x:v>-0.3132107194868864</x:v>
      </x:c>
      <x:c r="AK599" s="64" t="n">
        <x:f>Q599+AI599</x:f>
        <x:v>1446.837</x:v>
      </x:c>
      <x:c r="AL599" s="65" t="n">
        <x:f>AK599/Q599</x:f>
        <x:v>0.6867892805131136</x:v>
      </x:c>
      <x:c r="AM599" s="64" t="n">
        <x:f>AK599/L599</x:f>
        <x:v>289.3674</x:v>
      </x:c>
      <x:c r="AN599" s="66" t="str">
        <x:f>IF(AM599&lt;=200,"≤200K",IF(AM599&lt;=350,"200–350K",IF(AM599&lt;=500,"350–500K",IF(AM599&lt;=700,"500–700K","&gt;700K"))))</x:f>
        <x:v>200–350K</x:v>
      </x:c>
      <x:c r="AO599" s="64" t="n">
        <x:f>-ROUND(Q599*'Drivers'!R599,3)</x:f>
        <x:v>-760.036</x:v>
      </x:c>
      <x:c r="AP599" s="64" t="n">
        <x:f>-ROUND(AK599*'Drivers'!S599,3)</x:f>
        <x:v>-17.91</x:v>
      </x:c>
      <x:c r="AQ599" s="64" t="n">
        <x:f>-ROUND(AK599*'Drivers'!T599,3)</x:f>
        <x:v>-9.927</x:v>
      </x:c>
      <x:c r="AR599" s="64" t="n">
        <x:f>-ROUND(AK599*'Drivers'!U599,3)</x:f>
        <x:v>-11.354</x:v>
      </x:c>
      <x:c r="AS599" s="64" t="n">
        <x:f>-ROUND(AK599*'Drivers'!V599,3)</x:f>
        <x:v>-41.425</x:v>
      </x:c>
      <x:c r="AT599" s="64" t="n">
        <x:f>SUM(AO599:AS599)</x:f>
        <x:v>-840.6519999999999</x:v>
      </x:c>
      <x:c r="AU599" s="65" t="n">
        <x:f>AT599/AK599</x:f>
        <x:v>-0.5810274412390615</x:v>
      </x:c>
      <x:c r="AV599" s="64" t="n">
        <x:f>AK599+AT599</x:f>
        <x:v>606.1850000000001</x:v>
      </x:c>
      <x:c r="AW599" s="65" t="n">
        <x:f>AV599/AK599</x:f>
        <x:v>0.4189725587609386</x:v>
      </x:c>
      <x:c r="AX599" s="64" t="n">
        <x:f>-ROUND(AK599*'Drivers'!W599,3)</x:f>
        <x:v>-15.614</x:v>
      </x:c>
      <x:c r="AY599" s="64" t="n">
        <x:f>-ROUND(AK599*'Drivers'!X599,3)</x:f>
        <x:v>-33.682</x:v>
      </x:c>
      <x:c r="AZ599" s="64" t="n">
        <x:f>-ROUND(AK599*'Drivers'!Y599,3)</x:f>
        <x:v>-25.506</x:v>
      </x:c>
      <x:c r="BA599" s="64" t="n">
        <x:f>-ROUND(AK599*'Drivers'!Z599,3)</x:f>
        <x:v>-6.441</x:v>
      </x:c>
      <x:c r="BB599" s="64" t="n">
        <x:f>-ROUND(AK599*'Drivers'!AA599,3)</x:f>
        <x:v>-9.24</x:v>
      </x:c>
      <x:c r="BC599" s="64" t="n">
        <x:f>SUM(BA599,BB599)</x:f>
        <x:v>-15.681000000000001</x:v>
      </x:c>
      <x:c r="BD599" s="64" t="n">
        <x:f>-ROUND(AK599*'Drivers'!AB599,3)</x:f>
        <x:v>-5.168</x:v>
      </x:c>
      <x:c r="BE599" s="64" t="n">
        <x:f>SUM(AX599:BB599,BD599)</x:f>
        <x:v>-95.65100000000001</x:v>
      </x:c>
      <x:c r="BF599" s="67" t="n">
        <x:f>'Drivers'!AF599</x:f>
        <x:v>8</x:v>
      </x:c>
      <x:c r="BG599" s="64" t="n">
        <x:f>BJ599</x:f>
        <x:v>-33.615</x:v>
      </x:c>
      <x:c r="BH599" s="64" t="n">
        <x:f>BE599/BF599</x:f>
        <x:v>-11.956375000000001</x:v>
      </x:c>
      <x:c r="BI599" s="68" t="n">
        <x:f>BF599/L599</x:f>
        <x:v>1.6</x:v>
      </x:c>
      <x:c r="BJ599" s="64" t="n">
        <x:f>-ROUND(AK599*'Drivers'!AC599,3)</x:f>
        <x:v>-33.615</x:v>
      </x:c>
      <x:c r="BK599" s="64" t="n">
        <x:f>-ROUND(AK599*'Drivers'!AD599,3)</x:f>
        <x:v>-119.654</x:v>
      </x:c>
      <x:c r="BL599" s="64" t="n">
        <x:f>SUM(AV599,BE599,BJ599,BK599)</x:f>
        <x:v>357.26500000000004</x:v>
      </x:c>
      <x:c r="BM599" s="65" t="n">
        <x:f>BL599/AK599</x:f>
        <x:v>0.24692829945598574</x:v>
      </x:c>
      <x:c r="BN599" s="64" t="n">
        <x:f>-ROUND(AK599*'Drivers'!AE599,3)</x:f>
        <x:v>-98.865</x:v>
      </x:c>
      <x:c r="BO599" s="64" t="n">
        <x:f>BL599+BN599</x:f>
        <x:v>258.40000000000003</x:v>
      </x:c>
      <x:c r="BP599" s="65" t="n">
        <x:f>BO599/AK599</x:f>
        <x:v>0.1785964832251318</x:v>
      </x:c>
    </x:row>
    <x:row r="600">
      <x:c r="A600" s="61" t="n">
        <x:v>2026</x:v>
      </x:c>
      <x:c r="B600" s="18" t="str">
        <x:v>S1</x:v>
      </x:c>
      <x:c r="C600" s="18" t="str">
        <x:v>2026 S1</x:v>
      </x:c>
      <x:c r="D600" s="18" t="str">
        <x:v>CNCT0150</x:v>
      </x:c>
      <x:c r="E600" s="18" t="str">
        <x:v>郑州杉杉奥莱</x:v>
      </x:c>
      <x:c r="F600" s="18" t="str">
        <x:v>郑州</x:v>
      </x:c>
      <x:c r="G600" s="18" t="str">
        <x:v>河南省</x:v>
      </x:c>
      <x:c r="H600" s="18" t="str">
        <x:v>北区</x:v>
      </x:c>
      <x:c r="I600" s="18" t="str">
        <x:v>Shopping Mall</x:v>
      </x:c>
      <x:c r="J600" s="18" t="str">
        <x:v>Core Shopping Center</x:v>
      </x:c>
      <x:c r="K600" s="18" t="str">
        <x:v>正常</x:v>
      </x:c>
      <x:c r="L600" s="62" t="n">
        <x:v>5</x:v>
      </x:c>
      <x:c r="M600" s="62" t="n">
        <x:v>33</x:v>
      </x:c>
      <x:c r="N600" s="63" t="n">
        <x:f>'Drivers'!C600</x:f>
        <x:v>1821</x:v>
      </x:c>
      <x:c r="O600" s="63" t="n">
        <x:f>'Drivers'!D600</x:f>
        <x:v>1212.109</x:v>
      </x:c>
      <x:c r="P600" s="64" t="n">
        <x:f>ROUND(N600*O600/1000,3)</x:f>
        <x:v>2207.25</x:v>
      </x:c>
      <x:c r="Q600" s="64" t="n">
        <x:f>ROUND(P600*'Drivers'!E600,3)</x:f>
        <x:v>2139.259</x:v>
      </x:c>
      <x:c r="R600" s="64" t="n">
        <x:f>-ROUND(Q600*'Drivers'!F600,3)</x:f>
        <x:v>-461.904</x:v>
      </x:c>
      <x:c r="S600" s="65" t="n">
        <x:f>R600/Q600</x:f>
        <x:v>-0.21591775469917387</x:v>
      </x:c>
      <x:c r="T600" s="64" t="n">
        <x:f>-ROUND(Q600*'Drivers'!G600,3)</x:f>
        <x:v>-36.587</x:v>
      </x:c>
      <x:c r="U600" s="65" t="n">
        <x:f>T600/Q600</x:f>
        <x:v>-0.017102650964656456</x:v>
      </x:c>
      <x:c r="V600" s="64" t="n">
        <x:f>-ROUND(Q600*'Drivers'!H600,3)</x:f>
        <x:v>-22.909</x:v>
      </x:c>
      <x:c r="W600" s="64" t="n">
        <x:f>-ROUND(Q600*'Drivers'!I600,3)</x:f>
        <x:v>-19.789</x:v>
      </x:c>
      <x:c r="X600" s="64" t="n">
        <x:f>-ROUND(Q600*'Drivers'!J600,3)</x:f>
        <x:v>-22.658</x:v>
      </x:c>
      <x:c r="Y600" s="64" t="n">
        <x:f>-ROUND(Q600*'Drivers'!K600,3)</x:f>
        <x:v>-18.819</x:v>
      </x:c>
      <x:c r="Z600" s="64" t="n">
        <x:f>-ROUND(Q600*'Drivers'!L600,3)</x:f>
        <x:v>-29.405</x:v>
      </x:c>
      <x:c r="AA600" s="64" t="n">
        <x:f>-ROUND(Q600*'Drivers'!M600,3)</x:f>
        <x:v>-19.25</x:v>
      </x:c>
      <x:c r="AB600" s="64" t="n">
        <x:f>-ROUND(Q600*'Drivers'!N600,3)</x:f>
        <x:v>-14.728</x:v>
      </x:c>
      <x:c r="AC600" s="64" t="n">
        <x:f>SUM(V600:AB600)</x:f>
        <x:v>-147.558</x:v>
      </x:c>
      <x:c r="AD600" s="65" t="n">
        <x:f>AC600/Q600</x:f>
        <x:v>-0.06897622027066382</x:v>
      </x:c>
      <x:c r="AE600" s="64" t="n">
        <x:f>-ROUND(Q600*'Drivers'!O600,3)</x:f>
        <x:v>-26.846</x:v>
      </x:c>
      <x:c r="AF600" s="65" t="n">
        <x:f>AE600/Q600</x:f>
        <x:v>-0.012549205121960455</x:v>
      </x:c>
      <x:c r="AG600" s="64" t="n">
        <x:f>-ROUND(Q600*'Drivers'!P600,3)</x:f>
        <x:v>-0.912</x:v>
      </x:c>
      <x:c r="AH600" s="64" t="n">
        <x:f>-ROUND(Q600*'Drivers'!Q600,3)</x:f>
        <x:v>-3.309</x:v>
      </x:c>
      <x:c r="AI600" s="64" t="n">
        <x:f>SUM(R600,T600,AC600,AE600,AG600,AH600)</x:f>
        <x:v>-677.116</x:v>
      </x:c>
      <x:c r="AJ600" s="65" t="n">
        <x:f>AI600/Q600</x:f>
        <x:v>-0.3165189441764648</x:v>
      </x:c>
      <x:c r="AK600" s="64" t="n">
        <x:f>Q600+AI600</x:f>
        <x:v>1462.143</x:v>
      </x:c>
      <x:c r="AL600" s="65" t="n">
        <x:f>AK600/Q600</x:f>
        <x:v>0.6834810558235351</x:v>
      </x:c>
      <x:c r="AM600" s="64" t="n">
        <x:f>AK600/L600</x:f>
        <x:v>292.4286</x:v>
      </x:c>
      <x:c r="AN600" s="66" t="str">
        <x:f>IF(AM600&lt;=200,"≤200K",IF(AM600&lt;=350,"200–350K",IF(AM600&lt;=500,"350–500K",IF(AM600&lt;=700,"500–700K","&gt;700K"))))</x:f>
        <x:v>200–350K</x:v>
      </x:c>
      <x:c r="AO600" s="64" t="n">
        <x:f>-ROUND(Q600*'Drivers'!R600,3)</x:f>
        <x:v>-793.956</x:v>
      </x:c>
      <x:c r="AP600" s="64" t="n">
        <x:f>-ROUND(AK600*'Drivers'!S600,3)</x:f>
        <x:v>-18.099</x:v>
      </x:c>
      <x:c r="AQ600" s="64" t="n">
        <x:f>-ROUND(AK600*'Drivers'!T600,3)</x:f>
        <x:v>-10.032</x:v>
      </x:c>
      <x:c r="AR600" s="64" t="n">
        <x:f>-ROUND(AK600*'Drivers'!U600,3)</x:f>
        <x:v>-11.474</x:v>
      </x:c>
      <x:c r="AS600" s="64" t="n">
        <x:f>-ROUND(AK600*'Drivers'!V600,3)</x:f>
        <x:v>-41.863</x:v>
      </x:c>
      <x:c r="AT600" s="64" t="n">
        <x:f>SUM(AO600:AS600)</x:f>
        <x:v>-875.4240000000002</x:v>
      </x:c>
      <x:c r="AU600" s="65" t="n">
        <x:f>AT600/AK600</x:f>
        <x:v>-0.5987266635342783</x:v>
      </x:c>
      <x:c r="AV600" s="64" t="n">
        <x:f>AK600+AT600</x:f>
        <x:v>586.7189999999998</x:v>
      </x:c>
      <x:c r="AW600" s="65" t="n">
        <x:f>AV600/AK600</x:f>
        <x:v>0.4012733364657218</x:v>
      </x:c>
      <x:c r="AX600" s="64" t="n">
        <x:f>-ROUND(AK600*'Drivers'!W600,3)</x:f>
        <x:v>-19.416</x:v>
      </x:c>
      <x:c r="AY600" s="64" t="n">
        <x:f>-ROUND(AK600*'Drivers'!X600,3)</x:f>
        <x:v>-41.883</x:v>
      </x:c>
      <x:c r="AZ600" s="64" t="n">
        <x:f>-ROUND(AK600*'Drivers'!Y600,3)</x:f>
        <x:v>-31.716</x:v>
      </x:c>
      <x:c r="BA600" s="64" t="n">
        <x:f>-ROUND(AK600*'Drivers'!Z600,3)</x:f>
        <x:v>-8.01</x:v>
      </x:c>
      <x:c r="BB600" s="64" t="n">
        <x:f>-ROUND(AK600*'Drivers'!AA600,3)</x:f>
        <x:v>-11.49</x:v>
      </x:c>
      <x:c r="BC600" s="64" t="n">
        <x:f>SUM(BA600,BB600)</x:f>
        <x:v>-19.5</x:v>
      </x:c>
      <x:c r="BD600" s="64" t="n">
        <x:f>-ROUND(AK600*'Drivers'!AB600,3)</x:f>
        <x:v>-6.426</x:v>
      </x:c>
      <x:c r="BE600" s="64" t="n">
        <x:f>SUM(AX600:BB600,BD600)</x:f>
        <x:v>-118.94100000000002</x:v>
      </x:c>
      <x:c r="BF600" s="67" t="n">
        <x:f>'Drivers'!AF600</x:f>
        <x:v>8</x:v>
      </x:c>
      <x:c r="BG600" s="64" t="n">
        <x:f>BJ600</x:f>
        <x:v>-41.799</x:v>
      </x:c>
      <x:c r="BH600" s="64" t="n">
        <x:f>BE600/BF600</x:f>
        <x:v>-14.867625000000002</x:v>
      </x:c>
      <x:c r="BI600" s="68" t="n">
        <x:f>BF600/L600</x:f>
        <x:v>1.6</x:v>
      </x:c>
      <x:c r="BJ600" s="64" t="n">
        <x:f>-ROUND(AK600*'Drivers'!AC600,3)</x:f>
        <x:v>-41.799</x:v>
      </x:c>
      <x:c r="BK600" s="64" t="n">
        <x:f>-ROUND(AK600*'Drivers'!AD600,3)</x:f>
        <x:v>-120.919</x:v>
      </x:c>
      <x:c r="BL600" s="64" t="n">
        <x:f>SUM(AV600,BE600,BJ600,BK600)</x:f>
        <x:v>305.05999999999983</x:v>
      </x:c>
      <x:c r="BM600" s="65" t="n">
        <x:f>BL600/AK600</x:f>
        <x:v>0.20863896349399466</x:v>
      </x:c>
      <x:c r="BN600" s="64" t="n">
        <x:f>-ROUND(AK600*'Drivers'!AE600,3)</x:f>
        <x:v>-99.91</x:v>
      </x:c>
      <x:c r="BO600" s="64" t="n">
        <x:f>BL600+BN600</x:f>
        <x:v>205.14999999999984</x:v>
      </x:c>
      <x:c r="BP600" s="65" t="n">
        <x:f>BO600/AK600</x:f>
        <x:v>0.14030775375595947</x:v>
      </x:c>
    </x:row>
    <x:row r="601">
      <x:c r="A601" s="61" t="n">
        <x:v>2026</x:v>
      </x:c>
      <x:c r="B601" s="18" t="str">
        <x:v>S2</x:v>
      </x:c>
      <x:c r="C601" s="18" t="str">
        <x:v>2026 S2</x:v>
      </x:c>
      <x:c r="D601" s="18" t="str">
        <x:v>CNCT0150</x:v>
      </x:c>
      <x:c r="E601" s="18" t="str">
        <x:v>郑州杉杉奥莱</x:v>
      </x:c>
      <x:c r="F601" s="18" t="str">
        <x:v>郑州</x:v>
      </x:c>
      <x:c r="G601" s="18" t="str">
        <x:v>河南省</x:v>
      </x:c>
      <x:c r="H601" s="18" t="str">
        <x:v>北区</x:v>
      </x:c>
      <x:c r="I601" s="18" t="str">
        <x:v>Shopping Mall</x:v>
      </x:c>
      <x:c r="J601" s="18" t="str">
        <x:v>Core Shopping Center</x:v>
      </x:c>
      <x:c r="K601" s="18" t="str">
        <x:v>正常</x:v>
      </x:c>
      <x:c r="L601" s="62" t="n">
        <x:v>5</x:v>
      </x:c>
      <x:c r="M601" s="62" t="n">
        <x:v>31</x:v>
      </x:c>
      <x:c r="N601" s="63" t="n">
        <x:f>'Drivers'!C601</x:f>
        <x:v>1929</x:v>
      </x:c>
      <x:c r="O601" s="63" t="n">
        <x:f>'Drivers'!D601</x:f>
        <x:v>1216.683</x:v>
      </x:c>
      <x:c r="P601" s="64" t="n">
        <x:f>ROUND(N601*O601/1000,3)</x:f>
        <x:v>2346.982</x:v>
      </x:c>
      <x:c r="Q601" s="64" t="n">
        <x:f>ROUND(P601*'Drivers'!E601,3)</x:f>
        <x:v>2292.489</x:v>
      </x:c>
      <x:c r="R601" s="64" t="n">
        <x:f>-ROUND(Q601*'Drivers'!F601,3)</x:f>
        <x:v>-498.254</x:v>
      </x:c>
      <x:c r="S601" s="65" t="n">
        <x:f>R601/Q601</x:f>
        <x:v>-0.21734193708235897</x:v>
      </x:c>
      <x:c r="T601" s="64" t="n">
        <x:f>-ROUND(Q601*'Drivers'!G601,3)</x:f>
        <x:v>-36.209</x:v>
      </x:c>
      <x:c r="U601" s="65" t="n">
        <x:f>T601/Q601</x:f>
        <x:v>-0.01579462322392823</x:v>
      </x:c>
      <x:c r="V601" s="64" t="n">
        <x:f>-ROUND(Q601*'Drivers'!H601,3)</x:f>
        <x:v>-24.55</x:v>
      </x:c>
      <x:c r="W601" s="64" t="n">
        <x:f>-ROUND(Q601*'Drivers'!I601,3)</x:f>
        <x:v>-21.207</x:v>
      </x:c>
      <x:c r="X601" s="64" t="n">
        <x:f>-ROUND(Q601*'Drivers'!J601,3)</x:f>
        <x:v>-24.281</x:v>
      </x:c>
      <x:c r="Y601" s="64" t="n">
        <x:f>-ROUND(Q601*'Drivers'!K601,3)</x:f>
        <x:v>-20.166</x:v>
      </x:c>
      <x:c r="Z601" s="64" t="n">
        <x:f>-ROUND(Q601*'Drivers'!L601,3)</x:f>
        <x:v>-31.511</x:v>
      </x:c>
      <x:c r="AA601" s="64" t="n">
        <x:f>-ROUND(Q601*'Drivers'!M601,3)</x:f>
        <x:v>-20.629</x:v>
      </x:c>
      <x:c r="AB601" s="64" t="n">
        <x:f>-ROUND(Q601*'Drivers'!N601,3)</x:f>
        <x:v>-15.783</x:v>
      </x:c>
      <x:c r="AC601" s="64" t="n">
        <x:f>SUM(V601:AB601)</x:f>
        <x:v>-158.12699999999998</x:v>
      </x:c>
      <x:c r="AD601" s="65" t="n">
        <x:f>AC601/Q601</x:f>
        <x:v>-0.06897612158662483</x:v>
      </x:c>
      <x:c r="AE601" s="64" t="n">
        <x:f>-ROUND(Q601*'Drivers'!O601,3)</x:f>
        <x:v>-29.886</x:v>
      </x:c>
      <x:c r="AF601" s="65" t="n">
        <x:f>AE601/Q601</x:f>
        <x:v>-0.013036485671250767</x:v>
      </x:c>
      <x:c r="AG601" s="64" t="n">
        <x:f>-ROUND(Q601*'Drivers'!P601,3)</x:f>
        <x:v>-0.977</x:v>
      </x:c>
      <x:c r="AH601" s="64" t="n">
        <x:f>-ROUND(Q601*'Drivers'!Q601,3)</x:f>
        <x:v>-3.547</x:v>
      </x:c>
      <x:c r="AI601" s="64" t="n">
        <x:f>SUM(R601,T601,AC601,AE601,AG601,AH601)</x:f>
        <x:v>-726.9999999999999</x:v>
      </x:c>
      <x:c r="AJ601" s="65" t="n">
        <x:f>AI601/Q601</x:f>
        <x:v>-0.3171225685270463</x:v>
      </x:c>
      <x:c r="AK601" s="64" t="n">
        <x:f>Q601+AI601</x:f>
        <x:v>1565.489</x:v>
      </x:c>
      <x:c r="AL601" s="65" t="n">
        <x:f>AK601/Q601</x:f>
        <x:v>0.6828774314729537</x:v>
      </x:c>
      <x:c r="AM601" s="64" t="n">
        <x:f>AK601/L601</x:f>
        <x:v>313.0978</x:v>
      </x:c>
      <x:c r="AN601" s="66" t="str">
        <x:f>IF(AM601&lt;=200,"≤200K",IF(AM601&lt;=350,"200–350K",IF(AM601&lt;=500,"350–500K",IF(AM601&lt;=700,"500–700K","&gt;700K"))))</x:f>
        <x:v>200–350K</x:v>
      </x:c>
      <x:c r="AO601" s="64" t="n">
        <x:f>-ROUND(Q601*'Drivers'!R601,3)</x:f>
        <x:v>-823.395</x:v>
      </x:c>
      <x:c r="AP601" s="64" t="n">
        <x:f>-ROUND(AK601*'Drivers'!S601,3)</x:f>
        <x:v>-19.379</x:v>
      </x:c>
      <x:c r="AQ601" s="64" t="n">
        <x:f>-ROUND(AK601*'Drivers'!T601,3)</x:f>
        <x:v>-10.741</x:v>
      </x:c>
      <x:c r="AR601" s="64" t="n">
        <x:f>-ROUND(AK601*'Drivers'!U601,3)</x:f>
        <x:v>-12.285</x:v>
      </x:c>
      <x:c r="AS601" s="64" t="n">
        <x:f>-ROUND(AK601*'Drivers'!V601,3)</x:f>
        <x:v>-44.822</x:v>
      </x:c>
      <x:c r="AT601" s="64" t="n">
        <x:f>SUM(AO601:AS601)</x:f>
        <x:v>-910.622</x:v>
      </x:c>
      <x:c r="AU601" s="65" t="n">
        <x:f>AT601/AK601</x:f>
        <x:v>-0.5816853392134981</x:v>
      </x:c>
      <x:c r="AV601" s="64" t="n">
        <x:f>AK601+AT601</x:f>
        <x:v>654.8670000000001</x:v>
      </x:c>
      <x:c r="AW601" s="65" t="n">
        <x:f>AV601/AK601</x:f>
        <x:v>0.41831466078650187</x:v>
      </x:c>
      <x:c r="AX601" s="64" t="n">
        <x:f>-ROUND(AK601*'Drivers'!W601,3)</x:f>
        <x:v>-17.909</x:v>
      </x:c>
      <x:c r="AY601" s="64" t="n">
        <x:f>-ROUND(AK601*'Drivers'!X601,3)</x:f>
        <x:v>-38.631</x:v>
      </x:c>
      <x:c r="AZ601" s="64" t="n">
        <x:f>-ROUND(AK601*'Drivers'!Y601,3)</x:f>
        <x:v>-29.253</x:v>
      </x:c>
      <x:c r="BA601" s="64" t="n">
        <x:f>-ROUND(AK601*'Drivers'!Z601,3)</x:f>
        <x:v>-7.388</x:v>
      </x:c>
      <x:c r="BB601" s="64" t="n">
        <x:f>-ROUND(AK601*'Drivers'!AA601,3)</x:f>
        <x:v>-10.598</x:v>
      </x:c>
      <x:c r="BC601" s="64" t="n">
        <x:f>SUM(BA601,BB601)</x:f>
        <x:v>-17.986</x:v>
      </x:c>
      <x:c r="BD601" s="64" t="n">
        <x:f>-ROUND(AK601*'Drivers'!AB601,3)</x:f>
        <x:v>-5.927</x:v>
      </x:c>
      <x:c r="BE601" s="64" t="n">
        <x:f>SUM(AX601:BB601,BD601)</x:f>
        <x:v>-109.70600000000002</x:v>
      </x:c>
      <x:c r="BF601" s="67" t="n">
        <x:f>'Drivers'!AF601</x:f>
        <x:v>8</x:v>
      </x:c>
      <x:c r="BG601" s="64" t="n">
        <x:f>BJ601</x:f>
        <x:v>-38.554</x:v>
      </x:c>
      <x:c r="BH601" s="64" t="n">
        <x:f>BE601/BF601</x:f>
        <x:v>-13.713250000000002</x:v>
      </x:c>
      <x:c r="BI601" s="68" t="n">
        <x:f>BF601/L601</x:f>
        <x:v>1.6</x:v>
      </x:c>
      <x:c r="BJ601" s="64" t="n">
        <x:f>-ROUND(AK601*'Drivers'!AC601,3)</x:f>
        <x:v>-38.554</x:v>
      </x:c>
      <x:c r="BK601" s="64" t="n">
        <x:f>-ROUND(AK601*'Drivers'!AD601,3)</x:f>
        <x:v>-129.466</x:v>
      </x:c>
      <x:c r="BL601" s="64" t="n">
        <x:f>SUM(AV601,BE601,BJ601,BK601)</x:f>
        <x:v>377.1410000000001</x:v>
      </x:c>
      <x:c r="BM601" s="65" t="n">
        <x:f>BL601/AK601</x:f>
        <x:v>0.24090938997335662</x:v>
      </x:c>
      <x:c r="BN601" s="64" t="n">
        <x:f>-ROUND(AK601*'Drivers'!AE601,3)</x:f>
        <x:v>-106.972</x:v>
      </x:c>
      <x:c r="BO601" s="64" t="n">
        <x:f>BL601+BN601</x:f>
        <x:v>270.1690000000001</x:v>
      </x:c>
      <x:c r="BP601" s="65" t="n">
        <x:f>BO601/AK601</x:f>
        <x:v>0.17257802514102627</x:v>
      </x:c>
    </x:row>
    <x:row r="602">
      <x:c r="A602" s="61" t="n">
        <x:v>2025</x:v>
      </x:c>
      <x:c r="B602" s="18" t="str">
        <x:v>S1</x:v>
      </x:c>
      <x:c r="C602" s="18" t="str">
        <x:v>2025 S1</x:v>
      </x:c>
      <x:c r="D602" s="18" t="str">
        <x:v>CNCT0151</x:v>
      </x:c>
      <x:c r="E602" s="18" t="str">
        <x:v>郑州锦艺城</x:v>
      </x:c>
      <x:c r="F602" s="18" t="str">
        <x:v>郑州</x:v>
      </x:c>
      <x:c r="G602" s="18" t="str">
        <x:v>河南省</x:v>
      </x:c>
      <x:c r="H602" s="18" t="str">
        <x:v>北区</x:v>
      </x:c>
      <x:c r="I602" s="18" t="str">
        <x:v>Shopping Mall</x:v>
      </x:c>
      <x:c r="J602" s="18" t="str">
        <x:v>Regional Mall</x:v>
      </x:c>
      <x:c r="K602" s="18" t="str">
        <x:v>正常</x:v>
      </x:c>
      <x:c r="L602" s="62" t="n">
        <x:v>3</x:v>
      </x:c>
      <x:c r="M602" s="62" t="n">
        <x:v>33</x:v>
      </x:c>
      <x:c r="N602" s="63" t="n">
        <x:f>'Drivers'!C602</x:f>
        <x:v>1167</x:v>
      </x:c>
      <x:c r="O602" s="63" t="n">
        <x:f>'Drivers'!D602</x:f>
        <x:v>1010.714</x:v>
      </x:c>
      <x:c r="P602" s="64" t="n">
        <x:f>ROUND(N602*O602/1000,3)</x:f>
        <x:v>1179.503</x:v>
      </x:c>
      <x:c r="Q602" s="64" t="n">
        <x:f>ROUND(P602*'Drivers'!E602,3)</x:f>
        <x:v>1143.99</x:v>
      </x:c>
      <x:c r="R602" s="64" t="n">
        <x:f>-ROUND(Q602*'Drivers'!F602,3)</x:f>
        <x:v>-184.949</x:v>
      </x:c>
      <x:c r="S602" s="65" t="n">
        <x:f>R602/Q602</x:f>
        <x:v>-0.16167011949405152</x:v>
      </x:c>
      <x:c r="T602" s="64" t="n">
        <x:f>-ROUND(Q602*'Drivers'!G602,3)</x:f>
        <x:v>-19.515</x:v>
      </x:c>
      <x:c r="U602" s="65" t="n">
        <x:f>T602/Q602</x:f>
        <x:v>-0.017058715548212835</x:v>
      </x:c>
      <x:c r="V602" s="64" t="n">
        <x:f>-ROUND(Q602*'Drivers'!H602,3)</x:f>
        <x:v>-8.917</x:v>
      </x:c>
      <x:c r="W602" s="64" t="n">
        <x:f>-ROUND(Q602*'Drivers'!I602,3)</x:f>
        <x:v>-9.509</x:v>
      </x:c>
      <x:c r="X602" s="64" t="n">
        <x:f>-ROUND(Q602*'Drivers'!J602,3)</x:f>
        <x:v>-15.043</x:v>
      </x:c>
      <x:c r="Y602" s="64" t="n">
        <x:f>-ROUND(Q602*'Drivers'!K602,3)</x:f>
        <x:v>-11.086</x:v>
      </x:c>
      <x:c r="Z602" s="64" t="n">
        <x:f>-ROUND(Q602*'Drivers'!L602,3)</x:f>
        <x:v>-13.417</x:v>
      </x:c>
      <x:c r="AA602" s="64" t="n">
        <x:f>-ROUND(Q602*'Drivers'!M602,3)</x:f>
        <x:v>-7.256</x:v>
      </x:c>
      <x:c r="AB602" s="64" t="n">
        <x:f>-ROUND(Q602*'Drivers'!N602,3)</x:f>
        <x:v>-6.827</x:v>
      </x:c>
      <x:c r="AC602" s="64" t="n">
        <x:f>SUM(V602:AB602)</x:f>
        <x:v>-72.055</x:v>
      </x:c>
      <x:c r="AD602" s="65" t="n">
        <x:f>AC602/Q602</x:f>
        <x:v>-0.06298569043435695</x:v>
      </x:c>
      <x:c r="AE602" s="64" t="n">
        <x:f>-ROUND(Q602*'Drivers'!O602,3)</x:f>
        <x:v>-13.107</x:v>
      </x:c>
      <x:c r="AF602" s="65" t="n">
        <x:f>AE602/Q602</x:f>
        <x:v>-0.01145726798311174</x:v>
      </x:c>
      <x:c r="AG602" s="64" t="n">
        <x:f>-ROUND(Q602*'Drivers'!P602,3)</x:f>
        <x:v>-2.291</x:v>
      </x:c>
      <x:c r="AH602" s="64" t="n">
        <x:f>-ROUND(Q602*'Drivers'!Q602,3)</x:f>
        <x:v>-3.19</x:v>
      </x:c>
      <x:c r="AI602" s="64" t="n">
        <x:f>SUM(R602,T602,AC602,AE602,AG602,AH602)</x:f>
        <x:v>-295.10699999999997</x:v>
      </x:c>
      <x:c r="AJ602" s="65" t="n">
        <x:f>AI602/Q602</x:f>
        <x:v>-0.25796291925628717</x:v>
      </x:c>
      <x:c r="AK602" s="64" t="n">
        <x:f>Q602+AI602</x:f>
        <x:v>848.883</x:v>
      </x:c>
      <x:c r="AL602" s="65" t="n">
        <x:f>AK602/Q602</x:f>
        <x:v>0.7420370807437128</x:v>
      </x:c>
      <x:c r="AM602" s="64" t="n">
        <x:f>AK602/L602</x:f>
        <x:v>282.961</x:v>
      </x:c>
      <x:c r="AN602" s="66" t="str">
        <x:f>IF(AM602&lt;=200,"≤200K",IF(AM602&lt;=350,"200–350K",IF(AM602&lt;=500,"350–500K",IF(AM602&lt;=700,"500–700K","&gt;700K"))))</x:f>
        <x:v>200–350K</x:v>
      </x:c>
      <x:c r="AO602" s="64" t="n">
        <x:f>-ROUND(Q602*'Drivers'!R602,3)</x:f>
        <x:v>-442.506</x:v>
      </x:c>
      <x:c r="AP602" s="64" t="n">
        <x:f>-ROUND(AK602*'Drivers'!S602,3)</x:f>
        <x:v>-9.867</x:v>
      </x:c>
      <x:c r="AQ602" s="64" t="n">
        <x:f>-ROUND(AK602*'Drivers'!T602,3)</x:f>
        <x:v>-2.609</x:v>
      </x:c>
      <x:c r="AR602" s="64" t="n">
        <x:f>-ROUND(AK602*'Drivers'!U602,3)</x:f>
        <x:v>-5.639</x:v>
      </x:c>
      <x:c r="AS602" s="64" t="n">
        <x:f>-ROUND(AK602*'Drivers'!V602,3)</x:f>
        <x:v>-26.85</x:v>
      </x:c>
      <x:c r="AT602" s="64" t="n">
        <x:f>SUM(AO602:AS602)</x:f>
        <x:v>-487.471</x:v>
      </x:c>
      <x:c r="AU602" s="65" t="n">
        <x:f>AT602/AK602</x:f>
        <x:v>-0.5742499260793301</x:v>
      </x:c>
      <x:c r="AV602" s="64" t="n">
        <x:f>AK602+AT602</x:f>
        <x:v>361.41200000000003</x:v>
      </x:c>
      <x:c r="AW602" s="65" t="n">
        <x:f>AV602/AK602</x:f>
        <x:v>0.4257500739206699</x:v>
      </x:c>
      <x:c r="AX602" s="64" t="n">
        <x:f>-ROUND(AK602*'Drivers'!W602,3)</x:f>
        <x:v>-8.84</x:v>
      </x:c>
      <x:c r="AY602" s="64" t="n">
        <x:f>-ROUND(AK602*'Drivers'!X602,3)</x:f>
        <x:v>-21.224</x:v>
      </x:c>
      <x:c r="AZ602" s="64" t="n">
        <x:f>-ROUND(AK602*'Drivers'!Y602,3)</x:f>
        <x:v>-15.915</x:v>
      </x:c>
      <x:c r="BA602" s="64" t="n">
        <x:f>-ROUND(AK602*'Drivers'!Z602,3)</x:f>
        <x:v>-6.385</x:v>
      </x:c>
      <x:c r="BB602" s="64" t="n">
        <x:f>-ROUND(AK602*'Drivers'!AA602,3)</x:f>
        <x:v>-5.597</x:v>
      </x:c>
      <x:c r="BC602" s="64" t="n">
        <x:f>SUM(BA602,BB602)</x:f>
        <x:v>-11.982</x:v>
      </x:c>
      <x:c r="BD602" s="64" t="n">
        <x:f>-ROUND(AK602*'Drivers'!AB602,3)</x:f>
        <x:v>-2.95</x:v>
      </x:c>
      <x:c r="BE602" s="64" t="n">
        <x:f>SUM(AX602:BB602,BD602)</x:f>
        <x:v>-60.911</x:v>
      </x:c>
      <x:c r="BF602" s="67" t="n">
        <x:f>'Drivers'!AF602</x:f>
        <x:v>5</x:v>
      </x:c>
      <x:c r="BG602" s="64" t="n">
        <x:f>BJ602</x:f>
        <x:v>-16.019</x:v>
      </x:c>
      <x:c r="BH602" s="64" t="n">
        <x:f>BE602/BF602</x:f>
        <x:v>-12.1822</x:v>
      </x:c>
      <x:c r="BI602" s="68" t="n">
        <x:f>BF602/L602</x:f>
        <x:v>1.6666666666666667</x:v>
      </x:c>
      <x:c r="BJ602" s="64" t="n">
        <x:f>-ROUND(AK602*'Drivers'!AC602,3)</x:f>
        <x:v>-16.019</x:v>
      </x:c>
      <x:c r="BK602" s="64" t="n">
        <x:f>-ROUND(AK602*'Drivers'!AD602,3)</x:f>
        <x:v>-100.072</x:v>
      </x:c>
      <x:c r="BL602" s="64" t="n">
        <x:f>SUM(AV602,BE602,BJ602,BK602)</x:f>
        <x:v>184.41000000000003</x:v>
      </x:c>
      <x:c r="BM602" s="65" t="n">
        <x:f>BL602/AK602</x:f>
        <x:v>0.21723841801520352</x:v>
      </x:c>
      <x:c r="BN602" s="64" t="n">
        <x:f>-ROUND(AK602*'Drivers'!AE602,3)</x:f>
        <x:v>-69.95</x:v>
      </x:c>
      <x:c r="BO602" s="64" t="n">
        <x:f>BL602+BN602</x:f>
        <x:v>114.46000000000002</x:v>
      </x:c>
      <x:c r="BP602" s="65" t="n">
        <x:f>BO602/AK602</x:f>
        <x:v>0.13483601391475625</x:v>
      </x:c>
    </x:row>
    <x:row r="603">
      <x:c r="A603" s="61" t="n">
        <x:v>2025</x:v>
      </x:c>
      <x:c r="B603" s="18" t="str">
        <x:v>S2</x:v>
      </x:c>
      <x:c r="C603" s="18" t="str">
        <x:v>2025 S2</x:v>
      </x:c>
      <x:c r="D603" s="18" t="str">
        <x:v>CNCT0151</x:v>
      </x:c>
      <x:c r="E603" s="18" t="str">
        <x:v>郑州锦艺城</x:v>
      </x:c>
      <x:c r="F603" s="18" t="str">
        <x:v>郑州</x:v>
      </x:c>
      <x:c r="G603" s="18" t="str">
        <x:v>河南省</x:v>
      </x:c>
      <x:c r="H603" s="18" t="str">
        <x:v>北区</x:v>
      </x:c>
      <x:c r="I603" s="18" t="str">
        <x:v>Shopping Mall</x:v>
      </x:c>
      <x:c r="J603" s="18" t="str">
        <x:v>Regional Mall</x:v>
      </x:c>
      <x:c r="K603" s="18" t="str">
        <x:v>正常</x:v>
      </x:c>
      <x:c r="L603" s="62" t="n">
        <x:v>3</x:v>
      </x:c>
      <x:c r="M603" s="62" t="n">
        <x:v>33</x:v>
      </x:c>
      <x:c r="N603" s="63" t="n">
        <x:f>'Drivers'!C603</x:f>
        <x:v>1256</x:v>
      </x:c>
      <x:c r="O603" s="63" t="n">
        <x:f>'Drivers'!D603</x:f>
        <x:v>1022.842</x:v>
      </x:c>
      <x:c r="P603" s="64" t="n">
        <x:f>ROUND(N603*O603/1000,3)</x:f>
        <x:v>1284.69</x:v>
      </x:c>
      <x:c r="Q603" s="64" t="n">
        <x:f>ROUND(P603*'Drivers'!E603,3)</x:f>
        <x:v>1237.374</x:v>
      </x:c>
      <x:c r="R603" s="64" t="n">
        <x:f>-ROUND(Q603*'Drivers'!F603,3)</x:f>
        <x:v>-200.046</x:v>
      </x:c>
      <x:c r="S603" s="65" t="n">
        <x:f>R603/Q603</x:f>
        <x:v>-0.1616697942578396</x:v>
      </x:c>
      <x:c r="T603" s="64" t="n">
        <x:f>-ROUND(Q603*'Drivers'!G603,3)</x:f>
        <x:v>-21.108</x:v>
      </x:c>
      <x:c r="U603" s="65" t="n">
        <x:f>T603/Q603</x:f>
        <x:v>-0.017058706583458195</x:v>
      </x:c>
      <x:c r="V603" s="64" t="n">
        <x:f>-ROUND(Q603*'Drivers'!H603,3)</x:f>
        <x:v>-9.644</x:v>
      </x:c>
      <x:c r="W603" s="64" t="n">
        <x:f>-ROUND(Q603*'Drivers'!I603,3)</x:f>
        <x:v>-10.286</x:v>
      </x:c>
      <x:c r="X603" s="64" t="n">
        <x:f>-ROUND(Q603*'Drivers'!J603,3)</x:f>
        <x:v>-16.271</x:v>
      </x:c>
      <x:c r="Y603" s="64" t="n">
        <x:f>-ROUND(Q603*'Drivers'!K603,3)</x:f>
        <x:v>-11.991</x:v>
      </x:c>
      <x:c r="Z603" s="64" t="n">
        <x:f>-ROUND(Q603*'Drivers'!L603,3)</x:f>
        <x:v>-14.513</x:v>
      </x:c>
      <x:c r="AA603" s="64" t="n">
        <x:f>-ROUND(Q603*'Drivers'!M603,3)</x:f>
        <x:v>-7.848</x:v>
      </x:c>
      <x:c r="AB603" s="64" t="n">
        <x:f>-ROUND(Q603*'Drivers'!N603,3)</x:f>
        <x:v>-7.384</x:v>
      </x:c>
      <x:c r="AC603" s="64" t="n">
        <x:f>SUM(V603:AB603)</x:f>
        <x:v>-77.937</x:v>
      </x:c>
      <x:c r="AD603" s="65" t="n">
        <x:f>AC603/Q603</x:f>
        <x:v>-0.06298580703974707</x:v>
      </x:c>
      <x:c r="AE603" s="64" t="n">
        <x:f>-ROUND(Q603*'Drivers'!O603,3)</x:f>
        <x:v>-14.177</x:v>
      </x:c>
      <x:c r="AF603" s="65" t="n">
        <x:f>AE603/Q603</x:f>
        <x:v>-0.011457328180485447</x:v>
      </x:c>
      <x:c r="AG603" s="64" t="n">
        <x:f>-ROUND(Q603*'Drivers'!P603,3)</x:f>
        <x:v>-2.478</x:v>
      </x:c>
      <x:c r="AH603" s="64" t="n">
        <x:f>-ROUND(Q603*'Drivers'!Q603,3)</x:f>
        <x:v>-3.45</x:v>
      </x:c>
      <x:c r="AI603" s="64" t="n">
        <x:f>SUM(R603,T603,AC603,AE603,AG603,AH603)</x:f>
        <x:v>-319.196</x:v>
      </x:c>
      <x:c r="AJ603" s="65" t="n">
        <x:f>AI603/Q603</x:f>
        <x:v>-0.2579624268814441</x:v>
      </x:c>
      <x:c r="AK603" s="64" t="n">
        <x:f>Q603+AI603</x:f>
        <x:v>918.178</x:v>
      </x:c>
      <x:c r="AL603" s="65" t="n">
        <x:f>AK603/Q603</x:f>
        <x:v>0.7420375731185559</x:v>
      </x:c>
      <x:c r="AM603" s="64" t="n">
        <x:f>AK603/L603</x:f>
        <x:v>306.0593333333333</x:v>
      </x:c>
      <x:c r="AN603" s="66" t="str">
        <x:f>IF(AM603&lt;=200,"≤200K",IF(AM603&lt;=350,"200–350K",IF(AM603&lt;=500,"350–500K",IF(AM603&lt;=700,"500–700K","&gt;700K"))))</x:f>
        <x:v>200–350K</x:v>
      </x:c>
      <x:c r="AO603" s="64" t="n">
        <x:f>-ROUND(Q603*'Drivers'!R603,3)</x:f>
        <x:v>-496.89</x:v>
      </x:c>
      <x:c r="AP603" s="64" t="n">
        <x:f>-ROUND(AK603*'Drivers'!S603,3)</x:f>
        <x:v>-10.673</x:v>
      </x:c>
      <x:c r="AQ603" s="64" t="n">
        <x:f>-ROUND(AK603*'Drivers'!T603,3)</x:f>
        <x:v>-2.822</x:v>
      </x:c>
      <x:c r="AR603" s="64" t="n">
        <x:f>-ROUND(AK603*'Drivers'!U603,3)</x:f>
        <x:v>-6.099</x:v>
      </x:c>
      <x:c r="AS603" s="64" t="n">
        <x:f>-ROUND(AK603*'Drivers'!V603,3)</x:f>
        <x:v>-29.042</x:v>
      </x:c>
      <x:c r="AT603" s="64" t="n">
        <x:f>SUM(AO603:AS603)</x:f>
        <x:v>-545.5260000000001</x:v>
      </x:c>
      <x:c r="AU603" s="65" t="n">
        <x:f>AT603/AK603</x:f>
        <x:v>-0.5941396984027063</x:v>
      </x:c>
      <x:c r="AV603" s="64" t="n">
        <x:f>AK603+AT603</x:f>
        <x:v>372.65199999999993</x:v>
      </x:c>
      <x:c r="AW603" s="65" t="n">
        <x:f>AV603/AK603</x:f>
        <x:v>0.4058603015972937</x:v>
      </x:c>
      <x:c r="AX603" s="64" t="n">
        <x:f>-ROUND(AK603*'Drivers'!W603,3)</x:f>
        <x:v>-9.561</x:v>
      </x:c>
      <x:c r="AY603" s="64" t="n">
        <x:f>-ROUND(AK603*'Drivers'!X603,3)</x:f>
        <x:v>-22.956</x:v>
      </x:c>
      <x:c r="AZ603" s="64" t="n">
        <x:f>-ROUND(AK603*'Drivers'!Y603,3)</x:f>
        <x:v>-17.214</x:v>
      </x:c>
      <x:c r="BA603" s="64" t="n">
        <x:f>-ROUND(AK603*'Drivers'!Z603,3)</x:f>
        <x:v>-6.907</x:v>
      </x:c>
      <x:c r="BB603" s="64" t="n">
        <x:f>-ROUND(AK603*'Drivers'!AA603,3)</x:f>
        <x:v>-6.054</x:v>
      </x:c>
      <x:c r="BC603" s="64" t="n">
        <x:f>SUM(BA603,BB603)</x:f>
        <x:v>-12.961</x:v>
      </x:c>
      <x:c r="BD603" s="64" t="n">
        <x:f>-ROUND(AK603*'Drivers'!AB603,3)</x:f>
        <x:v>-3.191</x:v>
      </x:c>
      <x:c r="BE603" s="64" t="n">
        <x:f>SUM(AX603:BB603,BD603)</x:f>
        <x:v>-65.883</x:v>
      </x:c>
      <x:c r="BF603" s="67" t="n">
        <x:f>'Drivers'!AF603</x:f>
        <x:v>5</x:v>
      </x:c>
      <x:c r="BG603" s="64" t="n">
        <x:f>BJ603</x:f>
        <x:v>-17.326</x:v>
      </x:c>
      <x:c r="BH603" s="64" t="n">
        <x:f>BE603/BF603</x:f>
        <x:v>-13.176599999999999</x:v>
      </x:c>
      <x:c r="BI603" s="68" t="n">
        <x:f>BF603/L603</x:f>
        <x:v>1.6666666666666667</x:v>
      </x:c>
      <x:c r="BJ603" s="64" t="n">
        <x:f>-ROUND(AK603*'Drivers'!AC603,3)</x:f>
        <x:v>-17.326</x:v>
      </x:c>
      <x:c r="BK603" s="64" t="n">
        <x:f>-ROUND(AK603*'Drivers'!AD603,3)</x:f>
        <x:v>-108.241</x:v>
      </x:c>
      <x:c r="BL603" s="64" t="n">
        <x:f>SUM(AV603,BE603,BJ603,BK603)</x:f>
        <x:v>181.20199999999994</x:v>
      </x:c>
      <x:c r="BM603" s="65" t="n">
        <x:f>BL603/AK603</x:f>
        <x:v>0.19734953353271364</x:v>
      </x:c>
      <x:c r="BN603" s="64" t="n">
        <x:f>-ROUND(AK603*'Drivers'!AE603,3)</x:f>
        <x:v>-75.66</x:v>
      </x:c>
      <x:c r="BO603" s="64" t="n">
        <x:f>BL603+BN603</x:f>
        <x:v>105.54199999999994</x:v>
      </x:c>
      <x:c r="BP603" s="65" t="n">
        <x:f>BO603/AK603</x:f>
        <x:v>0.11494721067156907</x:v>
      </x:c>
    </x:row>
    <x:row r="604">
      <x:c r="A604" s="61" t="n">
        <x:v>2026</x:v>
      </x:c>
      <x:c r="B604" s="18" t="str">
        <x:v>S1</x:v>
      </x:c>
      <x:c r="C604" s="18" t="str">
        <x:v>2026 S1</x:v>
      </x:c>
      <x:c r="D604" s="18" t="str">
        <x:v>CNCT0151</x:v>
      </x:c>
      <x:c r="E604" s="18" t="str">
        <x:v>郑州锦艺城</x:v>
      </x:c>
      <x:c r="F604" s="18" t="str">
        <x:v>郑州</x:v>
      </x:c>
      <x:c r="G604" s="18" t="str">
        <x:v>河南省</x:v>
      </x:c>
      <x:c r="H604" s="18" t="str">
        <x:v>北区</x:v>
      </x:c>
      <x:c r="I604" s="18" t="str">
        <x:v>Shopping Mall</x:v>
      </x:c>
      <x:c r="J604" s="18" t="str">
        <x:v>Regional Mall</x:v>
      </x:c>
      <x:c r="K604" s="18" t="str">
        <x:v>正常</x:v>
      </x:c>
      <x:c r="L604" s="62" t="n">
        <x:v>3</x:v>
      </x:c>
      <x:c r="M604" s="62" t="n">
        <x:v>33</x:v>
      </x:c>
      <x:c r="N604" s="63" t="n">
        <x:f>'Drivers'!C604</x:f>
        <x:v>1113</x:v>
      </x:c>
      <x:c r="O604" s="63" t="n">
        <x:f>'Drivers'!D604</x:f>
        <x:v>1061.776</x:v>
      </x:c>
      <x:c r="P604" s="64" t="n">
        <x:f>ROUND(N604*O604/1000,3)</x:f>
        <x:v>1181.757</x:v>
      </x:c>
      <x:c r="Q604" s="64" t="n">
        <x:f>ROUND(P604*'Drivers'!E604,3)</x:f>
        <x:v>1145.724</x:v>
      </x:c>
      <x:c r="R604" s="64" t="n">
        <x:f>-ROUND(Q604*'Drivers'!F604,3)</x:f>
        <x:v>-191.391</x:v>
      </x:c>
      <x:c r="S604" s="65" t="n">
        <x:f>R604/Q604</x:f>
        <x:v>-0.16704808487908082</x:v>
      </x:c>
      <x:c r="T604" s="64" t="n">
        <x:f>-ROUND(Q604*'Drivers'!G604,3)</x:f>
        <x:v>-20.432</x:v>
      </x:c>
      <x:c r="U604" s="65" t="n">
        <x:f>T604/Q604</x:f>
        <x:v>-0.017833265254110064</x:v>
      </x:c>
      <x:c r="V604" s="64" t="n">
        <x:f>-ROUND(Q604*'Drivers'!H604,3)</x:f>
        <x:v>-8.93</x:v>
      </x:c>
      <x:c r="W604" s="64" t="n">
        <x:f>-ROUND(Q604*'Drivers'!I604,3)</x:f>
        <x:v>-9.524</x:v>
      </x:c>
      <x:c r="X604" s="64" t="n">
        <x:f>-ROUND(Q604*'Drivers'!J604,3)</x:f>
        <x:v>-15.066</x:v>
      </x:c>
      <x:c r="Y604" s="64" t="n">
        <x:f>-ROUND(Q604*'Drivers'!K604,3)</x:f>
        <x:v>-11.103</x:v>
      </x:c>
      <x:c r="Z604" s="64" t="n">
        <x:f>-ROUND(Q604*'Drivers'!L604,3)</x:f>
        <x:v>-13.438</x:v>
      </x:c>
      <x:c r="AA604" s="64" t="n">
        <x:f>-ROUND(Q604*'Drivers'!M604,3)</x:f>
        <x:v>-7.267</x:v>
      </x:c>
      <x:c r="AB604" s="64" t="n">
        <x:f>-ROUND(Q604*'Drivers'!N604,3)</x:f>
        <x:v>-6.837</x:v>
      </x:c>
      <x:c r="AC604" s="64" t="n">
        <x:f>SUM(V604:AB604)</x:f>
        <x:v>-72.165</x:v>
      </x:c>
      <x:c r="AD604" s="65" t="n">
        <x:f>AC604/Q604</x:f>
        <x:v>-0.06298637368161966</x:v>
      </x:c>
      <x:c r="AE604" s="64" t="n">
        <x:f>-ROUND(Q604*'Drivers'!O604,3)</x:f>
        <x:v>-13.204</x:v>
      </x:c>
      <x:c r="AF604" s="65" t="n">
        <x:f>AE604/Q604</x:f>
        <x:v>-0.01152459056456878</x:v>
      </x:c>
      <x:c r="AG604" s="64" t="n">
        <x:f>-ROUND(Q604*'Drivers'!P604,3)</x:f>
        <x:v>-2.294</x:v>
      </x:c>
      <x:c r="AH604" s="64" t="n">
        <x:f>-ROUND(Q604*'Drivers'!Q604,3)</x:f>
        <x:v>-3.195</x:v>
      </x:c>
      <x:c r="AI604" s="64" t="n">
        <x:f>SUM(R604,T604,AC604,AE604,AG604,AH604)</x:f>
        <x:v>-302.681</x:v>
      </x:c>
      <x:c r="AJ604" s="65" t="n">
        <x:f>AI604/Q604</x:f>
        <x:v>-0.26418317151425647</x:v>
      </x:c>
      <x:c r="AK604" s="64" t="n">
        <x:f>Q604+AI604</x:f>
        <x:v>843.0429999999999</x:v>
      </x:c>
      <x:c r="AL604" s="65" t="n">
        <x:f>AK604/Q604</x:f>
        <x:v>0.7358168284857435</x:v>
      </x:c>
      <x:c r="AM604" s="64" t="n">
        <x:f>AK604/L604</x:f>
        <x:v>281.0143333333333</x:v>
      </x:c>
      <x:c r="AN604" s="66" t="str">
        <x:f>IF(AM604&lt;=200,"≤200K",IF(AM604&lt;=350,"200–350K",IF(AM604&lt;=500,"350–500K",IF(AM604&lt;=700,"500–700K","&gt;700K"))))</x:f>
        <x:v>200–350K</x:v>
      </x:c>
      <x:c r="AO604" s="64" t="n">
        <x:f>-ROUND(Q604*'Drivers'!R604,3)</x:f>
        <x:v>-441.451</x:v>
      </x:c>
      <x:c r="AP604" s="64" t="n">
        <x:f>-ROUND(AK604*'Drivers'!S604,3)</x:f>
        <x:v>-9.799</x:v>
      </x:c>
      <x:c r="AQ604" s="64" t="n">
        <x:f>-ROUND(AK604*'Drivers'!T604,3)</x:f>
        <x:v>-2.591</x:v>
      </x:c>
      <x:c r="AR604" s="64" t="n">
        <x:f>-ROUND(AK604*'Drivers'!U604,3)</x:f>
        <x:v>-5.6</x:v>
      </x:c>
      <x:c r="AS604" s="64" t="n">
        <x:f>-ROUND(AK604*'Drivers'!V604,3)</x:f>
        <x:v>-26.665</x:v>
      </x:c>
      <x:c r="AT604" s="64" t="n">
        <x:f>SUM(AO604:AS604)</x:f>
        <x:v>-486.10600000000005</x:v>
      </x:c>
      <x:c r="AU604" s="65" t="n">
        <x:f>AT604/AK604</x:f>
        <x:v>-0.5766087850797648</x:v>
      </x:c>
      <x:c r="AV604" s="64" t="n">
        <x:f>AK604+AT604</x:f>
        <x:v>356.93699999999984</x:v>
      </x:c>
      <x:c r="AW604" s="65" t="n">
        <x:f>AV604/AK604</x:f>
        <x:v>0.42339121492023524</x:v>
      </x:c>
      <x:c r="AX604" s="64" t="n">
        <x:f>-ROUND(AK604*'Drivers'!W604,3)</x:f>
        <x:v>-10.802</x:v>
      </x:c>
      <x:c r="AY604" s="64" t="n">
        <x:f>-ROUND(AK604*'Drivers'!X604,3)</x:f>
        <x:v>-25.935</x:v>
      </x:c>
      <x:c r="AZ604" s="64" t="n">
        <x:f>-ROUND(AK604*'Drivers'!Y604,3)</x:f>
        <x:v>-19.447</x:v>
      </x:c>
      <x:c r="BA604" s="64" t="n">
        <x:f>-ROUND(AK604*'Drivers'!Z604,3)</x:f>
        <x:v>-7.803</x:v>
      </x:c>
      <x:c r="BB604" s="64" t="n">
        <x:f>-ROUND(AK604*'Drivers'!AA604,3)</x:f>
        <x:v>-6.839</x:v>
      </x:c>
      <x:c r="BC604" s="64" t="n">
        <x:f>SUM(BA604,BB604)</x:f>
        <x:v>-14.642</x:v>
      </x:c>
      <x:c r="BD604" s="64" t="n">
        <x:f>-ROUND(AK604*'Drivers'!AB604,3)</x:f>
        <x:v>-3.605</x:v>
      </x:c>
      <x:c r="BE604" s="64" t="n">
        <x:f>SUM(AX604:BB604,BD604)</x:f>
        <x:v>-74.431</x:v>
      </x:c>
      <x:c r="BF604" s="67" t="n">
        <x:f>'Drivers'!AF604</x:f>
        <x:v>5</x:v>
      </x:c>
      <x:c r="BG604" s="64" t="n">
        <x:f>BJ604</x:f>
        <x:v>-19.575</x:v>
      </x:c>
      <x:c r="BH604" s="64" t="n">
        <x:f>BE604/BF604</x:f>
        <x:v>-14.886199999999999</x:v>
      </x:c>
      <x:c r="BI604" s="68" t="n">
        <x:f>BF604/L604</x:f>
        <x:v>1.6666666666666667</x:v>
      </x:c>
      <x:c r="BJ604" s="64" t="n">
        <x:f>-ROUND(AK604*'Drivers'!AC604,3)</x:f>
        <x:v>-19.575</x:v>
      </x:c>
      <x:c r="BK604" s="64" t="n">
        <x:f>-ROUND(AK604*'Drivers'!AD604,3)</x:f>
        <x:v>-99.384</x:v>
      </x:c>
      <x:c r="BL604" s="64" t="n">
        <x:f>SUM(AV604,BE604,BJ604,BK604)</x:f>
        <x:v>163.54699999999985</x:v>
      </x:c>
      <x:c r="BM604" s="65" t="n">
        <x:f>BL604/AK604</x:f>
        <x:v>0.19399603578939612</x:v>
      </x:c>
      <x:c r="BN604" s="64" t="n">
        <x:f>-ROUND(AK604*'Drivers'!AE604,3)</x:f>
        <x:v>-69.469</x:v>
      </x:c>
      <x:c r="BO604" s="64" t="n">
        <x:f>BL604+BN604</x:f>
        <x:v>94.07799999999986</x:v>
      </x:c>
      <x:c r="BP604" s="65" t="n">
        <x:f>BO604/AK604</x:f>
        <x:v>0.11159335882036844</x:v>
      </x:c>
    </x:row>
    <x:row r="605">
      <x:c r="A605" s="61" t="n">
        <x:v>2026</x:v>
      </x:c>
      <x:c r="B605" s="18" t="str">
        <x:v>S2</x:v>
      </x:c>
      <x:c r="C605" s="18" t="str">
        <x:v>2026 S2</x:v>
      </x:c>
      <x:c r="D605" s="18" t="str">
        <x:v>CNCT0151</x:v>
      </x:c>
      <x:c r="E605" s="18" t="str">
        <x:v>郑州锦艺城</x:v>
      </x:c>
      <x:c r="F605" s="18" t="str">
        <x:v>郑州</x:v>
      </x:c>
      <x:c r="G605" s="18" t="str">
        <x:v>河南省</x:v>
      </x:c>
      <x:c r="H605" s="18" t="str">
        <x:v>北区</x:v>
      </x:c>
      <x:c r="I605" s="18" t="str">
        <x:v>Shopping Mall</x:v>
      </x:c>
      <x:c r="J605" s="18" t="str">
        <x:v>Regional Mall</x:v>
      </x:c>
      <x:c r="K605" s="18" t="str">
        <x:v>正常</x:v>
      </x:c>
      <x:c r="L605" s="62" t="n">
        <x:v>3</x:v>
      </x:c>
      <x:c r="M605" s="62" t="n">
        <x:v>31</x:v>
      </x:c>
      <x:c r="N605" s="63" t="n">
        <x:f>'Drivers'!C605</x:f>
        <x:v>1213</x:v>
      </x:c>
      <x:c r="O605" s="63" t="n">
        <x:f>'Drivers'!D605</x:f>
        <x:v>1057.857</x:v>
      </x:c>
      <x:c r="P605" s="64" t="n">
        <x:f>ROUND(N605*O605/1000,3)</x:f>
        <x:v>1283.181</x:v>
      </x:c>
      <x:c r="Q605" s="64" t="n">
        <x:f>ROUND(P605*'Drivers'!E605,3)</x:f>
        <x:v>1235.921</x:v>
      </x:c>
      <x:c r="R605" s="64" t="n">
        <x:f>-ROUND(Q605*'Drivers'!F605,3)</x:f>
        <x:v>-201.461</x:v>
      </x:c>
      <x:c r="S605" s="65" t="n">
        <x:f>R605/Q605</x:f>
        <x:v>-0.16300475515829896</x:v>
      </x:c>
      <x:c r="T605" s="64" t="n">
        <x:f>-ROUND(Q605*'Drivers'!G605,3)</x:f>
        <x:v>-22.268</x:v>
      </x:c>
      <x:c r="U605" s="65" t="n">
        <x:f>T605/Q605</x:f>
        <x:v>-0.018017332823052606</x:v>
      </x:c>
      <x:c r="V605" s="64" t="n">
        <x:f>-ROUND(Q605*'Drivers'!H605,3)</x:f>
        <x:v>-9.633</x:v>
      </x:c>
      <x:c r="W605" s="64" t="n">
        <x:f>-ROUND(Q605*'Drivers'!I605,3)</x:f>
        <x:v>-10.273</x:v>
      </x:c>
      <x:c r="X605" s="64" t="n">
        <x:f>-ROUND(Q605*'Drivers'!J605,3)</x:f>
        <x:v>-16.252</x:v>
      </x:c>
      <x:c r="Y605" s="64" t="n">
        <x:f>-ROUND(Q605*'Drivers'!K605,3)</x:f>
        <x:v>-11.977</x:v>
      </x:c>
      <x:c r="Z605" s="64" t="n">
        <x:f>-ROUND(Q605*'Drivers'!L605,3)</x:f>
        <x:v>-14.496</x:v>
      </x:c>
      <x:c r="AA605" s="64" t="n">
        <x:f>-ROUND(Q605*'Drivers'!M605,3)</x:f>
        <x:v>-7.839</x:v>
      </x:c>
      <x:c r="AB605" s="64" t="n">
        <x:f>-ROUND(Q605*'Drivers'!N605,3)</x:f>
        <x:v>-7.376</x:v>
      </x:c>
      <x:c r="AC605" s="64" t="n">
        <x:f>SUM(V605:AB605)</x:f>
        <x:v>-77.84600000000002</x:v>
      </x:c>
      <x:c r="AD605" s="65" t="n">
        <x:f>AC605/Q605</x:f>
        <x:v>-0.06298622646593109</x:v>
      </x:c>
      <x:c r="AE605" s="64" t="n">
        <x:f>-ROUND(Q605*'Drivers'!O605,3)</x:f>
        <x:v>-14.16</x:v>
      </x:c>
      <x:c r="AF605" s="65" t="n">
        <x:f>AE605/Q605</x:f>
        <x:v>-0.011457042966338463</x:v>
      </x:c>
      <x:c r="AG605" s="64" t="n">
        <x:f>-ROUND(Q605*'Drivers'!P605,3)</x:f>
        <x:v>-2.475</x:v>
      </x:c>
      <x:c r="AH605" s="64" t="n">
        <x:f>-ROUND(Q605*'Drivers'!Q605,3)</x:f>
        <x:v>-3.446</x:v>
      </x:c>
      <x:c r="AI605" s="64" t="n">
        <x:f>SUM(R605,T605,AC605,AE605,AG605,AH605)</x:f>
        <x:v>-321.6560000000001</x:v>
      </x:c>
      <x:c r="AJ605" s="65" t="n">
        <x:f>AI605/Q605</x:f>
        <x:v>-0.2602561166935428</x:v>
      </x:c>
      <x:c r="AK605" s="64" t="n">
        <x:f>Q605+AI605</x:f>
        <x:v>914.2649999999999</x:v>
      </x:c>
      <x:c r="AL605" s="65" t="n">
        <x:f>AK605/Q605</x:f>
        <x:v>0.7397438833064571</x:v>
      </x:c>
      <x:c r="AM605" s="64" t="n">
        <x:f>AK605/L605</x:f>
        <x:v>304.75499999999994</x:v>
      </x:c>
      <x:c r="AN605" s="66" t="str">
        <x:f>IF(AM605&lt;=200,"≤200K",IF(AM605&lt;=350,"200–350K",IF(AM605&lt;=500,"350–500K",IF(AM605&lt;=700,"500–700K","&gt;700K"))))</x:f>
        <x:v>200–350K</x:v>
      </x:c>
      <x:c r="AO605" s="64" t="n">
        <x:f>-ROUND(Q605*'Drivers'!R605,3)</x:f>
        <x:v>-483.907</x:v>
      </x:c>
      <x:c r="AP605" s="64" t="n">
        <x:f>-ROUND(AK605*'Drivers'!S605,3)</x:f>
        <x:v>-10.627</x:v>
      </x:c>
      <x:c r="AQ605" s="64" t="n">
        <x:f>-ROUND(AK605*'Drivers'!T605,3)</x:f>
        <x:v>-2.81</x:v>
      </x:c>
      <x:c r="AR605" s="64" t="n">
        <x:f>-ROUND(AK605*'Drivers'!U605,3)</x:f>
        <x:v>-6.073</x:v>
      </x:c>
      <x:c r="AS605" s="64" t="n">
        <x:f>-ROUND(AK605*'Drivers'!V605,3)</x:f>
        <x:v>-28.918</x:v>
      </x:c>
      <x:c r="AT605" s="64" t="n">
        <x:f>SUM(AO605:AS605)</x:f>
        <x:v>-532.3349999999999</x:v>
      </x:c>
      <x:c r="AU605" s="65" t="n">
        <x:f>AT605/AK605</x:f>
        <x:v>-0.582254597955735</x:v>
      </x:c>
      <x:c r="AV605" s="64" t="n">
        <x:f>AK605+AT605</x:f>
        <x:v>381.92999999999995</x:v>
      </x:c>
      <x:c r="AW605" s="65" t="n">
        <x:f>AV605/AK605</x:f>
        <x:v>0.4177454020442651</x:v>
      </x:c>
      <x:c r="AX605" s="64" t="n">
        <x:f>-ROUND(AK605*'Drivers'!W605,3)</x:f>
        <x:v>-10.092</x:v>
      </x:c>
      <x:c r="AY605" s="64" t="n">
        <x:f>-ROUND(AK605*'Drivers'!X605,3)</x:f>
        <x:v>-24.23</x:v>
      </x:c>
      <x:c r="AZ605" s="64" t="n">
        <x:f>-ROUND(AK605*'Drivers'!Y605,3)</x:f>
        <x:v>-18.169</x:v>
      </x:c>
      <x:c r="BA605" s="64" t="n">
        <x:f>-ROUND(AK605*'Drivers'!Z605,3)</x:f>
        <x:v>-7.29</x:v>
      </x:c>
      <x:c r="BB605" s="64" t="n">
        <x:f>-ROUND(AK605*'Drivers'!AA605,3)</x:f>
        <x:v>-6.389</x:v>
      </x:c>
      <x:c r="BC605" s="64" t="n">
        <x:f>SUM(BA605,BB605)</x:f>
        <x:v>-13.679</x:v>
      </x:c>
      <x:c r="BD605" s="64" t="n">
        <x:f>-ROUND(AK605*'Drivers'!AB605,3)</x:f>
        <x:v>-3.368</x:v>
      </x:c>
      <x:c r="BE605" s="64" t="n">
        <x:f>SUM(AX605:BB605,BD605)</x:f>
        <x:v>-69.538</x:v>
      </x:c>
      <x:c r="BF605" s="67" t="n">
        <x:f>'Drivers'!AF605</x:f>
        <x:v>5</x:v>
      </x:c>
      <x:c r="BG605" s="64" t="n">
        <x:f>BJ605</x:f>
        <x:v>-18.288</x:v>
      </x:c>
      <x:c r="BH605" s="64" t="n">
        <x:f>BE605/BF605</x:f>
        <x:v>-13.907599999999999</x:v>
      </x:c>
      <x:c r="BI605" s="68" t="n">
        <x:f>BF605/L605</x:f>
        <x:v>1.6666666666666667</x:v>
      </x:c>
      <x:c r="BJ605" s="64" t="n">
        <x:f>-ROUND(AK605*'Drivers'!AC605,3)</x:f>
        <x:v>-18.288</x:v>
      </x:c>
      <x:c r="BK605" s="64" t="n">
        <x:f>-ROUND(AK605*'Drivers'!AD605,3)</x:f>
        <x:v>-107.78</x:v>
      </x:c>
      <x:c r="BL605" s="64" t="n">
        <x:f>SUM(AV605,BE605,BJ605,BK605)</x:f>
        <x:v>186.32399999999993</x:v>
      </x:c>
      <x:c r="BM605" s="65" t="n">
        <x:f>BL605/AK605</x:f>
        <x:v>0.20379649226427782</x:v>
      </x:c>
      <x:c r="BN605" s="64" t="n">
        <x:f>-ROUND(AK605*'Drivers'!AE605,3)</x:f>
        <x:v>-75.337</x:v>
      </x:c>
      <x:c r="BO605" s="64" t="n">
        <x:f>BL605+BN605</x:f>
        <x:v>110.98699999999992</x:v>
      </x:c>
      <x:c r="BP605" s="65" t="n">
        <x:f>BO605/AK605</x:f>
        <x:v>0.12139478160052057</x:v>
      </x:c>
    </x:row>
    <x:row r="606">
      <x:c r="A606" s="61" t="n">
        <x:v>2025</x:v>
      </x:c>
      <x:c r="B606" s="18" t="str">
        <x:v>S1</x:v>
      </x:c>
      <x:c r="C606" s="18" t="str">
        <x:v>2025 S1</x:v>
      </x:c>
      <x:c r="D606" s="18" t="str">
        <x:v>CNCT0152</x:v>
      </x:c>
      <x:c r="E606" s="18" t="str">
        <x:v>郑州大上海城</x:v>
      </x:c>
      <x:c r="F606" s="18" t="str">
        <x:v>郑州</x:v>
      </x:c>
      <x:c r="G606" s="18" t="str">
        <x:v>河南省</x:v>
      </x:c>
      <x:c r="H606" s="18" t="str">
        <x:v>北区</x:v>
      </x:c>
      <x:c r="I606" s="18" t="str">
        <x:v>Shopping Mall</x:v>
      </x:c>
      <x:c r="J606" s="18" t="str">
        <x:v>Regional Mall</x:v>
      </x:c>
      <x:c r="K606" s="18" t="str">
        <x:v>正常</x:v>
      </x:c>
      <x:c r="L606" s="62" t="n">
        <x:v>3</x:v>
      </x:c>
      <x:c r="M606" s="62" t="n">
        <x:v>33</x:v>
      </x:c>
      <x:c r="N606" s="63" t="n">
        <x:f>'Drivers'!C606</x:f>
        <x:v>1132</x:v>
      </x:c>
      <x:c r="O606" s="63" t="n">
        <x:f>'Drivers'!D606</x:f>
        <x:v>919.523</x:v>
      </x:c>
      <x:c r="P606" s="64" t="n">
        <x:f>ROUND(N606*O606/1000,3)</x:f>
        <x:v>1040.9</x:v>
      </x:c>
      <x:c r="Q606" s="64" t="n">
        <x:f>ROUND(P606*'Drivers'!E606,3)</x:f>
        <x:v>1023.345</x:v>
      </x:c>
      <x:c r="R606" s="64" t="n">
        <x:f>-ROUND(Q606*'Drivers'!F606,3)</x:f>
        <x:v>-202.13</x:v>
      </x:c>
      <x:c r="S606" s="65" t="n">
        <x:f>R606/Q606</x:f>
        <x:v>-0.1975189207940626</x:v>
      </x:c>
      <x:c r="T606" s="64" t="n">
        <x:f>-ROUND(Q606*'Drivers'!G606,3)</x:f>
        <x:v>-14.597</x:v>
      </x:c>
      <x:c r="U606" s="65" t="n">
        <x:f>T606/Q606</x:f>
        <x:v>-0.01426400676213789</x:v>
      </x:c>
      <x:c r="V606" s="64" t="n">
        <x:f>-ROUND(Q606*'Drivers'!H606,3)</x:f>
        <x:v>-12.92</x:v>
      </x:c>
      <x:c r="W606" s="64" t="n">
        <x:f>-ROUND(Q606*'Drivers'!I606,3)</x:f>
        <x:v>-8.265</x:v>
      </x:c>
      <x:c r="X606" s="64" t="n">
        <x:f>-ROUND(Q606*'Drivers'!J606,3)</x:f>
        <x:v>-17.116</x:v>
      </x:c>
      <x:c r="Y606" s="64" t="n">
        <x:f>-ROUND(Q606*'Drivers'!K606,3)</x:f>
        <x:v>-11.774</x:v>
      </x:c>
      <x:c r="Z606" s="64" t="n">
        <x:f>-ROUND(Q606*'Drivers'!L606,3)</x:f>
        <x:v>-12.102</x:v>
      </x:c>
      <x:c r="AA606" s="64" t="n">
        <x:f>-ROUND(Q606*'Drivers'!M606,3)</x:f>
        <x:v>-6.713</x:v>
      </x:c>
      <x:c r="AB606" s="64" t="n">
        <x:f>-ROUND(Q606*'Drivers'!N606,3)</x:f>
        <x:v>-6.595</x:v>
      </x:c>
      <x:c r="AC606" s="64" t="n">
        <x:f>SUM(V606:AB606)</x:f>
        <x:v>-75.485</x:v>
      </x:c>
      <x:c r="AD606" s="65" t="n">
        <x:f>AC606/Q606</x:f>
        <x:v>-0.0737630027019236</x:v>
      </x:c>
      <x:c r="AE606" s="64" t="n">
        <x:f>-ROUND(Q606*'Drivers'!O606,3)</x:f>
        <x:v>-10.288</x:v>
      </x:c>
      <x:c r="AF606" s="65" t="n">
        <x:f>AE606/Q606</x:f>
        <x:v>-0.010053305581206729</x:v>
      </x:c>
      <x:c r="AG606" s="64" t="n">
        <x:f>-ROUND(Q606*'Drivers'!P606,3)</x:f>
        <x:v>-1.033</x:v>
      </x:c>
      <x:c r="AH606" s="64" t="n">
        <x:f>-ROUND(Q606*'Drivers'!Q606,3)</x:f>
        <x:v>-4.377</x:v>
      </x:c>
      <x:c r="AI606" s="64" t="n">
        <x:f>SUM(R606,T606,AC606,AE606,AG606,AH606)</x:f>
        <x:v>-307.91</x:v>
      </x:c>
      <x:c r="AJ606" s="65" t="n">
        <x:f>AI606/Q606</x:f>
        <x:v>-0.3008858205199615</x:v>
      </x:c>
      <x:c r="AK606" s="64" t="n">
        <x:f>Q606+AI606</x:f>
        <x:v>715.435</x:v>
      </x:c>
      <x:c r="AL606" s="65" t="n">
        <x:f>AK606/Q606</x:f>
        <x:v>0.6991141794800384</x:v>
      </x:c>
      <x:c r="AM606" s="64" t="n">
        <x:f>AK606/L606</x:f>
        <x:v>238.47833333333332</x:v>
      </x:c>
      <x:c r="AN606" s="66" t="str">
        <x:f>IF(AM606&lt;=200,"≤200K",IF(AM606&lt;=350,"200–350K",IF(AM606&lt;=500,"350–500K",IF(AM606&lt;=700,"500–700K","&gt;700K"))))</x:f>
        <x:v>200–350K</x:v>
      </x:c>
      <x:c r="AO606" s="64" t="n">
        <x:f>-ROUND(Q606*'Drivers'!R606,3)</x:f>
        <x:v>-369.948</x:v>
      </x:c>
      <x:c r="AP606" s="64" t="n">
        <x:f>-ROUND(AK606*'Drivers'!S606,3)</x:f>
        <x:v>-9.206</x:v>
      </x:c>
      <x:c r="AQ606" s="64" t="n">
        <x:f>-ROUND(AK606*'Drivers'!T606,3)</x:f>
        <x:v>-4.727</x:v>
      </x:c>
      <x:c r="AR606" s="64" t="n">
        <x:f>-ROUND(AK606*'Drivers'!U606,3)</x:f>
        <x:v>-7.593</x:v>
      </x:c>
      <x:c r="AS606" s="64" t="n">
        <x:f>-ROUND(AK606*'Drivers'!V606,3)</x:f>
        <x:v>-27.713</x:v>
      </x:c>
      <x:c r="AT606" s="64" t="n">
        <x:f>SUM(AO606:AS606)</x:f>
        <x:v>-419.187</x:v>
      </x:c>
      <x:c r="AU606" s="65" t="n">
        <x:f>AT606/AK606</x:f>
        <x:v>-0.5859190562385123</x:v>
      </x:c>
      <x:c r="AV606" s="64" t="n">
        <x:f>AK606+AT606</x:f>
        <x:v>296.24799999999993</x:v>
      </x:c>
      <x:c r="AW606" s="65" t="n">
        <x:f>AV606/AK606</x:f>
        <x:v>0.4140809437614877</x:v>
      </x:c>
      <x:c r="AX606" s="64" t="n">
        <x:f>-ROUND(AK606*'Drivers'!W606,3)</x:f>
        <x:v>-9.37</x:v>
      </x:c>
      <x:c r="AY606" s="64" t="n">
        <x:f>-ROUND(AK606*'Drivers'!X606,3)</x:f>
        <x:v>-17.424</x:v>
      </x:c>
      <x:c r="AZ606" s="64" t="n">
        <x:f>-ROUND(AK606*'Drivers'!Y606,3)</x:f>
        <x:v>-14.085</x:v>
      </x:c>
      <x:c r="BA606" s="64" t="n">
        <x:f>-ROUND(AK606*'Drivers'!Z606,3)</x:f>
        <x:v>-3.679</x:v>
      </x:c>
      <x:c r="BB606" s="64" t="n">
        <x:f>-ROUND(AK606*'Drivers'!AA606,3)</x:f>
        <x:v>-3.968</x:v>
      </x:c>
      <x:c r="BC606" s="64" t="n">
        <x:f>SUM(BA606,BB606)</x:f>
        <x:v>-7.647</x:v>
      </x:c>
      <x:c r="BD606" s="64" t="n">
        <x:f>-ROUND(AK606*'Drivers'!AB606,3)</x:f>
        <x:v>-4.323</x:v>
      </x:c>
      <x:c r="BE606" s="64" t="n">
        <x:f>SUM(AX606:BB606,BD606)</x:f>
        <x:v>-52.849</x:v>
      </x:c>
      <x:c r="BF606" s="67" t="n">
        <x:f>'Drivers'!AF606</x:f>
        <x:v>5</x:v>
      </x:c>
      <x:c r="BG606" s="64" t="n">
        <x:f>BJ606</x:f>
        <x:v>-14.689</x:v>
      </x:c>
      <x:c r="BH606" s="64" t="n">
        <x:f>BE606/BF606</x:f>
        <x:v>-10.569799999999999</x:v>
      </x:c>
      <x:c r="BI606" s="68" t="n">
        <x:f>BF606/L606</x:f>
        <x:v>1.6666666666666667</x:v>
      </x:c>
      <x:c r="BJ606" s="64" t="n">
        <x:f>-ROUND(AK606*'Drivers'!AC606,3)</x:f>
        <x:v>-14.689</x:v>
      </x:c>
      <x:c r="BK606" s="64" t="n">
        <x:f>-ROUND(AK606*'Drivers'!AD606,3)</x:f>
        <x:v>-78.171</x:v>
      </x:c>
      <x:c r="BL606" s="64" t="n">
        <x:f>SUM(AV606,BE606,BJ606,BK606)</x:f>
        <x:v>150.53899999999993</x:v>
      </x:c>
      <x:c r="BM606" s="65" t="n">
        <x:f>BL606/AK606</x:f>
        <x:v>0.2104160405906895</x:v>
      </x:c>
      <x:c r="BN606" s="64" t="n">
        <x:f>-ROUND(AK606*'Drivers'!AE606,3)</x:f>
        <x:v>-63.84</x:v>
      </x:c>
      <x:c r="BO606" s="64" t="n">
        <x:f>BL606+BN606</x:f>
        <x:v>86.69899999999993</x:v>
      </x:c>
      <x:c r="BP606" s="65" t="n">
        <x:f>BO606/AK606</x:f>
        <x:v>0.12118361556255974</x:v>
      </x:c>
    </x:row>
    <x:row r="607">
      <x:c r="A607" s="61" t="n">
        <x:v>2025</x:v>
      </x:c>
      <x:c r="B607" s="18" t="str">
        <x:v>S2</x:v>
      </x:c>
      <x:c r="C607" s="18" t="str">
        <x:v>2025 S2</x:v>
      </x:c>
      <x:c r="D607" s="18" t="str">
        <x:v>CNCT0152</x:v>
      </x:c>
      <x:c r="E607" s="18" t="str">
        <x:v>郑州大上海城</x:v>
      </x:c>
      <x:c r="F607" s="18" t="str">
        <x:v>郑州</x:v>
      </x:c>
      <x:c r="G607" s="18" t="str">
        <x:v>河南省</x:v>
      </x:c>
      <x:c r="H607" s="18" t="str">
        <x:v>北区</x:v>
      </x:c>
      <x:c r="I607" s="18" t="str">
        <x:v>Shopping Mall</x:v>
      </x:c>
      <x:c r="J607" s="18" t="str">
        <x:v>Regional Mall</x:v>
      </x:c>
      <x:c r="K607" s="18" t="str">
        <x:v>正常</x:v>
      </x:c>
      <x:c r="L607" s="62" t="n">
        <x:v>3</x:v>
      </x:c>
      <x:c r="M607" s="62" t="n">
        <x:v>33</x:v>
      </x:c>
      <x:c r="N607" s="63" t="n">
        <x:f>'Drivers'!C607</x:f>
        <x:v>1192</x:v>
      </x:c>
      <x:c r="O607" s="63" t="n">
        <x:f>'Drivers'!D607</x:f>
        <x:v>930.557</x:v>
      </x:c>
      <x:c r="P607" s="64" t="n">
        <x:f>ROUND(N607*O607/1000,3)</x:f>
        <x:v>1109.224</x:v>
      </x:c>
      <x:c r="Q607" s="64" t="n">
        <x:f>ROUND(P607*'Drivers'!E607,3)</x:f>
        <x:v>1067.564</x:v>
      </x:c>
      <x:c r="R607" s="64" t="n">
        <x:f>-ROUND(Q607*'Drivers'!F607,3)</x:f>
        <x:v>-210.865</x:v>
      </x:c>
      <x:c r="S607" s="65" t="n">
        <x:f>R607/Q607</x:f>
        <x:v>-0.1975197739901308</x:v>
      </x:c>
      <x:c r="T607" s="64" t="n">
        <x:f>-ROUND(Q607*'Drivers'!G607,3)</x:f>
        <x:v>-15.227</x:v>
      </x:c>
      <x:c r="U607" s="65" t="n">
        <x:f>T607/Q607</x:f>
        <x:v>-0.014263313487528616</x:v>
      </x:c>
      <x:c r="V607" s="64" t="n">
        <x:f>-ROUND(Q607*'Drivers'!H607,3)</x:f>
        <x:v>-13.478</x:v>
      </x:c>
      <x:c r="W607" s="64" t="n">
        <x:f>-ROUND(Q607*'Drivers'!I607,3)</x:f>
        <x:v>-8.622</x:v>
      </x:c>
      <x:c r="X607" s="64" t="n">
        <x:f>-ROUND(Q607*'Drivers'!J607,3)</x:f>
        <x:v>-17.855</x:v>
      </x:c>
      <x:c r="Y607" s="64" t="n">
        <x:f>-ROUND(Q607*'Drivers'!K607,3)</x:f>
        <x:v>-12.282</x:v>
      </x:c>
      <x:c r="Z607" s="64" t="n">
        <x:f>-ROUND(Q607*'Drivers'!L607,3)</x:f>
        <x:v>-12.625</x:v>
      </x:c>
      <x:c r="AA607" s="64" t="n">
        <x:f>-ROUND(Q607*'Drivers'!M607,3)</x:f>
        <x:v>-7.003</x:v>
      </x:c>
      <x:c r="AB607" s="64" t="n">
        <x:f>-ROUND(Q607*'Drivers'!N607,3)</x:f>
        <x:v>-6.88</x:v>
      </x:c>
      <x:c r="AC607" s="64" t="n">
        <x:f>SUM(V607:AB607)</x:f>
        <x:v>-78.74499999999999</x:v>
      </x:c>
      <x:c r="AD607" s="65" t="n">
        <x:f>AC607/Q607</x:f>
        <x:v>-0.07376138573425105</x:v>
      </x:c>
      <x:c r="AE607" s="64" t="n">
        <x:f>-ROUND(Q607*'Drivers'!O607,3)</x:f>
        <x:v>-10.733</x:v>
      </x:c>
      <x:c r="AF607" s="65" t="n">
        <x:f>AE607/Q607</x:f>
        <x:v>-0.010053729799805913</x:v>
      </x:c>
      <x:c r="AG607" s="64" t="n">
        <x:f>-ROUND(Q607*'Drivers'!P607,3)</x:f>
        <x:v>-1.077</x:v>
      </x:c>
      <x:c r="AH607" s="64" t="n">
        <x:f>-ROUND(Q607*'Drivers'!Q607,3)</x:f>
        <x:v>-4.566</x:v>
      </x:c>
      <x:c r="AI607" s="64" t="n">
        <x:f>SUM(R607,T607,AC607,AE607,AG607,AH607)</x:f>
        <x:v>-321.21299999999997</x:v>
      </x:c>
      <x:c r="AJ607" s="65" t="n">
        <x:f>AI607/Q607</x:f>
        <x:v>-0.3008840687771412</x:v>
      </x:c>
      <x:c r="AK607" s="64" t="n">
        <x:f>Q607+AI607</x:f>
        <x:v>746.3510000000001</x:v>
      </x:c>
      <x:c r="AL607" s="65" t="n">
        <x:f>AK607/Q607</x:f>
        <x:v>0.6991159312228589</x:v>
      </x:c>
      <x:c r="AM607" s="64" t="n">
        <x:f>AK607/L607</x:f>
        <x:v>248.7836666666667</x:v>
      </x:c>
      <x:c r="AN607" s="66" t="str">
        <x:f>IF(AM607&lt;=200,"≤200K",IF(AM607&lt;=350,"200–350K",IF(AM607&lt;=500,"350–500K",IF(AM607&lt;=700,"500–700K","&gt;700K"))))</x:f>
        <x:v>200–350K</x:v>
      </x:c>
      <x:c r="AO607" s="64" t="n">
        <x:f>-ROUND(Q607*'Drivers'!R607,3)</x:f>
        <x:v>-369.401</x:v>
      </x:c>
      <x:c r="AP607" s="64" t="n">
        <x:f>-ROUND(AK607*'Drivers'!S607,3)</x:f>
        <x:v>-9.604</x:v>
      </x:c>
      <x:c r="AQ607" s="64" t="n">
        <x:f>-ROUND(AK607*'Drivers'!T607,3)</x:f>
        <x:v>-4.931</x:v>
      </x:c>
      <x:c r="AR607" s="64" t="n">
        <x:f>-ROUND(AK607*'Drivers'!U607,3)</x:f>
        <x:v>-7.921</x:v>
      </x:c>
      <x:c r="AS607" s="64" t="n">
        <x:f>-ROUND(AK607*'Drivers'!V607,3)</x:f>
        <x:v>-28.911</x:v>
      </x:c>
      <x:c r="AT607" s="64" t="n">
        <x:f>SUM(AO607:AS607)</x:f>
        <x:v>-420.768</x:v>
      </x:c>
      <x:c r="AU607" s="65" t="n">
        <x:f>AT607/AK607</x:f>
        <x:v>-0.5637669139587137</x:v>
      </x:c>
      <x:c r="AV607" s="64" t="n">
        <x:f>AK607+AT607</x:f>
        <x:v>325.58300000000014</x:v>
      </x:c>
      <x:c r="AW607" s="65" t="n">
        <x:f>AV607/AK607</x:f>
        <x:v>0.4362330860412863</x:v>
      </x:c>
      <x:c r="AX607" s="64" t="n">
        <x:f>-ROUND(AK607*'Drivers'!W607,3)</x:f>
        <x:v>-9.775</x:v>
      </x:c>
      <x:c r="AY607" s="64" t="n">
        <x:f>-ROUND(AK607*'Drivers'!X607,3)</x:f>
        <x:v>-18.177</x:v>
      </x:c>
      <x:c r="AZ607" s="64" t="n">
        <x:f>-ROUND(AK607*'Drivers'!Y607,3)</x:f>
        <x:v>-14.694</x:v>
      </x:c>
      <x:c r="BA607" s="64" t="n">
        <x:f>-ROUND(AK607*'Drivers'!Z607,3)</x:f>
        <x:v>-3.838</x:v>
      </x:c>
      <x:c r="BB607" s="64" t="n">
        <x:f>-ROUND(AK607*'Drivers'!AA607,3)</x:f>
        <x:v>-4.14</x:v>
      </x:c>
      <x:c r="BC607" s="64" t="n">
        <x:f>SUM(BA607,BB607)</x:f>
        <x:v>-7.978</x:v>
      </x:c>
      <x:c r="BD607" s="64" t="n">
        <x:f>-ROUND(AK607*'Drivers'!AB607,3)</x:f>
        <x:v>-4.509</x:v>
      </x:c>
      <x:c r="BE607" s="64" t="n">
        <x:f>SUM(AX607:BB607,BD607)</x:f>
        <x:v>-55.133</x:v>
      </x:c>
      <x:c r="BF607" s="67" t="n">
        <x:f>'Drivers'!AF607</x:f>
        <x:v>5</x:v>
      </x:c>
      <x:c r="BG607" s="64" t="n">
        <x:f>BJ607</x:f>
        <x:v>-15.324</x:v>
      </x:c>
      <x:c r="BH607" s="64" t="n">
        <x:f>BE607/BF607</x:f>
        <x:v>-11.0266</x:v>
      </x:c>
      <x:c r="BI607" s="68" t="n">
        <x:f>BF607/L607</x:f>
        <x:v>1.6666666666666667</x:v>
      </x:c>
      <x:c r="BJ607" s="64" t="n">
        <x:f>-ROUND(AK607*'Drivers'!AC607,3)</x:f>
        <x:v>-15.324</x:v>
      </x:c>
      <x:c r="BK607" s="64" t="n">
        <x:f>-ROUND(AK607*'Drivers'!AD607,3)</x:f>
        <x:v>-81.549</x:v>
      </x:c>
      <x:c r="BL607" s="64" t="n">
        <x:f>SUM(AV607,BE607,BJ607,BK607)</x:f>
        <x:v>173.57700000000014</x:v>
      </x:c>
      <x:c r="BM607" s="65" t="n">
        <x:f>BL607/AK607</x:f>
        <x:v>0.23256751850000887</x:v>
      </x:c>
      <x:c r="BN607" s="64" t="n">
        <x:f>-ROUND(AK607*'Drivers'!AE607,3)</x:f>
        <x:v>-66.599</x:v>
      </x:c>
      <x:c r="BO607" s="64" t="n">
        <x:f>BL607+BN607</x:f>
        <x:v>106.97800000000014</x:v>
      </x:c>
      <x:c r="BP607" s="65" t="n">
        <x:f>BO607/AK607</x:f>
        <x:v>0.1433347044487113</x:v>
      </x:c>
    </x:row>
    <x:row r="608">
      <x:c r="A608" s="61" t="n">
        <x:v>2026</x:v>
      </x:c>
      <x:c r="B608" s="18" t="str">
        <x:v>S1</x:v>
      </x:c>
      <x:c r="C608" s="18" t="str">
        <x:v>2026 S1</x:v>
      </x:c>
      <x:c r="D608" s="18" t="str">
        <x:v>CNCT0152</x:v>
      </x:c>
      <x:c r="E608" s="18" t="str">
        <x:v>郑州大上海城</x:v>
      </x:c>
      <x:c r="F608" s="18" t="str">
        <x:v>郑州</x:v>
      </x:c>
      <x:c r="G608" s="18" t="str">
        <x:v>河南省</x:v>
      </x:c>
      <x:c r="H608" s="18" t="str">
        <x:v>北区</x:v>
      </x:c>
      <x:c r="I608" s="18" t="str">
        <x:v>Shopping Mall</x:v>
      </x:c>
      <x:c r="J608" s="18" t="str">
        <x:v>Regional Mall</x:v>
      </x:c>
      <x:c r="K608" s="18" t="str">
        <x:v>正常</x:v>
      </x:c>
      <x:c r="L608" s="62" t="n">
        <x:v>3</x:v>
      </x:c>
      <x:c r="M608" s="62" t="n">
        <x:v>33</x:v>
      </x:c>
      <x:c r="N608" s="63" t="n">
        <x:f>'Drivers'!C608</x:f>
        <x:v>915</x:v>
      </x:c>
      <x:c r="O608" s="63" t="n">
        <x:f>'Drivers'!D608</x:f>
        <x:v>952.059</x:v>
      </x:c>
      <x:c r="P608" s="64" t="n">
        <x:f>ROUND(N608*O608/1000,3)</x:f>
        <x:v>871.134</x:v>
      </x:c>
      <x:c r="Q608" s="64" t="n">
        <x:f>ROUND(P608*'Drivers'!E608,3)</x:f>
        <x:v>857.55</x:v>
      </x:c>
      <x:c r="R608" s="64" t="n">
        <x:f>-ROUND(Q608*'Drivers'!F608,3)</x:f>
        <x:v>-179.673</x:v>
      </x:c>
      <x:c r="S608" s="65" t="n">
        <x:f>R608/Q608</x:f>
        <x:v>-0.20951897848521953</x:v>
      </x:c>
      <x:c r="T608" s="64" t="n">
        <x:f>-ROUND(Q608*'Drivers'!G608,3)</x:f>
        <x:v>-10.626</x:v>
      </x:c>
      <x:c r="U608" s="65" t="n">
        <x:f>T608/Q608</x:f>
        <x:v>-0.012391114220745146</x:v>
      </x:c>
      <x:c r="V608" s="64" t="n">
        <x:f>-ROUND(Q608*'Drivers'!H608,3)</x:f>
        <x:v>-10.827</x:v>
      </x:c>
      <x:c r="W608" s="64" t="n">
        <x:f>-ROUND(Q608*'Drivers'!I608,3)</x:f>
        <x:v>-6.926</x:v>
      </x:c>
      <x:c r="X608" s="64" t="n">
        <x:f>-ROUND(Q608*'Drivers'!J608,3)</x:f>
        <x:v>-14.343</x:v>
      </x:c>
      <x:c r="Y608" s="64" t="n">
        <x:f>-ROUND(Q608*'Drivers'!K608,3)</x:f>
        <x:v>-9.866</x:v>
      </x:c>
      <x:c r="Z608" s="64" t="n">
        <x:f>-ROUND(Q608*'Drivers'!L608,3)</x:f>
        <x:v>-10.141</x:v>
      </x:c>
      <x:c r="AA608" s="64" t="n">
        <x:f>-ROUND(Q608*'Drivers'!M608,3)</x:f>
        <x:v>-5.625</x:v>
      </x:c>
      <x:c r="AB608" s="64" t="n">
        <x:f>-ROUND(Q608*'Drivers'!N608,3)</x:f>
        <x:v>-5.527</x:v>
      </x:c>
      <x:c r="AC608" s="64" t="n">
        <x:f>SUM(V608:AB608)</x:f>
        <x:v>-63.255</x:v>
      </x:c>
      <x:c r="AD608" s="65" t="n">
        <x:f>AC608/Q608</x:f>
        <x:v>-0.07376246283015568</x:v>
      </x:c>
      <x:c r="AE608" s="64" t="n">
        <x:f>-ROUND(Q608*'Drivers'!O608,3)</x:f>
        <x:v>-6.998</x:v>
      </x:c>
      <x:c r="AF608" s="65" t="n">
        <x:f>AE608/Q608</x:f>
        <x:v>-0.008160457116203137</x:v>
      </x:c>
      <x:c r="AG608" s="64" t="n">
        <x:f>-ROUND(Q608*'Drivers'!P608,3)</x:f>
        <x:v>-0.865</x:v>
      </x:c>
      <x:c r="AH608" s="64" t="n">
        <x:f>-ROUND(Q608*'Drivers'!Q608,3)</x:f>
        <x:v>-3.668</x:v>
      </x:c>
      <x:c r="AI608" s="64" t="n">
        <x:f>SUM(R608,T608,AC608,AE608,AG608,AH608)</x:f>
        <x:v>-265.08500000000004</x:v>
      </x:c>
      <x:c r="AJ608" s="65" t="n">
        <x:f>AI608/Q608</x:f>
        <x:v>-0.30911900180747487</x:v>
      </x:c>
      <x:c r="AK608" s="64" t="n">
        <x:f>Q608+AI608</x:f>
        <x:v>592.4649999999999</x:v>
      </x:c>
      <x:c r="AL608" s="65" t="n">
        <x:f>AK608/Q608</x:f>
        <x:v>0.6908809981925251</x:v>
      </x:c>
      <x:c r="AM608" s="64" t="n">
        <x:f>AK608/L608</x:f>
        <x:v>197.48833333333332</x:v>
      </x:c>
      <x:c r="AN608" s="66" t="str">
        <x:f>IF(AM608&lt;=200,"≤200K",IF(AM608&lt;=350,"200–350K",IF(AM608&lt;=500,"350–500K",IF(AM608&lt;=700,"500–700K","&gt;700K"))))</x:f>
        <x:v>≤200K</x:v>
      </x:c>
      <x:c r="AO608" s="64" t="n">
        <x:f>-ROUND(Q608*'Drivers'!R608,3)</x:f>
        <x:v>-329.284</x:v>
      </x:c>
      <x:c r="AP608" s="64" t="n">
        <x:f>-ROUND(AK608*'Drivers'!S608,3)</x:f>
        <x:v>-7.624</x:v>
      </x:c>
      <x:c r="AQ608" s="64" t="n">
        <x:f>-ROUND(AK608*'Drivers'!T608,3)</x:f>
        <x:v>-3.915</x:v>
      </x:c>
      <x:c r="AR608" s="64" t="n">
        <x:f>-ROUND(AK608*'Drivers'!U608,3)</x:f>
        <x:v>-6.288</x:v>
      </x:c>
      <x:c r="AS608" s="64" t="n">
        <x:f>-ROUND(AK608*'Drivers'!V608,3)</x:f>
        <x:v>-22.95</x:v>
      </x:c>
      <x:c r="AT608" s="64" t="n">
        <x:f>SUM(AO608:AS608)</x:f>
        <x:v>-370.06100000000004</x:v>
      </x:c>
      <x:c r="AU608" s="65" t="n">
        <x:f>AT608/AK608</x:f>
        <x:v>-0.6246124243626208</x:v>
      </x:c>
      <x:c r="AV608" s="64" t="n">
        <x:f>AK608+AT608</x:f>
        <x:v>222.40399999999988</x:v>
      </x:c>
      <x:c r="AW608" s="65" t="n">
        <x:f>AV608/AK608</x:f>
        <x:v>0.3753875756373793</x:v>
      </x:c>
      <x:c r="AX608" s="64" t="n">
        <x:f>-ROUND(AK608*'Drivers'!W608,3)</x:f>
        <x:v>-9.548</x:v>
      </x:c>
      <x:c r="AY608" s="64" t="n">
        <x:f>-ROUND(AK608*'Drivers'!X608,3)</x:f>
        <x:v>-17.754</x:v>
      </x:c>
      <x:c r="AZ608" s="64" t="n">
        <x:f>-ROUND(AK608*'Drivers'!Y608,3)</x:f>
        <x:v>-14.352</x:v>
      </x:c>
      <x:c r="BA608" s="64" t="n">
        <x:f>-ROUND(AK608*'Drivers'!Z608,3)</x:f>
        <x:v>-3.749</x:v>
      </x:c>
      <x:c r="BB608" s="64" t="n">
        <x:f>-ROUND(AK608*'Drivers'!AA608,3)</x:f>
        <x:v>-4.044</x:v>
      </x:c>
      <x:c r="BC608" s="64" t="n">
        <x:f>SUM(BA608,BB608)</x:f>
        <x:v>-7.792999999999999</x:v>
      </x:c>
      <x:c r="BD608" s="64" t="n">
        <x:f>-ROUND(AK608*'Drivers'!AB608,3)</x:f>
        <x:v>-4.404</x:v>
      </x:c>
      <x:c r="BE608" s="64" t="n">
        <x:f>SUM(AX608:BB608,BD608)</x:f>
        <x:v>-53.851</x:v>
      </x:c>
      <x:c r="BF608" s="67" t="n">
        <x:f>'Drivers'!AF608</x:f>
        <x:v>5</x:v>
      </x:c>
      <x:c r="BG608" s="64" t="n">
        <x:f>BJ608</x:f>
        <x:v>-21.703</x:v>
      </x:c>
      <x:c r="BH608" s="64" t="n">
        <x:f>BE608/BF608</x:f>
        <x:v>-10.770199999999999</x:v>
      </x:c>
      <x:c r="BI608" s="68" t="n">
        <x:f>BF608/L608</x:f>
        <x:v>1.6666666666666667</x:v>
      </x:c>
      <x:c r="BJ608" s="64" t="n">
        <x:f>-ROUND(AK608*'Drivers'!AC608,3)</x:f>
        <x:v>-21.703</x:v>
      </x:c>
      <x:c r="BK608" s="64" t="n">
        <x:f>-ROUND(AK608*'Drivers'!AD608,3)</x:f>
        <x:v>-71.208</x:v>
      </x:c>
      <x:c r="BL608" s="64" t="n">
        <x:f>SUM(AV608,BE608,BJ608,BK608)</x:f>
        <x:v>75.64199999999988</x:v>
      </x:c>
      <x:c r="BM608" s="65" t="n">
        <x:f>BL608/AK608</x:f>
        <x:v>0.1276733646713306</x:v>
      </x:c>
      <x:c r="BN608" s="64" t="n">
        <x:f>-ROUND(AK608*'Drivers'!AE608,3)</x:f>
        <x:v>-84.44</x:v>
      </x:c>
      <x:c r="BO608" s="64" t="n">
        <x:f>BL608+BN608</x:f>
        <x:v>-8.798000000000116</x:v>
      </x:c>
      <x:c r="BP608" s="65" t="n">
        <x:f>BO608/AK608</x:f>
        <x:v>-0.014849822352375443</x:v>
      </x:c>
    </x:row>
    <x:row r="609">
      <x:c r="A609" s="61" t="n">
        <x:v>2026</x:v>
      </x:c>
      <x:c r="B609" s="18" t="str">
        <x:v>S2</x:v>
      </x:c>
      <x:c r="C609" s="18" t="str">
        <x:v>2026 S2</x:v>
      </x:c>
      <x:c r="D609" s="18" t="str">
        <x:v>CNCT0152</x:v>
      </x:c>
      <x:c r="E609" s="18" t="str">
        <x:v>郑州大上海城</x:v>
      </x:c>
      <x:c r="F609" s="18" t="str">
        <x:v>郑州</x:v>
      </x:c>
      <x:c r="G609" s="18" t="str">
        <x:v>河南省</x:v>
      </x:c>
      <x:c r="H609" s="18" t="str">
        <x:v>北区</x:v>
      </x:c>
      <x:c r="I609" s="18" t="str">
        <x:v>Shopping Mall</x:v>
      </x:c>
      <x:c r="J609" s="18" t="str">
        <x:v>Regional Mall</x:v>
      </x:c>
      <x:c r="K609" s="18" t="str">
        <x:v>暂停营业</x:v>
      </x:c>
      <x:c r="L609" s="62" t="n">
        <x:v>1</x:v>
      </x:c>
      <x:c r="M609" s="62" t="n">
        <x:v>31</x:v>
      </x:c>
      <x:c r="N609" s="63" t="n">
        <x:f>'Drivers'!C609</x:f>
        <x:v>490</x:v>
      </x:c>
      <x:c r="O609" s="63" t="n">
        <x:f>'Drivers'!D609</x:f>
        <x:v>961.075</x:v>
      </x:c>
      <x:c r="P609" s="64" t="n">
        <x:f>ROUND(N609*O609/1000,3)</x:f>
        <x:v>470.927</x:v>
      </x:c>
      <x:c r="Q609" s="64" t="n">
        <x:f>ROUND(P609*'Drivers'!E609,3)</x:f>
        <x:v>453.24</x:v>
      </x:c>
      <x:c r="R609" s="64" t="n">
        <x:f>-ROUND(Q609*'Drivers'!F609,3)</x:f>
        <x:v>-87.591</x:v>
      </x:c>
      <x:c r="S609" s="65" t="n">
        <x:f>R609/Q609</x:f>
        <x:v>-0.19325522901773892</x:v>
      </x:c>
      <x:c r="T609" s="64" t="n">
        <x:f>-ROUND(Q609*'Drivers'!G609,3)</x:f>
        <x:v>-6.444</x:v>
      </x:c>
      <x:c r="U609" s="65" t="n">
        <x:f>T609/Q609</x:f>
        <x:v>-0.014217633042096903</x:v>
      </x:c>
      <x:c r="V609" s="64" t="n">
        <x:f>-ROUND(Q609*'Drivers'!H609,3)</x:f>
        <x:v>-5.722</x:v>
      </x:c>
      <x:c r="W609" s="64" t="n">
        <x:f>-ROUND(Q609*'Drivers'!I609,3)</x:f>
        <x:v>-3.661</x:v>
      </x:c>
      <x:c r="X609" s="64" t="n">
        <x:f>-ROUND(Q609*'Drivers'!J609,3)</x:f>
        <x:v>-7.581</x:v>
      </x:c>
      <x:c r="Y609" s="64" t="n">
        <x:f>-ROUND(Q609*'Drivers'!K609,3)</x:f>
        <x:v>-5.215</x:v>
      </x:c>
      <x:c r="Z609" s="64" t="n">
        <x:f>-ROUND(Q609*'Drivers'!L609,3)</x:f>
        <x:v>-5.36</x:v>
      </x:c>
      <x:c r="AA609" s="64" t="n">
        <x:f>-ROUND(Q609*'Drivers'!M609,3)</x:f>
        <x:v>-2.973</x:v>
      </x:c>
      <x:c r="AB609" s="64" t="n">
        <x:f>-ROUND(Q609*'Drivers'!N609,3)</x:f>
        <x:v>-2.921</x:v>
      </x:c>
      <x:c r="AC609" s="64" t="n">
        <x:f>SUM(V609:AB609)</x:f>
        <x:v>-33.433</x:v>
      </x:c>
      <x:c r="AD609" s="65" t="n">
        <x:f>AC609/Q609</x:f>
        <x:v>-0.07376445150472156</x:v>
      </x:c>
      <x:c r="AE609" s="64" t="n">
        <x:f>-ROUND(Q609*'Drivers'!O609,3)</x:f>
        <x:v>-4.557</x:v>
      </x:c>
      <x:c r="AF609" s="65" t="n">
        <x:f>AE609/Q609</x:f>
        <x:v>-0.010054275880328303</x:v>
      </x:c>
      <x:c r="AG609" s="64" t="n">
        <x:f>-ROUND(Q609*'Drivers'!P609,3)</x:f>
        <x:v>-0.457</x:v>
      </x:c>
      <x:c r="AH609" s="64" t="n">
        <x:f>-ROUND(Q609*'Drivers'!Q609,3)</x:f>
        <x:v>-1.939</x:v>
      </x:c>
      <x:c r="AI609" s="64" t="n">
        <x:f>SUM(R609,T609,AC609,AE609,AG609,AH609)</x:f>
        <x:v>-134.42099999999996</x:v>
      </x:c>
      <x:c r="AJ609" s="65" t="n">
        <x:f>AI609/Q609</x:f>
        <x:v>-0.29657797193539837</x:v>
      </x:c>
      <x:c r="AK609" s="64" t="n">
        <x:f>Q609+AI609</x:f>
        <x:v>318.8190000000001</x:v>
      </x:c>
      <x:c r="AL609" s="65" t="n">
        <x:f>AK609/Q609</x:f>
        <x:v>0.7034220280646016</x:v>
      </x:c>
      <x:c r="AM609" s="64" t="n">
        <x:f>AK609/L609</x:f>
        <x:v>318.8190000000001</x:v>
      </x:c>
      <x:c r="AN609" s="66" t="str">
        <x:f>IF(AM609&lt;=200,"≤200K",IF(AM609&lt;=350,"200–350K",IF(AM609&lt;=500,"350–500K",IF(AM609&lt;=700,"500–700K","&gt;700K"))))</x:f>
        <x:v>200–350K</x:v>
      </x:c>
      <x:c r="AO609" s="64" t="n">
        <x:f>-ROUND(Q609*'Drivers'!R609,3)</x:f>
        <x:v>-166.68</x:v>
      </x:c>
      <x:c r="AP609" s="64" t="n">
        <x:f>-ROUND(AK609*'Drivers'!S609,3)</x:f>
        <x:v>-4.103</x:v>
      </x:c>
      <x:c r="AQ609" s="64" t="n">
        <x:f>-ROUND(AK609*'Drivers'!T609,3)</x:f>
        <x:v>-2.107</x:v>
      </x:c>
      <x:c r="AR609" s="64" t="n">
        <x:f>-ROUND(AK609*'Drivers'!U609,3)</x:f>
        <x:v>-3.384</x:v>
      </x:c>
      <x:c r="AS609" s="64" t="n">
        <x:f>-ROUND(AK609*'Drivers'!V609,3)</x:f>
        <x:v>-12.35</x:v>
      </x:c>
      <x:c r="AT609" s="64" t="n">
        <x:f>SUM(AO609:AS609)</x:f>
        <x:v>-188.624</x:v>
      </x:c>
      <x:c r="AU609" s="65" t="n">
        <x:f>AT609/AK609</x:f>
        <x:v>-0.591633497376254</x:v>
      </x:c>
      <x:c r="AV609" s="64" t="n">
        <x:f>AK609+AT609</x:f>
        <x:v>130.19500000000008</x:v>
      </x:c>
      <x:c r="AW609" s="65" t="n">
        <x:f>AV609/AK609</x:f>
        <x:v>0.4083665026237459</x:v>
      </x:c>
      <x:c r="AX609" s="64" t="n">
        <x:f>-ROUND(AK609*'Drivers'!W609,3)</x:f>
        <x:v>-4.426</x:v>
      </x:c>
      <x:c r="AY609" s="64" t="n">
        <x:f>-ROUND(AK609*'Drivers'!X609,3)</x:f>
        <x:v>-8.23</x:v>
      </x:c>
      <x:c r="AZ609" s="64" t="n">
        <x:f>-ROUND(AK609*'Drivers'!Y609,3)</x:f>
        <x:v>-6.653</x:v>
      </x:c>
      <x:c r="BA609" s="64" t="n">
        <x:f>-ROUND(AK609*'Drivers'!Z609,3)</x:f>
        <x:v>-1.738</x:v>
      </x:c>
      <x:c r="BB609" s="64" t="n">
        <x:f>-ROUND(AK609*'Drivers'!AA609,3)</x:f>
        <x:v>-1.875</x:v>
      </x:c>
      <x:c r="BC609" s="64" t="n">
        <x:f>SUM(BA609,BB609)</x:f>
        <x:v>-3.613</x:v>
      </x:c>
      <x:c r="BD609" s="64" t="n">
        <x:f>-ROUND(AK609*'Drivers'!AB609,3)</x:f>
        <x:v>-2.042</x:v>
      </x:c>
      <x:c r="BE609" s="64" t="n">
        <x:f>SUM(AX609:BB609,BD609)</x:f>
        <x:v>-24.964</x:v>
      </x:c>
      <x:c r="BF609" s="67" t="n">
        <x:f>'Drivers'!AF609</x:f>
        <x:v>5</x:v>
      </x:c>
      <x:c r="BG609" s="64" t="n">
        <x:f>BJ609</x:f>
        <x:v>-10.061</x:v>
      </x:c>
      <x:c r="BH609" s="64" t="n">
        <x:f>BE609/BF609</x:f>
        <x:v>-4.9928</x:v>
      </x:c>
      <x:c r="BI609" s="68" t="n">
        <x:f>BF609/L609</x:f>
        <x:v>5</x:v>
      </x:c>
      <x:c r="BJ609" s="64" t="n">
        <x:f>-ROUND(AK609*'Drivers'!AC609,3)</x:f>
        <x:v>-10.061</x:v>
      </x:c>
      <x:c r="BK609" s="64" t="n">
        <x:f>-ROUND(AK609*'Drivers'!AD609,3)</x:f>
        <x:v>-37.622</x:v>
      </x:c>
      <x:c r="BL609" s="64" t="n">
        <x:f>SUM(AV609,BE609,BJ609,BK609)</x:f>
        <x:v>57.54800000000007</x:v>
      </x:c>
      <x:c r="BM609" s="65" t="n">
        <x:f>BL609/AK609</x:f>
        <x:v>0.180503671362121</x:v>
      </x:c>
      <x:c r="BN609" s="64" t="n">
        <x:f>-ROUND(AK609*'Drivers'!AE609,3)</x:f>
        <x:v>-60.24</x:v>
      </x:c>
      <x:c r="BO609" s="64" t="n">
        <x:f>BL609+BN609</x:f>
        <x:v>-2.691999999999929</x:v>
      </x:c>
      <x:c r="BP609" s="65" t="n">
        <x:f>BO609/AK609</x:f>
        <x:v>-0.008443662391513456</x:v>
      </x:c>
    </x:row>
    <x:row r="610">
      <x:c r="A610" s="61" t="n">
        <x:v>2025</x:v>
      </x:c>
      <x:c r="B610" s="18" t="str">
        <x:v>S1</x:v>
      </x:c>
      <x:c r="C610" s="18" t="str">
        <x:v>2025 S1</x:v>
      </x:c>
      <x:c r="D610" s="18" t="str">
        <x:v>CNCT0153</x:v>
      </x:c>
      <x:c r="E610" s="18" t="str">
        <x:v>天津海信广场</x:v>
      </x:c>
      <x:c r="F610" s="18" t="str">
        <x:v>天津</x:v>
      </x:c>
      <x:c r="G610" s="18" t="str">
        <x:v>天津市</x:v>
      </x:c>
      <x:c r="H610" s="18" t="str">
        <x:v>北区</x:v>
      </x:c>
      <x:c r="I610" s="18" t="str">
        <x:v>Shopping Mall</x:v>
      </x:c>
      <x:c r="J610" s="18" t="str">
        <x:v>Prestige Shopping Center</x:v>
      </x:c>
      <x:c r="K610" s="18" t="str">
        <x:v>正常</x:v>
      </x:c>
      <x:c r="L610" s="62" t="n">
        <x:v>6</x:v>
      </x:c>
      <x:c r="M610" s="62" t="n">
        <x:v>40</x:v>
      </x:c>
      <x:c r="N610" s="63" t="n">
        <x:f>'Drivers'!C610</x:f>
        <x:v>2140</x:v>
      </x:c>
      <x:c r="O610" s="63" t="n">
        <x:f>'Drivers'!D610</x:f>
        <x:v>1210.834</x:v>
      </x:c>
      <x:c r="P610" s="64" t="n">
        <x:f>ROUND(N610*O610/1000,3)</x:f>
        <x:v>2591.185</x:v>
      </x:c>
      <x:c r="Q610" s="64" t="n">
        <x:f>ROUND(P610*'Drivers'!E610,3)</x:f>
        <x:v>2524.921</x:v>
      </x:c>
      <x:c r="R610" s="64" t="n">
        <x:f>-ROUND(Q610*'Drivers'!F610,3)</x:f>
        <x:v>-482.266</x:v>
      </x:c>
      <x:c r="S610" s="65" t="n">
        <x:f>R610/Q610</x:f>
        <x:v>-0.19100241156059936</x:v>
      </x:c>
      <x:c r="T610" s="64" t="n">
        <x:f>-ROUND(Q610*'Drivers'!G610,3)</x:f>
        <x:v>-48.725</x:v>
      </x:c>
      <x:c r="U610" s="65" t="n">
        <x:f>T610/Q610</x:f>
        <x:v>-0.019297633470512544</x:v>
      </x:c>
      <x:c r="V610" s="64" t="n">
        <x:f>-ROUND(Q610*'Drivers'!H610,3)</x:f>
        <x:v>-30.327</x:v>
      </x:c>
      <x:c r="W610" s="64" t="n">
        <x:f>-ROUND(Q610*'Drivers'!I610,3)</x:f>
        <x:v>-19.299</x:v>
      </x:c>
      <x:c r="X610" s="64" t="n">
        <x:f>-ROUND(Q610*'Drivers'!J610,3)</x:f>
        <x:v>-38.884</x:v>
      </x:c>
      <x:c r="Y610" s="64" t="n">
        <x:f>-ROUND(Q610*'Drivers'!K610,3)</x:f>
        <x:v>-34.123</x:v>
      </x:c>
      <x:c r="Z610" s="64" t="n">
        <x:f>-ROUND(Q610*'Drivers'!L610,3)</x:f>
        <x:v>-25.733</x:v>
      </x:c>
      <x:c r="AA610" s="64" t="n">
        <x:f>-ROUND(Q610*'Drivers'!M610,3)</x:f>
        <x:v>-22.109</x:v>
      </x:c>
      <x:c r="AB610" s="64" t="n">
        <x:f>-ROUND(Q610*'Drivers'!N610,3)</x:f>
        <x:v>-16.462</x:v>
      </x:c>
      <x:c r="AC610" s="64" t="n">
        <x:f>SUM(V610:AB610)</x:f>
        <x:v>-186.937</x:v>
      </x:c>
      <x:c r="AD610" s="65" t="n">
        <x:f>AC610/Q610</x:f>
        <x:v>-0.07403677184355471</x:v>
      </x:c>
      <x:c r="AE610" s="64" t="n">
        <x:f>-ROUND(Q610*'Drivers'!O610,3)</x:f>
        <x:v>-19.871</x:v>
      </x:c>
      <x:c r="AF610" s="65" t="n">
        <x:f>AE610/Q610</x:f>
        <x:v>-0.007869949198410563</x:v>
      </x:c>
      <x:c r="AG610" s="64" t="n">
        <x:f>-ROUND(Q610*'Drivers'!P610,3)</x:f>
        <x:v>-4.342</x:v>
      </x:c>
      <x:c r="AH610" s="64" t="n">
        <x:f>-ROUND(Q610*'Drivers'!Q610,3)</x:f>
        <x:v>-3.409</x:v>
      </x:c>
      <x:c r="AI610" s="64" t="n">
        <x:f>SUM(R610,T610,AC610,AE610,AG610,AH610)</x:f>
        <x:v>-745.55</x:v>
      </x:c>
      <x:c r="AJ610" s="65" t="n">
        <x:f>AI610/Q610</x:f>
        <x:v>-0.2952765650885711</x:v>
      </x:c>
      <x:c r="AK610" s="64" t="n">
        <x:f>Q610+AI610</x:f>
        <x:v>1779.3709999999999</x:v>
      </x:c>
      <x:c r="AL610" s="65" t="n">
        <x:f>AK610/Q610</x:f>
        <x:v>0.7047234349114289</x:v>
      </x:c>
      <x:c r="AM610" s="64" t="n">
        <x:f>AK610/L610</x:f>
        <x:v>296.5618333333333</x:v>
      </x:c>
      <x:c r="AN610" s="66" t="str">
        <x:f>IF(AM610&lt;=200,"≤200K",IF(AM610&lt;=350,"200–350K",IF(AM610&lt;=500,"350–500K",IF(AM610&lt;=700,"500–700K","&gt;700K"))))</x:f>
        <x:v>200–350K</x:v>
      </x:c>
      <x:c r="AO610" s="64" t="n">
        <x:f>-ROUND(Q610*'Drivers'!R610,3)</x:f>
        <x:v>-940.242</x:v>
      </x:c>
      <x:c r="AP610" s="64" t="n">
        <x:f>-ROUND(AK610*'Drivers'!S610,3)</x:f>
        <x:v>-25.566</x:v>
      </x:c>
      <x:c r="AQ610" s="64" t="n">
        <x:f>-ROUND(AK610*'Drivers'!T610,3)</x:f>
        <x:v>-5.927</x:v>
      </x:c>
      <x:c r="AR610" s="64" t="n">
        <x:f>-ROUND(AK610*'Drivers'!U610,3)</x:f>
        <x:v>-21.161</x:v>
      </x:c>
      <x:c r="AS610" s="64" t="n">
        <x:f>-ROUND(AK610*'Drivers'!V610,3)</x:f>
        <x:v>-53.432</x:v>
      </x:c>
      <x:c r="AT610" s="64" t="n">
        <x:f>SUM(AO610:AS610)</x:f>
        <x:v>-1046.328</x:v>
      </x:c>
      <x:c r="AU610" s="65" t="n">
        <x:f>AT610/AK610</x:f>
        <x:v>-0.588032512612603</x:v>
      </x:c>
      <x:c r="AV610" s="64" t="n">
        <x:f>AK610+AT610</x:f>
        <x:v>733.0429999999999</x:v>
      </x:c>
      <x:c r="AW610" s="65" t="n">
        <x:f>AV610/AK610</x:f>
        <x:v>0.41196748738739697</x:v>
      </x:c>
      <x:c r="AX610" s="64" t="n">
        <x:f>-ROUND(AK610*'Drivers'!W610,3)</x:f>
        <x:v>-18.836</x:v>
      </x:c>
      <x:c r="AY610" s="64" t="n">
        <x:f>-ROUND(AK610*'Drivers'!X610,3)</x:f>
        <x:v>-31.336</x:v>
      </x:c>
      <x:c r="AZ610" s="64" t="n">
        <x:f>-ROUND(AK610*'Drivers'!Y610,3)</x:f>
        <x:v>-33.014</x:v>
      </x:c>
      <x:c r="BA610" s="64" t="n">
        <x:f>-ROUND(AK610*'Drivers'!Z610,3)</x:f>
        <x:v>-7.39</x:v>
      </x:c>
      <x:c r="BB610" s="64" t="n">
        <x:f>-ROUND(AK610*'Drivers'!AA610,3)</x:f>
        <x:v>-15.925</x:v>
      </x:c>
      <x:c r="BC610" s="64" t="n">
        <x:f>SUM(BA610,BB610)</x:f>
        <x:v>-23.315</x:v>
      </x:c>
      <x:c r="BD610" s="64" t="n">
        <x:f>-ROUND(AK610*'Drivers'!AB610,3)</x:f>
        <x:v>-5.954</x:v>
      </x:c>
      <x:c r="BE610" s="64" t="n">
        <x:f>SUM(AX610:BB610,BD610)</x:f>
        <x:v>-112.455</x:v>
      </x:c>
      <x:c r="BF610" s="67" t="n">
        <x:f>'Drivers'!AF610</x:f>
        <x:v>8</x:v>
      </x:c>
      <x:c r="BG610" s="64" t="n">
        <x:f>BJ610</x:f>
        <x:v>-46.236</x:v>
      </x:c>
      <x:c r="BH610" s="64" t="n">
        <x:f>BE610/BF610</x:f>
        <x:v>-14.056875</x:v>
      </x:c>
      <x:c r="BI610" s="68" t="n">
        <x:f>BF610/L610</x:f>
        <x:v>1.3333333333333333</x:v>
      </x:c>
      <x:c r="BJ610" s="64" t="n">
        <x:f>-ROUND(AK610*'Drivers'!AC610,3)</x:f>
        <x:v>-46.236</x:v>
      </x:c>
      <x:c r="BK610" s="64" t="n">
        <x:f>-ROUND(AK610*'Drivers'!AD610,3)</x:f>
        <x:v>-164.401</x:v>
      </x:c>
      <x:c r="BL610" s="64" t="n">
        <x:f>SUM(AV610,BE610,BJ610,BK610)</x:f>
        <x:v>409.95099999999985</x:v>
      </x:c>
      <x:c r="BM610" s="65" t="n">
        <x:f>BL610/AK610</x:f>
        <x:v>0.23039096399795203</x:v>
      </x:c>
      <x:c r="BN610" s="64" t="n">
        <x:f>-ROUND(AK610*'Drivers'!AE610,3)</x:f>
        <x:v>-152.205</x:v>
      </x:c>
      <x:c r="BO610" s="64" t="n">
        <x:f>BL610+BN610</x:f>
        <x:v>257.74599999999987</x:v>
      </x:c>
      <x:c r="BP610" s="65" t="n">
        <x:f>BO610/AK610</x:f>
        <x:v>0.14485231017027922</x:v>
      </x:c>
    </x:row>
    <x:row r="611">
      <x:c r="A611" s="61" t="n">
        <x:v>2025</x:v>
      </x:c>
      <x:c r="B611" s="18" t="str">
        <x:v>S2</x:v>
      </x:c>
      <x:c r="C611" s="18" t="str">
        <x:v>2025 S2</x:v>
      </x:c>
      <x:c r="D611" s="18" t="str">
        <x:v>CNCT0153</x:v>
      </x:c>
      <x:c r="E611" s="18" t="str">
        <x:v>天津海信广场</x:v>
      </x:c>
      <x:c r="F611" s="18" t="str">
        <x:v>天津</x:v>
      </x:c>
      <x:c r="G611" s="18" t="str">
        <x:v>天津市</x:v>
      </x:c>
      <x:c r="H611" s="18" t="str">
        <x:v>北区</x:v>
      </x:c>
      <x:c r="I611" s="18" t="str">
        <x:v>Shopping Mall</x:v>
      </x:c>
      <x:c r="J611" s="18" t="str">
        <x:v>Prestige Shopping Center</x:v>
      </x:c>
      <x:c r="K611" s="18" t="str">
        <x:v>正常</x:v>
      </x:c>
      <x:c r="L611" s="62" t="n">
        <x:v>6</x:v>
      </x:c>
      <x:c r="M611" s="62" t="n">
        <x:v>40</x:v>
      </x:c>
      <x:c r="N611" s="63" t="n">
        <x:f>'Drivers'!C611</x:f>
        <x:v>2319</x:v>
      </x:c>
      <x:c r="O611" s="63" t="n">
        <x:f>'Drivers'!D611</x:f>
        <x:v>1225.364</x:v>
      </x:c>
      <x:c r="P611" s="64" t="n">
        <x:f>ROUND(N611*O611/1000,3)</x:f>
        <x:v>2841.619</x:v>
      </x:c>
      <x:c r="Q611" s="64" t="n">
        <x:f>ROUND(P611*'Drivers'!E611,3)</x:f>
        <x:v>2792.91</x:v>
      </x:c>
      <x:c r="R611" s="64" t="n">
        <x:f>-ROUND(Q611*'Drivers'!F611,3)</x:f>
        <x:v>-533.453</x:v>
      </x:c>
      <x:c r="S611" s="65" t="n">
        <x:f>R611/Q611</x:f>
        <x:v>-0.19100257437583024</x:v>
      </x:c>
      <x:c r="T611" s="64" t="n">
        <x:f>-ROUND(Q611*'Drivers'!G611,3)</x:f>
        <x:v>-53.897</x:v>
      </x:c>
      <x:c r="U611" s="65" t="n">
        <x:f>T611/Q611</x:f>
        <x:v>-0.019297793340995593</x:v>
      </x:c>
      <x:c r="V611" s="64" t="n">
        <x:f>-ROUND(Q611*'Drivers'!H611,3)</x:f>
        <x:v>-33.546</x:v>
      </x:c>
      <x:c r="W611" s="64" t="n">
        <x:f>-ROUND(Q611*'Drivers'!I611,3)</x:f>
        <x:v>-21.347</x:v>
      </x:c>
      <x:c r="X611" s="64" t="n">
        <x:f>-ROUND(Q611*'Drivers'!J611,3)</x:f>
        <x:v>-43.011</x:v>
      </x:c>
      <x:c r="Y611" s="64" t="n">
        <x:f>-ROUND(Q611*'Drivers'!K611,3)</x:f>
        <x:v>-37.745</x:v>
      </x:c>
      <x:c r="Z611" s="64" t="n">
        <x:f>-ROUND(Q611*'Drivers'!L611,3)</x:f>
        <x:v>-28.465</x:v>
      </x:c>
      <x:c r="AA611" s="64" t="n">
        <x:f>-ROUND(Q611*'Drivers'!M611,3)</x:f>
        <x:v>-24.456</x:v>
      </x:c>
      <x:c r="AB611" s="64" t="n">
        <x:f>-ROUND(Q611*'Drivers'!N611,3)</x:f>
        <x:v>-18.21</x:v>
      </x:c>
      <x:c r="AC611" s="64" t="n">
        <x:f>SUM(V611:AB611)</x:f>
        <x:v>-206.78</x:v>
      </x:c>
      <x:c r="AD611" s="65" t="n">
        <x:f>AC611/Q611</x:f>
        <x:v>-0.07403747345958159</x:v>
      </x:c>
      <x:c r="AE611" s="64" t="n">
        <x:f>-ROUND(Q611*'Drivers'!O611,3)</x:f>
        <x:v>-21.98</x:v>
      </x:c>
      <x:c r="AF611" s="65" t="n">
        <x:f>AE611/Q611</x:f>
        <x:v>-0.007869927781417948</x:v>
      </x:c>
      <x:c r="AG611" s="64" t="n">
        <x:f>-ROUND(Q611*'Drivers'!P611,3)</x:f>
        <x:v>-4.803</x:v>
      </x:c>
      <x:c r="AH611" s="64" t="n">
        <x:f>-ROUND(Q611*'Drivers'!Q611,3)</x:f>
        <x:v>-3.771</x:v>
      </x:c>
      <x:c r="AI611" s="64" t="n">
        <x:f>SUM(R611,T611,AC611,AE611,AG611,AH611)</x:f>
        <x:v>-824.684</x:v>
      </x:c>
      <x:c r="AJ611" s="65" t="n">
        <x:f>AI611/Q611</x:f>
        <x:v>-0.29527768528165965</x:v>
      </x:c>
      <x:c r="AK611" s="64" t="n">
        <x:f>Q611+AI611</x:f>
        <x:v>1968.2259999999999</x:v>
      </x:c>
      <x:c r="AL611" s="65" t="n">
        <x:f>AK611/Q611</x:f>
        <x:v>0.7047223147183403</x:v>
      </x:c>
      <x:c r="AM611" s="64" t="n">
        <x:f>AK611/L611</x:f>
        <x:v>328.03766666666667</x:v>
      </x:c>
      <x:c r="AN611" s="66" t="str">
        <x:f>IF(AM611&lt;=200,"≤200K",IF(AM611&lt;=350,"200–350K",IF(AM611&lt;=500,"350–500K",IF(AM611&lt;=700,"500–700K","&gt;700K"))))</x:f>
        <x:v>200–350K</x:v>
      </x:c>
      <x:c r="AO611" s="64" t="n">
        <x:f>-ROUND(Q611*'Drivers'!R611,3)</x:f>
        <x:v>-974.921</x:v>
      </x:c>
      <x:c r="AP611" s="64" t="n">
        <x:f>-ROUND(AK611*'Drivers'!S611,3)</x:f>
        <x:v>-28.279</x:v>
      </x:c>
      <x:c r="AQ611" s="64" t="n">
        <x:f>-ROUND(AK611*'Drivers'!T611,3)</x:f>
        <x:v>-6.556</x:v>
      </x:c>
      <x:c r="AR611" s="64" t="n">
        <x:f>-ROUND(AK611*'Drivers'!U611,3)</x:f>
        <x:v>-23.407</x:v>
      </x:c>
      <x:c r="AS611" s="64" t="n">
        <x:f>-ROUND(AK611*'Drivers'!V611,3)</x:f>
        <x:v>-59.103</x:v>
      </x:c>
      <x:c r="AT611" s="64" t="n">
        <x:f>SUM(AO611:AS611)</x:f>
        <x:v>-1092.266</x:v>
      </x:c>
      <x:c r="AU611" s="65" t="n">
        <x:f>AT611/AK611</x:f>
        <x:v>-0.554949482427323</x:v>
      </x:c>
      <x:c r="AV611" s="64" t="n">
        <x:f>AK611+AT611</x:f>
        <x:v>875.9599999999998</x:v>
      </x:c>
      <x:c r="AW611" s="65" t="n">
        <x:f>AV611/AK611</x:f>
        <x:v>0.44505051757267705</x:v>
      </x:c>
      <x:c r="AX611" s="64" t="n">
        <x:f>-ROUND(AK611*'Drivers'!W611,3)</x:f>
        <x:v>-20.835</x:v>
      </x:c>
      <x:c r="AY611" s="64" t="n">
        <x:f>-ROUND(AK611*'Drivers'!X611,3)</x:f>
        <x:v>-34.661</x:v>
      </x:c>
      <x:c r="AZ611" s="64" t="n">
        <x:f>-ROUND(AK611*'Drivers'!Y611,3)</x:f>
        <x:v>-36.518</x:v>
      </x:c>
      <x:c r="BA611" s="64" t="n">
        <x:f>-ROUND(AK611*'Drivers'!Z611,3)</x:f>
        <x:v>-8.174</x:v>
      </x:c>
      <x:c r="BB611" s="64" t="n">
        <x:f>-ROUND(AK611*'Drivers'!AA611,3)</x:f>
        <x:v>-17.615</x:v>
      </x:c>
      <x:c r="BC611" s="64" t="n">
        <x:f>SUM(BA611,BB611)</x:f>
        <x:v>-25.788999999999998</x:v>
      </x:c>
      <x:c r="BD611" s="64" t="n">
        <x:f>-ROUND(AK611*'Drivers'!AB611,3)</x:f>
        <x:v>-6.586</x:v>
      </x:c>
      <x:c r="BE611" s="64" t="n">
        <x:f>SUM(AX611:BB611,BD611)</x:f>
        <x:v>-124.38900000000001</x:v>
      </x:c>
      <x:c r="BF611" s="67" t="n">
        <x:f>'Drivers'!AF611</x:f>
        <x:v>8</x:v>
      </x:c>
      <x:c r="BG611" s="64" t="n">
        <x:f>BJ611</x:f>
        <x:v>-51.143</x:v>
      </x:c>
      <x:c r="BH611" s="64" t="n">
        <x:f>BE611/BF611</x:f>
        <x:v>-15.548625000000001</x:v>
      </x:c>
      <x:c r="BI611" s="68" t="n">
        <x:f>BF611/L611</x:f>
        <x:v>1.3333333333333333</x:v>
      </x:c>
      <x:c r="BJ611" s="64" t="n">
        <x:f>-ROUND(AK611*'Drivers'!AC611,3)</x:f>
        <x:v>-51.143</x:v>
      </x:c>
      <x:c r="BK611" s="64" t="n">
        <x:f>-ROUND(AK611*'Drivers'!AD611,3)</x:f>
        <x:v>-181.849</x:v>
      </x:c>
      <x:c r="BL611" s="64" t="n">
        <x:f>SUM(AV611,BE611,BJ611,BK611)</x:f>
        <x:v>518.5789999999997</x:v>
      </x:c>
      <x:c r="BM611" s="65" t="n">
        <x:f>BL611/AK611</x:f>
        <x:v>0.2634753326091616</x:v>
      </x:c>
      <x:c r="BN611" s="64" t="n">
        <x:f>-ROUND(AK611*'Drivers'!AE611,3)</x:f>
        <x:v>-168.359</x:v>
      </x:c>
      <x:c r="BO611" s="64" t="n">
        <x:f>BL611+BN611</x:f>
        <x:v>350.2199999999997</x:v>
      </x:c>
      <x:c r="BP611" s="65" t="n">
        <x:f>BO611/AK611</x:f>
        <x:v>0.17793688326442172</x:v>
      </x:c>
    </x:row>
    <x:row r="612">
      <x:c r="A612" s="61" t="n">
        <x:v>2026</x:v>
      </x:c>
      <x:c r="B612" s="18" t="str">
        <x:v>S1</x:v>
      </x:c>
      <x:c r="C612" s="18" t="str">
        <x:v>2026 S1</x:v>
      </x:c>
      <x:c r="D612" s="18" t="str">
        <x:v>CNCT0153</x:v>
      </x:c>
      <x:c r="E612" s="18" t="str">
        <x:v>天津海信广场</x:v>
      </x:c>
      <x:c r="F612" s="18" t="str">
        <x:v>天津</x:v>
      </x:c>
      <x:c r="G612" s="18" t="str">
        <x:v>天津市</x:v>
      </x:c>
      <x:c r="H612" s="18" t="str">
        <x:v>北区</x:v>
      </x:c>
      <x:c r="I612" s="18" t="str">
        <x:v>Shopping Mall</x:v>
      </x:c>
      <x:c r="J612" s="18" t="str">
        <x:v>Prestige Shopping Center</x:v>
      </x:c>
      <x:c r="K612" s="18" t="str">
        <x:v>正常</x:v>
      </x:c>
      <x:c r="L612" s="62" t="n">
        <x:v>6</x:v>
      </x:c>
      <x:c r="M612" s="62" t="n">
        <x:v>40</x:v>
      </x:c>
      <x:c r="N612" s="63" t="n">
        <x:f>'Drivers'!C612</x:f>
        <x:v>2132</x:v>
      </x:c>
      <x:c r="O612" s="63" t="n">
        <x:f>'Drivers'!D612</x:f>
        <x:v>1261.129</x:v>
      </x:c>
      <x:c r="P612" s="64" t="n">
        <x:f>ROUND(N612*O612/1000,3)</x:f>
        <x:v>2688.727</x:v>
      </x:c>
      <x:c r="Q612" s="64" t="n">
        <x:f>ROUND(P612*'Drivers'!E612,3)</x:f>
        <x:v>2622.015</x:v>
      </x:c>
      <x:c r="R612" s="64" t="n">
        <x:f>-ROUND(Q612*'Drivers'!F612,3)</x:f>
        <x:v>-509.24</x:v>
      </x:c>
      <x:c r="S612" s="65" t="n">
        <x:f>R612/Q612</x:f>
        <x:v>-0.19421704299937265</x:v>
      </x:c>
      <x:c r="T612" s="64" t="n">
        <x:f>-ROUND(Q612*'Drivers'!G612,3)</x:f>
        <x:v>-45.487</x:v>
      </x:c>
      <x:c r="U612" s="65" t="n">
        <x:f>T612/Q612</x:f>
        <x:v>-0.017348108229739343</x:v>
      </x:c>
      <x:c r="V612" s="64" t="n">
        <x:f>-ROUND(Q612*'Drivers'!H612,3)</x:f>
        <x:v>-31.493</x:v>
      </x:c>
      <x:c r="W612" s="64" t="n">
        <x:f>-ROUND(Q612*'Drivers'!I612,3)</x:f>
        <x:v>-20.041</x:v>
      </x:c>
      <x:c r="X612" s="64" t="n">
        <x:f>-ROUND(Q612*'Drivers'!J612,3)</x:f>
        <x:v>-40.379</x:v>
      </x:c>
      <x:c r="Y612" s="64" t="n">
        <x:f>-ROUND(Q612*'Drivers'!K612,3)</x:f>
        <x:v>-35.435</x:v>
      </x:c>
      <x:c r="Z612" s="64" t="n">
        <x:f>-ROUND(Q612*'Drivers'!L612,3)</x:f>
        <x:v>-26.723</x:v>
      </x:c>
      <x:c r="AA612" s="64" t="n">
        <x:f>-ROUND(Q612*'Drivers'!M612,3)</x:f>
        <x:v>-22.959</x:v>
      </x:c>
      <x:c r="AB612" s="64" t="n">
        <x:f>-ROUND(Q612*'Drivers'!N612,3)</x:f>
        <x:v>-17.096</x:v>
      </x:c>
      <x:c r="AC612" s="64" t="n">
        <x:f>SUM(V612:AB612)</x:f>
        <x:v>-194.126</x:v>
      </x:c>
      <x:c r="AD612" s="65" t="n">
        <x:f>AC612/Q612</x:f>
        <x:v>-0.07403695249645788</x:v>
      </x:c>
      <x:c r="AE612" s="64" t="n">
        <x:f>-ROUND(Q612*'Drivers'!O612,3)</x:f>
        <x:v>-22.061</x:v>
      </x:c>
      <x:c r="AF612" s="65" t="n">
        <x:f>AE612/Q612</x:f>
        <x:v>-0.008413758121139658</x:v>
      </x:c>
      <x:c r="AG612" s="64" t="n">
        <x:f>-ROUND(Q612*'Drivers'!P612,3)</x:f>
        <x:v>-4.509</x:v>
      </x:c>
      <x:c r="AH612" s="64" t="n">
        <x:f>-ROUND(Q612*'Drivers'!Q612,3)</x:f>
        <x:v>-3.54</x:v>
      </x:c>
      <x:c r="AI612" s="64" t="n">
        <x:f>SUM(R612,T612,AC612,AE612,AG612,AH612)</x:f>
        <x:v>-778.963</x:v>
      </x:c>
      <x:c r="AJ612" s="65" t="n">
        <x:f>AI612/Q612</x:f>
        <x:v>-0.29708563833540236</x:v>
      </x:c>
      <x:c r="AK612" s="64" t="n">
        <x:f>Q612+AI612</x:f>
        <x:v>1843.052</x:v>
      </x:c>
      <x:c r="AL612" s="65" t="n">
        <x:f>AK612/Q612</x:f>
        <x:v>0.7029143616645976</x:v>
      </x:c>
      <x:c r="AM612" s="64" t="n">
        <x:f>AK612/L612</x:f>
        <x:v>307.1753333333333</x:v>
      </x:c>
      <x:c r="AN612" s="66" t="str">
        <x:f>IF(AM612&lt;=200,"≤200K",IF(AM612&lt;=350,"200–350K",IF(AM612&lt;=500,"350–500K",IF(AM612&lt;=700,"500–700K","&gt;700K"))))</x:f>
        <x:v>200–350K</x:v>
      </x:c>
      <x:c r="AO612" s="64" t="n">
        <x:f>-ROUND(Q612*'Drivers'!R612,3)</x:f>
        <x:v>-959.582</x:v>
      </x:c>
      <x:c r="AP612" s="64" t="n">
        <x:f>-ROUND(AK612*'Drivers'!S612,3)</x:f>
        <x:v>-26.481</x:v>
      </x:c>
      <x:c r="AQ612" s="64" t="n">
        <x:f>-ROUND(AK612*'Drivers'!T612,3)</x:f>
        <x:v>-6.139</x:v>
      </x:c>
      <x:c r="AR612" s="64" t="n">
        <x:f>-ROUND(AK612*'Drivers'!U612,3)</x:f>
        <x:v>-21.918</x:v>
      </x:c>
      <x:c r="AS612" s="64" t="n">
        <x:f>-ROUND(AK612*'Drivers'!V612,3)</x:f>
        <x:v>-55.345</x:v>
      </x:c>
      <x:c r="AT612" s="64" t="n">
        <x:f>SUM(AO612:AS612)</x:f>
        <x:v>-1069.465</x:v>
      </x:c>
      <x:c r="AU612" s="65" t="n">
        <x:f>AT612/AK612</x:f>
        <x:v>-0.5802684894403414</x:v>
      </x:c>
      <x:c r="AV612" s="64" t="n">
        <x:f>AK612+AT612</x:f>
        <x:v>773.587</x:v>
      </x:c>
      <x:c r="AW612" s="65" t="n">
        <x:f>AV612/AK612</x:f>
        <x:v>0.4197315105596587</x:v>
      </x:c>
      <x:c r="AX612" s="64" t="n">
        <x:f>-ROUND(AK612*'Drivers'!W612,3)</x:f>
        <x:v>-24.006</x:v>
      </x:c>
      <x:c r="AY612" s="64" t="n">
        <x:f>-ROUND(AK612*'Drivers'!X612,3)</x:f>
        <x:v>-39.937</x:v>
      </x:c>
      <x:c r="AZ612" s="64" t="n">
        <x:f>-ROUND(AK612*'Drivers'!Y612,3)</x:f>
        <x:v>-42.076</x:v>
      </x:c>
      <x:c r="BA612" s="64" t="n">
        <x:f>-ROUND(AK612*'Drivers'!Z612,3)</x:f>
        <x:v>-9.418</x:v>
      </x:c>
      <x:c r="BB612" s="64" t="n">
        <x:f>-ROUND(AK612*'Drivers'!AA612,3)</x:f>
        <x:v>-20.296</x:v>
      </x:c>
      <x:c r="BC612" s="64" t="n">
        <x:f>SUM(BA612,BB612)</x:f>
        <x:v>-29.714</x:v>
      </x:c>
      <x:c r="BD612" s="64" t="n">
        <x:f>-ROUND(AK612*'Drivers'!AB612,3)</x:f>
        <x:v>-7.588</x:v>
      </x:c>
      <x:c r="BE612" s="64" t="n">
        <x:f>SUM(AX612:BB612,BD612)</x:f>
        <x:v>-143.321</x:v>
      </x:c>
      <x:c r="BF612" s="67" t="n">
        <x:f>'Drivers'!AF612</x:f>
        <x:v>8</x:v>
      </x:c>
      <x:c r="BG612" s="64" t="n">
        <x:f>BJ612</x:f>
        <x:v>-58.927</x:v>
      </x:c>
      <x:c r="BH612" s="64" t="n">
        <x:f>BE612/BF612</x:f>
        <x:v>-17.915125</x:v>
      </x:c>
      <x:c r="BI612" s="68" t="n">
        <x:f>BF612/L612</x:f>
        <x:v>1.3333333333333333</x:v>
      </x:c>
      <x:c r="BJ612" s="64" t="n">
        <x:f>-ROUND(AK612*'Drivers'!AC612,3)</x:f>
        <x:v>-58.927</x:v>
      </x:c>
      <x:c r="BK612" s="64" t="n">
        <x:f>-ROUND(AK612*'Drivers'!AD612,3)</x:f>
        <x:v>-170.284</x:v>
      </x:c>
      <x:c r="BL612" s="64" t="n">
        <x:f>SUM(AV612,BE612,BJ612,BK612)</x:f>
        <x:v>401.05499999999995</x:v>
      </x:c>
      <x:c r="BM612" s="65" t="n">
        <x:f>BL612/AK612</x:f>
        <x:v>0.21760373554300147</x:v>
      </x:c>
      <x:c r="BN612" s="64" t="n">
        <x:f>-ROUND(AK612*'Drivers'!AE612,3)</x:f>
        <x:v>-157.652</x:v>
      </x:c>
      <x:c r="BO612" s="64" t="n">
        <x:f>BL612+BN612</x:f>
        <x:v>243.40299999999996</x:v>
      </x:c>
      <x:c r="BP612" s="65" t="n">
        <x:f>BO612/AK612</x:f>
        <x:v>0.1320651831852818</x:v>
      </x:c>
    </x:row>
    <x:row r="613">
      <x:c r="A613" s="61" t="n">
        <x:v>2026</x:v>
      </x:c>
      <x:c r="B613" s="18" t="str">
        <x:v>S2</x:v>
      </x:c>
      <x:c r="C613" s="18" t="str">
        <x:v>2026 S2</x:v>
      </x:c>
      <x:c r="D613" s="18" t="str">
        <x:v>CNCT0153</x:v>
      </x:c>
      <x:c r="E613" s="18" t="str">
        <x:v>天津海信广场</x:v>
      </x:c>
      <x:c r="F613" s="18" t="str">
        <x:v>天津</x:v>
      </x:c>
      <x:c r="G613" s="18" t="str">
        <x:v>天津市</x:v>
      </x:c>
      <x:c r="H613" s="18" t="str">
        <x:v>北区</x:v>
      </x:c>
      <x:c r="I613" s="18" t="str">
        <x:v>Shopping Mall</x:v>
      </x:c>
      <x:c r="J613" s="18" t="str">
        <x:v>Prestige Shopping Center</x:v>
      </x:c>
      <x:c r="K613" s="18" t="str">
        <x:v>正常</x:v>
      </x:c>
      <x:c r="L613" s="62" t="n">
        <x:v>6</x:v>
      </x:c>
      <x:c r="M613" s="62" t="n">
        <x:v>37</x:v>
      </x:c>
      <x:c r="N613" s="63" t="n">
        <x:f>'Drivers'!C613</x:f>
        <x:v>2287</x:v>
      </x:c>
      <x:c r="O613" s="63" t="n">
        <x:f>'Drivers'!D613</x:f>
        <x:v>1283.499</x:v>
      </x:c>
      <x:c r="P613" s="64" t="n">
        <x:f>ROUND(N613*O613/1000,3)</x:f>
        <x:v>2935.362</x:v>
      </x:c>
      <x:c r="Q613" s="64" t="n">
        <x:f>ROUND(P613*'Drivers'!E613,3)</x:f>
        <x:v>2885.046</x:v>
      </x:c>
      <x:c r="R613" s="64" t="n">
        <x:f>-ROUND(Q613*'Drivers'!F613,3)</x:f>
        <x:v>-532.445</x:v>
      </x:c>
      <x:c r="S613" s="65" t="n">
        <x:f>R613/Q613</x:f>
        <x:v>-0.18455338320428863</x:v>
      </x:c>
      <x:c r="T613" s="64" t="n">
        <x:f>-ROUND(Q613*'Drivers'!G613,3)</x:f>
        <x:v>-56.953</x:v>
      </x:c>
      <x:c r="U613" s="65" t="n">
        <x:f>T613/Q613</x:f>
        <x:v>-0.019740759766048794</x:v>
      </x:c>
      <x:c r="V613" s="64" t="n">
        <x:f>-ROUND(Q613*'Drivers'!H613,3)</x:f>
        <x:v>-34.652</x:v>
      </x:c>
      <x:c r="W613" s="64" t="n">
        <x:f>-ROUND(Q613*'Drivers'!I613,3)</x:f>
        <x:v>-22.051</x:v>
      </x:c>
      <x:c r="X613" s="64" t="n">
        <x:f>-ROUND(Q613*'Drivers'!J613,3)</x:f>
        <x:v>-44.43</x:v>
      </x:c>
      <x:c r="Y613" s="64" t="n">
        <x:f>-ROUND(Q613*'Drivers'!K613,3)</x:f>
        <x:v>-38.99</x:v>
      </x:c>
      <x:c r="Z613" s="64" t="n">
        <x:f>-ROUND(Q613*'Drivers'!L613,3)</x:f>
        <x:v>-29.404</x:v>
      </x:c>
      <x:c r="AA613" s="64" t="n">
        <x:f>-ROUND(Q613*'Drivers'!M613,3)</x:f>
        <x:v>-25.262</x:v>
      </x:c>
      <x:c r="AB613" s="64" t="n">
        <x:f>-ROUND(Q613*'Drivers'!N613,3)</x:f>
        <x:v>-18.811</x:v>
      </x:c>
      <x:c r="AC613" s="64" t="n">
        <x:f>SUM(V613:AB613)</x:f>
        <x:v>-213.60000000000002</x:v>
      </x:c>
      <x:c r="AD613" s="65" t="n">
        <x:f>AC613/Q613</x:f>
        <x:v>-0.07403694776443774</x:v>
      </x:c>
      <x:c r="AE613" s="64" t="n">
        <x:f>-ROUND(Q613*'Drivers'!O613,3)</x:f>
        <x:v>-22.705</x:v>
      </x:c>
      <x:c r="AF613" s="65" t="n">
        <x:f>AE613/Q613</x:f>
        <x:v>-0.007869891849211417</x:v>
      </x:c>
      <x:c r="AG613" s="64" t="n">
        <x:f>-ROUND(Q613*'Drivers'!P613,3)</x:f>
        <x:v>-4.961</x:v>
      </x:c>
      <x:c r="AH613" s="64" t="n">
        <x:f>-ROUND(Q613*'Drivers'!Q613,3)</x:f>
        <x:v>-3.895</x:v>
      </x:c>
      <x:c r="AI613" s="64" t="n">
        <x:f>SUM(R613,T613,AC613,AE613,AG613,AH613)</x:f>
        <x:v>-834.5590000000001</x:v>
      </x:c>
      <x:c r="AJ613" s="65" t="n">
        <x:f>AI613/Q613</x:f>
        <x:v>-0.2892706043508492</x:v>
      </x:c>
      <x:c r="AK613" s="64" t="n">
        <x:f>Q613+AI613</x:f>
        <x:v>2050.4869999999996</x:v>
      </x:c>
      <x:c r="AL613" s="65" t="n">
        <x:f>AK613/Q613</x:f>
        <x:v>0.7107293956491507</x:v>
      </x:c>
      <x:c r="AM613" s="64" t="n">
        <x:f>AK613/L613</x:f>
        <x:v>341.7478333333333</x:v>
      </x:c>
      <x:c r="AN613" s="66" t="str">
        <x:f>IF(AM613&lt;=200,"≤200K",IF(AM613&lt;=350,"200–350K",IF(AM613&lt;=500,"350–500K",IF(AM613&lt;=700,"500–700K","&gt;700K"))))</x:f>
        <x:v>200–350K</x:v>
      </x:c>
      <x:c r="AO613" s="64" t="n">
        <x:f>-ROUND(Q613*'Drivers'!R613,3)</x:f>
        <x:v>-1022.422</x:v>
      </x:c>
      <x:c r="AP613" s="64" t="n">
        <x:f>-ROUND(AK613*'Drivers'!S613,3)</x:f>
        <x:v>-29.461</x:v>
      </x:c>
      <x:c r="AQ613" s="64" t="n">
        <x:f>-ROUND(AK613*'Drivers'!T613,3)</x:f>
        <x:v>-6.83</x:v>
      </x:c>
      <x:c r="AR613" s="64" t="n">
        <x:f>-ROUND(AK613*'Drivers'!U613,3)</x:f>
        <x:v>-24.385</x:v>
      </x:c>
      <x:c r="AS613" s="64" t="n">
        <x:f>-ROUND(AK613*'Drivers'!V613,3)</x:f>
        <x:v>-61.574</x:v>
      </x:c>
      <x:c r="AT613" s="64" t="n">
        <x:f>SUM(AO613:AS613)</x:f>
        <x:v>-1144.672</x:v>
      </x:c>
      <x:c r="AU613" s="65" t="n">
        <x:f>AT613/AK613</x:f>
        <x:v>-0.5582439683840962</x:v>
      </x:c>
      <x:c r="AV613" s="64" t="n">
        <x:f>AK613+AT613</x:f>
        <x:v>905.8149999999996</x:v>
      </x:c>
      <x:c r="AW613" s="65" t="n">
        <x:f>AV613/AK613</x:f>
        <x:v>0.4417560316159038</x:v>
      </x:c>
      <x:c r="AX613" s="64" t="n">
        <x:f>-ROUND(AK613*'Drivers'!W613,3)</x:f>
        <x:v>-23.008</x:v>
      </x:c>
      <x:c r="AY613" s="64" t="n">
        <x:f>-ROUND(AK613*'Drivers'!X613,3)</x:f>
        <x:v>-38.277</x:v>
      </x:c>
      <x:c r="AZ613" s="64" t="n">
        <x:f>-ROUND(AK613*'Drivers'!Y613,3)</x:f>
        <x:v>-40.327</x:v>
      </x:c>
      <x:c r="BA613" s="64" t="n">
        <x:f>-ROUND(AK613*'Drivers'!Z613,3)</x:f>
        <x:v>-9.027</x:v>
      </x:c>
      <x:c r="BB613" s="64" t="n">
        <x:f>-ROUND(AK613*'Drivers'!AA613,3)</x:f>
        <x:v>-19.452</x:v>
      </x:c>
      <x:c r="BC613" s="64" t="n">
        <x:f>SUM(BA613,BB613)</x:f>
        <x:v>-28.479</x:v>
      </x:c>
      <x:c r="BD613" s="64" t="n">
        <x:f>-ROUND(AK613*'Drivers'!AB613,3)</x:f>
        <x:v>-7.273</x:v>
      </x:c>
      <x:c r="BE613" s="64" t="n">
        <x:f>SUM(AX613:BB613,BD613)</x:f>
        <x:v>-137.364</x:v>
      </x:c>
      <x:c r="BF613" s="67" t="n">
        <x:f>'Drivers'!AF613</x:f>
        <x:v>8</x:v>
      </x:c>
      <x:c r="BG613" s="64" t="n">
        <x:f>BJ613</x:f>
        <x:v>-56.478</x:v>
      </x:c>
      <x:c r="BH613" s="64" t="n">
        <x:f>BE613/BF613</x:f>
        <x:v>-17.1705</x:v>
      </x:c>
      <x:c r="BI613" s="68" t="n">
        <x:f>BF613/L613</x:f>
        <x:v>1.3333333333333333</x:v>
      </x:c>
      <x:c r="BJ613" s="64" t="n">
        <x:f>-ROUND(AK613*'Drivers'!AC613,3)</x:f>
        <x:v>-56.478</x:v>
      </x:c>
      <x:c r="BK613" s="64" t="n">
        <x:f>-ROUND(AK613*'Drivers'!AD613,3)</x:f>
        <x:v>-189.45</x:v>
      </x:c>
      <x:c r="BL613" s="64" t="n">
        <x:f>SUM(AV613,BE613,BJ613,BK613)</x:f>
        <x:v>522.5229999999997</x:v>
      </x:c>
      <x:c r="BM613" s="65" t="n">
        <x:f>BL613/AK613</x:f>
        <x:v>0.25482873093074954</x:v>
      </x:c>
      <x:c r="BN613" s="64" t="n">
        <x:f>-ROUND(AK613*'Drivers'!AE613,3)</x:f>
        <x:v>-175.395</x:v>
      </x:c>
      <x:c r="BO613" s="64" t="n">
        <x:f>BL613+BN613</x:f>
        <x:v>347.1279999999997</x:v>
      </x:c>
      <x:c r="BP613" s="65" t="n">
        <x:f>BO613/AK613</x:f>
        <x:v>0.16929051488743882</x:v>
      </x:c>
    </x:row>
    <x:row r="614">
      <x:c r="A614" s="61" t="n">
        <x:v>2025</x:v>
      </x:c>
      <x:c r="B614" s="18" t="str">
        <x:v>S1</x:v>
      </x:c>
      <x:c r="C614" s="18" t="str">
        <x:v>2025 S1</x:v>
      </x:c>
      <x:c r="D614" s="18" t="str">
        <x:v>CNCT0154</x:v>
      </x:c>
      <x:c r="E614" s="18" t="str">
        <x:v>天津万象城</x:v>
      </x:c>
      <x:c r="F614" s="18" t="str">
        <x:v>天津</x:v>
      </x:c>
      <x:c r="G614" s="18" t="str">
        <x:v>天津市</x:v>
      </x:c>
      <x:c r="H614" s="18" t="str">
        <x:v>北区</x:v>
      </x:c>
      <x:c r="I614" s="18" t="str">
        <x:v>Shopping Mall</x:v>
      </x:c>
      <x:c r="J614" s="18" t="str">
        <x:v>Prestige Shopping Center</x:v>
      </x:c>
      <x:c r="K614" s="18" t="str">
        <x:v>正常</x:v>
      </x:c>
      <x:c r="L614" s="62" t="n">
        <x:v>6</x:v>
      </x:c>
      <x:c r="M614" s="62" t="n">
        <x:v>40</x:v>
      </x:c>
      <x:c r="N614" s="63" t="n">
        <x:f>'Drivers'!C614</x:f>
        <x:v>2176</x:v>
      </x:c>
      <x:c r="O614" s="63" t="n">
        <x:f>'Drivers'!D614</x:f>
        <x:v>1226.382</x:v>
      </x:c>
      <x:c r="P614" s="64" t="n">
        <x:f>ROUND(N614*O614/1000,3)</x:f>
        <x:v>2668.607</x:v>
      </x:c>
      <x:c r="Q614" s="64" t="n">
        <x:f>ROUND(P614*'Drivers'!E614,3)</x:f>
        <x:v>2582.938</x:v>
      </x:c>
      <x:c r="R614" s="64" t="n">
        <x:f>-ROUND(Q614*'Drivers'!F614,3)</x:f>
        <x:v>-408.658</x:v>
      </x:c>
      <x:c r="S614" s="65" t="n">
        <x:f>R614/Q614</x:f>
        <x:v>-0.15821440545611237</x:v>
      </x:c>
      <x:c r="T614" s="64" t="n">
        <x:f>-ROUND(Q614*'Drivers'!G614,3)</x:f>
        <x:v>-47.721</x:v>
      </x:c>
      <x:c r="U614" s="65" t="n">
        <x:f>T614/Q614</x:f>
        <x:v>-0.018475472504566503</x:v>
      </x:c>
      <x:c r="V614" s="64" t="n">
        <x:f>-ROUND(Q614*'Drivers'!H614,3)</x:f>
        <x:v>-31.499</x:v>
      </x:c>
      <x:c r="W614" s="64" t="n">
        <x:f>-ROUND(Q614*'Drivers'!I614,3)</x:f>
        <x:v>-26.083</x:v>
      </x:c>
      <x:c r="X614" s="64" t="n">
        <x:f>-ROUND(Q614*'Drivers'!J614,3)</x:f>
        <x:v>-27.573</x:v>
      </x:c>
      <x:c r="Y614" s="64" t="n">
        <x:f>-ROUND(Q614*'Drivers'!K614,3)</x:f>
        <x:v>-29.679</x:v>
      </x:c>
      <x:c r="Z614" s="64" t="n">
        <x:f>-ROUND(Q614*'Drivers'!L614,3)</x:f>
        <x:v>-25.554</x:v>
      </x:c>
      <x:c r="AA614" s="64" t="n">
        <x:f>-ROUND(Q614*'Drivers'!M614,3)</x:f>
        <x:v>-20.975</x:v>
      </x:c>
      <x:c r="AB614" s="64" t="n">
        <x:f>-ROUND(Q614*'Drivers'!N614,3)</x:f>
        <x:v>-17.487</x:v>
      </x:c>
      <x:c r="AC614" s="64" t="n">
        <x:f>SUM(V614:AB614)</x:f>
        <x:v>-178.85</x:v>
      </x:c>
      <x:c r="AD614" s="65" t="n">
        <x:f>AC614/Q614</x:f>
        <x:v>-0.06924285445488819</x:v>
      </x:c>
      <x:c r="AE614" s="64" t="n">
        <x:f>-ROUND(Q614*'Drivers'!O614,3)</x:f>
        <x:v>-20.481</x:v>
      </x:c>
      <x:c r="AF614" s="65" t="n">
        <x:f>AE614/Q614</x:f>
        <x:v>-0.007929342477442355</x:v>
      </x:c>
      <x:c r="AG614" s="64" t="n">
        <x:f>-ROUND(Q614*'Drivers'!P614,3)</x:f>
        <x:v>-3.736</x:v>
      </x:c>
      <x:c r="AH614" s="64" t="n">
        <x:f>-ROUND(Q614*'Drivers'!Q614,3)</x:f>
        <x:v>-13.387</x:v>
      </x:c>
      <x:c r="AI614" s="64" t="n">
        <x:f>SUM(R614,T614,AC614,AE614,AG614,AH614)</x:f>
        <x:v>-672.8330000000001</x:v>
      </x:c>
      <x:c r="AJ614" s="65" t="n">
        <x:f>AI614/Q614</x:f>
        <x:v>-0.2604913474500743</x:v>
      </x:c>
      <x:c r="AK614" s="64" t="n">
        <x:f>Q614+AI614</x:f>
        <x:v>1910.105</x:v>
      </x:c>
      <x:c r="AL614" s="65" t="n">
        <x:f>AK614/Q614</x:f>
        <x:v>0.7395086525499257</x:v>
      </x:c>
      <x:c r="AM614" s="64" t="n">
        <x:f>AK614/L614</x:f>
        <x:v>318.35083333333336</x:v>
      </x:c>
      <x:c r="AN614" s="66" t="str">
        <x:f>IF(AM614&lt;=200,"≤200K",IF(AM614&lt;=350,"200–350K",IF(AM614&lt;=500,"350–500K",IF(AM614&lt;=700,"500–700K","&gt;700K"))))</x:f>
        <x:v>200–350K</x:v>
      </x:c>
      <x:c r="AO614" s="64" t="n">
        <x:f>-ROUND(Q614*'Drivers'!R614,3)</x:f>
        <x:v>-956.029</x:v>
      </x:c>
      <x:c r="AP614" s="64" t="n">
        <x:f>-ROUND(AK614*'Drivers'!S614,3)</x:f>
        <x:v>-22.709</x:v>
      </x:c>
      <x:c r="AQ614" s="64" t="n">
        <x:f>-ROUND(AK614*'Drivers'!T614,3)</x:f>
        <x:v>-10.056</x:v>
      </x:c>
      <x:c r="AR614" s="64" t="n">
        <x:f>-ROUND(AK614*'Drivers'!U614,3)</x:f>
        <x:v>-24.39</x:v>
      </x:c>
      <x:c r="AS614" s="64" t="n">
        <x:f>-ROUND(AK614*'Drivers'!V614,3)</x:f>
        <x:v>-64.747</x:v>
      </x:c>
      <x:c r="AT614" s="64" t="n">
        <x:f>SUM(AO614:AS614)</x:f>
        <x:v>-1077.931</x:v>
      </x:c>
      <x:c r="AU614" s="65" t="n">
        <x:f>AT614/AK614</x:f>
        <x:v>-0.5643307566861507</x:v>
      </x:c>
      <x:c r="AV614" s="64" t="n">
        <x:f>AK614+AT614</x:f>
        <x:v>832.174</x:v>
      </x:c>
      <x:c r="AW614" s="65" t="n">
        <x:f>AV614/AK614</x:f>
        <x:v>0.4356692433138492</x:v>
      </x:c>
      <x:c r="AX614" s="64" t="n">
        <x:f>-ROUND(AK614*'Drivers'!W614,3)</x:f>
        <x:v>-21.846</x:v>
      </x:c>
      <x:c r="AY614" s="64" t="n">
        <x:f>-ROUND(AK614*'Drivers'!X614,3)</x:f>
        <x:v>-34.845</x:v>
      </x:c>
      <x:c r="AZ614" s="64" t="n">
        <x:f>-ROUND(AK614*'Drivers'!Y614,3)</x:f>
        <x:v>-37.701</x:v>
      </x:c>
      <x:c r="BA614" s="64" t="n">
        <x:f>-ROUND(AK614*'Drivers'!Z614,3)</x:f>
        <x:v>-14.769</x:v>
      </x:c>
      <x:c r="BB614" s="64" t="n">
        <x:f>-ROUND(AK614*'Drivers'!AA614,3)</x:f>
        <x:v>-14.923</x:v>
      </x:c>
      <x:c r="BC614" s="64" t="n">
        <x:f>SUM(BA614,BB614)</x:f>
        <x:v>-29.692</x:v>
      </x:c>
      <x:c r="BD614" s="64" t="n">
        <x:f>-ROUND(AK614*'Drivers'!AB614,3)</x:f>
        <x:v>-13.291</x:v>
      </x:c>
      <x:c r="BE614" s="64" t="n">
        <x:f>SUM(AX614:BB614,BD614)</x:f>
        <x:v>-137.375</x:v>
      </x:c>
      <x:c r="BF614" s="67" t="n">
        <x:f>'Drivers'!AF614</x:f>
        <x:v>12</x:v>
      </x:c>
      <x:c r="BG614" s="64" t="n">
        <x:f>BJ614</x:f>
        <x:v>-51.682</x:v>
      </x:c>
      <x:c r="BH614" s="64" t="n">
        <x:f>BE614/BF614</x:f>
        <x:v>-11.447916666666666</x:v>
      </x:c>
      <x:c r="BI614" s="68" t="n">
        <x:f>BF614/L614</x:f>
        <x:v>2</x:v>
      </x:c>
      <x:c r="BJ614" s="64" t="n">
        <x:f>-ROUND(AK614*'Drivers'!AC614,3)</x:f>
        <x:v>-51.682</x:v>
      </x:c>
      <x:c r="BK614" s="64" t="n">
        <x:f>-ROUND(AK614*'Drivers'!AD614,3)</x:f>
        <x:v>-204.537</x:v>
      </x:c>
      <x:c r="BL614" s="64" t="n">
        <x:f>SUM(AV614,BE614,BJ614,BK614)</x:f>
        <x:v>438.5799999999999</x:v>
      </x:c>
      <x:c r="BM614" s="65" t="n">
        <x:f>BL614/AK614</x:f>
        <x:v>0.22961041408718366</x:v>
      </x:c>
      <x:c r="BN614" s="64" t="n">
        <x:f>-ROUND(AK614*'Drivers'!AE614,3)</x:f>
        <x:v>-126.346</x:v>
      </x:c>
      <x:c r="BO614" s="64" t="n">
        <x:f>BL614+BN614</x:f>
        <x:v>312.2339999999999</x:v>
      </x:c>
      <x:c r="BP614" s="65" t="n">
        <x:f>BO614/AK614</x:f>
        <x:v>0.16346431217132038</x:v>
      </x:c>
    </x:row>
    <x:row r="615">
      <x:c r="A615" s="61" t="n">
        <x:v>2025</x:v>
      </x:c>
      <x:c r="B615" s="18" t="str">
        <x:v>S2</x:v>
      </x:c>
      <x:c r="C615" s="18" t="str">
        <x:v>2025 S2</x:v>
      </x:c>
      <x:c r="D615" s="18" t="str">
        <x:v>CNCT0154</x:v>
      </x:c>
      <x:c r="E615" s="18" t="str">
        <x:v>天津万象城</x:v>
      </x:c>
      <x:c r="F615" s="18" t="str">
        <x:v>天津</x:v>
      </x:c>
      <x:c r="G615" s="18" t="str">
        <x:v>天津市</x:v>
      </x:c>
      <x:c r="H615" s="18" t="str">
        <x:v>北区</x:v>
      </x:c>
      <x:c r="I615" s="18" t="str">
        <x:v>Shopping Mall</x:v>
      </x:c>
      <x:c r="J615" s="18" t="str">
        <x:v>Prestige Shopping Center</x:v>
      </x:c>
      <x:c r="K615" s="18" t="str">
        <x:v>正常</x:v>
      </x:c>
      <x:c r="L615" s="62" t="n">
        <x:v>6</x:v>
      </x:c>
      <x:c r="M615" s="62" t="n">
        <x:v>40</x:v>
      </x:c>
      <x:c r="N615" s="63" t="n">
        <x:f>'Drivers'!C615</x:f>
        <x:v>2315</x:v>
      </x:c>
      <x:c r="O615" s="63" t="n">
        <x:f>'Drivers'!D615</x:f>
        <x:v>1241.099</x:v>
      </x:c>
      <x:c r="P615" s="64" t="n">
        <x:f>ROUND(N615*O615/1000,3)</x:f>
        <x:v>2873.144</x:v>
      </x:c>
      <x:c r="Q615" s="64" t="n">
        <x:f>ROUND(P615*'Drivers'!E615,3)</x:f>
        <x:v>2826.957</x:v>
      </x:c>
      <x:c r="R615" s="64" t="n">
        <x:f>-ROUND(Q615*'Drivers'!F615,3)</x:f>
        <x:v>-447.265</x:v>
      </x:c>
      <x:c r="S615" s="65" t="n">
        <x:f>R615/Q615</x:f>
        <x:v>-0.1582142919046876</x:v>
      </x:c>
      <x:c r="T615" s="64" t="n">
        <x:f>-ROUND(Q615*'Drivers'!G615,3)</x:f>
        <x:v>-52.229</x:v>
      </x:c>
      <x:c r="U615" s="65" t="n">
        <x:f>T615/Q615</x:f>
        <x:v>-0.01847534292173528</x:v>
      </x:c>
      <x:c r="V615" s="64" t="n">
        <x:f>-ROUND(Q615*'Drivers'!H615,3)</x:f>
        <x:v>-34.475</x:v>
      </x:c>
      <x:c r="W615" s="64" t="n">
        <x:f>-ROUND(Q615*'Drivers'!I615,3)</x:f>
        <x:v>-28.547</x:v>
      </x:c>
      <x:c r="X615" s="64" t="n">
        <x:f>-ROUND(Q615*'Drivers'!J615,3)</x:f>
        <x:v>-30.178</x:v>
      </x:c>
      <x:c r="Y615" s="64" t="n">
        <x:f>-ROUND(Q615*'Drivers'!K615,3)</x:f>
        <x:v>-32.483</x:v>
      </x:c>
      <x:c r="Z615" s="64" t="n">
        <x:f>-ROUND(Q615*'Drivers'!L615,3)</x:f>
        <x:v>-27.968</x:v>
      </x:c>
      <x:c r="AA615" s="64" t="n">
        <x:f>-ROUND(Q615*'Drivers'!M615,3)</x:f>
        <x:v>-22.956</x:v>
      </x:c>
      <x:c r="AB615" s="64" t="n">
        <x:f>-ROUND(Q615*'Drivers'!N615,3)</x:f>
        <x:v>-19.139</x:v>
      </x:c>
      <x:c r="AC615" s="64" t="n">
        <x:f>SUM(V615:AB615)</x:f>
        <x:v>-195.74599999999998</x:v>
      </x:c>
      <x:c r="AD615" s="65" t="n">
        <x:f>AC615/Q615</x:f>
        <x:v>-0.0692426520813723</x:v>
      </x:c>
      <x:c r="AE615" s="64" t="n">
        <x:f>-ROUND(Q615*'Drivers'!O615,3)</x:f>
        <x:v>-22.416</x:v>
      </x:c>
      <x:c r="AF615" s="65" t="n">
        <x:f>AE615/Q615</x:f>
        <x:v>-0.00792937423526428</x:v>
      </x:c>
      <x:c r="AG615" s="64" t="n">
        <x:f>-ROUND(Q615*'Drivers'!P615,3)</x:f>
        <x:v>-4.089</x:v>
      </x:c>
      <x:c r="AH615" s="64" t="n">
        <x:f>-ROUND(Q615*'Drivers'!Q615,3)</x:f>
        <x:v>-14.651</x:v>
      </x:c>
      <x:c r="AI615" s="64" t="n">
        <x:f>SUM(R615,T615,AC615,AE615,AG615,AH615)</x:f>
        <x:v>-736.3960000000001</x:v>
      </x:c>
      <x:c r="AJ615" s="65" t="n">
        <x:f>AI615/Q615</x:f>
        <x:v>-0.26049069724088486</x:v>
      </x:c>
      <x:c r="AK615" s="64" t="n">
        <x:f>Q615+AI615</x:f>
        <x:v>2090.5609999999997</x:v>
      </x:c>
      <x:c r="AL615" s="65" t="n">
        <x:f>AK615/Q615</x:f>
        <x:v>0.7395093027591151</x:v>
      </x:c>
      <x:c r="AM615" s="64" t="n">
        <x:f>AK615/L615</x:f>
        <x:v>348.42683333333326</x:v>
      </x:c>
      <x:c r="AN615" s="66" t="str">
        <x:f>IF(AM615&lt;=200,"≤200K",IF(AM615&lt;=350,"200–350K",IF(AM615&lt;=500,"350–500K",IF(AM615&lt;=700,"500–700K","&gt;700K"))))</x:f>
        <x:v>200–350K</x:v>
      </x:c>
      <x:c r="AO615" s="64" t="n">
        <x:f>-ROUND(Q615*'Drivers'!R615,3)</x:f>
        <x:v>-1048.746</x:v>
      </x:c>
      <x:c r="AP615" s="64" t="n">
        <x:f>-ROUND(AK615*'Drivers'!S615,3)</x:f>
        <x:v>-24.854</x:v>
      </x:c>
      <x:c r="AQ615" s="64" t="n">
        <x:f>-ROUND(AK615*'Drivers'!T615,3)</x:f>
        <x:v>-11.006</x:v>
      </x:c>
      <x:c r="AR615" s="64" t="n">
        <x:f>-ROUND(AK615*'Drivers'!U615,3)</x:f>
        <x:v>-26.694</x:v>
      </x:c>
      <x:c r="AS615" s="64" t="n">
        <x:f>-ROUND(AK615*'Drivers'!V615,3)</x:f>
        <x:v>-70.864</x:v>
      </x:c>
      <x:c r="AT615" s="64" t="n">
        <x:f>SUM(AO615:AS615)</x:f>
        <x:v>-1182.1640000000002</x:v>
      </x:c>
      <x:c r="AU615" s="65" t="n">
        <x:f>AT615/AK615</x:f>
        <x:v>-0.5654769222232694</x:v>
      </x:c>
      <x:c r="AV615" s="64" t="n">
        <x:f>AK615+AT615</x:f>
        <x:v>908.3969999999995</x:v>
      </x:c>
      <x:c r="AW615" s="65" t="n">
        <x:f>AV615/AK615</x:f>
        <x:v>0.43452307777673055</x:v>
      </x:c>
      <x:c r="AX615" s="64" t="n">
        <x:f>-ROUND(AK615*'Drivers'!W615,3)</x:f>
        <x:v>-23.91</x:v>
      </x:c>
      <x:c r="AY615" s="64" t="n">
        <x:f>-ROUND(AK615*'Drivers'!X615,3)</x:f>
        <x:v>-38.137</x:v>
      </x:c>
      <x:c r="AZ615" s="64" t="n">
        <x:f>-ROUND(AK615*'Drivers'!Y615,3)</x:f>
        <x:v>-41.263</x:v>
      </x:c>
      <x:c r="BA615" s="64" t="n">
        <x:f>-ROUND(AK615*'Drivers'!Z615,3)</x:f>
        <x:v>-16.165</x:v>
      </x:c>
      <x:c r="BB615" s="64" t="n">
        <x:f>-ROUND(AK615*'Drivers'!AA615,3)</x:f>
        <x:v>-16.333</x:v>
      </x:c>
      <x:c r="BC615" s="64" t="n">
        <x:f>SUM(BA615,BB615)</x:f>
        <x:v>-32.498</x:v>
      </x:c>
      <x:c r="BD615" s="64" t="n">
        <x:f>-ROUND(AK615*'Drivers'!AB615,3)</x:f>
        <x:v>-14.547</x:v>
      </x:c>
      <x:c r="BE615" s="64" t="n">
        <x:f>SUM(AX615:BB615,BD615)</x:f>
        <x:v>-150.355</x:v>
      </x:c>
      <x:c r="BF615" s="67" t="n">
        <x:f>'Drivers'!AF615</x:f>
        <x:v>12</x:v>
      </x:c>
      <x:c r="BG615" s="64" t="n">
        <x:f>BJ615</x:f>
        <x:v>-56.565</x:v>
      </x:c>
      <x:c r="BH615" s="64" t="n">
        <x:f>BE615/BF615</x:f>
        <x:v>-12.529583333333333</x:v>
      </x:c>
      <x:c r="BI615" s="68" t="n">
        <x:f>BF615/L615</x:f>
        <x:v>2</x:v>
      </x:c>
      <x:c r="BJ615" s="64" t="n">
        <x:f>-ROUND(AK615*'Drivers'!AC615,3)</x:f>
        <x:v>-56.565</x:v>
      </x:c>
      <x:c r="BK615" s="64" t="n">
        <x:f>-ROUND(AK615*'Drivers'!AD615,3)</x:f>
        <x:v>-223.861</x:v>
      </x:c>
      <x:c r="BL615" s="64" t="n">
        <x:f>SUM(AV615,BE615,BJ615,BK615)</x:f>
        <x:v>477.6159999999994</x:v>
      </x:c>
      <x:c r="BM615" s="65" t="n">
        <x:f>BL615/AK615</x:f>
        <x:v>0.22846307761409473</x:v>
      </x:c>
      <x:c r="BN615" s="64" t="n">
        <x:f>-ROUND(AK615*'Drivers'!AE615,3)</x:f>
        <x:v>-138.282</x:v>
      </x:c>
      <x:c r="BO615" s="64" t="n">
        <x:f>BL615+BN615</x:f>
        <x:v>339.3339999999994</x:v>
      </x:c>
      <x:c r="BP615" s="65" t="n">
        <x:f>BO615/AK615</x:f>
        <x:v>0.1623171961975754</x:v>
      </x:c>
    </x:row>
    <x:row r="616">
      <x:c r="A616" s="61" t="n">
        <x:v>2026</x:v>
      </x:c>
      <x:c r="B616" s="18" t="str">
        <x:v>S1</x:v>
      </x:c>
      <x:c r="C616" s="18" t="str">
        <x:v>2026 S1</x:v>
      </x:c>
      <x:c r="D616" s="18" t="str">
        <x:v>CNCT0154</x:v>
      </x:c>
      <x:c r="E616" s="18" t="str">
        <x:v>天津万象城</x:v>
      </x:c>
      <x:c r="F616" s="18" t="str">
        <x:v>天津</x:v>
      </x:c>
      <x:c r="G616" s="18" t="str">
        <x:v>天津市</x:v>
      </x:c>
      <x:c r="H616" s="18" t="str">
        <x:v>北区</x:v>
      </x:c>
      <x:c r="I616" s="18" t="str">
        <x:v>Shopping Mall</x:v>
      </x:c>
      <x:c r="J616" s="18" t="str">
        <x:v>Prestige Shopping Center</x:v>
      </x:c>
      <x:c r="K616" s="18" t="str">
        <x:v>正常</x:v>
      </x:c>
      <x:c r="L616" s="62" t="n">
        <x:v>6</x:v>
      </x:c>
      <x:c r="M616" s="62" t="n">
        <x:v>40</x:v>
      </x:c>
      <x:c r="N616" s="63" t="n">
        <x:f>'Drivers'!C616</x:f>
        <x:v>2211</x:v>
      </x:c>
      <x:c r="O616" s="63" t="n">
        <x:f>'Drivers'!D616</x:f>
        <x:v>1286.572</x:v>
      </x:c>
      <x:c r="P616" s="64" t="n">
        <x:f>ROUND(N616*O616/1000,3)</x:f>
        <x:v>2844.611</x:v>
      </x:c>
      <x:c r="Q616" s="64" t="n">
        <x:f>ROUND(P616*'Drivers'!E616,3)</x:f>
        <x:v>2759.824</x:v>
      </x:c>
      <x:c r="R616" s="64" t="n">
        <x:f>-ROUND(Q616*'Drivers'!F616,3)</x:f>
        <x:v>-437.263</x:v>
      </x:c>
      <x:c r="S616" s="65" t="n">
        <x:f>R616/Q616</x:f>
        <x:v>-0.1584387265274887</x:v>
      </x:c>
      <x:c r="T616" s="64" t="n">
        <x:f>-ROUND(Q616*'Drivers'!G616,3)</x:f>
        <x:v>-55.459</x:v>
      </x:c>
      <x:c r="U616" s="65" t="n">
        <x:f>T616/Q616</x:f>
        <x:v>-0.020095122007780207</x:v>
      </x:c>
      <x:c r="V616" s="64" t="n">
        <x:f>-ROUND(Q616*'Drivers'!H616,3)</x:f>
        <x:v>-33.656</x:v>
      </x:c>
      <x:c r="W616" s="64" t="n">
        <x:f>-ROUND(Q616*'Drivers'!I616,3)</x:f>
        <x:v>-27.869</x:v>
      </x:c>
      <x:c r="X616" s="64" t="n">
        <x:f>-ROUND(Q616*'Drivers'!J616,3)</x:f>
        <x:v>-29.461</x:v>
      </x:c>
      <x:c r="Y616" s="64" t="n">
        <x:f>-ROUND(Q616*'Drivers'!K616,3)</x:f>
        <x:v>-31.711</x:v>
      </x:c>
      <x:c r="Z616" s="64" t="n">
        <x:f>-ROUND(Q616*'Drivers'!L616,3)</x:f>
        <x:v>-27.304</x:v>
      </x:c>
      <x:c r="AA616" s="64" t="n">
        <x:f>-ROUND(Q616*'Drivers'!M616,3)</x:f>
        <x:v>-22.411</x:v>
      </x:c>
      <x:c r="AB616" s="64" t="n">
        <x:f>-ROUND(Q616*'Drivers'!N616,3)</x:f>
        <x:v>-18.684</x:v>
      </x:c>
      <x:c r="AC616" s="64" t="n">
        <x:f>SUM(V616:AB616)</x:f>
        <x:v>-191.09599999999998</x:v>
      </x:c>
      <x:c r="AD616" s="65" t="n">
        <x:f>AC616/Q616</x:f>
        <x:v>-0.06924209659746418</x:v>
      </x:c>
      <x:c r="AE616" s="64" t="n">
        <x:f>-ROUND(Q616*'Drivers'!O616,3)</x:f>
        <x:v>-24.256</x:v>
      </x:c>
      <x:c r="AF616" s="65" t="n">
        <x:f>AE616/Q616</x:f>
        <x:v>-0.008788966252920477</x:v>
      </x:c>
      <x:c r="AG616" s="64" t="n">
        <x:f>-ROUND(Q616*'Drivers'!P616,3)</x:f>
        <x:v>-3.992</x:v>
      </x:c>
      <x:c r="AH616" s="64" t="n">
        <x:f>-ROUND(Q616*'Drivers'!Q616,3)</x:f>
        <x:v>-14.303</x:v>
      </x:c>
      <x:c r="AI616" s="64" t="n">
        <x:f>SUM(R616,T616,AC616,AE616,AG616,AH616)</x:f>
        <x:v>-726.3689999999999</x:v>
      </x:c>
      <x:c r="AJ616" s="65" t="n">
        <x:f>AI616/Q616</x:f>
        <x:v>-0.2631939572958275</x:v>
      </x:c>
      <x:c r="AK616" s="64" t="n">
        <x:f>Q616+AI616</x:f>
        <x:v>2033.4550000000002</x:v>
      </x:c>
      <x:c r="AL616" s="65" t="n">
        <x:f>AK616/Q616</x:f>
        <x:v>0.7368060427041725</x:v>
      </x:c>
      <x:c r="AM616" s="64" t="n">
        <x:f>AK616/L616</x:f>
        <x:v>338.9091666666667</x:v>
      </x:c>
      <x:c r="AN616" s="66" t="str">
        <x:f>IF(AM616&lt;=200,"≤200K",IF(AM616&lt;=350,"200–350K",IF(AM616&lt;=500,"350–500K",IF(AM616&lt;=700,"500–700K","&gt;700K"))))</x:f>
        <x:v>200–350K</x:v>
      </x:c>
      <x:c r="AO616" s="64" t="n">
        <x:f>-ROUND(Q616*'Drivers'!R616,3)</x:f>
        <x:v>-1023.044</x:v>
      </x:c>
      <x:c r="AP616" s="64" t="n">
        <x:f>-ROUND(AK616*'Drivers'!S616,3)</x:f>
        <x:v>-24.175</x:v>
      </x:c>
      <x:c r="AQ616" s="64" t="n">
        <x:f>-ROUND(AK616*'Drivers'!T616,3)</x:f>
        <x:v>-10.705</x:v>
      </x:c>
      <x:c r="AR616" s="64" t="n">
        <x:f>-ROUND(AK616*'Drivers'!U616,3)</x:f>
        <x:v>-25.965</x:v>
      </x:c>
      <x:c r="AS616" s="64" t="n">
        <x:f>-ROUND(AK616*'Drivers'!V616,3)</x:f>
        <x:v>-68.928</x:v>
      </x:c>
      <x:c r="AT616" s="64" t="n">
        <x:f>SUM(AO616:AS616)</x:f>
        <x:v>-1152.817</x:v>
      </x:c>
      <x:c r="AU616" s="65" t="n">
        <x:f>AT616/AK616</x:f>
        <x:v>-0.5669252577509706</x:v>
      </x:c>
      <x:c r="AV616" s="64" t="n">
        <x:f>AK616+AT616</x:f>
        <x:v>880.6380000000001</x:v>
      </x:c>
      <x:c r="AW616" s="65" t="n">
        <x:f>AV616/AK616</x:f>
        <x:v>0.4330747422490294</x:v>
      </x:c>
      <x:c r="AX616" s="64" t="n">
        <x:f>-ROUND(AK616*'Drivers'!W616,3)</x:f>
        <x:v>-28.616</x:v>
      </x:c>
      <x:c r="AY616" s="64" t="n">
        <x:f>-ROUND(AK616*'Drivers'!X616,3)</x:f>
        <x:v>-45.644</x:v>
      </x:c>
      <x:c r="AZ616" s="64" t="n">
        <x:f>-ROUND(AK616*'Drivers'!Y616,3)</x:f>
        <x:v>-49.386</x:v>
      </x:c>
      <x:c r="BA616" s="64" t="n">
        <x:f>-ROUND(AK616*'Drivers'!Z616,3)</x:f>
        <x:v>-19.347</x:v>
      </x:c>
      <x:c r="BB616" s="64" t="n">
        <x:f>-ROUND(AK616*'Drivers'!AA616,3)</x:f>
        <x:v>-19.548</x:v>
      </x:c>
      <x:c r="BC616" s="64" t="n">
        <x:f>SUM(BA616,BB616)</x:f>
        <x:v>-38.894999999999996</x:v>
      </x:c>
      <x:c r="BD616" s="64" t="n">
        <x:f>-ROUND(AK616*'Drivers'!AB616,3)</x:f>
        <x:v>-17.411</x:v>
      </x:c>
      <x:c r="BE616" s="64" t="n">
        <x:f>SUM(AX616:BB616,BD616)</x:f>
        <x:v>-179.952</x:v>
      </x:c>
      <x:c r="BF616" s="67" t="n">
        <x:f>'Drivers'!AF616</x:f>
        <x:v>12</x:v>
      </x:c>
      <x:c r="BG616" s="64" t="n">
        <x:f>BJ616</x:f>
        <x:v>-67.699</x:v>
      </x:c>
      <x:c r="BH616" s="64" t="n">
        <x:f>BE616/BF616</x:f>
        <x:v>-14.996</x:v>
      </x:c>
      <x:c r="BI616" s="68" t="n">
        <x:f>BF616/L616</x:f>
        <x:v>2</x:v>
      </x:c>
      <x:c r="BJ616" s="64" t="n">
        <x:f>-ROUND(AK616*'Drivers'!AC616,3)</x:f>
        <x:v>-67.699</x:v>
      </x:c>
      <x:c r="BK616" s="64" t="n">
        <x:f>-ROUND(AK616*'Drivers'!AD616,3)</x:f>
        <x:v>-217.746</x:v>
      </x:c>
      <x:c r="BL616" s="64" t="n">
        <x:f>SUM(AV616,BE616,BJ616,BK616)</x:f>
        <x:v>415.2410000000002</x:v>
      </x:c>
      <x:c r="BM616" s="65" t="n">
        <x:f>BL616/AK616</x:f>
        <x:v>0.20420466644209004</x:v>
      </x:c>
      <x:c r="BN616" s="64" t="n">
        <x:f>-ROUND(AK616*'Drivers'!AE616,3)</x:f>
        <x:v>-134.505</x:v>
      </x:c>
      <x:c r="BO616" s="64" t="n">
        <x:f>BL616+BN616</x:f>
        <x:v>280.7360000000002</x:v>
      </x:c>
      <x:c r="BP616" s="65" t="n">
        <x:f>BO616/AK616</x:f>
        <x:v>0.13805862436100144</x:v>
      </x:c>
    </x:row>
    <x:row r="617">
      <x:c r="A617" s="61" t="n">
        <x:v>2026</x:v>
      </x:c>
      <x:c r="B617" s="18" t="str">
        <x:v>S2</x:v>
      </x:c>
      <x:c r="C617" s="18" t="str">
        <x:v>2026 S2</x:v>
      </x:c>
      <x:c r="D617" s="18" t="str">
        <x:v>CNCT0154</x:v>
      </x:c>
      <x:c r="E617" s="18" t="str">
        <x:v>天津万象城</x:v>
      </x:c>
      <x:c r="F617" s="18" t="str">
        <x:v>天津</x:v>
      </x:c>
      <x:c r="G617" s="18" t="str">
        <x:v>天津市</x:v>
      </x:c>
      <x:c r="H617" s="18" t="str">
        <x:v>北区</x:v>
      </x:c>
      <x:c r="I617" s="18" t="str">
        <x:v>Shopping Mall</x:v>
      </x:c>
      <x:c r="J617" s="18" t="str">
        <x:v>Prestige Shopping Center</x:v>
      </x:c>
      <x:c r="K617" s="18" t="str">
        <x:v>正常</x:v>
      </x:c>
      <x:c r="L617" s="62" t="n">
        <x:v>6</x:v>
      </x:c>
      <x:c r="M617" s="62" t="n">
        <x:v>37</x:v>
      </x:c>
      <x:c r="N617" s="63" t="n">
        <x:f>'Drivers'!C617</x:f>
        <x:v>2372</x:v>
      </x:c>
      <x:c r="O617" s="63" t="n">
        <x:f>'Drivers'!D617</x:f>
        <x:v>1285.204</x:v>
      </x:c>
      <x:c r="P617" s="64" t="n">
        <x:f>ROUND(N617*O617/1000,3)</x:f>
        <x:v>3048.504</x:v>
      </x:c>
      <x:c r="Q617" s="64" t="n">
        <x:f>ROUND(P617*'Drivers'!E617,3)</x:f>
        <x:v>2999.498</x:v>
      </x:c>
      <x:c r="R617" s="64" t="n">
        <x:f>-ROUND(Q617*'Drivers'!F617,3)</x:f>
        <x:v>-456.914</x:v>
      </x:c>
      <x:c r="S617" s="65" t="n">
        <x:f>R617/Q617</x:f>
        <x:v>-0.1523301565795343</x:v>
      </x:c>
      <x:c r="T617" s="64" t="n">
        <x:f>-ROUND(Q617*'Drivers'!G617,3)</x:f>
        <x:v>-51.505</x:v>
      </x:c>
      <x:c r="U617" s="65" t="n">
        <x:f>T617/Q617</x:f>
        <x:v>-0.017171206648579195</x:v>
      </x:c>
      <x:c r="V617" s="64" t="n">
        <x:f>-ROUND(Q617*'Drivers'!H617,3)</x:f>
        <x:v>-36.579</x:v>
      </x:c>
      <x:c r="W617" s="64" t="n">
        <x:f>-ROUND(Q617*'Drivers'!I617,3)</x:f>
        <x:v>-30.29</x:v>
      </x:c>
      <x:c r="X617" s="64" t="n">
        <x:f>-ROUND(Q617*'Drivers'!J617,3)</x:f>
        <x:v>-32.02</x:v>
      </x:c>
      <x:c r="Y617" s="64" t="n">
        <x:f>-ROUND(Q617*'Drivers'!K617,3)</x:f>
        <x:v>-34.465</x:v>
      </x:c>
      <x:c r="Z617" s="64" t="n">
        <x:f>-ROUND(Q617*'Drivers'!L617,3)</x:f>
        <x:v>-29.675</x:v>
      </x:c>
      <x:c r="AA617" s="64" t="n">
        <x:f>-ROUND(Q617*'Drivers'!M617,3)</x:f>
        <x:v>-24.357</x:v>
      </x:c>
      <x:c r="AB617" s="64" t="n">
        <x:f>-ROUND(Q617*'Drivers'!N617,3)</x:f>
        <x:v>-20.307</x:v>
      </x:c>
      <x:c r="AC617" s="64" t="n">
        <x:f>SUM(V617:AB617)</x:f>
        <x:v>-207.693</x:v>
      </x:c>
      <x:c r="AD617" s="65" t="n">
        <x:f>AC617/Q617</x:f>
        <x:v>-0.0692425865928232</x:v>
      </x:c>
      <x:c r="AE617" s="64" t="n">
        <x:f>-ROUND(Q617*'Drivers'!O617,3)</x:f>
        <x:v>-23.784</x:v>
      </x:c>
      <x:c r="AF617" s="65" t="n">
        <x:f>AE617/Q617</x:f>
        <x:v>-0.007929326840691342</x:v>
      </x:c>
      <x:c r="AG617" s="64" t="n">
        <x:f>-ROUND(Q617*'Drivers'!P617,3)</x:f>
        <x:v>-4.339</x:v>
      </x:c>
      <x:c r="AH617" s="64" t="n">
        <x:f>-ROUND(Q617*'Drivers'!Q617,3)</x:f>
        <x:v>-15.546</x:v>
      </x:c>
      <x:c r="AI617" s="64" t="n">
        <x:f>SUM(R617,T617,AC617,AE617,AG617,AH617)</x:f>
        <x:v>-759.7810000000001</x:v>
      </x:c>
      <x:c r="AJ617" s="65" t="n">
        <x:f>AI617/Q617</x:f>
        <x:v>-0.25330271932169984</x:v>
      </x:c>
      <x:c r="AK617" s="64" t="n">
        <x:f>Q617+AI617</x:f>
        <x:v>2239.717</x:v>
      </x:c>
      <x:c r="AL617" s="65" t="n">
        <x:f>AK617/Q617</x:f>
        <x:v>0.7466972806783002</x:v>
      </x:c>
      <x:c r="AM617" s="64" t="n">
        <x:f>AK617/L617</x:f>
        <x:v>373.2861666666667</x:v>
      </x:c>
      <x:c r="AN617" s="66" t="str">
        <x:f>IF(AM617&lt;=200,"≤200K",IF(AM617&lt;=350,"200–350K",IF(AM617&lt;=500,"350–500K",IF(AM617&lt;=700,"500–700K","&gt;700K"))))</x:f>
        <x:v>350–500K</x:v>
      </x:c>
      <x:c r="AO617" s="64" t="n">
        <x:f>-ROUND(Q617*'Drivers'!R617,3)</x:f>
        <x:v>-1126.855</x:v>
      </x:c>
      <x:c r="AP617" s="64" t="n">
        <x:f>-ROUND(AK617*'Drivers'!S617,3)</x:f>
        <x:v>-26.627</x:v>
      </x:c>
      <x:c r="AQ617" s="64" t="n">
        <x:f>-ROUND(AK617*'Drivers'!T617,3)</x:f>
        <x:v>-11.791</x:v>
      </x:c>
      <x:c r="AR617" s="64" t="n">
        <x:f>-ROUND(AK617*'Drivers'!U617,3)</x:f>
        <x:v>-28.598</x:v>
      </x:c>
      <x:c r="AS617" s="64" t="n">
        <x:f>-ROUND(AK617*'Drivers'!V617,3)</x:f>
        <x:v>-75.92</x:v>
      </x:c>
      <x:c r="AT617" s="64" t="n">
        <x:f>SUM(AO617:AS617)</x:f>
        <x:v>-1269.791</x:v>
      </x:c>
      <x:c r="AU617" s="65" t="n">
        <x:f>AT617/AK617</x:f>
        <x:v>-0.5669426092671529</x:v>
      </x:c>
      <x:c r="AV617" s="64" t="n">
        <x:f>AK617+AT617</x:f>
        <x:v>969.9260000000002</x:v>
      </x:c>
      <x:c r="AW617" s="65" t="n">
        <x:f>AV617/AK617</x:f>
        <x:v>0.4330573907328471</x:v>
      </x:c>
      <x:c r="AX617" s="64" t="n">
        <x:f>-ROUND(AK617*'Drivers'!W617,3)</x:f>
        <x:v>-27.153</x:v>
      </x:c>
      <x:c r="AY617" s="64" t="n">
        <x:f>-ROUND(AK617*'Drivers'!X617,3)</x:f>
        <x:v>-43.309</x:v>
      </x:c>
      <x:c r="AZ617" s="64" t="n">
        <x:f>-ROUND(AK617*'Drivers'!Y617,3)</x:f>
        <x:v>-46.86</x:v>
      </x:c>
      <x:c r="BA617" s="64" t="n">
        <x:f>-ROUND(AK617*'Drivers'!Z617,3)</x:f>
        <x:v>-18.357</x:v>
      </x:c>
      <x:c r="BB617" s="64" t="n">
        <x:f>-ROUND(AK617*'Drivers'!AA617,3)</x:f>
        <x:v>-18.548</x:v>
      </x:c>
      <x:c r="BC617" s="64" t="n">
        <x:f>SUM(BA617,BB617)</x:f>
        <x:v>-36.905</x:v>
      </x:c>
      <x:c r="BD617" s="64" t="n">
        <x:f>-ROUND(AK617*'Drivers'!AB617,3)</x:f>
        <x:v>-16.52</x:v>
      </x:c>
      <x:c r="BE617" s="64" t="n">
        <x:f>SUM(AX617:BB617,BD617)</x:f>
        <x:v>-170.74699999999999</x:v>
      </x:c>
      <x:c r="BF617" s="67" t="n">
        <x:f>'Drivers'!AF617</x:f>
        <x:v>12</x:v>
      </x:c>
      <x:c r="BG617" s="64" t="n">
        <x:f>BJ617</x:f>
        <x:v>-64.237</x:v>
      </x:c>
      <x:c r="BH617" s="64" t="n">
        <x:f>BE617/BF617</x:f>
        <x:v>-14.228916666666665</x:v>
      </x:c>
      <x:c r="BI617" s="68" t="n">
        <x:f>BF617/L617</x:f>
        <x:v>2</x:v>
      </x:c>
      <x:c r="BJ617" s="64" t="n">
        <x:f>-ROUND(AK617*'Drivers'!AC617,3)</x:f>
        <x:v>-64.237</x:v>
      </x:c>
      <x:c r="BK617" s="64" t="n">
        <x:f>-ROUND(AK617*'Drivers'!AD617,3)</x:f>
        <x:v>-239.833</x:v>
      </x:c>
      <x:c r="BL617" s="64" t="n">
        <x:f>SUM(AV617,BE617,BJ617,BK617)</x:f>
        <x:v>495.10900000000026</x:v>
      </x:c>
      <x:c r="BM617" s="65" t="n">
        <x:f>BL617/AK617</x:f>
        <x:v>0.22105873197372714</x:v>
      </x:c>
      <x:c r="BN617" s="64" t="n">
        <x:f>-ROUND(AK617*'Drivers'!AE617,3)</x:f>
        <x:v>-148.149</x:v>
      </x:c>
      <x:c r="BO617" s="64" t="n">
        <x:f>BL617+BN617</x:f>
        <x:v>346.96000000000026</x:v>
      </x:c>
      <x:c r="BP617" s="65" t="n">
        <x:f>BO617/AK617</x:f>
        <x:v>0.15491242866844349</x:v>
      </x:c>
    </x:row>
    <x:row r="618">
      <x:c r="A618" s="61" t="n">
        <x:v>2025</x:v>
      </x:c>
      <x:c r="B618" s="18" t="str">
        <x:v>S1</x:v>
      </x:c>
      <x:c r="C618" s="18" t="str">
        <x:v>2025 S1</x:v>
      </x:c>
      <x:c r="D618" s="18" t="str">
        <x:v>CNCT0155</x:v>
      </x:c>
      <x:c r="E618" s="18" t="str">
        <x:v>天津伊势丹滨海店</x:v>
      </x:c>
      <x:c r="F618" s="18" t="str">
        <x:v>天津</x:v>
      </x:c>
      <x:c r="G618" s="18" t="str">
        <x:v>天津市</x:v>
      </x:c>
      <x:c r="H618" s="18" t="str">
        <x:v>北区</x:v>
      </x:c>
      <x:c r="I618" s="18" t="str">
        <x:v>Shopping Mall</x:v>
      </x:c>
      <x:c r="J618" s="18" t="str">
        <x:v>Core Shopping Center</x:v>
      </x:c>
      <x:c r="K618" s="18" t="str">
        <x:v>正常</x:v>
      </x:c>
      <x:c r="L618" s="62" t="n">
        <x:v>4</x:v>
      </x:c>
      <x:c r="M618" s="62" t="n">
        <x:v>40</x:v>
      </x:c>
      <x:c r="N618" s="63" t="n">
        <x:f>'Drivers'!C618</x:f>
        <x:v>1640</x:v>
      </x:c>
      <x:c r="O618" s="63" t="n">
        <x:f>'Drivers'!D618</x:f>
        <x:v>1059.213</x:v>
      </x:c>
      <x:c r="P618" s="64" t="n">
        <x:f>ROUND(N618*O618/1000,3)</x:f>
        <x:v>1737.109</x:v>
      </x:c>
      <x:c r="Q618" s="64" t="n">
        <x:f>ROUND(P618*'Drivers'!E618,3)</x:f>
        <x:v>1673.923</x:v>
      </x:c>
      <x:c r="R618" s="64" t="n">
        <x:f>-ROUND(Q618*'Drivers'!F618,3)</x:f>
        <x:v>-284.93</x:v>
      </x:c>
      <x:c r="S618" s="65" t="n">
        <x:f>R618/Q618</x:f>
        <x:v>-0.17021690961890124</x:v>
      </x:c>
      <x:c r="T618" s="64" t="n">
        <x:f>-ROUND(Q618*'Drivers'!G618,3)</x:f>
        <x:v>-21.815</x:v>
      </x:c>
      <x:c r="U618" s="65" t="n">
        <x:f>T618/Q618</x:f>
        <x:v>-0.013032260145777316</x:v>
      </x:c>
      <x:c r="V618" s="64" t="n">
        <x:f>-ROUND(Q618*'Drivers'!H618,3)</x:f>
        <x:v>-18.699</x:v>
      </x:c>
      <x:c r="W618" s="64" t="n">
        <x:f>-ROUND(Q618*'Drivers'!I618,3)</x:f>
        <x:v>-15.328</x:v>
      </x:c>
      <x:c r="X618" s="64" t="n">
        <x:f>-ROUND(Q618*'Drivers'!J618,3)</x:f>
        <x:v>-25.233</x:v>
      </x:c>
      <x:c r="Y618" s="64" t="n">
        <x:f>-ROUND(Q618*'Drivers'!K618,3)</x:f>
        <x:v>-18.254</x:v>
      </x:c>
      <x:c r="Z618" s="64" t="n">
        <x:f>-ROUND(Q618*'Drivers'!L618,3)</x:f>
        <x:v>-22.844</x:v>
      </x:c>
      <x:c r="AA618" s="64" t="n">
        <x:f>-ROUND(Q618*'Drivers'!M618,3)</x:f>
        <x:v>-11.886</x:v>
      </x:c>
      <x:c r="AB618" s="64" t="n">
        <x:f>-ROUND(Q618*'Drivers'!N618,3)</x:f>
        <x:v>-10.608</x:v>
      </x:c>
      <x:c r="AC618" s="64" t="n">
        <x:f>SUM(V618:AB618)</x:f>
        <x:v>-122.852</x:v>
      </x:c>
      <x:c r="AD618" s="65" t="n">
        <x:f>AC618/Q618</x:f>
        <x:v>-0.07339166735865389</x:v>
      </x:c>
      <x:c r="AE618" s="64" t="n">
        <x:f>-ROUND(Q618*'Drivers'!O618,3)</x:f>
        <x:v>-11.306</x:v>
      </x:c>
      <x:c r="AF618" s="65" t="n">
        <x:f>AE618/Q618</x:f>
        <x:v>-0.006754193591939414</x:v>
      </x:c>
      <x:c r="AG618" s="64" t="n">
        <x:f>-ROUND(Q618*'Drivers'!P618,3)</x:f>
        <x:v>-2.258</x:v>
      </x:c>
      <x:c r="AH618" s="64" t="n">
        <x:f>-ROUND(Q618*'Drivers'!Q618,3)</x:f>
        <x:v>-6.305</x:v>
      </x:c>
      <x:c r="AI618" s="64" t="n">
        <x:f>SUM(R618,T618,AC618,AE618,AG618,AH618)</x:f>
        <x:v>-449.46599999999995</x:v>
      </x:c>
      <x:c r="AJ618" s="65" t="n">
        <x:f>AI618/Q618</x:f>
        <x:v>-0.2685105587294039</x:v>
      </x:c>
      <x:c r="AK618" s="64" t="n">
        <x:f>Q618+AI618</x:f>
        <x:v>1224.457</x:v>
      </x:c>
      <x:c r="AL618" s="65" t="n">
        <x:f>AK618/Q618</x:f>
        <x:v>0.7314894412705961</x:v>
      </x:c>
      <x:c r="AM618" s="64" t="n">
        <x:f>AK618/L618</x:f>
        <x:v>306.11425</x:v>
      </x:c>
      <x:c r="AN618" s="66" t="str">
        <x:f>IF(AM618&lt;=200,"≤200K",IF(AM618&lt;=350,"200–350K",IF(AM618&lt;=500,"350–500K",IF(AM618&lt;=700,"500–700K","&gt;700K"))))</x:f>
        <x:v>200–350K</x:v>
      </x:c>
      <x:c r="AO618" s="64" t="n">
        <x:f>-ROUND(Q618*'Drivers'!R618,3)</x:f>
        <x:v>-627.463</x:v>
      </x:c>
      <x:c r="AP618" s="64" t="n">
        <x:f>-ROUND(AK618*'Drivers'!S618,3)</x:f>
        <x:v>-20.475</x:v>
      </x:c>
      <x:c r="AQ618" s="64" t="n">
        <x:f>-ROUND(AK618*'Drivers'!T618,3)</x:f>
        <x:v>-7.121</x:v>
      </x:c>
      <x:c r="AR618" s="64" t="n">
        <x:f>-ROUND(AK618*'Drivers'!U618,3)</x:f>
        <x:v>-12.967</x:v>
      </x:c>
      <x:c r="AS618" s="64" t="n">
        <x:f>-ROUND(AK618*'Drivers'!V618,3)</x:f>
        <x:v>-45.286</x:v>
      </x:c>
      <x:c r="AT618" s="64" t="n">
        <x:f>SUM(AO618:AS618)</x:f>
        <x:v>-713.3119999999999</x:v>
      </x:c>
      <x:c r="AU618" s="65" t="n">
        <x:f>AT618/AK618</x:f>
        <x:v>-0.5825537360642308</x:v>
      </x:c>
      <x:c r="AV618" s="64" t="n">
        <x:f>AK618+AT618</x:f>
        <x:v>511.1450000000002</x:v>
      </x:c>
      <x:c r="AW618" s="65" t="n">
        <x:f>AV618/AK618</x:f>
        <x:v>0.4174462639357692</x:v>
      </x:c>
      <x:c r="AX618" s="64" t="n">
        <x:f>-ROUND(AK618*'Drivers'!W618,3)</x:f>
        <x:v>-14.272</x:v>
      </x:c>
      <x:c r="AY618" s="64" t="n">
        <x:f>-ROUND(AK618*'Drivers'!X618,3)</x:f>
        <x:v>-32.524</x:v>
      </x:c>
      <x:c r="AZ618" s="64" t="n">
        <x:f>-ROUND(AK618*'Drivers'!Y618,3)</x:f>
        <x:v>-22.415</x:v>
      </x:c>
      <x:c r="BA618" s="64" t="n">
        <x:f>-ROUND(AK618*'Drivers'!Z618,3)</x:f>
        <x:v>-9.803</x:v>
      </x:c>
      <x:c r="BB618" s="64" t="n">
        <x:f>-ROUND(AK618*'Drivers'!AA618,3)</x:f>
        <x:v>-9.929</x:v>
      </x:c>
      <x:c r="BC618" s="64" t="n">
        <x:f>SUM(BA618,BB618)</x:f>
        <x:v>-19.732</x:v>
      </x:c>
      <x:c r="BD618" s="64" t="n">
        <x:f>-ROUND(AK618*'Drivers'!AB618,3)</x:f>
        <x:v>-3.949</x:v>
      </x:c>
      <x:c r="BE618" s="64" t="n">
        <x:f>SUM(AX618:BB618,BD618)</x:f>
        <x:v>-92.892</x:v>
      </x:c>
      <x:c r="BF618" s="67" t="n">
        <x:f>'Drivers'!AF618</x:f>
        <x:v>7</x:v>
      </x:c>
      <x:c r="BG618" s="64" t="n">
        <x:f>BJ618</x:f>
        <x:v>-20.715</x:v>
      </x:c>
      <x:c r="BH618" s="64" t="n">
        <x:f>BE618/BF618</x:f>
        <x:v>-13.270285714285714</x:v>
      </x:c>
      <x:c r="BI618" s="68" t="n">
        <x:f>BF618/L618</x:f>
        <x:v>1.75</x:v>
      </x:c>
      <x:c r="BJ618" s="64" t="n">
        <x:f>-ROUND(AK618*'Drivers'!AC618,3)</x:f>
        <x:v>-20.715</x:v>
      </x:c>
      <x:c r="BK618" s="64" t="n">
        <x:f>-ROUND(AK618*'Drivers'!AD618,3)</x:f>
        <x:v>-100.215</x:v>
      </x:c>
      <x:c r="BL618" s="64" t="n">
        <x:f>SUM(AV618,BE618,BJ618,BK618)</x:f>
        <x:v>297.3230000000002</x:v>
      </x:c>
      <x:c r="BM618" s="65" t="n">
        <x:f>BL618/AK618</x:f>
        <x:v>0.2428202868700168</x:v>
      </x:c>
      <x:c r="BN618" s="64" t="n">
        <x:f>-ROUND(AK618*'Drivers'!AE618,3)</x:f>
        <x:v>-82.534</x:v>
      </x:c>
      <x:c r="BO618" s="64" t="n">
        <x:f>BL618+BN618</x:f>
        <x:v>214.78900000000021</x:v>
      </x:c>
      <x:c r="BP618" s="65" t="n">
        <x:f>BO618/AK618</x:f>
        <x:v>0.17541571488423047</x:v>
      </x:c>
    </x:row>
    <x:row r="619">
      <x:c r="A619" s="61" t="n">
        <x:v>2025</x:v>
      </x:c>
      <x:c r="B619" s="18" t="str">
        <x:v>S2</x:v>
      </x:c>
      <x:c r="C619" s="18" t="str">
        <x:v>2025 S2</x:v>
      </x:c>
      <x:c r="D619" s="18" t="str">
        <x:v>CNCT0155</x:v>
      </x:c>
      <x:c r="E619" s="18" t="str">
        <x:v>天津伊势丹滨海店</x:v>
      </x:c>
      <x:c r="F619" s="18" t="str">
        <x:v>天津</x:v>
      </x:c>
      <x:c r="G619" s="18" t="str">
        <x:v>天津市</x:v>
      </x:c>
      <x:c r="H619" s="18" t="str">
        <x:v>北区</x:v>
      </x:c>
      <x:c r="I619" s="18" t="str">
        <x:v>Shopping Mall</x:v>
      </x:c>
      <x:c r="J619" s="18" t="str">
        <x:v>Core Shopping Center</x:v>
      </x:c>
      <x:c r="K619" s="18" t="str">
        <x:v>正常</x:v>
      </x:c>
      <x:c r="L619" s="62" t="n">
        <x:v>4</x:v>
      </x:c>
      <x:c r="M619" s="62" t="n">
        <x:v>40</x:v>
      </x:c>
      <x:c r="N619" s="63" t="n">
        <x:f>'Drivers'!C619</x:f>
        <x:v>1786</x:v>
      </x:c>
      <x:c r="O619" s="63" t="n">
        <x:f>'Drivers'!D619</x:f>
        <x:v>1071.923</x:v>
      </x:c>
      <x:c r="P619" s="64" t="n">
        <x:f>ROUND(N619*O619/1000,3)</x:f>
        <x:v>1914.454</x:v>
      </x:c>
      <x:c r="Q619" s="64" t="n">
        <x:f>ROUND(P619*'Drivers'!E619,3)</x:f>
        <x:v>1868.661</x:v>
      </x:c>
      <x:c r="R619" s="64" t="n">
        <x:f>-ROUND(Q619*'Drivers'!F619,3)</x:f>
        <x:v>-318.078</x:v>
      </x:c>
      <x:c r="S619" s="65" t="n">
        <x:f>R619/Q619</x:f>
        <x:v>-0.17021706986981586</x:v>
      </x:c>
      <x:c r="T619" s="64" t="n">
        <x:f>-ROUND(Q619*'Drivers'!G619,3)</x:f>
        <x:v>-24.353</x:v>
      </x:c>
      <x:c r="U619" s="65" t="n">
        <x:f>T619/Q619</x:f>
        <x:v>-0.013032326355609712</x:v>
      </x:c>
      <x:c r="V619" s="64" t="n">
        <x:f>-ROUND(Q619*'Drivers'!H619,3)</x:f>
        <x:v>-20.875</x:v>
      </x:c>
      <x:c r="W619" s="64" t="n">
        <x:f>-ROUND(Q619*'Drivers'!I619,3)</x:f>
        <x:v>-17.111</x:v>
      </x:c>
      <x:c r="X619" s="64" t="n">
        <x:f>-ROUND(Q619*'Drivers'!J619,3)</x:f>
        <x:v>-28.169</x:v>
      </x:c>
      <x:c r="Y619" s="64" t="n">
        <x:f>-ROUND(Q619*'Drivers'!K619,3)</x:f>
        <x:v>-20.378</x:v>
      </x:c>
      <x:c r="Z619" s="64" t="n">
        <x:f>-ROUND(Q619*'Drivers'!L619,3)</x:f>
        <x:v>-25.502</x:v>
      </x:c>
      <x:c r="AA619" s="64" t="n">
        <x:f>-ROUND(Q619*'Drivers'!M619,3)</x:f>
        <x:v>-13.269</x:v>
      </x:c>
      <x:c r="AB619" s="64" t="n">
        <x:f>-ROUND(Q619*'Drivers'!N619,3)</x:f>
        <x:v>-11.842</x:v>
      </x:c>
      <x:c r="AC619" s="64" t="n">
        <x:f>SUM(V619:AB619)</x:f>
        <x:v>-137.14600000000002</x:v>
      </x:c>
      <x:c r="AD619" s="65" t="n">
        <x:f>AC619/Q619</x:f>
        <x:v>-0.07339265923567732</x:v>
      </x:c>
      <x:c r="AE619" s="64" t="n">
        <x:f>-ROUND(Q619*'Drivers'!O619,3)</x:f>
        <x:v>-12.622</x:v>
      </x:c>
      <x:c r="AF619" s="65" t="n">
        <x:f>AE619/Q619</x:f>
        <x:v>-0.006754569180819849</x:v>
      </x:c>
      <x:c r="AG619" s="64" t="n">
        <x:f>-ROUND(Q619*'Drivers'!P619,3)</x:f>
        <x:v>-2.52</x:v>
      </x:c>
      <x:c r="AH619" s="64" t="n">
        <x:f>-ROUND(Q619*'Drivers'!Q619,3)</x:f>
        <x:v>-7.038</x:v>
      </x:c>
      <x:c r="AI619" s="64" t="n">
        <x:f>SUM(R619,T619,AC619,AE619,AG619,AH619)</x:f>
        <x:v>-501.757</x:v>
      </x:c>
      <x:c r="AJ619" s="65" t="n">
        <x:f>AI619/Q619</x:f>
        <x:v>-0.2685115170702444</x:v>
      </x:c>
      <x:c r="AK619" s="64" t="n">
        <x:f>Q619+AI619</x:f>
        <x:v>1366.904</x:v>
      </x:c>
      <x:c r="AL619" s="65" t="n">
        <x:f>AK619/Q619</x:f>
        <x:v>0.7314884829297555</x:v>
      </x:c>
      <x:c r="AM619" s="64" t="n">
        <x:f>AK619/L619</x:f>
        <x:v>341.726</x:v>
      </x:c>
      <x:c r="AN619" s="66" t="str">
        <x:f>IF(AM619&lt;=200,"≤200K",IF(AM619&lt;=350,"200–350K",IF(AM619&lt;=500,"350–500K",IF(AM619&lt;=700,"500–700K","&gt;700K"))))</x:f>
        <x:v>200–350K</x:v>
      </x:c>
      <x:c r="AO619" s="64" t="n">
        <x:f>-ROUND(Q619*'Drivers'!R619,3)</x:f>
        <x:v>-713.15</x:v>
      </x:c>
      <x:c r="AP619" s="64" t="n">
        <x:f>-ROUND(AK619*'Drivers'!S619,3)</x:f>
        <x:v>-22.857</x:v>
      </x:c>
      <x:c r="AQ619" s="64" t="n">
        <x:f>-ROUND(AK619*'Drivers'!T619,3)</x:f>
        <x:v>-7.949</x:v>
      </x:c>
      <x:c r="AR619" s="64" t="n">
        <x:f>-ROUND(AK619*'Drivers'!U619,3)</x:f>
        <x:v>-14.476</x:v>
      </x:c>
      <x:c r="AS619" s="64" t="n">
        <x:f>-ROUND(AK619*'Drivers'!V619,3)</x:f>
        <x:v>-50.555</x:v>
      </x:c>
      <x:c r="AT619" s="64" t="n">
        <x:f>SUM(AO619:AS619)</x:f>
        <x:v>-808.9869999999999</x:v>
      </x:c>
      <x:c r="AU619" s="65" t="n">
        <x:f>AT619/AK619</x:f>
        <x:v>-0.5918389294346932</x:v>
      </x:c>
      <x:c r="AV619" s="64" t="n">
        <x:f>AK619+AT619</x:f>
        <x:v>557.9170000000001</x:v>
      </x:c>
      <x:c r="AW619" s="65" t="n">
        <x:f>AV619/AK619</x:f>
        <x:v>0.4081610705653068</x:v>
      </x:c>
      <x:c r="AX619" s="64" t="n">
        <x:f>-ROUND(AK619*'Drivers'!W619,3)</x:f>
        <x:v>-15.932</x:v>
      </x:c>
      <x:c r="AY619" s="64" t="n">
        <x:f>-ROUND(AK619*'Drivers'!X619,3)</x:f>
        <x:v>-36.308</x:v>
      </x:c>
      <x:c r="AZ619" s="64" t="n">
        <x:f>-ROUND(AK619*'Drivers'!Y619,3)</x:f>
        <x:v>-25.023</x:v>
      </x:c>
      <x:c r="BA619" s="64" t="n">
        <x:f>-ROUND(AK619*'Drivers'!Z619,3)</x:f>
        <x:v>-10.943</x:v>
      </x:c>
      <x:c r="BB619" s="64" t="n">
        <x:f>-ROUND(AK619*'Drivers'!AA619,3)</x:f>
        <x:v>-11.084</x:v>
      </x:c>
      <x:c r="BC619" s="64" t="n">
        <x:f>SUM(BA619,BB619)</x:f>
        <x:v>-22.027</x:v>
      </x:c>
      <x:c r="BD619" s="64" t="n">
        <x:f>-ROUND(AK619*'Drivers'!AB619,3)</x:f>
        <x:v>-4.409</x:v>
      </x:c>
      <x:c r="BE619" s="64" t="n">
        <x:f>SUM(AX619:BB619,BD619)</x:f>
        <x:v>-103.69900000000001</x:v>
      </x:c>
      <x:c r="BF619" s="67" t="n">
        <x:f>'Drivers'!AF619</x:f>
        <x:v>7</x:v>
      </x:c>
      <x:c r="BG619" s="64" t="n">
        <x:f>BJ619</x:f>
        <x:v>-23.125</x:v>
      </x:c>
      <x:c r="BH619" s="64" t="n">
        <x:f>BE619/BF619</x:f>
        <x:v>-14.814142857142858</x:v>
      </x:c>
      <x:c r="BI619" s="68" t="n">
        <x:f>BF619/L619</x:f>
        <x:v>1.75</x:v>
      </x:c>
      <x:c r="BJ619" s="64" t="n">
        <x:f>-ROUND(AK619*'Drivers'!AC619,3)</x:f>
        <x:v>-23.125</x:v>
      </x:c>
      <x:c r="BK619" s="64" t="n">
        <x:f>-ROUND(AK619*'Drivers'!AD619,3)</x:f>
        <x:v>-111.874</x:v>
      </x:c>
      <x:c r="BL619" s="64" t="n">
        <x:f>SUM(AV619,BE619,BJ619,BK619)</x:f>
        <x:v>319.21900000000016</x:v>
      </x:c>
      <x:c r="BM619" s="65" t="n">
        <x:f>BL619/AK619</x:f>
        <x:v>0.23353432282003722</x:v>
      </x:c>
      <x:c r="BN619" s="64" t="n">
        <x:f>-ROUND(AK619*'Drivers'!AE619,3)</x:f>
        <x:v>-92.136</x:v>
      </x:c>
      <x:c r="BO619" s="64" t="n">
        <x:f>BL619+BN619</x:f>
        <x:v>227.08300000000017</x:v>
      </x:c>
      <x:c r="BP619" s="65" t="n">
        <x:f>BO619/AK619</x:f>
        <x:v>0.16612944288699147</x:v>
      </x:c>
    </x:row>
    <x:row r="620">
      <x:c r="A620" s="61" t="n">
        <x:v>2026</x:v>
      </x:c>
      <x:c r="B620" s="18" t="str">
        <x:v>S1</x:v>
      </x:c>
      <x:c r="C620" s="18" t="str">
        <x:v>2026 S1</x:v>
      </x:c>
      <x:c r="D620" s="18" t="str">
        <x:v>CNCT0155</x:v>
      </x:c>
      <x:c r="E620" s="18" t="str">
        <x:v>天津伊势丹滨海店</x:v>
      </x:c>
      <x:c r="F620" s="18" t="str">
        <x:v>天津</x:v>
      </x:c>
      <x:c r="G620" s="18" t="str">
        <x:v>天津市</x:v>
      </x:c>
      <x:c r="H620" s="18" t="str">
        <x:v>北区</x:v>
      </x:c>
      <x:c r="I620" s="18" t="str">
        <x:v>Shopping Mall</x:v>
      </x:c>
      <x:c r="J620" s="18" t="str">
        <x:v>Core Shopping Center</x:v>
      </x:c>
      <x:c r="K620" s="18" t="str">
        <x:v>正常</x:v>
      </x:c>
      <x:c r="L620" s="62" t="n">
        <x:v>4</x:v>
      </x:c>
      <x:c r="M620" s="62" t="n">
        <x:v>40</x:v>
      </x:c>
      <x:c r="N620" s="63" t="n">
        <x:f>'Drivers'!C620</x:f>
        <x:v>1351</x:v>
      </x:c>
      <x:c r="O620" s="63" t="n">
        <x:f>'Drivers'!D620</x:f>
        <x:v>1100.237</x:v>
      </x:c>
      <x:c r="P620" s="64" t="n">
        <x:f>ROUND(N620*O620/1000,3)</x:f>
        <x:v>1486.42</x:v>
      </x:c>
      <x:c r="Q620" s="64" t="n">
        <x:f>ROUND(P620*'Drivers'!E620,3)</x:f>
        <x:v>1436.883</x:v>
      </x:c>
      <x:c r="R620" s="64" t="n">
        <x:f>-ROUND(Q620*'Drivers'!F620,3)</x:f>
        <x:v>-261.825</x:v>
      </x:c>
      <x:c r="S620" s="65" t="n">
        <x:f>R620/Q620</x:f>
        <x:v>-0.18221734128666006</x:v>
      </x:c>
      <x:c r="T620" s="64" t="n">
        <x:f>-ROUND(Q620*'Drivers'!G620,3)</x:f>
        <x:v>-19.943</x:v>
      </x:c>
      <x:c r="U620" s="65" t="n">
        <x:f>T620/Q620</x:f>
        <x:v>-0.013879348562130668</x:v>
      </x:c>
      <x:c r="V620" s="64" t="n">
        <x:f>-ROUND(Q620*'Drivers'!H620,3)</x:f>
        <x:v>-16.051</x:v>
      </x:c>
      <x:c r="W620" s="64" t="n">
        <x:f>-ROUND(Q620*'Drivers'!I620,3)</x:f>
        <x:v>-13.157</x:v>
      </x:c>
      <x:c r="X620" s="64" t="n">
        <x:f>-ROUND(Q620*'Drivers'!J620,3)</x:f>
        <x:v>-21.66</x:v>
      </x:c>
      <x:c r="Y620" s="64" t="n">
        <x:f>-ROUND(Q620*'Drivers'!K620,3)</x:f>
        <x:v>-15.669</x:v>
      </x:c>
      <x:c r="Z620" s="64" t="n">
        <x:f>-ROUND(Q620*'Drivers'!L620,3)</x:f>
        <x:v>-19.61</x:v>
      </x:c>
      <x:c r="AA620" s="64" t="n">
        <x:f>-ROUND(Q620*'Drivers'!M620,3)</x:f>
        <x:v>-10.203</x:v>
      </x:c>
      <x:c r="AB620" s="64" t="n">
        <x:f>-ROUND(Q620*'Drivers'!N620,3)</x:f>
        <x:v>-9.106</x:v>
      </x:c>
      <x:c r="AC620" s="64" t="n">
        <x:f>SUM(V620:AB620)</x:f>
        <x:v>-105.45599999999999</x:v>
      </x:c>
      <x:c r="AD620" s="65" t="n">
        <x:f>AC620/Q620</x:f>
        <x:v>-0.07339219685945202</x:v>
      </x:c>
      <x:c r="AE620" s="64" t="n">
        <x:f>-ROUND(Q620*'Drivers'!O620,3)</x:f>
        <x:v>-7.232</x:v>
      </x:c>
      <x:c r="AF620" s="65" t="n">
        <x:f>AE620/Q620</x:f>
        <x:v>-0.005033116823012033</x:v>
      </x:c>
      <x:c r="AG620" s="64" t="n">
        <x:f>-ROUND(Q620*'Drivers'!P620,3)</x:f>
        <x:v>-1.938</x:v>
      </x:c>
      <x:c r="AH620" s="64" t="n">
        <x:f>-ROUND(Q620*'Drivers'!Q620,3)</x:f>
        <x:v>-5.412</x:v>
      </x:c>
      <x:c r="AI620" s="64" t="n">
        <x:f>SUM(R620,T620,AC620,AE620,AG620,AH620)</x:f>
        <x:v>-401.8059999999999</x:v>
      </x:c>
      <x:c r="AJ620" s="65" t="n">
        <x:f>AI620/Q620</x:f>
        <x:v>-0.279637242559067</x:v>
      </x:c>
      <x:c r="AK620" s="64" t="n">
        <x:f>Q620+AI620</x:f>
        <x:v>1035.0770000000002</x:v>
      </x:c>
      <x:c r="AL620" s="65" t="n">
        <x:f>AK620/Q620</x:f>
        <x:v>0.720362757440933</x:v>
      </x:c>
      <x:c r="AM620" s="64" t="n">
        <x:f>AK620/L620</x:f>
        <x:v>258.76925000000006</x:v>
      </x:c>
      <x:c r="AN620" s="66" t="str">
        <x:f>IF(AM620&lt;=200,"≤200K",IF(AM620&lt;=350,"200–350K",IF(AM620&lt;=500,"350–500K",IF(AM620&lt;=700,"500–700K","&gt;700K"))))</x:f>
        <x:v>200–350K</x:v>
      </x:c>
      <x:c r="AO620" s="64" t="n">
        <x:f>-ROUND(Q620*'Drivers'!R620,3)</x:f>
        <x:v>-562.659</x:v>
      </x:c>
      <x:c r="AP620" s="64" t="n">
        <x:f>-ROUND(AK620*'Drivers'!S620,3)</x:f>
        <x:v>-17.308</x:v>
      </x:c>
      <x:c r="AQ620" s="64" t="n">
        <x:f>-ROUND(AK620*'Drivers'!T620,3)</x:f>
        <x:v>-6.02</x:v>
      </x:c>
      <x:c r="AR620" s="64" t="n">
        <x:f>-ROUND(AK620*'Drivers'!U620,3)</x:f>
        <x:v>-10.962</x:v>
      </x:c>
      <x:c r="AS620" s="64" t="n">
        <x:f>-ROUND(AK620*'Drivers'!V620,3)</x:f>
        <x:v>-38.282</x:v>
      </x:c>
      <x:c r="AT620" s="64" t="n">
        <x:f>SUM(AO620:AS620)</x:f>
        <x:v>-635.231</x:v>
      </x:c>
      <x:c r="AU620" s="65" t="n">
        <x:f>AT620/AK620</x:f>
        <x:v>-0.6137041012407771</x:v>
      </x:c>
      <x:c r="AV620" s="64" t="n">
        <x:f>AK620+AT620</x:f>
        <x:v>399.84600000000023</x:v>
      </x:c>
      <x:c r="AW620" s="65" t="n">
        <x:f>AV620/AK620</x:f>
        <x:v>0.3862958987592229</x:v>
      </x:c>
      <x:c r="AX620" s="64" t="n">
        <x:f>-ROUND(AK620*'Drivers'!W620,3)</x:f>
        <x:v>-14.845</x:v>
      </x:c>
      <x:c r="AY620" s="64" t="n">
        <x:f>-ROUND(AK620*'Drivers'!X620,3)</x:f>
        <x:v>-33.83</x:v>
      </x:c>
      <x:c r="AZ620" s="64" t="n">
        <x:f>-ROUND(AK620*'Drivers'!Y620,3)</x:f>
        <x:v>-23.315</x:v>
      </x:c>
      <x:c r="BA620" s="64" t="n">
        <x:f>-ROUND(AK620*'Drivers'!Z620,3)</x:f>
        <x:v>-10.196</x:v>
      </x:c>
      <x:c r="BB620" s="64" t="n">
        <x:f>-ROUND(AK620*'Drivers'!AA620,3)</x:f>
        <x:v>-10.328</x:v>
      </x:c>
      <x:c r="BC620" s="64" t="n">
        <x:f>SUM(BA620,BB620)</x:f>
        <x:v>-20.524</x:v>
      </x:c>
      <x:c r="BD620" s="64" t="n">
        <x:f>-ROUND(AK620*'Drivers'!AB620,3)</x:f>
        <x:v>-4.108</x:v>
      </x:c>
      <x:c r="BE620" s="64" t="n">
        <x:f>SUM(AX620:BB620,BD620)</x:f>
        <x:v>-96.622</x:v>
      </x:c>
      <x:c r="BF620" s="67" t="n">
        <x:f>'Drivers'!AF620</x:f>
        <x:v>7</x:v>
      </x:c>
      <x:c r="BG620" s="64" t="n">
        <x:f>BJ620</x:f>
        <x:v>-31.243</x:v>
      </x:c>
      <x:c r="BH620" s="64" t="n">
        <x:f>BE620/BF620</x:f>
        <x:v>-13.803142857142857</x:v>
      </x:c>
      <x:c r="BI620" s="68" t="n">
        <x:f>BF620/L620</x:f>
        <x:v>1.75</x:v>
      </x:c>
      <x:c r="BJ620" s="64" t="n">
        <x:f>-ROUND(AK620*'Drivers'!AC620,3)</x:f>
        <x:v>-31.243</x:v>
      </x:c>
      <x:c r="BK620" s="64" t="n">
        <x:f>-ROUND(AK620*'Drivers'!AD620,3)</x:f>
        <x:v>-93.187</x:v>
      </x:c>
      <x:c r="BL620" s="64" t="n">
        <x:f>SUM(AV620,BE620,BJ620,BK620)</x:f>
        <x:v>178.7940000000002</x:v>
      </x:c>
      <x:c r="BM620" s="65" t="n">
        <x:f>BL620/AK620</x:f>
        <x:v>0.1727349752723712</x:v>
      </x:c>
      <x:c r="BN620" s="64" t="n">
        <x:f>-ROUND(AK620*'Drivers'!AE620,3)</x:f>
        <x:v>-209.239</x:v>
      </x:c>
      <x:c r="BO620" s="64" t="n">
        <x:f>BL620+BN620</x:f>
        <x:v>-30.444999999999794</x:v>
      </x:c>
      <x:c r="BP620" s="65" t="n">
        <x:f>BO620/AK620</x:f>
        <x:v>-0.029413270703531995</x:v>
      </x:c>
    </x:row>
    <x:row r="621">
      <x:c r="A621" s="61" t="n">
        <x:v>2026</x:v>
      </x:c>
      <x:c r="B621" s="18" t="str">
        <x:v>S2</x:v>
      </x:c>
      <x:c r="C621" s="18" t="str">
        <x:v>2026 S2</x:v>
      </x:c>
      <x:c r="D621" s="18" t="str">
        <x:v>CNCT0155</x:v>
      </x:c>
      <x:c r="E621" s="18" t="str">
        <x:v>天津伊势丹滨海店</x:v>
      </x:c>
      <x:c r="F621" s="18" t="str">
        <x:v>天津</x:v>
      </x:c>
      <x:c r="G621" s="18" t="str">
        <x:v>天津市</x:v>
      </x:c>
      <x:c r="H621" s="18" t="str">
        <x:v>北区</x:v>
      </x:c>
      <x:c r="I621" s="18" t="str">
        <x:v>Shopping Mall</x:v>
      </x:c>
      <x:c r="J621" s="18" t="str">
        <x:v>Core Shopping Center</x:v>
      </x:c>
      <x:c r="K621" s="18" t="str">
        <x:v>暂停营业</x:v>
      </x:c>
      <x:c r="L621" s="62" t="n">
        <x:v>1</x:v>
      </x:c>
      <x:c r="M621" s="62" t="n">
        <x:v>37</x:v>
      </x:c>
      <x:c r="N621" s="63" t="n">
        <x:f>'Drivers'!C621</x:f>
        <x:v>743</x:v>
      </x:c>
      <x:c r="O621" s="63" t="n">
        <x:f>'Drivers'!D621</x:f>
        <x:v>1124.196</x:v>
      </x:c>
      <x:c r="P621" s="64" t="n">
        <x:f>ROUND(N621*O621/1000,3)</x:f>
        <x:v>835.278</x:v>
      </x:c>
      <x:c r="Q621" s="64" t="n">
        <x:f>ROUND(P621*'Drivers'!E621,3)</x:f>
        <x:v>815.298</x:v>
      </x:c>
      <x:c r="R621" s="64" t="n">
        <x:f>-ROUND(Q621*'Drivers'!F621,3)</x:f>
        <x:v>-138.258</x:v>
      </x:c>
      <x:c r="S621" s="65" t="n">
        <x:f>R621/Q621</x:f>
        <x:v>-0.1695797119580816</x:v>
      </x:c>
      <x:c r="T621" s="64" t="n">
        <x:f>-ROUND(Q621*'Drivers'!G621,3)</x:f>
        <x:v>-12.218</x:v>
      </x:c>
      <x:c r="U621" s="65" t="n">
        <x:f>T621/Q621</x:f>
        <x:v>-0.014985931524424198</x:v>
      </x:c>
      <x:c r="V621" s="64" t="n">
        <x:f>-ROUND(Q621*'Drivers'!H621,3)</x:f>
        <x:v>-9.108</x:v>
      </x:c>
      <x:c r="W621" s="64" t="n">
        <x:f>-ROUND(Q621*'Drivers'!I621,3)</x:f>
        <x:v>-7.466</x:v>
      </x:c>
      <x:c r="X621" s="64" t="n">
        <x:f>-ROUND(Q621*'Drivers'!J621,3)</x:f>
        <x:v>-12.29</x:v>
      </x:c>
      <x:c r="Y621" s="64" t="n">
        <x:f>-ROUND(Q621*'Drivers'!K621,3)</x:f>
        <x:v>-8.891</x:v>
      </x:c>
      <x:c r="Z621" s="64" t="n">
        <x:f>-ROUND(Q621*'Drivers'!L621,3)</x:f>
        <x:v>-11.127</x:v>
      </x:c>
      <x:c r="AA621" s="64" t="n">
        <x:f>-ROUND(Q621*'Drivers'!M621,3)</x:f>
        <x:v>-5.789</x:v>
      </x:c>
      <x:c r="AB621" s="64" t="n">
        <x:f>-ROUND(Q621*'Drivers'!N621,3)</x:f>
        <x:v>-5.167</x:v>
      </x:c>
      <x:c r="AC621" s="64" t="n">
        <x:f>SUM(V621:AB621)</x:f>
        <x:v>-59.83800000000001</x:v>
      </x:c>
      <x:c r="AD621" s="65" t="n">
        <x:f>AC621/Q621</x:f>
        <x:v>-0.07339402279902564</x:v>
      </x:c>
      <x:c r="AE621" s="64" t="n">
        <x:f>-ROUND(Q621*'Drivers'!O621,3)</x:f>
        <x:v>-5.507</x:v>
      </x:c>
      <x:c r="AF621" s="65" t="n">
        <x:f>AE621/Q621</x:f>
        <x:v>-0.0067545854399250335</x:v>
      </x:c>
      <x:c r="AG621" s="64" t="n">
        <x:f>-ROUND(Q621*'Drivers'!P621,3)</x:f>
        <x:v>-1.1</x:v>
      </x:c>
      <x:c r="AH621" s="64" t="n">
        <x:f>-ROUND(Q621*'Drivers'!Q621,3)</x:f>
        <x:v>-3.071</x:v>
      </x:c>
      <x:c r="AI621" s="64" t="n">
        <x:f>SUM(R621,T621,AC621,AE621,AG621,AH621)</x:f>
        <x:v>-219.99200000000002</x:v>
      </x:c>
      <x:c r="AJ621" s="65" t="n">
        <x:f>AI621/Q621</x:f>
        <x:v>-0.269830172525874</x:v>
      </x:c>
      <x:c r="AK621" s="64" t="n">
        <x:f>Q621+AI621</x:f>
        <x:v>595.306</x:v>
      </x:c>
      <x:c r="AL621" s="65" t="n">
        <x:f>AK621/Q621</x:f>
        <x:v>0.7301698274741261</x:v>
      </x:c>
      <x:c r="AM621" s="64" t="n">
        <x:f>AK621/L621</x:f>
        <x:v>595.306</x:v>
      </x:c>
      <x:c r="AN621" s="66" t="str">
        <x:f>IF(AM621&lt;=200,"≤200K",IF(AM621&lt;=350,"200–350K",IF(AM621&lt;=500,"350–500K",IF(AM621&lt;=700,"500–700K","&gt;700K"))))</x:f>
        <x:v>500–700K</x:v>
      </x:c>
      <x:c r="AO621" s="64" t="n">
        <x:f>-ROUND(Q621*'Drivers'!R621,3)</x:f>
        <x:v>-328.183</x:v>
      </x:c>
      <x:c r="AP621" s="64" t="n">
        <x:f>-ROUND(AK621*'Drivers'!S621,3)</x:f>
        <x:v>-9.955</x:v>
      </x:c>
      <x:c r="AQ621" s="64" t="n">
        <x:f>-ROUND(AK621*'Drivers'!T621,3)</x:f>
        <x:v>-3.462</x:v>
      </x:c>
      <x:c r="AR621" s="64" t="n">
        <x:f>-ROUND(AK621*'Drivers'!U621,3)</x:f>
        <x:v>-6.304</x:v>
      </x:c>
      <x:c r="AS621" s="64" t="n">
        <x:f>-ROUND(AK621*'Drivers'!V621,3)</x:f>
        <x:v>-22.017</x:v>
      </x:c>
      <x:c r="AT621" s="64" t="n">
        <x:f>SUM(AO621:AS621)</x:f>
        <x:v>-369.92099999999994</x:v>
      </x:c>
      <x:c r="AU621" s="65" t="n">
        <x:f>AT621/AK621</x:f>
        <x:v>-0.6213963910997032</x:v>
      </x:c>
      <x:c r="AV621" s="64" t="n">
        <x:f>AK621+AT621</x:f>
        <x:v>225.3850000000001</x:v>
      </x:c>
      <x:c r="AW621" s="65" t="n">
        <x:f>AV621/AK621</x:f>
        <x:v>0.3786036089002968</x:v>
      </x:c>
      <x:c r="AX621" s="64" t="n">
        <x:f>-ROUND(AK621*'Drivers'!W621,3)</x:f>
        <x:v>-7.355</x:v>
      </x:c>
      <x:c r="AY621" s="64" t="n">
        <x:f>-ROUND(AK621*'Drivers'!X621,3)</x:f>
        <x:v>-16.761</x:v>
      </x:c>
      <x:c r="AZ621" s="64" t="n">
        <x:f>-ROUND(AK621*'Drivers'!Y621,3)</x:f>
        <x:v>-11.552</x:v>
      </x:c>
      <x:c r="BA621" s="64" t="n">
        <x:f>-ROUND(AK621*'Drivers'!Z621,3)</x:f>
        <x:v>-5.052</x:v>
      </x:c>
      <x:c r="BB621" s="64" t="n">
        <x:f>-ROUND(AK621*'Drivers'!AA621,3)</x:f>
        <x:v>-5.117</x:v>
      </x:c>
      <x:c r="BC621" s="64" t="n">
        <x:f>SUM(BA621,BB621)</x:f>
        <x:v>-10.169</x:v>
      </x:c>
      <x:c r="BD621" s="64" t="n">
        <x:f>-ROUND(AK621*'Drivers'!AB621,3)</x:f>
        <x:v>-2.035</x:v>
      </x:c>
      <x:c r="BE621" s="64" t="n">
        <x:f>SUM(AX621:BB621,BD621)</x:f>
        <x:v>-47.872</x:v>
      </x:c>
      <x:c r="BF621" s="67" t="n">
        <x:f>'Drivers'!AF621</x:f>
        <x:v>7</x:v>
      </x:c>
      <x:c r="BG621" s="64" t="n">
        <x:f>BJ621</x:f>
        <x:v>-15.48</x:v>
      </x:c>
      <x:c r="BH621" s="64" t="n">
        <x:f>BE621/BF621</x:f>
        <x:v>-6.838857142857143</x:v>
      </x:c>
      <x:c r="BI621" s="68" t="n">
        <x:f>BF621/L621</x:f>
        <x:v>7</x:v>
      </x:c>
      <x:c r="BJ621" s="64" t="n">
        <x:f>-ROUND(AK621*'Drivers'!AC621,3)</x:f>
        <x:v>-15.48</x:v>
      </x:c>
      <x:c r="BK621" s="64" t="n">
        <x:f>-ROUND(AK621*'Drivers'!AD621,3)</x:f>
        <x:v>-52.62</x:v>
      </x:c>
      <x:c r="BL621" s="64" t="n">
        <x:f>SUM(AV621,BE621,BJ621,BK621)</x:f>
        <x:v>109.4130000000001</x:v>
      </x:c>
      <x:c r="BM621" s="65" t="n">
        <x:f>BL621/AK621</x:f>
        <x:v>0.18379287290905869</x:v>
      </x:c>
      <x:c r="BN621" s="64" t="n">
        <x:f>-ROUND(AK621*'Drivers'!AE621,3)</x:f>
        <x:v>-117.87</x:v>
      </x:c>
      <x:c r="BO621" s="64" t="n">
        <x:f>BL621+BN621</x:f>
        <x:v>-8.456999999999908</x:v>
      </x:c>
      <x:c r="BP621" s="65" t="n">
        <x:f>BO621/AK621</x:f>
        <x:v>-0.014206139363621244</x:v>
      </x:c>
    </x:row>
    <x:row r="622">
      <x:c r="A622" s="61" t="n">
        <x:v>2025</x:v>
      </x:c>
      <x:c r="B622" s="18" t="str">
        <x:v>S1</x:v>
      </x:c>
      <x:c r="C622" s="18" t="str">
        <x:v>2025 S1</x:v>
      </x:c>
      <x:c r="D622" s="18" t="str">
        <x:v>CNCT0156</x:v>
      </x:c>
      <x:c r="E622" s="18" t="str">
        <x:v>天津恒隆广场</x:v>
      </x:c>
      <x:c r="F622" s="18" t="str">
        <x:v>天津</x:v>
      </x:c>
      <x:c r="G622" s="18" t="str">
        <x:v>天津市</x:v>
      </x:c>
      <x:c r="H622" s="18" t="str">
        <x:v>北区</x:v>
      </x:c>
      <x:c r="I622" s="18" t="str">
        <x:v>Shopping Mall</x:v>
      </x:c>
      <x:c r="J622" s="18" t="str">
        <x:v>Prestige Shopping Center</x:v>
      </x:c>
      <x:c r="K622" s="18" t="str">
        <x:v>正常</x:v>
      </x:c>
      <x:c r="L622" s="62" t="n">
        <x:v>5</x:v>
      </x:c>
      <x:c r="M622" s="62" t="n">
        <x:v>40</x:v>
      </x:c>
      <x:c r="N622" s="63" t="n">
        <x:f>'Drivers'!C622</x:f>
        <x:v>2120</x:v>
      </x:c>
      <x:c r="O622" s="63" t="n">
        <x:f>'Drivers'!D622</x:f>
        <x:v>1134.349</x:v>
      </x:c>
      <x:c r="P622" s="64" t="n">
        <x:f>ROUND(N622*O622/1000,3)</x:f>
        <x:v>2404.82</x:v>
      </x:c>
      <x:c r="Q622" s="64" t="n">
        <x:f>ROUND(P622*'Drivers'!E622,3)</x:f>
        <x:v>2314.016</x:v>
      </x:c>
      <x:c r="R622" s="64" t="n">
        <x:f>-ROUND(Q622*'Drivers'!F622,3)</x:f>
        <x:v>-478.398</x:v>
      </x:c>
      <x:c r="S622" s="65" t="n">
        <x:f>R622/Q622</x:f>
        <x:v>-0.2067392792443959</x:v>
      </x:c>
      <x:c r="T622" s="64" t="n">
        <x:f>-ROUND(Q622*'Drivers'!G622,3)</x:f>
        <x:v>-37.544</x:v>
      </x:c>
      <x:c r="U622" s="65" t="n">
        <x:f>T622/Q622</x:f>
        <x:v>-0.016224606917151826</x:v>
      </x:c>
      <x:c r="V622" s="64" t="n">
        <x:f>-ROUND(Q622*'Drivers'!H622,3)</x:f>
        <x:v>-27.45</x:v>
      </x:c>
      <x:c r="W622" s="64" t="n">
        <x:f>-ROUND(Q622*'Drivers'!I622,3)</x:f>
        <x:v>-14.035</x:v>
      </x:c>
      <x:c r="X622" s="64" t="n">
        <x:f>-ROUND(Q622*'Drivers'!J622,3)</x:f>
        <x:v>-26.151</x:v>
      </x:c>
      <x:c r="Y622" s="64" t="n">
        <x:f>-ROUND(Q622*'Drivers'!K622,3)</x:f>
        <x:v>-26.391</x:v>
      </x:c>
      <x:c r="Z622" s="64" t="n">
        <x:f>-ROUND(Q622*'Drivers'!L622,3)</x:f>
        <x:v>-22.507</x:v>
      </x:c>
      <x:c r="AA622" s="64" t="n">
        <x:f>-ROUND(Q622*'Drivers'!M622,3)</x:f>
        <x:v>-23.495</x:v>
      </x:c>
      <x:c r="AB622" s="64" t="n">
        <x:f>-ROUND(Q622*'Drivers'!N622,3)</x:f>
        <x:v>-14.792</x:v>
      </x:c>
      <x:c r="AC622" s="64" t="n">
        <x:f>SUM(V622:AB622)</x:f>
        <x:v>-154.821</x:v>
      </x:c>
      <x:c r="AD622" s="65" t="n">
        <x:f>AC622/Q622</x:f>
        <x:v>-0.0669057603750363</x:v>
      </x:c>
      <x:c r="AE622" s="64" t="n">
        <x:f>-ROUND(Q622*'Drivers'!O622,3)</x:f>
        <x:v>-36.965</x:v>
      </x:c>
      <x:c r="AF622" s="65" t="n">
        <x:f>AE622/Q622</x:f>
        <x:v>-0.015974392571183604</x:v>
      </x:c>
      <x:c r="AG622" s="64" t="n">
        <x:f>-ROUND(Q622*'Drivers'!P622,3)</x:f>
        <x:v>-3.341</x:v>
      </x:c>
      <x:c r="AH622" s="64" t="n">
        <x:f>-ROUND(Q622*'Drivers'!Q622,3)</x:f>
        <x:v>-14.296</x:v>
      </x:c>
      <x:c r="AI622" s="64" t="n">
        <x:f>SUM(R622,T622,AC622,AE622,AG622,AH622)</x:f>
        <x:v>-725.3650000000001</x:v>
      </x:c>
      <x:c r="AJ622" s="65" t="n">
        <x:f>AI622/Q622</x:f>
        <x:v>-0.31346585330438514</x:v>
      </x:c>
      <x:c r="AK622" s="64" t="n">
        <x:f>Q622+AI622</x:f>
        <x:v>1588.6509999999998</x:v>
      </x:c>
      <x:c r="AL622" s="65" t="n">
        <x:f>AK622/Q622</x:f>
        <x:v>0.6865341466956149</x:v>
      </x:c>
      <x:c r="AM622" s="64" t="n">
        <x:f>AK622/L622</x:f>
        <x:v>317.73019999999997</x:v>
      </x:c>
      <x:c r="AN622" s="66" t="str">
        <x:f>IF(AM622&lt;=200,"≤200K",IF(AM622&lt;=350,"200–350K",IF(AM622&lt;=500,"350–500K",IF(AM622&lt;=700,"500–700K","&gt;700K"))))</x:f>
        <x:v>200–350K</x:v>
      </x:c>
      <x:c r="AO622" s="64" t="n">
        <x:f>-ROUND(Q622*'Drivers'!R622,3)</x:f>
        <x:v>-809.895</x:v>
      </x:c>
      <x:c r="AP622" s="64" t="n">
        <x:f>-ROUND(AK622*'Drivers'!S622,3)</x:f>
        <x:v>-24.802</x:v>
      </x:c>
      <x:c r="AQ622" s="64" t="n">
        <x:f>-ROUND(AK622*'Drivers'!T622,3)</x:f>
        <x:v>-6.26</x:v>
      </x:c>
      <x:c r="AR622" s="64" t="n">
        <x:f>-ROUND(AK622*'Drivers'!U622,3)</x:f>
        <x:v>-14.253</x:v>
      </x:c>
      <x:c r="AS622" s="64" t="n">
        <x:f>-ROUND(AK622*'Drivers'!V622,3)</x:f>
        <x:v>-49.651</x:v>
      </x:c>
      <x:c r="AT622" s="64" t="n">
        <x:f>SUM(AO622:AS622)</x:f>
        <x:v>-904.861</x:v>
      </x:c>
      <x:c r="AU622" s="65" t="n">
        <x:f>AT622/AK622</x:f>
        <x:v>-0.5695782144725305</x:v>
      </x:c>
      <x:c r="AV622" s="64" t="n">
        <x:f>AK622+AT622</x:f>
        <x:v>683.7899999999998</x:v>
      </x:c>
      <x:c r="AW622" s="65" t="n">
        <x:f>AV622/AK622</x:f>
        <x:v>0.43042178552746946</x:v>
      </x:c>
      <x:c r="AX622" s="64" t="n">
        <x:f>-ROUND(AK622*'Drivers'!W622,3)</x:f>
        <x:v>-22.262</x:v>
      </x:c>
      <x:c r="AY622" s="64" t="n">
        <x:f>-ROUND(AK622*'Drivers'!X622,3)</x:f>
        <x:v>-30.249</x:v>
      </x:c>
      <x:c r="AZ622" s="64" t="n">
        <x:f>-ROUND(AK622*'Drivers'!Y622,3)</x:f>
        <x:v>-33.141</x:v>
      </x:c>
      <x:c r="BA622" s="64" t="n">
        <x:f>-ROUND(AK622*'Drivers'!Z622,3)</x:f>
        <x:v>-11.739</x:v>
      </x:c>
      <x:c r="BB622" s="64" t="n">
        <x:f>-ROUND(AK622*'Drivers'!AA622,3)</x:f>
        <x:v>-11.14</x:v>
      </x:c>
      <x:c r="BC622" s="64" t="n">
        <x:f>SUM(BA622,BB622)</x:f>
        <x:v>-22.879</x:v>
      </x:c>
      <x:c r="BD622" s="64" t="n">
        <x:f>-ROUND(AK622*'Drivers'!AB622,3)</x:f>
        <x:v>-6.418</x:v>
      </x:c>
      <x:c r="BE622" s="64" t="n">
        <x:f>SUM(AX622:BB622,BD622)</x:f>
        <x:v>-114.949</x:v>
      </x:c>
      <x:c r="BF622" s="67" t="n">
        <x:f>'Drivers'!AF622</x:f>
        <x:v>9</x:v>
      </x:c>
      <x:c r="BG622" s="64" t="n">
        <x:f>BJ622</x:f>
        <x:v>-34.634</x:v>
      </x:c>
      <x:c r="BH622" s="64" t="n">
        <x:f>BE622/BF622</x:f>
        <x:v>-12.77211111111111</x:v>
      </x:c>
      <x:c r="BI622" s="68" t="n">
        <x:f>BF622/L622</x:f>
        <x:v>1.8</x:v>
      </x:c>
      <x:c r="BJ622" s="64" t="n">
        <x:f>-ROUND(AK622*'Drivers'!AC622,3)</x:f>
        <x:v>-34.634</x:v>
      </x:c>
      <x:c r="BK622" s="64" t="n">
        <x:f>-ROUND(AK622*'Drivers'!AD622,3)</x:f>
        <x:v>-155.849</x:v>
      </x:c>
      <x:c r="BL622" s="64" t="n">
        <x:f>SUM(AV622,BE622,BJ622,BK622)</x:f>
        <x:v>378.3579999999999</x:v>
      </x:c>
      <x:c r="BM622" s="65" t="n">
        <x:f>BL622/AK622</x:f>
        <x:v>0.2381630704289362</x:v>
      </x:c>
      <x:c r="BN622" s="64" t="n">
        <x:f>-ROUND(AK622*'Drivers'!AE622,3)</x:f>
        <x:v>-97.937</x:v>
      </x:c>
      <x:c r="BO622" s="64" t="n">
        <x:f>BL622+BN622</x:f>
        <x:v>280.4209999999999</x:v>
      </x:c>
      <x:c r="BP622" s="65" t="n">
        <x:f>BO622/AK622</x:f>
        <x:v>0.1765151691592426</x:v>
      </x:c>
    </x:row>
    <x:row r="623">
      <x:c r="A623" s="61" t="n">
        <x:v>2025</x:v>
      </x:c>
      <x:c r="B623" s="18" t="str">
        <x:v>S2</x:v>
      </x:c>
      <x:c r="C623" s="18" t="str">
        <x:v>2025 S2</x:v>
      </x:c>
      <x:c r="D623" s="18" t="str">
        <x:v>CNCT0156</x:v>
      </x:c>
      <x:c r="E623" s="18" t="str">
        <x:v>天津恒隆广场</x:v>
      </x:c>
      <x:c r="F623" s="18" t="str">
        <x:v>天津</x:v>
      </x:c>
      <x:c r="G623" s="18" t="str">
        <x:v>天津市</x:v>
      </x:c>
      <x:c r="H623" s="18" t="str">
        <x:v>北区</x:v>
      </x:c>
      <x:c r="I623" s="18" t="str">
        <x:v>Shopping Mall</x:v>
      </x:c>
      <x:c r="J623" s="18" t="str">
        <x:v>Prestige Shopping Center</x:v>
      </x:c>
      <x:c r="K623" s="18" t="str">
        <x:v>正常</x:v>
      </x:c>
      <x:c r="L623" s="62" t="n">
        <x:v>5</x:v>
      </x:c>
      <x:c r="M623" s="62" t="n">
        <x:v>40</x:v>
      </x:c>
      <x:c r="N623" s="63" t="n">
        <x:f>'Drivers'!C623</x:f>
        <x:v>2264</x:v>
      </x:c>
      <x:c r="O623" s="63" t="n">
        <x:f>'Drivers'!D623</x:f>
        <x:v>1147.961</x:v>
      </x:c>
      <x:c r="P623" s="64" t="n">
        <x:f>ROUND(N623*O623/1000,3)</x:f>
        <x:v>2598.984</x:v>
      </x:c>
      <x:c r="Q623" s="64" t="n">
        <x:f>ROUND(P623*'Drivers'!E623,3)</x:f>
        <x:v>2508.222</x:v>
      </x:c>
      <x:c r="R623" s="64" t="n">
        <x:f>-ROUND(Q623*'Drivers'!F623,3)</x:f>
        <x:v>-518.548</x:v>
      </x:c>
      <x:c r="S623" s="65" t="n">
        <x:f>R623/Q623</x:f>
        <x:v>-0.20673927586952032</x:v>
      </x:c>
      <x:c r="T623" s="64" t="n">
        <x:f>-ROUND(Q623*'Drivers'!G623,3)</x:f>
        <x:v>-40.695</x:v>
      </x:c>
      <x:c r="U623" s="65" t="n">
        <x:f>T623/Q623</x:f>
        <x:v>-0.016224640402643785</x:v>
      </x:c>
      <x:c r="V623" s="64" t="n">
        <x:f>-ROUND(Q623*'Drivers'!H623,3)</x:f>
        <x:v>-29.754</x:v>
      </x:c>
      <x:c r="W623" s="64" t="n">
        <x:f>-ROUND(Q623*'Drivers'!I623,3)</x:f>
        <x:v>-15.212</x:v>
      </x:c>
      <x:c r="X623" s="64" t="n">
        <x:f>-ROUND(Q623*'Drivers'!J623,3)</x:f>
        <x:v>-28.346</x:v>
      </x:c>
      <x:c r="Y623" s="64" t="n">
        <x:f>-ROUND(Q623*'Drivers'!K623,3)</x:f>
        <x:v>-28.606</x:v>
      </x:c>
      <x:c r="Z623" s="64" t="n">
        <x:f>-ROUND(Q623*'Drivers'!L623,3)</x:f>
        <x:v>-24.396</x:v>
      </x:c>
      <x:c r="AA623" s="64" t="n">
        <x:f>-ROUND(Q623*'Drivers'!M623,3)</x:f>
        <x:v>-25.467</x:v>
      </x:c>
      <x:c r="AB623" s="64" t="n">
        <x:f>-ROUND(Q623*'Drivers'!N623,3)</x:f>
        <x:v>-16.033</x:v>
      </x:c>
      <x:c r="AC623" s="64" t="n">
        <x:f>SUM(V623:AB623)</x:f>
        <x:v>-167.81400000000002</x:v>
      </x:c>
      <x:c r="AD623" s="65" t="n">
        <x:f>AC623/Q623</x:f>
        <x:v>-0.06690556099101276</x:v>
      </x:c>
      <x:c r="AE623" s="64" t="n">
        <x:f>-ROUND(Q623*'Drivers'!O623,3)</x:f>
        <x:v>-40.067</x:v>
      </x:c>
      <x:c r="AF623" s="65" t="n">
        <x:f>AE623/Q623</x:f>
        <x:v>-0.015974263841079455</x:v>
      </x:c>
      <x:c r="AG623" s="64" t="n">
        <x:f>-ROUND(Q623*'Drivers'!P623,3)</x:f>
        <x:v>-3.621</x:v>
      </x:c>
      <x:c r="AH623" s="64" t="n">
        <x:f>-ROUND(Q623*'Drivers'!Q623,3)</x:f>
        <x:v>-15.496</x:v>
      </x:c>
      <x:c r="AI623" s="64" t="n">
        <x:f>SUM(R623,T623,AC623,AE623,AG623,AH623)</x:f>
        <x:v>-786.241</x:v>
      </x:c>
      <x:c r="AJ623" s="65" t="n">
        <x:f>AI623/Q623</x:f>
        <x:v>-0.31346547474665315</x:v>
      </x:c>
      <x:c r="AK623" s="64" t="n">
        <x:f>Q623+AI623</x:f>
        <x:v>1721.9810000000002</x:v>
      </x:c>
      <x:c r="AL623" s="65" t="n">
        <x:f>AK623/Q623</x:f>
        <x:v>0.6865345252533468</x:v>
      </x:c>
      <x:c r="AM623" s="64" t="n">
        <x:f>AK623/L623</x:f>
        <x:v>344.3962</x:v>
      </x:c>
      <x:c r="AN623" s="66" t="str">
        <x:f>IF(AM623&lt;=200,"≤200K",IF(AM623&lt;=350,"200–350K",IF(AM623&lt;=500,"350–500K",IF(AM623&lt;=700,"500–700K","&gt;700K"))))</x:f>
        <x:v>200–350K</x:v>
      </x:c>
      <x:c r="AO623" s="64" t="n">
        <x:f>-ROUND(Q623*'Drivers'!R623,3)</x:f>
        <x:v>-877.581</x:v>
      </x:c>
      <x:c r="AP623" s="64" t="n">
        <x:f>-ROUND(AK623*'Drivers'!S623,3)</x:f>
        <x:v>-26.884</x:v>
      </x:c>
      <x:c r="AQ623" s="64" t="n">
        <x:f>-ROUND(AK623*'Drivers'!T623,3)</x:f>
        <x:v>-6.785</x:v>
      </x:c>
      <x:c r="AR623" s="64" t="n">
        <x:f>-ROUND(AK623*'Drivers'!U623,3)</x:f>
        <x:v>-15.449</x:v>
      </x:c>
      <x:c r="AS623" s="64" t="n">
        <x:f>-ROUND(AK623*'Drivers'!V623,3)</x:f>
        <x:v>-53.819</x:v>
      </x:c>
      <x:c r="AT623" s="64" t="n">
        <x:f>SUM(AO623:AS623)</x:f>
        <x:v>-980.5179999999999</x:v>
      </x:c>
      <x:c r="AU623" s="65" t="n">
        <x:f>AT623/AK623</x:f>
        <x:v>-0.569412786784523</x:v>
      </x:c>
      <x:c r="AV623" s="64" t="n">
        <x:f>AK623+AT623</x:f>
        <x:v>741.4630000000003</x:v>
      </x:c>
      <x:c r="AW623" s="65" t="n">
        <x:f>AV623/AK623</x:f>
        <x:v>0.43058721321547694</x:v>
      </x:c>
      <x:c r="AX623" s="64" t="n">
        <x:f>-ROUND(AK623*'Drivers'!W623,3)</x:f>
        <x:v>-24.13</x:v>
      </x:c>
      <x:c r="AY623" s="64" t="n">
        <x:f>-ROUND(AK623*'Drivers'!X623,3)</x:f>
        <x:v>-32.788</x:v>
      </x:c>
      <x:c r="AZ623" s="64" t="n">
        <x:f>-ROUND(AK623*'Drivers'!Y623,3)</x:f>
        <x:v>-35.923</x:v>
      </x:c>
      <x:c r="BA623" s="64" t="n">
        <x:f>-ROUND(AK623*'Drivers'!Z623,3)</x:f>
        <x:v>-12.724</x:v>
      </x:c>
      <x:c r="BB623" s="64" t="n">
        <x:f>-ROUND(AK623*'Drivers'!AA623,3)</x:f>
        <x:v>-12.075</x:v>
      </x:c>
      <x:c r="BC623" s="64" t="n">
        <x:f>SUM(BA623,BB623)</x:f>
        <x:v>-24.799</x:v>
      </x:c>
      <x:c r="BD623" s="64" t="n">
        <x:f>-ROUND(AK623*'Drivers'!AB623,3)</x:f>
        <x:v>-6.957</x:v>
      </x:c>
      <x:c r="BE623" s="64" t="n">
        <x:f>SUM(AX623:BB623,BD623)</x:f>
        <x:v>-124.597</x:v>
      </x:c>
      <x:c r="BF623" s="67" t="n">
        <x:f>'Drivers'!AF623</x:f>
        <x:v>9</x:v>
      </x:c>
      <x:c r="BG623" s="64" t="n">
        <x:f>BJ623</x:f>
        <x:v>-37.541</x:v>
      </x:c>
      <x:c r="BH623" s="64" t="n">
        <x:f>BE623/BF623</x:f>
        <x:v>-13.844111111111111</x:v>
      </x:c>
      <x:c r="BI623" s="68" t="n">
        <x:f>BF623/L623</x:f>
        <x:v>1.8</x:v>
      </x:c>
      <x:c r="BJ623" s="64" t="n">
        <x:f>-ROUND(AK623*'Drivers'!AC623,3)</x:f>
        <x:v>-37.541</x:v>
      </x:c>
      <x:c r="BK623" s="64" t="n">
        <x:f>-ROUND(AK623*'Drivers'!AD623,3)</x:f>
        <x:v>-168.929</x:v>
      </x:c>
      <x:c r="BL623" s="64" t="n">
        <x:f>SUM(AV623,BE623,BJ623,BK623)</x:f>
        <x:v>410.3960000000003</x:v>
      </x:c>
      <x:c r="BM623" s="65" t="n">
        <x:f>BL623/AK623</x:f>
        <x:v>0.23832783288549655</x:v>
      </x:c>
      <x:c r="BN623" s="64" t="n">
        <x:f>-ROUND(AK623*'Drivers'!AE623,3)</x:f>
        <x:v>-106.156</x:v>
      </x:c>
      <x:c r="BO623" s="64" t="n">
        <x:f>BL623+BN623</x:f>
        <x:v>304.2400000000003</x:v>
      </x:c>
      <x:c r="BP623" s="65" t="n">
        <x:f>BO623/AK623</x:f>
        <x:v>0.17668023050196272</x:v>
      </x:c>
    </x:row>
    <x:row r="624">
      <x:c r="A624" s="61" t="n">
        <x:v>2026</x:v>
      </x:c>
      <x:c r="B624" s="18" t="str">
        <x:v>S1</x:v>
      </x:c>
      <x:c r="C624" s="18" t="str">
        <x:v>2026 S1</x:v>
      </x:c>
      <x:c r="D624" s="18" t="str">
        <x:v>CNCT0156</x:v>
      </x:c>
      <x:c r="E624" s="18" t="str">
        <x:v>天津恒隆广场</x:v>
      </x:c>
      <x:c r="F624" s="18" t="str">
        <x:v>天津</x:v>
      </x:c>
      <x:c r="G624" s="18" t="str">
        <x:v>天津市</x:v>
      </x:c>
      <x:c r="H624" s="18" t="str">
        <x:v>北区</x:v>
      </x:c>
      <x:c r="I624" s="18" t="str">
        <x:v>Shopping Mall</x:v>
      </x:c>
      <x:c r="J624" s="18" t="str">
        <x:v>Prestige Shopping Center</x:v>
      </x:c>
      <x:c r="K624" s="18" t="str">
        <x:v>正常</x:v>
      </x:c>
      <x:c r="L624" s="62" t="n">
        <x:v>5</x:v>
      </x:c>
      <x:c r="M624" s="62" t="n">
        <x:v>40</x:v>
      </x:c>
      <x:c r="N624" s="63" t="n">
        <x:f>'Drivers'!C624</x:f>
        <x:v>2013</x:v>
      </x:c>
      <x:c r="O624" s="63" t="n">
        <x:f>'Drivers'!D624</x:f>
        <x:v>1181.385</x:v>
      </x:c>
      <x:c r="P624" s="64" t="n">
        <x:f>ROUND(N624*O624/1000,3)</x:f>
        <x:v>2378.128</x:v>
      </x:c>
      <x:c r="Q624" s="64" t="n">
        <x:f>ROUND(P624*'Drivers'!E624,3)</x:f>
        <x:v>2290.278</x:v>
      </x:c>
      <x:c r="R624" s="64" t="n">
        <x:f>-ROUND(Q624*'Drivers'!F624,3)</x:f>
        <x:v>-465.115</x:v>
      </x:c>
      <x:c r="S624" s="65" t="n">
        <x:f>R624/Q624</x:f>
        <x:v>-0.2030823332364019</x:v>
      </x:c>
      <x:c r="T624" s="64" t="n">
        <x:f>-ROUND(Q624*'Drivers'!G624,3)</x:f>
        <x:v>-32.758</x:v>
      </x:c>
      <x:c r="U624" s="65" t="n">
        <x:f>T624/Q624</x:f>
        <x:v>-0.014303067138574446</x:v>
      </x:c>
      <x:c r="V624" s="64" t="n">
        <x:f>-ROUND(Q624*'Drivers'!H624,3)</x:f>
        <x:v>-27.168</x:v>
      </x:c>
      <x:c r="W624" s="64" t="n">
        <x:f>-ROUND(Q624*'Drivers'!I624,3)</x:f>
        <x:v>-13.891</x:v>
      </x:c>
      <x:c r="X624" s="64" t="n">
        <x:f>-ROUND(Q624*'Drivers'!J624,3)</x:f>
        <x:v>-25.883</x:v>
      </x:c>
      <x:c r="Y624" s="64" t="n">
        <x:f>-ROUND(Q624*'Drivers'!K624,3)</x:f>
        <x:v>-26.121</x:v>
      </x:c>
      <x:c r="Z624" s="64" t="n">
        <x:f>-ROUND(Q624*'Drivers'!L624,3)</x:f>
        <x:v>-22.276</x:v>
      </x:c>
      <x:c r="AA624" s="64" t="n">
        <x:f>-ROUND(Q624*'Drivers'!M624,3)</x:f>
        <x:v>-23.254</x:v>
      </x:c>
      <x:c r="AB624" s="64" t="n">
        <x:f>-ROUND(Q624*'Drivers'!N624,3)</x:f>
        <x:v>-14.64</x:v>
      </x:c>
      <x:c r="AC624" s="64" t="n">
        <x:f>SUM(V624:AB624)</x:f>
        <x:v>-153.233</x:v>
      </x:c>
      <x:c r="AD624" s="65" t="n">
        <x:f>AC624/Q624</x:f>
        <x:v>-0.06690585160404108</x:v>
      </x:c>
      <x:c r="AE624" s="64" t="n">
        <x:f>-ROUND(Q624*'Drivers'!O624,3)</x:f>
        <x:v>-36.556</x:v>
      </x:c>
      <x:c r="AF624" s="65" t="n">
        <x:f>AE624/Q624</x:f>
        <x:v>-0.015961381107446344</x:v>
      </x:c>
      <x:c r="AG624" s="64" t="n">
        <x:f>-ROUND(Q624*'Drivers'!P624,3)</x:f>
        <x:v>-3.307</x:v>
      </x:c>
      <x:c r="AH624" s="64" t="n">
        <x:f>-ROUND(Q624*'Drivers'!Q624,3)</x:f>
        <x:v>-14.149</x:v>
      </x:c>
      <x:c r="AI624" s="64" t="n">
        <x:f>SUM(R624,T624,AC624,AE624,AG624,AH624)</x:f>
        <x:v>-705.118</x:v>
      </x:c>
      <x:c r="AJ624" s="65" t="n">
        <x:f>AI624/Q624</x:f>
        <x:v>-0.30787441524566017</x:v>
      </x:c>
      <x:c r="AK624" s="64" t="n">
        <x:f>Q624+AI624</x:f>
        <x:v>1585.1599999999999</x:v>
      </x:c>
      <x:c r="AL624" s="65" t="n">
        <x:f>AK624/Q624</x:f>
        <x:v>0.6921255847543398</x:v>
      </x:c>
      <x:c r="AM624" s="64" t="n">
        <x:f>AK624/L624</x:f>
        <x:v>317.032</x:v>
      </x:c>
      <x:c r="AN624" s="66" t="str">
        <x:f>IF(AM624&lt;=200,"≤200K",IF(AM624&lt;=350,"200–350K",IF(AM624&lt;=500,"350–500K",IF(AM624&lt;=700,"500–700K","&gt;700K"))))</x:f>
        <x:v>200–350K</x:v>
      </x:c>
      <x:c r="AO624" s="64" t="n">
        <x:f>-ROUND(Q624*'Drivers'!R624,3)</x:f>
        <x:v>-812.491</x:v>
      </x:c>
      <x:c r="AP624" s="64" t="n">
        <x:f>-ROUND(AK624*'Drivers'!S624,3)</x:f>
        <x:v>-24.748</x:v>
      </x:c>
      <x:c r="AQ624" s="64" t="n">
        <x:f>-ROUND(AK624*'Drivers'!T624,3)</x:f>
        <x:v>-6.246</x:v>
      </x:c>
      <x:c r="AR624" s="64" t="n">
        <x:f>-ROUND(AK624*'Drivers'!U624,3)</x:f>
        <x:v>-14.222</x:v>
      </x:c>
      <x:c r="AS624" s="64" t="n">
        <x:f>-ROUND(AK624*'Drivers'!V624,3)</x:f>
        <x:v>-49.542</x:v>
      </x:c>
      <x:c r="AT624" s="64" t="n">
        <x:f>SUM(AO624:AS624)</x:f>
        <x:v>-907.249</x:v>
      </x:c>
      <x:c r="AU624" s="65" t="n">
        <x:f>AT624/AK624</x:f>
        <x:v>-0.5723390698730728</x:v>
      </x:c>
      <x:c r="AV624" s="64" t="n">
        <x:f>AK624+AT624</x:f>
        <x:v>677.9109999999998</x:v>
      </x:c>
      <x:c r="AW624" s="65" t="n">
        <x:f>AV624/AK624</x:f>
        <x:v>0.4276609301269272</x:v>
      </x:c>
      <x:c r="AX624" s="64" t="n">
        <x:f>-ROUND(AK624*'Drivers'!W624,3)</x:f>
        <x:v>-27.332</x:v>
      </x:c>
      <x:c r="AY624" s="64" t="n">
        <x:f>-ROUND(AK624*'Drivers'!X624,3)</x:f>
        <x:v>-37.138</x:v>
      </x:c>
      <x:c r="AZ624" s="64" t="n">
        <x:f>-ROUND(AK624*'Drivers'!Y624,3)</x:f>
        <x:v>-40.689</x:v>
      </x:c>
      <x:c r="BA624" s="64" t="n">
        <x:f>-ROUND(AK624*'Drivers'!Z624,3)</x:f>
        <x:v>-14.413</x:v>
      </x:c>
      <x:c r="BB624" s="64" t="n">
        <x:f>-ROUND(AK624*'Drivers'!AA624,3)</x:f>
        <x:v>-13.677</x:v>
      </x:c>
      <x:c r="BC624" s="64" t="n">
        <x:f>SUM(BA624,BB624)</x:f>
        <x:v>-28.09</x:v>
      </x:c>
      <x:c r="BD624" s="64" t="n">
        <x:f>-ROUND(AK624*'Drivers'!AB624,3)</x:f>
        <x:v>-7.88</x:v>
      </x:c>
      <x:c r="BE624" s="64" t="n">
        <x:f>SUM(AX624:BB624,BD624)</x:f>
        <x:v>-141.129</x:v>
      </x:c>
      <x:c r="BF624" s="67" t="n">
        <x:f>'Drivers'!AF624</x:f>
        <x:v>9</x:v>
      </x:c>
      <x:c r="BG624" s="64" t="n">
        <x:f>BJ624</x:f>
        <x:v>-42.522</x:v>
      </x:c>
      <x:c r="BH624" s="64" t="n">
        <x:f>BE624/BF624</x:f>
        <x:v>-15.681</x:v>
      </x:c>
      <x:c r="BI624" s="68" t="n">
        <x:f>BF624/L624</x:f>
        <x:v>1.8</x:v>
      </x:c>
      <x:c r="BJ624" s="64" t="n">
        <x:f>-ROUND(AK624*'Drivers'!AC624,3)</x:f>
        <x:v>-42.522</x:v>
      </x:c>
      <x:c r="BK624" s="64" t="n">
        <x:f>-ROUND(AK624*'Drivers'!AD624,3)</x:f>
        <x:v>-155.506</x:v>
      </x:c>
      <x:c r="BL624" s="64" t="n">
        <x:f>SUM(AV624,BE624,BJ624,BK624)</x:f>
        <x:v>338.7539999999998</x:v>
      </x:c>
      <x:c r="BM624" s="65" t="n">
        <x:f>BL624/AK624</x:f>
        <x:v>0.21370334855787418</x:v>
      </x:c>
      <x:c r="BN624" s="64" t="n">
        <x:f>-ROUND(AK624*'Drivers'!AE624,3)</x:f>
        <x:v>-97.721</x:v>
      </x:c>
      <x:c r="BO624" s="64" t="n">
        <x:f>BL624+BN624</x:f>
        <x:v>241.0329999999998</x:v>
      </x:c>
      <x:c r="BP624" s="65" t="n">
        <x:f>BO624/AK624</x:f>
        <x:v>0.15205594387948207</x:v>
      </x:c>
    </x:row>
    <x:row r="625">
      <x:c r="A625" s="61" t="n">
        <x:v>2026</x:v>
      </x:c>
      <x:c r="B625" s="18" t="str">
        <x:v>S2</x:v>
      </x:c>
      <x:c r="C625" s="18" t="str">
        <x:v>2026 S2</x:v>
      </x:c>
      <x:c r="D625" s="18" t="str">
        <x:v>CNCT0156</x:v>
      </x:c>
      <x:c r="E625" s="18" t="str">
        <x:v>天津恒隆广场</x:v>
      </x:c>
      <x:c r="F625" s="18" t="str">
        <x:v>天津</x:v>
      </x:c>
      <x:c r="G625" s="18" t="str">
        <x:v>天津市</x:v>
      </x:c>
      <x:c r="H625" s="18" t="str">
        <x:v>北区</x:v>
      </x:c>
      <x:c r="I625" s="18" t="str">
        <x:v>Shopping Mall</x:v>
      </x:c>
      <x:c r="J625" s="18" t="str">
        <x:v>Prestige Shopping Center</x:v>
      </x:c>
      <x:c r="K625" s="18" t="str">
        <x:v>正常</x:v>
      </x:c>
      <x:c r="L625" s="62" t="n">
        <x:v>5</x:v>
      </x:c>
      <x:c r="M625" s="62" t="n">
        <x:v>37</x:v>
      </x:c>
      <x:c r="N625" s="63" t="n">
        <x:f>'Drivers'!C625</x:f>
        <x:v>2190</x:v>
      </x:c>
      <x:c r="O625" s="63" t="n">
        <x:f>'Drivers'!D625</x:f>
        <x:v>1201.876</x:v>
      </x:c>
      <x:c r="P625" s="64" t="n">
        <x:f>ROUND(N625*O625/1000,3)</x:f>
        <x:v>2632.108</x:v>
      </x:c>
      <x:c r="Q625" s="64" t="n">
        <x:f>ROUND(P625*'Drivers'!E625,3)</x:f>
        <x:v>2540.189</x:v>
      </x:c>
      <x:c r="R625" s="64" t="n">
        <x:f>-ROUND(Q625*'Drivers'!F625,3)</x:f>
        <x:v>-510.109</x:v>
      </x:c>
      <x:c r="S625" s="65" t="n">
        <x:f>R625/Q625</x:f>
        <x:v>-0.20081537239945532</x:v>
      </x:c>
      <x:c r="T625" s="64" t="n">
        <x:f>-ROUND(Q625*'Drivers'!G625,3)</x:f>
        <x:v>-40.091</x:v>
      </x:c>
      <x:c r="U625" s="65" t="n">
        <x:f>T625/Q625</x:f>
        <x:v>-0.01578268388690763</x:v>
      </x:c>
      <x:c r="V625" s="64" t="n">
        <x:f>-ROUND(Q625*'Drivers'!H625,3)</x:f>
        <x:v>-30.133</x:v>
      </x:c>
      <x:c r="W625" s="64" t="n">
        <x:f>-ROUND(Q625*'Drivers'!I625,3)</x:f>
        <x:v>-15.406</x:v>
      </x:c>
      <x:c r="X625" s="64" t="n">
        <x:f>-ROUND(Q625*'Drivers'!J625,3)</x:f>
        <x:v>-28.707</x:v>
      </x:c>
      <x:c r="Y625" s="64" t="n">
        <x:f>-ROUND(Q625*'Drivers'!K625,3)</x:f>
        <x:v>-28.971</x:v>
      </x:c>
      <x:c r="Z625" s="64" t="n">
        <x:f>-ROUND(Q625*'Drivers'!L625,3)</x:f>
        <x:v>-24.707</x:v>
      </x:c>
      <x:c r="AA625" s="64" t="n">
        <x:f>-ROUND(Q625*'Drivers'!M625,3)</x:f>
        <x:v>-25.792</x:v>
      </x:c>
      <x:c r="AB625" s="64" t="n">
        <x:f>-ROUND(Q625*'Drivers'!N625,3)</x:f>
        <x:v>-16.237</x:v>
      </x:c>
      <x:c r="AC625" s="64" t="n">
        <x:f>SUM(V625:AB625)</x:f>
        <x:v>-169.953</x:v>
      </x:c>
      <x:c r="AD625" s="65" t="n">
        <x:f>AC625/Q625</x:f>
        <x:v>-0.06690565150860822</x:v>
      </x:c>
      <x:c r="AE625" s="64" t="n">
        <x:f>-ROUND(Q625*'Drivers'!O625,3)</x:f>
        <x:v>-40.578</x:v>
      </x:c>
      <x:c r="AF625" s="65" t="n">
        <x:f>AE625/Q625</x:f>
        <x:v>-0.01597440190474016</x:v>
      </x:c>
      <x:c r="AG625" s="64" t="n">
        <x:f>-ROUND(Q625*'Drivers'!P625,3)</x:f>
        <x:v>-3.667</x:v>
      </x:c>
      <x:c r="AH625" s="64" t="n">
        <x:f>-ROUND(Q625*'Drivers'!Q625,3)</x:f>
        <x:v>-15.693</x:v>
      </x:c>
      <x:c r="AI625" s="64" t="n">
        <x:f>SUM(R625,T625,AC625,AE625,AG625,AH625)</x:f>
        <x:v>-780.0909999999999</x:v>
      </x:c>
      <x:c r="AJ625" s="65" t="n">
        <x:f>AI625/Q625</x:f>
        <x:v>-0.3070995898336698</x:v>
      </x:c>
      <x:c r="AK625" s="64" t="n">
        <x:f>Q625+AI625</x:f>
        <x:v>1760.098</x:v>
      </x:c>
      <x:c r="AL625" s="65" t="n">
        <x:f>AK625/Q625</x:f>
        <x:v>0.6929004101663302</x:v>
      </x:c>
      <x:c r="AM625" s="64" t="n">
        <x:f>AK625/L625</x:f>
        <x:v>352.01959999999997</x:v>
      </x:c>
      <x:c r="AN625" s="66" t="str">
        <x:f>IF(AM625&lt;=200,"≤200K",IF(AM625&lt;=350,"200–350K",IF(AM625&lt;=500,"350–500K",IF(AM625&lt;=700,"500–700K","&gt;700K"))))</x:f>
        <x:v>350–500K</x:v>
      </x:c>
      <x:c r="AO625" s="64" t="n">
        <x:f>-ROUND(Q625*'Drivers'!R625,3)</x:f>
        <x:v>-893.571</x:v>
      </x:c>
      <x:c r="AP625" s="64" t="n">
        <x:f>-ROUND(AK625*'Drivers'!S625,3)</x:f>
        <x:v>-27.479</x:v>
      </x:c>
      <x:c r="AQ625" s="64" t="n">
        <x:f>-ROUND(AK625*'Drivers'!T625,3)</x:f>
        <x:v>-6.935</x:v>
      </x:c>
      <x:c r="AR625" s="64" t="n">
        <x:f>-ROUND(AK625*'Drivers'!U625,3)</x:f>
        <x:v>-15.791</x:v>
      </x:c>
      <x:c r="AS625" s="64" t="n">
        <x:f>-ROUND(AK625*'Drivers'!V625,3)</x:f>
        <x:v>-55.01</x:v>
      </x:c>
      <x:c r="AT625" s="64" t="n">
        <x:f>SUM(AO625:AS625)</x:f>
        <x:v>-998.7860000000001</x:v>
      </x:c>
      <x:c r="AU625" s="65" t="n">
        <x:f>AT625/AK625</x:f>
        <x:v>-0.567460448225042</x:v>
      </x:c>
      <x:c r="AV625" s="64" t="n">
        <x:f>AK625+AT625</x:f>
        <x:v>761.3119999999999</x:v>
      </x:c>
      <x:c r="AW625" s="65" t="n">
        <x:f>AV625/AK625</x:f>
        <x:v>0.43253955177495795</x:v>
      </x:c>
      <x:c r="AX625" s="64" t="n">
        <x:f>-ROUND(AK625*'Drivers'!W625,3)</x:f>
        <x:v>-26.144</x:v>
      </x:c>
      <x:c r="AY625" s="64" t="n">
        <x:f>-ROUND(AK625*'Drivers'!X625,3)</x:f>
        <x:v>-35.525</x:v>
      </x:c>
      <x:c r="AZ625" s="64" t="n">
        <x:f>-ROUND(AK625*'Drivers'!Y625,3)</x:f>
        <x:v>-38.921</x:v>
      </x:c>
      <x:c r="BA625" s="64" t="n">
        <x:f>-ROUND(AK625*'Drivers'!Z625,3)</x:f>
        <x:v>-13.786</x:v>
      </x:c>
      <x:c r="BB625" s="64" t="n">
        <x:f>-ROUND(AK625*'Drivers'!AA625,3)</x:f>
        <x:v>-13.083</x:v>
      </x:c>
      <x:c r="BC625" s="64" t="n">
        <x:f>SUM(BA625,BB625)</x:f>
        <x:v>-26.869</x:v>
      </x:c>
      <x:c r="BD625" s="64" t="n">
        <x:f>-ROUND(AK625*'Drivers'!AB625,3)</x:f>
        <x:v>-7.538</x:v>
      </x:c>
      <x:c r="BE625" s="64" t="n">
        <x:f>SUM(AX625:BB625,BD625)</x:f>
        <x:v>-134.997</x:v>
      </x:c>
      <x:c r="BF625" s="67" t="n">
        <x:f>'Drivers'!AF625</x:f>
        <x:v>9</x:v>
      </x:c>
      <x:c r="BG625" s="64" t="n">
        <x:f>BJ625</x:f>
        <x:v>-40.675</x:v>
      </x:c>
      <x:c r="BH625" s="64" t="n">
        <x:f>BE625/BF625</x:f>
        <x:v>-14.999666666666668</x:v>
      </x:c>
      <x:c r="BI625" s="68" t="n">
        <x:f>BF625/L625</x:f>
        <x:v>1.8</x:v>
      </x:c>
      <x:c r="BJ625" s="64" t="n">
        <x:f>-ROUND(AK625*'Drivers'!AC625,3)</x:f>
        <x:v>-40.675</x:v>
      </x:c>
      <x:c r="BK625" s="64" t="n">
        <x:f>-ROUND(AK625*'Drivers'!AD625,3)</x:f>
        <x:v>-172.668</x:v>
      </x:c>
      <x:c r="BL625" s="64" t="n">
        <x:f>SUM(AV625,BE625,BJ625,BK625)</x:f>
        <x:v>412.97199999999987</x:v>
      </x:c>
      <x:c r="BM625" s="65" t="n">
        <x:f>BL625/AK625</x:f>
        <x:v>0.23463011718665658</x:v>
      </x:c>
      <x:c r="BN625" s="64" t="n">
        <x:f>-ROUND(AK625*'Drivers'!AE625,3)</x:f>
        <x:v>-108.506</x:v>
      </x:c>
      <x:c r="BO625" s="64" t="n">
        <x:f>BL625+BN625</x:f>
        <x:v>304.4659999999999</x:v>
      </x:c>
      <x:c r="BP625" s="65" t="n">
        <x:f>BO625/AK625</x:f>
        <x:v>0.1729824134792494</x:v>
      </x:c>
    </x:row>
    <x:row r="626">
      <x:c r="A626" s="61" t="n">
        <x:v>2025</x:v>
      </x:c>
      <x:c r="B626" s="18" t="str">
        <x:v>S1</x:v>
      </x:c>
      <x:c r="C626" s="18" t="str">
        <x:v>2025 S1</x:v>
      </x:c>
      <x:c r="D626" s="18" t="str">
        <x:v>CNCT0157</x:v>
      </x:c>
      <x:c r="E626" s="18" t="str">
        <x:v>天津银河国际购物中心</x:v>
      </x:c>
      <x:c r="F626" s="18" t="str">
        <x:v>天津</x:v>
      </x:c>
      <x:c r="G626" s="18" t="str">
        <x:v>天津市</x:v>
      </x:c>
      <x:c r="H626" s="18" t="str">
        <x:v>北区</x:v>
      </x:c>
      <x:c r="I626" s="18" t="str">
        <x:v>Shopping Mall</x:v>
      </x:c>
      <x:c r="J626" s="18" t="str">
        <x:v>Core Shopping Center</x:v>
      </x:c>
      <x:c r="K626" s="18" t="str">
        <x:v>正常</x:v>
      </x:c>
      <x:c r="L626" s="62" t="n">
        <x:v>5</x:v>
      </x:c>
      <x:c r="M626" s="62" t="n">
        <x:v>40</x:v>
      </x:c>
      <x:c r="N626" s="63" t="n">
        <x:f>'Drivers'!C626</x:f>
        <x:v>1800</x:v>
      </x:c>
      <x:c r="O626" s="63" t="n">
        <x:f>'Drivers'!D626</x:f>
        <x:v>1128.44</x:v>
      </x:c>
      <x:c r="P626" s="64" t="n">
        <x:f>ROUND(N626*O626/1000,3)</x:f>
        <x:v>2031.192</x:v>
      </x:c>
      <x:c r="Q626" s="64" t="n">
        <x:f>ROUND(P626*'Drivers'!E626,3)</x:f>
        <x:v>1953.372</x:v>
      </x:c>
      <x:c r="R626" s="64" t="n">
        <x:f>-ROUND(Q626*'Drivers'!F626,3)</x:f>
        <x:v>-356.41</x:v>
      </x:c>
      <x:c r="S626" s="65" t="n">
        <x:f>R626/Q626</x:f>
        <x:v>-0.1824588455245596</x:v>
      </x:c>
      <x:c r="T626" s="64" t="n">
        <x:f>-ROUND(Q626*'Drivers'!G626,3)</x:f>
        <x:v>-29.986</x:v>
      </x:c>
      <x:c r="U626" s="65" t="n">
        <x:f>T626/Q626</x:f>
        <x:v>-0.015350890664962947</x:v>
      </x:c>
      <x:c r="V626" s="64" t="n">
        <x:f>-ROUND(Q626*'Drivers'!H626,3)</x:f>
        <x:v>-17.941</x:v>
      </x:c>
      <x:c r="W626" s="64" t="n">
        <x:f>-ROUND(Q626*'Drivers'!I626,3)</x:f>
        <x:v>-20.486</x:v>
      </x:c>
      <x:c r="X626" s="64" t="n">
        <x:f>-ROUND(Q626*'Drivers'!J626,3)</x:f>
        <x:v>-28.501</x:v>
      </x:c>
      <x:c r="Y626" s="64" t="n">
        <x:f>-ROUND(Q626*'Drivers'!K626,3)</x:f>
        <x:v>-21.457</x:v>
      </x:c>
      <x:c r="Z626" s="64" t="n">
        <x:f>-ROUND(Q626*'Drivers'!L626,3)</x:f>
        <x:v>-21.25</x:v>
      </x:c>
      <x:c r="AA626" s="64" t="n">
        <x:f>-ROUND(Q626*'Drivers'!M626,3)</x:f>
        <x:v>-15.962</x:v>
      </x:c>
      <x:c r="AB626" s="64" t="n">
        <x:f>-ROUND(Q626*'Drivers'!N626,3)</x:f>
        <x:v>-12.473</x:v>
      </x:c>
      <x:c r="AC626" s="64" t="n">
        <x:f>SUM(V626:AB626)</x:f>
        <x:v>-138.07</x:v>
      </x:c>
      <x:c r="AD626" s="65" t="n">
        <x:f>AC626/Q626</x:f>
        <x:v>-0.070682901157588</x:v>
      </x:c>
      <x:c r="AE626" s="64" t="n">
        <x:f>-ROUND(Q626*'Drivers'!O626,3)</x:f>
        <x:v>-19.653</x:v>
      </x:c>
      <x:c r="AF626" s="65" t="n">
        <x:f>AE626/Q626</x:f>
        <x:v>-0.010061063637648127</x:v>
      </x:c>
      <x:c r="AG626" s="64" t="n">
        <x:f>-ROUND(Q626*'Drivers'!P626,3)</x:f>
        <x:v>-0.631</x:v>
      </x:c>
      <x:c r="AH626" s="64" t="n">
        <x:f>-ROUND(Q626*'Drivers'!Q626,3)</x:f>
        <x:v>-5.67</x:v>
      </x:c>
      <x:c r="AI626" s="64" t="n">
        <x:f>SUM(R626,T626,AC626,AE626,AG626,AH626)</x:f>
        <x:v>-550.42</x:v>
      </x:c>
      <x:c r="AJ626" s="65" t="n">
        <x:f>AI626/Q626</x:f>
        <x:v>-0.2817794050493198</x:v>
      </x:c>
      <x:c r="AK626" s="64" t="n">
        <x:f>Q626+AI626</x:f>
        <x:v>1402.9520000000002</x:v>
      </x:c>
      <x:c r="AL626" s="65" t="n">
        <x:f>AK626/Q626</x:f>
        <x:v>0.7182205949506802</x:v>
      </x:c>
      <x:c r="AM626" s="64" t="n">
        <x:f>AK626/L626</x:f>
        <x:v>280.59040000000005</x:v>
      </x:c>
      <x:c r="AN626" s="66" t="str">
        <x:f>IF(AM626&lt;=200,"≤200K",IF(AM626&lt;=350,"200–350K",IF(AM626&lt;=500,"350–500K",IF(AM626&lt;=700,"500–700K","&gt;700K"))))</x:f>
        <x:v>200–350K</x:v>
      </x:c>
      <x:c r="AO626" s="64" t="n">
        <x:f>-ROUND(Q626*'Drivers'!R626,3)</x:f>
        <x:v>-727.943</x:v>
      </x:c>
      <x:c r="AP626" s="64" t="n">
        <x:f>-ROUND(AK626*'Drivers'!S626,3)</x:f>
        <x:v>-19.969</x:v>
      </x:c>
      <x:c r="AQ626" s="64" t="n">
        <x:f>-ROUND(AK626*'Drivers'!T626,3)</x:f>
        <x:v>-8.655</x:v>
      </x:c>
      <x:c r="AR626" s="64" t="n">
        <x:f>-ROUND(AK626*'Drivers'!U626,3)</x:f>
        <x:v>-17.799</x:v>
      </x:c>
      <x:c r="AS626" s="64" t="n">
        <x:f>-ROUND(AK626*'Drivers'!V626,3)</x:f>
        <x:v>-42.101</x:v>
      </x:c>
      <x:c r="AT626" s="64" t="n">
        <x:f>SUM(AO626:AS626)</x:f>
        <x:v>-816.467</x:v>
      </x:c>
      <x:c r="AU626" s="65" t="n">
        <x:f>AT626/AK626</x:f>
        <x:v>-0.5819636024610962</x:v>
      </x:c>
      <x:c r="AV626" s="64" t="n">
        <x:f>AK626+AT626</x:f>
        <x:v>586.4850000000002</x:v>
      </x:c>
      <x:c r="AW626" s="65" t="n">
        <x:f>AV626/AK626</x:f>
        <x:v>0.4180363975389038</x:v>
      </x:c>
      <x:c r="AX626" s="64" t="n">
        <x:f>-ROUND(AK626*'Drivers'!W626,3)</x:f>
        <x:v>-15.455</x:v>
      </x:c>
      <x:c r="AY626" s="64" t="n">
        <x:f>-ROUND(AK626*'Drivers'!X626,3)</x:f>
        <x:v>-27.601</x:v>
      </x:c>
      <x:c r="AZ626" s="64" t="n">
        <x:f>-ROUND(AK626*'Drivers'!Y626,3)</x:f>
        <x:v>-28.644</x:v>
      </x:c>
      <x:c r="BA626" s="64" t="n">
        <x:f>-ROUND(AK626*'Drivers'!Z626,3)</x:f>
        <x:v>-7.511</x:v>
      </x:c>
      <x:c r="BB626" s="64" t="n">
        <x:f>-ROUND(AK626*'Drivers'!AA626,3)</x:f>
        <x:v>-9.224</x:v>
      </x:c>
      <x:c r="BC626" s="64" t="n">
        <x:f>SUM(BA626,BB626)</x:f>
        <x:v>-16.735</x:v>
      </x:c>
      <x:c r="BD626" s="64" t="n">
        <x:f>-ROUND(AK626*'Drivers'!AB626,3)</x:f>
        <x:v>-9.935</x:v>
      </x:c>
      <x:c r="BE626" s="64" t="n">
        <x:f>SUM(AX626:BB626,BD626)</x:f>
        <x:v>-98.36999999999999</x:v>
      </x:c>
      <x:c r="BF626" s="67" t="n">
        <x:f>'Drivers'!AF626</x:f>
        <x:v>7</x:v>
      </x:c>
      <x:c r="BG626" s="64" t="n">
        <x:f>BJ626</x:f>
        <x:v>-36.942</x:v>
      </x:c>
      <x:c r="BH626" s="64" t="n">
        <x:f>BE626/BF626</x:f>
        <x:v>-14.05285714285714</x:v>
      </x:c>
      <x:c r="BI626" s="68" t="n">
        <x:f>BF626/L626</x:f>
        <x:v>1.4</x:v>
      </x:c>
      <x:c r="BJ626" s="64" t="n">
        <x:f>-ROUND(AK626*'Drivers'!AC626,3)</x:f>
        <x:v>-36.942</x:v>
      </x:c>
      <x:c r="BK626" s="64" t="n">
        <x:f>-ROUND(AK626*'Drivers'!AD626,3)</x:f>
        <x:v>-139.428</x:v>
      </x:c>
      <x:c r="BL626" s="64" t="n">
        <x:f>SUM(AV626,BE626,BJ626,BK626)</x:f>
        <x:v>311.74500000000023</x:v>
      </x:c>
      <x:c r="BM626" s="65" t="n">
        <x:f>BL626/AK626</x:f>
        <x:v>0.22220646180339754</x:v>
      </x:c>
      <x:c r="BN626" s="64" t="n">
        <x:f>-ROUND(AK626*'Drivers'!AE626,3)</x:f>
        <x:v>-117.668</x:v>
      </x:c>
      <x:c r="BO626" s="64" t="n">
        <x:f>BL626+BN626</x:f>
        <x:v>194.07700000000023</x:v>
      </x:c>
      <x:c r="BP626" s="65" t="n">
        <x:f>BO626/AK626</x:f>
        <x:v>0.13833473989131503</x:v>
      </x:c>
    </x:row>
    <x:row r="627">
      <x:c r="A627" s="61" t="n">
        <x:v>2025</x:v>
      </x:c>
      <x:c r="B627" s="18" t="str">
        <x:v>S2</x:v>
      </x:c>
      <x:c r="C627" s="18" t="str">
        <x:v>2025 S2</x:v>
      </x:c>
      <x:c r="D627" s="18" t="str">
        <x:v>CNCT0157</x:v>
      </x:c>
      <x:c r="E627" s="18" t="str">
        <x:v>天津银河国际购物中心</x:v>
      </x:c>
      <x:c r="F627" s="18" t="str">
        <x:v>天津</x:v>
      </x:c>
      <x:c r="G627" s="18" t="str">
        <x:v>天津市</x:v>
      </x:c>
      <x:c r="H627" s="18" t="str">
        <x:v>北区</x:v>
      </x:c>
      <x:c r="I627" s="18" t="str">
        <x:v>Shopping Mall</x:v>
      </x:c>
      <x:c r="J627" s="18" t="str">
        <x:v>Core Shopping Center</x:v>
      </x:c>
      <x:c r="K627" s="18" t="str">
        <x:v>正常</x:v>
      </x:c>
      <x:c r="L627" s="62" t="n">
        <x:v>5</x:v>
      </x:c>
      <x:c r="M627" s="62" t="n">
        <x:v>40</x:v>
      </x:c>
      <x:c r="N627" s="63" t="n">
        <x:f>'Drivers'!C627</x:f>
        <x:v>1924</x:v>
      </x:c>
      <x:c r="O627" s="63" t="n">
        <x:f>'Drivers'!D627</x:f>
        <x:v>1141.982</x:v>
      </x:c>
      <x:c r="P627" s="64" t="n">
        <x:f>ROUND(N627*O627/1000,3)</x:f>
        <x:v>2197.173</x:v>
      </x:c>
      <x:c r="Q627" s="64" t="n">
        <x:f>ROUND(P627*'Drivers'!E627,3)</x:f>
        <x:v>2141.552</x:v>
      </x:c>
      <x:c r="R627" s="64" t="n">
        <x:f>-ROUND(Q627*'Drivers'!F627,3)</x:f>
        <x:v>-390.745</x:v>
      </x:c>
      <x:c r="S627" s="65" t="n">
        <x:f>R627/Q627</x:f>
        <x:v>-0.18245879623749503</x:v>
      </x:c>
      <x:c r="T627" s="64" t="n">
        <x:f>-ROUND(Q627*'Drivers'!G627,3)</x:f>
        <x:v>-32.874</x:v>
      </x:c>
      <x:c r="U627" s="65" t="n">
        <x:f>T627/Q627</x:f>
        <x:v>-0.015350549508020351</x:v>
      </x:c>
      <x:c r="V627" s="64" t="n">
        <x:f>-ROUND(Q627*'Drivers'!H627,3)</x:f>
        <x:v>-19.669</x:v>
      </x:c>
      <x:c r="W627" s="64" t="n">
        <x:f>-ROUND(Q627*'Drivers'!I627,3)</x:f>
        <x:v>-22.459</x:v>
      </x:c>
      <x:c r="X627" s="64" t="n">
        <x:f>-ROUND(Q627*'Drivers'!J627,3)</x:f>
        <x:v>-31.247</x:v>
      </x:c>
      <x:c r="Y627" s="64" t="n">
        <x:f>-ROUND(Q627*'Drivers'!K627,3)</x:f>
        <x:v>-23.524</x:v>
      </x:c>
      <x:c r="Z627" s="64" t="n">
        <x:f>-ROUND(Q627*'Drivers'!L627,3)</x:f>
        <x:v>-23.297</x:v>
      </x:c>
      <x:c r="AA627" s="64" t="n">
        <x:f>-ROUND(Q627*'Drivers'!M627,3)</x:f>
        <x:v>-17.5</x:v>
      </x:c>
      <x:c r="AB627" s="64" t="n">
        <x:f>-ROUND(Q627*'Drivers'!N627,3)</x:f>
        <x:v>-13.674</x:v>
      </x:c>
      <x:c r="AC627" s="64" t="n">
        <x:f>SUM(V627:AB627)</x:f>
        <x:v>-151.37</x:v>
      </x:c>
      <x:c r="AD627" s="65" t="n">
        <x:f>AC627/Q627</x:f>
        <x:v>-0.07068238361711507</x:v>
      </x:c>
      <x:c r="AE627" s="64" t="n">
        <x:f>-ROUND(Q627*'Drivers'!O627,3)</x:f>
        <x:v>-21.547</x:v>
      </x:c>
      <x:c r="AF627" s="65" t="n">
        <x:f>AE627/Q627</x:f>
        <x:v>-0.010061394726814945</x:v>
      </x:c>
      <x:c r="AG627" s="64" t="n">
        <x:f>-ROUND(Q627*'Drivers'!P627,3)</x:f>
        <x:v>-0.691</x:v>
      </x:c>
      <x:c r="AH627" s="64" t="n">
        <x:f>-ROUND(Q627*'Drivers'!Q627,3)</x:f>
        <x:v>-6.216</x:v>
      </x:c>
      <x:c r="AI627" s="64" t="n">
        <x:f>SUM(R627,T627,AC627,AE627,AG627,AH627)</x:f>
        <x:v>-603.4430000000001</x:v>
      </x:c>
      <x:c r="AJ627" s="65" t="n">
        <x:f>AI627/Q627</x:f>
        <x:v>-0.28177835513683536</x:v>
      </x:c>
      <x:c r="AK627" s="64" t="n">
        <x:f>Q627+AI627</x:f>
        <x:v>1538.109</x:v>
      </x:c>
      <x:c r="AL627" s="65" t="n">
        <x:f>AK627/Q627</x:f>
        <x:v>0.7182216448631645</x:v>
      </x:c>
      <x:c r="AM627" s="64" t="n">
        <x:f>AK627/L627</x:f>
        <x:v>307.6218</x:v>
      </x:c>
      <x:c r="AN627" s="66" t="str">
        <x:f>IF(AM627&lt;=200,"≤200K",IF(AM627&lt;=350,"200–350K",IF(AM627&lt;=500,"350–500K",IF(AM627&lt;=700,"500–700K","&gt;700K"))))</x:f>
        <x:v>200–350K</x:v>
      </x:c>
      <x:c r="AO627" s="64" t="n">
        <x:f>-ROUND(Q627*'Drivers'!R627,3)</x:f>
        <x:v>-770.322</x:v>
      </x:c>
      <x:c r="AP627" s="64" t="n">
        <x:f>-ROUND(AK627*'Drivers'!S627,3)</x:f>
        <x:v>-21.892</x:v>
      </x:c>
      <x:c r="AQ627" s="64" t="n">
        <x:f>-ROUND(AK627*'Drivers'!T627,3)</x:f>
        <x:v>-9.489</x:v>
      </x:c>
      <x:c r="AR627" s="64" t="n">
        <x:f>-ROUND(AK627*'Drivers'!U627,3)</x:f>
        <x:v>-19.514</x:v>
      </x:c>
      <x:c r="AS627" s="64" t="n">
        <x:f>-ROUND(AK627*'Drivers'!V627,3)</x:f>
        <x:v>-46.157</x:v>
      </x:c>
      <x:c r="AT627" s="64" t="n">
        <x:f>SUM(AO627:AS627)</x:f>
        <x:v>-867.3740000000001</x:v>
      </x:c>
      <x:c r="AU627" s="65" t="n">
        <x:f>AT627/AK627</x:f>
        <x:v>-0.5639223228002698</x:v>
      </x:c>
      <x:c r="AV627" s="64" t="n">
        <x:f>AK627+AT627</x:f>
        <x:v>670.7349999999998</x:v>
      </x:c>
      <x:c r="AW627" s="65" t="n">
        <x:f>AV627/AK627</x:f>
        <x:v>0.4360776771997302</x:v>
      </x:c>
      <x:c r="AX627" s="64" t="n">
        <x:f>-ROUND(AK627*'Drivers'!W627,3)</x:f>
        <x:v>-16.944</x:v>
      </x:c>
      <x:c r="AY627" s="64" t="n">
        <x:f>-ROUND(AK627*'Drivers'!X627,3)</x:f>
        <x:v>-30.26</x:v>
      </x:c>
      <x:c r="AZ627" s="64" t="n">
        <x:f>-ROUND(AK627*'Drivers'!Y627,3)</x:f>
        <x:v>-31.403</x:v>
      </x:c>
      <x:c r="BA627" s="64" t="n">
        <x:f>-ROUND(AK627*'Drivers'!Z627,3)</x:f>
        <x:v>-8.234</x:v>
      </x:c>
      <x:c r="BB627" s="64" t="n">
        <x:f>-ROUND(AK627*'Drivers'!AA627,3)</x:f>
        <x:v>-10.113</x:v>
      </x:c>
      <x:c r="BC627" s="64" t="n">
        <x:f>SUM(BA627,BB627)</x:f>
        <x:v>-18.347</x:v>
      </x:c>
      <x:c r="BD627" s="64" t="n">
        <x:f>-ROUND(AK627*'Drivers'!AB627,3)</x:f>
        <x:v>-10.892</x:v>
      </x:c>
      <x:c r="BE627" s="64" t="n">
        <x:f>SUM(AX627:BB627,BD627)</x:f>
        <x:v>-107.84599999999999</x:v>
      </x:c>
      <x:c r="BF627" s="67" t="n">
        <x:f>'Drivers'!AF627</x:f>
        <x:v>7</x:v>
      </x:c>
      <x:c r="BG627" s="64" t="n">
        <x:f>BJ627</x:f>
        <x:v>-40.5</x:v>
      </x:c>
      <x:c r="BH627" s="64" t="n">
        <x:f>BE627/BF627</x:f>
        <x:v>-15.406571428571427</x:v>
      </x:c>
      <x:c r="BI627" s="68" t="n">
        <x:f>BF627/L627</x:f>
        <x:v>1.4</x:v>
      </x:c>
      <x:c r="BJ627" s="64" t="n">
        <x:f>-ROUND(AK627*'Drivers'!AC627,3)</x:f>
        <x:v>-40.5</x:v>
      </x:c>
      <x:c r="BK627" s="64" t="n">
        <x:f>-ROUND(AK627*'Drivers'!AD627,3)</x:f>
        <x:v>-152.86</x:v>
      </x:c>
      <x:c r="BL627" s="64" t="n">
        <x:f>SUM(AV627,BE627,BJ627,BK627)</x:f>
        <x:v>369.52899999999977</x:v>
      </x:c>
      <x:c r="BM627" s="65" t="n">
        <x:f>BL627/AK627</x:f>
        <x:v>0.24024890303613058</x:v>
      </x:c>
      <x:c r="BN627" s="64" t="n">
        <x:f>-ROUND(AK627*'Drivers'!AE627,3)</x:f>
        <x:v>-129.004</x:v>
      </x:c>
      <x:c r="BO627" s="64" t="n">
        <x:f>BL627+BN627</x:f>
        <x:v>240.52499999999978</x:v>
      </x:c>
      <x:c r="BP627" s="65" t="n">
        <x:f>BO627/AK627</x:f>
        <x:v>0.15637708380875465</x:v>
      </x:c>
    </x:row>
    <x:row r="628">
      <x:c r="A628" s="61" t="n">
        <x:v>2026</x:v>
      </x:c>
      <x:c r="B628" s="18" t="str">
        <x:v>S1</x:v>
      </x:c>
      <x:c r="C628" s="18" t="str">
        <x:v>2026 S1</x:v>
      </x:c>
      <x:c r="D628" s="18" t="str">
        <x:v>CNCT0157</x:v>
      </x:c>
      <x:c r="E628" s="18" t="str">
        <x:v>天津银河国际购物中心</x:v>
      </x:c>
      <x:c r="F628" s="18" t="str">
        <x:v>天津</x:v>
      </x:c>
      <x:c r="G628" s="18" t="str">
        <x:v>天津市</x:v>
      </x:c>
      <x:c r="H628" s="18" t="str">
        <x:v>北区</x:v>
      </x:c>
      <x:c r="I628" s="18" t="str">
        <x:v>Shopping Mall</x:v>
      </x:c>
      <x:c r="J628" s="18" t="str">
        <x:v>Core Shopping Center</x:v>
      </x:c>
      <x:c r="K628" s="18" t="str">
        <x:v>正常</x:v>
      </x:c>
      <x:c r="L628" s="62" t="n">
        <x:v>5</x:v>
      </x:c>
      <x:c r="M628" s="62" t="n">
        <x:v>40</x:v>
      </x:c>
      <x:c r="N628" s="63" t="n">
        <x:f>'Drivers'!C628</x:f>
        <x:v>1732</x:v>
      </x:c>
      <x:c r="O628" s="63" t="n">
        <x:f>'Drivers'!D628</x:f>
        <x:v>1189.9</x:v>
      </x:c>
      <x:c r="P628" s="64" t="n">
        <x:f>ROUND(N628*O628/1000,3)</x:f>
        <x:v>2060.907</x:v>
      </x:c>
      <x:c r="Q628" s="64" t="n">
        <x:f>ROUND(P628*'Drivers'!E628,3)</x:f>
        <x:v>1980.449</x:v>
      </x:c>
      <x:c r="R628" s="64" t="n">
        <x:f>-ROUND(Q628*'Drivers'!F628,3)</x:f>
        <x:v>-364.44</x:v>
      </x:c>
      <x:c r="S628" s="65" t="n">
        <x:f>R628/Q628</x:f>
        <x:v>-0.18401887652749452</x:v>
      </x:c>
      <x:c r="T628" s="64" t="n">
        <x:f>-ROUND(Q628*'Drivers'!G628,3)</x:f>
        <x:v>-33.661</x:v>
      </x:c>
      <x:c r="U628" s="65" t="n">
        <x:f>T628/Q628</x:f>
        <x:v>-0.016996650759499486</x:v>
      </x:c>
      <x:c r="V628" s="64" t="n">
        <x:f>-ROUND(Q628*'Drivers'!H628,3)</x:f>
        <x:v>-18.19</x:v>
      </x:c>
      <x:c r="W628" s="64" t="n">
        <x:f>-ROUND(Q628*'Drivers'!I628,3)</x:f>
        <x:v>-20.77</x:v>
      </x:c>
      <x:c r="X628" s="64" t="n">
        <x:f>-ROUND(Q628*'Drivers'!J628,3)</x:f>
        <x:v>-28.896</x:v>
      </x:c>
      <x:c r="Y628" s="64" t="n">
        <x:f>-ROUND(Q628*'Drivers'!K628,3)</x:f>
        <x:v>-21.755</x:v>
      </x:c>
      <x:c r="Z628" s="64" t="n">
        <x:f>-ROUND(Q628*'Drivers'!L628,3)</x:f>
        <x:v>-21.544</x:v>
      </x:c>
      <x:c r="AA628" s="64" t="n">
        <x:f>-ROUND(Q628*'Drivers'!M628,3)</x:f>
        <x:v>-16.183</x:v>
      </x:c>
      <x:c r="AB628" s="64" t="n">
        <x:f>-ROUND(Q628*'Drivers'!N628,3)</x:f>
        <x:v>-12.646</x:v>
      </x:c>
      <x:c r="AC628" s="64" t="n">
        <x:f>SUM(V628:AB628)</x:f>
        <x:v>-139.98399999999998</x:v>
      </x:c>
      <x:c r="AD628" s="65" t="n">
        <x:f>AC628/Q628</x:f>
        <x:v>-0.07068296128807153</x:v>
      </x:c>
      <x:c r="AE628" s="64" t="n">
        <x:f>-ROUND(Q628*'Drivers'!O628,3)</x:f>
        <x:v>-21.532</x:v>
      </x:c>
      <x:c r="AF628" s="65" t="n">
        <x:f>AE628/Q628</x:f>
        <x:v>-0.010872281992618846</x:v>
      </x:c>
      <x:c r="AG628" s="64" t="n">
        <x:f>-ROUND(Q628*'Drivers'!P628,3)</x:f>
        <x:v>-0.639</x:v>
      </x:c>
      <x:c r="AH628" s="64" t="n">
        <x:f>-ROUND(Q628*'Drivers'!Q628,3)</x:f>
        <x:v>-5.749</x:v>
      </x:c>
      <x:c r="AI628" s="64" t="n">
        <x:f>SUM(R628,T628,AC628,AE628,AG628,AH628)</x:f>
        <x:v>-566.0050000000001</x:v>
      </x:c>
      <x:c r="AJ628" s="65" t="n">
        <x:f>AI628/Q628</x:f>
        <x:v>-0.285796301747735</x:v>
      </x:c>
      <x:c r="AK628" s="64" t="n">
        <x:f>Q628+AI628</x:f>
        <x:v>1414.444</x:v>
      </x:c>
      <x:c r="AL628" s="65" t="n">
        <x:f>AK628/Q628</x:f>
        <x:v>0.7142036982522649</x:v>
      </x:c>
      <x:c r="AM628" s="64" t="n">
        <x:f>AK628/L628</x:f>
        <x:v>282.8888</x:v>
      </x:c>
      <x:c r="AN628" s="66" t="str">
        <x:f>IF(AM628&lt;=200,"≤200K",IF(AM628&lt;=350,"200–350K",IF(AM628&lt;=500,"350–500K",IF(AM628&lt;=700,"500–700K","&gt;700K"))))</x:f>
        <x:v>200–350K</x:v>
      </x:c>
      <x:c r="AO628" s="64" t="n">
        <x:f>-ROUND(Q628*'Drivers'!R628,3)</x:f>
        <x:v>-733.441</x:v>
      </x:c>
      <x:c r="AP628" s="64" t="n">
        <x:f>-ROUND(AK628*'Drivers'!S628,3)</x:f>
        <x:v>-20.132</x:v>
      </x:c>
      <x:c r="AQ628" s="64" t="n">
        <x:f>-ROUND(AK628*'Drivers'!T628,3)</x:f>
        <x:v>-8.726</x:v>
      </x:c>
      <x:c r="AR628" s="64" t="n">
        <x:f>-ROUND(AK628*'Drivers'!U628,3)</x:f>
        <x:v>-17.945</x:v>
      </x:c>
      <x:c r="AS628" s="64" t="n">
        <x:f>-ROUND(AK628*'Drivers'!V628,3)</x:f>
        <x:v>-42.445</x:v>
      </x:c>
      <x:c r="AT628" s="64" t="n">
        <x:f>SUM(AO628:AS628)</x:f>
        <x:v>-822.6890000000001</x:v>
      </x:c>
      <x:c r="AU628" s="65" t="n">
        <x:f>AT628/AK628</x:f>
        <x:v>-0.5816341968999834</x:v>
      </x:c>
      <x:c r="AV628" s="64" t="n">
        <x:f>AK628+AT628</x:f>
        <x:v>591.7549999999999</x:v>
      </x:c>
      <x:c r="AW628" s="65" t="n">
        <x:f>AV628/AK628</x:f>
        <x:v>0.4183658031000166</x:v>
      </x:c>
      <x:c r="AX628" s="64" t="n">
        <x:f>-ROUND(AK628*'Drivers'!W628,3)</x:f>
        <x:v>-19.172</x:v>
      </x:c>
      <x:c r="AY628" s="64" t="n">
        <x:f>-ROUND(AK628*'Drivers'!X628,3)</x:f>
        <x:v>-34.24</x:v>
      </x:c>
      <x:c r="AZ628" s="64" t="n">
        <x:f>-ROUND(AK628*'Drivers'!Y628,3)</x:f>
        <x:v>-35.534</x:v>
      </x:c>
      <x:c r="BA628" s="64" t="n">
        <x:f>-ROUND(AK628*'Drivers'!Z628,3)</x:f>
        <x:v>-9.317</x:v>
      </x:c>
      <x:c r="BB628" s="64" t="n">
        <x:f>-ROUND(AK628*'Drivers'!AA628,3)</x:f>
        <x:v>-11.443</x:v>
      </x:c>
      <x:c r="BC628" s="64" t="n">
        <x:f>SUM(BA628,BB628)</x:f>
        <x:v>-20.759999999999998</x:v>
      </x:c>
      <x:c r="BD628" s="64" t="n">
        <x:f>-ROUND(AK628*'Drivers'!AB628,3)</x:f>
        <x:v>-12.325</x:v>
      </x:c>
      <x:c r="BE628" s="64" t="n">
        <x:f>SUM(AX628:BB628,BD628)</x:f>
        <x:v>-122.031</x:v>
      </x:c>
      <x:c r="BF628" s="67" t="n">
        <x:f>'Drivers'!AF628</x:f>
        <x:v>7</x:v>
      </x:c>
      <x:c r="BG628" s="64" t="n">
        <x:f>BJ628</x:f>
        <x:v>-45.827</x:v>
      </x:c>
      <x:c r="BH628" s="64" t="n">
        <x:f>BE628/BF628</x:f>
        <x:v>-17.433</x:v>
      </x:c>
      <x:c r="BI628" s="68" t="n">
        <x:f>BF628/L628</x:f>
        <x:v>1.4</x:v>
      </x:c>
      <x:c r="BJ628" s="64" t="n">
        <x:f>-ROUND(AK628*'Drivers'!AC628,3)</x:f>
        <x:v>-45.827</x:v>
      </x:c>
      <x:c r="BK628" s="64" t="n">
        <x:f>-ROUND(AK628*'Drivers'!AD628,3)</x:f>
        <x:v>-140.57</x:v>
      </x:c>
      <x:c r="BL628" s="64" t="n">
        <x:f>SUM(AV628,BE628,BJ628,BK628)</x:f>
        <x:v>283.3269999999999</x:v>
      </x:c>
      <x:c r="BM628" s="65" t="n">
        <x:f>BL628/AK628</x:f>
        <x:v>0.20030980371085733</x:v>
      </x:c>
      <x:c r="BN628" s="64" t="n">
        <x:f>-ROUND(AK628*'Drivers'!AE628,3)</x:f>
        <x:v>-118.632</x:v>
      </x:c>
      <x:c r="BO628" s="64" t="n">
        <x:f>BL628+BN628</x:f>
        <x:v>164.69499999999988</x:v>
      </x:c>
      <x:c r="BP628" s="65" t="n">
        <x:f>BO628/AK628</x:f>
        <x:v>0.11643797845655246</x:v>
      </x:c>
    </x:row>
    <x:row r="629">
      <x:c r="A629" s="61" t="n">
        <x:v>2026</x:v>
      </x:c>
      <x:c r="B629" s="18" t="str">
        <x:v>S2</x:v>
      </x:c>
      <x:c r="C629" s="18" t="str">
        <x:v>2026 S2</x:v>
      </x:c>
      <x:c r="D629" s="18" t="str">
        <x:v>CNCT0157</x:v>
      </x:c>
      <x:c r="E629" s="18" t="str">
        <x:v>天津银河国际购物中心</x:v>
      </x:c>
      <x:c r="F629" s="18" t="str">
        <x:v>天津</x:v>
      </x:c>
      <x:c r="G629" s="18" t="str">
        <x:v>天津市</x:v>
      </x:c>
      <x:c r="H629" s="18" t="str">
        <x:v>北区</x:v>
      </x:c>
      <x:c r="I629" s="18" t="str">
        <x:v>Shopping Mall</x:v>
      </x:c>
      <x:c r="J629" s="18" t="str">
        <x:v>Core Shopping Center</x:v>
      </x:c>
      <x:c r="K629" s="18" t="str">
        <x:v>正常</x:v>
      </x:c>
      <x:c r="L629" s="62" t="n">
        <x:v>5</x:v>
      </x:c>
      <x:c r="M629" s="62" t="n">
        <x:v>37</x:v>
      </x:c>
      <x:c r="N629" s="63" t="n">
        <x:f>'Drivers'!C629</x:f>
        <x:v>1917</x:v>
      </x:c>
      <x:c r="O629" s="63" t="n">
        <x:f>'Drivers'!D629</x:f>
        <x:v>1171.11</x:v>
      </x:c>
      <x:c r="P629" s="64" t="n">
        <x:f>ROUND(N629*O629/1000,3)</x:f>
        <x:v>2245.018</x:v>
      </x:c>
      <x:c r="Q629" s="64" t="n">
        <x:f>ROUND(P629*'Drivers'!E629,3)</x:f>
        <x:v>2188.186</x:v>
      </x:c>
      <x:c r="R629" s="64" t="n">
        <x:f>-ROUND(Q629*'Drivers'!F629,3)</x:f>
        <x:v>-384.042</x:v>
      </x:c>
      <x:c r="S629" s="65" t="n">
        <x:f>R629/Q629</x:f>
        <x:v>-0.17550701814196779</x:v>
      </x:c>
      <x:c r="T629" s="64" t="n">
        <x:f>-ROUND(Q629*'Drivers'!G629,3)</x:f>
        <x:v>-29.379</x:v>
      </x:c>
      <x:c r="U629" s="65" t="n">
        <x:f>T629/Q629</x:f>
        <x:v>-0.013426189546958074</x:v>
      </x:c>
      <x:c r="V629" s="64" t="n">
        <x:f>-ROUND(Q629*'Drivers'!H629,3)</x:f>
        <x:v>-20.098</x:v>
      </x:c>
      <x:c r="W629" s="64" t="n">
        <x:f>-ROUND(Q629*'Drivers'!I629,3)</x:f>
        <x:v>-22.948</x:v>
      </x:c>
      <x:c r="X629" s="64" t="n">
        <x:f>-ROUND(Q629*'Drivers'!J629,3)</x:f>
        <x:v>-31.927</x:v>
      </x:c>
      <x:c r="Y629" s="64" t="n">
        <x:f>-ROUND(Q629*'Drivers'!K629,3)</x:f>
        <x:v>-24.036</x:v>
      </x:c>
      <x:c r="Z629" s="64" t="n">
        <x:f>-ROUND(Q629*'Drivers'!L629,3)</x:f>
        <x:v>-23.804</x:v>
      </x:c>
      <x:c r="AA629" s="64" t="n">
        <x:f>-ROUND(Q629*'Drivers'!M629,3)</x:f>
        <x:v>-17.881</x:v>
      </x:c>
      <x:c r="AB629" s="64" t="n">
        <x:f>-ROUND(Q629*'Drivers'!N629,3)</x:f>
        <x:v>-13.972</x:v>
      </x:c>
      <x:c r="AC629" s="64" t="n">
        <x:f>SUM(V629:AB629)</x:f>
        <x:v>-154.66600000000003</x:v>
      </x:c>
      <x:c r="AD629" s="65" t="n">
        <x:f>AC629/Q629</x:f>
        <x:v>-0.07068229117634425</x:v>
      </x:c>
      <x:c r="AE629" s="64" t="n">
        <x:f>-ROUND(Q629*'Drivers'!O629,3)</x:f>
        <x:v>-22.016</x:v>
      </x:c>
      <x:c r="AF629" s="65" t="n">
        <x:f>AE629/Q629</x:f>
        <x:v>-0.010061301918575476</x:v>
      </x:c>
      <x:c r="AG629" s="64" t="n">
        <x:f>-ROUND(Q629*'Drivers'!P629,3)</x:f>
        <x:v>-0.706</x:v>
      </x:c>
      <x:c r="AH629" s="64" t="n">
        <x:f>-ROUND(Q629*'Drivers'!Q629,3)</x:f>
        <x:v>-6.352</x:v>
      </x:c>
      <x:c r="AI629" s="64" t="n">
        <x:f>SUM(R629,T629,AC629,AE629,AG629,AH629)</x:f>
        <x:v>-597.161</x:v>
      </x:c>
      <x:c r="AJ629" s="65" t="n">
        <x:f>AI629/Q629</x:f>
        <x:v>-0.2729023035518918</x:v>
      </x:c>
      <x:c r="AK629" s="64" t="n">
        <x:f>Q629+AI629</x:f>
        <x:v>1591.025</x:v>
      </x:c>
      <x:c r="AL629" s="65" t="n">
        <x:f>AK629/Q629</x:f>
        <x:v>0.7270976964481082</x:v>
      </x:c>
      <x:c r="AM629" s="64" t="n">
        <x:f>AK629/L629</x:f>
        <x:v>318.20500000000004</x:v>
      </x:c>
      <x:c r="AN629" s="66" t="str">
        <x:f>IF(AM629&lt;=200,"≤200K",IF(AM629&lt;=350,"200–350K",IF(AM629&lt;=500,"350–500K",IF(AM629&lt;=700,"500–700K","&gt;700K"))))</x:f>
        <x:v>200–350K</x:v>
      </x:c>
      <x:c r="AO629" s="64" t="n">
        <x:f>-ROUND(Q629*'Drivers'!R629,3)</x:f>
        <x:v>-793.479</x:v>
      </x:c>
      <x:c r="AP629" s="64" t="n">
        <x:f>-ROUND(AK629*'Drivers'!S629,3)</x:f>
        <x:v>-22.646</x:v>
      </x:c>
      <x:c r="AQ629" s="64" t="n">
        <x:f>-ROUND(AK629*'Drivers'!T629,3)</x:f>
        <x:v>-9.815</x:v>
      </x:c>
      <x:c r="AR629" s="64" t="n">
        <x:f>-ROUND(AK629*'Drivers'!U629,3)</x:f>
        <x:v>-20.185</x:v>
      </x:c>
      <x:c r="AS629" s="64" t="n">
        <x:f>-ROUND(AK629*'Drivers'!V629,3)</x:f>
        <x:v>-47.744</x:v>
      </x:c>
      <x:c r="AT629" s="64" t="n">
        <x:f>SUM(AO629:AS629)</x:f>
        <x:v>-893.869</x:v>
      </x:c>
      <x:c r="AU629" s="65" t="n">
        <x:f>AT629/AK629</x:f>
        <x:v>-0.5618195817161893</x:v>
      </x:c>
      <x:c r="AV629" s="64" t="n">
        <x:f>AK629+AT629</x:f>
        <x:v>697.1560000000001</x:v>
      </x:c>
      <x:c r="AW629" s="65" t="n">
        <x:f>AV629/AK629</x:f>
        <x:v>0.43818041828381077</x:v>
      </x:c>
      <x:c r="AX629" s="64" t="n">
        <x:f>-ROUND(AK629*'Drivers'!W629,3)</x:f>
        <x:v>-18.578</x:v>
      </x:c>
      <x:c r="AY629" s="64" t="n">
        <x:f>-ROUND(AK629*'Drivers'!X629,3)</x:f>
        <x:v>-33.179</x:v>
      </x:c>
      <x:c r="AZ629" s="64" t="n">
        <x:f>-ROUND(AK629*'Drivers'!Y629,3)</x:f>
        <x:v>-34.433</x:v>
      </x:c>
      <x:c r="BA629" s="64" t="n">
        <x:f>-ROUND(AK629*'Drivers'!Z629,3)</x:f>
        <x:v>-9.028</x:v>
      </x:c>
      <x:c r="BB629" s="64" t="n">
        <x:f>-ROUND(AK629*'Drivers'!AA629,3)</x:f>
        <x:v>-11.088</x:v>
      </x:c>
      <x:c r="BC629" s="64" t="n">
        <x:f>SUM(BA629,BB629)</x:f>
        <x:v>-20.116</x:v>
      </x:c>
      <x:c r="BD629" s="64" t="n">
        <x:f>-ROUND(AK629*'Drivers'!AB629,3)</x:f>
        <x:v>-11.943</x:v>
      </x:c>
      <x:c r="BE629" s="64" t="n">
        <x:f>SUM(AX629:BB629,BD629)</x:f>
        <x:v>-118.249</x:v>
      </x:c>
      <x:c r="BF629" s="67" t="n">
        <x:f>'Drivers'!AF629</x:f>
        <x:v>7</x:v>
      </x:c>
      <x:c r="BG629" s="64" t="n">
        <x:f>BJ629</x:f>
        <x:v>-44.407</x:v>
      </x:c>
      <x:c r="BH629" s="64" t="n">
        <x:f>BE629/BF629</x:f>
        <x:v>-16.892714285714284</x:v>
      </x:c>
      <x:c r="BI629" s="68" t="n">
        <x:f>BF629/L629</x:f>
        <x:v>1.4</x:v>
      </x:c>
      <x:c r="BJ629" s="64" t="n">
        <x:f>-ROUND(AK629*'Drivers'!AC629,3)</x:f>
        <x:v>-44.407</x:v>
      </x:c>
      <x:c r="BK629" s="64" t="n">
        <x:f>-ROUND(AK629*'Drivers'!AD629,3)</x:f>
        <x:v>-158.119</x:v>
      </x:c>
      <x:c r="BL629" s="64" t="n">
        <x:f>SUM(AV629,BE629,BJ629,BK629)</x:f>
        <x:v>376.381</x:v>
      </x:c>
      <x:c r="BM629" s="65" t="n">
        <x:f>BL629/AK629</x:f>
        <x:v>0.23656510739931802</x:v>
      </x:c>
      <x:c r="BN629" s="64" t="n">
        <x:f>-ROUND(AK629*'Drivers'!AE629,3)</x:f>
        <x:v>-133.442</x:v>
      </x:c>
      <x:c r="BO629" s="64" t="n">
        <x:f>BL629+BN629</x:f>
        <x:v>242.93899999999996</x:v>
      </x:c>
      <x:c r="BP629" s="65" t="n">
        <x:f>BO629/AK629</x:f>
        <x:v>0.15269338948162345</x:v>
      </x:c>
    </x:row>
    <x:row r="630">
      <x:c r="A630" s="61" t="n">
        <x:v>2025</x:v>
      </x:c>
      <x:c r="B630" s="18" t="str">
        <x:v>S1</x:v>
      </x:c>
      <x:c r="C630" s="18" t="str">
        <x:v>2025 S1</x:v>
      </x:c>
      <x:c r="D630" s="18" t="str">
        <x:v>CNCT0158</x:v>
      </x:c>
      <x:c r="E630" s="18" t="str">
        <x:v>天津友谊商厦</x:v>
      </x:c>
      <x:c r="F630" s="18" t="str">
        <x:v>天津</x:v>
      </x:c>
      <x:c r="G630" s="18" t="str">
        <x:v>天津市</x:v>
      </x:c>
      <x:c r="H630" s="18" t="str">
        <x:v>北区</x:v>
      </x:c>
      <x:c r="I630" s="18" t="str">
        <x:v>Department Store</x:v>
      </x:c>
      <x:c r="J630" s="18" t="str">
        <x:v>Core Shopping Center</x:v>
      </x:c>
      <x:c r="K630" s="18" t="str">
        <x:v>正常</x:v>
      </x:c>
      <x:c r="L630" s="62" t="n">
        <x:v>5</x:v>
      </x:c>
      <x:c r="M630" s="62" t="n">
        <x:v>40</x:v>
      </x:c>
      <x:c r="N630" s="63" t="n">
        <x:f>'Drivers'!C630</x:f>
        <x:v>1793</x:v>
      </x:c>
      <x:c r="O630" s="63" t="n">
        <x:f>'Drivers'!D630</x:f>
        <x:v>1029.927</x:v>
      </x:c>
      <x:c r="P630" s="64" t="n">
        <x:f>ROUND(N630*O630/1000,3)</x:f>
        <x:v>1846.659</x:v>
      </x:c>
      <x:c r="Q630" s="64" t="n">
        <x:f>ROUND(P630*'Drivers'!E630,3)</x:f>
        <x:v>1804.224</x:v>
      </x:c>
      <x:c r="R630" s="64" t="n">
        <x:f>-ROUND(Q630*'Drivers'!F630,3)</x:f>
        <x:v>-317.897</x:v>
      </x:c>
      <x:c r="S630" s="65" t="n">
        <x:f>R630/Q630</x:f>
        <x:v>-0.17619597123195346</x:v>
      </x:c>
      <x:c r="T630" s="64" t="n">
        <x:f>-ROUND(Q630*'Drivers'!G630,3)</x:f>
        <x:v>-37.249</x:v>
      </x:c>
      <x:c r="U630" s="65" t="n">
        <x:f>T630/Q630</x:f>
        <x:v>-0.02064544092086127</x:v>
      </x:c>
      <x:c r="V630" s="64" t="n">
        <x:f>-ROUND(Q630*'Drivers'!H630,3)</x:f>
        <x:v>-17.714</x:v>
      </x:c>
      <x:c r="W630" s="64" t="n">
        <x:f>-ROUND(Q630*'Drivers'!I630,3)</x:f>
        <x:v>-14.381</x:v>
      </x:c>
      <x:c r="X630" s="64" t="n">
        <x:f>-ROUND(Q630*'Drivers'!J630,3)</x:f>
        <x:v>-27.15</x:v>
      </x:c>
      <x:c r="Y630" s="64" t="n">
        <x:f>-ROUND(Q630*'Drivers'!K630,3)</x:f>
        <x:v>-18.569</x:v>
      </x:c>
      <x:c r="Z630" s="64" t="n">
        <x:f>-ROUND(Q630*'Drivers'!L630,3)</x:f>
        <x:v>-16.846</x:v>
      </x:c>
      <x:c r="AA630" s="64" t="n">
        <x:f>-ROUND(Q630*'Drivers'!M630,3)</x:f>
        <x:v>-15.198</x:v>
      </x:c>
      <x:c r="AB630" s="64" t="n">
        <x:f>-ROUND(Q630*'Drivers'!N630,3)</x:f>
        <x:v>-9.688</x:v>
      </x:c>
      <x:c r="AC630" s="64" t="n">
        <x:f>SUM(V630:AB630)</x:f>
        <x:v>-119.546</x:v>
      </x:c>
      <x:c r="AD630" s="65" t="n">
        <x:f>AC630/Q630</x:f>
        <x:v>-0.06625895675924941</x:v>
      </x:c>
      <x:c r="AE630" s="64" t="n">
        <x:f>-ROUND(Q630*'Drivers'!O630,3)</x:f>
        <x:v>-25.292</x:v>
      </x:c>
      <x:c r="AF630" s="65" t="n">
        <x:f>AE630/Q630</x:f>
        <x:v>-0.014018215033166614</x:v>
      </x:c>
      <x:c r="AG630" s="64" t="n">
        <x:f>-ROUND(Q630*'Drivers'!P630,3)</x:f>
        <x:v>-4.671</x:v>
      </x:c>
      <x:c r="AH630" s="64" t="n">
        <x:f>-ROUND(Q630*'Drivers'!Q630,3)</x:f>
        <x:v>-2.792</x:v>
      </x:c>
      <x:c r="AI630" s="64" t="n">
        <x:f>SUM(R630,T630,AC630,AE630,AG630,AH630)</x:f>
        <x:v>-507.447</x:v>
      </x:c>
      <x:c r="AJ630" s="65" t="n">
        <x:f>AI630/Q630</x:f>
        <x:v>-0.2812549882941364</x:v>
      </x:c>
      <x:c r="AK630" s="64" t="n">
        <x:f>Q630+AI630</x:f>
        <x:v>1296.777</x:v>
      </x:c>
      <x:c r="AL630" s="65" t="n">
        <x:f>AK630/Q630</x:f>
        <x:v>0.7187450117058636</x:v>
      </x:c>
      <x:c r="AM630" s="64" t="n">
        <x:f>AK630/L630</x:f>
        <x:v>259.35540000000003</x:v>
      </x:c>
      <x:c r="AN630" s="66" t="str">
        <x:f>IF(AM630&lt;=200,"≤200K",IF(AM630&lt;=350,"200–350K",IF(AM630&lt;=500,"350–500K",IF(AM630&lt;=700,"500–700K","&gt;700K"))))</x:f>
        <x:v>200–350K</x:v>
      </x:c>
      <x:c r="AO630" s="64" t="n">
        <x:f>-ROUND(Q630*'Drivers'!R630,3)</x:f>
        <x:v>-669.158</x:v>
      </x:c>
      <x:c r="AP630" s="64" t="n">
        <x:f>-ROUND(AK630*'Drivers'!S630,3)</x:f>
        <x:v>-15.303</x:v>
      </x:c>
      <x:c r="AQ630" s="64" t="n">
        <x:f>-ROUND(AK630*'Drivers'!T630,3)</x:f>
        <x:v>-6.605</x:v>
      </x:c>
      <x:c r="AR630" s="64" t="n">
        <x:f>-ROUND(AK630*'Drivers'!U630,3)</x:f>
        <x:v>-13.551</x:v>
      </x:c>
      <x:c r="AS630" s="64" t="n">
        <x:f>-ROUND(AK630*'Drivers'!V630,3)</x:f>
        <x:v>-43.2</x:v>
      </x:c>
      <x:c r="AT630" s="64" t="n">
        <x:f>SUM(AO630:AS630)</x:f>
        <x:v>-747.8170000000001</x:v>
      </x:c>
      <x:c r="AU630" s="65" t="n">
        <x:f>AT630/AK630</x:f>
        <x:v>-0.5766735529701715</x:v>
      </x:c>
      <x:c r="AV630" s="64" t="n">
        <x:f>AK630+AT630</x:f>
        <x:v>548.9599999999999</x:v>
      </x:c>
      <x:c r="AW630" s="65" t="n">
        <x:f>AV630/AK630</x:f>
        <x:v>0.42332644702982847</x:v>
      </x:c>
      <x:c r="AX630" s="64" t="n">
        <x:f>-ROUND(AK630*'Drivers'!W630,3)</x:f>
        <x:v>-18.576</x:v>
      </x:c>
      <x:c r="AY630" s="64" t="n">
        <x:f>-ROUND(AK630*'Drivers'!X630,3)</x:f>
        <x:v>-25.054</x:v>
      </x:c>
      <x:c r="AZ630" s="64" t="n">
        <x:f>-ROUND(AK630*'Drivers'!Y630,3)</x:f>
        <x:v>-27.252</x:v>
      </x:c>
      <x:c r="BA630" s="64" t="n">
        <x:f>-ROUND(AK630*'Drivers'!Z630,3)</x:f>
        <x:v>-5.366</x:v>
      </x:c>
      <x:c r="BB630" s="64" t="n">
        <x:f>-ROUND(AK630*'Drivers'!AA630,3)</x:f>
        <x:v>-8.918</x:v>
      </x:c>
      <x:c r="BC630" s="64" t="n">
        <x:f>SUM(BA630,BB630)</x:f>
        <x:v>-14.283999999999999</x:v>
      </x:c>
      <x:c r="BD630" s="64" t="n">
        <x:f>-ROUND(AK630*'Drivers'!AB630,3)</x:f>
        <x:v>-7.035</x:v>
      </x:c>
      <x:c r="BE630" s="64" t="n">
        <x:f>SUM(AX630:BB630,BD630)</x:f>
        <x:v>-92.201</x:v>
      </x:c>
      <x:c r="BF630" s="67" t="n">
        <x:f>'Drivers'!AF630</x:f>
        <x:v>8</x:v>
      </x:c>
      <x:c r="BG630" s="64" t="n">
        <x:f>BJ630</x:f>
        <x:v>-27.527</x:v>
      </x:c>
      <x:c r="BH630" s="64" t="n">
        <x:f>BE630/BF630</x:f>
        <x:v>-11.525125</x:v>
      </x:c>
      <x:c r="BI630" s="68" t="n">
        <x:f>BF630/L630</x:f>
        <x:v>1.6</x:v>
      </x:c>
      <x:c r="BJ630" s="64" t="n">
        <x:f>-ROUND(AK630*'Drivers'!AC630,3)</x:f>
        <x:v>-27.527</x:v>
      </x:c>
      <x:c r="BK630" s="64" t="n">
        <x:f>-ROUND(AK630*'Drivers'!AD630,3)</x:f>
        <x:v>-113.181</x:v>
      </x:c>
      <x:c r="BL630" s="64" t="n">
        <x:f>SUM(AV630,BE630,BJ630,BK630)</x:f>
        <x:v>316.05099999999993</x:v>
      </x:c>
      <x:c r="BM630" s="65" t="n">
        <x:f>BL630/AK630</x:f>
        <x:v>0.24372039294342815</x:v>
      </x:c>
      <x:c r="BN630" s="64" t="n">
        <x:f>-ROUND(AK630*'Drivers'!AE630,3)</x:f>
        <x:v>-109.437</x:v>
      </x:c>
      <x:c r="BO630" s="64" t="n">
        <x:f>BL630+BN630</x:f>
        <x:v>206.61399999999992</x:v>
      </x:c>
      <x:c r="BP630" s="65" t="n">
        <x:f>BO630/AK630</x:f>
        <x:v>0.15932885916391168</x:v>
      </x:c>
    </x:row>
    <x:row r="631">
      <x:c r="A631" s="61" t="n">
        <x:v>2025</x:v>
      </x:c>
      <x:c r="B631" s="18" t="str">
        <x:v>S2</x:v>
      </x:c>
      <x:c r="C631" s="18" t="str">
        <x:v>2025 S2</x:v>
      </x:c>
      <x:c r="D631" s="18" t="str">
        <x:v>CNCT0158</x:v>
      </x:c>
      <x:c r="E631" s="18" t="str">
        <x:v>天津友谊商厦</x:v>
      </x:c>
      <x:c r="F631" s="18" t="str">
        <x:v>天津</x:v>
      </x:c>
      <x:c r="G631" s="18" t="str">
        <x:v>天津市</x:v>
      </x:c>
      <x:c r="H631" s="18" t="str">
        <x:v>北区</x:v>
      </x:c>
      <x:c r="I631" s="18" t="str">
        <x:v>Department Store</x:v>
      </x:c>
      <x:c r="J631" s="18" t="str">
        <x:v>Core Shopping Center</x:v>
      </x:c>
      <x:c r="K631" s="18" t="str">
        <x:v>正常</x:v>
      </x:c>
      <x:c r="L631" s="62" t="n">
        <x:v>5</x:v>
      </x:c>
      <x:c r="M631" s="62" t="n">
        <x:v>40</x:v>
      </x:c>
      <x:c r="N631" s="63" t="n">
        <x:f>'Drivers'!C631</x:f>
        <x:v>1971</x:v>
      </x:c>
      <x:c r="O631" s="63" t="n">
        <x:f>'Drivers'!D631</x:f>
        <x:v>1042.287</x:v>
      </x:c>
      <x:c r="P631" s="64" t="n">
        <x:f>ROUND(N631*O631/1000,3)</x:f>
        <x:v>2054.348</x:v>
      </x:c>
      <x:c r="Q631" s="64" t="n">
        <x:f>ROUND(P631*'Drivers'!E631,3)</x:f>
        <x:v>1990.23</x:v>
      </x:c>
      <x:c r="R631" s="64" t="n">
        <x:f>-ROUND(Q631*'Drivers'!F631,3)</x:f>
        <x:v>-350.67</x:v>
      </x:c>
      <x:c r="S631" s="65" t="n">
        <x:f>R631/Q631</x:f>
        <x:v>-0.1761957160730167</x:v>
      </x:c>
      <x:c r="T631" s="64" t="n">
        <x:f>-ROUND(Q631*'Drivers'!G631,3)</x:f>
        <x:v>-41.089</x:v>
      </x:c>
      <x:c r="U631" s="65" t="n">
        <x:f>T631/Q631</x:f>
        <x:v>-0.020645352547193036</x:v>
      </x:c>
      <x:c r="V631" s="64" t="n">
        <x:f>-ROUND(Q631*'Drivers'!H631,3)</x:f>
        <x:v>-19.54</x:v>
      </x:c>
      <x:c r="W631" s="64" t="n">
        <x:f>-ROUND(Q631*'Drivers'!I631,3)</x:f>
        <x:v>-15.864</x:v>
      </x:c>
      <x:c r="X631" s="64" t="n">
        <x:f>-ROUND(Q631*'Drivers'!J631,3)</x:f>
        <x:v>-29.949</x:v>
      </x:c>
      <x:c r="Y631" s="64" t="n">
        <x:f>-ROUND(Q631*'Drivers'!K631,3)</x:f>
        <x:v>-20.484</x:v>
      </x:c>
      <x:c r="Z631" s="64" t="n">
        <x:f>-ROUND(Q631*'Drivers'!L631,3)</x:f>
        <x:v>-18.583</x:v>
      </x:c>
      <x:c r="AA631" s="64" t="n">
        <x:f>-ROUND(Q631*'Drivers'!M631,3)</x:f>
        <x:v>-16.765</x:v>
      </x:c>
      <x:c r="AB631" s="64" t="n">
        <x:f>-ROUND(Q631*'Drivers'!N631,3)</x:f>
        <x:v>-10.687</x:v>
      </x:c>
      <x:c r="AC631" s="64" t="n">
        <x:f>SUM(V631:AB631)</x:f>
        <x:v>-131.87199999999999</x:v>
      </x:c>
      <x:c r="AD631" s="65" t="n">
        <x:f>AC631/Q631</x:f>
        <x:v>-0.06625967852961717</x:v>
      </x:c>
      <x:c r="AE631" s="64" t="n">
        <x:f>-ROUND(Q631*'Drivers'!O631,3)</x:f>
        <x:v>-27.899</x:v>
      </x:c>
      <x:c r="AF631" s="65" t="n">
        <x:f>AE631/Q631</x:f>
        <x:v>-0.014017977821658804</x:v>
      </x:c>
      <x:c r="AG631" s="64" t="n">
        <x:f>-ROUND(Q631*'Drivers'!P631,3)</x:f>
        <x:v>-5.153</x:v>
      </x:c>
      <x:c r="AH631" s="64" t="n">
        <x:f>-ROUND(Q631*'Drivers'!Q631,3)</x:f>
        <x:v>-3.08</x:v>
      </x:c>
      <x:c r="AI631" s="64" t="n">
        <x:f>SUM(R631,T631,AC631,AE631,AG631,AH631)</x:f>
        <x:v>-559.763</x:v>
      </x:c>
      <x:c r="AJ631" s="65" t="n">
        <x:f>AI631/Q631</x:f>
        <x:v>-0.28125543278917514</x:v>
      </x:c>
      <x:c r="AK631" s="64" t="n">
        <x:f>Q631+AI631</x:f>
        <x:v>1430.467</x:v>
      </x:c>
      <x:c r="AL631" s="65" t="n">
        <x:f>AK631/Q631</x:f>
        <x:v>0.7187445672108249</x:v>
      </x:c>
      <x:c r="AM631" s="64" t="n">
        <x:f>AK631/L631</x:f>
        <x:v>286.09340000000003</x:v>
      </x:c>
      <x:c r="AN631" s="66" t="str">
        <x:f>IF(AM631&lt;=200,"≤200K",IF(AM631&lt;=350,"200–350K",IF(AM631&lt;=500,"350–500K",IF(AM631&lt;=700,"500–700K","&gt;700K"))))</x:f>
        <x:v>200–350K</x:v>
      </x:c>
      <x:c r="AO631" s="64" t="n">
        <x:f>-ROUND(Q631*'Drivers'!R631,3)</x:f>
        <x:v>-770.538</x:v>
      </x:c>
      <x:c r="AP631" s="64" t="n">
        <x:f>-ROUND(AK631*'Drivers'!S631,3)</x:f>
        <x:v>-16.881</x:v>
      </x:c>
      <x:c r="AQ631" s="64" t="n">
        <x:f>-ROUND(AK631*'Drivers'!T631,3)</x:f>
        <x:v>-7.286</x:v>
      </x:c>
      <x:c r="AR631" s="64" t="n">
        <x:f>-ROUND(AK631*'Drivers'!U631,3)</x:f>
        <x:v>-14.949</x:v>
      </x:c>
      <x:c r="AS631" s="64" t="n">
        <x:f>-ROUND(AK631*'Drivers'!V631,3)</x:f>
        <x:v>-47.653</x:v>
      </x:c>
      <x:c r="AT631" s="64" t="n">
        <x:f>SUM(AO631:AS631)</x:f>
        <x:v>-857.3069999999999</x:v>
      </x:c>
      <x:c r="AU631" s="65" t="n">
        <x:f>AT631/AK631</x:f>
        <x:v>-0.5993196627395109</x:v>
      </x:c>
      <x:c r="AV631" s="64" t="n">
        <x:f>AK631+AT631</x:f>
        <x:v>573.1600000000002</x:v>
      </x:c>
      <x:c r="AW631" s="65" t="n">
        <x:f>AV631/AK631</x:f>
        <x:v>0.4006803372604892</x:v>
      </x:c>
      <x:c r="AX631" s="64" t="n">
        <x:f>-ROUND(AK631*'Drivers'!W631,3)</x:f>
        <x:v>-20.491</x:v>
      </x:c>
      <x:c r="AY631" s="64" t="n">
        <x:f>-ROUND(AK631*'Drivers'!X631,3)</x:f>
        <x:v>-27.636</x:v>
      </x:c>
      <x:c r="AZ631" s="64" t="n">
        <x:f>-ROUND(AK631*'Drivers'!Y631,3)</x:f>
        <x:v>-30.061</x:v>
      </x:c>
      <x:c r="BA631" s="64" t="n">
        <x:f>-ROUND(AK631*'Drivers'!Z631,3)</x:f>
        <x:v>-5.919</x:v>
      </x:c>
      <x:c r="BB631" s="64" t="n">
        <x:f>-ROUND(AK631*'Drivers'!AA631,3)</x:f>
        <x:v>-9.838</x:v>
      </x:c>
      <x:c r="BC631" s="64" t="n">
        <x:f>SUM(BA631,BB631)</x:f>
        <x:v>-15.756999999999998</x:v>
      </x:c>
      <x:c r="BD631" s="64" t="n">
        <x:f>-ROUND(AK631*'Drivers'!AB631,3)</x:f>
        <x:v>-7.76</x:v>
      </x:c>
      <x:c r="BE631" s="64" t="n">
        <x:f>SUM(AX631:BB631,BD631)</x:f>
        <x:v>-101.70499999999998</x:v>
      </x:c>
      <x:c r="BF631" s="67" t="n">
        <x:f>'Drivers'!AF631</x:f>
        <x:v>8</x:v>
      </x:c>
      <x:c r="BG631" s="64" t="n">
        <x:f>BJ631</x:f>
        <x:v>-30.365</x:v>
      </x:c>
      <x:c r="BH631" s="64" t="n">
        <x:f>BE631/BF631</x:f>
        <x:v>-12.713124999999998</x:v>
      </x:c>
      <x:c r="BI631" s="68" t="n">
        <x:f>BF631/L631</x:f>
        <x:v>1.6</x:v>
      </x:c>
      <x:c r="BJ631" s="64" t="n">
        <x:f>-ROUND(AK631*'Drivers'!AC631,3)</x:f>
        <x:v>-30.365</x:v>
      </x:c>
      <x:c r="BK631" s="64" t="n">
        <x:f>-ROUND(AK631*'Drivers'!AD631,3)</x:f>
        <x:v>-124.85</x:v>
      </x:c>
      <x:c r="BL631" s="64" t="n">
        <x:f>SUM(AV631,BE631,BJ631,BK631)</x:f>
        <x:v>316.24000000000024</x:v>
      </x:c>
      <x:c r="BM631" s="65" t="n">
        <x:f>BL631/AK631</x:f>
        <x:v>0.22107465603890214</x:v>
      </x:c>
      <x:c r="BN631" s="64" t="n">
        <x:f>-ROUND(AK631*'Drivers'!AE631,3)</x:f>
        <x:v>-120.719</x:v>
      </x:c>
      <x:c r="BO631" s="64" t="n">
        <x:f>BL631+BN631</x:f>
        <x:v>195.52100000000024</x:v>
      </x:c>
      <x:c r="BP631" s="65" t="n">
        <x:f>BO631/AK631</x:f>
        <x:v>0.13668333488294399</x:v>
      </x:c>
    </x:row>
    <x:row r="632">
      <x:c r="A632" s="61" t="n">
        <x:v>2026</x:v>
      </x:c>
      <x:c r="B632" s="18" t="str">
        <x:v>S1</x:v>
      </x:c>
      <x:c r="C632" s="18" t="str">
        <x:v>2026 S1</x:v>
      </x:c>
      <x:c r="D632" s="18" t="str">
        <x:v>CNCT0158</x:v>
      </x:c>
      <x:c r="E632" s="18" t="str">
        <x:v>天津友谊商厦</x:v>
      </x:c>
      <x:c r="F632" s="18" t="str">
        <x:v>天津</x:v>
      </x:c>
      <x:c r="G632" s="18" t="str">
        <x:v>天津市</x:v>
      </x:c>
      <x:c r="H632" s="18" t="str">
        <x:v>北区</x:v>
      </x:c>
      <x:c r="I632" s="18" t="str">
        <x:v>Department Store</x:v>
      </x:c>
      <x:c r="J632" s="18" t="str">
        <x:v>Core Shopping Center</x:v>
      </x:c>
      <x:c r="K632" s="18" t="str">
        <x:v>正常</x:v>
      </x:c>
      <x:c r="L632" s="62" t="n">
        <x:v>5</x:v>
      </x:c>
      <x:c r="M632" s="62" t="n">
        <x:v>40</x:v>
      </x:c>
      <x:c r="N632" s="63" t="n">
        <x:f>'Drivers'!C632</x:f>
        <x:v>1775</x:v>
      </x:c>
      <x:c r="O632" s="63" t="n">
        <x:f>'Drivers'!D632</x:f>
        <x:v>1080.312</x:v>
      </x:c>
      <x:c r="P632" s="64" t="n">
        <x:f>ROUND(N632*O632/1000,3)</x:f>
        <x:v>1917.554</x:v>
      </x:c>
      <x:c r="Q632" s="64" t="n">
        <x:f>ROUND(P632*'Drivers'!E632,3)</x:f>
        <x:v>1877.292</x:v>
      </x:c>
      <x:c r="R632" s="64" t="n">
        <x:f>-ROUND(Q632*'Drivers'!F632,3)</x:f>
        <x:v>-332.598</x:v>
      </x:c>
      <x:c r="S632" s="65" t="n">
        <x:f>R632/Q632</x:f>
        <x:v>-0.17716902857946448</x:v>
      </x:c>
      <x:c r="T632" s="64" t="n">
        <x:f>-ROUND(Q632*'Drivers'!G632,3)</x:f>
        <x:v>-39.785</x:v>
      </x:c>
      <x:c r="U632" s="65" t="n">
        <x:f>T632/Q632</x:f>
        <x:v>-0.02119276063606514</x:v>
      </x:c>
      <x:c r="V632" s="64" t="n">
        <x:f>-ROUND(Q632*'Drivers'!H632,3)</x:f>
        <x:v>-18.431</x:v>
      </x:c>
      <x:c r="W632" s="64" t="n">
        <x:f>-ROUND(Q632*'Drivers'!I632,3)</x:f>
        <x:v>-14.963</x:v>
      </x:c>
      <x:c r="X632" s="64" t="n">
        <x:f>-ROUND(Q632*'Drivers'!J632,3)</x:f>
        <x:v>-28.249</x:v>
      </x:c>
      <x:c r="Y632" s="64" t="n">
        <x:f>-ROUND(Q632*'Drivers'!K632,3)</x:f>
        <x:v>-19.321</x:v>
      </x:c>
      <x:c r="Z632" s="64" t="n">
        <x:f>-ROUND(Q632*'Drivers'!L632,3)</x:f>
        <x:v>-17.529</x:v>
      </x:c>
      <x:c r="AA632" s="64" t="n">
        <x:f>-ROUND(Q632*'Drivers'!M632,3)</x:f>
        <x:v>-15.814</x:v>
      </x:c>
      <x:c r="AB632" s="64" t="n">
        <x:f>-ROUND(Q632*'Drivers'!N632,3)</x:f>
        <x:v>-10.081</x:v>
      </x:c>
      <x:c r="AC632" s="64" t="n">
        <x:f>SUM(V632:AB632)</x:f>
        <x:v>-124.38799999999999</x:v>
      </x:c>
      <x:c r="AD632" s="65" t="n">
        <x:f>AC632/Q632</x:f>
        <x:v>-0.06625927133338873</x:v>
      </x:c>
      <x:c r="AE632" s="64" t="n">
        <x:f>-ROUND(Q632*'Drivers'!O632,3)</x:f>
        <x:v>-22.926</x:v>
      </x:c>
      <x:c r="AF632" s="65" t="n">
        <x:f>AE632/Q632</x:f>
        <x:v>-0.012212271719050632</x:v>
      </x:c>
      <x:c r="AG632" s="64" t="n">
        <x:f>-ROUND(Q632*'Drivers'!P632,3)</x:f>
        <x:v>-4.86</x:v>
      </x:c>
      <x:c r="AH632" s="64" t="n">
        <x:f>-ROUND(Q632*'Drivers'!Q632,3)</x:f>
        <x:v>-2.905</x:v>
      </x:c>
      <x:c r="AI632" s="64" t="n">
        <x:f>SUM(R632,T632,AC632,AE632,AG632,AH632)</x:f>
        <x:v>-527.462</x:v>
      </x:c>
      <x:c r="AJ632" s="65" t="n">
        <x:f>AI632/Q632</x:f>
        <x:v>-0.28096960941611643</x:v>
      </x:c>
      <x:c r="AK632" s="64" t="n">
        <x:f>Q632+AI632</x:f>
        <x:v>1349.83</x:v>
      </x:c>
      <x:c r="AL632" s="65" t="n">
        <x:f>AK632/Q632</x:f>
        <x:v>0.7190303905838836</x:v>
      </x:c>
      <x:c r="AM632" s="64" t="n">
        <x:f>AK632/L632</x:f>
        <x:v>269.966</x:v>
      </x:c>
      <x:c r="AN632" s="66" t="str">
        <x:f>IF(AM632&lt;=200,"≤200K",IF(AM632&lt;=350,"200–350K",IF(AM632&lt;=500,"350–500K",IF(AM632&lt;=700,"500–700K","&gt;700K"))))</x:f>
        <x:v>200–350K</x:v>
      </x:c>
      <x:c r="AO632" s="64" t="n">
        <x:f>-ROUND(Q632*'Drivers'!R632,3)</x:f>
        <x:v>-691.755</x:v>
      </x:c>
      <x:c r="AP632" s="64" t="n">
        <x:f>-ROUND(AK632*'Drivers'!S632,3)</x:f>
        <x:v>-15.93</x:v>
      </x:c>
      <x:c r="AQ632" s="64" t="n">
        <x:f>-ROUND(AK632*'Drivers'!T632,3)</x:f>
        <x:v>-6.875</x:v>
      </x:c>
      <x:c r="AR632" s="64" t="n">
        <x:f>-ROUND(AK632*'Drivers'!U632,3)</x:f>
        <x:v>-14.106</x:v>
      </x:c>
      <x:c r="AS632" s="64" t="n">
        <x:f>-ROUND(AK632*'Drivers'!V632,3)</x:f>
        <x:v>-44.967</x:v>
      </x:c>
      <x:c r="AT632" s="64" t="n">
        <x:f>SUM(AO632:AS632)</x:f>
        <x:v>-773.6329999999999</x:v>
      </x:c>
      <x:c r="AU632" s="65" t="n">
        <x:f>AT632/AK632</x:f>
        <x:v>-0.573133653867524</x:v>
      </x:c>
      <x:c r="AV632" s="64" t="n">
        <x:f>AK632+AT632</x:f>
        <x:v>576.197</x:v>
      </x:c>
      <x:c r="AW632" s="65" t="n">
        <x:f>AV632/AK632</x:f>
        <x:v>0.426866346132476</x:v>
      </x:c>
      <x:c r="AX632" s="64" t="n">
        <x:f>-ROUND(AK632*'Drivers'!W632,3)</x:f>
        <x:v>-23.792</x:v>
      </x:c>
      <x:c r="AY632" s="64" t="n">
        <x:f>-ROUND(AK632*'Drivers'!X632,3)</x:f>
        <x:v>-32.088</x:v>
      </x:c>
      <x:c r="AZ632" s="64" t="n">
        <x:f>-ROUND(AK632*'Drivers'!Y632,3)</x:f>
        <x:v>-34.904</x:v>
      </x:c>
      <x:c r="BA632" s="64" t="n">
        <x:f>-ROUND(AK632*'Drivers'!Z632,3)</x:f>
        <x:v>-6.873</x:v>
      </x:c>
      <x:c r="BB632" s="64" t="n">
        <x:f>-ROUND(AK632*'Drivers'!AA632,3)</x:f>
        <x:v>-11.422</x:v>
      </x:c>
      <x:c r="BC632" s="64" t="n">
        <x:f>SUM(BA632,BB632)</x:f>
        <x:v>-18.295</x:v>
      </x:c>
      <x:c r="BD632" s="64" t="n">
        <x:f>-ROUND(AK632*'Drivers'!AB632,3)</x:f>
        <x:v>-9.01</x:v>
      </x:c>
      <x:c r="BE632" s="64" t="n">
        <x:f>SUM(AX632:BB632,BD632)</x:f>
        <x:v>-118.08900000000001</x:v>
      </x:c>
      <x:c r="BF632" s="67" t="n">
        <x:f>'Drivers'!AF632</x:f>
        <x:v>8</x:v>
      </x:c>
      <x:c r="BG632" s="64" t="n">
        <x:f>BJ632</x:f>
        <x:v>-35.256</x:v>
      </x:c>
      <x:c r="BH632" s="64" t="n">
        <x:f>BE632/BF632</x:f>
        <x:v>-14.761125000000002</x:v>
      </x:c>
      <x:c r="BI632" s="68" t="n">
        <x:f>BF632/L632</x:f>
        <x:v>1.6</x:v>
      </x:c>
      <x:c r="BJ632" s="64" t="n">
        <x:f>-ROUND(AK632*'Drivers'!AC632,3)</x:f>
        <x:v>-35.256</x:v>
      </x:c>
      <x:c r="BK632" s="64" t="n">
        <x:f>-ROUND(AK632*'Drivers'!AD632,3)</x:f>
        <x:v>-117.812</x:v>
      </x:c>
      <x:c r="BL632" s="64" t="n">
        <x:f>SUM(AV632,BE632,BJ632,BK632)</x:f>
        <x:v>305.03999999999996</x:v>
      </x:c>
      <x:c r="BM632" s="65" t="n">
        <x:f>BL632/AK632</x:f>
        <x:v>0.22598401280161204</x:v>
      </x:c>
      <x:c r="BN632" s="64" t="n">
        <x:f>-ROUND(AK632*'Drivers'!AE632,3)</x:f>
        <x:v>-113.914</x:v>
      </x:c>
      <x:c r="BO632" s="64" t="n">
        <x:f>BL632+BN632</x:f>
        <x:v>191.12599999999998</x:v>
      </x:c>
      <x:c r="BP632" s="65" t="n">
        <x:f>BO632/AK632</x:f>
        <x:v>0.1415926449997407</x:v>
      </x:c>
    </x:row>
    <x:row r="633">
      <x:c r="A633" s="61" t="n">
        <x:v>2026</x:v>
      </x:c>
      <x:c r="B633" s="18" t="str">
        <x:v>S2</x:v>
      </x:c>
      <x:c r="C633" s="18" t="str">
        <x:v>2026 S2</x:v>
      </x:c>
      <x:c r="D633" s="18" t="str">
        <x:v>CNCT0158</x:v>
      </x:c>
      <x:c r="E633" s="18" t="str">
        <x:v>天津友谊商厦</x:v>
      </x:c>
      <x:c r="F633" s="18" t="str">
        <x:v>天津</x:v>
      </x:c>
      <x:c r="G633" s="18" t="str">
        <x:v>天津市</x:v>
      </x:c>
      <x:c r="H633" s="18" t="str">
        <x:v>北区</x:v>
      </x:c>
      <x:c r="I633" s="18" t="str">
        <x:v>Department Store</x:v>
      </x:c>
      <x:c r="J633" s="18" t="str">
        <x:v>Core Shopping Center</x:v>
      </x:c>
      <x:c r="K633" s="18" t="str">
        <x:v>正常</x:v>
      </x:c>
      <x:c r="L633" s="62" t="n">
        <x:v>5</x:v>
      </x:c>
      <x:c r="M633" s="62" t="n">
        <x:v>37</x:v>
      </x:c>
      <x:c r="N633" s="63" t="n">
        <x:f>'Drivers'!C633</x:f>
        <x:v>1993</x:v>
      </x:c>
      <x:c r="O633" s="63" t="n">
        <x:f>'Drivers'!D633</x:f>
        <x:v>1074.735</x:v>
      </x:c>
      <x:c r="P633" s="64" t="n">
        <x:f>ROUND(N633*O633/1000,3)</x:f>
        <x:v>2141.947</x:v>
      </x:c>
      <x:c r="Q633" s="64" t="n">
        <x:f>ROUND(P633*'Drivers'!E633,3)</x:f>
        <x:v>2075.095</x:v>
      </x:c>
      <x:c r="R633" s="64" t="n">
        <x:f>-ROUND(Q633*'Drivers'!F633,3)</x:f>
        <x:v>-363.058</x:v>
      </x:c>
      <x:c r="S633" s="65" t="n">
        <x:f>R633/Q633</x:f>
        <x:v>-0.17495970064021166</x:v>
      </x:c>
      <x:c r="T633" s="64" t="n">
        <x:f>-ROUND(Q633*'Drivers'!G633,3)</x:f>
        <x:v>-39.385</x:v>
      </x:c>
      <x:c r="U633" s="65" t="n">
        <x:f>T633/Q633</x:f>
        <x:v>-0.018979853934398185</x:v>
      </x:c>
      <x:c r="V633" s="64" t="n">
        <x:f>-ROUND(Q633*'Drivers'!H633,3)</x:f>
        <x:v>-20.374</x:v>
      </x:c>
      <x:c r="W633" s="64" t="n">
        <x:f>-ROUND(Q633*'Drivers'!I633,3)</x:f>
        <x:v>-16.54</x:v>
      </x:c>
      <x:c r="X633" s="64" t="n">
        <x:f>-ROUND(Q633*'Drivers'!J633,3)</x:f>
        <x:v>-31.226</x:v>
      </x:c>
      <x:c r="Y633" s="64" t="n">
        <x:f>-ROUND(Q633*'Drivers'!K633,3)</x:f>
        <x:v>-21.357</x:v>
      </x:c>
      <x:c r="Z633" s="64" t="n">
        <x:f>-ROUND(Q633*'Drivers'!L633,3)</x:f>
        <x:v>-19.375</x:v>
      </x:c>
      <x:c r="AA633" s="64" t="n">
        <x:f>-ROUND(Q633*'Drivers'!M633,3)</x:f>
        <x:v>-17.48</x:v>
      </x:c>
      <x:c r="AB633" s="64" t="n">
        <x:f>-ROUND(Q633*'Drivers'!N633,3)</x:f>
        <x:v>-11.143</x:v>
      </x:c>
      <x:c r="AC633" s="64" t="n">
        <x:f>SUM(V633:AB633)</x:f>
        <x:v>-137.495</x:v>
      </x:c>
      <x:c r="AD633" s="65" t="n">
        <x:f>AC633/Q633</x:f>
        <x:v>-0.06625961702958179</x:v>
      </x:c>
      <x:c r="AE633" s="64" t="n">
        <x:f>-ROUND(Q633*'Drivers'!O633,3)</x:f>
        <x:v>-29.089</x:v>
      </x:c>
      <x:c r="AF633" s="65" t="n">
        <x:f>AE633/Q633</x:f>
        <x:v>-0.014018153385748605</x:v>
      </x:c>
      <x:c r="AG633" s="64" t="n">
        <x:f>-ROUND(Q633*'Drivers'!P633,3)</x:f>
        <x:v>-5.372</x:v>
      </x:c>
      <x:c r="AH633" s="64" t="n">
        <x:f>-ROUND(Q633*'Drivers'!Q633,3)</x:f>
        <x:v>-3.211</x:v>
      </x:c>
      <x:c r="AI633" s="64" t="n">
        <x:f>SUM(R633,T633,AC633,AE633,AG633,AH633)</x:f>
        <x:v>-577.61</x:v>
      </x:c>
      <x:c r="AJ633" s="65" t="n">
        <x:f>AI633/Q633</x:f>
        <x:v>-0.2783535211640913</x:v>
      </x:c>
      <x:c r="AK633" s="64" t="n">
        <x:f>Q633+AI633</x:f>
        <x:v>1497.4849999999997</x:v>
      </x:c>
      <x:c r="AL633" s="65" t="n">
        <x:f>AK633/Q633</x:f>
        <x:v>0.7216464788359086</x:v>
      </x:c>
      <x:c r="AM633" s="64" t="n">
        <x:f>AK633/L633</x:f>
        <x:v>299.49699999999996</x:v>
      </x:c>
      <x:c r="AN633" s="66" t="str">
        <x:f>IF(AM633&lt;=200,"≤200K",IF(AM633&lt;=350,"200–350K",IF(AM633&lt;=500,"350–500K",IF(AM633&lt;=700,"500–700K","&gt;700K"))))</x:f>
        <x:v>200–350K</x:v>
      </x:c>
      <x:c r="AO633" s="64" t="n">
        <x:f>-ROUND(Q633*'Drivers'!R633,3)</x:f>
        <x:v>-791.121</x:v>
      </x:c>
      <x:c r="AP633" s="64" t="n">
        <x:f>-ROUND(AK633*'Drivers'!S633,3)</x:f>
        <x:v>-17.672</x:v>
      </x:c>
      <x:c r="AQ633" s="64" t="n">
        <x:f>-ROUND(AK633*'Drivers'!T633,3)</x:f>
        <x:v>-7.627</x:v>
      </x:c>
      <x:c r="AR633" s="64" t="n">
        <x:f>-ROUND(AK633*'Drivers'!U633,3)</x:f>
        <x:v>-15.649</x:v>
      </x:c>
      <x:c r="AS633" s="64" t="n">
        <x:f>-ROUND(AK633*'Drivers'!V633,3)</x:f>
        <x:v>-49.886</x:v>
      </x:c>
      <x:c r="AT633" s="64" t="n">
        <x:f>SUM(AO633:AS633)</x:f>
        <x:v>-881.9549999999999</x:v>
      </x:c>
      <x:c r="AU633" s="65" t="n">
        <x:f>AT633/AK633</x:f>
        <x:v>-0.588957485383827</x:v>
      </x:c>
      <x:c r="AV633" s="64" t="n">
        <x:f>AK633+AT633</x:f>
        <x:v>615.5299999999997</x:v>
      </x:c>
      <x:c r="AW633" s="65" t="n">
        <x:f>AV633/AK633</x:f>
        <x:v>0.411042514616173</x:v>
      </x:c>
      <x:c r="AX633" s="64" t="n">
        <x:f>-ROUND(AK633*'Drivers'!W633,3)</x:f>
        <x:v>-22.738</x:v>
      </x:c>
      <x:c r="AY633" s="64" t="n">
        <x:f>-ROUND(AK633*'Drivers'!X633,3)</x:f>
        <x:v>-30.667</x:v>
      </x:c>
      <x:c r="AZ633" s="64" t="n">
        <x:f>-ROUND(AK633*'Drivers'!Y633,3)</x:f>
        <x:v>-33.358</x:v>
      </x:c>
      <x:c r="BA633" s="64" t="n">
        <x:f>-ROUND(AK633*'Drivers'!Z633,3)</x:f>
        <x:v>-6.568</x:v>
      </x:c>
      <x:c r="BB633" s="64" t="n">
        <x:f>-ROUND(AK633*'Drivers'!AA633,3)</x:f>
        <x:v>-10.917</x:v>
      </x:c>
      <x:c r="BC633" s="64" t="n">
        <x:f>SUM(BA633,BB633)</x:f>
        <x:v>-17.485</x:v>
      </x:c>
      <x:c r="BD633" s="64" t="n">
        <x:f>-ROUND(AK633*'Drivers'!AB633,3)</x:f>
        <x:v>-8.611</x:v>
      </x:c>
      <x:c r="BE633" s="64" t="n">
        <x:f>SUM(AX633:BB633,BD633)</x:f>
        <x:v>-112.85900000000001</x:v>
      </x:c>
      <x:c r="BF633" s="67" t="n">
        <x:f>'Drivers'!AF633</x:f>
        <x:v>8</x:v>
      </x:c>
      <x:c r="BG633" s="64" t="n">
        <x:f>BJ633</x:f>
        <x:v>-33.695</x:v>
      </x:c>
      <x:c r="BH633" s="64" t="n">
        <x:f>BE633/BF633</x:f>
        <x:v>-14.107375000000001</x:v>
      </x:c>
      <x:c r="BI633" s="68" t="n">
        <x:f>BF633/L633</x:f>
        <x:v>1.6</x:v>
      </x:c>
      <x:c r="BJ633" s="64" t="n">
        <x:f>-ROUND(AK633*'Drivers'!AC633,3)</x:f>
        <x:v>-33.695</x:v>
      </x:c>
      <x:c r="BK633" s="64" t="n">
        <x:f>-ROUND(AK633*'Drivers'!AD633,3)</x:f>
        <x:v>-130.699</x:v>
      </x:c>
      <x:c r="BL633" s="64" t="n">
        <x:f>SUM(AV633,BE633,BJ633,BK633)</x:f>
        <x:v>338.2769999999997</x:v>
      </x:c>
      <x:c r="BM633" s="65" t="n">
        <x:f>BL633/AK633</x:f>
        <x:v>0.22589675355679675</x:v>
      </x:c>
      <x:c r="BN633" s="64" t="n">
        <x:f>-ROUND(AK633*'Drivers'!AE633,3)</x:f>
        <x:v>-126.375</x:v>
      </x:c>
      <x:c r="BO633" s="64" t="n">
        <x:f>BL633+BN633</x:f>
        <x:v>211.9019999999997</x:v>
      </x:c>
      <x:c r="BP633" s="65" t="n">
        <x:f>BO633/AK633</x:f>
        <x:v>0.14150525714781767</x:v>
      </x:c>
    </x:row>
    <x:row r="634">
      <x:c r="A634" s="61" t="n">
        <x:v>2025</x:v>
      </x:c>
      <x:c r="B634" s="18" t="str">
        <x:v>S1</x:v>
      </x:c>
      <x:c r="C634" s="18" t="str">
        <x:v>2025 S1</x:v>
      </x:c>
      <x:c r="D634" s="18" t="str">
        <x:v>CNCT0159</x:v>
      </x:c>
      <x:c r="E634" s="18" t="str">
        <x:v>天津大悦城</x:v>
      </x:c>
      <x:c r="F634" s="18" t="str">
        <x:v>天津</x:v>
      </x:c>
      <x:c r="G634" s="18" t="str">
        <x:v>天津市</x:v>
      </x:c>
      <x:c r="H634" s="18" t="str">
        <x:v>北区</x:v>
      </x:c>
      <x:c r="I634" s="18" t="str">
        <x:v>Shopping Mall</x:v>
      </x:c>
      <x:c r="J634" s="18" t="str">
        <x:v>Regional Mall</x:v>
      </x:c>
      <x:c r="K634" s="18" t="str">
        <x:v>正常</x:v>
      </x:c>
      <x:c r="L634" s="62" t="n">
        <x:v>4</x:v>
      </x:c>
      <x:c r="M634" s="62" t="n">
        <x:v>40</x:v>
      </x:c>
      <x:c r="N634" s="63" t="n">
        <x:f>'Drivers'!C634</x:f>
        <x:v>1162</x:v>
      </x:c>
      <x:c r="O634" s="63" t="n">
        <x:f>'Drivers'!D634</x:f>
        <x:v>997.933</x:v>
      </x:c>
      <x:c r="P634" s="64" t="n">
        <x:f>ROUND(N634*O634/1000,3)</x:f>
        <x:v>1159.598</x:v>
      </x:c>
      <x:c r="Q634" s="64" t="n">
        <x:f>ROUND(P634*'Drivers'!E634,3)</x:f>
        <x:v>1139.848</x:v>
      </x:c>
      <x:c r="R634" s="64" t="n">
        <x:f>-ROUND(Q634*'Drivers'!F634,3)</x:f>
        <x:v>-224.345</x:v>
      </x:c>
      <x:c r="S634" s="65" t="n">
        <x:f>R634/Q634</x:f>
        <x:v>-0.1968201023294334</x:v>
      </x:c>
      <x:c r="T634" s="64" t="n">
        <x:f>-ROUND(Q634*'Drivers'!G634,3)</x:f>
        <x:v>-19.674</x:v>
      </x:c>
      <x:c r="U634" s="65" t="n">
        <x:f>T634/Q634</x:f>
        <x:v>-0.017260196096321616</x:v>
      </x:c>
      <x:c r="V634" s="64" t="n">
        <x:f>-ROUND(Q634*'Drivers'!H634,3)</x:f>
        <x:v>-9.914</x:v>
      </x:c>
      <x:c r="W634" s="64" t="n">
        <x:f>-ROUND(Q634*'Drivers'!I634,3)</x:f>
        <x:v>-10.07</x:v>
      </x:c>
      <x:c r="X634" s="64" t="n">
        <x:f>-ROUND(Q634*'Drivers'!J634,3)</x:f>
        <x:v>-13.977</x:v>
      </x:c>
      <x:c r="Y634" s="64" t="n">
        <x:f>-ROUND(Q634*'Drivers'!K634,3)</x:f>
        <x:v>-12.588</x:v>
      </x:c>
      <x:c r="Z634" s="64" t="n">
        <x:f>-ROUND(Q634*'Drivers'!L634,3)</x:f>
        <x:v>-10.41</x:v>
      </x:c>
      <x:c r="AA634" s="64" t="n">
        <x:f>-ROUND(Q634*'Drivers'!M634,3)</x:f>
        <x:v>-10.917</x:v>
      </x:c>
      <x:c r="AB634" s="64" t="n">
        <x:f>-ROUND(Q634*'Drivers'!N634,3)</x:f>
        <x:v>-6.512</x:v>
      </x:c>
      <x:c r="AC634" s="64" t="n">
        <x:f>SUM(V634:AB634)</x:f>
        <x:v>-74.388</x:v>
      </x:c>
      <x:c r="AD634" s="65" t="n">
        <x:f>AC634/Q634</x:f>
        <x:v>-0.06526133309002605</x:v>
      </x:c>
      <x:c r="AE634" s="64" t="n">
        <x:f>-ROUND(Q634*'Drivers'!O634,3)</x:f>
        <x:v>-11.362</x:v>
      </x:c>
      <x:c r="AF634" s="65" t="n">
        <x:f>AE634/Q634</x:f>
        <x:v>-0.009967995732764369</x:v>
      </x:c>
      <x:c r="AG634" s="64" t="n">
        <x:f>-ROUND(Q634*'Drivers'!P634,3)</x:f>
        <x:v>-0.524</x:v>
      </x:c>
      <x:c r="AH634" s="64" t="n">
        <x:f>-ROUND(Q634*'Drivers'!Q634,3)</x:f>
        <x:v>-2.025</x:v>
      </x:c>
      <x:c r="AI634" s="64" t="n">
        <x:f>SUM(R634,T634,AC634,AE634,AG634,AH634)</x:f>
        <x:v>-332.31800000000004</x:v>
      </x:c>
      <x:c r="AJ634" s="65" t="n">
        <x:f>AI634/Q634</x:f>
        <x:v>-0.29154589032923695</x:v>
      </x:c>
      <x:c r="AK634" s="64" t="n">
        <x:f>Q634+AI634</x:f>
        <x:v>807.53</x:v>
      </x:c>
      <x:c r="AL634" s="65" t="n">
        <x:f>AK634/Q634</x:f>
        <x:v>0.7084541096707632</x:v>
      </x:c>
      <x:c r="AM634" s="64" t="n">
        <x:f>AK634/L634</x:f>
        <x:v>201.8825</x:v>
      </x:c>
      <x:c r="AN634" s="66" t="str">
        <x:f>IF(AM634&lt;=200,"≤200K",IF(AM634&lt;=350,"200–350K",IF(AM634&lt;=500,"350–500K",IF(AM634&lt;=700,"500–700K","&gt;700K"))))</x:f>
        <x:v>200–350K</x:v>
      </x:c>
      <x:c r="AO634" s="64" t="n">
        <x:f>-ROUND(Q634*'Drivers'!R634,3)</x:f>
        <x:v>-408.507</x:v>
      </x:c>
      <x:c r="AP634" s="64" t="n">
        <x:f>-ROUND(AK634*'Drivers'!S634,3)</x:f>
        <x:v>-10.612</x:v>
      </x:c>
      <x:c r="AQ634" s="64" t="n">
        <x:f>-ROUND(AK634*'Drivers'!T634,3)</x:f>
        <x:v>-3.779</x:v>
      </x:c>
      <x:c r="AR634" s="64" t="n">
        <x:f>-ROUND(AK634*'Drivers'!U634,3)</x:f>
        <x:v>-5.108</x:v>
      </x:c>
      <x:c r="AS634" s="64" t="n">
        <x:f>-ROUND(AK634*'Drivers'!V634,3)</x:f>
        <x:v>-29.892</x:v>
      </x:c>
      <x:c r="AT634" s="64" t="n">
        <x:f>SUM(AO634:AS634)</x:f>
        <x:v>-457.898</x:v>
      </x:c>
      <x:c r="AU634" s="65" t="n">
        <x:f>AT634/AK634</x:f>
        <x:v>-0.5670352804230184</x:v>
      </x:c>
      <x:c r="AV634" s="64" t="n">
        <x:f>AK634+AT634</x:f>
        <x:v>349.63199999999995</x:v>
      </x:c>
      <x:c r="AW634" s="65" t="n">
        <x:f>AV634/AK634</x:f>
        <x:v>0.4329647195769816</x:v>
      </x:c>
      <x:c r="AX634" s="64" t="n">
        <x:f>-ROUND(AK634*'Drivers'!W634,3)</x:f>
        <x:v>-9.702</x:v>
      </x:c>
      <x:c r="AY634" s="64" t="n">
        <x:f>-ROUND(AK634*'Drivers'!X634,3)</x:f>
        <x:v>-21.554</x:v>
      </x:c>
      <x:c r="AZ634" s="64" t="n">
        <x:f>-ROUND(AK634*'Drivers'!Y634,3)</x:f>
        <x:v>-15.691</x:v>
      </x:c>
      <x:c r="BA634" s="64" t="n">
        <x:f>-ROUND(AK634*'Drivers'!Z634,3)</x:f>
        <x:v>-3.787</x:v>
      </x:c>
      <x:c r="BB634" s="64" t="n">
        <x:f>-ROUND(AK634*'Drivers'!AA634,3)</x:f>
        <x:v>-5.831</x:v>
      </x:c>
      <x:c r="BC634" s="64" t="n">
        <x:f>SUM(BA634,BB634)</x:f>
        <x:v>-9.618</x:v>
      </x:c>
      <x:c r="BD634" s="64" t="n">
        <x:f>-ROUND(AK634*'Drivers'!AB634,3)</x:f>
        <x:v>-3.953</x:v>
      </x:c>
      <x:c r="BE634" s="64" t="n">
        <x:f>SUM(AX634:BB634,BD634)</x:f>
        <x:v>-60.51800000000001</x:v>
      </x:c>
      <x:c r="BF634" s="67" t="n">
        <x:f>'Drivers'!AF634</x:f>
        <x:v>7</x:v>
      </x:c>
      <x:c r="BG634" s="64" t="n">
        <x:f>BJ634</x:f>
        <x:v>-16.43</x:v>
      </x:c>
      <x:c r="BH634" s="64" t="n">
        <x:f>BE634/BF634</x:f>
        <x:v>-8.645428571428573</x:v>
      </x:c>
      <x:c r="BI634" s="68" t="n">
        <x:f>BF634/L634</x:f>
        <x:v>1.75</x:v>
      </x:c>
      <x:c r="BJ634" s="64" t="n">
        <x:f>-ROUND(AK634*'Drivers'!AC634,3)</x:f>
        <x:v>-16.43</x:v>
      </x:c>
      <x:c r="BK634" s="64" t="n">
        <x:f>-ROUND(AK634*'Drivers'!AD634,3)</x:f>
        <x:v>-87.253</x:v>
      </x:c>
      <x:c r="BL634" s="64" t="n">
        <x:f>SUM(AV634,BE634,BJ634,BK634)</x:f>
        <x:v>185.43099999999993</x:v>
      </x:c>
      <x:c r="BM634" s="65" t="n">
        <x:f>BL634/AK634</x:f>
        <x:v>0.2296273822644359</x:v>
      </x:c>
      <x:c r="BN634" s="64" t="n">
        <x:f>-ROUND(AK634*'Drivers'!AE634,3)</x:f>
        <x:v>-67.079</x:v>
      </x:c>
      <x:c r="BO634" s="64" t="n">
        <x:f>BL634+BN634</x:f>
        <x:v>118.35199999999993</x:v>
      </x:c>
      <x:c r="BP634" s="65" t="n">
        <x:f>BO634/AK634</x:f>
        <x:v>0.14656049930033552</x:v>
      </x:c>
    </x:row>
    <x:row r="635">
      <x:c r="A635" s="61" t="n">
        <x:v>2025</x:v>
      </x:c>
      <x:c r="B635" s="18" t="str">
        <x:v>S2</x:v>
      </x:c>
      <x:c r="C635" s="18" t="str">
        <x:v>2025 S2</x:v>
      </x:c>
      <x:c r="D635" s="18" t="str">
        <x:v>CNCT0159</x:v>
      </x:c>
      <x:c r="E635" s="18" t="str">
        <x:v>天津大悦城</x:v>
      </x:c>
      <x:c r="F635" s="18" t="str">
        <x:v>天津</x:v>
      </x:c>
      <x:c r="G635" s="18" t="str">
        <x:v>天津市</x:v>
      </x:c>
      <x:c r="H635" s="18" t="str">
        <x:v>北区</x:v>
      </x:c>
      <x:c r="I635" s="18" t="str">
        <x:v>Shopping Mall</x:v>
      </x:c>
      <x:c r="J635" s="18" t="str">
        <x:v>Regional Mall</x:v>
      </x:c>
      <x:c r="K635" s="18" t="str">
        <x:v>正常</x:v>
      </x:c>
      <x:c r="L635" s="62" t="n">
        <x:v>4</x:v>
      </x:c>
      <x:c r="M635" s="62" t="n">
        <x:v>40</x:v>
      </x:c>
      <x:c r="N635" s="63" t="n">
        <x:f>'Drivers'!C635</x:f>
        <x:v>1255</x:v>
      </x:c>
      <x:c r="O635" s="63" t="n">
        <x:f>'Drivers'!D635</x:f>
        <x:v>1009.908</x:v>
      </x:c>
      <x:c r="P635" s="64" t="n">
        <x:f>ROUND(N635*O635/1000,3)</x:f>
        <x:v>1267.435</x:v>
      </x:c>
      <x:c r="Q635" s="64" t="n">
        <x:f>ROUND(P635*'Drivers'!E635,3)</x:f>
        <x:v>1239.678</x:v>
      </x:c>
      <x:c r="R635" s="64" t="n">
        <x:f>-ROUND(Q635*'Drivers'!F635,3)</x:f>
        <x:v>-243.994</x:v>
      </x:c>
      <x:c r="S635" s="65" t="n">
        <x:f>R635/Q635</x:f>
        <x:v>-0.19682046466905115</x:v>
      </x:c>
      <x:c r="T635" s="64" t="n">
        <x:f>-ROUND(Q635*'Drivers'!G635,3)</x:f>
        <x:v>-21.397</x:v>
      </x:c>
      <x:c r="U635" s="65" t="n">
        <x:f>T635/Q635</x:f>
        <x:v>-0.017260127226586257</x:v>
      </x:c>
      <x:c r="V635" s="64" t="n">
        <x:f>-ROUND(Q635*'Drivers'!H635,3)</x:f>
        <x:v>-10.782</x:v>
      </x:c>
      <x:c r="W635" s="64" t="n">
        <x:f>-ROUND(Q635*'Drivers'!I635,3)</x:f>
        <x:v>-10.952</x:v>
      </x:c>
      <x:c r="X635" s="64" t="n">
        <x:f>-ROUND(Q635*'Drivers'!J635,3)</x:f>
        <x:v>-15.202</x:v>
      </x:c>
      <x:c r="Y635" s="64" t="n">
        <x:f>-ROUND(Q635*'Drivers'!K635,3)</x:f>
        <x:v>-13.691</x:v>
      </x:c>
      <x:c r="Z635" s="64" t="n">
        <x:f>-ROUND(Q635*'Drivers'!L635,3)</x:f>
        <x:v>-11.321</x:v>
      </x:c>
      <x:c r="AA635" s="64" t="n">
        <x:f>-ROUND(Q635*'Drivers'!M635,3)</x:f>
        <x:v>-11.873</x:v>
      </x:c>
      <x:c r="AB635" s="64" t="n">
        <x:f>-ROUND(Q635*'Drivers'!N635,3)</x:f>
        <x:v>-7.082</x:v>
      </x:c>
      <x:c r="AC635" s="64" t="n">
        <x:f>SUM(V635:AB635)</x:f>
        <x:v>-80.90299999999999</x:v>
      </x:c>
      <x:c r="AD635" s="65" t="n">
        <x:f>AC635/Q635</x:f>
        <x:v>-0.06526130172512538</x:v>
      </x:c>
      <x:c r="AE635" s="64" t="n">
        <x:f>-ROUND(Q635*'Drivers'!O635,3)</x:f>
        <x:v>-12.357</x:v>
      </x:c>
      <x:c r="AF635" s="65" t="n">
        <x:f>AE635/Q635</x:f>
        <x:v>-0.009967911022055726</x:v>
      </x:c>
      <x:c r="AG635" s="64" t="n">
        <x:f>-ROUND(Q635*'Drivers'!P635,3)</x:f>
        <x:v>-0.57</x:v>
      </x:c>
      <x:c r="AH635" s="64" t="n">
        <x:f>-ROUND(Q635*'Drivers'!Q635,3)</x:f>
        <x:v>-2.203</x:v>
      </x:c>
      <x:c r="AI635" s="64" t="n">
        <x:f>SUM(R635,T635,AC635,AE635,AG635,AH635)</x:f>
        <x:v>-361.4239999999999</x:v>
      </x:c>
      <x:c r="AJ635" s="65" t="n">
        <x:f>AI635/Q635</x:f>
        <x:v>-0.2915466758303365</x:v>
      </x:c>
      <x:c r="AK635" s="64" t="n">
        <x:f>Q635+AI635</x:f>
        <x:v>878.2540000000001</x:v>
      </x:c>
      <x:c r="AL635" s="65" t="n">
        <x:f>AK635/Q635</x:f>
        <x:v>0.7084533241696634</x:v>
      </x:c>
      <x:c r="AM635" s="64" t="n">
        <x:f>AK635/L635</x:f>
        <x:v>219.56350000000003</x:v>
      </x:c>
      <x:c r="AN635" s="66" t="str">
        <x:f>IF(AM635&lt;=200,"≤200K",IF(AM635&lt;=350,"200–350K",IF(AM635&lt;=500,"350–500K",IF(AM635&lt;=700,"500–700K","&gt;700K"))))</x:f>
        <x:v>200–350K</x:v>
      </x:c>
      <x:c r="AO635" s="64" t="n">
        <x:f>-ROUND(Q635*'Drivers'!R635,3)</x:f>
        <x:v>-441.281</x:v>
      </x:c>
      <x:c r="AP635" s="64" t="n">
        <x:f>-ROUND(AK635*'Drivers'!S635,3)</x:f>
        <x:v>-11.542</x:v>
      </x:c>
      <x:c r="AQ635" s="64" t="n">
        <x:f>-ROUND(AK635*'Drivers'!T635,3)</x:f>
        <x:v>-4.11</x:v>
      </x:c>
      <x:c r="AR635" s="64" t="n">
        <x:f>-ROUND(AK635*'Drivers'!U635,3)</x:f>
        <x:v>-5.555</x:v>
      </x:c>
      <x:c r="AS635" s="64" t="n">
        <x:f>-ROUND(AK635*'Drivers'!V635,3)</x:f>
        <x:v>-32.51</x:v>
      </x:c>
      <x:c r="AT635" s="64" t="n">
        <x:f>SUM(AO635:AS635)</x:f>
        <x:v>-494.998</x:v>
      </x:c>
      <x:c r="AU635" s="65" t="n">
        <x:f>AT635/AK635</x:f>
        <x:v>-0.5636159926399423</x:v>
      </x:c>
      <x:c r="AV635" s="64" t="n">
        <x:f>AK635+AT635</x:f>
        <x:v>383.25600000000014</x:v>
      </x:c>
      <x:c r="AW635" s="65" t="n">
        <x:f>AV635/AK635</x:f>
        <x:v>0.43638400736005767</x:v>
      </x:c>
      <x:c r="AX635" s="64" t="n">
        <x:f>-ROUND(AK635*'Drivers'!W635,3)</x:f>
        <x:v>-10.551</x:v>
      </x:c>
      <x:c r="AY635" s="64" t="n">
        <x:f>-ROUND(AK635*'Drivers'!X635,3)</x:f>
        <x:v>-23.441</x:v>
      </x:c>
      <x:c r="AZ635" s="64" t="n">
        <x:f>-ROUND(AK635*'Drivers'!Y635,3)</x:f>
        <x:v>-17.065</x:v>
      </x:c>
      <x:c r="BA635" s="64" t="n">
        <x:f>-ROUND(AK635*'Drivers'!Z635,3)</x:f>
        <x:v>-4.118</x:v>
      </x:c>
      <x:c r="BB635" s="64" t="n">
        <x:f>-ROUND(AK635*'Drivers'!AA635,3)</x:f>
        <x:v>-6.342</x:v>
      </x:c>
      <x:c r="BC635" s="64" t="n">
        <x:f>SUM(BA635,BB635)</x:f>
        <x:v>-10.46</x:v>
      </x:c>
      <x:c r="BD635" s="64" t="n">
        <x:f>-ROUND(AK635*'Drivers'!AB635,3)</x:f>
        <x:v>-4.299</x:v>
      </x:c>
      <x:c r="BE635" s="64" t="n">
        <x:f>SUM(AX635:BB635,BD635)</x:f>
        <x:v>-65.816</x:v>
      </x:c>
      <x:c r="BF635" s="67" t="n">
        <x:f>'Drivers'!AF635</x:f>
        <x:v>7</x:v>
      </x:c>
      <x:c r="BG635" s="64" t="n">
        <x:f>BJ635</x:f>
        <x:v>-17.869</x:v>
      </x:c>
      <x:c r="BH635" s="64" t="n">
        <x:f>BE635/BF635</x:f>
        <x:v>-9.402285714285714</x:v>
      </x:c>
      <x:c r="BI635" s="68" t="n">
        <x:f>BF635/L635</x:f>
        <x:v>1.75</x:v>
      </x:c>
      <x:c r="BJ635" s="64" t="n">
        <x:f>-ROUND(AK635*'Drivers'!AC635,3)</x:f>
        <x:v>-17.869</x:v>
      </x:c>
      <x:c r="BK635" s="64" t="n">
        <x:f>-ROUND(AK635*'Drivers'!AD635,3)</x:f>
        <x:v>-94.894</x:v>
      </x:c>
      <x:c r="BL635" s="64" t="n">
        <x:f>SUM(AV635,BE635,BJ635,BK635)</x:f>
        <x:v>204.67700000000013</x:v>
      </x:c>
      <x:c r="BM635" s="65" t="n">
        <x:f>BL635/AK635</x:f>
        <x:v>0.23304989217242403</x:v>
      </x:c>
      <x:c r="BN635" s="64" t="n">
        <x:f>-ROUND(AK635*'Drivers'!AE635,3)</x:f>
        <x:v>-72.953</x:v>
      </x:c>
      <x:c r="BO635" s="64" t="n">
        <x:f>BL635+BN635</x:f>
        <x:v>131.72400000000013</x:v>
      </x:c>
      <x:c r="BP635" s="65" t="n">
        <x:f>BO635/AK635</x:f>
        <x:v>0.14998394541897914</x:v>
      </x:c>
    </x:row>
    <x:row r="636">
      <x:c r="A636" s="61" t="n">
        <x:v>2026</x:v>
      </x:c>
      <x:c r="B636" s="18" t="str">
        <x:v>S1</x:v>
      </x:c>
      <x:c r="C636" s="18" t="str">
        <x:v>2026 S1</x:v>
      </x:c>
      <x:c r="D636" s="18" t="str">
        <x:v>CNCT0159</x:v>
      </x:c>
      <x:c r="E636" s="18" t="str">
        <x:v>天津大悦城</x:v>
      </x:c>
      <x:c r="F636" s="18" t="str">
        <x:v>天津</x:v>
      </x:c>
      <x:c r="G636" s="18" t="str">
        <x:v>天津市</x:v>
      </x:c>
      <x:c r="H636" s="18" t="str">
        <x:v>北区</x:v>
      </x:c>
      <x:c r="I636" s="18" t="str">
        <x:v>Shopping Mall</x:v>
      </x:c>
      <x:c r="J636" s="18" t="str">
        <x:v>Regional Mall</x:v>
      </x:c>
      <x:c r="K636" s="18" t="str">
        <x:v>正常</x:v>
      </x:c>
      <x:c r="L636" s="62" t="n">
        <x:v>4</x:v>
      </x:c>
      <x:c r="M636" s="62" t="n">
        <x:v>40</x:v>
      </x:c>
      <x:c r="N636" s="63" t="n">
        <x:f>'Drivers'!C636</x:f>
        <x:v>1172</x:v>
      </x:c>
      <x:c r="O636" s="63" t="n">
        <x:f>'Drivers'!D636</x:f>
        <x:v>1047.599</x:v>
      </x:c>
      <x:c r="P636" s="64" t="n">
        <x:f>ROUND(N636*O636/1000,3)</x:f>
        <x:v>1227.786</x:v>
      </x:c>
      <x:c r="Q636" s="64" t="n">
        <x:f>ROUND(P636*'Drivers'!E636,3)</x:f>
        <x:v>1211.567</x:v>
      </x:c>
      <x:c r="R636" s="64" t="n">
        <x:f>-ROUND(Q636*'Drivers'!F636,3)</x:f>
        <x:v>-231.769</x:v>
      </x:c>
      <x:c r="S636" s="65" t="n">
        <x:f>R636/Q636</x:f>
        <x:v>-0.19129689072085984</x:v>
      </x:c>
      <x:c r="T636" s="64" t="n">
        <x:f>-ROUND(Q636*'Drivers'!G636,3)</x:f>
        <x:v>-21.09</x:v>
      </x:c>
      <x:c r="U636" s="65" t="n">
        <x:f>T636/Q636</x:f>
        <x:v>-0.01740720901114012</x:v>
      </x:c>
      <x:c r="V636" s="64" t="n">
        <x:f>-ROUND(Q636*'Drivers'!H636,3)</x:f>
        <x:v>-10.538</x:v>
      </x:c>
      <x:c r="W636" s="64" t="n">
        <x:f>-ROUND(Q636*'Drivers'!I636,3)</x:f>
        <x:v>-10.704</x:v>
      </x:c>
      <x:c r="X636" s="64" t="n">
        <x:f>-ROUND(Q636*'Drivers'!J636,3)</x:f>
        <x:v>-14.857</x:v>
      </x:c>
      <x:c r="Y636" s="64" t="n">
        <x:f>-ROUND(Q636*'Drivers'!K636,3)</x:f>
        <x:v>-13.38</x:v>
      </x:c>
      <x:c r="Z636" s="64" t="n">
        <x:f>-ROUND(Q636*'Drivers'!L636,3)</x:f>
        <x:v>-11.064</x:v>
      </x:c>
      <x:c r="AA636" s="64" t="n">
        <x:f>-ROUND(Q636*'Drivers'!M636,3)</x:f>
        <x:v>-11.604</x:v>
      </x:c>
      <x:c r="AB636" s="64" t="n">
        <x:f>-ROUND(Q636*'Drivers'!N636,3)</x:f>
        <x:v>-6.922</x:v>
      </x:c>
      <x:c r="AC636" s="64" t="n">
        <x:f>SUM(V636:AB636)</x:f>
        <x:v>-79.069</x:v>
      </x:c>
      <x:c r="AD636" s="65" t="n">
        <x:f>AC636/Q636</x:f>
        <x:v>-0.06526176431018672</x:v>
      </x:c>
      <x:c r="AE636" s="64" t="n">
        <x:f>-ROUND(Q636*'Drivers'!O636,3)</x:f>
        <x:v>-13.432</x:v>
      </x:c>
      <x:c r="AF636" s="65" t="n">
        <x:f>AE636/Q636</x:f>
        <x:v>-0.01108646901079346</x:v>
      </x:c>
      <x:c r="AG636" s="64" t="n">
        <x:f>-ROUND(Q636*'Drivers'!P636,3)</x:f>
        <x:v>-0.557</x:v>
      </x:c>
      <x:c r="AH636" s="64" t="n">
        <x:f>-ROUND(Q636*'Drivers'!Q636,3)</x:f>
        <x:v>-2.153</x:v>
      </x:c>
      <x:c r="AI636" s="64" t="n">
        <x:f>SUM(R636,T636,AC636,AE636,AG636,AH636)</x:f>
        <x:v>-348.07000000000005</x:v>
      </x:c>
      <x:c r="AJ636" s="65" t="n">
        <x:f>AI636/Q636</x:f>
        <x:v>-0.2872891057613818</x:v>
      </x:c>
      <x:c r="AK636" s="64" t="n">
        <x:f>Q636+AI636</x:f>
        <x:v>863.497</x:v>
      </x:c>
      <x:c r="AL636" s="65" t="n">
        <x:f>AK636/Q636</x:f>
        <x:v>0.7127108942386182</x:v>
      </x:c>
      <x:c r="AM636" s="64" t="n">
        <x:f>AK636/L636</x:f>
        <x:v>215.87425</x:v>
      </x:c>
      <x:c r="AN636" s="66" t="str">
        <x:f>IF(AM636&lt;=200,"≤200K",IF(AM636&lt;=350,"200–350K",IF(AM636&lt;=500,"350–500K",IF(AM636&lt;=700,"500–700K","&gt;700K"))))</x:f>
        <x:v>200–350K</x:v>
      </x:c>
      <x:c r="AO636" s="64" t="n">
        <x:f>-ROUND(Q636*'Drivers'!R636,3)</x:f>
        <x:v>-439.875</x:v>
      </x:c>
      <x:c r="AP636" s="64" t="n">
        <x:f>-ROUND(AK636*'Drivers'!S636,3)</x:f>
        <x:v>-11.348</x:v>
      </x:c>
      <x:c r="AQ636" s="64" t="n">
        <x:f>-ROUND(AK636*'Drivers'!T636,3)</x:f>
        <x:v>-4.041</x:v>
      </x:c>
      <x:c r="AR636" s="64" t="n">
        <x:f>-ROUND(AK636*'Drivers'!U636,3)</x:f>
        <x:v>-5.462</x:v>
      </x:c>
      <x:c r="AS636" s="64" t="n">
        <x:f>-ROUND(AK636*'Drivers'!V636,3)</x:f>
        <x:v>-31.964</x:v>
      </x:c>
      <x:c r="AT636" s="64" t="n">
        <x:f>SUM(AO636:AS636)</x:f>
        <x:v>-492.69</x:v>
      </x:c>
      <x:c r="AU636" s="65" t="n">
        <x:f>AT636/AK636</x:f>
        <x:v>-0.5705752307188097</x:v>
      </x:c>
      <x:c r="AV636" s="64" t="n">
        <x:f>AK636+AT636</x:f>
        <x:v>370.80699999999996</x:v>
      </x:c>
      <x:c r="AW636" s="65" t="n">
        <x:f>AV636/AK636</x:f>
        <x:v>0.4294247692811903</x:v>
      </x:c>
      <x:c r="AX636" s="64" t="n">
        <x:f>-ROUND(AK636*'Drivers'!W636,3)</x:f>
        <x:v>-12.765</x:v>
      </x:c>
      <x:c r="AY636" s="64" t="n">
        <x:f>-ROUND(AK636*'Drivers'!X636,3)</x:f>
        <x:v>-28.359</x:v>
      </x:c>
      <x:c r="AZ636" s="64" t="n">
        <x:f>-ROUND(AK636*'Drivers'!Y636,3)</x:f>
        <x:v>-20.645</x:v>
      </x:c>
      <x:c r="BA636" s="64" t="n">
        <x:f>-ROUND(AK636*'Drivers'!Z636,3)</x:f>
        <x:v>-4.982</x:v>
      </x:c>
      <x:c r="BB636" s="64" t="n">
        <x:f>-ROUND(AK636*'Drivers'!AA636,3)</x:f>
        <x:v>-7.672</x:v>
      </x:c>
      <x:c r="BC636" s="64" t="n">
        <x:f>SUM(BA636,BB636)</x:f>
        <x:v>-12.654</x:v>
      </x:c>
      <x:c r="BD636" s="64" t="n">
        <x:f>-ROUND(AK636*'Drivers'!AB636,3)</x:f>
        <x:v>-5.201</x:v>
      </x:c>
      <x:c r="BE636" s="64" t="n">
        <x:f>SUM(AX636:BB636,BD636)</x:f>
        <x:v>-79.624</x:v>
      </x:c>
      <x:c r="BF636" s="67" t="n">
        <x:f>'Drivers'!AF636</x:f>
        <x:v>7</x:v>
      </x:c>
      <x:c r="BG636" s="64" t="n">
        <x:f>BJ636</x:f>
        <x:v>-21.618</x:v>
      </x:c>
      <x:c r="BH636" s="64" t="n">
        <x:f>BE636/BF636</x:f>
        <x:v>-11.374857142857142</x:v>
      </x:c>
      <x:c r="BI636" s="68" t="n">
        <x:f>BF636/L636</x:f>
        <x:v>1.75</x:v>
      </x:c>
      <x:c r="BJ636" s="64" t="n">
        <x:f>-ROUND(AK636*'Drivers'!AC636,3)</x:f>
        <x:v>-21.618</x:v>
      </x:c>
      <x:c r="BK636" s="64" t="n">
        <x:f>-ROUND(AK636*'Drivers'!AD636,3)</x:f>
        <x:v>-93.3</x:v>
      </x:c>
      <x:c r="BL636" s="64" t="n">
        <x:f>SUM(AV636,BE636,BJ636,BK636)</x:f>
        <x:v>176.265</x:v>
      </x:c>
      <x:c r="BM636" s="65" t="n">
        <x:f>BL636/AK636</x:f>
        <x:v>0.2041292558051736</x:v>
      </x:c>
      <x:c r="BN636" s="64" t="n">
        <x:f>-ROUND(AK636*'Drivers'!AE636,3)</x:f>
        <x:v>-71.728</x:v>
      </x:c>
      <x:c r="BO636" s="64" t="n">
        <x:f>BL636+BN636</x:f>
        <x:v>104.53699999999999</x:v>
      </x:c>
      <x:c r="BP636" s="65" t="n">
        <x:f>BO636/AK636</x:f>
        <x:v>0.12106237775000955</x:v>
      </x:c>
    </x:row>
    <x:row r="637">
      <x:c r="A637" s="61" t="n">
        <x:v>2026</x:v>
      </x:c>
      <x:c r="B637" s="18" t="str">
        <x:v>S2</x:v>
      </x:c>
      <x:c r="C637" s="18" t="str">
        <x:v>2026 S2</x:v>
      </x:c>
      <x:c r="D637" s="18" t="str">
        <x:v>CNCT0159</x:v>
      </x:c>
      <x:c r="E637" s="18" t="str">
        <x:v>天津大悦城</x:v>
      </x:c>
      <x:c r="F637" s="18" t="str">
        <x:v>天津</x:v>
      </x:c>
      <x:c r="G637" s="18" t="str">
        <x:v>天津市</x:v>
      </x:c>
      <x:c r="H637" s="18" t="str">
        <x:v>北区</x:v>
      </x:c>
      <x:c r="I637" s="18" t="str">
        <x:v>Shopping Mall</x:v>
      </x:c>
      <x:c r="J637" s="18" t="str">
        <x:v>Regional Mall</x:v>
      </x:c>
      <x:c r="K637" s="18" t="str">
        <x:v>正常</x:v>
      </x:c>
      <x:c r="L637" s="62" t="n">
        <x:v>4</x:v>
      </x:c>
      <x:c r="M637" s="62" t="n">
        <x:v>37</x:v>
      </x:c>
      <x:c r="N637" s="63" t="n">
        <x:f>'Drivers'!C637</x:f>
        <x:v>1335</x:v>
      </x:c>
      <x:c r="O637" s="63" t="n">
        <x:f>'Drivers'!D637</x:f>
        <x:v>1031.089</x:v>
      </x:c>
      <x:c r="P637" s="64" t="n">
        <x:f>ROUND(N637*O637/1000,3)</x:f>
        <x:v>1376.504</x:v>
      </x:c>
      <x:c r="Q637" s="64" t="n">
        <x:f>ROUND(P637*'Drivers'!E637,3)</x:f>
        <x:v>1346.358</x:v>
      </x:c>
      <x:c r="R637" s="64" t="n">
        <x:f>-ROUND(Q637*'Drivers'!F637,3)</x:f>
        <x:v>-269.981</x:v>
      </x:c>
      <x:c r="S637" s="65" t="n">
        <x:f>R637/Q637</x:f>
        <x:v>-0.2005269029485471</x:v>
      </x:c>
      <x:c r="T637" s="64" t="n">
        <x:f>-ROUND(Q637*'Drivers'!G637,3)</x:f>
        <x:v>-25.526</x:v>
      </x:c>
      <x:c r="U637" s="65" t="n">
        <x:f>T637/Q637</x:f>
        <x:v>-0.01895929611589191</x:v>
      </x:c>
      <x:c r="V637" s="64" t="n">
        <x:f>-ROUND(Q637*'Drivers'!H637,3)</x:f>
        <x:v>-11.71</x:v>
      </x:c>
      <x:c r="W637" s="64" t="n">
        <x:f>-ROUND(Q637*'Drivers'!I637,3)</x:f>
        <x:v>-11.895</x:v>
      </x:c>
      <x:c r="X637" s="64" t="n">
        <x:f>-ROUND(Q637*'Drivers'!J637,3)</x:f>
        <x:v>-16.51</x:v>
      </x:c>
      <x:c r="Y637" s="64" t="n">
        <x:f>-ROUND(Q637*'Drivers'!K637,3)</x:f>
        <x:v>-14.869</x:v>
      </x:c>
      <x:c r="Z637" s="64" t="n">
        <x:f>-ROUND(Q637*'Drivers'!L637,3)</x:f>
        <x:v>-12.295</x:v>
      </x:c>
      <x:c r="AA637" s="64" t="n">
        <x:f>-ROUND(Q637*'Drivers'!M637,3)</x:f>
        <x:v>-12.895</x:v>
      </x:c>
      <x:c r="AB637" s="64" t="n">
        <x:f>-ROUND(Q637*'Drivers'!N637,3)</x:f>
        <x:v>-7.692</x:v>
      </x:c>
      <x:c r="AC637" s="64" t="n">
        <x:f>SUM(V637:AB637)</x:f>
        <x:v>-87.86599999999999</x:v>
      </x:c>
      <x:c r="AD637" s="65" t="n">
        <x:f>AC637/Q637</x:f>
        <x:v>-0.06526198826760786</x:v>
      </x:c>
      <x:c r="AE637" s="64" t="n">
        <x:f>-ROUND(Q637*'Drivers'!O637,3)</x:f>
        <x:v>-13.421</x:v>
      </x:c>
      <x:c r="AF637" s="65" t="n">
        <x:f>AE637/Q637</x:f>
        <x:v>-0.009968373939175167</x:v>
      </x:c>
      <x:c r="AG637" s="64" t="n">
        <x:f>-ROUND(Q637*'Drivers'!P637,3)</x:f>
        <x:v>-0.619</x:v>
      </x:c>
      <x:c r="AH637" s="64" t="n">
        <x:f>-ROUND(Q637*'Drivers'!Q637,3)</x:f>
        <x:v>-2.392</x:v>
      </x:c>
      <x:c r="AI637" s="64" t="n">
        <x:f>SUM(R637,T637,AC637,AE637,AG637,AH637)</x:f>
        <x:v>-399.805</x:v>
      </x:c>
      <x:c r="AJ637" s="65" t="n">
        <x:f>AI637/Q637</x:f>
        <x:v>-0.296952964961771</x:v>
      </x:c>
      <x:c r="AK637" s="64" t="n">
        <x:f>Q637+AI637</x:f>
        <x:v>946.5529999999999</x:v>
      </x:c>
      <x:c r="AL637" s="65" t="n">
        <x:f>AK637/Q637</x:f>
        <x:v>0.703047035038229</x:v>
      </x:c>
      <x:c r="AM637" s="64" t="n">
        <x:f>AK637/L637</x:f>
        <x:v>236.63824999999997</x:v>
      </x:c>
      <x:c r="AN637" s="66" t="str">
        <x:f>IF(AM637&lt;=200,"≤200K",IF(AM637&lt;=350,"200–350K",IF(AM637&lt;=500,"350–500K",IF(AM637&lt;=700,"500–700K","&gt;700K"))))</x:f>
        <x:v>200–350K</x:v>
      </x:c>
      <x:c r="AO637" s="64" t="n">
        <x:f>-ROUND(Q637*'Drivers'!R637,3)</x:f>
        <x:v>-467.795</x:v>
      </x:c>
      <x:c r="AP637" s="64" t="n">
        <x:f>-ROUND(AK637*'Drivers'!S637,3)</x:f>
        <x:v>-12.439</x:v>
      </x:c>
      <x:c r="AQ637" s="64" t="n">
        <x:f>-ROUND(AK637*'Drivers'!T637,3)</x:f>
        <x:v>-4.43</x:v>
      </x:c>
      <x:c r="AR637" s="64" t="n">
        <x:f>-ROUND(AK637*'Drivers'!U637,3)</x:f>
        <x:v>-5.987</x:v>
      </x:c>
      <x:c r="AS637" s="64" t="n">
        <x:f>-ROUND(AK637*'Drivers'!V637,3)</x:f>
        <x:v>-35.038</x:v>
      </x:c>
      <x:c r="AT637" s="64" t="n">
        <x:f>SUM(AO637:AS637)</x:f>
        <x:v>-525.6890000000001</x:v>
      </x:c>
      <x:c r="AU637" s="65" t="n">
        <x:f>AT637/AK637</x:f>
        <x:v>-0.5553719654366952</x:v>
      </x:c>
      <x:c r="AV637" s="64" t="n">
        <x:f>AK637+AT637</x:f>
        <x:v>420.8639999999998</x:v>
      </x:c>
      <x:c r="AW637" s="65" t="n">
        <x:f>AV637/AK637</x:f>
        <x:v>0.4446280345633048</x:v>
      </x:c>
      <x:c r="AX637" s="64" t="n">
        <x:f>-ROUND(AK637*'Drivers'!W637,3)</x:f>
        <x:v>-12.054</x:v>
      </x:c>
      <x:c r="AY637" s="64" t="n">
        <x:f>-ROUND(AK637*'Drivers'!X637,3)</x:f>
        <x:v>-26.78</x:v>
      </x:c>
      <x:c r="AZ637" s="64" t="n">
        <x:f>-ROUND(AK637*'Drivers'!Y637,3)</x:f>
        <x:v>-19.495</x:v>
      </x:c>
      <x:c r="BA637" s="64" t="n">
        <x:f>-ROUND(AK637*'Drivers'!Z637,3)</x:f>
        <x:v>-4.705</x:v>
      </x:c>
      <x:c r="BB637" s="64" t="n">
        <x:f>-ROUND(AK637*'Drivers'!AA637,3)</x:f>
        <x:v>-7.245</x:v>
      </x:c>
      <x:c r="BC637" s="64" t="n">
        <x:f>SUM(BA637,BB637)</x:f>
        <x:v>-11.95</x:v>
      </x:c>
      <x:c r="BD637" s="64" t="n">
        <x:f>-ROUND(AK637*'Drivers'!AB637,3)</x:f>
        <x:v>-4.912</x:v>
      </x:c>
      <x:c r="BE637" s="64" t="n">
        <x:f>SUM(AX637:BB637,BD637)</x:f>
        <x:v>-75.19100000000002</x:v>
      </x:c>
      <x:c r="BF637" s="67" t="n">
        <x:f>'Drivers'!AF637</x:f>
        <x:v>7</x:v>
      </x:c>
      <x:c r="BG637" s="64" t="n">
        <x:f>BJ637</x:f>
        <x:v>-20.414</x:v>
      </x:c>
      <x:c r="BH637" s="64" t="n">
        <x:f>BE637/BF637</x:f>
        <x:v>-10.741571428571431</x:v>
      </x:c>
      <x:c r="BI637" s="68" t="n">
        <x:f>BF637/L637</x:f>
        <x:v>1.75</x:v>
      </x:c>
      <x:c r="BJ637" s="64" t="n">
        <x:f>-ROUND(AK637*'Drivers'!AC637,3)</x:f>
        <x:v>-20.414</x:v>
      </x:c>
      <x:c r="BK637" s="64" t="n">
        <x:f>-ROUND(AK637*'Drivers'!AD637,3)</x:f>
        <x:v>-102.274</x:v>
      </x:c>
      <x:c r="BL637" s="64" t="n">
        <x:f>SUM(AV637,BE637,BJ637,BK637)</x:f>
        <x:v>222.9849999999998</x:v>
      </x:c>
      <x:c r="BM637" s="65" t="n">
        <x:f>BL637/AK637</x:f>
        <x:v>0.2355758208996219</x:v>
      </x:c>
      <x:c r="BN637" s="64" t="n">
        <x:f>-ROUND(AK637*'Drivers'!AE637,3)</x:f>
        <x:v>-78.627</x:v>
      </x:c>
      <x:c r="BO637" s="64" t="n">
        <x:f>BL637+BN637</x:f>
        <x:v>144.35799999999978</x:v>
      </x:c>
      <x:c r="BP637" s="65" t="n">
        <x:f>BO637/AK637</x:f>
        <x:v>0.15250915690933292</x:v>
      </x:c>
    </x:row>
    <x:row r="638">
      <x:c r="A638" s="61" t="n">
        <x:v>2025</x:v>
      </x:c>
      <x:c r="B638" s="18" t="str">
        <x:v>S1</x:v>
      </x:c>
      <x:c r="C638" s="18" t="str">
        <x:v>2025 S1</x:v>
      </x:c>
      <x:c r="D638" s="18" t="str">
        <x:v>CNCT0160</x:v>
      </x:c>
      <x:c r="E638" s="18" t="str">
        <x:v>天津鲁能城</x:v>
      </x:c>
      <x:c r="F638" s="18" t="str">
        <x:v>天津</x:v>
      </x:c>
      <x:c r="G638" s="18" t="str">
        <x:v>天津市</x:v>
      </x:c>
      <x:c r="H638" s="18" t="str">
        <x:v>北区</x:v>
      </x:c>
      <x:c r="I638" s="18" t="str">
        <x:v>Shopping Mall</x:v>
      </x:c>
      <x:c r="J638" s="18" t="str">
        <x:v>Regional Mall</x:v>
      </x:c>
      <x:c r="K638" s="18" t="str">
        <x:v>正常</x:v>
      </x:c>
      <x:c r="L638" s="62" t="n">
        <x:v>5</x:v>
      </x:c>
      <x:c r="M638" s="62" t="n">
        <x:v>40</x:v>
      </x:c>
      <x:c r="N638" s="63" t="n">
        <x:f>'Drivers'!C638</x:f>
        <x:v>1599</x:v>
      </x:c>
      <x:c r="O638" s="63" t="n">
        <x:f>'Drivers'!D638</x:f>
        <x:v>940.143</x:v>
      </x:c>
      <x:c r="P638" s="64" t="n">
        <x:f>ROUND(N638*O638/1000,3)</x:f>
        <x:v>1503.289</x:v>
      </x:c>
      <x:c r="Q638" s="64" t="n">
        <x:f>ROUND(P638*'Drivers'!E638,3)</x:f>
        <x:v>1474.371</x:v>
      </x:c>
      <x:c r="R638" s="64" t="n">
        <x:f>-ROUND(Q638*'Drivers'!F638,3)</x:f>
        <x:v>-254.795</x:v>
      </x:c>
      <x:c r="S638" s="65" t="n">
        <x:f>R638/Q638</x:f>
        <x:v>-0.17281606868284846</x:v>
      </x:c>
      <x:c r="T638" s="64" t="n">
        <x:f>-ROUND(Q638*'Drivers'!G638,3)</x:f>
        <x:v>-21.643</x:v>
      </x:c>
      <x:c r="U638" s="65" t="n">
        <x:f>T638/Q638</x:f>
        <x:v>-0.014679480266500086</x:v>
      </x:c>
      <x:c r="V638" s="64" t="n">
        <x:f>-ROUND(Q638*'Drivers'!H638,3)</x:f>
        <x:v>-17.356</x:v>
      </x:c>
      <x:c r="W638" s="64" t="n">
        <x:f>-ROUND(Q638*'Drivers'!I638,3)</x:f>
        <x:v>-10.896</x:v>
      </x:c>
      <x:c r="X638" s="64" t="n">
        <x:f>-ROUND(Q638*'Drivers'!J638,3)</x:f>
        <x:v>-23.624</x:v>
      </x:c>
      <x:c r="Y638" s="64" t="n">
        <x:f>-ROUND(Q638*'Drivers'!K638,3)</x:f>
        <x:v>-20.133</x:v>
      </x:c>
      <x:c r="Z638" s="64" t="n">
        <x:f>-ROUND(Q638*'Drivers'!L638,3)</x:f>
        <x:v>-15.135</x:v>
      </x:c>
      <x:c r="AA638" s="64" t="n">
        <x:f>-ROUND(Q638*'Drivers'!M638,3)</x:f>
        <x:v>-14.746</x:v>
      </x:c>
      <x:c r="AB638" s="64" t="n">
        <x:f>-ROUND(Q638*'Drivers'!N638,3)</x:f>
        <x:v>-8.734</x:v>
      </x:c>
      <x:c r="AC638" s="64" t="n">
        <x:f>SUM(V638:AB638)</x:f>
        <x:v>-110.624</x:v>
      </x:c>
      <x:c r="AD638" s="65" t="n">
        <x:f>AC638/Q638</x:f>
        <x:v>-0.07503131844020262</x:v>
      </x:c>
      <x:c r="AE638" s="64" t="n">
        <x:f>-ROUND(Q638*'Drivers'!O638,3)</x:f>
        <x:v>-12.126</x:v>
      </x:c>
      <x:c r="AF638" s="65" t="n">
        <x:f>AE638/Q638</x:f>
        <x:v>-0.008224524220837224</x:v>
      </x:c>
      <x:c r="AG638" s="64" t="n">
        <x:f>-ROUND(Q638*'Drivers'!P638,3)</x:f>
        <x:v>-1.463</x:v>
      </x:c>
      <x:c r="AH638" s="64" t="n">
        <x:f>-ROUND(Q638*'Drivers'!Q638,3)</x:f>
        <x:v>-9.184</x:v>
      </x:c>
      <x:c r="AI638" s="64" t="n">
        <x:f>SUM(R638,T638,AC638,AE638,AG638,AH638)</x:f>
        <x:v>-409.83500000000004</x:v>
      </x:c>
      <x:c r="AJ638" s="65" t="n">
        <x:f>AI638/Q638</x:f>
        <x:v>-0.277972776187269</x:v>
      </x:c>
      <x:c r="AK638" s="64" t="n">
        <x:f>Q638+AI638</x:f>
        <x:v>1064.536</x:v>
      </x:c>
      <x:c r="AL638" s="65" t="n">
        <x:f>AK638/Q638</x:f>
        <x:v>0.722027223812731</x:v>
      </x:c>
      <x:c r="AM638" s="64" t="n">
        <x:f>AK638/L638</x:f>
        <x:v>212.90720000000002</x:v>
      </x:c>
      <x:c r="AN638" s="66" t="str">
        <x:f>IF(AM638&lt;=200,"≤200K",IF(AM638&lt;=350,"200–350K",IF(AM638&lt;=500,"350–500K",IF(AM638&lt;=700,"500–700K","&gt;700K"))))</x:f>
        <x:v>200–350K</x:v>
      </x:c>
      <x:c r="AO638" s="64" t="n">
        <x:f>-ROUND(Q638*'Drivers'!R638,3)</x:f>
        <x:v>-532.875</x:v>
      </x:c>
      <x:c r="AP638" s="64" t="n">
        <x:f>-ROUND(AK638*'Drivers'!S638,3)</x:f>
        <x:v>-16.408</x:v>
      </x:c>
      <x:c r="AQ638" s="64" t="n">
        <x:f>-ROUND(AK638*'Drivers'!T638,3)</x:f>
        <x:v>-6.777</x:v>
      </x:c>
      <x:c r="AR638" s="64" t="n">
        <x:f>-ROUND(AK638*'Drivers'!U638,3)</x:f>
        <x:v>-13.771</x:v>
      </x:c>
      <x:c r="AS638" s="64" t="n">
        <x:f>-ROUND(AK638*'Drivers'!V638,3)</x:f>
        <x:v>-37.514</x:v>
      </x:c>
      <x:c r="AT638" s="64" t="n">
        <x:f>SUM(AO638:AS638)</x:f>
        <x:v>-607.345</x:v>
      </x:c>
      <x:c r="AU638" s="65" t="n">
        <x:f>AT638/AK638</x:f>
        <x:v>-0.5705255623107156</x:v>
      </x:c>
      <x:c r="AV638" s="64" t="n">
        <x:f>AK638+AT638</x:f>
        <x:v>457.19100000000003</x:v>
      </x:c>
      <x:c r="AW638" s="65" t="n">
        <x:f>AV638/AK638</x:f>
        <x:v>0.42947443768928434</x:v>
      </x:c>
      <x:c r="AX638" s="64" t="n">
        <x:f>-ROUND(AK638*'Drivers'!W638,3)</x:f>
        <x:v>-11.364</x:v>
      </x:c>
      <x:c r="AY638" s="64" t="n">
        <x:f>-ROUND(AK638*'Drivers'!X638,3)</x:f>
        <x:v>-23.045</x:v>
      </x:c>
      <x:c r="AZ638" s="64" t="n">
        <x:f>-ROUND(AK638*'Drivers'!Y638,3)</x:f>
        <x:v>-20.343</x:v>
      </x:c>
      <x:c r="BA638" s="64" t="n">
        <x:f>-ROUND(AK638*'Drivers'!Z638,3)</x:f>
        <x:v>-5.091</x:v>
      </x:c>
      <x:c r="BB638" s="64" t="n">
        <x:f>-ROUND(AK638*'Drivers'!AA638,3)</x:f>
        <x:v>-6.007</x:v>
      </x:c>
      <x:c r="BC638" s="64" t="n">
        <x:f>SUM(BA638,BB638)</x:f>
        <x:v>-11.097999999999999</x:v>
      </x:c>
      <x:c r="BD638" s="64" t="n">
        <x:f>-ROUND(AK638*'Drivers'!AB638,3)</x:f>
        <x:v>-3.713</x:v>
      </x:c>
      <x:c r="BE638" s="64" t="n">
        <x:f>SUM(AX638:BB638,BD638)</x:f>
        <x:v>-69.563</x:v>
      </x:c>
      <x:c r="BF638" s="67" t="n">
        <x:f>'Drivers'!AF638</x:f>
        <x:v>10</x:v>
      </x:c>
      <x:c r="BG638" s="64" t="n">
        <x:f>BJ638</x:f>
        <x:v>-20.267</x:v>
      </x:c>
      <x:c r="BH638" s="64" t="n">
        <x:f>BE638/BF638</x:f>
        <x:v>-6.956300000000001</x:v>
      </x:c>
      <x:c r="BI638" s="68" t="n">
        <x:f>BF638/L638</x:f>
        <x:v>2</x:v>
      </x:c>
      <x:c r="BJ638" s="64" t="n">
        <x:f>-ROUND(AK638*'Drivers'!AC638,3)</x:f>
        <x:v>-20.267</x:v>
      </x:c>
      <x:c r="BK638" s="64" t="n">
        <x:f>-ROUND(AK638*'Drivers'!AD638,3)</x:f>
        <x:v>-121.729</x:v>
      </x:c>
      <x:c r="BL638" s="64" t="n">
        <x:f>SUM(AV638,BE638,BJ638,BK638)</x:f>
        <x:v>245.63200000000006</x:v>
      </x:c>
      <x:c r="BM638" s="65" t="n">
        <x:f>BL638/AK638</x:f>
        <x:v>0.23074090495765295</x:v>
      </x:c>
      <x:c r="BN638" s="64" t="n">
        <x:f>-ROUND(AK638*'Drivers'!AE638,3)</x:f>
        <x:v>-66.788</x:v>
      </x:c>
      <x:c r="BO638" s="64" t="n">
        <x:f>BL638+BN638</x:f>
        <x:v>178.84400000000005</x:v>
      </x:c>
      <x:c r="BP638" s="65" t="n">
        <x:f>BO638/AK638</x:f>
        <x:v>0.16800183366274135</x:v>
      </x:c>
    </x:row>
    <x:row r="639">
      <x:c r="A639" s="61" t="n">
        <x:v>2025</x:v>
      </x:c>
      <x:c r="B639" s="18" t="str">
        <x:v>S2</x:v>
      </x:c>
      <x:c r="C639" s="18" t="str">
        <x:v>2025 S2</x:v>
      </x:c>
      <x:c r="D639" s="18" t="str">
        <x:v>CNCT0160</x:v>
      </x:c>
      <x:c r="E639" s="18" t="str">
        <x:v>天津鲁能城</x:v>
      </x:c>
      <x:c r="F639" s="18" t="str">
        <x:v>天津</x:v>
      </x:c>
      <x:c r="G639" s="18" t="str">
        <x:v>天津市</x:v>
      </x:c>
      <x:c r="H639" s="18" t="str">
        <x:v>北区</x:v>
      </x:c>
      <x:c r="I639" s="18" t="str">
        <x:v>Shopping Mall</x:v>
      </x:c>
      <x:c r="J639" s="18" t="str">
        <x:v>Regional Mall</x:v>
      </x:c>
      <x:c r="K639" s="18" t="str">
        <x:v>正常</x:v>
      </x:c>
      <x:c r="L639" s="62" t="n">
        <x:v>5</x:v>
      </x:c>
      <x:c r="M639" s="62" t="n">
        <x:v>40</x:v>
      </x:c>
      <x:c r="N639" s="63" t="n">
        <x:f>'Drivers'!C639</x:f>
        <x:v>1710</x:v>
      </x:c>
      <x:c r="O639" s="63" t="n">
        <x:f>'Drivers'!D639</x:f>
        <x:v>951.425</x:v>
      </x:c>
      <x:c r="P639" s="64" t="n">
        <x:f>ROUND(N639*O639/1000,3)</x:f>
        <x:v>1626.937</x:v>
      </x:c>
      <x:c r="Q639" s="64" t="n">
        <x:f>ROUND(P639*'Drivers'!E639,3)</x:f>
        <x:v>1593.237</x:v>
      </x:c>
      <x:c r="R639" s="64" t="n">
        <x:f>-ROUND(Q639*'Drivers'!F639,3)</x:f>
        <x:v>-275.337</x:v>
      </x:c>
      <x:c r="S639" s="65" t="n">
        <x:f>R639/Q639</x:f>
        <x:v>-0.17281609704017667</x:v>
      </x:c>
      <x:c r="T639" s="64" t="n">
        <x:f>-ROUND(Q639*'Drivers'!G639,3)</x:f>
        <x:v>-23.388</x:v>
      </x:c>
      <x:c r="U639" s="65" t="n">
        <x:f>T639/Q639</x:f>
        <x:v>-0.014679548617060738</x:v>
      </x:c>
      <x:c r="V639" s="64" t="n">
        <x:f>-ROUND(Q639*'Drivers'!H639,3)</x:f>
        <x:v>-18.756</x:v>
      </x:c>
      <x:c r="W639" s="64" t="n">
        <x:f>-ROUND(Q639*'Drivers'!I639,3)</x:f>
        <x:v>-11.775</x:v>
      </x:c>
      <x:c r="X639" s="64" t="n">
        <x:f>-ROUND(Q639*'Drivers'!J639,3)</x:f>
        <x:v>-25.528</x:v>
      </x:c>
      <x:c r="Y639" s="64" t="n">
        <x:f>-ROUND(Q639*'Drivers'!K639,3)</x:f>
        <x:v>-21.756</x:v>
      </x:c>
      <x:c r="Z639" s="64" t="n">
        <x:f>-ROUND(Q639*'Drivers'!L639,3)</x:f>
        <x:v>-16.355</x:v>
      </x:c>
      <x:c r="AA639" s="64" t="n">
        <x:f>-ROUND(Q639*'Drivers'!M639,3)</x:f>
        <x:v>-15.935</x:v>
      </x:c>
      <x:c r="AB639" s="64" t="n">
        <x:f>-ROUND(Q639*'Drivers'!N639,3)</x:f>
        <x:v>-9.438</x:v>
      </x:c>
      <x:c r="AC639" s="64" t="n">
        <x:f>SUM(V639:AB639)</x:f>
        <x:v>-119.543</x:v>
      </x:c>
      <x:c r="AD639" s="65" t="n">
        <x:f>AC639/Q639</x:f>
        <x:v>-0.07503152387246843</x:v>
      </x:c>
      <x:c r="AE639" s="64" t="n">
        <x:f>-ROUND(Q639*'Drivers'!O639,3)</x:f>
        <x:v>-13.104</x:v>
      </x:c>
      <x:c r="AF639" s="65" t="n">
        <x:f>AE639/Q639</x:f>
        <x:v>-0.008224765053786724</x:v>
      </x:c>
      <x:c r="AG639" s="64" t="n">
        <x:f>-ROUND(Q639*'Drivers'!P639,3)</x:f>
        <x:v>-1.581</x:v>
      </x:c>
      <x:c r="AH639" s="64" t="n">
        <x:f>-ROUND(Q639*'Drivers'!Q639,3)</x:f>
        <x:v>-9.925</x:v>
      </x:c>
      <x:c r="AI639" s="64" t="n">
        <x:f>SUM(R639,T639,AC639,AE639,AG639,AH639)</x:f>
        <x:v>-442.878</x:v>
      </x:c>
      <x:c r="AJ639" s="65" t="n">
        <x:f>AI639/Q639</x:f>
        <x:v>-0.27797371012598876</x:v>
      </x:c>
      <x:c r="AK639" s="64" t="n">
        <x:f>Q639+AI639</x:f>
        <x:v>1150.3590000000002</x:v>
      </x:c>
      <x:c r="AL639" s="65" t="n">
        <x:f>AK639/Q639</x:f>
        <x:v>0.7220262898740113</x:v>
      </x:c>
      <x:c r="AM639" s="64" t="n">
        <x:f>AK639/L639</x:f>
        <x:v>230.07180000000002</x:v>
      </x:c>
      <x:c r="AN639" s="66" t="str">
        <x:f>IF(AM639&lt;=200,"≤200K",IF(AM639&lt;=350,"200–350K",IF(AM639&lt;=500,"350–500K",IF(AM639&lt;=700,"500–700K","&gt;700K"))))</x:f>
        <x:v>200–350K</x:v>
      </x:c>
      <x:c r="AO639" s="64" t="n">
        <x:f>-ROUND(Q639*'Drivers'!R639,3)</x:f>
        <x:v>-575.244</x:v>
      </x:c>
      <x:c r="AP639" s="64" t="n">
        <x:f>-ROUND(AK639*'Drivers'!S639,3)</x:f>
        <x:v>-17.731</x:v>
      </x:c>
      <x:c r="AQ639" s="64" t="n">
        <x:f>-ROUND(AK639*'Drivers'!T639,3)</x:f>
        <x:v>-7.324</x:v>
      </x:c>
      <x:c r="AR639" s="64" t="n">
        <x:f>-ROUND(AK639*'Drivers'!U639,3)</x:f>
        <x:v>-14.881</x:v>
      </x:c>
      <x:c r="AS639" s="64" t="n">
        <x:f>-ROUND(AK639*'Drivers'!V639,3)</x:f>
        <x:v>-40.538</x:v>
      </x:c>
      <x:c r="AT639" s="64" t="n">
        <x:f>SUM(AO639:AS639)</x:f>
        <x:v>-655.718</x:v>
      </x:c>
      <x:c r="AU639" s="65" t="n">
        <x:f>AT639/AK639</x:f>
        <x:v>-0.5700116224587279</x:v>
      </x:c>
      <x:c r="AV639" s="64" t="n">
        <x:f>AK639+AT639</x:f>
        <x:v>494.6410000000002</x:v>
      </x:c>
      <x:c r="AW639" s="65" t="n">
        <x:f>AV639/AK639</x:f>
        <x:v>0.429988377541272</x:v>
      </x:c>
      <x:c r="AX639" s="64" t="n">
        <x:f>-ROUND(AK639*'Drivers'!W639,3)</x:f>
        <x:v>-12.28</x:v>
      </x:c>
      <x:c r="AY639" s="64" t="n">
        <x:f>-ROUND(AK639*'Drivers'!X639,3)</x:f>
        <x:v>-24.903</x:v>
      </x:c>
      <x:c r="AZ639" s="64" t="n">
        <x:f>-ROUND(AK639*'Drivers'!Y639,3)</x:f>
        <x:v>-21.983</x:v>
      </x:c>
      <x:c r="BA639" s="64" t="n">
        <x:f>-ROUND(AK639*'Drivers'!Z639,3)</x:f>
        <x:v>-5.502</x:v>
      </x:c>
      <x:c r="BB639" s="64" t="n">
        <x:f>-ROUND(AK639*'Drivers'!AA639,3)</x:f>
        <x:v>-6.491</x:v>
      </x:c>
      <x:c r="BC639" s="64" t="n">
        <x:f>SUM(BA639,BB639)</x:f>
        <x:v>-11.992999999999999</x:v>
      </x:c>
      <x:c r="BD639" s="64" t="n">
        <x:f>-ROUND(AK639*'Drivers'!AB639,3)</x:f>
        <x:v>-4.012</x:v>
      </x:c>
      <x:c r="BE639" s="64" t="n">
        <x:f>SUM(AX639:BB639,BD639)</x:f>
        <x:v>-75.17099999999999</x:v>
      </x:c>
      <x:c r="BF639" s="67" t="n">
        <x:f>'Drivers'!AF639</x:f>
        <x:v>10</x:v>
      </x:c>
      <x:c r="BG639" s="64" t="n">
        <x:f>BJ639</x:f>
        <x:v>-21.901</x:v>
      </x:c>
      <x:c r="BH639" s="64" t="n">
        <x:f>BE639/BF639</x:f>
        <x:v>-7.517099999999999</x:v>
      </x:c>
      <x:c r="BI639" s="68" t="n">
        <x:f>BF639/L639</x:f>
        <x:v>2</x:v>
      </x:c>
      <x:c r="BJ639" s="64" t="n">
        <x:f>-ROUND(AK639*'Drivers'!AC639,3)</x:f>
        <x:v>-21.901</x:v>
      </x:c>
      <x:c r="BK639" s="64" t="n">
        <x:f>-ROUND(AK639*'Drivers'!AD639,3)</x:f>
        <x:v>-131.543</x:v>
      </x:c>
      <x:c r="BL639" s="64" t="n">
        <x:f>SUM(AV639,BE639,BJ639,BK639)</x:f>
        <x:v>266.0260000000002</x:v>
      </x:c>
      <x:c r="BM639" s="65" t="n">
        <x:f>BL639/AK639</x:f>
        <x:v>0.2312547648168964</x:v>
      </x:c>
      <x:c r="BN639" s="64" t="n">
        <x:f>-ROUND(AK639*'Drivers'!AE639,3)</x:f>
        <x:v>-72.173</x:v>
      </x:c>
      <x:c r="BO639" s="64" t="n">
        <x:f>BL639+BN639</x:f>
        <x:v>193.85300000000018</x:v>
      </x:c>
      <x:c r="BP639" s="65" t="n">
        <x:f>BO639/AK639</x:f>
        <x:v>0.16851522003131209</x:v>
      </x:c>
    </x:row>
    <x:row r="640">
      <x:c r="A640" s="61" t="n">
        <x:v>2026</x:v>
      </x:c>
      <x:c r="B640" s="18" t="str">
        <x:v>S1</x:v>
      </x:c>
      <x:c r="C640" s="18" t="str">
        <x:v>2026 S1</x:v>
      </x:c>
      <x:c r="D640" s="18" t="str">
        <x:v>CNCT0160</x:v>
      </x:c>
      <x:c r="E640" s="18" t="str">
        <x:v>天津鲁能城</x:v>
      </x:c>
      <x:c r="F640" s="18" t="str">
        <x:v>天津</x:v>
      </x:c>
      <x:c r="G640" s="18" t="str">
        <x:v>天津市</x:v>
      </x:c>
      <x:c r="H640" s="18" t="str">
        <x:v>北区</x:v>
      </x:c>
      <x:c r="I640" s="18" t="str">
        <x:v>Shopping Mall</x:v>
      </x:c>
      <x:c r="J640" s="18" t="str">
        <x:v>Regional Mall</x:v>
      </x:c>
      <x:c r="K640" s="18" t="str">
        <x:v>正常</x:v>
      </x:c>
      <x:c r="L640" s="62" t="n">
        <x:v>5</x:v>
      </x:c>
      <x:c r="M640" s="62" t="n">
        <x:v>40</x:v>
      </x:c>
      <x:c r="N640" s="63" t="n">
        <x:f>'Drivers'!C640</x:f>
        <x:v>1684</x:v>
      </x:c>
      <x:c r="O640" s="63" t="n">
        <x:f>'Drivers'!D640</x:f>
        <x:v>983.628</x:v>
      </x:c>
      <x:c r="P640" s="64" t="n">
        <x:f>ROUND(N640*O640/1000,3)</x:f>
        <x:v>1656.43</x:v>
      </x:c>
      <x:c r="Q640" s="64" t="n">
        <x:f>ROUND(P640*'Drivers'!E640,3)</x:f>
        <x:v>1623.366</x:v>
      </x:c>
      <x:c r="R640" s="64" t="n">
        <x:f>-ROUND(Q640*'Drivers'!F640,3)</x:f>
        <x:v>-283.645</x:v>
      </x:c>
      <x:c r="S640" s="65" t="n">
        <x:f>R640/Q640</x:f>
        <x:v>-0.17472646340997655</x:v>
      </x:c>
      <x:c r="T640" s="64" t="n">
        <x:f>-ROUND(Q640*'Drivers'!G640,3)</x:f>
        <x:v>-23.716</x:v>
      </x:c>
      <x:c r="U640" s="65" t="n">
        <x:f>T640/Q640</x:f>
        <x:v>-0.014609151602288086</x:v>
      </x:c>
      <x:c r="V640" s="64" t="n">
        <x:f>-ROUND(Q640*'Drivers'!H640,3)</x:f>
        <x:v>-19.11</x:v>
      </x:c>
      <x:c r="W640" s="64" t="n">
        <x:f>-ROUND(Q640*'Drivers'!I640,3)</x:f>
        <x:v>-11.998</x:v>
      </x:c>
      <x:c r="X640" s="64" t="n">
        <x:f>-ROUND(Q640*'Drivers'!J640,3)</x:f>
        <x:v>-26.011</x:v>
      </x:c>
      <x:c r="Y640" s="64" t="n">
        <x:f>-ROUND(Q640*'Drivers'!K640,3)</x:f>
        <x:v>-22.167</x:v>
      </x:c>
      <x:c r="Z640" s="64" t="n">
        <x:f>-ROUND(Q640*'Drivers'!L640,3)</x:f>
        <x:v>-16.664</x:v>
      </x:c>
      <x:c r="AA640" s="64" t="n">
        <x:f>-ROUND(Q640*'Drivers'!M640,3)</x:f>
        <x:v>-16.236</x:v>
      </x:c>
      <x:c r="AB640" s="64" t="n">
        <x:f>-ROUND(Q640*'Drivers'!N640,3)</x:f>
        <x:v>-9.616</x:v>
      </x:c>
      <x:c r="AC640" s="64" t="n">
        <x:f>SUM(V640:AB640)</x:f>
        <x:v>-121.802</x:v>
      </x:c>
      <x:c r="AD640" s="65" t="n">
        <x:f>AC640/Q640</x:f>
        <x:v>-0.07503052299974251</x:v>
      </x:c>
      <x:c r="AE640" s="64" t="n">
        <x:f>-ROUND(Q640*'Drivers'!O640,3)</x:f>
        <x:v>-13.348</x:v>
      </x:c>
      <x:c r="AF640" s="65" t="n">
        <x:f>AE640/Q640</x:f>
        <x:v>-0.008222421807528309</x:v>
      </x:c>
      <x:c r="AG640" s="64" t="n">
        <x:f>-ROUND(Q640*'Drivers'!P640,3)</x:f>
        <x:v>-1.611</x:v>
      </x:c>
      <x:c r="AH640" s="64" t="n">
        <x:f>-ROUND(Q640*'Drivers'!Q640,3)</x:f>
        <x:v>-10.113</x:v>
      </x:c>
      <x:c r="AI640" s="64" t="n">
        <x:f>SUM(R640,T640,AC640,AE640,AG640,AH640)</x:f>
        <x:v>-454.235</x:v>
      </x:c>
      <x:c r="AJ640" s="65" t="n">
        <x:f>AI640/Q640</x:f>
        <x:v>-0.27981059108050804</x:v>
      </x:c>
      <x:c r="AK640" s="64" t="n">
        <x:f>Q640+AI640</x:f>
        <x:v>1169.1309999999999</x:v>
      </x:c>
      <x:c r="AL640" s="65" t="n">
        <x:f>AK640/Q640</x:f>
        <x:v>0.7201894089194919</x:v>
      </x:c>
      <x:c r="AM640" s="64" t="n">
        <x:f>AK640/L640</x:f>
        <x:v>233.82619999999997</x:v>
      </x:c>
      <x:c r="AN640" s="66" t="str">
        <x:f>IF(AM640&lt;=200,"≤200K",IF(AM640&lt;=350,"200–350K",IF(AM640&lt;=500,"350–500K",IF(AM640&lt;=700,"500–700K","&gt;700K"))))</x:f>
        <x:v>200–350K</x:v>
      </x:c>
      <x:c r="AO640" s="64" t="n">
        <x:f>-ROUND(Q640*'Drivers'!R640,3)</x:f>
        <x:v>-591.672</x:v>
      </x:c>
      <x:c r="AP640" s="64" t="n">
        <x:f>-ROUND(AK640*'Drivers'!S640,3)</x:f>
        <x:v>-18.021</x:v>
      </x:c>
      <x:c r="AQ640" s="64" t="n">
        <x:f>-ROUND(AK640*'Drivers'!T640,3)</x:f>
        <x:v>-7.443</x:v>
      </x:c>
      <x:c r="AR640" s="64" t="n">
        <x:f>-ROUND(AK640*'Drivers'!U640,3)</x:f>
        <x:v>-15.124</x:v>
      </x:c>
      <x:c r="AS640" s="64" t="n">
        <x:f>-ROUND(AK640*'Drivers'!V640,3)</x:f>
        <x:v>-41.2</x:v>
      </x:c>
      <x:c r="AT640" s="64" t="n">
        <x:f>SUM(AO640:AS640)</x:f>
        <x:v>-673.46</x:v>
      </x:c>
      <x:c r="AU640" s="65" t="n">
        <x:f>AT640/AK640</x:f>
        <x:v>-0.576034678748575</x:v>
      </x:c>
      <x:c r="AV640" s="64" t="n">
        <x:f>AK640+AT640</x:f>
        <x:v>495.6709999999998</x:v>
      </x:c>
      <x:c r="AW640" s="65" t="n">
        <x:f>AV640/AK640</x:f>
        <x:v>0.4239653212514251</x:v>
      </x:c>
      <x:c r="AX640" s="64" t="n">
        <x:f>-ROUND(AK640*'Drivers'!W640,3)</x:f>
        <x:v>-15.357</x:v>
      </x:c>
      <x:c r="AY640" s="64" t="n">
        <x:f>-ROUND(AK640*'Drivers'!X640,3)</x:f>
        <x:v>-31.142</x:v>
      </x:c>
      <x:c r="AZ640" s="64" t="n">
        <x:f>-ROUND(AK640*'Drivers'!Y640,3)</x:f>
        <x:v>-27.491</x:v>
      </x:c>
      <x:c r="BA640" s="64" t="n">
        <x:f>-ROUND(AK640*'Drivers'!Z640,3)</x:f>
        <x:v>-6.88</x:v>
      </x:c>
      <x:c r="BB640" s="64" t="n">
        <x:f>-ROUND(AK640*'Drivers'!AA640,3)</x:f>
        <x:v>-8.117</x:v>
      </x:c>
      <x:c r="BC640" s="64" t="n">
        <x:f>SUM(BA640,BB640)</x:f>
        <x:v>-14.997</x:v>
      </x:c>
      <x:c r="BD640" s="64" t="n">
        <x:f>-ROUND(AK640*'Drivers'!AB640,3)</x:f>
        <x:v>-5.018</x:v>
      </x:c>
      <x:c r="BE640" s="64" t="n">
        <x:f>SUM(AX640:BB640,BD640)</x:f>
        <x:v>-94.005</x:v>
      </x:c>
      <x:c r="BF640" s="67" t="n">
        <x:f>'Drivers'!AF640</x:f>
        <x:v>10</x:v>
      </x:c>
      <x:c r="BG640" s="64" t="n">
        <x:f>BJ640</x:f>
        <x:v>-27.388</x:v>
      </x:c>
      <x:c r="BH640" s="64" t="n">
        <x:f>BE640/BF640</x:f>
        <x:v>-9.4005</x:v>
      </x:c>
      <x:c r="BI640" s="68" t="n">
        <x:f>BF640/L640</x:f>
        <x:v>2</x:v>
      </x:c>
      <x:c r="BJ640" s="64" t="n">
        <x:f>-ROUND(AK640*'Drivers'!AC640,3)</x:f>
        <x:v>-27.388</x:v>
      </x:c>
      <x:c r="BK640" s="64" t="n">
        <x:f>-ROUND(AK640*'Drivers'!AD640,3)</x:f>
        <x:v>-133.69</x:v>
      </x:c>
      <x:c r="BL640" s="64" t="n">
        <x:f>SUM(AV640,BE640,BJ640,BK640)</x:f>
        <x:v>240.58799999999985</x:v>
      </x:c>
      <x:c r="BM640" s="65" t="n">
        <x:f>BL640/AK640</x:f>
        <x:v>0.20578361193057054</x:v>
      </x:c>
      <x:c r="BN640" s="64" t="n">
        <x:f>-ROUND(AK640*'Drivers'!AE640,3)</x:f>
        <x:v>-73.351</x:v>
      </x:c>
      <x:c r="BO640" s="64" t="n">
        <x:f>BL640+BN640</x:f>
        <x:v>167.23699999999985</x:v>
      </x:c>
      <x:c r="BP640" s="65" t="n">
        <x:f>BO640/AK640</x:f>
        <x:v>0.14304385051803423</x:v>
      </x:c>
    </x:row>
    <x:row r="641">
      <x:c r="A641" s="61" t="n">
        <x:v>2026</x:v>
      </x:c>
      <x:c r="B641" s="18" t="str">
        <x:v>S2</x:v>
      </x:c>
      <x:c r="C641" s="18" t="str">
        <x:v>2026 S2</x:v>
      </x:c>
      <x:c r="D641" s="18" t="str">
        <x:v>CNCT0160</x:v>
      </x:c>
      <x:c r="E641" s="18" t="str">
        <x:v>天津鲁能城</x:v>
      </x:c>
      <x:c r="F641" s="18" t="str">
        <x:v>天津</x:v>
      </x:c>
      <x:c r="G641" s="18" t="str">
        <x:v>天津市</x:v>
      </x:c>
      <x:c r="H641" s="18" t="str">
        <x:v>北区</x:v>
      </x:c>
      <x:c r="I641" s="18" t="str">
        <x:v>Shopping Mall</x:v>
      </x:c>
      <x:c r="J641" s="18" t="str">
        <x:v>Regional Mall</x:v>
      </x:c>
      <x:c r="K641" s="18" t="str">
        <x:v>正常</x:v>
      </x:c>
      <x:c r="L641" s="62" t="n">
        <x:v>5</x:v>
      </x:c>
      <x:c r="M641" s="62" t="n">
        <x:v>37</x:v>
      </x:c>
      <x:c r="N641" s="63" t="n">
        <x:f>'Drivers'!C641</x:f>
        <x:v>1790</x:v>
      </x:c>
      <x:c r="O641" s="63" t="n">
        <x:f>'Drivers'!D641</x:f>
        <x:v>991.612</x:v>
      </x:c>
      <x:c r="P641" s="64" t="n">
        <x:f>ROUND(N641*O641/1000,3)</x:f>
        <x:v>1774.985</x:v>
      </x:c>
      <x:c r="Q641" s="64" t="n">
        <x:f>ROUND(P641*'Drivers'!E641,3)</x:f>
        <x:v>1738.218</x:v>
      </x:c>
      <x:c r="R641" s="64" t="n">
        <x:f>-ROUND(Q641*'Drivers'!F641,3)</x:f>
        <x:v>-310.25</x:v>
      </x:c>
      <x:c r="S641" s="65" t="n">
        <x:f>R641/Q641</x:f>
        <x:v>-0.17848739341095304</x:v>
      </x:c>
      <x:c r="T641" s="64" t="n">
        <x:f>-ROUND(Q641*'Drivers'!G641,3)</x:f>
        <x:v>-28.963</x:v>
      </x:c>
      <x:c r="U641" s="65" t="n">
        <x:f>T641/Q641</x:f>
        <x:v>-0.01666246696329229</x:v>
      </x:c>
      <x:c r="V641" s="64" t="n">
        <x:f>-ROUND(Q641*'Drivers'!H641,3)</x:f>
        <x:v>-20.462</x:v>
      </x:c>
      <x:c r="W641" s="64" t="n">
        <x:f>-ROUND(Q641*'Drivers'!I641,3)</x:f>
        <x:v>-12.846</x:v>
      </x:c>
      <x:c r="X641" s="64" t="n">
        <x:f>-ROUND(Q641*'Drivers'!J641,3)</x:f>
        <x:v>-27.851</x:v>
      </x:c>
      <x:c r="Y641" s="64" t="n">
        <x:f>-ROUND(Q641*'Drivers'!K641,3)</x:f>
        <x:v>-23.735</x:v>
      </x:c>
      <x:c r="Z641" s="64" t="n">
        <x:f>-ROUND(Q641*'Drivers'!L641,3)</x:f>
        <x:v>-17.843</x:v>
      </x:c>
      <x:c r="AA641" s="64" t="n">
        <x:f>-ROUND(Q641*'Drivers'!M641,3)</x:f>
        <x:v>-17.385</x:v>
      </x:c>
      <x:c r="AB641" s="64" t="n">
        <x:f>-ROUND(Q641*'Drivers'!N641,3)</x:f>
        <x:v>-10.297</x:v>
      </x:c>
      <x:c r="AC641" s="64" t="n">
        <x:f>SUM(V641:AB641)</x:f>
        <x:v>-130.419</x:v>
      </x:c>
      <x:c r="AD641" s="65" t="n">
        <x:f>AC641/Q641</x:f>
        <x:v>-0.0750302896414604</x:v>
      </x:c>
      <x:c r="AE641" s="64" t="n">
        <x:f>-ROUND(Q641*'Drivers'!O641,3)</x:f>
        <x:v>-14.296</x:v>
      </x:c>
      <x:c r="AF641" s="65" t="n">
        <x:f>AE641/Q641</x:f>
        <x:v>-0.008224514991790442</x:v>
      </x:c>
      <x:c r="AG641" s="64" t="n">
        <x:f>-ROUND(Q641*'Drivers'!P641,3)</x:f>
        <x:v>-1.724</x:v>
      </x:c>
      <x:c r="AH641" s="64" t="n">
        <x:f>-ROUND(Q641*'Drivers'!Q641,3)</x:f>
        <x:v>-10.828</x:v>
      </x:c>
      <x:c r="AI641" s="64" t="n">
        <x:f>SUM(R641,T641,AC641,AE641,AG641,AH641)</x:f>
        <x:v>-496.48</x:v>
      </x:c>
      <x:c r="AJ641" s="65" t="n">
        <x:f>AI641/Q641</x:f>
        <x:v>-0.28562585360409337</x:v>
      </x:c>
      <x:c r="AK641" s="64" t="n">
        <x:f>Q641+AI641</x:f>
        <x:v>1241.738</x:v>
      </x:c>
      <x:c r="AL641" s="65" t="n">
        <x:f>AK641/Q641</x:f>
        <x:v>0.7143741463959066</x:v>
      </x:c>
      <x:c r="AM641" s="64" t="n">
        <x:f>AK641/L641</x:f>
        <x:v>248.3476</x:v>
      </x:c>
      <x:c r="AN641" s="66" t="str">
        <x:f>IF(AM641&lt;=200,"≤200K",IF(AM641&lt;=350,"200–350K",IF(AM641&lt;=500,"350–500K",IF(AM641&lt;=700,"500–700K","&gt;700K"))))</x:f>
        <x:v>200–350K</x:v>
      </x:c>
      <x:c r="AO641" s="64" t="n">
        <x:f>-ROUND(Q641*'Drivers'!R641,3)</x:f>
        <x:v>-616.847</x:v>
      </x:c>
      <x:c r="AP641" s="64" t="n">
        <x:f>-ROUND(AK641*'Drivers'!S641,3)</x:f>
        <x:v>-19.14</x:v>
      </x:c>
      <x:c r="AQ641" s="64" t="n">
        <x:f>-ROUND(AK641*'Drivers'!T641,3)</x:f>
        <x:v>-7.906</x:v>
      </x:c>
      <x:c r="AR641" s="64" t="n">
        <x:f>-ROUND(AK641*'Drivers'!U641,3)</x:f>
        <x:v>-16.063</x:v>
      </x:c>
      <x:c r="AS641" s="64" t="n">
        <x:f>-ROUND(AK641*'Drivers'!V641,3)</x:f>
        <x:v>-43.758</x:v>
      </x:c>
      <x:c r="AT641" s="64" t="n">
        <x:f>SUM(AO641:AS641)</x:f>
        <x:v>-703.7139999999999</x:v>
      </x:c>
      <x:c r="AU641" s="65" t="n">
        <x:f>AT641/AK641</x:f>
        <x:v>-0.5667169725014455</x:v>
      </x:c>
      <x:c r="AV641" s="64" t="n">
        <x:f>AK641+AT641</x:f>
        <x:v>538.0240000000001</x:v>
      </x:c>
      <x:c r="AW641" s="65" t="n">
        <x:f>AV641/AK641</x:f>
        <x:v>0.4332830274985545</x:v>
      </x:c>
      <x:c r="AX641" s="64" t="n">
        <x:f>-ROUND(AK641*'Drivers'!W641,3)</x:f>
        <x:v>-14.051</x:v>
      </x:c>
      <x:c r="AY641" s="64" t="n">
        <x:f>-ROUND(AK641*'Drivers'!X641,3)</x:f>
        <x:v>-28.494</x:v>
      </x:c>
      <x:c r="AZ641" s="64" t="n">
        <x:f>-ROUND(AK641*'Drivers'!Y641,3)</x:f>
        <x:v>-25.153</x:v>
      </x:c>
      <x:c r="BA641" s="64" t="n">
        <x:f>-ROUND(AK641*'Drivers'!Z641,3)</x:f>
        <x:v>-6.295</x:v>
      </x:c>
      <x:c r="BB641" s="64" t="n">
        <x:f>-ROUND(AK641*'Drivers'!AA641,3)</x:f>
        <x:v>-7.427</x:v>
      </x:c>
      <x:c r="BC641" s="64" t="n">
        <x:f>SUM(BA641,BB641)</x:f>
        <x:v>-13.722</x:v>
      </x:c>
      <x:c r="BD641" s="64" t="n">
        <x:f>-ROUND(AK641*'Drivers'!AB641,3)</x:f>
        <x:v>-4.591</x:v>
      </x:c>
      <x:c r="BE641" s="64" t="n">
        <x:f>SUM(AX641:BB641,BD641)</x:f>
        <x:v>-86.01100000000001</x:v>
      </x:c>
      <x:c r="BF641" s="67" t="n">
        <x:f>'Drivers'!AF641</x:f>
        <x:v>10</x:v>
      </x:c>
      <x:c r="BG641" s="64" t="n">
        <x:f>BJ641</x:f>
        <x:v>-25.059</x:v>
      </x:c>
      <x:c r="BH641" s="64" t="n">
        <x:f>BE641/BF641</x:f>
        <x:v>-8.6011</x:v>
      </x:c>
      <x:c r="BI641" s="68" t="n">
        <x:f>BF641/L641</x:f>
        <x:v>2</x:v>
      </x:c>
      <x:c r="BJ641" s="64" t="n">
        <x:f>-ROUND(AK641*'Drivers'!AC641,3)</x:f>
        <x:v>-25.059</x:v>
      </x:c>
      <x:c r="BK641" s="64" t="n">
        <x:f>-ROUND(AK641*'Drivers'!AD641,3)</x:f>
        <x:v>-141.992</x:v>
      </x:c>
      <x:c r="BL641" s="64" t="n">
        <x:f>SUM(AV641,BE641,BJ641,BK641)</x:f>
        <x:v>284.9620000000001</x:v>
      </x:c>
      <x:c r="BM641" s="65" t="n">
        <x:f>BL641/AK641</x:f>
        <x:v>0.22948641339799547</x:v>
      </x:c>
      <x:c r="BN641" s="64" t="n">
        <x:f>-ROUND(AK641*'Drivers'!AE641,3)</x:f>
        <x:v>-77.906</x:v>
      </x:c>
      <x:c r="BO641" s="64" t="n">
        <x:f>BL641+BN641</x:f>
        <x:v>207.0560000000001</x:v>
      </x:c>
      <x:c r="BP641" s="65" t="n">
        <x:f>BO641/AK641</x:f>
        <x:v>0.1667469305119116</x:v>
      </x:c>
    </x:row>
  </x:sheetData>
  <x:conditionalFormatting sqref="BP2:BP641">
    <x:cfRule type="cellIs" dxfId="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f9b6977f6e94c2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</x:cols>
  <x:sheetData>
    <x:row r="1" ht="42" customHeight="1">
      <x:c r="A1" s="72" t="str">
        <x:v>Period Key</x:v>
      </x:c>
      <x:c r="B1" s="72" t="str">
        <x:v>Store ID</x:v>
      </x:c>
      <x:c r="C1" s="72" t="str">
        <x:v>Customer Transactions</x:v>
      </x:c>
      <x:c r="D1" s="72" t="str">
        <x:v>Average Ticket</x:v>
      </x:c>
      <x:c r="E1" s="72" t="str">
        <x:v>Gross Sales Realization Rate</x:v>
      </x:c>
      <x:c r="F1" s="72" t="str">
        <x:v>Discount Rate</x:v>
      </x:c>
      <x:c r="G1" s="72" t="str">
        <x:v>Rebate Rate</x:v>
      </x:c>
      <x:c r="H1" s="72" t="str">
        <x:v>Structural Conditions On Rate</x:v>
      </x:c>
      <x:c r="I1" s="72" t="str">
        <x:v>Structural Conditions Off Rate</x:v>
      </x:c>
      <x:c r="J1" s="72" t="str">
        <x:v>Active Support Rate</x:v>
      </x:c>
      <x:c r="K1" s="72" t="str">
        <x:v>Shopper Investment Rate</x:v>
      </x:c>
      <x:c r="L1" s="72" t="str">
        <x:v>Promo Allow On Invoice Rate</x:v>
      </x:c>
      <x:c r="M1" s="72" t="str">
        <x:v>Promo Allow Applied Separately Rate</x:v>
      </x:c>
      <x:c r="N1" s="72" t="str">
        <x:v>Promo Allow Loyalty Rate</x:v>
      </x:c>
      <x:c r="O1" s="72" t="str">
        <x:v>Returns Rate</x:v>
      </x:c>
      <x:c r="P1" s="72" t="str">
        <x:v>OCA Rate</x:v>
      </x:c>
      <x:c r="Q1" s="72" t="str">
        <x:v>Coupon Rate</x:v>
      </x:c>
      <x:c r="R1" s="72" t="str">
        <x:v>Std COS Rate on GS</x:v>
      </x:c>
      <x:c r="S1" s="72" t="str">
        <x:v>Royal / TA / MS Rate</x:v>
      </x:c>
      <x:c r="T1" s="72" t="str">
        <x:v>Special Operations Cost Rate</x:v>
      </x:c>
      <x:c r="U1" s="72" t="str">
        <x:v>Obsolete / Slow Moving / Return Rate</x:v>
      </x:c>
      <x:c r="V1" s="72" t="str">
        <x:v>Physical Distribution Rate</x:v>
      </x:c>
      <x:c r="W1" s="72" t="str">
        <x:v>Customer Samples Rate</x:v>
      </x:c>
      <x:c r="X1" s="72" t="str">
        <x:v>Promotional Gifts Rate</x:v>
      </x:c>
      <x:c r="Y1" s="72" t="str">
        <x:v>Animations Rate</x:v>
      </x:c>
      <x:c r="Z1" s="72" t="str">
        <x:v>POS Advertising Amortization Rate</x:v>
      </x:c>
      <x:c r="AA1" s="72" t="str">
        <x:v>Other POS Advertising Rate</x:v>
      </x:c>
      <x:c r="AB1" s="72" t="str">
        <x:v>Specific Development Rate</x:v>
      </x:c>
      <x:c r="AC1" s="72" t="str">
        <x:v>Specific A&amp;P Rate</x:v>
      </x:c>
      <x:c r="AD1" s="72" t="str">
        <x:v>Specific SG&amp;A Rate</x:v>
      </x:c>
      <x:c r="AE1" s="72" t="str">
        <x:v>Non-specific Costs Rate</x:v>
      </x:c>
      <x:c r="AF1" s="72" t="str">
        <x:v>DA HC</x:v>
      </x:c>
    </x:row>
    <x:row r="2">
      <x:c r="A2" t="str">
        <x:v>2025 S1</x:v>
      </x:c>
      <x:c r="B2" t="str">
        <x:v>CNCT0001</x:v>
      </x:c>
      <x:c r="C2" s="74" t="n">
        <x:v>2910</x:v>
      </x:c>
      <x:c r="D2" s="74" t="n">
        <x:v>1151.678</x:v>
      </x:c>
      <x:c r="E2" s="75" t="n">
        <x:v>0.9795465753934696</x:v>
      </x:c>
      <x:c r="F2" s="75" t="n">
        <x:v>0.16943336939654546</x:v>
      </x:c>
      <x:c r="G2" s="75" t="n">
        <x:v>0.016871188361488747</x:v>
      </x:c>
      <x:c r="H2" s="75" t="n">
        <x:v>0.010029102215317835</x:v>
      </x:c>
      <x:c r="I2" s="75" t="n">
        <x:v>0.006021649155634805</x:v>
      </x:c>
      <x:c r="J2" s="75" t="n">
        <x:v>0.012829535468132236</x:v>
      </x:c>
      <x:c r="K2" s="75" t="n">
        <x:v>0.011691255133060621</x:v>
      </x:c>
      <x:c r="L2" s="75" t="n">
        <x:v>0.010723726476877344</x:v>
      </x:c>
      <x:c r="M2" s="75" t="n">
        <x:v>0.007826684798863425</x:v>
      </x:c>
      <x:c r="N2" s="75" t="n">
        <x:v>0.005474939321473357</x:v>
      </x:c>
      <x:c r="O2" s="75" t="n">
        <x:v>0.01392480669777433</x:v>
      </x:c>
      <x:c r="P2" s="75" t="n">
        <x:v>0.00266780558598839</x:v>
      </x:c>
      <x:c r="Q2" s="75" t="n">
        <x:v>0.0029921889213328544</x:v>
      </x:c>
      <x:c r="R2" s="75" t="n">
        <x:v>0.3708243799524906</x:v>
      </x:c>
      <x:c r="S2" s="75" t="n">
        <x:v>0.014040384350213571</x:v>
      </x:c>
      <x:c r="T2" s="75" t="n">
        <x:v>0.005335589485534001</x:v>
      </x:c>
      <x:c r="U2" s="75" t="n">
        <x:v>0.007186898411426227</x:v>
      </x:c>
      <x:c r="V2" s="75" t="n">
        <x:v>0.03500216789109982</x:v>
      </x:c>
      <x:c r="W2" s="75" t="n">
        <x:v>0.013874374189810986</x:v>
      </x:c>
      <x:c r="X2" s="75" t="n">
        <x:v>0.02370579141531823</x:v>
      </x:c>
      <x:c r="Y2" s="75" t="n">
        <x:v>0.017494488837396495</x:v>
      </x:c>
      <x:c r="Z2" s="75" t="n">
        <x:v>0.006130595005094074</x:v>
      </x:c>
      <x:c r="AA2" s="75" t="n">
        <x:v>0.00872784411021392</x:v>
      </x:c>
      <x:c r="AB2" s="75" t="n">
        <x:v>0.0035853827097802426</x:v>
      </x:c>
      <x:c r="AC2" s="75" t="n">
        <x:v>0.020089709782291902</x:v>
      </x:c>
      <x:c r="AD2" s="75" t="n">
        <x:v>0.09914063276385424</x:v>
      </x:c>
      <x:c r="AE2" s="75" t="n">
        <x:v>0.08590219392433937</x:v>
      </x:c>
      <x:c r="AF2" s="74" t="n">
        <x:v>9</x:v>
      </x:c>
    </x:row>
    <x:row r="3">
      <x:c r="A3" t="str">
        <x:v>2025 S2</x:v>
      </x:c>
      <x:c r="B3" t="str">
        <x:v>CNCT0001</x:v>
      </x:c>
      <x:c r="C3" s="74" t="n">
        <x:v>3199</x:v>
      </x:c>
      <x:c r="D3" s="74" t="n">
        <x:v>1165.498</x:v>
      </x:c>
      <x:c r="E3" s="75" t="n">
        <x:v>0.9611984283052734</x:v>
      </x:c>
      <x:c r="F3" s="75" t="n">
        <x:v>0.16943336939654546</x:v>
      </x:c>
      <x:c r="G3" s="75" t="n">
        <x:v>0.016871188361488747</x:v>
      </x:c>
      <x:c r="H3" s="75" t="n">
        <x:v>0.010029102215317835</x:v>
      </x:c>
      <x:c r="I3" s="75" t="n">
        <x:v>0.006021649155634805</x:v>
      </x:c>
      <x:c r="J3" s="75" t="n">
        <x:v>0.012829535468132236</x:v>
      </x:c>
      <x:c r="K3" s="75" t="n">
        <x:v>0.011691255133060621</x:v>
      </x:c>
      <x:c r="L3" s="75" t="n">
        <x:v>0.010723726476877344</x:v>
      </x:c>
      <x:c r="M3" s="75" t="n">
        <x:v>0.007826684798863425</x:v>
      </x:c>
      <x:c r="N3" s="75" t="n">
        <x:v>0.005474939321473357</x:v>
      </x:c>
      <x:c r="O3" s="75" t="n">
        <x:v>0.01392480669777433</x:v>
      </x:c>
      <x:c r="P3" s="75" t="n">
        <x:v>0.00266780558598839</x:v>
      </x:c>
      <x:c r="Q3" s="75" t="n">
        <x:v>0.0029921889213328544</x:v>
      </x:c>
      <x:c r="R3" s="75" t="n">
        <x:v>0.3854460080060434</x:v>
      </x:c>
      <x:c r="S3" s="75" t="n">
        <x:v>0.014040384350213571</x:v>
      </x:c>
      <x:c r="T3" s="75" t="n">
        <x:v>0.005335589485534001</x:v>
      </x:c>
      <x:c r="U3" s="75" t="n">
        <x:v>0.007186898411426227</x:v>
      </x:c>
      <x:c r="V3" s="75" t="n">
        <x:v>0.03500216789109982</x:v>
      </x:c>
      <x:c r="W3" s="75" t="n">
        <x:v>0.013874374189810986</x:v>
      </x:c>
      <x:c r="X3" s="75" t="n">
        <x:v>0.02370579141531823</x:v>
      </x:c>
      <x:c r="Y3" s="75" t="n">
        <x:v>0.017494488837396495</x:v>
      </x:c>
      <x:c r="Z3" s="75" t="n">
        <x:v>0.006130595005094074</x:v>
      </x:c>
      <x:c r="AA3" s="75" t="n">
        <x:v>0.00872784411021392</x:v>
      </x:c>
      <x:c r="AB3" s="75" t="n">
        <x:v>0.0035853827097802426</x:v>
      </x:c>
      <x:c r="AC3" s="75" t="n">
        <x:v>0.020089709782291902</x:v>
      </x:c>
      <x:c r="AD3" s="75" t="n">
        <x:v>0.09914063276385424</x:v>
      </x:c>
      <x:c r="AE3" s="75" t="n">
        <x:v>0.08590219392433937</x:v>
      </x:c>
      <x:c r="AF3" s="74" t="n">
        <x:v>9</x:v>
      </x:c>
    </x:row>
    <x:row r="4">
      <x:c r="A4" t="str">
        <x:v>2026 S1</x:v>
      </x:c>
      <x:c r="B4" t="str">
        <x:v>CNCT0001</x:v>
      </x:c>
      <x:c r="C4" s="74" t="n">
        <x:v>2813</x:v>
      </x:c>
      <x:c r="D4" s="74" t="n">
        <x:v>1167.652</x:v>
      </x:c>
      <x:c r="E4" s="75" t="n">
        <x:v>0.9819647031507339</x:v>
      </x:c>
      <x:c r="F4" s="75" t="n">
        <x:v>0.16686384552009986</x:v>
      </x:c>
      <x:c r="G4" s="75" t="n">
        <x:v>0.015516216666524996</x:v>
      </x:c>
      <x:c r="H4" s="75" t="n">
        <x:v>0.010029102215317835</x:v>
      </x:c>
      <x:c r="I4" s="75" t="n">
        <x:v>0.006021649155634805</x:v>
      </x:c>
      <x:c r="J4" s="75" t="n">
        <x:v>0.012829535468132236</x:v>
      </x:c>
      <x:c r="K4" s="75" t="n">
        <x:v>0.011691255133060621</x:v>
      </x:c>
      <x:c r="L4" s="75" t="n">
        <x:v>0.010723726476877344</x:v>
      </x:c>
      <x:c r="M4" s="75" t="n">
        <x:v>0.007826684798863425</x:v>
      </x:c>
      <x:c r="N4" s="75" t="n">
        <x:v>0.005474939321473357</x:v>
      </x:c>
      <x:c r="O4" s="75" t="n">
        <x:v>0.013479738444686518</x:v>
      </x:c>
      <x:c r="P4" s="75" t="n">
        <x:v>0.00266780558598839</x:v>
      </x:c>
      <x:c r="Q4" s="75" t="n">
        <x:v>0.0029921889213328544</x:v>
      </x:c>
      <x:c r="R4" s="75" t="n">
        <x:v>0.372491364628894</x:v>
      </x:c>
      <x:c r="S4" s="75" t="n">
        <x:v>0.014040384350213571</x:v>
      </x:c>
      <x:c r="T4" s="75" t="n">
        <x:v>0.005335589485534001</x:v>
      </x:c>
      <x:c r="U4" s="75" t="n">
        <x:v>0.007186898411426227</x:v>
      </x:c>
      <x:c r="V4" s="75" t="n">
        <x:v>0.03500216789109982</x:v>
      </x:c>
      <x:c r="W4" s="75" t="n">
        <x:v>0.017071737634718497</x:v>
      </x:c>
      <x:c r="X4" s="75" t="n">
        <x:v>0.03646101852317025</x:v>
      </x:c>
      <x:c r="Y4" s="75" t="n">
        <x:v>0.028414466959557284</x:v>
      </x:c>
      <x:c r="Z4" s="75" t="n">
        <x:v>0.007543396771620986</x:v>
      </x:c>
      <x:c r="AA4" s="75" t="n">
        <x:v>0.010739184537470298</x:v>
      </x:c>
      <x:c r="AB4" s="75" t="n">
        <x:v>0.0044116377505786595</x:v>
      </x:c>
      <x:c r="AC4" s="75" t="n">
        <x:v>0.024719403547065304</x:v>
      </x:c>
      <x:c r="AD4" s="75" t="n">
        <x:v>0.09914063276385424</x:v>
      </x:c>
      <x:c r="AE4" s="75" t="n">
        <x:v>0.08590219392433937</x:v>
      </x:c>
      <x:c r="AF4" s="74" t="n">
        <x:v>9</x:v>
      </x:c>
    </x:row>
    <x:row r="5">
      <x:c r="A5" t="str">
        <x:v>2026 S2</x:v>
      </x:c>
      <x:c r="B5" t="str">
        <x:v>CNCT0001</x:v>
      </x:c>
      <x:c r="C5" s="74" t="n">
        <x:v>3141</x:v>
      </x:c>
      <x:c r="D5" s="74" t="n">
        <x:v>1203.562</x:v>
      </x:c>
      <x:c r="E5" s="75" t="n">
        <x:v>0.9611984283052734</x:v>
      </x:c>
      <x:c r="F5" s="75" t="n">
        <x:v>0.16898424519390393</x:v>
      </x:c>
      <x:c r="G5" s="75" t="n">
        <x:v>0.017861844861588906</x:v>
      </x:c>
      <x:c r="H5" s="75" t="n">
        <x:v>0.010029102215317835</x:v>
      </x:c>
      <x:c r="I5" s="75" t="n">
        <x:v>0.006021649155634805</x:v>
      </x:c>
      <x:c r="J5" s="75" t="n">
        <x:v>0.012829535468132236</x:v>
      </x:c>
      <x:c r="K5" s="75" t="n">
        <x:v>0.011691255133060621</x:v>
      </x:c>
      <x:c r="L5" s="75" t="n">
        <x:v>0.010723726476877344</x:v>
      </x:c>
      <x:c r="M5" s="75" t="n">
        <x:v>0.007826684798863425</x:v>
      </x:c>
      <x:c r="N5" s="75" t="n">
        <x:v>0.005474939321473357</x:v>
      </x:c>
      <x:c r="O5" s="75" t="n">
        <x:v>0.01392480669777433</x:v>
      </x:c>
      <x:c r="P5" s="75" t="n">
        <x:v>0.00266780558598839</x:v>
      </x:c>
      <x:c r="Q5" s="75" t="n">
        <x:v>0.0029921889213328544</x:v>
      </x:c>
      <x:c r="R5" s="75" t="n">
        <x:v>0.3765876828916062</x:v>
      </x:c>
      <x:c r="S5" s="75" t="n">
        <x:v>0.014040384350213571</x:v>
      </x:c>
      <x:c r="T5" s="75" t="n">
        <x:v>0.005335589485534001</x:v>
      </x:c>
      <x:c r="U5" s="75" t="n">
        <x:v>0.007186898411426227</x:v>
      </x:c>
      <x:c r="V5" s="75" t="n">
        <x:v>0.03500216789109982</x:v>
      </x:c>
      <x:c r="W5" s="75" t="n">
        <x:v>0.014706836641199646</x:v>
      </x:c>
      <x:c r="X5" s="75" t="n">
        <x:v>0.025128138900237327</x:v>
      </x:c>
      <x:c r="Y5" s="75" t="n">
        <x:v>0.018544158167640285</x:v>
      </x:c>
      <x:c r="Z5" s="75" t="n">
        <x:v>0.006498430705399718</x:v>
      </x:c>
      <x:c r="AA5" s="75" t="n">
        <x:v>0.009251514756826755</x:v>
      </x:c>
      <x:c r="AB5" s="75" t="n">
        <x:v>0.0038005056723670575</x:v>
      </x:c>
      <x:c r="AC5" s="75" t="n">
        <x:v>0.021295092369229416</x:v>
      </x:c>
      <x:c r="AD5" s="75" t="n">
        <x:v>0.09914063276385424</x:v>
      </x:c>
      <x:c r="AE5" s="75" t="n">
        <x:v>0.08590219392433937</x:v>
      </x:c>
      <x:c r="AF5" s="74" t="n">
        <x:v>9</x:v>
      </x:c>
    </x:row>
    <x:row r="6">
      <x:c r="A6" t="str">
        <x:v>2025 S1</x:v>
      </x:c>
      <x:c r="B6" t="str">
        <x:v>CNCT0002</x:v>
      </x:c>
      <x:c r="C6" s="74" t="n">
        <x:v>3581</x:v>
      </x:c>
      <x:c r="D6" s="74" t="n">
        <x:v>1248.208</x:v>
      </x:c>
      <x:c r="E6" s="75" t="n">
        <x:v>0.9849126682909555</x:v>
      </x:c>
      <x:c r="F6" s="75" t="n">
        <x:v>0.18711400508193765</x:v>
      </x:c>
      <x:c r="G6" s="75" t="n">
        <x:v>0.020462790664778133</x:v>
      </x:c>
      <x:c r="H6" s="75" t="n">
        <x:v>0.012391128950053827</x:v>
      </x:c>
      <x:c r="I6" s="75" t="n">
        <x:v>0.0068395010403473865</x:v>
      </x:c>
      <x:c r="J6" s="75" t="n">
        <x:v>0.014274630695872474</x:v>
      </x:c>
      <x:c r="K6" s="75" t="n">
        <x:v>0.013035068161276284</x:v>
      </x:c>
      <x:c r="L6" s="75" t="n">
        <x:v>0.009884983791082049</x:v>
      </x:c>
      <x:c r="M6" s="75" t="n">
        <x:v>0.009776224826462567</x:v>
      </x:c>
      <x:c r="N6" s="75" t="n">
        <x:v>0.006116757612937363</x:v>
      </x:c>
      <x:c r="O6" s="75" t="n">
        <x:v>0.013812846127417287</x:v>
      </x:c>
      <x:c r="P6" s="75" t="n">
        <x:v>0.0011344870621578594</x:v>
      </x:c>
      <x:c r="Q6" s="75" t="n">
        <x:v>0.00553057606283619</x:v>
      </x:c>
      <x:c r="R6" s="75" t="n">
        <x:v>0.3429667328060183</x:v>
      </x:c>
      <x:c r="S6" s="75" t="n">
        <x:v>0.01656931638559763</x:v>
      </x:c>
      <x:c r="T6" s="75" t="n">
        <x:v>0.005075389683333924</x:v>
      </x:c>
      <x:c r="U6" s="75" t="n">
        <x:v>0.009899369951104745</x:v>
      </x:c>
      <x:c r="V6" s="75" t="n">
        <x:v>0.03220365553061129</x:v>
      </x:c>
      <x:c r="W6" s="75" t="n">
        <x:v>0.010628464807885757</x:v>
      </x:c>
      <x:c r="X6" s="75" t="n">
        <x:v>0.020589003042155017</x:v>
      </x:c>
      <x:c r="Y6" s="75" t="n">
        <x:v>0.01920688504079124</x:v>
      </x:c>
      <x:c r="Z6" s="75" t="n">
        <x:v>0.004474947668923415</x:v>
      </x:c>
      <x:c r="AA6" s="75" t="n">
        <x:v>0.00749219919876894</x:v>
      </x:c>
      <x:c r="AB6" s="75" t="n">
        <x:v>0.0038164421821769794</x:v>
      </x:c>
      <x:c r="AC6" s="75" t="n">
        <x:v>0.025246501462784364</x:v>
      </x:c>
      <x:c r="AD6" s="75" t="n">
        <x:v>0.08801534012425691</x:v>
      </x:c>
      <x:c r="AE6" s="75" t="n">
        <x:v>0.0958241612771235</x:v>
      </x:c>
      <x:c r="AF6" s="74" t="n">
        <x:v>10</x:v>
      </x:c>
    </x:row>
    <x:row r="7">
      <x:c r="A7" t="str">
        <x:v>2025 S2</x:v>
      </x:c>
      <x:c r="B7" t="str">
        <x:v>CNCT0002</x:v>
      </x:c>
      <x:c r="C7" s="74" t="n">
        <x:v>3881</x:v>
      </x:c>
      <x:c r="D7" s="74" t="n">
        <x:v>1263.187</x:v>
      </x:c>
      <x:c r="E7" s="75" t="n">
        <x:v>0.966112900823733</x:v>
      </x:c>
      <x:c r="F7" s="75" t="n">
        <x:v>0.18711400508193765</x:v>
      </x:c>
      <x:c r="G7" s="75" t="n">
        <x:v>0.020462790664778133</x:v>
      </x:c>
      <x:c r="H7" s="75" t="n">
        <x:v>0.012391128950053827</x:v>
      </x:c>
      <x:c r="I7" s="75" t="n">
        <x:v>0.0068395010403473865</x:v>
      </x:c>
      <x:c r="J7" s="75" t="n">
        <x:v>0.014274630695872474</x:v>
      </x:c>
      <x:c r="K7" s="75" t="n">
        <x:v>0.013035068161276284</x:v>
      </x:c>
      <x:c r="L7" s="75" t="n">
        <x:v>0.009884983791082049</x:v>
      </x:c>
      <x:c r="M7" s="75" t="n">
        <x:v>0.009776224826462567</x:v>
      </x:c>
      <x:c r="N7" s="75" t="n">
        <x:v>0.006116757612937363</x:v>
      </x:c>
      <x:c r="O7" s="75" t="n">
        <x:v>0.013812846127417287</x:v>
      </x:c>
      <x:c r="P7" s="75" t="n">
        <x:v>0.0011344870621578594</x:v>
      </x:c>
      <x:c r="Q7" s="75" t="n">
        <x:v>0.00553057606283619</x:v>
      </x:c>
      <x:c r="R7" s="75" t="n">
        <x:v>0.36488043587667296</x:v>
      </x:c>
      <x:c r="S7" s="75" t="n">
        <x:v>0.01656931638559763</x:v>
      </x:c>
      <x:c r="T7" s="75" t="n">
        <x:v>0.005075389683333924</x:v>
      </x:c>
      <x:c r="U7" s="75" t="n">
        <x:v>0.009899369951104745</x:v>
      </x:c>
      <x:c r="V7" s="75" t="n">
        <x:v>0.03220365553061129</x:v>
      </x:c>
      <x:c r="W7" s="75" t="n">
        <x:v>0.010628464807885757</x:v>
      </x:c>
      <x:c r="X7" s="75" t="n">
        <x:v>0.020589003042155017</x:v>
      </x:c>
      <x:c r="Y7" s="75" t="n">
        <x:v>0.01920688504079124</x:v>
      </x:c>
      <x:c r="Z7" s="75" t="n">
        <x:v>0.004474947668923415</x:v>
      </x:c>
      <x:c r="AA7" s="75" t="n">
        <x:v>0.00749219919876894</x:v>
      </x:c>
      <x:c r="AB7" s="75" t="n">
        <x:v>0.0038164421821769794</x:v>
      </x:c>
      <x:c r="AC7" s="75" t="n">
        <x:v>0.025246501462784364</x:v>
      </x:c>
      <x:c r="AD7" s="75" t="n">
        <x:v>0.08801534012425691</x:v>
      </x:c>
      <x:c r="AE7" s="75" t="n">
        <x:v>0.0958241612771235</x:v>
      </x:c>
      <x:c r="AF7" s="74" t="n">
        <x:v>10</x:v>
      </x:c>
    </x:row>
    <x:row r="8">
      <x:c r="A8" t="str">
        <x:v>2026 S1</x:v>
      </x:c>
      <x:c r="B8" t="str">
        <x:v>CNCT0002</x:v>
      </x:c>
      <x:c r="C8" s="74" t="n">
        <x:v>3494</x:v>
      </x:c>
      <x:c r="D8" s="74" t="n">
        <x:v>1266.783</x:v>
      </x:c>
      <x:c r="E8" s="75" t="n">
        <x:v>0.9856914885732695</x:v>
      </x:c>
      <x:c r="F8" s="75" t="n">
        <x:v>0.1869945981274941</x:v>
      </x:c>
      <x:c r="G8" s="75" t="n">
        <x:v>0.020437628041397822</x:v>
      </x:c>
      <x:c r="H8" s="75" t="n">
        <x:v>0.012391128950053827</x:v>
      </x:c>
      <x:c r="I8" s="75" t="n">
        <x:v>0.0068395010403473865</x:v>
      </x:c>
      <x:c r="J8" s="75" t="n">
        <x:v>0.014274630695872474</x:v>
      </x:c>
      <x:c r="K8" s="75" t="n">
        <x:v>0.013035068161276284</x:v>
      </x:c>
      <x:c r="L8" s="75" t="n">
        <x:v>0.009884983791082049</x:v>
      </x:c>
      <x:c r="M8" s="75" t="n">
        <x:v>0.009776224826462567</x:v>
      </x:c>
      <x:c r="N8" s="75" t="n">
        <x:v>0.006116757612937363</x:v>
      </x:c>
      <x:c r="O8" s="75" t="n">
        <x:v>0.014162700909961131</x:v>
      </x:c>
      <x:c r="P8" s="75" t="n">
        <x:v>0.0011344870621578594</x:v>
      </x:c>
      <x:c r="Q8" s="75" t="n">
        <x:v>0.00553057606283619</x:v>
      </x:c>
      <x:c r="R8" s="75" t="n">
        <x:v>0.3385080912071005</x:v>
      </x:c>
      <x:c r="S8" s="75" t="n">
        <x:v>0.01656931638559763</x:v>
      </x:c>
      <x:c r="T8" s="75" t="n">
        <x:v>0.005075389683333924</x:v>
      </x:c>
      <x:c r="U8" s="75" t="n">
        <x:v>0.009899369951104745</x:v>
      </x:c>
      <x:c r="V8" s="75" t="n">
        <x:v>0.03220365553061129</x:v>
      </x:c>
      <x:c r="W8" s="75" t="n">
        <x:v>0.01307780518081416</x:v>
      </x:c>
      <x:c r="X8" s="75" t="n">
        <x:v>0.03166719929917789</x:v>
      </x:c>
      <x:c r="Y8" s="75" t="n">
        <x:v>0.031195732865367667</x:v>
      </x:c>
      <x:c r="Z8" s="75" t="n">
        <x:v>0.005506203846589236</x:v>
      </x:c>
      <x:c r="AA8" s="75" t="n">
        <x:v>0.009218784017109889</x:v>
      </x:c>
      <x:c r="AB8" s="75" t="n">
        <x:v>0.00469594511008972</x:v>
      </x:c>
      <x:c r="AC8" s="75" t="n">
        <x:v>0.03106458304142531</x:v>
      </x:c>
      <x:c r="AD8" s="75" t="n">
        <x:v>0.08801534012425691</x:v>
      </x:c>
      <x:c r="AE8" s="75" t="n">
        <x:v>0.0958241612771235</x:v>
      </x:c>
      <x:c r="AF8" s="74" t="n">
        <x:v>10</x:v>
      </x:c>
    </x:row>
    <x:row r="9">
      <x:c r="A9" t="str">
        <x:v>2026 S2</x:v>
      </x:c>
      <x:c r="B9" t="str">
        <x:v>CNCT0002</x:v>
      </x:c>
      <x:c r="C9" s="74" t="n">
        <x:v>3837</x:v>
      </x:c>
      <x:c r="D9" s="74" t="n">
        <x:v>1290.923</x:v>
      </x:c>
      <x:c r="E9" s="75" t="n">
        <x:v>0.966112900823733</x:v>
      </x:c>
      <x:c r="F9" s="75" t="n">
        <x:v>0.1865213487614674</x:v>
      </x:c>
      <x:c r="G9" s="75" t="n">
        <x:v>0.020712391318285648</x:v>
      </x:c>
      <x:c r="H9" s="75" t="n">
        <x:v>0.012391128950053827</x:v>
      </x:c>
      <x:c r="I9" s="75" t="n">
        <x:v>0.0068395010403473865</x:v>
      </x:c>
      <x:c r="J9" s="75" t="n">
        <x:v>0.014274630695872474</x:v>
      </x:c>
      <x:c r="K9" s="75" t="n">
        <x:v>0.013035068161276284</x:v>
      </x:c>
      <x:c r="L9" s="75" t="n">
        <x:v>0.009884983791082049</x:v>
      </x:c>
      <x:c r="M9" s="75" t="n">
        <x:v>0.009776224826462567</x:v>
      </x:c>
      <x:c r="N9" s="75" t="n">
        <x:v>0.006116757612937363</x:v>
      </x:c>
      <x:c r="O9" s="75" t="n">
        <x:v>0.013812846127417287</x:v>
      </x:c>
      <x:c r="P9" s="75" t="n">
        <x:v>0.0011344870621578594</x:v>
      </x:c>
      <x:c r="Q9" s="75" t="n">
        <x:v>0.00553057606283619</x:v>
      </x:c>
      <x:c r="R9" s="75" t="n">
        <x:v>0.3629635624797238</x:v>
      </x:c>
      <x:c r="S9" s="75" t="n">
        <x:v>0.01656931638559763</x:v>
      </x:c>
      <x:c r="T9" s="75" t="n">
        <x:v>0.005075389683333924</x:v>
      </x:c>
      <x:c r="U9" s="75" t="n">
        <x:v>0.009899369951104745</x:v>
      </x:c>
      <x:c r="V9" s="75" t="n">
        <x:v>0.03220365553061129</x:v>
      </x:c>
      <x:c r="W9" s="75" t="n">
        <x:v>0.011266172696358902</x:v>
      </x:c>
      <x:c r="X9" s="75" t="n">
        <x:v>0.02182434322468432</x:v>
      </x:c>
      <x:c r="Y9" s="75" t="n">
        <x:v>0.020359298143238714</x:v>
      </x:c>
      <x:c r="Z9" s="75" t="n">
        <x:v>0.00474344452905882</x:v>
      </x:c>
      <x:c r="AA9" s="75" t="n">
        <x:v>0.007941731150695077</x:v>
      </x:c>
      <x:c r="AB9" s="75" t="n">
        <x:v>0.004045428713107598</x:v>
      </x:c>
      <x:c r="AC9" s="75" t="n">
        <x:v>0.026761291550551427</x:v>
      </x:c>
      <x:c r="AD9" s="75" t="n">
        <x:v>0.08801534012425691</x:v>
      </x:c>
      <x:c r="AE9" s="75" t="n">
        <x:v>0.0958241612771235</x:v>
      </x:c>
      <x:c r="AF9" s="74" t="n">
        <x:v>10</x:v>
      </x:c>
    </x:row>
    <x:row r="10">
      <x:c r="A10" t="str">
        <x:v>2025 S1</x:v>
      </x:c>
      <x:c r="B10" t="str">
        <x:v>CNCT0003</x:v>
      </x:c>
      <x:c r="C10" s="74" t="n">
        <x:v>3058</x:v>
      </x:c>
      <x:c r="D10" s="74" t="n">
        <x:v>1126.911</x:v>
      </x:c>
      <x:c r="E10" s="75" t="n">
        <x:v>0.9805866072899662</x:v>
      </x:c>
      <x:c r="F10" s="75" t="n">
        <x:v>0.21648807887430302</x:v>
      </x:c>
      <x:c r="G10" s="75" t="n">
        <x:v>0.014986165542606613</x:v>
      </x:c>
      <x:c r="H10" s="75" t="n">
        <x:v>0.011422437984405405</x:v>
      </x:c>
      <x:c r="I10" s="75" t="n">
        <x:v>0.006281452369956242</x:v>
      </x:c>
      <x:c r="J10" s="75" t="n">
        <x:v>0.014896265769872116</x:v>
      </x:c>
      <x:c r="K10" s="75" t="n">
        <x:v>0.013622610183112555</x:v>
      </x:c>
      <x:c r="L10" s="75" t="n">
        <x:v>0.009701743707395507</x:v>
      </x:c>
      <x:c r="M10" s="75" t="n">
        <x:v>0.009202260125755857</x:v>
      </x:c>
      <x:c r="N10" s="75" t="n">
        <x:v>0.005120301291026408</x:v>
      </x:c>
      <x:c r="O10" s="75" t="n">
        <x:v>0.007031609086858224</x:v>
      </x:c>
      <x:c r="P10" s="75" t="n">
        <x:v>0.001186583944439917</x:v>
      </x:c>
      <x:c r="Q10" s="75" t="n">
        <x:v>0.006795931391505292</x:v>
      </x:c>
      <x:c r="R10" s="75" t="n">
        <x:v>0.3619823265478796</x:v>
      </x:c>
      <x:c r="S10" s="75" t="n">
        <x:v>0.011541353311244167</x:v>
      </x:c>
      <x:c r="T10" s="75" t="n">
        <x:v>0.004013981917480123</x:v>
      </x:c>
      <x:c r="U10" s="75" t="n">
        <x:v>0.006872170292801455</x:v>
      </x:c>
      <x:c r="V10" s="75" t="n">
        <x:v>0.037025694817464684</x:v>
      </x:c>
      <x:c r="W10" s="75" t="n">
        <x:v>0.015220352960115997</x:v>
      </x:c>
      <x:c r="X10" s="75" t="n">
        <x:v>0.019765268215228275</x:v>
      </x:c>
      <x:c r="Y10" s="75" t="n">
        <x:v>0.01863434205176134</x:v>
      </x:c>
      <x:c r="Z10" s="75" t="n">
        <x:v>0.0078045694769847615</x:v>
      </x:c>
      <x:c r="AA10" s="75" t="n">
        <x:v>0.009276439884979918</x:v>
      </x:c>
      <x:c r="AB10" s="75" t="n">
        <x:v>0.007114943166138255</x:v>
      </x:c>
      <x:c r="AC10" s="75" t="n">
        <x:v>0.025421881011297227</x:v>
      </x:c>
      <x:c r="AD10" s="75" t="n">
        <x:v>0.08686807518108981</x:v>
      </x:c>
      <x:c r="AE10" s="75" t="n">
        <x:v>0.07930461772409035</x:v>
      </x:c>
      <x:c r="AF10" s="74" t="n">
        <x:v>13</x:v>
      </x:c>
    </x:row>
    <x:row r="11">
      <x:c r="A11" t="str">
        <x:v>2025 S2</x:v>
      </x:c>
      <x:c r="B11" t="str">
        <x:v>CNCT0003</x:v>
      </x:c>
      <x:c r="C11" s="74" t="n">
        <x:v>3333</x:v>
      </x:c>
      <x:c r="D11" s="74" t="n">
        <x:v>1140.434</x:v>
      </x:c>
      <x:c r="E11" s="75" t="n">
        <x:v>0.9784622693978599</x:v>
      </x:c>
      <x:c r="F11" s="75" t="n">
        <x:v>0.21648807887430302</x:v>
      </x:c>
      <x:c r="G11" s="75" t="n">
        <x:v>0.014986165542606613</x:v>
      </x:c>
      <x:c r="H11" s="75" t="n">
        <x:v>0.011422437984405405</x:v>
      </x:c>
      <x:c r="I11" s="75" t="n">
        <x:v>0.006281452369956242</x:v>
      </x:c>
      <x:c r="J11" s="75" t="n">
        <x:v>0.014896265769872116</x:v>
      </x:c>
      <x:c r="K11" s="75" t="n">
        <x:v>0.013622610183112555</x:v>
      </x:c>
      <x:c r="L11" s="75" t="n">
        <x:v>0.009701743707395507</x:v>
      </x:c>
      <x:c r="M11" s="75" t="n">
        <x:v>0.009202260125755857</x:v>
      </x:c>
      <x:c r="N11" s="75" t="n">
        <x:v>0.005120301291026408</x:v>
      </x:c>
      <x:c r="O11" s="75" t="n">
        <x:v>0.007031609086858224</x:v>
      </x:c>
      <x:c r="P11" s="75" t="n">
        <x:v>0.001186583944439917</x:v>
      </x:c>
      <x:c r="Q11" s="75" t="n">
        <x:v>0.006795931391505292</x:v>
      </x:c>
      <x:c r="R11" s="75" t="n">
        <x:v>0.3443243492879182</x:v>
      </x:c>
      <x:c r="S11" s="75" t="n">
        <x:v>0.011541353311244167</x:v>
      </x:c>
      <x:c r="T11" s="75" t="n">
        <x:v>0.004013981917480123</x:v>
      </x:c>
      <x:c r="U11" s="75" t="n">
        <x:v>0.006872170292801455</x:v>
      </x:c>
      <x:c r="V11" s="75" t="n">
        <x:v>0.037025694817464684</x:v>
      </x:c>
      <x:c r="W11" s="75" t="n">
        <x:v>0.015220352960115997</x:v>
      </x:c>
      <x:c r="X11" s="75" t="n">
        <x:v>0.019765268215228275</x:v>
      </x:c>
      <x:c r="Y11" s="75" t="n">
        <x:v>0.01863434205176134</x:v>
      </x:c>
      <x:c r="Z11" s="75" t="n">
        <x:v>0.0078045694769847615</x:v>
      </x:c>
      <x:c r="AA11" s="75" t="n">
        <x:v>0.009276439884979918</x:v>
      </x:c>
      <x:c r="AB11" s="75" t="n">
        <x:v>0.007114943166138255</x:v>
      </x:c>
      <x:c r="AC11" s="75" t="n">
        <x:v>0.025421881011297227</x:v>
      </x:c>
      <x:c r="AD11" s="75" t="n">
        <x:v>0.08686807518108981</x:v>
      </x:c>
      <x:c r="AE11" s="75" t="n">
        <x:v>0.07930461772409035</x:v>
      </x:c>
      <x:c r="AF11" s="74" t="n">
        <x:v>13</x:v>
      </x:c>
    </x:row>
    <x:row r="12">
      <x:c r="A12" t="str">
        <x:v>2026 S1</x:v>
      </x:c>
      <x:c r="B12" t="str">
        <x:v>CNCT0003</x:v>
      </x:c>
      <x:c r="C12" s="74" t="n">
        <x:v>2954</x:v>
      </x:c>
      <x:c r="D12" s="74" t="n">
        <x:v>1140.976</x:v>
      </x:c>
      <x:c r="E12" s="75" t="n">
        <x:v>0.9770537104552204</x:v>
      </x:c>
      <x:c r="F12" s="75" t="n">
        <x:v>0.2179552000799449</x:v>
      </x:c>
      <x:c r="G12" s="75" t="n">
        <x:v>0.012986454535843222</x:v>
      </x:c>
      <x:c r="H12" s="75" t="n">
        <x:v>0.011422437984405405</x:v>
      </x:c>
      <x:c r="I12" s="75" t="n">
        <x:v>0.006281452369956242</x:v>
      </x:c>
      <x:c r="J12" s="75" t="n">
        <x:v>0.014896265769872116</x:v>
      </x:c>
      <x:c r="K12" s="75" t="n">
        <x:v>0.013622610183112555</x:v>
      </x:c>
      <x:c r="L12" s="75" t="n">
        <x:v>0.009701743707395507</x:v>
      </x:c>
      <x:c r="M12" s="75" t="n">
        <x:v>0.009202260125755857</x:v>
      </x:c>
      <x:c r="N12" s="75" t="n">
        <x:v>0.005120301291026408</x:v>
      </x:c>
      <x:c r="O12" s="75" t="n">
        <x:v>0.006649074092609225</x:v>
      </x:c>
      <x:c r="P12" s="75" t="n">
        <x:v>0.001186583944439917</x:v>
      </x:c>
      <x:c r="Q12" s="75" t="n">
        <x:v>0.006795931391505292</x:v>
      </x:c>
      <x:c r="R12" s="75" t="n">
        <x:v>0.3579975683207128</x:v>
      </x:c>
      <x:c r="S12" s="75" t="n">
        <x:v>0.011541353311244167</x:v>
      </x:c>
      <x:c r="T12" s="75" t="n">
        <x:v>0.004013981917480123</x:v>
      </x:c>
      <x:c r="U12" s="75" t="n">
        <x:v>0.006872170292801455</x:v>
      </x:c>
      <x:c r="V12" s="75" t="n">
        <x:v>0.037025694817464684</x:v>
      </x:c>
      <x:c r="W12" s="75" t="n">
        <x:v>0.018727898562353188</x:v>
      </x:c>
      <x:c r="X12" s="75" t="n">
        <x:v>0.030400242619412758</x:v>
      </x:c>
      <x:c r="Y12" s="75" t="n">
        <x:v>0.030265811219989815</x:v>
      </x:c>
      <x:c r="Z12" s="75" t="n">
        <x:v>0.009603140339177427</x:v>
      </x:c>
      <x:c r="AA12" s="75" t="n">
        <x:v>0.011414204758648855</x:v>
      </x:c>
      <x:c r="AB12" s="75" t="n">
        <x:v>0.008754588953456816</x:v>
      </x:c>
      <x:c r="AC12" s="75" t="n">
        <x:v>0.031280378982759066</x:v>
      </x:c>
      <x:c r="AD12" s="75" t="n">
        <x:v>0.08686807518108981</x:v>
      </x:c>
      <x:c r="AE12" s="75" t="n">
        <x:v>0.07930461772409035</x:v>
      </x:c>
      <x:c r="AF12" s="74" t="n">
        <x:v>13</x:v>
      </x:c>
    </x:row>
    <x:row r="13">
      <x:c r="A13" t="str">
        <x:v>2026 S2</x:v>
      </x:c>
      <x:c r="B13" t="str">
        <x:v>CNCT0003</x:v>
      </x:c>
      <x:c r="C13" s="74" t="n">
        <x:v>3393</x:v>
      </x:c>
      <x:c r="D13" s="74" t="n">
        <x:v>1194.25</x:v>
      </x:c>
      <x:c r="E13" s="75" t="n">
        <x:v>0.9784622693978599</x:v>
      </x:c>
      <x:c r="F13" s="75" t="n">
        <x:v>0.21785808621992328</x:v>
      </x:c>
      <x:c r="G13" s="75" t="n">
        <x:v>0.015407833431716426</x:v>
      </x:c>
      <x:c r="H13" s="75" t="n">
        <x:v>0.011422437984405405</x:v>
      </x:c>
      <x:c r="I13" s="75" t="n">
        <x:v>0.006281452369956242</x:v>
      </x:c>
      <x:c r="J13" s="75" t="n">
        <x:v>0.014896265769872116</x:v>
      </x:c>
      <x:c r="K13" s="75" t="n">
        <x:v>0.013622610183112555</x:v>
      </x:c>
      <x:c r="L13" s="75" t="n">
        <x:v>0.009701743707395507</x:v>
      </x:c>
      <x:c r="M13" s="75" t="n">
        <x:v>0.009202260125755857</x:v>
      </x:c>
      <x:c r="N13" s="75" t="n">
        <x:v>0.005120301291026408</x:v>
      </x:c>
      <x:c r="O13" s="75" t="n">
        <x:v>0.007031609086858224</x:v>
      </x:c>
      <x:c r="P13" s="75" t="n">
        <x:v>0.001186583944439917</x:v>
      </x:c>
      <x:c r="Q13" s="75" t="n">
        <x:v>0.006795931391505292</x:v>
      </x:c>
      <x:c r="R13" s="75" t="n">
        <x:v>0.3359209938524637</x:v>
      </x:c>
      <x:c r="S13" s="75" t="n">
        <x:v>0.011541353311244167</x:v>
      </x:c>
      <x:c r="T13" s="75" t="n">
        <x:v>0.004013981917480123</x:v>
      </x:c>
      <x:c r="U13" s="75" t="n">
        <x:v>0.006872170292801455</x:v>
      </x:c>
      <x:c r="V13" s="75" t="n">
        <x:v>0.037025694817464684</x:v>
      </x:c>
      <x:c r="W13" s="75" t="n">
        <x:v>0.016133574137722956</x:v>
      </x:c>
      <x:c r="X13" s="75" t="n">
        <x:v>0.02095118430814197</x:v>
      </x:c>
      <x:c r="Y13" s="75" t="n">
        <x:v>0.01975240257486702</x:v>
      </x:c>
      <x:c r="Z13" s="75" t="n">
        <x:v>0.008272843645603848</x:v>
      </x:c>
      <x:c r="AA13" s="75" t="n">
        <x:v>0.009833026278078714</x:v>
      </x:c>
      <x:c r="AB13" s="75" t="n">
        <x:v>0.007541839756106551</x:v>
      </x:c>
      <x:c r="AC13" s="75" t="n">
        <x:v>0.026947193871975063</x:v>
      </x:c>
      <x:c r="AD13" s="75" t="n">
        <x:v>0.08686807518108981</x:v>
      </x:c>
      <x:c r="AE13" s="75" t="n">
        <x:v>0.07930461772409035</x:v>
      </x:c>
      <x:c r="AF13" s="74" t="n">
        <x:v>13</x:v>
      </x:c>
    </x:row>
    <x:row r="14">
      <x:c r="A14" t="str">
        <x:v>2025 S1</x:v>
      </x:c>
      <x:c r="B14" t="str">
        <x:v>CNCT0004</x:v>
      </x:c>
      <x:c r="C14" s="74" t="n">
        <x:v>3013</x:v>
      </x:c>
      <x:c r="D14" s="74" t="n">
        <x:v>1034.475</x:v>
      </x:c>
      <x:c r="E14" s="75" t="n">
        <x:v>0.967499830302142</x:v>
      </x:c>
      <x:c r="F14" s="75" t="n">
        <x:v>0.16645815400546415</x:v>
      </x:c>
      <x:c r="G14" s="75" t="n">
        <x:v>0.013689159004337852</x:v>
      </x:c>
      <x:c r="H14" s="75" t="n">
        <x:v>0.010641347173397663</x:v>
      </x:c>
      <x:c r="I14" s="75" t="n">
        <x:v>0.008050324275125604</x:v>
      </x:c>
      <x:c r="J14" s="75" t="n">
        <x:v>0.012577042850585713</x:v>
      </x:c>
      <x:c r="K14" s="75" t="n">
        <x:v>0.013986295518912811</x:v>
      </x:c>
      <x:c r="L14" s="75" t="n">
        <x:v>0.011341024121189548</x:v>
      </x:c>
      <x:c r="M14" s="75" t="n">
        <x:v>0.006473353965127899</x:v>
      </x:c>
      <x:c r="N14" s="75" t="n">
        <x:v>0.008129479834606173</x:v>
      </x:c>
      <x:c r="O14" s="75" t="n">
        <x:v>0.010632998447996214</x:v>
      </x:c>
      <x:c r="P14" s="75" t="n">
        <x:v>0.00012268390578537938</x:v>
      </x:c>
      <x:c r="Q14" s="75" t="n">
        <x:v>0.002578360197658185</x:v>
      </x:c>
      <x:c r="R14" s="75" t="n">
        <x:v>0.3895985697513298</x:v>
      </x:c>
      <x:c r="S14" s="75" t="n">
        <x:v>0.013715161504711432</x:v>
      </x:c>
      <x:c r="T14" s="75" t="n">
        <x:v>0.003997285523990286</x:v>
      </x:c>
      <x:c r="U14" s="75" t="n">
        <x:v>0.012283722347081564</x:v>
      </x:c>
      <x:c r="V14" s="75" t="n">
        <x:v>0.03536540707036329</x:v>
      </x:c>
      <x:c r="W14" s="75" t="n">
        <x:v>0.013819815813642344</x:v>
      </x:c>
      <x:c r="X14" s="75" t="n">
        <x:v>0.022232417000918648</x:v>
      </x:c>
      <x:c r="Y14" s="75" t="n">
        <x:v>0.015710111100920476</x:v>
      </x:c>
      <x:c r="Z14" s="75" t="n">
        <x:v>0.0077437867043830926</x:v>
      </x:c>
      <x:c r="AA14" s="75" t="n">
        <x:v>0.008604017751211796</x:v>
      </x:c>
      <x:c r="AB14" s="75" t="n">
        <x:v>0.0036993554376880643</x:v>
      </x:c>
      <x:c r="AC14" s="75" t="n">
        <x:v>0.02491512290553073</x:v>
      </x:c>
      <x:c r="AD14" s="75" t="n">
        <x:v>0.114146568979515</x:v>
      </x:c>
      <x:c r="AE14" s="75" t="n">
        <x:v>0.06726336190412985</x:v>
      </x:c>
      <x:c r="AF14" s="74" t="n">
        <x:v>8</x:v>
      </x:c>
    </x:row>
    <x:row r="15">
      <x:c r="A15" t="str">
        <x:v>2025 S2</x:v>
      </x:c>
      <x:c r="B15" t="str">
        <x:v>CNCT0004</x:v>
      </x:c>
      <x:c r="C15" s="74" t="n">
        <x:v>3250</x:v>
      </x:c>
      <x:c r="D15" s="74" t="n">
        <x:v>1046.889</x:v>
      </x:c>
      <x:c r="E15" s="75" t="n">
        <x:v>0.9809274769293843</x:v>
      </x:c>
      <x:c r="F15" s="75" t="n">
        <x:v>0.16645815400546415</x:v>
      </x:c>
      <x:c r="G15" s="75" t="n">
        <x:v>0.013689159004337852</x:v>
      </x:c>
      <x:c r="H15" s="75" t="n">
        <x:v>0.010641347173397663</x:v>
      </x:c>
      <x:c r="I15" s="75" t="n">
        <x:v>0.008050324275125604</x:v>
      </x:c>
      <x:c r="J15" s="75" t="n">
        <x:v>0.012577042850585713</x:v>
      </x:c>
      <x:c r="K15" s="75" t="n">
        <x:v>0.013986295518912811</x:v>
      </x:c>
      <x:c r="L15" s="75" t="n">
        <x:v>0.011341024121189548</x:v>
      </x:c>
      <x:c r="M15" s="75" t="n">
        <x:v>0.006473353965127899</x:v>
      </x:c>
      <x:c r="N15" s="75" t="n">
        <x:v>0.008129479834606173</x:v>
      </x:c>
      <x:c r="O15" s="75" t="n">
        <x:v>0.010632998447996214</x:v>
      </x:c>
      <x:c r="P15" s="75" t="n">
        <x:v>0.00012268390578537938</x:v>
      </x:c>
      <x:c r="Q15" s="75" t="n">
        <x:v>0.002578360197658185</x:v>
      </x:c>
      <x:c r="R15" s="75" t="n">
        <x:v>0.3810002419239473</x:v>
      </x:c>
      <x:c r="S15" s="75" t="n">
        <x:v>0.013715161504711432</x:v>
      </x:c>
      <x:c r="T15" s="75" t="n">
        <x:v>0.003997285523990286</x:v>
      </x:c>
      <x:c r="U15" s="75" t="n">
        <x:v>0.012283722347081564</x:v>
      </x:c>
      <x:c r="V15" s="75" t="n">
        <x:v>0.03536540707036329</x:v>
      </x:c>
      <x:c r="W15" s="75" t="n">
        <x:v>0.013819815813642344</x:v>
      </x:c>
      <x:c r="X15" s="75" t="n">
        <x:v>0.022232417000918648</x:v>
      </x:c>
      <x:c r="Y15" s="75" t="n">
        <x:v>0.015710111100920476</x:v>
      </x:c>
      <x:c r="Z15" s="75" t="n">
        <x:v>0.0077437867043830926</x:v>
      </x:c>
      <x:c r="AA15" s="75" t="n">
        <x:v>0.008604017751211796</x:v>
      </x:c>
      <x:c r="AB15" s="75" t="n">
        <x:v>0.0036993554376880643</x:v>
      </x:c>
      <x:c r="AC15" s="75" t="n">
        <x:v>0.02491512290553073</x:v>
      </x:c>
      <x:c r="AD15" s="75" t="n">
        <x:v>0.114146568979515</x:v>
      </x:c>
      <x:c r="AE15" s="75" t="n">
        <x:v>0.06726336190412985</x:v>
      </x:c>
      <x:c r="AF15" s="74" t="n">
        <x:v>8</x:v>
      </x:c>
    </x:row>
    <x:row r="16">
      <x:c r="A16" t="str">
        <x:v>2026 S1</x:v>
      </x:c>
      <x:c r="B16" t="str">
        <x:v>CNCT0004</x:v>
      </x:c>
      <x:c r="C16" s="74" t="n">
        <x:v>2949</x:v>
      </x:c>
      <x:c r="D16" s="74" t="n">
        <x:v>1045.826</x:v>
      </x:c>
      <x:c r="E16" s="75" t="n">
        <x:v>0.9698105667944182</x:v>
      </x:c>
      <x:c r="F16" s="75" t="n">
        <x:v>0.1700745658177475</x:v>
      </x:c>
      <x:c r="G16" s="75" t="n">
        <x:v>0.0122746355040872</x:v>
      </x:c>
      <x:c r="H16" s="75" t="n">
        <x:v>0.010641347173397663</x:v>
      </x:c>
      <x:c r="I16" s="75" t="n">
        <x:v>0.008050324275125604</x:v>
      </x:c>
      <x:c r="J16" s="75" t="n">
        <x:v>0.012577042850585713</x:v>
      </x:c>
      <x:c r="K16" s="75" t="n">
        <x:v>0.013986295518912811</x:v>
      </x:c>
      <x:c r="L16" s="75" t="n">
        <x:v>0.011341024121189548</x:v>
      </x:c>
      <x:c r="M16" s="75" t="n">
        <x:v>0.006473353965127899</x:v>
      </x:c>
      <x:c r="N16" s="75" t="n">
        <x:v>0.008129479834606173</x:v>
      </x:c>
      <x:c r="O16" s="75" t="n">
        <x:v>0.008912327822661608</x:v>
      </x:c>
      <x:c r="P16" s="75" t="n">
        <x:v>0.00012268390578537938</x:v>
      </x:c>
      <x:c r="Q16" s="75" t="n">
        <x:v>0.002578360197658185</x:v>
      </x:c>
      <x:c r="R16" s="75" t="n">
        <x:v>0.39358012624148053</x:v>
      </x:c>
      <x:c r="S16" s="75" t="n">
        <x:v>0.013715161504711432</x:v>
      </x:c>
      <x:c r="T16" s="75" t="n">
        <x:v>0.003997285523990286</x:v>
      </x:c>
      <x:c r="U16" s="75" t="n">
        <x:v>0.012283722347081564</x:v>
      </x:c>
      <x:c r="V16" s="75" t="n">
        <x:v>0.03536540707036329</x:v>
      </x:c>
      <x:c r="W16" s="75" t="n">
        <x:v>0.017004606226052054</x:v>
      </x:c>
      <x:c r="X16" s="75" t="n">
        <x:v>0.03419487474109534</x:v>
      </x:c>
      <x:c r="Y16" s="75" t="n">
        <x:v>0.02551628898432626</x:v>
      </x:c>
      <x:c r="Z16" s="75" t="n">
        <x:v>0.009528350115678302</x:v>
      </x:c>
      <x:c r="AA16" s="75" t="n">
        <x:v>0.010586822269866248</x:v>
      </x:c>
      <x:c r="AB16" s="75" t="n">
        <x:v>0.0045518756079217584</x:v>
      </x:c>
      <x:c r="AC16" s="75" t="n">
        <x:v>0.030656837963354684</x:v>
      </x:c>
      <x:c r="AD16" s="75" t="n">
        <x:v>0.114146568979515</x:v>
      </x:c>
      <x:c r="AE16" s="75" t="n">
        <x:v>0.06726336190412985</x:v>
      </x:c>
      <x:c r="AF16" s="74" t="n">
        <x:v>8</x:v>
      </x:c>
    </x:row>
    <x:row r="17">
      <x:c r="A17" t="str">
        <x:v>2026 S2</x:v>
      </x:c>
      <x:c r="B17" t="str">
        <x:v>CNCT0004</x:v>
      </x:c>
      <x:c r="C17" s="74" t="n">
        <x:v>3370</x:v>
      </x:c>
      <x:c r="D17" s="74" t="n">
        <x:v>1075.037</x:v>
      </x:c>
      <x:c r="E17" s="75" t="n">
        <x:v>0.9809274769293843</x:v>
      </x:c>
      <x:c r="F17" s="75" t="n">
        <x:v>0.1687487481762655</x:v>
      </x:c>
      <x:c r="G17" s="75" t="n">
        <x:v>0.015275800466362852</x:v>
      </x:c>
      <x:c r="H17" s="75" t="n">
        <x:v>0.010641347173397663</x:v>
      </x:c>
      <x:c r="I17" s="75" t="n">
        <x:v>0.008050324275125604</x:v>
      </x:c>
      <x:c r="J17" s="75" t="n">
        <x:v>0.012577042850585713</x:v>
      </x:c>
      <x:c r="K17" s="75" t="n">
        <x:v>0.013986295518912811</x:v>
      </x:c>
      <x:c r="L17" s="75" t="n">
        <x:v>0.011341024121189548</x:v>
      </x:c>
      <x:c r="M17" s="75" t="n">
        <x:v>0.006473353965127899</x:v>
      </x:c>
      <x:c r="N17" s="75" t="n">
        <x:v>0.008129479834606173</x:v>
      </x:c>
      <x:c r="O17" s="75" t="n">
        <x:v>0.010632998447996214</x:v>
      </x:c>
      <x:c r="P17" s="75" t="n">
        <x:v>0.00012268390578537938</x:v>
      </x:c>
      <x:c r="Q17" s="75" t="n">
        <x:v>0.002578360197658185</x:v>
      </x:c>
      <x:c r="R17" s="75" t="n">
        <x:v>0.37436485570925854</x:v>
      </x:c>
      <x:c r="S17" s="75" t="n">
        <x:v>0.013715161504711432</x:v>
      </x:c>
      <x:c r="T17" s="75" t="n">
        <x:v>0.003997285523990286</x:v>
      </x:c>
      <x:c r="U17" s="75" t="n">
        <x:v>0.012283722347081564</x:v>
      </x:c>
      <x:c r="V17" s="75" t="n">
        <x:v>0.03536540707036329</x:v>
      </x:c>
      <x:c r="W17" s="75" t="n">
        <x:v>0.014649004762460885</x:v>
      </x:c>
      <x:c r="X17" s="75" t="n">
        <x:v>0.02356636202097377</x:v>
      </x:c>
      <x:c r="Y17" s="75" t="n">
        <x:v>0.016652717766975706</x:v>
      </x:c>
      <x:c r="Z17" s="75" t="n">
        <x:v>0.008208413906646079</x:v>
      </x:c>
      <x:c r="AA17" s="75" t="n">
        <x:v>0.009120258816284504</x:v>
      </x:c>
      <x:c r="AB17" s="75" t="n">
        <x:v>0.0039213167639493484</x:v>
      </x:c>
      <x:c r="AC17" s="75" t="n">
        <x:v>0.02641003027986258</x:v>
      </x:c>
      <x:c r="AD17" s="75" t="n">
        <x:v>0.114146568979515</x:v>
      </x:c>
      <x:c r="AE17" s="75" t="n">
        <x:v>0.06726336190412985</x:v>
      </x:c>
      <x:c r="AF17" s="74" t="n">
        <x:v>8</x:v>
      </x:c>
    </x:row>
    <x:row r="18">
      <x:c r="A18" t="str">
        <x:v>2025 S1</x:v>
      </x:c>
      <x:c r="B18" t="str">
        <x:v>CNCT0005</x:v>
      </x:c>
      <x:c r="C18" s="74" t="n">
        <x:v>2713</x:v>
      </x:c>
      <x:c r="D18" s="74" t="n">
        <x:v>1032.803</x:v>
      </x:c>
      <x:c r="E18" s="75" t="n">
        <x:v>0.9673929017590126</x:v>
      </x:c>
      <x:c r="F18" s="75" t="n">
        <x:v>0.17101388379605487</x:v>
      </x:c>
      <x:c r="G18" s="75" t="n">
        <x:v>0.014668680247559678</x:v>
      </x:c>
      <x:c r="H18" s="75" t="n">
        <x:v>0.009852817796723685</x:v>
      </x:c>
      <x:c r="I18" s="75" t="n">
        <x:v>0.009275645728674136</x:v>
      </x:c>
      <x:c r="J18" s="75" t="n">
        <x:v>0.014172301111888374</x:v>
      </x:c>
      <x:c r="K18" s="75" t="n">
        <x:v>0.013976353328364893</x:v>
      </x:c>
      <x:c r="L18" s="75" t="n">
        <x:v>0.011667095838107343</x:v>
      </x:c>
      <x:c r="M18" s="75" t="n">
        <x:v>0.005971577743865055</x:v>
      </x:c>
      <x:c r="N18" s="75" t="n">
        <x:v>0.005174383727338864</x:v>
      </x:c>
      <x:c r="O18" s="75" t="n">
        <x:v>0.011768652384431333</x:v>
      </x:c>
      <x:c r="P18" s="75" t="n">
        <x:v>0.0002096888672676869</x:v>
      </x:c>
      <x:c r="Q18" s="75" t="n">
        <x:v>0.003415998955111718</x:v>
      </x:c>
      <x:c r="R18" s="75" t="n">
        <x:v>0.38185566462331855</x:v>
      </x:c>
      <x:c r="S18" s="75" t="n">
        <x:v>0.011852553432967398</x:v>
      </x:c>
      <x:c r="T18" s="75" t="n">
        <x:v>0.003966246815311024</x:v>
      </x:c>
      <x:c r="U18" s="75" t="n">
        <x:v>0.005604304242820944</x:v>
      </x:c>
      <x:c r="V18" s="75" t="n">
        <x:v>0.03681031535652801</x:v>
      </x:c>
      <x:c r="W18" s="75" t="n">
        <x:v>0.013397217093841755</x:v>
      </x:c>
      <x:c r="X18" s="75" t="n">
        <x:v>0.02739342826403561</x:v>
      </x:c>
      <x:c r="Y18" s="75" t="n">
        <x:v>0.01575297077360563</x:v>
      </x:c>
      <x:c r="Z18" s="75" t="n">
        <x:v>0.006419086609929218</x:v>
      </x:c>
      <x:c r="AA18" s="75" t="n">
        <x:v>0.006118974460453028</x:v>
      </x:c>
      <x:c r="AB18" s="75" t="n">
        <x:v>0.004087876801923266</x:v>
      </x:c>
      <x:c r="AC18" s="75" t="n">
        <x:v>0.021201046727385982</x:v>
      </x:c>
      <x:c r="AD18" s="75" t="n">
        <x:v>0.10925275622672052</x:v>
      </x:c>
      <x:c r="AE18" s="75" t="n">
        <x:v>0.09595231019379571</x:v>
      </x:c>
      <x:c r="AF18" s="74" t="n">
        <x:v>13</x:v>
      </x:c>
    </x:row>
    <x:row r="19">
      <x:c r="A19" t="str">
        <x:v>2025 S2</x:v>
      </x:c>
      <x:c r="B19" t="str">
        <x:v>CNCT0005</x:v>
      </x:c>
      <x:c r="C19" s="74" t="n">
        <x:v>2904</x:v>
      </x:c>
      <x:c r="D19" s="74" t="n">
        <x:v>1045.196</x:v>
      </x:c>
      <x:c r="E19" s="75" t="n">
        <x:v>0.9847348957602516</x:v>
      </x:c>
      <x:c r="F19" s="75" t="n">
        <x:v>0.17101388379605487</x:v>
      </x:c>
      <x:c r="G19" s="75" t="n">
        <x:v>0.014668680247559678</x:v>
      </x:c>
      <x:c r="H19" s="75" t="n">
        <x:v>0.009852817796723685</x:v>
      </x:c>
      <x:c r="I19" s="75" t="n">
        <x:v>0.009275645728674136</x:v>
      </x:c>
      <x:c r="J19" s="75" t="n">
        <x:v>0.014172301111888374</x:v>
      </x:c>
      <x:c r="K19" s="75" t="n">
        <x:v>0.013976353328364893</x:v>
      </x:c>
      <x:c r="L19" s="75" t="n">
        <x:v>0.011667095838107343</x:v>
      </x:c>
      <x:c r="M19" s="75" t="n">
        <x:v>0.005971577743865055</x:v>
      </x:c>
      <x:c r="N19" s="75" t="n">
        <x:v>0.005174383727338864</x:v>
      </x:c>
      <x:c r="O19" s="75" t="n">
        <x:v>0.011768652384431333</x:v>
      </x:c>
      <x:c r="P19" s="75" t="n">
        <x:v>0.0002096888672676869</x:v>
      </x:c>
      <x:c r="Q19" s="75" t="n">
        <x:v>0.003415998955111718</x:v>
      </x:c>
      <x:c r="R19" s="75" t="n">
        <x:v>0.3746338314061851</x:v>
      </x:c>
      <x:c r="S19" s="75" t="n">
        <x:v>0.011852553432967398</x:v>
      </x:c>
      <x:c r="T19" s="75" t="n">
        <x:v>0.003966246815311024</x:v>
      </x:c>
      <x:c r="U19" s="75" t="n">
        <x:v>0.005604304242820944</x:v>
      </x:c>
      <x:c r="V19" s="75" t="n">
        <x:v>0.03681031535652801</x:v>
      </x:c>
      <x:c r="W19" s="75" t="n">
        <x:v>0.013397217093841755</x:v>
      </x:c>
      <x:c r="X19" s="75" t="n">
        <x:v>0.02739342826403561</x:v>
      </x:c>
      <x:c r="Y19" s="75" t="n">
        <x:v>0.01575297077360563</x:v>
      </x:c>
      <x:c r="Z19" s="75" t="n">
        <x:v>0.006419086609929218</x:v>
      </x:c>
      <x:c r="AA19" s="75" t="n">
        <x:v>0.006118974460453028</x:v>
      </x:c>
      <x:c r="AB19" s="75" t="n">
        <x:v>0.004087876801923266</x:v>
      </x:c>
      <x:c r="AC19" s="75" t="n">
        <x:v>0.021201046727385982</x:v>
      </x:c>
      <x:c r="AD19" s="75" t="n">
        <x:v>0.10925275622672052</x:v>
      </x:c>
      <x:c r="AE19" s="75" t="n">
        <x:v>0.09595231019379571</x:v>
      </x:c>
      <x:c r="AF19" s="74" t="n">
        <x:v>13</x:v>
      </x:c>
    </x:row>
    <x:row r="20">
      <x:c r="A20" t="str">
        <x:v>2026 S1</x:v>
      </x:c>
      <x:c r="B20" t="str">
        <x:v>CNCT0005</x:v>
      </x:c>
      <x:c r="C20" s="74" t="n">
        <x:v>2612</x:v>
      </x:c>
      <x:c r="D20" s="74" t="n">
        <x:v>1053.419</x:v>
      </x:c>
      <x:c r="E20" s="75" t="n">
        <x:v>0.9700245529776949</x:v>
      </x:c>
      <x:c r="F20" s="75" t="n">
        <x:v>0.1653705483169033</x:v>
      </x:c>
      <x:c r="G20" s="75" t="n">
        <x:v>0.013502518529683583</x:v>
      </x:c>
      <x:c r="H20" s="75" t="n">
        <x:v>0.009852817796723685</x:v>
      </x:c>
      <x:c r="I20" s="75" t="n">
        <x:v>0.009275645728674136</x:v>
      </x:c>
      <x:c r="J20" s="75" t="n">
        <x:v>0.014172301111888374</x:v>
      </x:c>
      <x:c r="K20" s="75" t="n">
        <x:v>0.013976353328364893</x:v>
      </x:c>
      <x:c r="L20" s="75" t="n">
        <x:v>0.011667095838107343</x:v>
      </x:c>
      <x:c r="M20" s="75" t="n">
        <x:v>0.005971577743865055</x:v>
      </x:c>
      <x:c r="N20" s="75" t="n">
        <x:v>0.005174383727338864</x:v>
      </x:c>
      <x:c r="O20" s="75" t="n">
        <x:v>0.012049777015985454</x:v>
      </x:c>
      <x:c r="P20" s="75" t="n">
        <x:v>0.0002096888672676869</x:v>
      </x:c>
      <x:c r="Q20" s="75" t="n">
        <x:v>0.003415998955111718</x:v>
      </x:c>
      <x:c r="R20" s="75" t="n">
        <x:v>0.389994345312304</x:v>
      </x:c>
      <x:c r="S20" s="75" t="n">
        <x:v>0.011852553432967398</x:v>
      </x:c>
      <x:c r="T20" s="75" t="n">
        <x:v>0.003966246815311024</x:v>
      </x:c>
      <x:c r="U20" s="75" t="n">
        <x:v>0.005604304242820944</x:v>
      </x:c>
      <x:c r="V20" s="75" t="n">
        <x:v>0.03681031535652801</x:v>
      </x:c>
      <x:c r="W20" s="75" t="n">
        <x:v>0.016484619207502292</x:v>
      </x:c>
      <x:c r="X20" s="75" t="n">
        <x:v>0.042132839096134855</x:v>
      </x:c>
      <x:c r="Y20" s="75" t="n">
        <x:v>0.02558590146427517</x:v>
      </x:c>
      <x:c r="Z20" s="75" t="n">
        <x:v>0.007898371556082352</x:v>
      </x:c>
      <x:c r="AA20" s="75" t="n">
        <x:v>0.007529098260814628</x:v>
      </x:c>
      <x:c r="AB20" s="75" t="n">
        <x:v>0.005029932110144194</x:v>
      </x:c>
      <x:c r="AC20" s="75" t="n">
        <x:v>0.02608684920557642</x:v>
      </x:c>
      <x:c r="AD20" s="75" t="n">
        <x:v>0.10925275622672052</x:v>
      </x:c>
      <x:c r="AE20" s="75" t="n">
        <x:v>0.09595231019379571</x:v>
      </x:c>
      <x:c r="AF20" s="74" t="n">
        <x:v>13</x:v>
      </x:c>
    </x:row>
    <x:row r="21">
      <x:c r="A21" t="str">
        <x:v>2026 S2</x:v>
      </x:c>
      <x:c r="B21" t="str">
        <x:v>CNCT0005</x:v>
      </x:c>
      <x:c r="C21" s="74" t="n">
        <x:v>3109</x:v>
      </x:c>
      <x:c r="D21" s="74" t="n">
        <x:v>1066.904</x:v>
      </x:c>
      <x:c r="E21" s="75" t="n">
        <x:v>0.9847348957602516</x:v>
      </x:c>
      <x:c r="F21" s="75" t="n">
        <x:v>0.17019991338723048</x:v>
      </x:c>
      <x:c r="G21" s="75" t="n">
        <x:v>0.016361042037096922</x:v>
      </x:c>
      <x:c r="H21" s="75" t="n">
        <x:v>0.009852817796723685</x:v>
      </x:c>
      <x:c r="I21" s="75" t="n">
        <x:v>0.009275645728674136</x:v>
      </x:c>
      <x:c r="J21" s="75" t="n">
        <x:v>0.014172301111888374</x:v>
      </x:c>
      <x:c r="K21" s="75" t="n">
        <x:v>0.013976353328364893</x:v>
      </x:c>
      <x:c r="L21" s="75" t="n">
        <x:v>0.011667095838107343</x:v>
      </x:c>
      <x:c r="M21" s="75" t="n">
        <x:v>0.005971577743865055</x:v>
      </x:c>
      <x:c r="N21" s="75" t="n">
        <x:v>0.005174383727338864</x:v>
      </x:c>
      <x:c r="O21" s="75" t="n">
        <x:v>0.011768652384431333</x:v>
      </x:c>
      <x:c r="P21" s="75" t="n">
        <x:v>0.0002096888672676869</x:v>
      </x:c>
      <x:c r="Q21" s="75" t="n">
        <x:v>0.003415998955111718</x:v>
      </x:c>
      <x:c r="R21" s="75" t="n">
        <x:v>0.371792003456933</x:v>
      </x:c>
      <x:c r="S21" s="75" t="n">
        <x:v>0.011852553432967398</x:v>
      </x:c>
      <x:c r="T21" s="75" t="n">
        <x:v>0.003966246815311024</x:v>
      </x:c>
      <x:c r="U21" s="75" t="n">
        <x:v>0.005604304242820944</x:v>
      </x:c>
      <x:c r="V21" s="75" t="n">
        <x:v>0.03681031535652801</x:v>
      </x:c>
      <x:c r="W21" s="75" t="n">
        <x:v>0.014201050119472262</x:v>
      </x:c>
      <x:c r="X21" s="75" t="n">
        <x:v>0.029037033959877747</x:v>
      </x:c>
      <x:c r="Y21" s="75" t="n">
        <x:v>0.01669814902002197</x:v>
      </x:c>
      <x:c r="Z21" s="75" t="n">
        <x:v>0.006804231806524972</x:v>
      </x:c>
      <x:c r="AA21" s="75" t="n">
        <x:v>0.00648611292808021</x:v>
      </x:c>
      <x:c r="AB21" s="75" t="n">
        <x:v>0.004333149410038662</x:v>
      </x:c>
      <x:c r="AC21" s="75" t="n">
        <x:v>0.022473109531029142</x:v>
      </x:c>
      <x:c r="AD21" s="75" t="n">
        <x:v>0.10925275622672052</x:v>
      </x:c>
      <x:c r="AE21" s="75" t="n">
        <x:v>0.09595231019379571</x:v>
      </x:c>
      <x:c r="AF21" s="74" t="n">
        <x:v>13</x:v>
      </x:c>
    </x:row>
    <x:row r="22">
      <x:c r="A22" t="str">
        <x:v>2025 S1</x:v>
      </x:c>
      <x:c r="B22" t="str">
        <x:v>CNCT0006</x:v>
      </x:c>
      <x:c r="C22" s="74" t="n">
        <x:v>3724</x:v>
      </x:c>
      <x:c r="D22" s="74" t="n">
        <x:v>1240.538</x:v>
      </x:c>
      <x:c r="E22" s="75" t="n">
        <x:v>0.9792590900279465</x:v>
      </x:c>
      <x:c r="F22" s="75" t="n">
        <x:v>0.16966891490435226</x:v>
      </x:c>
      <x:c r="G22" s="75" t="n">
        <x:v>0.011843318927421933</x:v>
      </x:c>
      <x:c r="H22" s="75" t="n">
        <x:v>0.01036700340086827</x:v>
      </x:c>
      <x:c r="I22" s="75" t="n">
        <x:v>0.008602026747183118</x:v>
      </x:c>
      <x:c r="J22" s="75" t="n">
        <x:v>0.0152768884152174</x:v>
      </x:c>
      <x:c r="K22" s="75" t="n">
        <x:v>0.01288772143152164</x:v>
      </x:c>
      <x:c r="L22" s="75" t="n">
        <x:v>0.00892518208947149</x:v>
      </x:c>
      <x:c r="M22" s="75" t="n">
        <x:v>0.009770118606787037</x:v>
      </x:c>
      <x:c r="N22" s="75" t="n">
        <x:v>0.005487260147696361</x:v>
      </x:c>
      <x:c r="O22" s="75" t="n">
        <x:v>0.01515634440818394</x:v>
      </x:c>
      <x:c r="P22" s="75" t="n">
        <x:v>0.001511755145402276</x:v>
      </x:c>
      <x:c r="Q22" s="75" t="n">
        <x:v>0.006382060359028401</x:v>
      </x:c>
      <x:c r="R22" s="75" t="n">
        <x:v>0.3831533409924408</x:v>
      </x:c>
      <x:c r="S22" s="75" t="n">
        <x:v>0.011318739856928006</x:v>
      </x:c>
      <x:c r="T22" s="75" t="n">
        <x:v>0.003263547409907915</x:v>
      </x:c>
      <x:c r="U22" s="75" t="n">
        <x:v>0.010787669918558094</x:v>
      </x:c>
      <x:c r="V22" s="75" t="n">
        <x:v>0.03579964319283317</x:v>
      </x:c>
      <x:c r="W22" s="75" t="n">
        <x:v>0.011527153742796508</x:v>
      </x:c>
      <x:c r="X22" s="75" t="n">
        <x:v>0.02447388742824376</x:v>
      </x:c>
      <x:c r="Y22" s="75" t="n">
        <x:v>0.019677769611526747</x:v>
      </x:c>
      <x:c r="Z22" s="75" t="n">
        <x:v>0.0070617996744462294</x:v>
      </x:c>
      <x:c r="AA22" s="75" t="n">
        <x:v>0.0076026452716800854</x:v>
      </x:c>
      <x:c r="AB22" s="75" t="n">
        <x:v>0.006165454019521712</x:v>
      </x:c>
      <x:c r="AC22" s="75" t="n">
        <x:v>0.029791443458397408</x:v>
      </x:c>
      <x:c r="AD22" s="75" t="n">
        <x:v>0.11116514263397972</x:v>
      </x:c>
      <x:c r="AE22" s="75" t="n">
        <x:v>0.07183332434265322</x:v>
      </x:c>
      <x:c r="AF22" s="74" t="n">
        <x:v>14</x:v>
      </x:c>
    </x:row>
    <x:row r="23">
      <x:c r="A23" t="str">
        <x:v>2025 S2</x:v>
      </x:c>
      <x:c r="B23" t="str">
        <x:v>CNCT0006</x:v>
      </x:c>
      <x:c r="C23" s="74" t="n">
        <x:v>3911</x:v>
      </x:c>
      <x:c r="D23" s="74" t="n">
        <x:v>1255.424</x:v>
      </x:c>
      <x:c r="E23" s="75" t="n">
        <x:v>0.9737177266280632</x:v>
      </x:c>
      <x:c r="F23" s="75" t="n">
        <x:v>0.16966891490435226</x:v>
      </x:c>
      <x:c r="G23" s="75" t="n">
        <x:v>0.011843318927421933</x:v>
      </x:c>
      <x:c r="H23" s="75" t="n">
        <x:v>0.01036700340086827</x:v>
      </x:c>
      <x:c r="I23" s="75" t="n">
        <x:v>0.008602026747183118</x:v>
      </x:c>
      <x:c r="J23" s="75" t="n">
        <x:v>0.0152768884152174</x:v>
      </x:c>
      <x:c r="K23" s="75" t="n">
        <x:v>0.01288772143152164</x:v>
      </x:c>
      <x:c r="L23" s="75" t="n">
        <x:v>0.00892518208947149</x:v>
      </x:c>
      <x:c r="M23" s="75" t="n">
        <x:v>0.009770118606787037</x:v>
      </x:c>
      <x:c r="N23" s="75" t="n">
        <x:v>0.005487260147696361</x:v>
      </x:c>
      <x:c r="O23" s="75" t="n">
        <x:v>0.01515634440818394</x:v>
      </x:c>
      <x:c r="P23" s="75" t="n">
        <x:v>0.001511755145402276</x:v>
      </x:c>
      <x:c r="Q23" s="75" t="n">
        <x:v>0.006382060359028401</x:v>
      </x:c>
      <x:c r="R23" s="75" t="n">
        <x:v>0.3819904523156627</x:v>
      </x:c>
      <x:c r="S23" s="75" t="n">
        <x:v>0.011318739856928006</x:v>
      </x:c>
      <x:c r="T23" s="75" t="n">
        <x:v>0.003263547409907915</x:v>
      </x:c>
      <x:c r="U23" s="75" t="n">
        <x:v>0.010787669918558094</x:v>
      </x:c>
      <x:c r="V23" s="75" t="n">
        <x:v>0.03579964319283317</x:v>
      </x:c>
      <x:c r="W23" s="75" t="n">
        <x:v>0.011527153742796508</x:v>
      </x:c>
      <x:c r="X23" s="75" t="n">
        <x:v>0.02447388742824376</x:v>
      </x:c>
      <x:c r="Y23" s="75" t="n">
        <x:v>0.019677769611526747</x:v>
      </x:c>
      <x:c r="Z23" s="75" t="n">
        <x:v>0.0070617996744462294</x:v>
      </x:c>
      <x:c r="AA23" s="75" t="n">
        <x:v>0.0076026452716800854</x:v>
      </x:c>
      <x:c r="AB23" s="75" t="n">
        <x:v>0.006165454019521712</x:v>
      </x:c>
      <x:c r="AC23" s="75" t="n">
        <x:v>0.029791443458397408</x:v>
      </x:c>
      <x:c r="AD23" s="75" t="n">
        <x:v>0.11116514263397972</x:v>
      </x:c>
      <x:c r="AE23" s="75" t="n">
        <x:v>0.07183332434265322</x:v>
      </x:c>
      <x:c r="AF23" s="74" t="n">
        <x:v>14</x:v>
      </x:c>
    </x:row>
    <x:row r="24">
      <x:c r="A24" t="str">
        <x:v>2026 S1</x:v>
      </x:c>
      <x:c r="B24" t="str">
        <x:v>CNCT0006</x:v>
      </x:c>
      <x:c r="C24" s="74" t="n">
        <x:v>3604</x:v>
      </x:c>
      <x:c r="D24" s="74" t="n">
        <x:v>1258.363</x:v>
      </x:c>
      <x:c r="E24" s="75" t="n">
        <x:v>0.9822271364250046</x:v>
      </x:c>
      <x:c r="F24" s="75" t="n">
        <x:v>0.1676573175794765</x:v>
      </x:c>
      <x:c r="G24" s="75" t="n">
        <x:v>0.01214253981245929</x:v>
      </x:c>
      <x:c r="H24" s="75" t="n">
        <x:v>0.01036700340086827</x:v>
      </x:c>
      <x:c r="I24" s="75" t="n">
        <x:v>0.008602026747183118</x:v>
      </x:c>
      <x:c r="J24" s="75" t="n">
        <x:v>0.0152768884152174</x:v>
      </x:c>
      <x:c r="K24" s="75" t="n">
        <x:v>0.01288772143152164</x:v>
      </x:c>
      <x:c r="L24" s="75" t="n">
        <x:v>0.00892518208947149</x:v>
      </x:c>
      <x:c r="M24" s="75" t="n">
        <x:v>0.009770118606787037</x:v>
      </x:c>
      <x:c r="N24" s="75" t="n">
        <x:v>0.005487260147696361</x:v>
      </x:c>
      <x:c r="O24" s="75" t="n">
        <x:v>0.014910256743925855</x:v>
      </x:c>
      <x:c r="P24" s="75" t="n">
        <x:v>0.001511755145402276</x:v>
      </x:c>
      <x:c r="Q24" s="75" t="n">
        <x:v>0.006382060359028401</x:v>
      </x:c>
      <x:c r="R24" s="75" t="n">
        <x:v>0.3886421624987413</x:v>
      </x:c>
      <x:c r="S24" s="75" t="n">
        <x:v>0.011318739856928006</x:v>
      </x:c>
      <x:c r="T24" s="75" t="n">
        <x:v>0.003263547409907915</x:v>
      </x:c>
      <x:c r="U24" s="75" t="n">
        <x:v>0.010787669918558094</x:v>
      </x:c>
      <x:c r="V24" s="75" t="n">
        <x:v>0.03579964319283317</x:v>
      </x:c>
      <x:c r="W24" s="75" t="n">
        <x:v>0.014183597881957243</x:v>
      </x:c>
      <x:c r="X24" s="75" t="n">
        <x:v>0.03764239915983418</x:v>
      </x:c>
      <x:c r="Y24" s="75" t="n">
        <x:v>0.031960541383140896</x:v>
      </x:c>
      <x:c r="Z24" s="75" t="n">
        <x:v>0.008689198490813437</x:v>
      </x:c>
      <x:c r="AA24" s="75" t="n">
        <x:v>0.009354682498275889</x:v>
      </x:c>
      <x:c r="AB24" s="75" t="n">
        <x:v>0.007586289080879197</x:v>
      </x:c>
      <x:c r="AC24" s="75" t="n">
        <x:v>0.036656911477478314</x:v>
      </x:c>
      <x:c r="AD24" s="75" t="n">
        <x:v>0.11116514263397972</x:v>
      </x:c>
      <x:c r="AE24" s="75" t="n">
        <x:v>0.07183332434265322</x:v>
      </x:c>
      <x:c r="AF24" s="74" t="n">
        <x:v>14</x:v>
      </x:c>
    </x:row>
    <x:row r="25">
      <x:c r="A25" t="str">
        <x:v>2026 S2</x:v>
      </x:c>
      <x:c r="B25" t="str">
        <x:v>CNCT0006</x:v>
      </x:c>
      <x:c r="C25" s="74" t="n">
        <x:v>3799</x:v>
      </x:c>
      <x:c r="D25" s="74" t="n">
        <x:v>1286.597</x:v>
      </x:c>
      <x:c r="E25" s="75" t="n">
        <x:v>0.9737177266280632</x:v>
      </x:c>
      <x:c r="F25" s="75" t="n">
        <x:v>0.16612638634877655</x:v>
      </x:c>
      <x:c r="G25" s="75" t="n">
        <x:v>0.011426499643195712</x:v>
      </x:c>
      <x:c r="H25" s="75" t="n">
        <x:v>0.01036700340086827</x:v>
      </x:c>
      <x:c r="I25" s="75" t="n">
        <x:v>0.008602026747183118</x:v>
      </x:c>
      <x:c r="J25" s="75" t="n">
        <x:v>0.0152768884152174</x:v>
      </x:c>
      <x:c r="K25" s="75" t="n">
        <x:v>0.01288772143152164</x:v>
      </x:c>
      <x:c r="L25" s="75" t="n">
        <x:v>0.00892518208947149</x:v>
      </x:c>
      <x:c r="M25" s="75" t="n">
        <x:v>0.009770118606787037</x:v>
      </x:c>
      <x:c r="N25" s="75" t="n">
        <x:v>0.005487260147696361</x:v>
      </x:c>
      <x:c r="O25" s="75" t="n">
        <x:v>0.01515634440818394</x:v>
      </x:c>
      <x:c r="P25" s="75" t="n">
        <x:v>0.001511755145402276</x:v>
      </x:c>
      <x:c r="Q25" s="75" t="n">
        <x:v>0.006382060359028401</x:v>
      </x:c>
      <x:c r="R25" s="75" t="n">
        <x:v>0.3857990877236305</x:v>
      </x:c>
      <x:c r="S25" s="75" t="n">
        <x:v>0.011318739856928006</x:v>
      </x:c>
      <x:c r="T25" s="75" t="n">
        <x:v>0.003263547409907915</x:v>
      </x:c>
      <x:c r="U25" s="75" t="n">
        <x:v>0.010787669918558094</x:v>
      </x:c>
      <x:c r="V25" s="75" t="n">
        <x:v>0.03579964319283317</x:v>
      </x:c>
      <x:c r="W25" s="75" t="n">
        <x:v>0.012218782967364299</x:v>
      </x:c>
      <x:c r="X25" s="75" t="n">
        <x:v>0.025942320673938386</x:v>
      </x:c>
      <x:c r="Y25" s="75" t="n">
        <x:v>0.020858435788218353</x:v>
      </x:c>
      <x:c r="Z25" s="75" t="n">
        <x:v>0.007485507654913004</x:v>
      </x:c>
      <x:c r="AA25" s="75" t="n">
        <x:v>0.008058803987980891</x:v>
      </x:c>
      <x:c r="AB25" s="75" t="n">
        <x:v>0.006535381260693016</x:v>
      </x:c>
      <x:c r="AC25" s="75" t="n">
        <x:v>0.031578930065901255</x:v>
      </x:c>
      <x:c r="AD25" s="75" t="n">
        <x:v>0.11116514263397972</x:v>
      </x:c>
      <x:c r="AE25" s="75" t="n">
        <x:v>0.07183332434265322</x:v>
      </x:c>
      <x:c r="AF25" s="74" t="n">
        <x:v>14</x:v>
      </x:c>
    </x:row>
    <x:row r="26">
      <x:c r="A26" t="str">
        <x:v>2025 S1</x:v>
      </x:c>
      <x:c r="B26" t="str">
        <x:v>CNCT0007</x:v>
      </x:c>
      <x:c r="C26" s="74" t="n">
        <x:v>1863</x:v>
      </x:c>
      <x:c r="D26" s="74" t="n">
        <x:v>1007.397</x:v>
      </x:c>
      <x:c r="E26" s="75" t="n">
        <x:v>0.9717351237757103</x:v>
      </x:c>
      <x:c r="F26" s="75" t="n">
        <x:v>0.1560935906835366</x:v>
      </x:c>
      <x:c r="G26" s="75" t="n">
        <x:v>0.010359153605735628</x:v>
      </x:c>
      <x:c r="H26" s="75" t="n">
        <x:v>0.007915762192496914</x:v>
      </x:c>
      <x:c r="I26" s="75" t="n">
        <x:v>0.0058183223207815896</x:v>
      </x:c>
      <x:c r="J26" s="75" t="n">
        <x:v>0.013851124699169305</x:v>
      </x:c>
      <x:c r="K26" s="75" t="n">
        <x:v>0.0129922283404303</x:v>
      </x:c>
      <x:c r="L26" s="75" t="n">
        <x:v>0.008413900845029274</x:v>
      </x:c>
      <x:c r="M26" s="75" t="n">
        <x:v>0.00703994858965234</x:v>
      </x:c>
      <x:c r="N26" s="75" t="n">
        <x:v>0.00668125939183301</x:v>
      </x:c>
      <x:c r="O26" s="75" t="n">
        <x:v>0.010203858111286535</x:v>
      </x:c>
      <x:c r="P26" s="75" t="n">
        <x:v>0.0006713526493294921</x:v>
      </x:c>
      <x:c r="Q26" s="75" t="n">
        <x:v>0.0020490234182798306</x:v>
      </x:c>
      <x:c r="R26" s="75" t="n">
        <x:v>0.38144593105320584</x:v>
      </x:c>
      <x:c r="S26" s="75" t="n">
        <x:v>0.011944125747817452</x:v>
      </x:c>
      <x:c r="T26" s="75" t="n">
        <x:v>0.003954915325681214</x:v>
      </x:c>
      <x:c r="U26" s="75" t="n">
        <x:v>0.008083793464698829</x:v>
      </x:c>
      <x:c r="V26" s="75" t="n">
        <x:v>0.03396545490459539</x:v>
      </x:c>
      <x:c r="W26" s="75" t="n">
        <x:v>0.010399345935655582</x:v>
      </x:c>
      <x:c r="X26" s="75" t="n">
        <x:v>0.02332828936966951</x:v>
      </x:c>
      <x:c r="Y26" s="75" t="n">
        <x:v>0.021260582131794655</x:v>
      </x:c>
      <x:c r="Z26" s="75" t="n">
        <x:v>0.006917348051303998</x:v>
      </x:c>
      <x:c r="AA26" s="75" t="n">
        <x:v>0.009441317377485103</x:v>
      </x:c>
      <x:c r="AB26" s="75" t="n">
        <x:v>0.005622454802307766</x:v>
      </x:c>
      <x:c r="AC26" s="75" t="n">
        <x:v>0.024102541201852727</x:v>
      </x:c>
      <x:c r="AD26" s="75" t="n">
        <x:v>0.11046347717850587</x:v>
      </x:c>
      <x:c r="AE26" s="75" t="n">
        <x:v>0.08633200163182482</x:v>
      </x:c>
      <x:c r="AF26" s="74" t="n">
        <x:v>8</x:v>
      </x:c>
    </x:row>
    <x:row r="27">
      <x:c r="A27" t="str">
        <x:v>2025 S2</x:v>
      </x:c>
      <x:c r="B27" t="str">
        <x:v>CNCT0007</x:v>
      </x:c>
      <x:c r="C27" s="74" t="n">
        <x:v>1995</x:v>
      </x:c>
      <x:c r="D27" s="74" t="n">
        <x:v>1019.486</x:v>
      </x:c>
      <x:c r="E27" s="75" t="n">
        <x:v>0.976504306044866</x:v>
      </x:c>
      <x:c r="F27" s="75" t="n">
        <x:v>0.1560935906835366</x:v>
      </x:c>
      <x:c r="G27" s="75" t="n">
        <x:v>0.010359153605735628</x:v>
      </x:c>
      <x:c r="H27" s="75" t="n">
        <x:v>0.007915762192496914</x:v>
      </x:c>
      <x:c r="I27" s="75" t="n">
        <x:v>0.0058183223207815896</x:v>
      </x:c>
      <x:c r="J27" s="75" t="n">
        <x:v>0.013851124699169305</x:v>
      </x:c>
      <x:c r="K27" s="75" t="n">
        <x:v>0.0129922283404303</x:v>
      </x:c>
      <x:c r="L27" s="75" t="n">
        <x:v>0.008413900845029274</x:v>
      </x:c>
      <x:c r="M27" s="75" t="n">
        <x:v>0.00703994858965234</x:v>
      </x:c>
      <x:c r="N27" s="75" t="n">
        <x:v>0.00668125939183301</x:v>
      </x:c>
      <x:c r="O27" s="75" t="n">
        <x:v>0.010203858111286535</x:v>
      </x:c>
      <x:c r="P27" s="75" t="n">
        <x:v>0.0006713526493294921</x:v>
      </x:c>
      <x:c r="Q27" s="75" t="n">
        <x:v>0.0020490234182798306</x:v>
      </x:c>
      <x:c r="R27" s="75" t="n">
        <x:v>0.40918202837322604</x:v>
      </x:c>
      <x:c r="S27" s="75" t="n">
        <x:v>0.011944125747817452</x:v>
      </x:c>
      <x:c r="T27" s="75" t="n">
        <x:v>0.003954915325681214</x:v>
      </x:c>
      <x:c r="U27" s="75" t="n">
        <x:v>0.008083793464698829</x:v>
      </x:c>
      <x:c r="V27" s="75" t="n">
        <x:v>0.03396545490459539</x:v>
      </x:c>
      <x:c r="W27" s="75" t="n">
        <x:v>0.010399345935655582</x:v>
      </x:c>
      <x:c r="X27" s="75" t="n">
        <x:v>0.02332828936966951</x:v>
      </x:c>
      <x:c r="Y27" s="75" t="n">
        <x:v>0.021260582131794655</x:v>
      </x:c>
      <x:c r="Z27" s="75" t="n">
        <x:v>0.006917348051303998</x:v>
      </x:c>
      <x:c r="AA27" s="75" t="n">
        <x:v>0.009441317377485103</x:v>
      </x:c>
      <x:c r="AB27" s="75" t="n">
        <x:v>0.005622454802307766</x:v>
      </x:c>
      <x:c r="AC27" s="75" t="n">
        <x:v>0.024102541201852727</x:v>
      </x:c>
      <x:c r="AD27" s="75" t="n">
        <x:v>0.11046347717850587</x:v>
      </x:c>
      <x:c r="AE27" s="75" t="n">
        <x:v>0.08633200163182482</x:v>
      </x:c>
      <x:c r="AF27" s="74" t="n">
        <x:v>8</x:v>
      </x:c>
    </x:row>
    <x:row r="28">
      <x:c r="A28" t="str">
        <x:v>2026 S1</x:v>
      </x:c>
      <x:c r="B28" t="str">
        <x:v>CNCT0007</x:v>
      </x:c>
      <x:c r="C28" s="74" t="n">
        <x:v>1783</x:v>
      </x:c>
      <x:c r="D28" s="74" t="n">
        <x:v>1022.228</x:v>
      </x:c>
      <x:c r="E28" s="75" t="n">
        <x:v>0.9755920693141962</x:v>
      </x:c>
      <x:c r="F28" s="75" t="n">
        <x:v>0.15400888496178958</x:v>
      </x:c>
      <x:c r="G28" s="75" t="n">
        <x:v>0.009154362803310504</x:v>
      </x:c>
      <x:c r="H28" s="75" t="n">
        <x:v>0.007915762192496914</x:v>
      </x:c>
      <x:c r="I28" s="75" t="n">
        <x:v>0.0058183223207815896</x:v>
      </x:c>
      <x:c r="J28" s="75" t="n">
        <x:v>0.013851124699169305</x:v>
      </x:c>
      <x:c r="K28" s="75" t="n">
        <x:v>0.0129922283404303</x:v>
      </x:c>
      <x:c r="L28" s="75" t="n">
        <x:v>0.008413900845029274</x:v>
      </x:c>
      <x:c r="M28" s="75" t="n">
        <x:v>0.00703994858965234</x:v>
      </x:c>
      <x:c r="N28" s="75" t="n">
        <x:v>0.00668125939183301</x:v>
      </x:c>
      <x:c r="O28" s="75" t="n">
        <x:v>0.01130401111968149</x:v>
      </x:c>
      <x:c r="P28" s="75" t="n">
        <x:v>0.0006713526493294921</x:v>
      </x:c>
      <x:c r="Q28" s="75" t="n">
        <x:v>0.0020490234182798306</x:v>
      </x:c>
      <x:c r="R28" s="75" t="n">
        <x:v>0.3832987572770232</x:v>
      </x:c>
      <x:c r="S28" s="75" t="n">
        <x:v>0.011944125747817452</x:v>
      </x:c>
      <x:c r="T28" s="75" t="n">
        <x:v>0.003954915325681214</x:v>
      </x:c>
      <x:c r="U28" s="75" t="n">
        <x:v>0.008083793464698829</x:v>
      </x:c>
      <x:c r="V28" s="75" t="n">
        <x:v>0.03396545490459539</x:v>
      </x:c>
      <x:c r="W28" s="75" t="n">
        <x:v>0.012795885634724028</x:v>
      </x:c>
      <x:c r="X28" s="75" t="n">
        <x:v>0.035880396309897984</x:v>
      </x:c>
      <x:c r="Y28" s="75" t="n">
        <x:v>0.034531338076793774</x:v>
      </x:c>
      <x:c r="Z28" s="75" t="n">
        <x:v>0.008511457846265705</x:v>
      </x:c>
      <x:c r="AA28" s="75" t="n">
        <x:v>0.011617078434636767</x:v>
      </x:c>
      <x:c r="AB28" s="75" t="n">
        <x:v>0.0069181551495526485</x:v>
      </x:c>
      <x:c r="AC28" s="75" t="n">
        <x:v>0.029656995991228053</x:v>
      </x:c>
      <x:c r="AD28" s="75" t="n">
        <x:v>0.11046347717850587</x:v>
      </x:c>
      <x:c r="AE28" s="75" t="n">
        <x:v>0.08633200163182482</x:v>
      </x:c>
      <x:c r="AF28" s="74" t="n">
        <x:v>8</x:v>
      </x:c>
    </x:row>
    <x:row r="29">
      <x:c r="A29" t="str">
        <x:v>2026 S2</x:v>
      </x:c>
      <x:c r="B29" t="str">
        <x:v>CNCT0007</x:v>
      </x:c>
      <x:c r="C29" s="74" t="n">
        <x:v>1961</x:v>
      </x:c>
      <x:c r="D29" s="74" t="n">
        <x:v>1042.109</x:v>
      </x:c>
      <x:c r="E29" s="75" t="n">
        <x:v>0.976504306044866</x:v>
      </x:c>
      <x:c r="F29" s="75" t="n">
        <x:v>0.15645152667026557</x:v>
      </x:c>
      <x:c r="G29" s="75" t="n">
        <x:v>0.011509394491731655</x:v>
      </x:c>
      <x:c r="H29" s="75" t="n">
        <x:v>0.007915762192496914</x:v>
      </x:c>
      <x:c r="I29" s="75" t="n">
        <x:v>0.0058183223207815896</x:v>
      </x:c>
      <x:c r="J29" s="75" t="n">
        <x:v>0.013851124699169305</x:v>
      </x:c>
      <x:c r="K29" s="75" t="n">
        <x:v>0.0129922283404303</x:v>
      </x:c>
      <x:c r="L29" s="75" t="n">
        <x:v>0.008413900845029274</x:v>
      </x:c>
      <x:c r="M29" s="75" t="n">
        <x:v>0.00703994858965234</x:v>
      </x:c>
      <x:c r="N29" s="75" t="n">
        <x:v>0.00668125939183301</x:v>
      </x:c>
      <x:c r="O29" s="75" t="n">
        <x:v>0.010203858111286535</x:v>
      </x:c>
      <x:c r="P29" s="75" t="n">
        <x:v>0.0006713526493294921</x:v>
      </x:c>
      <x:c r="Q29" s="75" t="n">
        <x:v>0.0020490234182798306</x:v>
      </x:c>
      <x:c r="R29" s="75" t="n">
        <x:v>0.41030127605798256</x:v>
      </x:c>
      <x:c r="S29" s="75" t="n">
        <x:v>0.011944125747817452</x:v>
      </x:c>
      <x:c r="T29" s="75" t="n">
        <x:v>0.003954915325681214</x:v>
      </x:c>
      <x:c r="U29" s="75" t="n">
        <x:v>0.008083793464698829</x:v>
      </x:c>
      <x:c r="V29" s="75" t="n">
        <x:v>0.03396545490459539</x:v>
      </x:c>
      <x:c r="W29" s="75" t="n">
        <x:v>0.011023306691794917</x:v>
      </x:c>
      <x:c r="X29" s="75" t="n">
        <x:v>0.024727986731849682</x:v>
      </x:c>
      <x:c r="Y29" s="75" t="n">
        <x:v>0.022536217059702334</x:v>
      </x:c>
      <x:c r="Z29" s="75" t="n">
        <x:v>0.007332388934382238</x:v>
      </x:c>
      <x:c r="AA29" s="75" t="n">
        <x:v>0.01000779642013421</x:v>
      </x:c>
      <x:c r="AB29" s="75" t="n">
        <x:v>0.005959802090446232</x:v>
      </x:c>
      <x:c r="AC29" s="75" t="n">
        <x:v>0.025548693673963892</x:v>
      </x:c>
      <x:c r="AD29" s="75" t="n">
        <x:v>0.11046347717850587</x:v>
      </x:c>
      <x:c r="AE29" s="75" t="n">
        <x:v>0.08633200163182482</x:v>
      </x:c>
      <x:c r="AF29" s="74" t="n">
        <x:v>8</x:v>
      </x:c>
    </x:row>
    <x:row r="30">
      <x:c r="A30" t="str">
        <x:v>2025 S1</x:v>
      </x:c>
      <x:c r="B30" t="str">
        <x:v>CNCT0008</x:v>
      </x:c>
      <x:c r="C30" s="74" t="n">
        <x:v>1650</x:v>
      </x:c>
      <x:c r="D30" s="74" t="n">
        <x:v>972.855</x:v>
      </x:c>
      <x:c r="E30" s="75" t="n">
        <x:v>0.9782660398867301</x:v>
      </x:c>
      <x:c r="F30" s="75" t="n">
        <x:v>0.17884709136979654</x:v>
      </x:c>
      <x:c r="G30" s="75" t="n">
        <x:v>0.014232213552924804</x:v>
      </x:c>
      <x:c r="H30" s="75" t="n">
        <x:v>0.00950529381087108</x:v>
      </x:c>
      <x:c r="I30" s="75" t="n">
        <x:v>0.005622454004667815</x:v>
      </x:c>
      <x:c r="J30" s="75" t="n">
        <x:v>0.012730131574673578</x:v>
      </x:c>
      <x:c r="K30" s="75" t="n">
        <x:v>0.009077871089582914</x:v>
      </x:c>
      <x:c r="L30" s="75" t="n">
        <x:v>0.01069084680560627</x:v>
      </x:c>
      <x:c r="M30" s="75" t="n">
        <x:v>0.009849142584942456</x:v>
      </x:c>
      <x:c r="N30" s="75" t="n">
        <x:v>0.0060176327466324436</x:v>
      </x:c>
      <x:c r="O30" s="75" t="n">
        <x:v>0.011668756500435846</x:v>
      </x:c>
      <x:c r="P30" s="75" t="n">
        <x:v>0.0005861981747984828</x:v>
      </x:c>
      <x:c r="Q30" s="75" t="n">
        <x:v>0.005045381116455246</x:v>
      </x:c>
      <x:c r="R30" s="75" t="n">
        <x:v>0.3831783307912492</x:v>
      </x:c>
      <x:c r="S30" s="75" t="n">
        <x:v>0.012565342732072167</x:v>
      </x:c>
      <x:c r="T30" s="75" t="n">
        <x:v>0.004307684819359565</x:v>
      </x:c>
      <x:c r="U30" s="75" t="n">
        <x:v>0.005792217261216137</x:v>
      </x:c>
      <x:c r="V30" s="75" t="n">
        <x:v>0.03821258467269945</x:v>
      </x:c>
      <x:c r="W30" s="75" t="n">
        <x:v>0.01986393133014739</x:v>
      </x:c>
      <x:c r="X30" s="75" t="n">
        <x:v>0.03024285300810251</x:v>
      </x:c>
      <x:c r="Y30" s="75" t="n">
        <x:v>0.027534111048244346</x:v>
      </x:c>
      <x:c r="Z30" s="75" t="n">
        <x:v>0.007997723031765781</x:v>
      </x:c>
      <x:c r="AA30" s="75" t="n">
        <x:v>0.0075772249961050695</x:v>
      </x:c>
      <x:c r="AB30" s="75" t="n">
        <x:v>0.006073962467916719</x:v>
      </x:c>
      <x:c r="AC30" s="75" t="n">
        <x:v>0.03951493414846365</x:v>
      </x:c>
      <x:c r="AD30" s="75" t="n">
        <x:v>0.09966988827306314</x:v>
      </x:c>
      <x:c r="AE30" s="75" t="n">
        <x:v>0.0849707578803791</x:v>
      </x:c>
      <x:c r="AF30" s="74" t="n">
        <x:v>10</x:v>
      </x:c>
    </x:row>
    <x:row r="31">
      <x:c r="A31" t="str">
        <x:v>2025 S2</x:v>
      </x:c>
      <x:c r="B31" t="str">
        <x:v>CNCT0008</x:v>
      </x:c>
      <x:c r="C31" s="74" t="n">
        <x:v>2419</x:v>
      </x:c>
      <x:c r="D31" s="74" t="n">
        <x:v>984.529</x:v>
      </x:c>
      <x:c r="E31" s="75" t="n">
        <x:v>0.984668447792902</x:v>
      </x:c>
      <x:c r="F31" s="75" t="n">
        <x:v>0.17884709136979654</x:v>
      </x:c>
      <x:c r="G31" s="75" t="n">
        <x:v>0.014232213552924804</x:v>
      </x:c>
      <x:c r="H31" s="75" t="n">
        <x:v>0.00950529381087108</x:v>
      </x:c>
      <x:c r="I31" s="75" t="n">
        <x:v>0.005622454004667815</x:v>
      </x:c>
      <x:c r="J31" s="75" t="n">
        <x:v>0.012730131574673578</x:v>
      </x:c>
      <x:c r="K31" s="75" t="n">
        <x:v>0.009077871089582914</x:v>
      </x:c>
      <x:c r="L31" s="75" t="n">
        <x:v>0.01069084680560627</x:v>
      </x:c>
      <x:c r="M31" s="75" t="n">
        <x:v>0.009849142584942456</x:v>
      </x:c>
      <x:c r="N31" s="75" t="n">
        <x:v>0.0060176327466324436</x:v>
      </x:c>
      <x:c r="O31" s="75" t="n">
        <x:v>0.011668756500435846</x:v>
      </x:c>
      <x:c r="P31" s="75" t="n">
        <x:v>0.0005861981747984828</x:v>
      </x:c>
      <x:c r="Q31" s="75" t="n">
        <x:v>0.005045381116455246</x:v>
      </x:c>
      <x:c r="R31" s="75" t="n">
        <x:v>0.3658013207439945</x:v>
      </x:c>
      <x:c r="S31" s="75" t="n">
        <x:v>0.012565342732072167</x:v>
      </x:c>
      <x:c r="T31" s="75" t="n">
        <x:v>0.004307684819359565</x:v>
      </x:c>
      <x:c r="U31" s="75" t="n">
        <x:v>0.005792217261216137</x:v>
      </x:c>
      <x:c r="V31" s="75" t="n">
        <x:v>0.03821258467269945</x:v>
      </x:c>
      <x:c r="W31" s="75" t="n">
        <x:v>0.014714023207516583</x:v>
      </x:c>
      <x:c r="X31" s="75" t="n">
        <x:v>0.02240211333933519</x:v>
      </x:c>
      <x:c r="Y31" s="75" t="n">
        <x:v>0.02039563781351433</x:v>
      </x:c>
      <x:c r="Z31" s="75" t="n">
        <x:v>0.007997723031765781</x:v>
      </x:c>
      <x:c r="AA31" s="75" t="n">
        <x:v>0.0075772249961050695</x:v>
      </x:c>
      <x:c r="AB31" s="75" t="n">
        <x:v>0.0044992314577160875</x:v>
      </x:c>
      <x:c r="AC31" s="75" t="n">
        <x:v>0.029270321591454557</x:v>
      </x:c>
      <x:c r="AD31" s="75" t="n">
        <x:v>0.0889909716723778</x:v>
      </x:c>
      <x:c r="AE31" s="75" t="n">
        <x:v>0.0849707578803791</x:v>
      </x:c>
      <x:c r="AF31" s="74" t="n">
        <x:v>10</x:v>
      </x:c>
    </x:row>
    <x:row r="32">
      <x:c r="A32" t="str">
        <x:v>2026 S1</x:v>
      </x:c>
      <x:c r="B32" t="str">
        <x:v>CNCT0008</x:v>
      </x:c>
      <x:c r="C32" s="74" t="n">
        <x:v>2149</x:v>
      </x:c>
      <x:c r="D32" s="74" t="n">
        <x:v>977.803</x:v>
      </x:c>
      <x:c r="E32" s="75" t="n">
        <x:v>0.9782876136831328</x:v>
      </x:c>
      <x:c r="F32" s="75" t="n">
        <x:v>0.18178103407128945</x:v>
      </x:c>
      <x:c r="G32" s="75" t="n">
        <x:v>0.012735731553693766</x:v>
      </x:c>
      <x:c r="H32" s="75" t="n">
        <x:v>0.00950529381087108</x:v>
      </x:c>
      <x:c r="I32" s="75" t="n">
        <x:v>0.005622454004667815</x:v>
      </x:c>
      <x:c r="J32" s="75" t="n">
        <x:v>0.012730131574673578</x:v>
      </x:c>
      <x:c r="K32" s="75" t="n">
        <x:v>0.009077871089582914</x:v>
      </x:c>
      <x:c r="L32" s="75" t="n">
        <x:v>0.01069084680560627</x:v>
      </x:c>
      <x:c r="M32" s="75" t="n">
        <x:v>0.009849142584942456</x:v>
      </x:c>
      <x:c r="N32" s="75" t="n">
        <x:v>0.0060176327466324436</x:v>
      </x:c>
      <x:c r="O32" s="75" t="n">
        <x:v>0.012669771346012566</x:v>
      </x:c>
      <x:c r="P32" s="75" t="n">
        <x:v>0.0005861981747984828</x:v>
      </x:c>
      <x:c r="Q32" s="75" t="n">
        <x:v>0.005045381116455246</x:v>
      </x:c>
      <x:c r="R32" s="75" t="n">
        <x:v>0.3772427231676573</x:v>
      </x:c>
      <x:c r="S32" s="75" t="n">
        <x:v>0.012565342732072167</x:v>
      </x:c>
      <x:c r="T32" s="75" t="n">
        <x:v>0.004307684819359565</x:v>
      </x:c>
      <x:c r="U32" s="75" t="n">
        <x:v>0.005792217261216137</x:v>
      </x:c>
      <x:c r="V32" s="75" t="n">
        <x:v>0.03821258467269945</x:v>
      </x:c>
      <x:c r="W32" s="75" t="n">
        <x:v>0.024441594224219265</x:v>
      </x:c>
      <x:c r="X32" s="75" t="n">
        <x:v>0.04651543601321855</x:v>
      </x:c>
      <x:c r="Y32" s="75" t="n">
        <x:v>0.04472077440574999</x:v>
      </x:c>
      <x:c r="Z32" s="75" t="n">
        <x:v>0.009840806324347149</x:v>
      </x:c>
      <x:c r="AA32" s="75" t="n">
        <x:v>0.009323404094703811</x:v>
      </x:c>
      <x:c r="AB32" s="75" t="n">
        <x:v>0.0074737132094614585</x:v>
      </x:c>
      <x:c r="AC32" s="75" t="n">
        <x:v>0.04862119034753668</x:v>
      </x:c>
      <x:c r="AD32" s="75" t="n">
        <x:v>0.09966988827306314</x:v>
      </x:c>
      <x:c r="AE32" s="75" t="n">
        <x:v>0.0849707578803791</x:v>
      </x:c>
      <x:c r="AF32" s="74" t="n">
        <x:v>10</x:v>
      </x:c>
    </x:row>
    <x:row r="33">
      <x:c r="A33" t="str">
        <x:v>2026 S2</x:v>
      </x:c>
      <x:c r="B33" t="str">
        <x:v>CNCT0008</x:v>
      </x:c>
      <x:c r="C33" s="74" t="n">
        <x:v>2445</x:v>
      </x:c>
      <x:c r="D33" s="74" t="n">
        <x:v>1015.468</x:v>
      </x:c>
      <x:c r="E33" s="75" t="n">
        <x:v>0.984668447792902</x:v>
      </x:c>
      <x:c r="F33" s="75" t="n">
        <x:v>0.18345533300828537</x:v>
      </x:c>
      <x:c r="G33" s="75" t="n">
        <x:v>0.01293608338892227</x:v>
      </x:c>
      <x:c r="H33" s="75" t="n">
        <x:v>0.00950529381087108</x:v>
      </x:c>
      <x:c r="I33" s="75" t="n">
        <x:v>0.005622454004667815</x:v>
      </x:c>
      <x:c r="J33" s="75" t="n">
        <x:v>0.012730131574673578</x:v>
      </x:c>
      <x:c r="K33" s="75" t="n">
        <x:v>0.009077871089582914</x:v>
      </x:c>
      <x:c r="L33" s="75" t="n">
        <x:v>0.01069084680560627</x:v>
      </x:c>
      <x:c r="M33" s="75" t="n">
        <x:v>0.009849142584942456</x:v>
      </x:c>
      <x:c r="N33" s="75" t="n">
        <x:v>0.0060176327466324436</x:v>
      </x:c>
      <x:c r="O33" s="75" t="n">
        <x:v>0.011668756500435846</x:v>
      </x:c>
      <x:c r="P33" s="75" t="n">
        <x:v>0.0005861981747984828</x:v>
      </x:c>
      <x:c r="Q33" s="75" t="n">
        <x:v>0.005045381116455246</x:v>
      </x:c>
      <x:c r="R33" s="75" t="n">
        <x:v>0.3637181074385139</x:v>
      </x:c>
      <x:c r="S33" s="75" t="n">
        <x:v>0.012565342732072167</x:v>
      </x:c>
      <x:c r="T33" s="75" t="n">
        <x:v>0.004307684819359565</x:v>
      </x:c>
      <x:c r="U33" s="75" t="n">
        <x:v>0.005792217261216137</x:v>
      </x:c>
      <x:c r="V33" s="75" t="n">
        <x:v>0.03821258467269945</x:v>
      </x:c>
      <x:c r="W33" s="75" t="n">
        <x:v>0.01559686459996758</x:v>
      </x:c>
      <x:c r="X33" s="75" t="n">
        <x:v>0.023746240139695302</x:v>
      </x:c>
      <x:c r="Y33" s="75" t="n">
        <x:v>0.02161937608232519</x:v>
      </x:c>
      <x:c r="Z33" s="75" t="n">
        <x:v>0.008477586413671728</x:v>
      </x:c>
      <x:c r="AA33" s="75" t="n">
        <x:v>0.008031858495871375</x:v>
      </x:c>
      <x:c r="AB33" s="75" t="n">
        <x:v>0.004769185345179053</x:v>
      </x:c>
      <x:c r="AC33" s="75" t="n">
        <x:v>0.03102654088694183</x:v>
      </x:c>
      <x:c r="AD33" s="75" t="n">
        <x:v>0.0889909716723778</x:v>
      </x:c>
      <x:c r="AE33" s="75" t="n">
        <x:v>0.0849707578803791</x:v>
      </x:c>
      <x:c r="AF33" s="74" t="n">
        <x:v>10</x:v>
      </x:c>
    </x:row>
    <x:row r="34">
      <x:c r="A34" t="str">
        <x:v>2025 S1</x:v>
      </x:c>
      <x:c r="B34" t="str">
        <x:v>CNCT0009</x:v>
      </x:c>
      <x:c r="C34" s="74" t="n">
        <x:v>2344</x:v>
      </x:c>
      <x:c r="D34" s="74" t="n">
        <x:v>1013.21</x:v>
      </x:c>
      <x:c r="E34" s="75" t="n">
        <x:v>0.9618089444924844</x:v>
      </x:c>
      <x:c r="F34" s="75" t="n">
        <x:v>0.16434728068002732</x:v>
      </x:c>
      <x:c r="G34" s="75" t="n">
        <x:v>0.010193438007518124</x:v>
      </x:c>
      <x:c r="H34" s="75" t="n">
        <x:v>0.008618392172073072</x:v>
      </x:c>
      <x:c r="I34" s="75" t="n">
        <x:v>0.008092172890908841</x:v>
      </x:c>
      <x:c r="J34" s="75" t="n">
        <x:v>0.017309143566817512</x:v>
      </x:c>
      <x:c r="K34" s="75" t="n">
        <x:v>0.011546779544849414</x:v>
      </x:c>
      <x:c r="L34" s="75" t="n">
        <x:v>0.013527524005810846</x:v>
      </x:c>
      <x:c r="M34" s="75" t="n">
        <x:v>0.005963218732365931</x:v>
      </x:c>
      <x:c r="N34" s="75" t="n">
        <x:v>0.008530592707436882</x:v>
      </x:c>
      <x:c r="O34" s="75" t="n">
        <x:v>0.013223942604032344</x:v>
      </x:c>
      <x:c r="P34" s="75" t="n">
        <x:v>0.0012941422976782634</x:v>
      </x:c>
      <x:c r="Q34" s="75" t="n">
        <x:v>0.0036446052737555876</x:v>
      </x:c>
      <x:c r="R34" s="75" t="n">
        <x:v>0.37348095764102296</x:v>
      </x:c>
      <x:c r="S34" s="75" t="n">
        <x:v>0.011623705044599773</x:v>
      </x:c>
      <x:c r="T34" s="75" t="n">
        <x:v>0.005968650349968812</x:v>
      </x:c>
      <x:c r="U34" s="75" t="n">
        <x:v>0.01117661555187078</x:v>
      </x:c>
      <x:c r="V34" s="75" t="n">
        <x:v>0.03379488595356816</x:v>
      </x:c>
      <x:c r="W34" s="75" t="n">
        <x:v>0.01257915148540851</x:v>
      </x:c>
      <x:c r="X34" s="75" t="n">
        <x:v>0.022497391562078407</x:v>
      </x:c>
      <x:c r="Y34" s="75" t="n">
        <x:v>0.020066704938299953</x:v>
      </x:c>
      <x:c r="Z34" s="75" t="n">
        <x:v>0.007822481201967458</x:v>
      </x:c>
      <x:c r="AA34" s="75" t="n">
        <x:v>0.005816907463293755</x:v>
      </x:c>
      <x:c r="AB34" s="75" t="n">
        <x:v>0.004698701915948187</x:v>
      </x:c>
      <x:c r="AC34" s="75" t="n">
        <x:v>0.020565498297323938</x:v>
      </x:c>
      <x:c r="AD34" s="75" t="n">
        <x:v>0.09770910444605398</x:v>
      </x:c>
      <x:c r="AE34" s="75" t="n">
        <x:v>0.07870934374455828</x:v>
      </x:c>
      <x:c r="AF34" s="74" t="n">
        <x:v>9</x:v>
      </x:c>
    </x:row>
    <x:row r="35">
      <x:c r="A35" t="str">
        <x:v>2025 S2</x:v>
      </x:c>
      <x:c r="B35" t="str">
        <x:v>CNCT0009</x:v>
      </x:c>
      <x:c r="C35" s="74" t="n">
        <x:v>2573</x:v>
      </x:c>
      <x:c r="D35" s="74" t="n">
        <x:v>1025.369</x:v>
      </x:c>
      <x:c r="E35" s="75" t="n">
        <x:v>0.9752061641941836</x:v>
      </x:c>
      <x:c r="F35" s="75" t="n">
        <x:v>0.16434728068002732</x:v>
      </x:c>
      <x:c r="G35" s="75" t="n">
        <x:v>0.010193438007518124</x:v>
      </x:c>
      <x:c r="H35" s="75" t="n">
        <x:v>0.008618392172073072</x:v>
      </x:c>
      <x:c r="I35" s="75" t="n">
        <x:v>0.008092172890908841</x:v>
      </x:c>
      <x:c r="J35" s="75" t="n">
        <x:v>0.017309143566817512</x:v>
      </x:c>
      <x:c r="K35" s="75" t="n">
        <x:v>0.011546779544849414</x:v>
      </x:c>
      <x:c r="L35" s="75" t="n">
        <x:v>0.013527524005810846</x:v>
      </x:c>
      <x:c r="M35" s="75" t="n">
        <x:v>0.005963218732365931</x:v>
      </x:c>
      <x:c r="N35" s="75" t="n">
        <x:v>0.008530592707436882</x:v>
      </x:c>
      <x:c r="O35" s="75" t="n">
        <x:v>0.013223942604032344</x:v>
      </x:c>
      <x:c r="P35" s="75" t="n">
        <x:v>0.0012941422976782634</x:v>
      </x:c>
      <x:c r="Q35" s="75" t="n">
        <x:v>0.0036446052737555876</x:v>
      </x:c>
      <x:c r="R35" s="75" t="n">
        <x:v>0.36831011560720817</x:v>
      </x:c>
      <x:c r="S35" s="75" t="n">
        <x:v>0.011623705044599773</x:v>
      </x:c>
      <x:c r="T35" s="75" t="n">
        <x:v>0.005968650349968812</x:v>
      </x:c>
      <x:c r="U35" s="75" t="n">
        <x:v>0.01117661555187078</x:v>
      </x:c>
      <x:c r="V35" s="75" t="n">
        <x:v>0.03379488595356816</x:v>
      </x:c>
      <x:c r="W35" s="75" t="n">
        <x:v>0.01257915148540851</x:v>
      </x:c>
      <x:c r="X35" s="75" t="n">
        <x:v>0.022497391562078407</x:v>
      </x:c>
      <x:c r="Y35" s="75" t="n">
        <x:v>0.020066704938299953</x:v>
      </x:c>
      <x:c r="Z35" s="75" t="n">
        <x:v>0.007822481201967458</x:v>
      </x:c>
      <x:c r="AA35" s="75" t="n">
        <x:v>0.005816907463293755</x:v>
      </x:c>
      <x:c r="AB35" s="75" t="n">
        <x:v>0.004698701915948187</x:v>
      </x:c>
      <x:c r="AC35" s="75" t="n">
        <x:v>0.020565498297323938</x:v>
      </x:c>
      <x:c r="AD35" s="75" t="n">
        <x:v>0.09770910444605398</x:v>
      </x:c>
      <x:c r="AE35" s="75" t="n">
        <x:v>0.07870934374455828</x:v>
      </x:c>
      <x:c r="AF35" s="74" t="n">
        <x:v>9</x:v>
      </x:c>
    </x:row>
    <x:row r="36">
      <x:c r="A36" t="str">
        <x:v>2026 S1</x:v>
      </x:c>
      <x:c r="B36" t="str">
        <x:v>CNCT0009</x:v>
      </x:c>
      <x:c r="C36" s="74" t="n">
        <x:v>2267</x:v>
      </x:c>
      <x:c r="D36" s="74" t="n">
        <x:v>1032.736</x:v>
      </x:c>
      <x:c r="E36" s="75" t="n">
        <x:v>0.9619774822664331</x:v>
      </x:c>
      <x:c r="F36" s="75" t="n">
        <x:v>0.1678334675654187</x:v>
      </x:c>
      <x:c r="G36" s="75" t="n">
        <x:v>0.010189797876977534</x:v>
      </x:c>
      <x:c r="H36" s="75" t="n">
        <x:v>0.008618392172073072</x:v>
      </x:c>
      <x:c r="I36" s="75" t="n">
        <x:v>0.008092172890908841</x:v>
      </x:c>
      <x:c r="J36" s="75" t="n">
        <x:v>0.017309143566817512</x:v>
      </x:c>
      <x:c r="K36" s="75" t="n">
        <x:v>0.011546779544849414</x:v>
      </x:c>
      <x:c r="L36" s="75" t="n">
        <x:v>0.013527524005810846</x:v>
      </x:c>
      <x:c r="M36" s="75" t="n">
        <x:v>0.005963218732365931</x:v>
      </x:c>
      <x:c r="N36" s="75" t="n">
        <x:v>0.008530592707436882</x:v>
      </x:c>
      <x:c r="O36" s="75" t="n">
        <x:v>0.014107184278967906</x:v>
      </x:c>
      <x:c r="P36" s="75" t="n">
        <x:v>0.0012941422976782634</x:v>
      </x:c>
      <x:c r="Q36" s="75" t="n">
        <x:v>0.0036446052737555876</x:v>
      </x:c>
      <x:c r="R36" s="75" t="n">
        <x:v>0.3713812220423526</x:v>
      </x:c>
      <x:c r="S36" s="75" t="n">
        <x:v>0.011623705044599773</x:v>
      </x:c>
      <x:c r="T36" s="75" t="n">
        <x:v>0.005968650349968812</x:v>
      </x:c>
      <x:c r="U36" s="75" t="n">
        <x:v>0.01117661555187078</x:v>
      </x:c>
      <x:c r="V36" s="75" t="n">
        <x:v>0.03379488595356816</x:v>
      </x:c>
      <x:c r="W36" s="75" t="n">
        <x:v>0.015478029559270457</x:v>
      </x:c>
      <x:c r="X36" s="75" t="n">
        <x:v>0.03460242250920621</x:v>
      </x:c>
      <x:c r="Y36" s="75" t="n">
        <x:v>0.032592248322092905</x:v>
      </x:c>
      <x:c r="Z36" s="75" t="n">
        <x:v>0.009625179839143802</x:v>
      </x:c>
      <x:c r="AA36" s="75" t="n">
        <x:v>0.007157419621254987</x:v>
      </x:c>
      <x:c r="AB36" s="75" t="n">
        <x:v>0.00578152248421587</x:v>
      </x:c>
      <x:c r="AC36" s="75" t="n">
        <x:v>0.02530483800249496</x:v>
      </x:c>
      <x:c r="AD36" s="75" t="n">
        <x:v>0.09770910444605398</x:v>
      </x:c>
      <x:c r="AE36" s="75" t="n">
        <x:v>0.07870934374455828</x:v>
      </x:c>
      <x:c r="AF36" s="74" t="n">
        <x:v>9</x:v>
      </x:c>
    </x:row>
    <x:row r="37">
      <x:c r="A37" t="str">
        <x:v>2026 S2</x:v>
      </x:c>
      <x:c r="B37" t="str">
        <x:v>CNCT0009</x:v>
      </x:c>
      <x:c r="C37" s="74" t="n">
        <x:v>2692</x:v>
      </x:c>
      <x:c r="D37" s="74" t="n">
        <x:v>1064.139</x:v>
      </x:c>
      <x:c r="E37" s="75" t="n">
        <x:v>0.9752061641941836</x:v>
      </x:c>
      <x:c r="F37" s="75" t="n">
        <x:v>0.17064075243638946</x:v>
      </x:c>
      <x:c r="G37" s="75" t="n">
        <x:v>0.009743881266440439</x:v>
      </x:c>
      <x:c r="H37" s="75" t="n">
        <x:v>0.008618392172073072</x:v>
      </x:c>
      <x:c r="I37" s="75" t="n">
        <x:v>0.008092172890908841</x:v>
      </x:c>
      <x:c r="J37" s="75" t="n">
        <x:v>0.017309143566817512</x:v>
      </x:c>
      <x:c r="K37" s="75" t="n">
        <x:v>0.011546779544849414</x:v>
      </x:c>
      <x:c r="L37" s="75" t="n">
        <x:v>0.013527524005810846</x:v>
      </x:c>
      <x:c r="M37" s="75" t="n">
        <x:v>0.005963218732365931</x:v>
      </x:c>
      <x:c r="N37" s="75" t="n">
        <x:v>0.008530592707436882</x:v>
      </x:c>
      <x:c r="O37" s="75" t="n">
        <x:v>0.013223942604032344</x:v>
      </x:c>
      <x:c r="P37" s="75" t="n">
        <x:v>0.0012941422976782634</x:v>
      </x:c>
      <x:c r="Q37" s="75" t="n">
        <x:v>0.0036446052737555876</x:v>
      </x:c>
      <x:c r="R37" s="75" t="n">
        <x:v>0.36374944632251416</x:v>
      </x:c>
      <x:c r="S37" s="75" t="n">
        <x:v>0.011623705044599773</x:v>
      </x:c>
      <x:c r="T37" s="75" t="n">
        <x:v>0.005968650349968812</x:v>
      </x:c>
      <x:c r="U37" s="75" t="n">
        <x:v>0.01117661555187078</x:v>
      </x:c>
      <x:c r="V37" s="75" t="n">
        <x:v>0.03379488595356816</x:v>
      </x:c>
      <x:c r="W37" s="75" t="n">
        <x:v>0.013333900574533021</x:v>
      </x:c>
      <x:c r="X37" s="75" t="n">
        <x:v>0.023847235055803113</x:v>
      </x:c>
      <x:c r="Y37" s="75" t="n">
        <x:v>0.021270707234597952</x:v>
      </x:c>
      <x:c r="Z37" s="75" t="n">
        <x:v>0.008291830074085505</x:v>
      </x:c>
      <x:c r="AA37" s="75" t="n">
        <x:v>0.006165921911091381</x:v>
      </x:c>
      <x:c r="AB37" s="75" t="n">
        <x:v>0.004980624030905078</x:v>
      </x:c>
      <x:c r="AC37" s="75" t="n">
        <x:v>0.021799428195163374</x:v>
      </x:c>
      <x:c r="AD37" s="75" t="n">
        <x:v>0.09770910444605398</x:v>
      </x:c>
      <x:c r="AE37" s="75" t="n">
        <x:v>0.07870934374455828</x:v>
      </x:c>
      <x:c r="AF37" s="74" t="n">
        <x:v>9</x:v>
      </x:c>
    </x:row>
    <x:row r="38">
      <x:c r="A38" t="str">
        <x:v>2025 S1</x:v>
      </x:c>
      <x:c r="B38" t="str">
        <x:v>CNCT0010</x:v>
      </x:c>
      <x:c r="C38" s="74" t="n">
        <x:v>3571</x:v>
      </x:c>
      <x:c r="D38" s="74" t="n">
        <x:v>1388.693</x:v>
      </x:c>
      <x:c r="E38" s="75" t="n">
        <x:v>0.9692233357295627</x:v>
      </x:c>
      <x:c r="F38" s="75" t="n">
        <x:v>0.15406142510287463</x:v>
      </x:c>
      <x:c r="G38" s="75" t="n">
        <x:v>0.010946386660994904</x:v>
      </x:c>
      <x:c r="H38" s="75" t="n">
        <x:v>0.009950780011994538</x:v>
      </x:c>
      <x:c r="I38" s="75" t="n">
        <x:v>0.006241238210976007</x:v>
      </x:c>
      <x:c r="J38" s="75" t="n">
        <x:v>0.01274627996966592</x:v>
      </x:c>
      <x:c r="K38" s="75" t="n">
        <x:v>0.013510637213985318</x:v>
      </x:c>
      <x:c r="L38" s="75" t="n">
        <x:v>0.012249308806669431</x:v>
      </x:c>
      <x:c r="M38" s="75" t="n">
        <x:v>0.007991255574022943</x:v>
      </x:c>
      <x:c r="N38" s="75" t="n">
        <x:v>0.005518504310195568</x:v>
      </x:c>
      <x:c r="O38" s="75" t="n">
        <x:v>0.009580541147821349</x:v>
      </x:c>
      <x:c r="P38" s="75" t="n">
        <x:v>0.0003245177674580191</x:v>
      </x:c>
      <x:c r="Q38" s="75" t="n">
        <x:v>0.0011829122229355562</x:v>
      </x:c>
      <x:c r="R38" s="75" t="n">
        <x:v>0.38419406135546363</x:v>
      </x:c>
      <x:c r="S38" s="75" t="n">
        <x:v>0.01118248035120064</x:v>
      </x:c>
      <x:c r="T38" s="75" t="n">
        <x:v>0.005649077228626993</x:v>
      </x:c>
      <x:c r="U38" s="75" t="n">
        <x:v>0.006962458598311058</x:v>
      </x:c>
      <x:c r="V38" s="75" t="n">
        <x:v>0.028997796132956867</x:v>
      </x:c>
      <x:c r="W38" s="75" t="n">
        <x:v>0.012174827748710232</x:v>
      </x:c>
      <x:c r="X38" s="75" t="n">
        <x:v>0.025291366126661306</x:v>
      </x:c>
      <x:c r="Y38" s="75" t="n">
        <x:v>0.01804420231989585</x:v>
      </x:c>
      <x:c r="Z38" s="75" t="n">
        <x:v>0.004575241124654713</x:v>
      </x:c>
      <x:c r="AA38" s="75" t="n">
        <x:v>0.007712944364887663</x:v>
      </x:c>
      <x:c r="AB38" s="75" t="n">
        <x:v>0.0072641408859606595</x:v>
      </x:c>
      <x:c r="AC38" s="75" t="n">
        <x:v>0.022383061699924288</x:v>
      </x:c>
      <x:c r="AD38" s="75" t="n">
        <x:v>0.11455947563360679</x:v>
      </x:c>
      <x:c r="AE38" s="75" t="n">
        <x:v>0.06511362619162538</x:v>
      </x:c>
      <x:c r="AF38" s="74" t="n">
        <x:v>16</x:v>
      </x:c>
    </x:row>
    <x:row r="39">
      <x:c r="A39" t="str">
        <x:v>2025 S2</x:v>
      </x:c>
      <x:c r="B39" t="str">
        <x:v>CNCT0010</x:v>
      </x:c>
      <x:c r="C39" s="74" t="n">
        <x:v>3789</x:v>
      </x:c>
      <x:c r="D39" s="74" t="n">
        <x:v>1405.358</x:v>
      </x:c>
      <x:c r="E39" s="75" t="n">
        <x:v>0.9730331342592253</x:v>
      </x:c>
      <x:c r="F39" s="75" t="n">
        <x:v>0.15406142510287463</x:v>
      </x:c>
      <x:c r="G39" s="75" t="n">
        <x:v>0.010946386660994904</x:v>
      </x:c>
      <x:c r="H39" s="75" t="n">
        <x:v>0.009950780011994538</x:v>
      </x:c>
      <x:c r="I39" s="75" t="n">
        <x:v>0.006241238210976007</x:v>
      </x:c>
      <x:c r="J39" s="75" t="n">
        <x:v>0.01274627996966592</x:v>
      </x:c>
      <x:c r="K39" s="75" t="n">
        <x:v>0.013510637213985318</x:v>
      </x:c>
      <x:c r="L39" s="75" t="n">
        <x:v>0.012249308806669431</x:v>
      </x:c>
      <x:c r="M39" s="75" t="n">
        <x:v>0.007991255574022943</x:v>
      </x:c>
      <x:c r="N39" s="75" t="n">
        <x:v>0.005518504310195568</x:v>
      </x:c>
      <x:c r="O39" s="75" t="n">
        <x:v>0.009580541147821349</x:v>
      </x:c>
      <x:c r="P39" s="75" t="n">
        <x:v>0.0003245177674580191</x:v>
      </x:c>
      <x:c r="Q39" s="75" t="n">
        <x:v>0.0011829122229355562</x:v>
      </x:c>
      <x:c r="R39" s="75" t="n">
        <x:v>0.40139993580580724</x:v>
      </x:c>
      <x:c r="S39" s="75" t="n">
        <x:v>0.01118248035120064</x:v>
      </x:c>
      <x:c r="T39" s="75" t="n">
        <x:v>0.005649077228626993</x:v>
      </x:c>
      <x:c r="U39" s="75" t="n">
        <x:v>0.006962458598311058</x:v>
      </x:c>
      <x:c r="V39" s="75" t="n">
        <x:v>0.028997796132956867</x:v>
      </x:c>
      <x:c r="W39" s="75" t="n">
        <x:v>0.012174827748710232</x:v>
      </x:c>
      <x:c r="X39" s="75" t="n">
        <x:v>0.025291366126661306</x:v>
      </x:c>
      <x:c r="Y39" s="75" t="n">
        <x:v>0.01804420231989585</x:v>
      </x:c>
      <x:c r="Z39" s="75" t="n">
        <x:v>0.004575241124654713</x:v>
      </x:c>
      <x:c r="AA39" s="75" t="n">
        <x:v>0.007712944364887663</x:v>
      </x:c>
      <x:c r="AB39" s="75" t="n">
        <x:v>0.0072641408859606595</x:v>
      </x:c>
      <x:c r="AC39" s="75" t="n">
        <x:v>0.022383061699924288</x:v>
      </x:c>
      <x:c r="AD39" s="75" t="n">
        <x:v>0.11455947563360679</x:v>
      </x:c>
      <x:c r="AE39" s="75" t="n">
        <x:v>0.06511362619162538</x:v>
      </x:c>
      <x:c r="AF39" s="74" t="n">
        <x:v>16</x:v>
      </x:c>
    </x:row>
    <x:row r="40">
      <x:c r="A40" t="str">
        <x:v>2026 S1</x:v>
      </x:c>
      <x:c r="B40" t="str">
        <x:v>CNCT0010</x:v>
      </x:c>
      <x:c r="C40" s="74" t="n">
        <x:v>3733</x:v>
      </x:c>
      <x:c r="D40" s="74" t="n">
        <x:v>1468.31</x:v>
      </x:c>
      <x:c r="E40" s="75" t="n">
        <x:v>0.9706400401045102</x:v>
      </x:c>
      <x:c r="F40" s="75" t="n">
        <x:v>0.15298318592127177</x:v>
      </x:c>
      <x:c r="G40" s="75" t="n">
        <x:v>0.009950242670536682</x:v>
      </x:c>
      <x:c r="H40" s="75" t="n">
        <x:v>0.009950780011994538</x:v>
      </x:c>
      <x:c r="I40" s="75" t="n">
        <x:v>0.006241238210976007</x:v>
      </x:c>
      <x:c r="J40" s="75" t="n">
        <x:v>0.01274627996966592</x:v>
      </x:c>
      <x:c r="K40" s="75" t="n">
        <x:v>0.013510637213985318</x:v>
      </x:c>
      <x:c r="L40" s="75" t="n">
        <x:v>0.012249308806669431</x:v>
      </x:c>
      <x:c r="M40" s="75" t="n">
        <x:v>0.007991255574022943</x:v>
      </x:c>
      <x:c r="N40" s="75" t="n">
        <x:v>0.005518504310195568</x:v>
      </x:c>
      <x:c r="O40" s="75" t="n">
        <x:v>0.01122597100958228</x:v>
      </x:c>
      <x:c r="P40" s="75" t="n">
        <x:v>0.0003245177674580191</x:v>
      </x:c>
      <x:c r="Q40" s="75" t="n">
        <x:v>0.0011829122229355562</x:v>
      </x:c>
      <x:c r="R40" s="75" t="n">
        <x:v>0.3812968452955399</x:v>
      </x:c>
      <x:c r="S40" s="75" t="n">
        <x:v>0.01118248035120064</x:v>
      </x:c>
      <x:c r="T40" s="75" t="n">
        <x:v>0.005649077228626993</x:v>
      </x:c>
      <x:c r="U40" s="75" t="n">
        <x:v>0.006962458598311058</x:v>
      </x:c>
      <x:c r="V40" s="75" t="n">
        <x:v>0.028997796132956867</x:v>
      </x:c>
      <x:c r="W40" s="75" t="n">
        <x:v>0.014980529012004617</x:v>
      </x:c>
      <x:c r="X40" s="75" t="n">
        <x:v>0.031119786812081825</x:v>
      </x:c>
      <x:c r="Y40" s="75" t="n">
        <x:v>0.022202506838777815</x:v>
      </x:c>
      <x:c r="Z40" s="75" t="n">
        <x:v>0.005629610029765509</x:v>
      </x:c>
      <x:c r="AA40" s="75" t="n">
        <x:v>0.009490400128118246</x:v>
      </x:c>
      <x:c r="AB40" s="75" t="n">
        <x:v>0.00893816943742393</x:v>
      </x:c>
      <x:c r="AC40" s="75" t="n">
        <x:v>0.02754126071383039</x:v>
      </x:c>
      <x:c r="AD40" s="75" t="n">
        <x:v>0.11455947563360679</x:v>
      </x:c>
      <x:c r="AE40" s="75" t="n">
        <x:v>0.06511362619162538</x:v>
      </x:c>
      <x:c r="AF40" s="74" t="n">
        <x:v>16</x:v>
      </x:c>
    </x:row>
    <x:row r="41">
      <x:c r="A41" t="str">
        <x:v>2026 S2</x:v>
      </x:c>
      <x:c r="B41" t="str">
        <x:v>CNCT0010</x:v>
      </x:c>
      <x:c r="C41" s="74" t="n">
        <x:v>4000</x:v>
      </x:c>
      <x:c r="D41" s="74" t="n">
        <x:v>1459.689</x:v>
      </x:c>
      <x:c r="E41" s="75" t="n">
        <x:v>0.9730331342592253</x:v>
      </x:c>
      <x:c r="F41" s="75" t="n">
        <x:v>0.1605280312917166</x:v>
      </x:c>
      <x:c r="G41" s="75" t="n">
        <x:v>0.011945999613228196</x:v>
      </x:c>
      <x:c r="H41" s="75" t="n">
        <x:v>0.009950780011994538</x:v>
      </x:c>
      <x:c r="I41" s="75" t="n">
        <x:v>0.006241238210976007</x:v>
      </x:c>
      <x:c r="J41" s="75" t="n">
        <x:v>0.01274627996966592</x:v>
      </x:c>
      <x:c r="K41" s="75" t="n">
        <x:v>0.013510637213985318</x:v>
      </x:c>
      <x:c r="L41" s="75" t="n">
        <x:v>0.012249308806669431</x:v>
      </x:c>
      <x:c r="M41" s="75" t="n">
        <x:v>0.007991255574022943</x:v>
      </x:c>
      <x:c r="N41" s="75" t="n">
        <x:v>0.005518504310195568</x:v>
      </x:c>
      <x:c r="O41" s="75" t="n">
        <x:v>0.009580541147821349</x:v>
      </x:c>
      <x:c r="P41" s="75" t="n">
        <x:v>0.0003245177674580191</x:v>
      </x:c>
      <x:c r="Q41" s="75" t="n">
        <x:v>0.0011829122229355562</x:v>
      </x:c>
      <x:c r="R41" s="75" t="n">
        <x:v>0.3974726278086381</x:v>
      </x:c>
      <x:c r="S41" s="75" t="n">
        <x:v>0.01118248035120064</x:v>
      </x:c>
      <x:c r="T41" s="75" t="n">
        <x:v>0.005649077228626993</x:v>
      </x:c>
      <x:c r="U41" s="75" t="n">
        <x:v>0.006962458598311058</x:v>
      </x:c>
      <x:c r="V41" s="75" t="n">
        <x:v>0.028997796132956867</x:v>
      </x:c>
      <x:c r="W41" s="75" t="n">
        <x:v>0.012905317413632846</x:v>
      </x:c>
      <x:c r="X41" s="75" t="n">
        <x:v>0.026808848094260984</x:v>
      </x:c>
      <x:c r="Y41" s="75" t="n">
        <x:v>0.019126854459089605</x:v>
      </x:c>
      <x:c r="Z41" s="75" t="n">
        <x:v>0.004849755592133995</x:v>
      </x:c>
      <x:c r="AA41" s="75" t="n">
        <x:v>0.008175721026780923</x:v>
      </x:c>
      <x:c r="AB41" s="75" t="n">
        <x:v>0.007699989339118299</x:v>
      </x:c>
      <x:c r="AC41" s="75" t="n">
        <x:v>0.023726045401919745</x:v>
      </x:c>
      <x:c r="AD41" s="75" t="n">
        <x:v>0.11455947563360679</x:v>
      </x:c>
      <x:c r="AE41" s="75" t="n">
        <x:v>0.06511362619162538</x:v>
      </x:c>
      <x:c r="AF41" s="74" t="n">
        <x:v>16</x:v>
      </x:c>
    </x:row>
    <x:row r="42">
      <x:c r="A42" t="str">
        <x:v>2025 S1</x:v>
      </x:c>
      <x:c r="B42" t="str">
        <x:v>CNCT0011</x:v>
      </x:c>
      <x:c r="C42" s="74" t="n">
        <x:v>4356</x:v>
      </x:c>
      <x:c r="D42" s="74" t="n">
        <x:v>1325.122</x:v>
      </x:c>
      <x:c r="E42" s="75" t="n">
        <x:v>0.981219981217524</x:v>
      </x:c>
      <x:c r="F42" s="75" t="n">
        <x:v>0.19507161848992108</x:v>
      </x:c>
      <x:c r="G42" s="75" t="n">
        <x:v>0.009780022111575817</x:v>
      </x:c>
      <x:c r="H42" s="75" t="n">
        <x:v>0.012607084650779143</x:v>
      </x:c>
      <x:c r="I42" s="75" t="n">
        <x:v>0.008510793818309595</x:v>
      </x:c>
      <x:c r="J42" s="75" t="n">
        <x:v>0.011882745694470941</x:v>
      </x:c>
      <x:c r="K42" s="75" t="n">
        <x:v>0.010854435893073968</x:v>
      </x:c>
      <x:c r="L42" s="75" t="n">
        <x:v>0.010430962030091905</x:v>
      </x:c>
      <x:c r="M42" s="75" t="n">
        <x:v>0.006272601350181504</x:v>
      </x:c>
      <x:c r="N42" s="75" t="n">
        <x:v>0.006144258376589278</x:v>
      </x:c>
      <x:c r="O42" s="75" t="n">
        <x:v>0.011770781820247066</x:v>
      </x:c>
      <x:c r="P42" s="75" t="n">
        <x:v>0.002525936934442143</x:v>
      </x:c>
      <x:c r="Q42" s="75" t="n">
        <x:v>0.006062997217268275</x:v>
      </x:c>
      <x:c r="R42" s="75" t="n">
        <x:v>0.36236499440716635</x:v>
      </x:c>
      <x:c r="S42" s="75" t="n">
        <x:v>0.01686933462653542</x:v>
      </x:c>
      <x:c r="T42" s="75" t="n">
        <x:v>0.0037642303322390942</x:v>
      </x:c>
      <x:c r="U42" s="75" t="n">
        <x:v>0.005265005435539933</x:v>
      </x:c>
      <x:c r="V42" s="75" t="n">
        <x:v>0.028434837601598706</x:v>
      </x:c>
      <x:c r="W42" s="75" t="n">
        <x:v>0.009549295229878043</x:v>
      </x:c>
      <x:c r="X42" s="75" t="n">
        <x:v>0.02475046716314333</x:v>
      </x:c>
      <x:c r="Y42" s="75" t="n">
        <x:v>0.01823182291382924</x:v>
      </x:c>
      <x:c r="Z42" s="75" t="n">
        <x:v>0.0056292749770771484</x:v>
      </x:c>
      <x:c r="AA42" s="75" t="n">
        <x:v>0.007097425364332012</x:v>
      </x:c>
      <x:c r="AB42" s="75" t="n">
        <x:v>0.005545742703031283</x:v>
      </x:c>
      <x:c r="AC42" s="75" t="n">
        <x:v>0.022890806958885512</x:v>
      </x:c>
      <x:c r="AD42" s="75" t="n">
        <x:v>0.09547718642404653</x:v>
      </x:c>
      <x:c r="AE42" s="75" t="n">
        <x:v>0.08931440942603512</x:v>
      </x:c>
      <x:c r="AF42" s="74" t="n">
        <x:v>12</x:v>
      </x:c>
    </x:row>
    <x:row r="43">
      <x:c r="A43" t="str">
        <x:v>2025 S2</x:v>
      </x:c>
      <x:c r="B43" t="str">
        <x:v>CNCT0011</x:v>
      </x:c>
      <x:c r="C43" s="74" t="n">
        <x:v>4773</x:v>
      </x:c>
      <x:c r="D43" s="74" t="n">
        <x:v>1341.023</x:v>
      </x:c>
      <x:c r="E43" s="75" t="n">
        <x:v>0.969561234620458</x:v>
      </x:c>
      <x:c r="F43" s="75" t="n">
        <x:v>0.19507161848992108</x:v>
      </x:c>
      <x:c r="G43" s="75" t="n">
        <x:v>0.009780022111575817</x:v>
      </x:c>
      <x:c r="H43" s="75" t="n">
        <x:v>0.012607084650779143</x:v>
      </x:c>
      <x:c r="I43" s="75" t="n">
        <x:v>0.008510793818309595</x:v>
      </x:c>
      <x:c r="J43" s="75" t="n">
        <x:v>0.011882745694470941</x:v>
      </x:c>
      <x:c r="K43" s="75" t="n">
        <x:v>0.010854435893073968</x:v>
      </x:c>
      <x:c r="L43" s="75" t="n">
        <x:v>0.010430962030091905</x:v>
      </x:c>
      <x:c r="M43" s="75" t="n">
        <x:v>0.006272601350181504</x:v>
      </x:c>
      <x:c r="N43" s="75" t="n">
        <x:v>0.006144258376589278</x:v>
      </x:c>
      <x:c r="O43" s="75" t="n">
        <x:v>0.011770781820247066</x:v>
      </x:c>
      <x:c r="P43" s="75" t="n">
        <x:v>0.002525936934442143</x:v>
      </x:c>
      <x:c r="Q43" s="75" t="n">
        <x:v>0.006062997217268275</x:v>
      </x:c>
      <x:c r="R43" s="75" t="n">
        <x:v>0.35224890331499425</x:v>
      </x:c>
      <x:c r="S43" s="75" t="n">
        <x:v>0.01686933462653542</x:v>
      </x:c>
      <x:c r="T43" s="75" t="n">
        <x:v>0.0037642303322390942</x:v>
      </x:c>
      <x:c r="U43" s="75" t="n">
        <x:v>0.005265005435539933</x:v>
      </x:c>
      <x:c r="V43" s="75" t="n">
        <x:v>0.028434837601598706</x:v>
      </x:c>
      <x:c r="W43" s="75" t="n">
        <x:v>0.009549295229878043</x:v>
      </x:c>
      <x:c r="X43" s="75" t="n">
        <x:v>0.02475046716314333</x:v>
      </x:c>
      <x:c r="Y43" s="75" t="n">
        <x:v>0.01823182291382924</x:v>
      </x:c>
      <x:c r="Z43" s="75" t="n">
        <x:v>0.0056292749770771484</x:v>
      </x:c>
      <x:c r="AA43" s="75" t="n">
        <x:v>0.007097425364332012</x:v>
      </x:c>
      <x:c r="AB43" s="75" t="n">
        <x:v>0.005545742703031283</x:v>
      </x:c>
      <x:c r="AC43" s="75" t="n">
        <x:v>0.022890806958885512</x:v>
      </x:c>
      <x:c r="AD43" s="75" t="n">
        <x:v>0.09547718642404653</x:v>
      </x:c>
      <x:c r="AE43" s="75" t="n">
        <x:v>0.08931440942603512</x:v>
      </x:c>
      <x:c r="AF43" s="74" t="n">
        <x:v>12</x:v>
      </x:c>
    </x:row>
    <x:row r="44">
      <x:c r="A44" t="str">
        <x:v>2026 S1</x:v>
      </x:c>
      <x:c r="B44" t="str">
        <x:v>CNCT0011</x:v>
      </x:c>
      <x:c r="C44" s="74" t="n">
        <x:v>4141</x:v>
      </x:c>
      <x:c r="D44" s="74" t="n">
        <x:v>1371.784</x:v>
      </x:c>
      <x:c r="E44" s="75" t="n">
        <x:v>0.9797230273240128</x:v>
      </x:c>
      <x:c r="F44" s="75" t="n">
        <x:v>0.1956077464663249</x:v>
      </x:c>
      <x:c r="G44" s="75" t="n">
        <x:v>0.010248580941086402</x:v>
      </x:c>
      <x:c r="H44" s="75" t="n">
        <x:v>0.012607084650779143</x:v>
      </x:c>
      <x:c r="I44" s="75" t="n">
        <x:v>0.008510793818309595</x:v>
      </x:c>
      <x:c r="J44" s="75" t="n">
        <x:v>0.011882745694470941</x:v>
      </x:c>
      <x:c r="K44" s="75" t="n">
        <x:v>0.010854435893073968</x:v>
      </x:c>
      <x:c r="L44" s="75" t="n">
        <x:v>0.010430962030091905</x:v>
      </x:c>
      <x:c r="M44" s="75" t="n">
        <x:v>0.006272601350181504</x:v>
      </x:c>
      <x:c r="N44" s="75" t="n">
        <x:v>0.006144258376589278</x:v>
      </x:c>
      <x:c r="O44" s="75" t="n">
        <x:v>0.012750088693414</x:v>
      </x:c>
      <x:c r="P44" s="75" t="n">
        <x:v>0.002525936934442143</x:v>
      </x:c>
      <x:c r="Q44" s="75" t="n">
        <x:v>0.006062997217268275</x:v>
      </x:c>
      <x:c r="R44" s="75" t="n">
        <x:v>0.35879237181604023</x:v>
      </x:c>
      <x:c r="S44" s="75" t="n">
        <x:v>0.01686933462653542</x:v>
      </x:c>
      <x:c r="T44" s="75" t="n">
        <x:v>0.0037642303322390942</x:v>
      </x:c>
      <x:c r="U44" s="75" t="n">
        <x:v>0.005265005435539933</x:v>
      </x:c>
      <x:c r="V44" s="75" t="n">
        <x:v>0.028434837601598706</x:v>
      </x:c>
      <x:c r="W44" s="75" t="n">
        <x:v>0.011749939891391073</x:v>
      </x:c>
      <x:c r="X44" s="75" t="n">
        <x:v>0.030454237140021562</x:v>
      </x:c>
      <x:c r="Y44" s="75" t="n">
        <x:v>0.022433364786724256</x:v>
      </x:c>
      <x:c r="Z44" s="75" t="n">
        <x:v>0.006926547040436731</x:v>
      </x:c>
      <x:c r="AA44" s="75" t="n">
        <x:v>0.008733034156657923</x:v>
      </x:c>
      <x:c r="AB44" s="75" t="n">
        <x:v>0.00682376467007298</x:v>
      </x:c>
      <x:c r="AC44" s="75" t="n">
        <x:v>0.02816601637687311</x:v>
      </x:c>
      <x:c r="AD44" s="75" t="n">
        <x:v>0.09547718642404653</x:v>
      </x:c>
      <x:c r="AE44" s="75" t="n">
        <x:v>0.08931440942603512</x:v>
      </x:c>
      <x:c r="AF44" s="74" t="n">
        <x:v>12</x:v>
      </x:c>
    </x:row>
    <x:row r="45">
      <x:c r="A45" t="str">
        <x:v>2026 S2</x:v>
      </x:c>
      <x:c r="B45" t="str">
        <x:v>CNCT0011</x:v>
      </x:c>
      <x:c r="C45" s="74" t="n">
        <x:v>4723</x:v>
      </x:c>
      <x:c r="D45" s="74" t="n">
        <x:v>1375.223</x:v>
      </x:c>
      <x:c r="E45" s="75" t="n">
        <x:v>0.969561234620458</x:v>
      </x:c>
      <x:c r="F45" s="75" t="n">
        <x:v>0.19578620803212105</x:v>
      </x:c>
      <x:c r="G45" s="75" t="n">
        <x:v>0.010714962951038614</x:v>
      </x:c>
      <x:c r="H45" s="75" t="n">
        <x:v>0.012607084650779143</x:v>
      </x:c>
      <x:c r="I45" s="75" t="n">
        <x:v>0.008510793818309595</x:v>
      </x:c>
      <x:c r="J45" s="75" t="n">
        <x:v>0.011882745694470941</x:v>
      </x:c>
      <x:c r="K45" s="75" t="n">
        <x:v>0.010854435893073968</x:v>
      </x:c>
      <x:c r="L45" s="75" t="n">
        <x:v>0.010430962030091905</x:v>
      </x:c>
      <x:c r="M45" s="75" t="n">
        <x:v>0.006272601350181504</x:v>
      </x:c>
      <x:c r="N45" s="75" t="n">
        <x:v>0.006144258376589278</x:v>
      </x:c>
      <x:c r="O45" s="75" t="n">
        <x:v>0.011770781820247066</x:v>
      </x:c>
      <x:c r="P45" s="75" t="n">
        <x:v>0.002525936934442143</x:v>
      </x:c>
      <x:c r="Q45" s="75" t="n">
        <x:v>0.006062997217268275</x:v>
      </x:c>
      <x:c r="R45" s="75" t="n">
        <x:v>0.3525473730900549</x:v>
      </x:c>
      <x:c r="S45" s="75" t="n">
        <x:v>0.01686933462653542</x:v>
      </x:c>
      <x:c r="T45" s="75" t="n">
        <x:v>0.0037642303322390942</x:v>
      </x:c>
      <x:c r="U45" s="75" t="n">
        <x:v>0.005265005435539933</x:v>
      </x:c>
      <x:c r="V45" s="75" t="n">
        <x:v>0.028434837601598706</x:v>
      </x:c>
      <x:c r="W45" s="75" t="n">
        <x:v>0.010122252943670727</x:v>
      </x:c>
      <x:c r="X45" s="75" t="n">
        <x:v>0.026235495192931932</x:v>
      </x:c>
      <x:c r="Y45" s="75" t="n">
        <x:v>0.019325732288658994</x:v>
      </x:c>
      <x:c r="Z45" s="75" t="n">
        <x:v>0.005967031475701778</x:v>
      </x:c>
      <x:c r="AA45" s="75" t="n">
        <x:v>0.007523270886191933</x:v>
      </x:c>
      <x:c r="AB45" s="75" t="n">
        <x:v>0.0058784872652131595</x:v>
      </x:c>
      <x:c r="AC45" s="75" t="n">
        <x:v>0.024264255376418645</x:v>
      </x:c>
      <x:c r="AD45" s="75" t="n">
        <x:v>0.09547718642404653</x:v>
      </x:c>
      <x:c r="AE45" s="75" t="n">
        <x:v>0.08931440942603512</x:v>
      </x:c>
      <x:c r="AF45" s="74" t="n">
        <x:v>12</x:v>
      </x:c>
    </x:row>
    <x:row r="46">
      <x:c r="A46" t="str">
        <x:v>2025 S1</x:v>
      </x:c>
      <x:c r="B46" t="str">
        <x:v>CNCT0012</x:v>
      </x:c>
      <x:c r="C46" s="74" t="n">
        <x:v>2407</x:v>
      </x:c>
      <x:c r="D46" s="74" t="n">
        <x:v>1143.71</x:v>
      </x:c>
      <x:c r="E46" s="75" t="n">
        <x:v>0.9765776533467578</x:v>
      </x:c>
      <x:c r="F46" s="75" t="n">
        <x:v>0.14833188588544727</x:v>
      </x:c>
      <x:c r="G46" s="75" t="n">
        <x:v>0.01155880681189592</x:v>
      </x:c>
      <x:c r="H46" s="75" t="n">
        <x:v>0.007243096807331312</x:v>
      </x:c>
      <x:c r="I46" s="75" t="n">
        <x:v>0.008648605995029356</x:v>
      </x:c>
      <x:c r="J46" s="75" t="n">
        <x:v>0.012765122939839784</x:v>
      </x:c>
      <x:c r="K46" s="75" t="n">
        <x:v>0.011349828590238756</x:v>
      </x:c>
      <x:c r="L46" s="75" t="n">
        <x:v>0.011014052008205908</x:v>
      </x:c>
      <x:c r="M46" s="75" t="n">
        <x:v>0.010009369848765347</x:v>
      </x:c>
      <x:c r="N46" s="75" t="n">
        <x:v>0.007692075243219733</x:v>
      </x:c>
      <x:c r="O46" s="75" t="n">
        <x:v>0.006727626667940057</x:v>
      </x:c>
      <x:c r="P46" s="75" t="n">
        <x:v>0.001380475825884787</x:v>
      </x:c>
      <x:c r="Q46" s="75" t="n">
        <x:v>0.004411064783475012</x:v>
      </x:c>
      <x:c r="R46" s="75" t="n">
        <x:v>0.391331751680924</x:v>
      </x:c>
      <x:c r="S46" s="75" t="n">
        <x:v>0.011610446250313544</x:v>
      </x:c>
      <x:c r="T46" s="75" t="n">
        <x:v>0.0035786649654037323</x:v>
      </x:c>
      <x:c r="U46" s="75" t="n">
        <x:v>0.012964501246548025</x:v>
      </x:c>
      <x:c r="V46" s="75" t="n">
        <x:v>0.03352269514493855</x:v>
      </x:c>
      <x:c r="W46" s="75" t="n">
        <x:v>0.01125399702283612</x:v>
      </x:c>
      <x:c r="X46" s="75" t="n">
        <x:v>0.021872099351425422</x:v>
      </x:c>
      <x:c r="Y46" s="75" t="n">
        <x:v>0.014952044176196215</x:v>
      </x:c>
      <x:c r="Z46" s="75" t="n">
        <x:v>0.007570911255473038</x:v>
      </x:c>
      <x:c r="AA46" s="75" t="n">
        <x:v>0.0067247863604492164</x:v>
      </x:c>
      <x:c r="AB46" s="75" t="n">
        <x:v>0.003598621609281781</x:v>
      </x:c>
      <x:c r="AC46" s="75" t="n">
        <x:v>0.028702084539835047</x:v>
      </x:c>
      <x:c r="AD46" s="75" t="n">
        <x:v>0.08194238822773332</x:v>
      </x:c>
      <x:c r="AE46" s="75" t="n">
        <x:v>0.08698720215479261</x:v>
      </x:c>
      <x:c r="AF46" s="74" t="n">
        <x:v>10</x:v>
      </x:c>
    </x:row>
    <x:row r="47">
      <x:c r="A47" t="str">
        <x:v>2025 S2</x:v>
      </x:c>
      <x:c r="B47" t="str">
        <x:v>CNCT0012</x:v>
      </x:c>
      <x:c r="C47" s="74" t="n">
        <x:v>2618</x:v>
      </x:c>
      <x:c r="D47" s="74" t="n">
        <x:v>1157.434</x:v>
      </x:c>
      <x:c r="E47" s="75" t="n">
        <x:v>0.9806811478972668</x:v>
      </x:c>
      <x:c r="F47" s="75" t="n">
        <x:v>0.14833188588544727</x:v>
      </x:c>
      <x:c r="G47" s="75" t="n">
        <x:v>0.01155880681189592</x:v>
      </x:c>
      <x:c r="H47" s="75" t="n">
        <x:v>0.007243096807331312</x:v>
      </x:c>
      <x:c r="I47" s="75" t="n">
        <x:v>0.008648605995029356</x:v>
      </x:c>
      <x:c r="J47" s="75" t="n">
        <x:v>0.012765122939839784</x:v>
      </x:c>
      <x:c r="K47" s="75" t="n">
        <x:v>0.011349828590238756</x:v>
      </x:c>
      <x:c r="L47" s="75" t="n">
        <x:v>0.011014052008205908</x:v>
      </x:c>
      <x:c r="M47" s="75" t="n">
        <x:v>0.010009369848765347</x:v>
      </x:c>
      <x:c r="N47" s="75" t="n">
        <x:v>0.007692075243219733</x:v>
      </x:c>
      <x:c r="O47" s="75" t="n">
        <x:v>0.006727626667940057</x:v>
      </x:c>
      <x:c r="P47" s="75" t="n">
        <x:v>0.001380475825884787</x:v>
      </x:c>
      <x:c r="Q47" s="75" t="n">
        <x:v>0.004411064783475012</x:v>
      </x:c>
      <x:c r="R47" s="75" t="n">
        <x:v>0.39345789632445344</x:v>
      </x:c>
      <x:c r="S47" s="75" t="n">
        <x:v>0.011610446250313544</x:v>
      </x:c>
      <x:c r="T47" s="75" t="n">
        <x:v>0.0035786649654037323</x:v>
      </x:c>
      <x:c r="U47" s="75" t="n">
        <x:v>0.012964501246548025</x:v>
      </x:c>
      <x:c r="V47" s="75" t="n">
        <x:v>0.03352269514493855</x:v>
      </x:c>
      <x:c r="W47" s="75" t="n">
        <x:v>0.01125399702283612</x:v>
      </x:c>
      <x:c r="X47" s="75" t="n">
        <x:v>0.021872099351425422</x:v>
      </x:c>
      <x:c r="Y47" s="75" t="n">
        <x:v>0.014952044176196215</x:v>
      </x:c>
      <x:c r="Z47" s="75" t="n">
        <x:v>0.007570911255473038</x:v>
      </x:c>
      <x:c r="AA47" s="75" t="n">
        <x:v>0.0067247863604492164</x:v>
      </x:c>
      <x:c r="AB47" s="75" t="n">
        <x:v>0.003598621609281781</x:v>
      </x:c>
      <x:c r="AC47" s="75" t="n">
        <x:v>0.028702084539835047</x:v>
      </x:c>
      <x:c r="AD47" s="75" t="n">
        <x:v>0.08194238822773332</x:v>
      </x:c>
      <x:c r="AE47" s="75" t="n">
        <x:v>0.08698720215479261</x:v>
      </x:c>
      <x:c r="AF47" s="74" t="n">
        <x:v>10</x:v>
      </x:c>
    </x:row>
    <x:row r="48">
      <x:c r="A48" t="str">
        <x:v>2026 S1</x:v>
      </x:c>
      <x:c r="B48" t="str">
        <x:v>CNCT0012</x:v>
      </x:c>
      <x:c r="C48" s="74" t="n">
        <x:v>2377</x:v>
      </x:c>
      <x:c r="D48" s="74" t="n">
        <x:v>1184.242</x:v>
      </x:c>
      <x:c r="E48" s="75" t="n">
        <x:v>0.9801733683374404</x:v>
      </x:c>
      <x:c r="F48" s="75" t="n">
        <x:v>0.14367001348747</x:v>
      </x:c>
      <x:c r="G48" s="75" t="n">
        <x:v>0.012016575808578636</x:v>
      </x:c>
      <x:c r="H48" s="75" t="n">
        <x:v>0.007243096807331312</x:v>
      </x:c>
      <x:c r="I48" s="75" t="n">
        <x:v>0.008648605995029356</x:v>
      </x:c>
      <x:c r="J48" s="75" t="n">
        <x:v>0.012765122939839784</x:v>
      </x:c>
      <x:c r="K48" s="75" t="n">
        <x:v>0.011349828590238756</x:v>
      </x:c>
      <x:c r="L48" s="75" t="n">
        <x:v>0.011014052008205908</x:v>
      </x:c>
      <x:c r="M48" s="75" t="n">
        <x:v>0.010009369848765347</x:v>
      </x:c>
      <x:c r="N48" s="75" t="n">
        <x:v>0.007692075243219733</x:v>
      </x:c>
      <x:c r="O48" s="75" t="n">
        <x:v>0.007477523245557676</x:v>
      </x:c>
      <x:c r="P48" s="75" t="n">
        <x:v>0.001380475825884787</x:v>
      </x:c>
      <x:c r="Q48" s="75" t="n">
        <x:v>0.004411064783475012</x:v>
      </x:c>
      <x:c r="R48" s="75" t="n">
        <x:v>0.3896653148206291</x:v>
      </x:c>
      <x:c r="S48" s="75" t="n">
        <x:v>0.011610446250313544</x:v>
      </x:c>
      <x:c r="T48" s="75" t="n">
        <x:v>0.0035786649654037323</x:v>
      </x:c>
      <x:c r="U48" s="75" t="n">
        <x:v>0.012964501246548025</x:v>
      </x:c>
      <x:c r="V48" s="75" t="n">
        <x:v>0.03352269514493855</x:v>
      </x:c>
      <x:c r="W48" s="75" t="n">
        <x:v>0.013847491921967449</x:v>
      </x:c>
      <x:c r="X48" s="75" t="n">
        <x:v>0.026912546579740057</x:v>
      </x:c>
      <x:c r="Y48" s="75" t="n">
        <x:v>0.018397757750125945</x:v>
      </x:c>
      <x:c r="Z48" s="75" t="n">
        <x:v>0.009315635346211873</x:v>
      </x:c>
      <x:c r="AA48" s="75" t="n">
        <x:v>0.00827452012065753</x:v>
      </x:c>
      <x:c r="AB48" s="75" t="n">
        <x:v>0.004427927567745955</x:v>
      </x:c>
      <x:c r="AC48" s="75" t="n">
        <x:v>0.03531650870375215</x:v>
      </x:c>
      <x:c r="AD48" s="75" t="n">
        <x:v>0.08194238822773332</x:v>
      </x:c>
      <x:c r="AE48" s="75" t="n">
        <x:v>0.08698720215479261</x:v>
      </x:c>
      <x:c r="AF48" s="74" t="n">
        <x:v>10</x:v>
      </x:c>
    </x:row>
    <x:row r="49">
      <x:c r="A49" t="str">
        <x:v>2026 S2</x:v>
      </x:c>
      <x:c r="B49" t="str">
        <x:v>CNCT0012</x:v>
      </x:c>
      <x:c r="C49" s="74" t="n">
        <x:v>2604</x:v>
      </x:c>
      <x:c r="D49" s="74" t="n">
        <x:v>1182.752</x:v>
      </x:c>
      <x:c r="E49" s="75" t="n">
        <x:v>0.9806811478972668</x:v>
      </x:c>
      <x:c r="F49" s="75" t="n">
        <x:v>0.15157151028601012</x:v>
      </x:c>
      <x:c r="G49" s="75" t="n">
        <x:v>0.011444418760933332</x:v>
      </x:c>
      <x:c r="H49" s="75" t="n">
        <x:v>0.007243096807331312</x:v>
      </x:c>
      <x:c r="I49" s="75" t="n">
        <x:v>0.008648605995029356</x:v>
      </x:c>
      <x:c r="J49" s="75" t="n">
        <x:v>0.012765122939839784</x:v>
      </x:c>
      <x:c r="K49" s="75" t="n">
        <x:v>0.011349828590238756</x:v>
      </x:c>
      <x:c r="L49" s="75" t="n">
        <x:v>0.011014052008205908</x:v>
      </x:c>
      <x:c r="M49" s="75" t="n">
        <x:v>0.010009369848765347</x:v>
      </x:c>
      <x:c r="N49" s="75" t="n">
        <x:v>0.007692075243219733</x:v>
      </x:c>
      <x:c r="O49" s="75" t="n">
        <x:v>0.006727626667940057</x:v>
      </x:c>
      <x:c r="P49" s="75" t="n">
        <x:v>0.001380475825884787</x:v>
      </x:c>
      <x:c r="Q49" s="75" t="n">
        <x:v>0.004411064783475012</x:v>
      </x:c>
      <x:c r="R49" s="75" t="n">
        <x:v>0.3877588814326026</x:v>
      </x:c>
      <x:c r="S49" s="75" t="n">
        <x:v>0.011610446250313544</x:v>
      </x:c>
      <x:c r="T49" s="75" t="n">
        <x:v>0.0035786649654037323</x:v>
      </x:c>
      <x:c r="U49" s="75" t="n">
        <x:v>0.012964501246548025</x:v>
      </x:c>
      <x:c r="V49" s="75" t="n">
        <x:v>0.03352269514493855</x:v>
      </x:c>
      <x:c r="W49" s="75" t="n">
        <x:v>0.011929236844206288</x:v>
      </x:c>
      <x:c r="X49" s="75" t="n">
        <x:v>0.02318442531251095</x:v>
      </x:c>
      <x:c r="Y49" s="75" t="n">
        <x:v>0.01584916682676799</x:v>
      </x:c>
      <x:c r="Z49" s="75" t="n">
        <x:v>0.008025165930801421</x:v>
      </x:c>
      <x:c r="AA49" s="75" t="n">
        <x:v>0.00712827354207617</x:v>
      </x:c>
      <x:c r="AB49" s="75" t="n">
        <x:v>0.003814538905838688</x:v>
      </x:c>
      <x:c r="AC49" s="75" t="n">
        <x:v>0.030424209612225153</x:v>
      </x:c>
      <x:c r="AD49" s="75" t="n">
        <x:v>0.08194238822773332</x:v>
      </x:c>
      <x:c r="AE49" s="75" t="n">
        <x:v>0.08698720215479261</x:v>
      </x:c>
      <x:c r="AF49" s="74" t="n">
        <x:v>10</x:v>
      </x:c>
    </x:row>
    <x:row r="50">
      <x:c r="A50" t="str">
        <x:v>2025 S1</x:v>
      </x:c>
      <x:c r="B50" t="str">
        <x:v>CNCT0013</x:v>
      </x:c>
      <x:c r="C50" s="74" t="n">
        <x:v>3705</x:v>
      </x:c>
      <x:c r="D50" s="74" t="n">
        <x:v>1214.332</x:v>
      </x:c>
      <x:c r="E50" s="75" t="n">
        <x:v>0.9806179172746778</x:v>
      </x:c>
      <x:c r="F50" s="75" t="n">
        <x:v>0.1817747803800739</x:v>
      </x:c>
      <x:c r="G50" s="75" t="n">
        <x:v>0.011480057206121273</x:v>
      </x:c>
      <x:c r="H50" s="75" t="n">
        <x:v>0.007602101853626664</x:v>
      </x:c>
      <x:c r="I50" s="75" t="n">
        <x:v>0.006908503434067825</x:v>
      </x:c>
      <x:c r="J50" s="75" t="n">
        <x:v>0.017275067368173042</x:v>
      </x:c>
      <x:c r="K50" s="75" t="n">
        <x:v>0.010941006140637909</x:v>
      </x:c>
      <x:c r="L50" s="75" t="n">
        <x:v>0.010904558333804288</x:v>
      </x:c>
      <x:c r="M50" s="75" t="n">
        <x:v>0.00810286671981703</x:v>
      </x:c>
      <x:c r="N50" s="75" t="n">
        <x:v>0.00591807094757678</x:v>
      </x:c>
      <x:c r="O50" s="75" t="n">
        <x:v>0.00996186852318351</x:v>
      </x:c>
      <x:c r="P50" s="75" t="n">
        <x:v>0.00011698101063666402</x:v>
      </x:c>
      <x:c r="Q50" s="75" t="n">
        <x:v>0.006844654630971491</x:v>
      </x:c>
      <x:c r="R50" s="75" t="n">
        <x:v>0.3686891964127135</x:v>
      </x:c>
      <x:c r="S50" s="75" t="n">
        <x:v>0.013151481813241845</x:v>
      </x:c>
      <x:c r="T50" s="75" t="n">
        <x:v>0.00633603563340148</x:v>
      </x:c>
      <x:c r="U50" s="75" t="n">
        <x:v>0.009728661038097925</x:v>
      </x:c>
      <x:c r="V50" s="75" t="n">
        <x:v>0.03216219054730755</x:v>
      </x:c>
      <x:c r="W50" s="75" t="n">
        <x:v>0.014645571159894462</x:v>
      </x:c>
      <x:c r="X50" s="75" t="n">
        <x:v>0.024040722578614948</x:v>
      </x:c>
      <x:c r="Y50" s="75" t="n">
        <x:v>0.01426905635415111</x:v>
      </x:c>
      <x:c r="Z50" s="75" t="n">
        <x:v>0.005706700226216345</x:v>
      </x:c>
      <x:c r="AA50" s="75" t="n">
        <x:v>0.007972771371059353</x:v>
      </x:c>
      <x:c r="AB50" s="75" t="n">
        <x:v>0.004760000198916532</x:v>
      </x:c>
      <x:c r="AC50" s="75" t="n">
        <x:v>0.020106017316999347</x:v>
      </x:c>
      <x:c r="AD50" s="75" t="n">
        <x:v>0.1147975088889325</x:v>
      </x:c>
      <x:c r="AE50" s="75" t="n">
        <x:v>0.08891769797551387</x:v>
      </x:c>
      <x:c r="AF50" s="74" t="n">
        <x:v>12</x:v>
      </x:c>
    </x:row>
    <x:row r="51">
      <x:c r="A51" t="str">
        <x:v>2025 S2</x:v>
      </x:c>
      <x:c r="B51" t="str">
        <x:v>CNCT0013</x:v>
      </x:c>
      <x:c r="C51" s="74" t="n">
        <x:v>4045</x:v>
      </x:c>
      <x:c r="D51" s="74" t="n">
        <x:v>1228.904</x:v>
      </x:c>
      <x:c r="E51" s="75" t="n">
        <x:v>0.9759002596567152</x:v>
      </x:c>
      <x:c r="F51" s="75" t="n">
        <x:v>0.1817747803800739</x:v>
      </x:c>
      <x:c r="G51" s="75" t="n">
        <x:v>0.011480057206121273</x:v>
      </x:c>
      <x:c r="H51" s="75" t="n">
        <x:v>0.007602101853626664</x:v>
      </x:c>
      <x:c r="I51" s="75" t="n">
        <x:v>0.006908503434067825</x:v>
      </x:c>
      <x:c r="J51" s="75" t="n">
        <x:v>0.017275067368173042</x:v>
      </x:c>
      <x:c r="K51" s="75" t="n">
        <x:v>0.010941006140637909</x:v>
      </x:c>
      <x:c r="L51" s="75" t="n">
        <x:v>0.010904558333804288</x:v>
      </x:c>
      <x:c r="M51" s="75" t="n">
        <x:v>0.00810286671981703</x:v>
      </x:c>
      <x:c r="N51" s="75" t="n">
        <x:v>0.00591807094757678</x:v>
      </x:c>
      <x:c r="O51" s="75" t="n">
        <x:v>0.00996186852318351</x:v>
      </x:c>
      <x:c r="P51" s="75" t="n">
        <x:v>0.00011698101063666402</x:v>
      </x:c>
      <x:c r="Q51" s="75" t="n">
        <x:v>0.006844654630971491</x:v>
      </x:c>
      <x:c r="R51" s="75" t="n">
        <x:v>0.35560008367432</x:v>
      </x:c>
      <x:c r="S51" s="75" t="n">
        <x:v>0.013151481813241845</x:v>
      </x:c>
      <x:c r="T51" s="75" t="n">
        <x:v>0.00633603563340148</x:v>
      </x:c>
      <x:c r="U51" s="75" t="n">
        <x:v>0.009728661038097925</x:v>
      </x:c>
      <x:c r="V51" s="75" t="n">
        <x:v>0.03216219054730755</x:v>
      </x:c>
      <x:c r="W51" s="75" t="n">
        <x:v>0.014645571159894462</x:v>
      </x:c>
      <x:c r="X51" s="75" t="n">
        <x:v>0.024040722578614948</x:v>
      </x:c>
      <x:c r="Y51" s="75" t="n">
        <x:v>0.01426905635415111</x:v>
      </x:c>
      <x:c r="Z51" s="75" t="n">
        <x:v>0.005706700226216345</x:v>
      </x:c>
      <x:c r="AA51" s="75" t="n">
        <x:v>0.007972771371059353</x:v>
      </x:c>
      <x:c r="AB51" s="75" t="n">
        <x:v>0.004760000198916532</x:v>
      </x:c>
      <x:c r="AC51" s="75" t="n">
        <x:v>0.020106017316999347</x:v>
      </x:c>
      <x:c r="AD51" s="75" t="n">
        <x:v>0.1147975088889325</x:v>
      </x:c>
      <x:c r="AE51" s="75" t="n">
        <x:v>0.08891769797551387</x:v>
      </x:c>
      <x:c r="AF51" s="74" t="n">
        <x:v>12</x:v>
      </x:c>
    </x:row>
    <x:row r="52">
      <x:c r="A52" t="str">
        <x:v>2026 S1</x:v>
      </x:c>
      <x:c r="B52" t="str">
        <x:v>CNCT0013</x:v>
      </x:c>
      <x:c r="C52" s="74" t="n">
        <x:v>3985</x:v>
      </x:c>
      <x:c r="D52" s="74" t="n">
        <x:v>1278.67</x:v>
      </x:c>
      <x:c r="E52" s="75" t="n">
        <x:v>0.9843992736110958</x:v>
      </x:c>
      <x:c r="F52" s="75" t="n">
        <x:v>0.22764409844725741</x:v>
      </x:c>
      <x:c r="G52" s="75" t="n">
        <x:v>0.011401538207479462</x:v>
      </x:c>
      <x:c r="H52" s="75" t="n">
        <x:v>0.007602101853626664</x:v>
      </x:c>
      <x:c r="I52" s="75" t="n">
        <x:v>0.006908503434067825</x:v>
      </x:c>
      <x:c r="J52" s="75" t="n">
        <x:v>0.017275067368173042</x:v>
      </x:c>
      <x:c r="K52" s="75" t="n">
        <x:v>0.010941006140637909</x:v>
      </x:c>
      <x:c r="L52" s="75" t="n">
        <x:v>0.010904558333804288</x:v>
      </x:c>
      <x:c r="M52" s="75" t="n">
        <x:v>0.00810286671981703</x:v>
      </x:c>
      <x:c r="N52" s="75" t="n">
        <x:v>0.00591807094757678</x:v>
      </x:c>
      <x:c r="O52" s="75" t="n">
        <x:v>0.00843086069509445</x:v>
      </x:c>
      <x:c r="P52" s="75" t="n">
        <x:v>0.00011698101063666402</x:v>
      </x:c>
      <x:c r="Q52" s="75" t="n">
        <x:v>0.006844654630971491</x:v>
      </x:c>
      <x:c r="R52" s="75" t="n">
        <x:v>0.3658740891522422</x:v>
      </x:c>
      <x:c r="S52" s="75" t="n">
        <x:v>0.013151481813241845</x:v>
      </x:c>
      <x:c r="T52" s="75" t="n">
        <x:v>0.00633603563340148</x:v>
      </x:c>
      <x:c r="U52" s="75" t="n">
        <x:v>0.009728661038097925</x:v>
      </x:c>
      <x:c r="V52" s="75" t="n">
        <x:v>0.03216219054730755</x:v>
      </x:c>
      <x:c r="W52" s="75" t="n">
        <x:v>0.018020657719894195</x:v>
      </x:c>
      <x:c r="X52" s="75" t="n">
        <x:v>0.029580931204275</x:v>
      </x:c>
      <x:c r="Y52" s="75" t="n">
        <x:v>0.017557374699607924</x:v>
      </x:c>
      <x:c r="Z52" s="75" t="n">
        <x:v>0.0070218150158801035</x:v>
      </x:c>
      <x:c r="AA52" s="75" t="n">
        <x:v>0.009810104528410041</x:v>
      </x:c>
      <x:c r="AB52" s="75" t="n">
        <x:v>0.005856947017962612</x:v>
      </x:c>
      <x:c r="AC52" s="75" t="n">
        <x:v>0.024739469169498856</x:v>
      </x:c>
      <x:c r="AD52" s="75" t="n">
        <x:v>0.1147975088889325</x:v>
      </x:c>
      <x:c r="AE52" s="75" t="n">
        <x:v>0.08891769797551387</x:v>
      </x:c>
      <x:c r="AF52" s="74" t="n">
        <x:v>12</x:v>
      </x:c>
    </x:row>
    <x:row r="53">
      <x:c r="A53" t="str">
        <x:v>2026 S2</x:v>
      </x:c>
      <x:c r="B53" t="str">
        <x:v>CNCT0013</x:v>
      </x:c>
      <x:c r="C53" s="74" t="n">
        <x:v>4403</x:v>
      </x:c>
      <x:c r="D53" s="74" t="n">
        <x:v>1260.551</x:v>
      </x:c>
      <x:c r="E53" s="75" t="n">
        <x:v>0.9759002596567152</x:v>
      </x:c>
      <x:c r="F53" s="75" t="n">
        <x:v>0.2174892295192876</x:v>
      </x:c>
      <x:c r="G53" s="75" t="n">
        <x:v>0.012376004776728223</x:v>
      </x:c>
      <x:c r="H53" s="75" t="n">
        <x:v>0.007602101853626664</x:v>
      </x:c>
      <x:c r="I53" s="75" t="n">
        <x:v>0.006908503434067825</x:v>
      </x:c>
      <x:c r="J53" s="75" t="n">
        <x:v>0.017275067368173042</x:v>
      </x:c>
      <x:c r="K53" s="75" t="n">
        <x:v>0.010941006140637909</x:v>
      </x:c>
      <x:c r="L53" s="75" t="n">
        <x:v>0.010904558333804288</x:v>
      </x:c>
      <x:c r="M53" s="75" t="n">
        <x:v>0.00810286671981703</x:v>
      </x:c>
      <x:c r="N53" s="75" t="n">
        <x:v>0.00591807094757678</x:v>
      </x:c>
      <x:c r="O53" s="75" t="n">
        <x:v>0.00996186852318351</x:v>
      </x:c>
      <x:c r="P53" s="75" t="n">
        <x:v>0.00011698101063666402</x:v>
      </x:c>
      <x:c r="Q53" s="75" t="n">
        <x:v>0.006844654630971491</x:v>
      </x:c>
      <x:c r="R53" s="75" t="n">
        <x:v>0.35560008367432</x:v>
      </x:c>
      <x:c r="S53" s="75" t="n">
        <x:v>0.013151481813241845</x:v>
      </x:c>
      <x:c r="T53" s="75" t="n">
        <x:v>0.00633603563340148</x:v>
      </x:c>
      <x:c r="U53" s="75" t="n">
        <x:v>0.009728661038097925</x:v>
      </x:c>
      <x:c r="V53" s="75" t="n">
        <x:v>0.03216219054730755</x:v>
      </x:c>
      <x:c r="W53" s="75" t="n">
        <x:v>0.01552430542948813</x:v>
      </x:c>
      <x:c r="X53" s="75" t="n">
        <x:v>0.025483165933331848</x:v>
      </x:c>
      <x:c r="Y53" s="75" t="n">
        <x:v>0.015125199735400177</x:v>
      </x:c>
      <x:c r="Z53" s="75" t="n">
        <x:v>0.006049102239789325</x:v>
      </x:c>
      <x:c r="AA53" s="75" t="n">
        <x:v>0.008451137653322916</x:v>
      </x:c>
      <x:c r="AB53" s="75" t="n">
        <x:v>0.0050456002108515245</x:v>
      </x:c>
      <x:c r="AC53" s="75" t="n">
        <x:v>0.021312378356019308</x:v>
      </x:c>
      <x:c r="AD53" s="75" t="n">
        <x:v>0.1147975088889325</x:v>
      </x:c>
      <x:c r="AE53" s="75" t="n">
        <x:v>0.08891769797551387</x:v>
      </x:c>
      <x:c r="AF53" s="74" t="n">
        <x:v>12</x:v>
      </x:c>
    </x:row>
    <x:row r="54">
      <x:c r="A54" t="str">
        <x:v>2025 S1</x:v>
      </x:c>
      <x:c r="B54" t="str">
        <x:v>CNCT0014</x:v>
      </x:c>
      <x:c r="C54" s="74" t="n">
        <x:v>4067</x:v>
      </x:c>
      <x:c r="D54" s="74" t="n">
        <x:v>1179.458</x:v>
      </x:c>
      <x:c r="E54" s="75" t="n">
        <x:v>0.9675519979842647</x:v>
      </x:c>
      <x:c r="F54" s="75" t="n">
        <x:v>0.15397488471446558</x:v>
      </x:c>
      <x:c r="G54" s="75" t="n">
        <x:v>0.01668238102592295</x:v>
      </x:c>
      <x:c r="H54" s="75" t="n">
        <x:v>0.007280062343386818</x:v>
      </x:c>
      <x:c r="I54" s="75" t="n">
        <x:v>0.008103045722171373</x:v>
      </x:c>
      <x:c r="J54" s="75" t="n">
        <x:v>0.01751409627433168</x:v>
      </x:c>
      <x:c r="K54" s="75" t="n">
        <x:v>0.013780945387567044</x:v>
      </x:c>
      <x:c r="L54" s="75" t="n">
        <x:v>0.010685613939385802</x:v>
      </x:c>
      <x:c r="M54" s="75" t="n">
        <x:v>0.009043038092279857</x:v>
      </x:c>
      <x:c r="N54" s="75" t="n">
        <x:v>0.005829172952282534</x:v>
      </x:c>
      <x:c r="O54" s="75" t="n">
        <x:v>0.012251720747713989</x:v>
      </x:c>
      <x:c r="P54" s="75" t="n">
        <x:v>0.00008077181518820003</x:v>
      </x:c>
      <x:c r="Q54" s="75" t="n">
        <x:v>0.004979023950931151</x:v>
      </x:c>
      <x:c r="R54" s="75" t="n">
        <x:v>0.3838982537301507</x:v>
      </x:c>
      <x:c r="S54" s="75" t="n">
        <x:v>0.01621894204877026</x:v>
      </x:c>
      <x:c r="T54" s="75" t="n">
        <x:v>0.006398624862049474</x:v>
      </x:c>
      <x:c r="U54" s="75" t="n">
        <x:v>0.008647698789951391</x:v>
      </x:c>
      <x:c r="V54" s="75" t="n">
        <x:v>0.028724019229150147</x:v>
      </x:c>
      <x:c r="W54" s="75" t="n">
        <x:v>0.009683668626294821</x:v>
      </x:c>
      <x:c r="X54" s="75" t="n">
        <x:v>0.019659048984507682</x:v>
      </x:c>
      <x:c r="Y54" s="75" t="n">
        <x:v>0.01792024382619653</x:v>
      </x:c>
      <x:c r="Z54" s="75" t="n">
        <x:v>0.004900317508040462</x:v>
      </x:c>
      <x:c r="AA54" s="75" t="n">
        <x:v>0.00853336048281868</x:v>
      </x:c>
      <x:c r="AB54" s="75" t="n">
        <x:v>0.006111841490562074</x:v>
      </x:c>
      <x:c r="AC54" s="75" t="n">
        <x:v>0.019415831824217453</x:v>
      </x:c>
      <x:c r="AD54" s="75" t="n">
        <x:v>0.10985127493028995</x:v>
      </x:c>
      <x:c r="AE54" s="75" t="n">
        <x:v>0.07543399226251131</x:v>
      </x:c>
      <x:c r="AF54" s="74" t="n">
        <x:v>11</x:v>
      </x:c>
    </x:row>
    <x:row r="55">
      <x:c r="A55" t="str">
        <x:v>2025 S2</x:v>
      </x:c>
      <x:c r="B55" t="str">
        <x:v>CNCT0014</x:v>
      </x:c>
      <x:c r="C55" s="74" t="n">
        <x:v>4298</x:v>
      </x:c>
      <x:c r="D55" s="74" t="n">
        <x:v>1193.611</x:v>
      </x:c>
      <x:c r="E55" s="75" t="n">
        <x:v>0.9801901372673747</x:v>
      </x:c>
      <x:c r="F55" s="75" t="n">
        <x:v>0.15397488471446558</x:v>
      </x:c>
      <x:c r="G55" s="75" t="n">
        <x:v>0.01668238102592295</x:v>
      </x:c>
      <x:c r="H55" s="75" t="n">
        <x:v>0.007280062343386818</x:v>
      </x:c>
      <x:c r="I55" s="75" t="n">
        <x:v>0.008103045722171373</x:v>
      </x:c>
      <x:c r="J55" s="75" t="n">
        <x:v>0.01751409627433168</x:v>
      </x:c>
      <x:c r="K55" s="75" t="n">
        <x:v>0.013780945387567044</x:v>
      </x:c>
      <x:c r="L55" s="75" t="n">
        <x:v>0.010685613939385802</x:v>
      </x:c>
      <x:c r="M55" s="75" t="n">
        <x:v>0.009043038092279857</x:v>
      </x:c>
      <x:c r="N55" s="75" t="n">
        <x:v>0.005829172952282534</x:v>
      </x:c>
      <x:c r="O55" s="75" t="n">
        <x:v>0.012251720747713989</x:v>
      </x:c>
      <x:c r="P55" s="75" t="n">
        <x:v>0.00008077181518820003</x:v>
      </x:c>
      <x:c r="Q55" s="75" t="n">
        <x:v>0.004979023950931151</x:v>
      </x:c>
      <x:c r="R55" s="75" t="n">
        <x:v>0.3707689892816915</x:v>
      </x:c>
      <x:c r="S55" s="75" t="n">
        <x:v>0.01621894204877026</x:v>
      </x:c>
      <x:c r="T55" s="75" t="n">
        <x:v>0.006398624862049474</x:v>
      </x:c>
      <x:c r="U55" s="75" t="n">
        <x:v>0.008647698789951391</x:v>
      </x:c>
      <x:c r="V55" s="75" t="n">
        <x:v>0.028724019229150147</x:v>
      </x:c>
      <x:c r="W55" s="75" t="n">
        <x:v>0.009683668626294821</x:v>
      </x:c>
      <x:c r="X55" s="75" t="n">
        <x:v>0.019659048984507682</x:v>
      </x:c>
      <x:c r="Y55" s="75" t="n">
        <x:v>0.01792024382619653</x:v>
      </x:c>
      <x:c r="Z55" s="75" t="n">
        <x:v>0.004900317508040462</x:v>
      </x:c>
      <x:c r="AA55" s="75" t="n">
        <x:v>0.00853336048281868</x:v>
      </x:c>
      <x:c r="AB55" s="75" t="n">
        <x:v>0.006111841490562074</x:v>
      </x:c>
      <x:c r="AC55" s="75" t="n">
        <x:v>0.019415831824217453</x:v>
      </x:c>
      <x:c r="AD55" s="75" t="n">
        <x:v>0.10985127493028995</x:v>
      </x:c>
      <x:c r="AE55" s="75" t="n">
        <x:v>0.07543399226251131</x:v>
      </x:c>
      <x:c r="AF55" s="74" t="n">
        <x:v>11</x:v>
      </x:c>
    </x:row>
    <x:row r="56">
      <x:c r="A56" t="str">
        <x:v>2026 S1</x:v>
      </x:c>
      <x:c r="B56" t="str">
        <x:v>CNCT0014</x:v>
      </x:c>
      <x:c r="C56" s="74" t="n">
        <x:v>4095</x:v>
      </x:c>
      <x:c r="D56" s="74" t="n">
        <x:v>1243.219</x:v>
      </x:c>
      <x:c r="E56" s="75" t="n">
        <x:v>0.9691165318842104</x:v>
      </x:c>
      <x:c r="F56" s="75" t="n">
        <x:v>0.1573576232172054</x:v>
      </x:c>
      <x:c r="G56" s="75" t="n">
        <x:v>0.01672251485968809</x:v>
      </x:c>
      <x:c r="H56" s="75" t="n">
        <x:v>0.007280062343386818</x:v>
      </x:c>
      <x:c r="I56" s="75" t="n">
        <x:v>0.008103045722171373</x:v>
      </x:c>
      <x:c r="J56" s="75" t="n">
        <x:v>0.01751409627433168</x:v>
      </x:c>
      <x:c r="K56" s="75" t="n">
        <x:v>0.013780945387567044</x:v>
      </x:c>
      <x:c r="L56" s="75" t="n">
        <x:v>0.010685613939385802</x:v>
      </x:c>
      <x:c r="M56" s="75" t="n">
        <x:v>0.009043038092279857</x:v>
      </x:c>
      <x:c r="N56" s="75" t="n">
        <x:v>0.005829172952282534</x:v>
      </x:c>
      <x:c r="O56" s="75" t="n">
        <x:v>0.013511263625900029</x:v>
      </x:c>
      <x:c r="P56" s="75" t="n">
        <x:v>0.00008077181518820003</x:v>
      </x:c>
      <x:c r="Q56" s="75" t="n">
        <x:v>0.004979023950931151</x:v>
      </x:c>
      <x:c r="R56" s="75" t="n">
        <x:v>0.37879394423096047</x:v>
      </x:c>
      <x:c r="S56" s="75" t="n">
        <x:v>0.01621894204877026</x:v>
      </x:c>
      <x:c r="T56" s="75" t="n">
        <x:v>0.006398624862049474</x:v>
      </x:c>
      <x:c r="U56" s="75" t="n">
        <x:v>0.008647698789951391</x:v>
      </x:c>
      <x:c r="V56" s="75" t="n">
        <x:v>0.028724019229150147</x:v>
      </x:c>
      <x:c r="W56" s="75" t="n">
        <x:v>0.011915279771758283</x:v>
      </x:c>
      <x:c r="X56" s="75" t="n">
        <x:v>0.02418949653657614</x:v>
      </x:c>
      <x:c r="Y56" s="75" t="n">
        <x:v>0.022049981985903095</x:v>
      </x:c>
      <x:c r="Z56" s="75" t="n">
        <x:v>0.0060296005916807395</x:v>
      </x:c>
      <x:c r="AA56" s="75" t="n">
        <x:v>0.010499881963118646</x:v>
      </x:c>
      <x:c r="AB56" s="75" t="n">
        <x:v>0.007520321490859546</x:v>
      </x:c>
      <x:c r="AC56" s="75" t="n">
        <x:v>0.023890229737805115</x:v>
      </x:c>
      <x:c r="AD56" s="75" t="n">
        <x:v>0.10985127493028995</x:v>
      </x:c>
      <x:c r="AE56" s="75" t="n">
        <x:v>0.07543399226251131</x:v>
      </x:c>
      <x:c r="AF56" s="74" t="n">
        <x:v>11</x:v>
      </x:c>
    </x:row>
    <x:row r="57">
      <x:c r="A57" t="str">
        <x:v>2026 S2</x:v>
      </x:c>
      <x:c r="B57" t="str">
        <x:v>CNCT0014</x:v>
      </x:c>
      <x:c r="C57" s="74" t="n">
        <x:v>4544</x:v>
      </x:c>
      <x:c r="D57" s="74" t="n">
        <x:v>1233.333</x:v>
      </x:c>
      <x:c r="E57" s="75" t="n">
        <x:v>0.9801901372673747</x:v>
      </x:c>
      <x:c r="F57" s="75" t="n">
        <x:v>0.14761534638440207</x:v>
      </x:c>
      <x:c r="G57" s="75" t="n">
        <x:v>0.017994834227938555</x:v>
      </x:c>
      <x:c r="H57" s="75" t="n">
        <x:v>0.007280062343386818</x:v>
      </x:c>
      <x:c r="I57" s="75" t="n">
        <x:v>0.008103045722171373</x:v>
      </x:c>
      <x:c r="J57" s="75" t="n">
        <x:v>0.01751409627433168</x:v>
      </x:c>
      <x:c r="K57" s="75" t="n">
        <x:v>0.013780945387567044</x:v>
      </x:c>
      <x:c r="L57" s="75" t="n">
        <x:v>0.010685613939385802</x:v>
      </x:c>
      <x:c r="M57" s="75" t="n">
        <x:v>0.009043038092279857</x:v>
      </x:c>
      <x:c r="N57" s="75" t="n">
        <x:v>0.005829172952282534</x:v>
      </x:c>
      <x:c r="O57" s="75" t="n">
        <x:v>0.012251720747713989</x:v>
      </x:c>
      <x:c r="P57" s="75" t="n">
        <x:v>0.00008077181518820003</x:v>
      </x:c>
      <x:c r="Q57" s="75" t="n">
        <x:v>0.004979023950931151</x:v>
      </x:c>
      <x:c r="R57" s="75" t="n">
        <x:v>0.3670701162892847</x:v>
      </x:c>
      <x:c r="S57" s="75" t="n">
        <x:v>0.01621894204877026</x:v>
      </x:c>
      <x:c r="T57" s="75" t="n">
        <x:v>0.006398624862049474</x:v>
      </x:c>
      <x:c r="U57" s="75" t="n">
        <x:v>0.008647698789951391</x:v>
      </x:c>
      <x:c r="V57" s="75" t="n">
        <x:v>0.028724019229150147</x:v>
      </x:c>
      <x:c r="W57" s="75" t="n">
        <x:v>0.010264688743872511</x:v>
      </x:c>
      <x:c r="X57" s="75" t="n">
        <x:v>0.020838591923578145</x:v>
      </x:c>
      <x:c r="Y57" s="75" t="n">
        <x:v>0.018995458455768322</x:v>
      </x:c>
      <x:c r="Z57" s="75" t="n">
        <x:v>0.005194336558522889</x:v>
      </x:c>
      <x:c r="AA57" s="75" t="n">
        <x:v>0.0090453621117878</x:v>
      </x:c>
      <x:c r="AB57" s="75" t="n">
        <x:v>0.006478551979995799</x:v>
      </x:c>
      <x:c r="AC57" s="75" t="n">
        <x:v>0.020580781733670502</x:v>
      </x:c>
      <x:c r="AD57" s="75" t="n">
        <x:v>0.10985127493028995</x:v>
      </x:c>
      <x:c r="AE57" s="75" t="n">
        <x:v>0.07543399226251131</x:v>
      </x:c>
      <x:c r="AF57" s="74" t="n">
        <x:v>11</x:v>
      </x:c>
    </x:row>
    <x:row r="58">
      <x:c r="A58" t="str">
        <x:v>2025 S1</x:v>
      </x:c>
      <x:c r="B58" t="str">
        <x:v>CNCT0015</x:v>
      </x:c>
      <x:c r="C58" s="74" t="n">
        <x:v>3999</x:v>
      </x:c>
      <x:c r="D58" s="74" t="n">
        <x:v>1241.329</x:v>
      </x:c>
      <x:c r="E58" s="75" t="n">
        <x:v>0.9803151443509704</x:v>
      </x:c>
      <x:c r="F58" s="75" t="n">
        <x:v>0.18365766904782502</x:v>
      </x:c>
      <x:c r="G58" s="75" t="n">
        <x:v>0.02076521395430609</x:v>
      </x:c>
      <x:c r="H58" s="75" t="n">
        <x:v>0.011124988599171047</x:v>
      </x:c>
      <x:c r="I58" s="75" t="n">
        <x:v>0.010234187528229086</x:v>
      </x:c>
      <x:c r="J58" s="75" t="n">
        <x:v>0.011852213168574963</x:v>
      </x:c>
      <x:c r="K58" s="75" t="n">
        <x:v>0.013938232396743841</x:v>
      </x:c>
      <x:c r="L58" s="75" t="n">
        <x:v>0.012590830141263722</x:v>
      </x:c>
      <x:c r="M58" s="75" t="n">
        <x:v>0.010426140410316294</x:v>
      </x:c>
      <x:c r="N58" s="75" t="n">
        <x:v>0.00758490847163921</x:v>
      </x:c>
      <x:c r="O58" s="75" t="n">
        <x:v>0.007397022931605534</x:v>
      </x:c>
      <x:c r="P58" s="75" t="n">
        <x:v>0.001024971244900371</x:v>
      </x:c>
      <x:c r="Q58" s="75" t="n">
        <x:v>0.0020897638726455623</x:v>
      </x:c>
      <x:c r="R58" s="75" t="n">
        <x:v>0.3553595859796723</x:v>
      </x:c>
      <x:c r="S58" s="75" t="n">
        <x:v>0.016318228125601308</x:v>
      </x:c>
      <x:c r="T58" s="75" t="n">
        <x:v>0.004322149119368987</x:v>
      </x:c>
      <x:c r="U58" s="75" t="n">
        <x:v>0.009746285949891898</x:v>
      </x:c>
      <x:c r="V58" s="75" t="n">
        <x:v>0.035287602091149894</x:v>
      </x:c>
      <x:c r="W58" s="75" t="n">
        <x:v>0.010479193423045945</x:v>
      </x:c>
      <x:c r="X58" s="75" t="n">
        <x:v>0.023107369372450337</x:v>
      </x:c>
      <x:c r="Y58" s="75" t="n">
        <x:v>0.018130643375883812</x:v>
      </x:c>
      <x:c r="Z58" s="75" t="n">
        <x:v>0.007449114822532283</x:v>
      </x:c>
      <x:c r="AA58" s="75" t="n">
        <x:v>0.005778340158270439</x:v>
      </x:c>
      <x:c r="AB58" s="75" t="n">
        <x:v>0.0047461194598115986</x:v>
      </x:c>
      <x:c r="AC58" s="75" t="n">
        <x:v>0.028266514830180674</x:v>
      </x:c>
      <x:c r="AD58" s="75" t="n">
        <x:v>0.08424320386840554</x:v>
      </x:c>
      <x:c r="AE58" s="75" t="n">
        <x:v>0.08731617074281531</x:v>
      </x:c>
      <x:c r="AF58" s="74" t="n">
        <x:v>15</x:v>
      </x:c>
    </x:row>
    <x:row r="59">
      <x:c r="A59" t="str">
        <x:v>2025 S2</x:v>
      </x:c>
      <x:c r="B59" t="str">
        <x:v>CNCT0015</x:v>
      </x:c>
      <x:c r="C59" s="74" t="n">
        <x:v>4287</x:v>
      </x:c>
      <x:c r="D59" s="74" t="n">
        <x:v>1256.225</x:v>
      </x:c>
      <x:c r="E59" s="75" t="n">
        <x:v>0.9820316001086393</x:v>
      </x:c>
      <x:c r="F59" s="75" t="n">
        <x:v>0.18365766904782502</x:v>
      </x:c>
      <x:c r="G59" s="75" t="n">
        <x:v>0.02076521395430609</x:v>
      </x:c>
      <x:c r="H59" s="75" t="n">
        <x:v>0.011124988599171047</x:v>
      </x:c>
      <x:c r="I59" s="75" t="n">
        <x:v>0.010234187528229086</x:v>
      </x:c>
      <x:c r="J59" s="75" t="n">
        <x:v>0.011852213168574963</x:v>
      </x:c>
      <x:c r="K59" s="75" t="n">
        <x:v>0.013938232396743841</x:v>
      </x:c>
      <x:c r="L59" s="75" t="n">
        <x:v>0.012590830141263722</x:v>
      </x:c>
      <x:c r="M59" s="75" t="n">
        <x:v>0.010426140410316294</x:v>
      </x:c>
      <x:c r="N59" s="75" t="n">
        <x:v>0.00758490847163921</x:v>
      </x:c>
      <x:c r="O59" s="75" t="n">
        <x:v>0.007397022931605534</x:v>
      </x:c>
      <x:c r="P59" s="75" t="n">
        <x:v>0.001024971244900371</x:v>
      </x:c>
      <x:c r="Q59" s="75" t="n">
        <x:v>0.0020897638726455623</x:v>
      </x:c>
      <x:c r="R59" s="75" t="n">
        <x:v>0.3604418103329725</x:v>
      </x:c>
      <x:c r="S59" s="75" t="n">
        <x:v>0.016318228125601308</x:v>
      </x:c>
      <x:c r="T59" s="75" t="n">
        <x:v>0.004322149119368987</x:v>
      </x:c>
      <x:c r="U59" s="75" t="n">
        <x:v>0.009746285949891898</x:v>
      </x:c>
      <x:c r="V59" s="75" t="n">
        <x:v>0.035287602091149894</x:v>
      </x:c>
      <x:c r="W59" s="75" t="n">
        <x:v>0.010479193423045945</x:v>
      </x:c>
      <x:c r="X59" s="75" t="n">
        <x:v>0.023107369372450337</x:v>
      </x:c>
      <x:c r="Y59" s="75" t="n">
        <x:v>0.018130643375883812</x:v>
      </x:c>
      <x:c r="Z59" s="75" t="n">
        <x:v>0.007449114822532283</x:v>
      </x:c>
      <x:c r="AA59" s="75" t="n">
        <x:v>0.005778340158270439</x:v>
      </x:c>
      <x:c r="AB59" s="75" t="n">
        <x:v>0.0047461194598115986</x:v>
      </x:c>
      <x:c r="AC59" s="75" t="n">
        <x:v>0.028266514830180674</x:v>
      </x:c>
      <x:c r="AD59" s="75" t="n">
        <x:v>0.08424320386840554</x:v>
      </x:c>
      <x:c r="AE59" s="75" t="n">
        <x:v>0.08731617074281531</x:v>
      </x:c>
      <x:c r="AF59" s="74" t="n">
        <x:v>15</x:v>
      </x:c>
    </x:row>
    <x:row r="60">
      <x:c r="A60" t="str">
        <x:v>2026 S1</x:v>
      </x:c>
      <x:c r="B60" t="str">
        <x:v>CNCT0015</x:v>
      </x:c>
      <x:c r="C60" s="74" t="n">
        <x:v>4232</x:v>
      </x:c>
      <x:c r="D60" s="74" t="n">
        <x:v>1312.766</x:v>
      </x:c>
      <x:c r="E60" s="75" t="n">
        <x:v>0.9838054926478507</x:v>
      </x:c>
      <x:c r="F60" s="75" t="n">
        <x:v>0.2237203367338552</x:v>
      </x:c>
      <x:c r="G60" s="75" t="n">
        <x:v>0.01983716101810569</x:v>
      </x:c>
      <x:c r="H60" s="75" t="n">
        <x:v>0.011124988599171047</x:v>
      </x:c>
      <x:c r="I60" s="75" t="n">
        <x:v>0.010234187528229086</x:v>
      </x:c>
      <x:c r="J60" s="75" t="n">
        <x:v>0.011852213168574963</x:v>
      </x:c>
      <x:c r="K60" s="75" t="n">
        <x:v>0.013938232396743841</x:v>
      </x:c>
      <x:c r="L60" s="75" t="n">
        <x:v>0.012590830141263722</x:v>
      </x:c>
      <x:c r="M60" s="75" t="n">
        <x:v>0.010426140410316294</x:v>
      </x:c>
      <x:c r="N60" s="75" t="n">
        <x:v>0.00758490847163921</x:v>
      </x:c>
      <x:c r="O60" s="75" t="n">
        <x:v>0.005936535951937912</x:v>
      </x:c>
      <x:c r="P60" s="75" t="n">
        <x:v>0.001024971244900371</x:v>
      </x:c>
      <x:c r="Q60" s="75" t="n">
        <x:v>0.0020897638726455623</x:v>
      </x:c>
      <x:c r="R60" s="75" t="n">
        <x:v>0.35708452668719526</x:v>
      </x:c>
      <x:c r="S60" s="75" t="n">
        <x:v>0.016318228125601308</x:v>
      </x:c>
      <x:c r="T60" s="75" t="n">
        <x:v>0.004322149119368987</x:v>
      </x:c>
      <x:c r="U60" s="75" t="n">
        <x:v>0.009746285949891898</x:v>
      </x:c>
      <x:c r="V60" s="75" t="n">
        <x:v>0.035287602091149894</x:v>
      </x:c>
      <x:c r="W60" s="75" t="n">
        <x:v>0.012894134055652507</x:v>
      </x:c>
      <x:c r="X60" s="75" t="n">
        <x:v>0.02843248581580717</x:v>
      </x:c>
      <x:c r="Y60" s="75" t="n">
        <x:v>0.022308868322799068</x:v>
      </x:c>
      <x:c r="Z60" s="75" t="n">
        <x:v>0.00916577080316559</x:v>
      </x:c>
      <x:c r="AA60" s="75" t="n">
        <x:v>0.007109964442114745</x:v>
      </x:c>
      <x:c r="AB60" s="75" t="n">
        <x:v>0.0058398674486116985</x:v>
      </x:c>
      <x:c r="AC60" s="75" t="n">
        <x:v>0.034780561517729826</x:v>
      </x:c>
      <x:c r="AD60" s="75" t="n">
        <x:v>0.08424320386840554</x:v>
      </x:c>
      <x:c r="AE60" s="75" t="n">
        <x:v>0.08731617074281531</x:v>
      </x:c>
      <x:c r="AF60" s="74" t="n">
        <x:v>15</x:v>
      </x:c>
    </x:row>
    <x:row r="61">
      <x:c r="A61" t="str">
        <x:v>2026 S2</x:v>
      </x:c>
      <x:c r="B61" t="str">
        <x:v>CNCT0015</x:v>
      </x:c>
      <x:c r="C61" s="74" t="n">
        <x:v>4662</x:v>
      </x:c>
      <x:c r="D61" s="74" t="n">
        <x:v>1282.244</x:v>
      </x:c>
      <x:c r="E61" s="75" t="n">
        <x:v>0.9820316001086393</x:v>
      </x:c>
      <x:c r="F61" s="75" t="n">
        <x:v>0.2221015331451417</x:v>
      </x:c>
      <x:c r="G61" s="75" t="n">
        <x:v>0.021137365800139377</x:v>
      </x:c>
      <x:c r="H61" s="75" t="n">
        <x:v>0.011124988599171047</x:v>
      </x:c>
      <x:c r="I61" s="75" t="n">
        <x:v>0.010234187528229086</x:v>
      </x:c>
      <x:c r="J61" s="75" t="n">
        <x:v>0.011852213168574963</x:v>
      </x:c>
      <x:c r="K61" s="75" t="n">
        <x:v>0.013938232396743841</x:v>
      </x:c>
      <x:c r="L61" s="75" t="n">
        <x:v>0.012590830141263722</x:v>
      </x:c>
      <x:c r="M61" s="75" t="n">
        <x:v>0.010426140410316294</x:v>
      </x:c>
      <x:c r="N61" s="75" t="n">
        <x:v>0.00758490847163921</x:v>
      </x:c>
      <x:c r="O61" s="75" t="n">
        <x:v>0.007397022931605534</x:v>
      </x:c>
      <x:c r="P61" s="75" t="n">
        <x:v>0.001024971244900371</x:v>
      </x:c>
      <x:c r="Q61" s="75" t="n">
        <x:v>0.0020897638726455623</x:v>
      </x:c>
      <x:c r="R61" s="75" t="n">
        <x:v>0.3604418103329725</x:v>
      </x:c>
      <x:c r="S61" s="75" t="n">
        <x:v>0.016318228125601308</x:v>
      </x:c>
      <x:c r="T61" s="75" t="n">
        <x:v>0.004322149119368987</x:v>
      </x:c>
      <x:c r="U61" s="75" t="n">
        <x:v>0.009746285949891898</x:v>
      </x:c>
      <x:c r="V61" s="75" t="n">
        <x:v>0.035287602091149894</x:v>
      </x:c>
      <x:c r="W61" s="75" t="n">
        <x:v>0.011107945028428703</x:v>
      </x:c>
      <x:c r="X61" s="75" t="n">
        <x:v>0.02449381153479736</x:v>
      </x:c>
      <x:c r="Y61" s="75" t="n">
        <x:v>0.01921848197843684</x:v>
      </x:c>
      <x:c r="Z61" s="75" t="n">
        <x:v>0.007896061711884221</x:v>
      </x:c>
      <x:c r="AA61" s="75" t="n">
        <x:v>0.006125040567766666</x:v>
      </x:c>
      <x:c r="AB61" s="75" t="n">
        <x:v>0.005030886627400295</x:v>
      </x:c>
      <x:c r="AC61" s="75" t="n">
        <x:v>0.029962505719991515</x:v>
      </x:c>
      <x:c r="AD61" s="75" t="n">
        <x:v>0.08424320386840554</x:v>
      </x:c>
      <x:c r="AE61" s="75" t="n">
        <x:v>0.08731617074281531</x:v>
      </x:c>
      <x:c r="AF61" s="74" t="n">
        <x:v>15</x:v>
      </x:c>
    </x:row>
    <x:row r="62">
      <x:c r="A62" t="str">
        <x:v>2025 S1</x:v>
      </x:c>
      <x:c r="B62" t="str">
        <x:v>CNCT0016</x:v>
      </x:c>
      <x:c r="C62" s="74" t="n">
        <x:v>3865</x:v>
      </x:c>
      <x:c r="D62" s="74" t="n">
        <x:v>1216.676</x:v>
      </x:c>
      <x:c r="E62" s="75" t="n">
        <x:v>0.9793671746339824</x:v>
      </x:c>
      <x:c r="F62" s="75" t="n">
        <x:v>0.1621989905174123</x:v>
      </x:c>
      <x:c r="G62" s="75" t="n">
        <x:v>0.011533762679784558</x:v>
      </x:c>
      <x:c r="H62" s="75" t="n">
        <x:v>0.009432515552696714</x:v>
      </x:c>
      <x:c r="I62" s="75" t="n">
        <x:v>0.009295193772748463</x:v>
      </x:c>
      <x:c r="J62" s="75" t="n">
        <x:v>0.010896252410311717</x:v>
      </x:c>
      <x:c r="K62" s="75" t="n">
        <x:v>0.01101899157554726</x:v>
      </x:c>
      <x:c r="L62" s="75" t="n">
        <x:v>0.008680536016778205</x:v>
      </x:c>
      <x:c r="M62" s="75" t="n">
        <x:v>0.008577760693777236</x:v>
      </x:c>
      <x:c r="N62" s="75" t="n">
        <x:v>0.006002660493046278</x:v>
      </x:c>
      <x:c r="O62" s="75" t="n">
        <x:v>0.014747973544850537</x:v>
      </x:c>
      <x:c r="P62" s="75" t="n">
        <x:v>0.0028292380448726815</x:v>
      </x:c>
      <x:c r="Q62" s="75" t="n">
        <x:v>0.0012390844481924433</x:v>
      </x:c>
      <x:c r="R62" s="75" t="n">
        <x:v>0.3808285407554502</x:v>
      </x:c>
      <x:c r="S62" s="75" t="n">
        <x:v>0.016642916010190675</x:v>
      </x:c>
      <x:c r="T62" s="75" t="n">
        <x:v>0.00517740128361038</x:v>
      </x:c>
      <x:c r="U62" s="75" t="n">
        <x:v>0.005819288553087972</x:v>
      </x:c>
      <x:c r="V62" s="75" t="n">
        <x:v>0.03377325277714408</x:v>
      </x:c>
      <x:c r="W62" s="75" t="n">
        <x:v>0.013615696447527444</x:v>
      </x:c>
      <x:c r="X62" s="75" t="n">
        <x:v>0.02080946037418849</x:v>
      </x:c>
      <x:c r="Y62" s="75" t="n">
        <x:v>0.01970356308389106</x:v>
      </x:c>
      <x:c r="Z62" s="75" t="n">
        <x:v>0.005225170914357295</x:v>
      </x:c>
      <x:c r="AA62" s="75" t="n">
        <x:v>0.008064989157442469</x:v>
      </x:c>
      <x:c r="AB62" s="75" t="n">
        <x:v>0.006982893278280972</x:v>
      </x:c>
      <x:c r="AC62" s="75" t="n">
        <x:v>0.025403610661718992</x:v>
      </x:c>
      <x:c r="AD62" s="75" t="n">
        <x:v>0.10518911377395852</x:v>
      </x:c>
      <x:c r="AE62" s="75" t="n">
        <x:v>0.06285665928664094</x:v>
      </x:c>
      <x:c r="AF62" s="74" t="n">
        <x:v>10</x:v>
      </x:c>
    </x:row>
    <x:row r="63">
      <x:c r="A63" t="str">
        <x:v>2025 S2</x:v>
      </x:c>
      <x:c r="B63" t="str">
        <x:v>CNCT0016</x:v>
      </x:c>
      <x:c r="C63" s="74" t="n">
        <x:v>4246</x:v>
      </x:c>
      <x:c r="D63" s="74" t="n">
        <x:v>1231.276</x:v>
      </x:c>
      <x:c r="E63" s="75" t="n">
        <x:v>0.9723164266062085</x:v>
      </x:c>
      <x:c r="F63" s="75" t="n">
        <x:v>0.1621989905174123</x:v>
      </x:c>
      <x:c r="G63" s="75" t="n">
        <x:v>0.011533762679784558</x:v>
      </x:c>
      <x:c r="H63" s="75" t="n">
        <x:v>0.009432515552696714</x:v>
      </x:c>
      <x:c r="I63" s="75" t="n">
        <x:v>0.009295193772748463</x:v>
      </x:c>
      <x:c r="J63" s="75" t="n">
        <x:v>0.010896252410311717</x:v>
      </x:c>
      <x:c r="K63" s="75" t="n">
        <x:v>0.01101899157554726</x:v>
      </x:c>
      <x:c r="L63" s="75" t="n">
        <x:v>0.008680536016778205</x:v>
      </x:c>
      <x:c r="M63" s="75" t="n">
        <x:v>0.008577760693777236</x:v>
      </x:c>
      <x:c r="N63" s="75" t="n">
        <x:v>0.006002660493046278</x:v>
      </x:c>
      <x:c r="O63" s="75" t="n">
        <x:v>0.014747973544850537</x:v>
      </x:c>
      <x:c r="P63" s="75" t="n">
        <x:v>0.0028292380448726815</x:v>
      </x:c>
      <x:c r="Q63" s="75" t="n">
        <x:v>0.0012390844481924433</x:v>
      </x:c>
      <x:c r="R63" s="75" t="n">
        <x:v>0.3789958471067295</x:v>
      </x:c>
      <x:c r="S63" s="75" t="n">
        <x:v>0.016642916010190675</x:v>
      </x:c>
      <x:c r="T63" s="75" t="n">
        <x:v>0.00517740128361038</x:v>
      </x:c>
      <x:c r="U63" s="75" t="n">
        <x:v>0.005819288553087972</x:v>
      </x:c>
      <x:c r="V63" s="75" t="n">
        <x:v>0.03377325277714408</x:v>
      </x:c>
      <x:c r="W63" s="75" t="n">
        <x:v>0.013615696447527444</x:v>
      </x:c>
      <x:c r="X63" s="75" t="n">
        <x:v>0.02080946037418849</x:v>
      </x:c>
      <x:c r="Y63" s="75" t="n">
        <x:v>0.01970356308389106</x:v>
      </x:c>
      <x:c r="Z63" s="75" t="n">
        <x:v>0.005225170914357295</x:v>
      </x:c>
      <x:c r="AA63" s="75" t="n">
        <x:v>0.008064989157442469</x:v>
      </x:c>
      <x:c r="AB63" s="75" t="n">
        <x:v>0.006982893278280972</x:v>
      </x:c>
      <x:c r="AC63" s="75" t="n">
        <x:v>0.025403610661718992</x:v>
      </x:c>
      <x:c r="AD63" s="75" t="n">
        <x:v>0.10518911377395852</x:v>
      </x:c>
      <x:c r="AE63" s="75" t="n">
        <x:v>0.06285665928664094</x:v>
      </x:c>
      <x:c r="AF63" s="74" t="n">
        <x:v>10</x:v>
      </x:c>
    </x:row>
    <x:row r="64">
      <x:c r="A64" t="str">
        <x:v>2026 S1</x:v>
      </x:c>
      <x:c r="B64" t="str">
        <x:v>CNCT0016</x:v>
      </x:c>
      <x:c r="C64" s="74" t="n">
        <x:v>4189</x:v>
      </x:c>
      <x:c r="D64" s="74" t="n">
        <x:v>1284.447</x:v>
      </x:c>
      <x:c r="E64" s="75" t="n">
        <x:v>0.9831839335546538</x:v>
      </x:c>
      <x:c r="F64" s="75" t="n">
        <x:v>0.20873761855439804</x:v>
      </x:c>
      <x:c r="G64" s="75" t="n">
        <x:v>0.012596465695096412</x:v>
      </x:c>
      <x:c r="H64" s="75" t="n">
        <x:v>0.009432515552696714</x:v>
      </x:c>
      <x:c r="I64" s="75" t="n">
        <x:v>0.009295193772748463</x:v>
      </x:c>
      <x:c r="J64" s="75" t="n">
        <x:v>0.010896252410311717</x:v>
      </x:c>
      <x:c r="K64" s="75" t="n">
        <x:v>0.01101899157554726</x:v>
      </x:c>
      <x:c r="L64" s="75" t="n">
        <x:v>0.008680536016778205</x:v>
      </x:c>
      <x:c r="M64" s="75" t="n">
        <x:v>0.008577760693777236</x:v>
      </x:c>
      <x:c r="N64" s="75" t="n">
        <x:v>0.006002660493046278</x:v>
      </x:c>
      <x:c r="O64" s="75" t="n">
        <x:v>0.013703297385531187</x:v>
      </x:c>
      <x:c r="P64" s="75" t="n">
        <x:v>0.0028292380448726815</x:v>
      </x:c>
      <x:c r="Q64" s="75" t="n">
        <x:v>0.0012390844481924433</x:v>
      </x:c>
      <x:c r="R64" s="75" t="n">
        <x:v>0.38211822011682633</x:v>
      </x:c>
      <x:c r="S64" s="75" t="n">
        <x:v>0.016642916010190675</x:v>
      </x:c>
      <x:c r="T64" s="75" t="n">
        <x:v>0.00517740128361038</x:v>
      </x:c>
      <x:c r="U64" s="75" t="n">
        <x:v>0.005819288553087972</x:v>
      </x:c>
      <x:c r="V64" s="75" t="n">
        <x:v>0.03377325277714408</x:v>
      </x:c>
      <x:c r="W64" s="75" t="n">
        <x:v>0.016753447347330325</x:v>
      </x:c>
      <x:c r="X64" s="75" t="n">
        <x:v>0.02560502138461184</x:v>
      </x:c>
      <x:c r="Y64" s="75" t="n">
        <x:v>0.024244268954800013</x:v>
      </x:c>
      <x:c r="Z64" s="75" t="n">
        <x:v>0.006429316791237928</x:v>
      </x:c>
      <x:c r="AA64" s="75" t="n">
        <x:v>0.00992357399613877</x:v>
      </x:c>
      <x:c r="AB64" s="75" t="n">
        <x:v>0.00859210803652659</x:v>
      </x:c>
      <x:c r="AC64" s="75" t="n">
        <x:v>0.031257898212799486</x:v>
      </x:c>
      <x:c r="AD64" s="75" t="n">
        <x:v>0.10518911377395852</x:v>
      </x:c>
      <x:c r="AE64" s="75" t="n">
        <x:v>0.06285665928664094</x:v>
      </x:c>
      <x:c r="AF64" s="74" t="n">
        <x:v>10</x:v>
      </x:c>
    </x:row>
    <x:row r="65">
      <x:c r="A65" t="str">
        <x:v>2026 S2</x:v>
      </x:c>
      <x:c r="B65" t="str">
        <x:v>CNCT0016</x:v>
      </x:c>
      <x:c r="C65" s="74" t="n">
        <x:v>4477</x:v>
      </x:c>
      <x:c r="D65" s="74" t="n">
        <x:v>1276.102</x:v>
      </x:c>
      <x:c r="E65" s="75" t="n">
        <x:v>0.9723164266062085</x:v>
      </x:c>
      <x:c r="F65" s="75" t="n">
        <x:v>0.19223444705776635</x:v>
      </x:c>
      <x:c r="G65" s="75" t="n">
        <x:v>0.009620658474770607</x:v>
      </x:c>
      <x:c r="H65" s="75" t="n">
        <x:v>0.009432515552696714</x:v>
      </x:c>
      <x:c r="I65" s="75" t="n">
        <x:v>0.009295193772748463</x:v>
      </x:c>
      <x:c r="J65" s="75" t="n">
        <x:v>0.010896252410311717</x:v>
      </x:c>
      <x:c r="K65" s="75" t="n">
        <x:v>0.01101899157554726</x:v>
      </x:c>
      <x:c r="L65" s="75" t="n">
        <x:v>0.008680536016778205</x:v>
      </x:c>
      <x:c r="M65" s="75" t="n">
        <x:v>0.008577760693777236</x:v>
      </x:c>
      <x:c r="N65" s="75" t="n">
        <x:v>0.006002660493046278</x:v>
      </x:c>
      <x:c r="O65" s="75" t="n">
        <x:v>0.014747973544850537</x:v>
      </x:c>
      <x:c r="P65" s="75" t="n">
        <x:v>0.0028292380448726815</x:v>
      </x:c>
      <x:c r="Q65" s="75" t="n">
        <x:v>0.0012390844481924433</x:v>
      </x:c>
      <x:c r="R65" s="75" t="n">
        <x:v>0.3789958471067295</x:v>
      </x:c>
      <x:c r="S65" s="75" t="n">
        <x:v>0.016642916010190675</x:v>
      </x:c>
      <x:c r="T65" s="75" t="n">
        <x:v>0.00517740128361038</x:v>
      </x:c>
      <x:c r="U65" s="75" t="n">
        <x:v>0.005819288553087972</x:v>
      </x:c>
      <x:c r="V65" s="75" t="n">
        <x:v>0.03377325277714408</x:v>
      </x:c>
      <x:c r="W65" s="75" t="n">
        <x:v>0.014432638234379092</x:v>
      </x:c>
      <x:c r="X65" s="75" t="n">
        <x:v>0.022058027996639803</x:v>
      </x:c>
      <x:c r="Y65" s="75" t="n">
        <x:v>0.020885776868924524</x:v>
      </x:c>
      <x:c r="Z65" s="75" t="n">
        <x:v>0.005538681169218733</x:v>
      </x:c>
      <x:c r="AA65" s="75" t="n">
        <x:v>0.008548888506889018</x:v>
      </x:c>
      <x:c r="AB65" s="75" t="n">
        <x:v>0.007401866874977831</x:v>
      </x:c>
      <x:c r="AC65" s="75" t="n">
        <x:v>0.02692782730142213</x:v>
      </x:c>
      <x:c r="AD65" s="75" t="n">
        <x:v>0.10518911377395852</x:v>
      </x:c>
      <x:c r="AE65" s="75" t="n">
        <x:v>0.06285665928664094</x:v>
      </x:c>
      <x:c r="AF65" s="74" t="n">
        <x:v>10</x:v>
      </x:c>
    </x:row>
    <x:row r="66">
      <x:c r="A66" t="str">
        <x:v>2025 S1</x:v>
      </x:c>
      <x:c r="B66" t="str">
        <x:v>CNCT0017</x:v>
      </x:c>
      <x:c r="C66" s="74" t="n">
        <x:v>2631</x:v>
      </x:c>
      <x:c r="D66" s="74" t="n">
        <x:v>945.54</x:v>
      </x:c>
      <x:c r="E66" s="75" t="n">
        <x:v>0.9784814508319832</x:v>
      </x:c>
      <x:c r="F66" s="75" t="n">
        <x:v>0.14999135791650042</x:v>
      </x:c>
      <x:c r="G66" s="75" t="n">
        <x:v>0.013960968491903258</x:v>
      </x:c>
      <x:c r="H66" s="75" t="n">
        <x:v>0.008115533062486066</x:v>
      </x:c>
      <x:c r="I66" s="75" t="n">
        <x:v>0.00871522196451042</x:v>
      </x:c>
      <x:c r="J66" s="75" t="n">
        <x:v>0.016761223548557608</x:v>
      </x:c>
      <x:c r="K66" s="75" t="n">
        <x:v>0.011192054301063762</x:v>
      </x:c>
      <x:c r="L66" s="75" t="n">
        <x:v>0.010535055500338784</x:v>
      </x:c>
      <x:c r="M66" s="75" t="n">
        <x:v>0.006742098175462161</x:v>
      </x:c>
      <x:c r="N66" s="75" t="n">
        <x:v>0.005538161928794579</x:v>
      </x:c>
      <x:c r="O66" s="75" t="n">
        <x:v>0.013802672117722977</x:v>
      </x:c>
      <x:c r="P66" s="75" t="n">
        <x:v>0.00008491330483593627</x:v>
      </x:c>
      <x:c r="Q66" s="75" t="n">
        <x:v>0.005674318496159686</x:v>
      </x:c>
      <x:c r="R66" s="75" t="n">
        <x:v>0.3892570746733136</x:v>
      </x:c>
      <x:c r="S66" s="75" t="n">
        <x:v>0.01656484589558204</x:v>
      </x:c>
      <x:c r="T66" s="75" t="n">
        <x:v>0.006513730897422647</x:v>
      </x:c>
      <x:c r="U66" s="75" t="n">
        <x:v>0.012731950513174524</x:v>
      </x:c>
      <x:c r="V66" s="75" t="n">
        <x:v>0.03967204238346313</x:v>
      </x:c>
      <x:c r="W66" s="75" t="n">
        <x:v>0.00985396070212737</x:v>
      </x:c>
      <x:c r="X66" s="75" t="n">
        <x:v>0.025297059537664753</x:v>
      </x:c>
      <x:c r="Y66" s="75" t="n">
        <x:v>0.0148985416391262</x:v>
      </x:c>
      <x:c r="Z66" s="75" t="n">
        <x:v>0.007696639931190293</x:v>
      </x:c>
      <x:c r="AA66" s="75" t="n">
        <x:v>0.007540424650970963</x:v>
      </x:c>
      <x:c r="AB66" s="75" t="n">
        <x:v>0.00391144110141322</x:v>
      </x:c>
      <x:c r="AC66" s="75" t="n">
        <x:v>0.018674442841648122</x:v>
      </x:c>
      <x:c r="AD66" s="75" t="n">
        <x:v>0.12231716965450323</x:v>
      </x:c>
      <x:c r="AE66" s="75" t="n">
        <x:v>0.06407481508073397</x:v>
      </x:c>
      <x:c r="AF66" s="74" t="n">
        <x:v>8</x:v>
      </x:c>
    </x:row>
    <x:row r="67">
      <x:c r="A67" t="str">
        <x:v>2025 S2</x:v>
      </x:c>
      <x:c r="B67" t="str">
        <x:v>CNCT0017</x:v>
      </x:c>
      <x:c r="C67" s="74" t="n">
        <x:v>2763</x:v>
      </x:c>
      <x:c r="D67" s="74" t="n">
        <x:v>956.887</x:v>
      </x:c>
      <x:c r="E67" s="75" t="n">
        <x:v>0.9800686832041247</x:v>
      </x:c>
      <x:c r="F67" s="75" t="n">
        <x:v>0.14999135791650042</x:v>
      </x:c>
      <x:c r="G67" s="75" t="n">
        <x:v>0.013960968491903258</x:v>
      </x:c>
      <x:c r="H67" s="75" t="n">
        <x:v>0.008115533062486066</x:v>
      </x:c>
      <x:c r="I67" s="75" t="n">
        <x:v>0.00871522196451042</x:v>
      </x:c>
      <x:c r="J67" s="75" t="n">
        <x:v>0.016761223548557608</x:v>
      </x:c>
      <x:c r="K67" s="75" t="n">
        <x:v>0.011192054301063762</x:v>
      </x:c>
      <x:c r="L67" s="75" t="n">
        <x:v>0.010535055500338784</x:v>
      </x:c>
      <x:c r="M67" s="75" t="n">
        <x:v>0.006742098175462161</x:v>
      </x:c>
      <x:c r="N67" s="75" t="n">
        <x:v>0.005538161928794579</x:v>
      </x:c>
      <x:c r="O67" s="75" t="n">
        <x:v>0.013802672117722977</x:v>
      </x:c>
      <x:c r="P67" s="75" t="n">
        <x:v>0.00008491330483593627</x:v>
      </x:c>
      <x:c r="Q67" s="75" t="n">
        <x:v>0.005674318496159686</x:v>
      </x:c>
      <x:c r="R67" s="75" t="n">
        <x:v>0.3644377037111293</x:v>
      </x:c>
      <x:c r="S67" s="75" t="n">
        <x:v>0.01656484589558204</x:v>
      </x:c>
      <x:c r="T67" s="75" t="n">
        <x:v>0.006513730897422647</x:v>
      </x:c>
      <x:c r="U67" s="75" t="n">
        <x:v>0.012731950513174524</x:v>
      </x:c>
      <x:c r="V67" s="75" t="n">
        <x:v>0.03967204238346313</x:v>
      </x:c>
      <x:c r="W67" s="75" t="n">
        <x:v>0.00985396070212737</x:v>
      </x:c>
      <x:c r="X67" s="75" t="n">
        <x:v>0.025297059537664753</x:v>
      </x:c>
      <x:c r="Y67" s="75" t="n">
        <x:v>0.0148985416391262</x:v>
      </x:c>
      <x:c r="Z67" s="75" t="n">
        <x:v>0.007696639931190293</x:v>
      </x:c>
      <x:c r="AA67" s="75" t="n">
        <x:v>0.007540424650970963</x:v>
      </x:c>
      <x:c r="AB67" s="75" t="n">
        <x:v>0.00391144110141322</x:v>
      </x:c>
      <x:c r="AC67" s="75" t="n">
        <x:v>0.018674442841648122</x:v>
      </x:c>
      <x:c r="AD67" s="75" t="n">
        <x:v>0.12231716965450323</x:v>
      </x:c>
      <x:c r="AE67" s="75" t="n">
        <x:v>0.06407481508073397</x:v>
      </x:c>
      <x:c r="AF67" s="74" t="n">
        <x:v>8</x:v>
      </x:c>
    </x:row>
    <x:row r="68">
      <x:c r="A68" t="str">
        <x:v>2026 S1</x:v>
      </x:c>
      <x:c r="B68" t="str">
        <x:v>CNCT0017</x:v>
      </x:c>
      <x:c r="C68" s="74" t="n">
        <x:v>2524</x:v>
      </x:c>
      <x:c r="D68" s="74" t="n">
        <x:v>995.252</x:v>
      </x:c>
      <x:c r="E68" s="75" t="n">
        <x:v>0.9773663274816353</x:v>
      </x:c>
      <x:c r="F68" s="75" t="n">
        <x:v>0.1481370657272346</x:v>
      </x:c>
      <x:c r="G68" s="75" t="n">
        <x:v>0.012244630662598864</x:v>
      </x:c>
      <x:c r="H68" s="75" t="n">
        <x:v>0.008115533062486066</x:v>
      </x:c>
      <x:c r="I68" s="75" t="n">
        <x:v>0.00871522196451042</x:v>
      </x:c>
      <x:c r="J68" s="75" t="n">
        <x:v>0.016761223548557608</x:v>
      </x:c>
      <x:c r="K68" s="75" t="n">
        <x:v>0.011192054301063762</x:v>
      </x:c>
      <x:c r="L68" s="75" t="n">
        <x:v>0.010535055500338784</x:v>
      </x:c>
      <x:c r="M68" s="75" t="n">
        <x:v>0.006742098175462161</x:v>
      </x:c>
      <x:c r="N68" s="75" t="n">
        <x:v>0.005538161928794579</x:v>
      </x:c>
      <x:c r="O68" s="75" t="n">
        <x:v>0.013298740570615336</x:v>
      </x:c>
      <x:c r="P68" s="75" t="n">
        <x:v>0.00008491330483593627</x:v>
      </x:c>
      <x:c r="Q68" s="75" t="n">
        <x:v>0.005674318496159686</x:v>
      </x:c>
      <x:c r="R68" s="75" t="n">
        <x:v>0.3933153996638599</x:v>
      </x:c>
      <x:c r="S68" s="75" t="n">
        <x:v>0.01656484589558204</x:v>
      </x:c>
      <x:c r="T68" s="75" t="n">
        <x:v>0.006513730897422647</x:v>
      </x:c>
      <x:c r="U68" s="75" t="n">
        <x:v>0.012731950513174524</x:v>
      </x:c>
      <x:c r="V68" s="75" t="n">
        <x:v>0.03967204238346313</x:v>
      </x:c>
      <x:c r="W68" s="75" t="n">
        <x:v>0.012124815827230956</x:v>
      </x:c>
      <x:c r="X68" s="75" t="n">
        <x:v>0.03112679227536022</x:v>
      </x:c>
      <x:c r="Y68" s="75" t="n">
        <x:v>0.018331925499737174</x:v>
      </x:c>
      <x:c r="Z68" s="75" t="n">
        <x:v>0.00947033832132565</x:v>
      </x:c>
      <x:c r="AA68" s="75" t="n">
        <x:v>0.009278123073131112</x:v>
      </x:c>
      <x:c r="AB68" s="75" t="n">
        <x:v>0.004812836625526425</x:v>
      </x:c>
      <x:c r="AC68" s="75" t="n">
        <x:v>0.02297798692075688</x:v>
      </x:c>
      <x:c r="AD68" s="75" t="n">
        <x:v>0.12231716965450323</x:v>
      </x:c>
      <x:c r="AE68" s="75" t="n">
        <x:v>0.06407481508073397</x:v>
      </x:c>
      <x:c r="AF68" s="74" t="n">
        <x:v>8</x:v>
      </x:c>
    </x:row>
    <x:row r="69">
      <x:c r="A69" t="str">
        <x:v>2026 S2</x:v>
      </x:c>
      <x:c r="B69" t="str">
        <x:v>CNCT0017</x:v>
      </x:c>
      <x:c r="C69" s="74" t="n">
        <x:v>1810</x:v>
      </x:c>
      <x:c r="D69" s="74" t="n">
        <x:v>991.094</x:v>
      </x:c>
      <x:c r="E69" s="75" t="n">
        <x:v>0.9800686832041247</x:v>
      </x:c>
      <x:c r="F69" s="75" t="n">
        <x:v>0.1485583203994611</x:v>
      </x:c>
      <x:c r="G69" s="75" t="n">
        <x:v>0.015221155195953542</x:v>
      </x:c>
      <x:c r="H69" s="75" t="n">
        <x:v>0.008115533062486066</x:v>
      </x:c>
      <x:c r="I69" s="75" t="n">
        <x:v>0.00871522196451042</x:v>
      </x:c>
      <x:c r="J69" s="75" t="n">
        <x:v>0.016761223548557608</x:v>
      </x:c>
      <x:c r="K69" s="75" t="n">
        <x:v>0.011192054301063762</x:v>
      </x:c>
      <x:c r="L69" s="75" t="n">
        <x:v>0.010535055500338784</x:v>
      </x:c>
      <x:c r="M69" s="75" t="n">
        <x:v>0.006742098175462161</x:v>
      </x:c>
      <x:c r="N69" s="75" t="n">
        <x:v>0.005538161928794579</x:v>
      </x:c>
      <x:c r="O69" s="75" t="n">
        <x:v>0.013802672117722977</x:v>
      </x:c>
      <x:c r="P69" s="75" t="n">
        <x:v>0.00008491330483593627</x:v>
      </x:c>
      <x:c r="Q69" s="75" t="n">
        <x:v>0.005674318496159686</x:v>
      </x:c>
      <x:c r="R69" s="75" t="n">
        <x:v>0.361717258711379</x:v>
      </x:c>
      <x:c r="S69" s="75" t="n">
        <x:v>0.01656484589558204</x:v>
      </x:c>
      <x:c r="T69" s="75" t="n">
        <x:v>0.006513730897422647</x:v>
      </x:c>
      <x:c r="U69" s="75" t="n">
        <x:v>0.012731950513174524</x:v>
      </x:c>
      <x:c r="V69" s="75" t="n">
        <x:v>0.03967204238346313</x:v>
      </x:c>
      <x:c r="W69" s="75" t="n">
        <x:v>0.010445198344255013</x:v>
      </x:c>
      <x:c r="X69" s="75" t="n">
        <x:v>0.02681488310992464</x:v>
      </x:c>
      <x:c r="Y69" s="75" t="n">
        <x:v>0.015792454137473773</x:v>
      </x:c>
      <x:c r="Z69" s="75" t="n">
        <x:v>0.008158438327061712</x:v>
      </x:c>
      <x:c r="AA69" s="75" t="n">
        <x:v>0.01158963268854237</x:v>
      </x:c>
      <x:c r="AB69" s="75" t="n">
        <x:v>0.007463029621496424</x:v>
      </x:c>
      <x:c r="AC69" s="75" t="n">
        <x:v>0.01979490941214701</x:v>
      </x:c>
      <x:c r="AD69" s="75" t="n">
        <x:v>0.12231716965450323</x:v>
      </x:c>
      <x:c r="AE69" s="75" t="n">
        <x:v>0.06407481508073397</x:v>
      </x:c>
      <x:c r="AF69" s="74" t="n">
        <x:v>8</x:v>
      </x:c>
    </x:row>
    <x:row r="70">
      <x:c r="A70" t="str">
        <x:v>2025 S1</x:v>
      </x:c>
      <x:c r="B70" t="str">
        <x:v>CNCT0018</x:v>
      </x:c>
      <x:c r="C70" s="74" t="n">
        <x:v>1686</x:v>
      </x:c>
      <x:c r="D70" s="74" t="n">
        <x:v>888.707</x:v>
      </x:c>
      <x:c r="E70" s="75" t="n">
        <x:v>0.9657435745955445</x:v>
      </x:c>
      <x:c r="F70" s="75" t="n">
        <x:v>0.15690338694048114</x:v>
      </x:c>
      <x:c r="G70" s="75" t="n">
        <x:v>0.017596514363132882</x:v>
      </x:c>
      <x:c r="H70" s="75" t="n">
        <x:v>0.009083424793045197</x:v>
      </x:c>
      <x:c r="I70" s="75" t="n">
        <x:v>0.010324486088027697</x:v>
      </x:c>
      <x:c r="J70" s="75" t="n">
        <x:v>0.017176827722927557</x:v>
      </x:c>
      <x:c r="K70" s="75" t="n">
        <x:v>0.008119317636272171</x:v>
      </x:c>
      <x:c r="L70" s="75" t="n">
        <x:v>0.008543314255788572</x:v>
      </x:c>
      <x:c r="M70" s="75" t="n">
        <x:v>0.0093561100307561</x:v>
      </x:c>
      <x:c r="N70" s="75" t="n">
        <x:v>0.005379767952341354</x:v>
      </x:c>
      <x:c r="O70" s="75" t="n">
        <x:v>0.007991552926847362</x:v>
      </x:c>
      <x:c r="P70" s="75" t="n">
        <x:v>0.0023955079385705176</x:v>
      </x:c>
      <x:c r="Q70" s="75" t="n">
        <x:v>0.005290614448313136</x:v>
      </x:c>
      <x:c r="R70" s="75" t="n">
        <x:v>0.3807106643650681</x:v>
      </x:c>
      <x:c r="S70" s="75" t="n">
        <x:v>0.014961843781155039</x:v>
      </x:c>
      <x:c r="T70" s="75" t="n">
        <x:v>0.004220735700921068</x:v>
      </x:c>
      <x:c r="U70" s="75" t="n">
        <x:v>0.0098533053281717</x:v>
      </x:c>
      <x:c r="V70" s="75" t="n">
        <x:v>0.039532930147295704</x:v>
      </x:c>
      <x:c r="W70" s="75" t="n">
        <x:v>0.018552078609178426</x:v>
      </x:c>
      <x:c r="X70" s="75" t="n">
        <x:v>0.03185496303936599</x:v>
      </x:c>
      <x:c r="Y70" s="75" t="n">
        <x:v>0.024226321356455104</x:v>
      </x:c>
      <x:c r="Z70" s="75" t="n">
        <x:v>0.00790193386233368</x:v>
      </x:c>
      <x:c r="AA70" s="75" t="n">
        <x:v>0.008585517617363949</x:v>
      </x:c>
      <x:c r="AB70" s="75" t="n">
        <x:v>0.0048978688091633376</x:v>
      </x:c>
      <x:c r="AC70" s="75" t="n">
        <x:v>0.03917834125756257</x:v>
      </x:c>
      <x:c r="AD70" s="75" t="n">
        <x:v>0.12024828841047365</x:v>
      </x:c>
      <x:c r="AE70" s="75" t="n">
        <x:v>0.0929183907113329</x:v>
      </x:c>
      <x:c r="AF70" s="74" t="n">
        <x:v>11</x:v>
      </x:c>
    </x:row>
    <x:row r="71">
      <x:c r="A71" t="str">
        <x:v>2025 S2</x:v>
      </x:c>
      <x:c r="B71" t="str">
        <x:v>CNCT0018</x:v>
      </x:c>
      <x:c r="C71" s="74" t="n">
        <x:v>2564</x:v>
      </x:c>
      <x:c r="D71" s="74" t="n">
        <x:v>899.372</x:v>
      </x:c>
      <x:c r="E71" s="75" t="n">
        <x:v>0.9794696481635328</x:v>
      </x:c>
      <x:c r="F71" s="75" t="n">
        <x:v>0.15690338694048114</x:v>
      </x:c>
      <x:c r="G71" s="75" t="n">
        <x:v>0.017596514363132882</x:v>
      </x:c>
      <x:c r="H71" s="75" t="n">
        <x:v>0.009083424793045197</x:v>
      </x:c>
      <x:c r="I71" s="75" t="n">
        <x:v>0.010324486088027697</x:v>
      </x:c>
      <x:c r="J71" s="75" t="n">
        <x:v>0.017176827722927557</x:v>
      </x:c>
      <x:c r="K71" s="75" t="n">
        <x:v>0.008119317636272171</x:v>
      </x:c>
      <x:c r="L71" s="75" t="n">
        <x:v>0.008543314255788572</x:v>
      </x:c>
      <x:c r="M71" s="75" t="n">
        <x:v>0.0093561100307561</x:v>
      </x:c>
      <x:c r="N71" s="75" t="n">
        <x:v>0.005379767952341354</x:v>
      </x:c>
      <x:c r="O71" s="75" t="n">
        <x:v>0.007991552926847362</x:v>
      </x:c>
      <x:c r="P71" s="75" t="n">
        <x:v>0.0023955079385705176</x:v>
      </x:c>
      <x:c r="Q71" s="75" t="n">
        <x:v>0.005290614448313136</x:v>
      </x:c>
      <x:c r="R71" s="75" t="n">
        <x:v>0.37811356115703626</x:v>
      </x:c>
      <x:c r="S71" s="75" t="n">
        <x:v>0.014961843781155039</x:v>
      </x:c>
      <x:c r="T71" s="75" t="n">
        <x:v>0.004220735700921068</x:v>
      </x:c>
      <x:c r="U71" s="75" t="n">
        <x:v>0.0098533053281717</x:v>
      </x:c>
      <x:c r="V71" s="75" t="n">
        <x:v>0.039532930147295704</x:v>
      </x:c>
      <x:c r="W71" s="75" t="n">
        <x:v>0.013742280451243278</x:v>
      </x:c>
      <x:c r="X71" s="75" t="n">
        <x:v>0.02359626891804888</x:v>
      </x:c>
      <x:c r="Y71" s="75" t="n">
        <x:v>0.01794542322700378</x:v>
      </x:c>
      <x:c r="Z71" s="75" t="n">
        <x:v>0.00790193386233368</x:v>
      </x:c>
      <x:c r="AA71" s="75" t="n">
        <x:v>0.008585517617363949</x:v>
      </x:c>
      <x:c r="AB71" s="75" t="n">
        <x:v>0.0036280509697506204</x:v>
      </x:c>
      <x:c r="AC71" s="75" t="n">
        <x:v>0.02902099352412042</x:v>
      </x:c>
      <x:c r="AD71" s="75" t="n">
        <x:v>0.10736454322363717</x:v>
      </x:c>
      <x:c r="AE71" s="75" t="n">
        <x:v>0.0929183907113329</x:v>
      </x:c>
      <x:c r="AF71" s="74" t="n">
        <x:v>11</x:v>
      </x:c>
    </x:row>
    <x:row r="72">
      <x:c r="A72" t="str">
        <x:v>2026 S1</x:v>
      </x:c>
      <x:c r="B72" t="str">
        <x:v>CNCT0018</x:v>
      </x:c>
      <x:c r="C72" s="74" t="n">
        <x:v>2134</x:v>
      </x:c>
      <x:c r="D72" s="74" t="n">
        <x:v>928.636</x:v>
      </x:c>
      <x:c r="E72" s="75" t="n">
        <x:v>0.9648297401020828</x:v>
      </x:c>
      <x:c r="F72" s="75" t="n">
        <x:v>0.15398303703541752</x:v>
      </x:c>
      <x:c r="G72" s="75" t="n">
        <x:v>0.017391463964246213</x:v>
      </x:c>
      <x:c r="H72" s="75" t="n">
        <x:v>0.009083424793045197</x:v>
      </x:c>
      <x:c r="I72" s="75" t="n">
        <x:v>0.010324486088027697</x:v>
      </x:c>
      <x:c r="J72" s="75" t="n">
        <x:v>0.017176827722927557</x:v>
      </x:c>
      <x:c r="K72" s="75" t="n">
        <x:v>0.008119317636272171</x:v>
      </x:c>
      <x:c r="L72" s="75" t="n">
        <x:v>0.008543314255788572</x:v>
      </x:c>
      <x:c r="M72" s="75" t="n">
        <x:v>0.0093561100307561</x:v>
      </x:c>
      <x:c r="N72" s="75" t="n">
        <x:v>0.005379767952341354</x:v>
      </x:c>
      <x:c r="O72" s="75" t="n">
        <x:v>0.008124780770405777</x:v>
      </x:c>
      <x:c r="P72" s="75" t="n">
        <x:v>0.0023955079385705176</x:v>
      </x:c>
      <x:c r="Q72" s="75" t="n">
        <x:v>0.005290614448313136</x:v>
      </x:c>
      <x:c r="R72" s="75" t="n">
        <x:v>0.3838439456452034</x:v>
      </x:c>
      <x:c r="S72" s="75" t="n">
        <x:v>0.014961843781155039</x:v>
      </x:c>
      <x:c r="T72" s="75" t="n">
        <x:v>0.004220735700921068</x:v>
      </x:c>
      <x:c r="U72" s="75" t="n">
        <x:v>0.0098533053281717</x:v>
      </x:c>
      <x:c r="V72" s="75" t="n">
        <x:v>0.039532930147295704</x:v>
      </x:c>
      <x:c r="W72" s="75" t="n">
        <x:v>0.02282742372821084</x:v>
      </x:c>
      <x:c r="X72" s="75" t="n">
        <x:v>0.03919597121512546</x:v>
      </x:c>
      <x:c r="Y72" s="75" t="n">
        <x:v>0.0298093014065821</x:v>
      </x:c>
      <x:c r="Z72" s="75" t="n">
        <x:v>0.009722942444764505</x:v>
      </x:c>
      <x:c r="AA72" s="75" t="n">
        <x:v>0.010564058761621706</x:v>
      </x:c>
      <x:c r="AB72" s="75" t="n">
        <x:v>0.00602658758769189</x:v>
      </x:c>
      <x:c r="AC72" s="75" t="n">
        <x:v>0.04820702928740075</x:v>
      </x:c>
      <x:c r="AD72" s="75" t="n">
        <x:v>0.12024828841047365</x:v>
      </x:c>
      <x:c r="AE72" s="75" t="n">
        <x:v>0.0929183907113329</x:v>
      </x:c>
      <x:c r="AF72" s="74" t="n">
        <x:v>11</x:v>
      </x:c>
    </x:row>
    <x:row r="73">
      <x:c r="A73" t="str">
        <x:v>2026 S2</x:v>
      </x:c>
      <x:c r="B73" t="str">
        <x:v>CNCT0018</x:v>
      </x:c>
      <x:c r="C73" s="74" t="n">
        <x:v>2622</x:v>
      </x:c>
      <x:c r="D73" s="74" t="n">
        <x:v>934.704</x:v>
      </x:c>
      <x:c r="E73" s="75" t="n">
        <x:v>0.9794696481635328</x:v>
      </x:c>
      <x:c r="F73" s="75" t="n">
        <x:v>0.15656805268851895</x:v>
      </x:c>
      <x:c r="G73" s="75" t="n">
        <x:v>0.018614493998233228</x:v>
      </x:c>
      <x:c r="H73" s="75" t="n">
        <x:v>0.009083424793045197</x:v>
      </x:c>
      <x:c r="I73" s="75" t="n">
        <x:v>0.010324486088027697</x:v>
      </x:c>
      <x:c r="J73" s="75" t="n">
        <x:v>0.017176827722927557</x:v>
      </x:c>
      <x:c r="K73" s="75" t="n">
        <x:v>0.008119317636272171</x:v>
      </x:c>
      <x:c r="L73" s="75" t="n">
        <x:v>0.008543314255788572</x:v>
      </x:c>
      <x:c r="M73" s="75" t="n">
        <x:v>0.0093561100307561</x:v>
      </x:c>
      <x:c r="N73" s="75" t="n">
        <x:v>0.005379767952341354</x:v>
      </x:c>
      <x:c r="O73" s="75" t="n">
        <x:v>0.007991552926847362</x:v>
      </x:c>
      <x:c r="P73" s="75" t="n">
        <x:v>0.0023955079385705176</x:v>
      </x:c>
      <x:c r="Q73" s="75" t="n">
        <x:v>0.005290614448313136</x:v>
      </x:c>
      <x:c r="R73" s="75" t="n">
        <x:v>0.3771265156388988</x:v>
      </x:c>
      <x:c r="S73" s="75" t="n">
        <x:v>0.014961843781155039</x:v>
      </x:c>
      <x:c r="T73" s="75" t="n">
        <x:v>0.004220735700921068</x:v>
      </x:c>
      <x:c r="U73" s="75" t="n">
        <x:v>0.0098533053281717</x:v>
      </x:c>
      <x:c r="V73" s="75" t="n">
        <x:v>0.039532930147295704</x:v>
      </x:c>
      <x:c r="W73" s="75" t="n">
        <x:v>0.014566817278317875</x:v>
      </x:c>
      <x:c r="X73" s="75" t="n">
        <x:v>0.025012045053131815</x:v>
      </x:c>
      <x:c r="Y73" s="75" t="n">
        <x:v>0.019022148620624006</x:v>
      </x:c>
      <x:c r="Z73" s="75" t="n">
        <x:v>0.0083760498940737</x:v>
      </x:c>
      <x:c r="AA73" s="75" t="n">
        <x:v>0.009100648674405786</x:v>
      </x:c>
      <x:c r="AB73" s="75" t="n">
        <x:v>0.0038457340279356577</x:v>
      </x:c>
      <x:c r="AC73" s="75" t="n">
        <x:v>0.030762253135567647</x:v>
      </x:c>
      <x:c r="AD73" s="75" t="n">
        <x:v>0.10736454322363717</x:v>
      </x:c>
      <x:c r="AE73" s="75" t="n">
        <x:v>0.0929183907113329</x:v>
      </x:c>
      <x:c r="AF73" s="74" t="n">
        <x:v>11</x:v>
      </x:c>
    </x:row>
    <x:row r="74">
      <x:c r="A74" t="str">
        <x:v>2025 S1</x:v>
      </x:c>
      <x:c r="B74" t="str">
        <x:v>CNCT0019</x:v>
      </x:c>
      <x:c r="C74" s="74" t="n">
        <x:v>2461</x:v>
      </x:c>
      <x:c r="D74" s="74" t="n">
        <x:v>1140.505</x:v>
      </x:c>
      <x:c r="E74" s="75" t="n">
        <x:v>0.9716376869131345</x:v>
      </x:c>
      <x:c r="F74" s="75" t="n">
        <x:v>0.20627559347357602</x:v>
      </x:c>
      <x:c r="G74" s="75" t="n">
        <x:v>0.010662615204724717</x:v>
      </x:c>
      <x:c r="H74" s="75" t="n">
        <x:v>0.007115320345896179</x:v>
      </x:c>
      <x:c r="I74" s="75" t="n">
        <x:v>0.009143274613532412</x:v>
      </x:c>
      <x:c r="J74" s="75" t="n">
        <x:v>0.013882834795522513</x:v>
      </x:c>
      <x:c r="K74" s="75" t="n">
        <x:v>0.012571969495213125</x:v>
      </x:c>
      <x:c r="L74" s="75" t="n">
        <x:v>0.009223687090576277</x:v>
      </x:c>
      <x:c r="M74" s="75" t="n">
        <x:v>0.008757750995944662</x:v>
      </x:c>
      <x:c r="N74" s="75" t="n">
        <x:v>0.00566064588772133</x:v>
      </x:c>
      <x:c r="O74" s="75" t="n">
        <x:v>0.013768918867441242</x:v>
      </x:c>
      <x:c r="P74" s="75" t="n">
        <x:v>0.0006588227372558322</x:v>
      </x:c>
      <x:c r="Q74" s="75" t="n">
        <x:v>0.004617003791223396</x:v>
      </x:c>
      <x:c r="R74" s="75" t="n">
        <x:v>0.372813825453526</x:v>
      </x:c>
      <x:c r="S74" s="75" t="n">
        <x:v>0.01294406689501193</x:v>
      </x:c>
      <x:c r="T74" s="75" t="n">
        <x:v>0.005534549954296381</x:v>
      </x:c>
      <x:c r="U74" s="75" t="n">
        <x:v>0.008079475984141027</x:v>
      </x:c>
      <x:c r="V74" s="75" t="n">
        <x:v>0.028369275646633472</x:v>
      </x:c>
      <x:c r="W74" s="75" t="n">
        <x:v>0.013174460945042666</x:v>
      </x:c>
      <x:c r="X74" s="75" t="n">
        <x:v>0.02446185501664644</x:v>
      </x:c>
      <x:c r="Y74" s="75" t="n">
        <x:v>0.020723234616828852</x:v>
      </x:c>
      <x:c r="Z74" s="75" t="n">
        <x:v>0.006918162241173559</x:v>
      </x:c>
      <x:c r="AA74" s="75" t="n">
        <x:v>0.008253873930343835</x:v>
      </x:c>
      <x:c r="AB74" s="75" t="n">
        <x:v>0.007115274338305607</x:v>
      </x:c>
      <x:c r="AC74" s="75" t="n">
        <x:v>0.018927883170786662</x:v>
      </x:c>
      <x:c r="AD74" s="75" t="n">
        <x:v>0.11432059627227137</x:v>
      </x:c>
      <x:c r="AE74" s="75" t="n">
        <x:v>0.06924620283706463</x:v>
      </x:c>
      <x:c r="AF74" s="74" t="n">
        <x:v>9</x:v>
      </x:c>
    </x:row>
    <x:row r="75">
      <x:c r="A75" t="str">
        <x:v>2025 S2</x:v>
      </x:c>
      <x:c r="B75" t="str">
        <x:v>CNCT0019</x:v>
      </x:c>
      <x:c r="C75" s="74" t="n">
        <x:v>2604</x:v>
      </x:c>
      <x:c r="D75" s="74" t="n">
        <x:v>1154.191</x:v>
      </x:c>
      <x:c r="E75" s="75" t="n">
        <x:v>0.974641944863717</x:v>
      </x:c>
      <x:c r="F75" s="75" t="n">
        <x:v>0.20627559347357602</x:v>
      </x:c>
      <x:c r="G75" s="75" t="n">
        <x:v>0.010662615204724717</x:v>
      </x:c>
      <x:c r="H75" s="75" t="n">
        <x:v>0.007115320345896179</x:v>
      </x:c>
      <x:c r="I75" s="75" t="n">
        <x:v>0.009143274613532412</x:v>
      </x:c>
      <x:c r="J75" s="75" t="n">
        <x:v>0.013882834795522513</x:v>
      </x:c>
      <x:c r="K75" s="75" t="n">
        <x:v>0.012571969495213125</x:v>
      </x:c>
      <x:c r="L75" s="75" t="n">
        <x:v>0.009223687090576277</x:v>
      </x:c>
      <x:c r="M75" s="75" t="n">
        <x:v>0.008757750995944662</x:v>
      </x:c>
      <x:c r="N75" s="75" t="n">
        <x:v>0.00566064588772133</x:v>
      </x:c>
      <x:c r="O75" s="75" t="n">
        <x:v>0.013768918867441242</x:v>
      </x:c>
      <x:c r="P75" s="75" t="n">
        <x:v>0.0006588227372558322</x:v>
      </x:c>
      <x:c r="Q75" s="75" t="n">
        <x:v>0.004617003791223396</x:v>
      </x:c>
      <x:c r="R75" s="75" t="n">
        <x:v>0.3572410105196644</x:v>
      </x:c>
      <x:c r="S75" s="75" t="n">
        <x:v>0.01294406689501193</x:v>
      </x:c>
      <x:c r="T75" s="75" t="n">
        <x:v>0.005534549954296381</x:v>
      </x:c>
      <x:c r="U75" s="75" t="n">
        <x:v>0.008079475984141027</x:v>
      </x:c>
      <x:c r="V75" s="75" t="n">
        <x:v>0.028369275646633472</x:v>
      </x:c>
      <x:c r="W75" s="75" t="n">
        <x:v>0.013174460945042666</x:v>
      </x:c>
      <x:c r="X75" s="75" t="n">
        <x:v>0.02446185501664644</x:v>
      </x:c>
      <x:c r="Y75" s="75" t="n">
        <x:v>0.020723234616828852</x:v>
      </x:c>
      <x:c r="Z75" s="75" t="n">
        <x:v>0.006918162241173559</x:v>
      </x:c>
      <x:c r="AA75" s="75" t="n">
        <x:v>0.008253873930343835</x:v>
      </x:c>
      <x:c r="AB75" s="75" t="n">
        <x:v>0.007115274338305607</x:v>
      </x:c>
      <x:c r="AC75" s="75" t="n">
        <x:v>0.018927883170786662</x:v>
      </x:c>
      <x:c r="AD75" s="75" t="n">
        <x:v>0.11432059627227137</x:v>
      </x:c>
      <x:c r="AE75" s="75" t="n">
        <x:v>0.06924620283706463</x:v>
      </x:c>
      <x:c r="AF75" s="74" t="n">
        <x:v>9</x:v>
      </x:c>
    </x:row>
    <x:row r="76">
      <x:c r="A76" t="str">
        <x:v>2026 S1</x:v>
      </x:c>
      <x:c r="B76" t="str">
        <x:v>CNCT0019</x:v>
      </x:c>
      <x:c r="C76" s="74" t="n">
        <x:v>2528</x:v>
      </x:c>
      <x:c r="D76" s="74" t="n">
        <x:v>1190.488</x:v>
      </x:c>
      <x:c r="E76" s="75" t="n">
        <x:v>0.9720165921052539</x:v>
      </x:c>
      <x:c r="F76" s="75" t="n">
        <x:v>0.20240181616587508</x:v>
      </x:c>
      <x:c r="G76" s="75" t="n">
        <x:v>0.012188104582048255</x:v>
      </x:c>
      <x:c r="H76" s="75" t="n">
        <x:v>0.007115320345896179</x:v>
      </x:c>
      <x:c r="I76" s="75" t="n">
        <x:v>0.009143274613532412</x:v>
      </x:c>
      <x:c r="J76" s="75" t="n">
        <x:v>0.013882834795522513</x:v>
      </x:c>
      <x:c r="K76" s="75" t="n">
        <x:v>0.012571969495213125</x:v>
      </x:c>
      <x:c r="L76" s="75" t="n">
        <x:v>0.009223687090576277</x:v>
      </x:c>
      <x:c r="M76" s="75" t="n">
        <x:v>0.008757750995944662</x:v>
      </x:c>
      <x:c r="N76" s="75" t="n">
        <x:v>0.00566064588772133</x:v>
      </x:c>
      <x:c r="O76" s="75" t="n">
        <x:v>0.01291721042098652</x:v>
      </x:c>
      <x:c r="P76" s="75" t="n">
        <x:v>0.0006588227372558322</x:v>
      </x:c>
      <x:c r="Q76" s="75" t="n">
        <x:v>0.004617003791223396</x:v>
      </x:c>
      <x:c r="R76" s="75" t="n">
        <x:v>0.3736109144526406</x:v>
      </x:c>
      <x:c r="S76" s="75" t="n">
        <x:v>0.01294406689501193</x:v>
      </x:c>
      <x:c r="T76" s="75" t="n">
        <x:v>0.005534549954296381</x:v>
      </x:c>
      <x:c r="U76" s="75" t="n">
        <x:v>0.008079475984141027</x:v>
      </x:c>
      <x:c r="V76" s="75" t="n">
        <x:v>0.028369275646633472</x:v>
      </x:c>
      <x:c r="W76" s="75" t="n">
        <x:v>0.016210528680838318</x:v>
      </x:c>
      <x:c r="X76" s="75" t="n">
        <x:v>0.030099114034951628</x:v>
      </x:c>
      <x:c r="Y76" s="75" t="n">
        <x:v>0.025498924815003703</x:v>
      </x:c>
      <x:c r="Z76" s="75" t="n">
        <x:v>0.008512459667007156</x:v>
      </x:c>
      <x:c r="AA76" s="75" t="n">
        <x:v>0.010155987454364048</x:v>
      </x:c>
      <x:c r="AB76" s="75" t="n">
        <x:v>0.008754996444582226</x:v>
      </x:c>
      <x:c r="AC76" s="75" t="n">
        <x:v>0.02328983282788884</x:v>
      </x:c>
      <x:c r="AD76" s="75" t="n">
        <x:v>0.11432059627227137</x:v>
      </x:c>
      <x:c r="AE76" s="75" t="n">
        <x:v>0.06924620283706463</x:v>
      </x:c>
      <x:c r="AF76" s="74" t="n">
        <x:v>9</x:v>
      </x:c>
    </x:row>
    <x:row r="77">
      <x:c r="A77" t="str">
        <x:v>2026 S2</x:v>
      </x:c>
      <x:c r="B77" t="str">
        <x:v>CNCT0019</x:v>
      </x:c>
      <x:c r="C77" s="74" t="n">
        <x:v>2688</x:v>
      </x:c>
      <x:c r="D77" s="74" t="n">
        <x:v>1183.819</x:v>
      </x:c>
      <x:c r="E77" s="75" t="n">
        <x:v>0.974641944863717</x:v>
      </x:c>
      <x:c r="F77" s="75" t="n">
        <x:v>0.20999688846084794</x:v>
      </x:c>
      <x:c r="G77" s="75" t="n">
        <x:v>0.009092777593425127</x:v>
      </x:c>
      <x:c r="H77" s="75" t="n">
        <x:v>0.007115320345896179</x:v>
      </x:c>
      <x:c r="I77" s="75" t="n">
        <x:v>0.009143274613532412</x:v>
      </x:c>
      <x:c r="J77" s="75" t="n">
        <x:v>0.013882834795522513</x:v>
      </x:c>
      <x:c r="K77" s="75" t="n">
        <x:v>0.012571969495213125</x:v>
      </x:c>
      <x:c r="L77" s="75" t="n">
        <x:v>0.009223687090576277</x:v>
      </x:c>
      <x:c r="M77" s="75" t="n">
        <x:v>0.008757750995944662</x:v>
      </x:c>
      <x:c r="N77" s="75" t="n">
        <x:v>0.00566064588772133</x:v>
      </x:c>
      <x:c r="O77" s="75" t="n">
        <x:v>0.013768918867441242</x:v>
      </x:c>
      <x:c r="P77" s="75" t="n">
        <x:v>0.0006588227372558322</x:v>
      </x:c>
      <x:c r="Q77" s="75" t="n">
        <x:v>0.004617003791223396</x:v>
      </x:c>
      <x:c r="R77" s="75" t="n">
        <x:v>0.34905562553796543</x:v>
      </x:c>
      <x:c r="S77" s="75" t="n">
        <x:v>0.01294406689501193</x:v>
      </x:c>
      <x:c r="T77" s="75" t="n">
        <x:v>0.005534549954296381</x:v>
      </x:c>
      <x:c r="U77" s="75" t="n">
        <x:v>0.008079475984141027</x:v>
      </x:c>
      <x:c r="V77" s="75" t="n">
        <x:v>0.028369275646633472</x:v>
      </x:c>
      <x:c r="W77" s="75" t="n">
        <x:v>0.013964928601745226</x:v>
      </x:c>
      <x:c r="X77" s="75" t="n">
        <x:v>0.025929566317645227</x:v>
      </x:c>
      <x:c r="Y77" s="75" t="n">
        <x:v>0.021966628693838586</x:v>
      </x:c>
      <x:c r="Z77" s="75" t="n">
        <x:v>0.0073332519756439726</x:v>
      </x:c>
      <x:c r="AA77" s="75" t="n">
        <x:v>0.008749106366164466</x:v>
      </x:c>
      <x:c r="AB77" s="75" t="n">
        <x:v>0.007542190798603944</x:v>
      </x:c>
      <x:c r="AC77" s="75" t="n">
        <x:v>0.020063556161033863</x:v>
      </x:c>
      <x:c r="AD77" s="75" t="n">
        <x:v>0.11432059627227137</x:v>
      </x:c>
      <x:c r="AE77" s="75" t="n">
        <x:v>0.06924620283706463</x:v>
      </x:c>
      <x:c r="AF77" s="74" t="n">
        <x:v>9</x:v>
      </x:c>
    </x:row>
    <x:row r="78">
      <x:c r="A78" t="str">
        <x:v>2025 S1</x:v>
      </x:c>
      <x:c r="B78" t="str">
        <x:v>CNCT0020</x:v>
      </x:c>
      <x:c r="C78" s="74" t="n">
        <x:v>2567</x:v>
      </x:c>
      <x:c r="D78" s="74" t="n">
        <x:v>1284.352</x:v>
      </x:c>
      <x:c r="E78" s="75" t="n">
        <x:v>0.9787076813287567</x:v>
      </x:c>
      <x:c r="F78" s="75" t="n">
        <x:v>0.18609651228785515</x:v>
      </x:c>
      <x:c r="G78" s="75" t="n">
        <x:v>0.00926565680920612</x:v>
      </x:c>
      <x:c r="H78" s="75" t="n">
        <x:v>0.010624842506818822</x:v>
      </x:c>
      <x:c r="I78" s="75" t="n">
        <x:v>0.00875939638509226</x:v>
      </x:c>
      <x:c r="J78" s="75" t="n">
        <x:v>0.014774209166207584</x:v>
      </x:c>
      <x:c r="K78" s="75" t="n">
        <x:v>0.009985727469114863</x:v>
      </x:c>
      <x:c r="L78" s="75" t="n">
        <x:v>0.01369735619732819</x:v>
      </x:c>
      <x:c r="M78" s="75" t="n">
        <x:v>0.008033755482982088</x:v>
      </x:c>
      <x:c r="N78" s="75" t="n">
        <x:v>0.0073342070616927236</x:v>
      </x:c>
      <x:c r="O78" s="75" t="n">
        <x:v>0.012423315982174244</x:v>
      </x:c>
      <x:c r="P78" s="75" t="n">
        <x:v>0.0007795689863487497</x:v>
      </x:c>
      <x:c r="Q78" s="75" t="n">
        <x:v>0.0028743104109598787</x:v>
      </x:c>
      <x:c r="R78" s="75" t="n">
        <x:v>0.3781057607842705</x:v>
      </x:c>
      <x:c r="S78" s="75" t="n">
        <x:v>0.014635998480691342</x:v>
      </x:c>
      <x:c r="T78" s="75" t="n">
        <x:v>0.003411657812917838</x:v>
      </x:c>
      <x:c r="U78" s="75" t="n">
        <x:v>0.00904270632841508</x:v>
      </x:c>
      <x:c r="V78" s="75" t="n">
        <x:v>0.03126733137659903</x:v>
      </x:c>
      <x:c r="W78" s="75" t="n">
        <x:v>0.010547735270697741</x:v>
      </x:c>
      <x:c r="X78" s="75" t="n">
        <x:v>0.022375257129545786</x:v>
      </x:c>
      <x:c r="Y78" s="75" t="n">
        <x:v>0.02057931967492681</x:v>
      </x:c>
      <x:c r="Z78" s="75" t="n">
        <x:v>0.005259801351162605</x:v>
      </x:c>
      <x:c r="AA78" s="75" t="n">
        <x:v>0.007902052330051665</x:v>
      </x:c>
      <x:c r="AB78" s="75" t="n">
        <x:v>0.006595229095964168</x:v>
      </x:c>
      <x:c r="AC78" s="75" t="n">
        <x:v>0.02119894110699679</x:v>
      </x:c>
      <x:c r="AD78" s="75" t="n">
        <x:v>0.08009267012966302</x:v>
      </x:c>
      <x:c r="AE78" s="75" t="n">
        <x:v>0.07857738042819255</x:v>
      </x:c>
      <x:c r="AF78" s="74" t="n">
        <x:v>12</x:v>
      </x:c>
    </x:row>
    <x:row r="79">
      <x:c r="A79" t="str">
        <x:v>2025 S2</x:v>
      </x:c>
      <x:c r="B79" t="str">
        <x:v>CNCT0020</x:v>
      </x:c>
      <x:c r="C79" s="74" t="n">
        <x:v>2778</x:v>
      </x:c>
      <x:c r="D79" s="74" t="n">
        <x:v>1299.764</x:v>
      </x:c>
      <x:c r="E79" s="75" t="n">
        <x:v>0.965749557571311</x:v>
      </x:c>
      <x:c r="F79" s="75" t="n">
        <x:v>0.18609651228785515</x:v>
      </x:c>
      <x:c r="G79" s="75" t="n">
        <x:v>0.00926565680920612</x:v>
      </x:c>
      <x:c r="H79" s="75" t="n">
        <x:v>0.010624842506818822</x:v>
      </x:c>
      <x:c r="I79" s="75" t="n">
        <x:v>0.00875939638509226</x:v>
      </x:c>
      <x:c r="J79" s="75" t="n">
        <x:v>0.014774209166207584</x:v>
      </x:c>
      <x:c r="K79" s="75" t="n">
        <x:v>0.009985727469114863</x:v>
      </x:c>
      <x:c r="L79" s="75" t="n">
        <x:v>0.01369735619732819</x:v>
      </x:c>
      <x:c r="M79" s="75" t="n">
        <x:v>0.008033755482982088</x:v>
      </x:c>
      <x:c r="N79" s="75" t="n">
        <x:v>0.0073342070616927236</x:v>
      </x:c>
      <x:c r="O79" s="75" t="n">
        <x:v>0.012423315982174244</x:v>
      </x:c>
      <x:c r="P79" s="75" t="n">
        <x:v>0.0007795689863487497</x:v>
      </x:c>
      <x:c r="Q79" s="75" t="n">
        <x:v>0.0028743104109598787</x:v>
      </x:c>
      <x:c r="R79" s="75" t="n">
        <x:v>0.3634596192136295</x:v>
      </x:c>
      <x:c r="S79" s="75" t="n">
        <x:v>0.014635998480691342</x:v>
      </x:c>
      <x:c r="T79" s="75" t="n">
        <x:v>0.003411657812917838</x:v>
      </x:c>
      <x:c r="U79" s="75" t="n">
        <x:v>0.00904270632841508</x:v>
      </x:c>
      <x:c r="V79" s="75" t="n">
        <x:v>0.03126733137659903</x:v>
      </x:c>
      <x:c r="W79" s="75" t="n">
        <x:v>0.010547735270697741</x:v>
      </x:c>
      <x:c r="X79" s="75" t="n">
        <x:v>0.022375257129545786</x:v>
      </x:c>
      <x:c r="Y79" s="75" t="n">
        <x:v>0.02057931967492681</x:v>
      </x:c>
      <x:c r="Z79" s="75" t="n">
        <x:v>0.005259801351162605</x:v>
      </x:c>
      <x:c r="AA79" s="75" t="n">
        <x:v>0.007902052330051665</x:v>
      </x:c>
      <x:c r="AB79" s="75" t="n">
        <x:v>0.006595229095964168</x:v>
      </x:c>
      <x:c r="AC79" s="75" t="n">
        <x:v>0.02119894110699679</x:v>
      </x:c>
      <x:c r="AD79" s="75" t="n">
        <x:v>0.08009267012966302</x:v>
      </x:c>
      <x:c r="AE79" s="75" t="n">
        <x:v>0.07900522075736711</x:v>
      </x:c>
      <x:c r="AF79" s="74" t="n">
        <x:v>12</x:v>
      </x:c>
    </x:row>
    <x:row r="80">
      <x:c r="A80" t="str">
        <x:v>2026 S1</x:v>
      </x:c>
      <x:c r="B80" t="str">
        <x:v>CNCT0020</x:v>
      </x:c>
      <x:c r="C80" s="74" t="n">
        <x:v>2810</x:v>
      </x:c>
      <x:c r="D80" s="74" t="n">
        <x:v>1329.949</x:v>
      </x:c>
      <x:c r="E80" s="75" t="n">
        <x:v>0.9806354162314456</x:v>
      </x:c>
      <x:c r="F80" s="75" t="n">
        <x:v>0.2294884100003983</x:v>
      </x:c>
      <x:c r="G80" s="75" t="n">
        <x:v>0.007322917365192551</x:v>
      </x:c>
      <x:c r="H80" s="75" t="n">
        <x:v>0.010624842506818822</x:v>
      </x:c>
      <x:c r="I80" s="75" t="n">
        <x:v>0.00875939638509226</x:v>
      </x:c>
      <x:c r="J80" s="75" t="n">
        <x:v>0.014774209166207584</x:v>
      </x:c>
      <x:c r="K80" s="75" t="n">
        <x:v>0.009985727469114863</x:v>
      </x:c>
      <x:c r="L80" s="75" t="n">
        <x:v>0.01369735619732819</x:v>
      </x:c>
      <x:c r="M80" s="75" t="n">
        <x:v>0.008033755482982088</x:v>
      </x:c>
      <x:c r="N80" s="75" t="n">
        <x:v>0.0073342070616927236</x:v>
      </x:c>
      <x:c r="O80" s="75" t="n">
        <x:v>0.012993408077047205</x:v>
      </x:c>
      <x:c r="P80" s="75" t="n">
        <x:v>0.0007795689863487497</x:v>
      </x:c>
      <x:c r="Q80" s="75" t="n">
        <x:v>0.0028743104109598787</x:v>
      </x:c>
      <x:c r="R80" s="75" t="n">
        <x:v>0.3757629283353074</x:v>
      </x:c>
      <x:c r="S80" s="75" t="n">
        <x:v>0.014635998480691342</x:v>
      </x:c>
      <x:c r="T80" s="75" t="n">
        <x:v>0.003411657812917838</x:v>
      </x:c>
      <x:c r="U80" s="75" t="n">
        <x:v>0.00904270632841508</x:v>
      </x:c>
      <x:c r="V80" s="75" t="n">
        <x:v>0.03126733137659903</x:v>
      </x:c>
      <x:c r="W80" s="75" t="n">
        <x:v>0.012978471440827663</x:v>
      </x:c>
      <x:c r="X80" s="75" t="n">
        <x:v>0.027531657572381938</x:v>
      </x:c>
      <x:c r="Y80" s="75" t="n">
        <x:v>0.025321844530426133</x:v>
      </x:c>
      <x:c r="Z80" s="75" t="n">
        <x:v>0.006471927846931532</x:v>
      </x:c>
      <x:c r="AA80" s="75" t="n">
        <x:v>0.009723088213486894</x:v>
      </x:c>
      <x:c r="AB80" s="75" t="n">
        <x:v>0.008115106254655209</x:v>
      </x:c>
      <x:c r="AC80" s="75" t="n">
        <x:v>0.02608425834285707</x:v>
      </x:c>
      <x:c r="AD80" s="75" t="n">
        <x:v>0.08009267012966302</x:v>
      </x:c>
      <x:c r="AE80" s="75" t="n">
        <x:v>0.07857738042819255</x:v>
      </x:c>
      <x:c r="AF80" s="74" t="n">
        <x:v>12</x:v>
      </x:c>
    </x:row>
    <x:row r="81">
      <x:c r="A81" t="str">
        <x:v>2026 S2</x:v>
      </x:c>
      <x:c r="B81" t="str">
        <x:v>CNCT0020</x:v>
      </x:c>
      <x:c r="C81" s="74" t="n">
        <x:v>3024</x:v>
      </x:c>
      <x:c r="D81" s="74" t="n">
        <x:v>1329.486</x:v>
      </x:c>
      <x:c r="E81" s="75" t="n">
        <x:v>0.965749557571311</x:v>
      </x:c>
      <x:c r="F81" s="75" t="n">
        <x:v>0.2161896970042435</x:v>
      </x:c>
      <x:c r="G81" s="75" t="n">
        <x:v>0.008604188475585032</x:v>
      </x:c>
      <x:c r="H81" s="75" t="n">
        <x:v>0.010624842506818822</x:v>
      </x:c>
      <x:c r="I81" s="75" t="n">
        <x:v>0.00875939638509226</x:v>
      </x:c>
      <x:c r="J81" s="75" t="n">
        <x:v>0.014774209166207584</x:v>
      </x:c>
      <x:c r="K81" s="75" t="n">
        <x:v>0.009985727469114863</x:v>
      </x:c>
      <x:c r="L81" s="75" t="n">
        <x:v>0.01369735619732819</x:v>
      </x:c>
      <x:c r="M81" s="75" t="n">
        <x:v>0.008033755482982088</x:v>
      </x:c>
      <x:c r="N81" s="75" t="n">
        <x:v>0.0073342070616927236</x:v>
      </x:c>
      <x:c r="O81" s="75" t="n">
        <x:v>0.012423315982174244</x:v>
      </x:c>
      <x:c r="P81" s="75" t="n">
        <x:v>0.0007795689863487497</x:v>
      </x:c>
      <x:c r="Q81" s="75" t="n">
        <x:v>0.0028743104109598787</x:v>
      </x:c>
      <x:c r="R81" s="75" t="n">
        <x:v>0.3634596192136295</x:v>
      </x:c>
      <x:c r="S81" s="75" t="n">
        <x:v>0.014635998480691342</x:v>
      </x:c>
      <x:c r="T81" s="75" t="n">
        <x:v>0.003411657812917838</x:v>
      </x:c>
      <x:c r="U81" s="75" t="n">
        <x:v>0.00904270632841508</x:v>
      </x:c>
      <x:c r="V81" s="75" t="n">
        <x:v>0.03126733137659903</x:v>
      </x:c>
      <x:c r="W81" s="75" t="n">
        <x:v>0.011180599386939606</x:v>
      </x:c>
      <x:c r="X81" s="75" t="n">
        <x:v>0.023717772557318533</x:v>
      </x:c>
      <x:c r="Y81" s="75" t="n">
        <x:v>0.02181407885542242</x:v>
      </x:c>
      <x:c r="Z81" s="75" t="n">
        <x:v>0.005575389432232361</x:v>
      </x:c>
      <x:c r="AA81" s="75" t="n">
        <x:v>0.008376175469854764</x:v>
      </x:c>
      <x:c r="AB81" s="75" t="n">
        <x:v>0.0069909428417220185</x:v>
      </x:c>
      <x:c r="AC81" s="75" t="n">
        <x:v>0.022470877573416596</x:v>
      </x:c>
      <x:c r="AD81" s="75" t="n">
        <x:v>0.08009267012966302</x:v>
      </x:c>
      <x:c r="AE81" s="75" t="n">
        <x:v>0.07900522075736711</x:v>
      </x:c>
      <x:c r="AF81" s="74" t="n">
        <x:v>12</x:v>
      </x:c>
    </x:row>
    <x:row r="82">
      <x:c r="A82" t="str">
        <x:v>2025 S1</x:v>
      </x:c>
      <x:c r="B82" t="str">
        <x:v>CNCT0021</x:v>
      </x:c>
      <x:c r="C82" s="74" t="n">
        <x:v>2045</x:v>
      </x:c>
      <x:c r="D82" s="74" t="n">
        <x:v>1097.867</x:v>
      </x:c>
      <x:c r="E82" s="75" t="n">
        <x:v>0.9775282990998821</x:v>
      </x:c>
      <x:c r="F82" s="75" t="n">
        <x:v>0.20883745702169837</x:v>
      </x:c>
      <x:c r="G82" s="75" t="n">
        <x:v>0.01692831943105557</x:v>
      </x:c>
      <x:c r="H82" s="75" t="n">
        <x:v>0.010140313761687138</x:v>
      </x:c>
      <x:c r="I82" s="75" t="n">
        <x:v>0.008561203367433337</x:v>
      </x:c>
      <x:c r="J82" s="75" t="n">
        <x:v>0.015767233793914783</x:v>
      </x:c>
      <x:c r="K82" s="75" t="n">
        <x:v>0.01300817780469515</x:v>
      </x:c>
      <x:c r="L82" s="75" t="n">
        <x:v>0.01257748925384294</x:v>
      </x:c>
      <x:c r="M82" s="75" t="n">
        <x:v>0.010088219913591729</x:v>
      </x:c>
      <x:c r="N82" s="75" t="n">
        <x:v>0.00703970008707256</x:v>
      </x:c>
      <x:c r="O82" s="75" t="n">
        <x:v>0.010099439106503268</x:v>
      </x:c>
      <x:c r="P82" s="75" t="n">
        <x:v>0.0016470099654470687</x:v>
      </x:c>
      <x:c r="Q82" s="75" t="n">
        <x:v>0.004608241855792585</x:v>
      </x:c>
      <x:c r="R82" s="75" t="n">
        <x:v>0.36546140730228704</x:v>
      </x:c>
      <x:c r="S82" s="75" t="n">
        <x:v>0.012623442263167818</x:v>
      </x:c>
      <x:c r="T82" s="75" t="n">
        <x:v>0.003968629712879192</x:v>
      </x:c>
      <x:c r="U82" s="75" t="n">
        <x:v>0.011736064571770838</x:v>
      </x:c>
      <x:c r="V82" s="75" t="n">
        <x:v>0.037615390781924364</x:v>
      </x:c>
      <x:c r="W82" s="75" t="n">
        <x:v>0.011705215918936302</x:v>
      </x:c>
      <x:c r="X82" s="75" t="n">
        <x:v>0.022449118078814934</x:v>
      </x:c>
      <x:c r="Y82" s="75" t="n">
        <x:v>0.017900518075735308</x:v>
      </x:c>
      <x:c r="Z82" s="75" t="n">
        <x:v>0.00540810526641435</x:v>
      </x:c>
      <x:c r="AA82" s="75" t="n">
        <x:v>0.007152885288678808</x:v>
      </x:c>
      <x:c r="AB82" s="75" t="n">
        <x:v>0.006611117253548582</x:v>
      </x:c>
      <x:c r="AC82" s="75" t="n">
        <x:v>0.019376401843482743</x:v>
      </x:c>
      <x:c r="AD82" s="75" t="n">
        <x:v>0.09282960718831237</x:v>
      </x:c>
      <x:c r="AE82" s="75" t="n">
        <x:v>0.09151279421374783</x:v>
      </x:c>
      <x:c r="AF82" s="74" t="n">
        <x:v>7</x:v>
      </x:c>
    </x:row>
    <x:row r="83">
      <x:c r="A83" t="str">
        <x:v>2025 S2</x:v>
      </x:c>
      <x:c r="B83" t="str">
        <x:v>CNCT0021</x:v>
      </x:c>
      <x:c r="C83" s="74" t="n">
        <x:v>2243</x:v>
      </x:c>
      <x:c r="D83" s="74" t="n">
        <x:v>1111.042</x:v>
      </x:c>
      <x:c r="E83" s="75" t="n">
        <x:v>0.9760827213811571</x:v>
      </x:c>
      <x:c r="F83" s="75" t="n">
        <x:v>0.20883745702169837</x:v>
      </x:c>
      <x:c r="G83" s="75" t="n">
        <x:v>0.01692831943105557</x:v>
      </x:c>
      <x:c r="H83" s="75" t="n">
        <x:v>0.010140313761687138</x:v>
      </x:c>
      <x:c r="I83" s="75" t="n">
        <x:v>0.008561203367433337</x:v>
      </x:c>
      <x:c r="J83" s="75" t="n">
        <x:v>0.015767233793914783</x:v>
      </x:c>
      <x:c r="K83" s="75" t="n">
        <x:v>0.01300817780469515</x:v>
      </x:c>
      <x:c r="L83" s="75" t="n">
        <x:v>0.01257748925384294</x:v>
      </x:c>
      <x:c r="M83" s="75" t="n">
        <x:v>0.010088219913591729</x:v>
      </x:c>
      <x:c r="N83" s="75" t="n">
        <x:v>0.00703970008707256</x:v>
      </x:c>
      <x:c r="O83" s="75" t="n">
        <x:v>0.010099439106503268</x:v>
      </x:c>
      <x:c r="P83" s="75" t="n">
        <x:v>0.0016470099654470687</x:v>
      </x:c>
      <x:c r="Q83" s="75" t="n">
        <x:v>0.004608241855792585</x:v>
      </x:c>
      <x:c r="R83" s="75" t="n">
        <x:v>0.3421143231699449</x:v>
      </x:c>
      <x:c r="S83" s="75" t="n">
        <x:v>0.012623442263167818</x:v>
      </x:c>
      <x:c r="T83" s="75" t="n">
        <x:v>0.003968629712879192</x:v>
      </x:c>
      <x:c r="U83" s="75" t="n">
        <x:v>0.011736064571770838</x:v>
      </x:c>
      <x:c r="V83" s="75" t="n">
        <x:v>0.037615390781924364</x:v>
      </x:c>
      <x:c r="W83" s="75" t="n">
        <x:v>0.011705215918936302</x:v>
      </x:c>
      <x:c r="X83" s="75" t="n">
        <x:v>0.022449118078814934</x:v>
      </x:c>
      <x:c r="Y83" s="75" t="n">
        <x:v>0.017900518075735308</x:v>
      </x:c>
      <x:c r="Z83" s="75" t="n">
        <x:v>0.00540810526641435</x:v>
      </x:c>
      <x:c r="AA83" s="75" t="n">
        <x:v>0.007152885288678808</x:v>
      </x:c>
      <x:c r="AB83" s="75" t="n">
        <x:v>0.006611117253548582</x:v>
      </x:c>
      <x:c r="AC83" s="75" t="n">
        <x:v>0.019376401843482743</x:v>
      </x:c>
      <x:c r="AD83" s="75" t="n">
        <x:v>0.09282960718831237</x:v>
      </x:c>
      <x:c r="AE83" s="75" t="n">
        <x:v>0.09151279421374783</x:v>
      </x:c>
      <x:c r="AF83" s="74" t="n">
        <x:v>7</x:v>
      </x:c>
    </x:row>
    <x:row r="84">
      <x:c r="A84" t="str">
        <x:v>2026 S1</x:v>
      </x:c>
      <x:c r="B84" t="str">
        <x:v>CNCT0021</x:v>
      </x:c>
      <x:c r="C84" s="74" t="n">
        <x:v>1889</x:v>
      </x:c>
      <x:c r="D84" s="74" t="n">
        <x:v>1149.458</x:v>
      </x:c>
      <x:c r="E84" s="75" t="n">
        <x:v>0.9759940579796966</x:v>
      </x:c>
      <x:c r="F84" s="75" t="n">
        <x:v>0.21481271346325959</x:v>
      </x:c>
      <x:c r="G84" s="75" t="n">
        <x:v>0.01566726425406159</x:v>
      </x:c>
      <x:c r="H84" s="75" t="n">
        <x:v>0.010140313761687138</x:v>
      </x:c>
      <x:c r="I84" s="75" t="n">
        <x:v>0.008561203367433337</x:v>
      </x:c>
      <x:c r="J84" s="75" t="n">
        <x:v>0.015767233793914783</x:v>
      </x:c>
      <x:c r="K84" s="75" t="n">
        <x:v>0.01300817780469515</x:v>
      </x:c>
      <x:c r="L84" s="75" t="n">
        <x:v>0.01257748925384294</x:v>
      </x:c>
      <x:c r="M84" s="75" t="n">
        <x:v>0.010088219913591729</x:v>
      </x:c>
      <x:c r="N84" s="75" t="n">
        <x:v>0.00703970008707256</x:v>
      </x:c>
      <x:c r="O84" s="75" t="n">
        <x:v>0.011561386343164485</x:v>
      </x:c>
      <x:c r="P84" s="75" t="n">
        <x:v>0.0016470099654470687</x:v>
      </x:c>
      <x:c r="Q84" s="75" t="n">
        <x:v>0.004608241855792585</x:v>
      </x:c>
      <x:c r="R84" s="75" t="n">
        <x:v>0.3662277228066818</x:v>
      </x:c>
      <x:c r="S84" s="75" t="n">
        <x:v>0.012623442263167818</x:v>
      </x:c>
      <x:c r="T84" s="75" t="n">
        <x:v>0.003968629712879192</x:v>
      </x:c>
      <x:c r="U84" s="75" t="n">
        <x:v>0.011736064571770838</x:v>
      </x:c>
      <x:c r="V84" s="75" t="n">
        <x:v>0.037615390781924364</x:v>
      </x:c>
      <x:c r="W84" s="75" t="n">
        <x:v>0.01440269466514462</x:v>
      </x:c>
      <x:c r="X84" s="75" t="n">
        <x:v>0.02762253985147602</x:v>
      </x:c>
      <x:c r="Y84" s="75" t="n">
        <x:v>0.022025710416467607</x:v>
      </x:c>
      <x:c r="Z84" s="75" t="n">
        <x:v>0.006654408548168393</x:v>
      </x:c>
      <x:c r="AA84" s="75" t="n">
        <x:v>0.008801274876184224</x:v>
      </x:c>
      <x:c r="AB84" s="75" t="n">
        <x:v>0.008134655854087187</x:v>
      </x:c>
      <x:c r="AC84" s="75" t="n">
        <x:v>0.02384171307847072</x:v>
      </x:c>
      <x:c r="AD84" s="75" t="n">
        <x:v>0.09282960718831237</x:v>
      </x:c>
      <x:c r="AE84" s="75" t="n">
        <x:v>0.09151279421374783</x:v>
      </x:c>
      <x:c r="AF84" s="74" t="n">
        <x:v>7</x:v>
      </x:c>
    </x:row>
    <x:row r="85">
      <x:c r="A85" t="str">
        <x:v>2026 S2</x:v>
      </x:c>
      <x:c r="B85" t="str">
        <x:v>CNCT0021</x:v>
      </x:c>
      <x:c r="C85" s="74" t="n">
        <x:v>1474</x:v>
      </x:c>
      <x:c r="D85" s="74" t="n">
        <x:v>1134.302</x:v>
      </x:c>
      <x:c r="E85" s="75" t="n">
        <x:v>0.9760827213811571</x:v>
      </x:c>
      <x:c r="F85" s="75" t="n">
        <x:v>0.21167158831079724</x:v>
      </x:c>
      <x:c r="G85" s="75" t="n">
        <x:v>0.018897012804285622</x:v>
      </x:c>
      <x:c r="H85" s="75" t="n">
        <x:v>0.010140313761687138</x:v>
      </x:c>
      <x:c r="I85" s="75" t="n">
        <x:v>0.008561203367433337</x:v>
      </x:c>
      <x:c r="J85" s="75" t="n">
        <x:v>0.015767233793914783</x:v>
      </x:c>
      <x:c r="K85" s="75" t="n">
        <x:v>0.01300817780469515</x:v>
      </x:c>
      <x:c r="L85" s="75" t="n">
        <x:v>0.01257748925384294</x:v>
      </x:c>
      <x:c r="M85" s="75" t="n">
        <x:v>0.010088219913591729</x:v>
      </x:c>
      <x:c r="N85" s="75" t="n">
        <x:v>0.00703970008707256</x:v>
      </x:c>
      <x:c r="O85" s="75" t="n">
        <x:v>0.010099439106503268</x:v>
      </x:c>
      <x:c r="P85" s="75" t="n">
        <x:v>0.0016470099654470687</x:v>
      </x:c>
      <x:c r="Q85" s="75" t="n">
        <x:v>0.004608241855792585</x:v>
      </x:c>
      <x:c r="R85" s="75" t="n">
        <x:v>0.33626557735947077</x:v>
      </x:c>
      <x:c r="S85" s="75" t="n">
        <x:v>0.012623442263167818</x:v>
      </x:c>
      <x:c r="T85" s="75" t="n">
        <x:v>0.003968629712879192</x:v>
      </x:c>
      <x:c r="U85" s="75" t="n">
        <x:v>0.011736064571770838</x:v>
      </x:c>
      <x:c r="V85" s="75" t="n">
        <x:v>0.037615390781924364</x:v>
      </x:c>
      <x:c r="W85" s="75" t="n">
        <x:v>0.01240752887407248</x:v>
      </x:c>
      <x:c r="X85" s="75" t="n">
        <x:v>0.023796065163543833</x:v>
      </x:c>
      <x:c r="Y85" s="75" t="n">
        <x:v>0.018974549160279425</x:v>
      </x:c>
      <x:c r="Z85" s="75" t="n">
        <x:v>0.005732591582399211</x:v>
      </x:c>
      <x:c r="AA85" s="75" t="n">
        <x:v>0.010993984688699329</x:v>
      </x:c>
      <x:c r="AB85" s="75" t="n">
        <x:v>0.012614011719770694</x:v>
      </x:c>
      <x:c r="AC85" s="75" t="n">
        <x:v>0.020538985954091708</x:v>
      </x:c>
      <x:c r="AD85" s="75" t="n">
        <x:v>0.09282960718831237</x:v>
      </x:c>
      <x:c r="AE85" s="75" t="n">
        <x:v>0.09151279421374783</x:v>
      </x:c>
      <x:c r="AF85" s="74" t="n">
        <x:v>7</x:v>
      </x:c>
    </x:row>
    <x:row r="86">
      <x:c r="A86" t="str">
        <x:v>2025 S1</x:v>
      </x:c>
      <x:c r="B86" t="str">
        <x:v>CNCT0022</x:v>
      </x:c>
      <x:c r="C86" s="74" t="n">
        <x:v>1787</x:v>
      </x:c>
      <x:c r="D86" s="74" t="n">
        <x:v>1122.024</x:v>
      </x:c>
      <x:c r="E86" s="75" t="n">
        <x:v>0.9684048691957432</x:v>
      </x:c>
      <x:c r="F86" s="75" t="n">
        <x:v>0.16119771424308418</x:v>
      </x:c>
      <x:c r="G86" s="75" t="n">
        <x:v>0.01886622836711467</x:v>
      </x:c>
      <x:c r="H86" s="75" t="n">
        <x:v>0.011391176127872313</x:v>
      </x:c>
      <x:c r="I86" s="75" t="n">
        <x:v>0.00815429774644872</x:v>
      </x:c>
      <x:c r="J86" s="75" t="n">
        <x:v>0.012064093748340384</x:v>
      </x:c>
      <x:c r="K86" s="75" t="n">
        <x:v>0.012585365532970173</x:v>
      </x:c>
      <x:c r="L86" s="75" t="n">
        <x:v>0.011251086095413483</x:v>
      </x:c>
      <x:c r="M86" s="75" t="n">
        <x:v>0.010257847506061808</x:v>
      </x:c>
      <x:c r="N86" s="75" t="n">
        <x:v>0.006027656324790769</x:v>
      </x:c>
      <x:c r="O86" s="75" t="n">
        <x:v>0.007956176029452762</x:v>
      </x:c>
      <x:c r="P86" s="75" t="n">
        <x:v>0.000018124138630810178</x:v>
      </x:c>
      <x:c r="Q86" s="75" t="n">
        <x:v>0.0025881092406198148</x:v>
      </x:c>
      <x:c r="R86" s="75" t="n">
        <x:v>0.3799196746586978</x:v>
      </x:c>
      <x:c r="S86" s="75" t="n">
        <x:v>0.01591035988026124</x:v>
      </x:c>
      <x:c r="T86" s="75" t="n">
        <x:v>0.006976130264200037</x:v>
      </x:c>
      <x:c r="U86" s="75" t="n">
        <x:v>0.008191889808396809</x:v>
      </x:c>
      <x:c r="V86" s="75" t="n">
        <x:v>0.030663303751818607</x:v>
      </x:c>
      <x:c r="W86" s="75" t="n">
        <x:v>0.011199045846809167</x:v>
      </x:c>
      <x:c r="X86" s="75" t="n">
        <x:v>0.021879060986624097</x:v>
      </x:c>
      <x:c r="Y86" s="75" t="n">
        <x:v>0.01783325869246386</x:v>
      </x:c>
      <x:c r="Z86" s="75" t="n">
        <x:v>0.00538779078341322</x:v>
      </x:c>
      <x:c r="AA86" s="75" t="n">
        <x:v>0.006952964181177085</x:v>
      </x:c>
      <x:c r="AB86" s="75" t="n">
        <x:v>0.004965670018037781</x:v>
      </x:c>
      <x:c r="AC86" s="75" t="n">
        <x:v>0.017347807617037324</x:v>
      </x:c>
      <x:c r="AD86" s="75" t="n">
        <x:v>0.09057554973186052</x:v>
      </x:c>
      <x:c r="AE86" s="75" t="n">
        <x:v>0.06711093137564239</x:v>
      </x:c>
      <x:c r="AF86" s="74" t="n">
        <x:v>9</x:v>
      </x:c>
    </x:row>
    <x:row r="87">
      <x:c r="A87" t="str">
        <x:v>2025 S2</x:v>
      </x:c>
      <x:c r="B87" t="str">
        <x:v>CNCT0022</x:v>
      </x:c>
      <x:c r="C87" s="74" t="n">
        <x:v>1953</x:v>
      </x:c>
      <x:c r="D87" s="74" t="n">
        <x:v>1135.488</x:v>
      </x:c>
      <x:c r="E87" s="75" t="n">
        <x:v>0.961150944777968</x:v>
      </x:c>
      <x:c r="F87" s="75" t="n">
        <x:v>0.16119771424308418</x:v>
      </x:c>
      <x:c r="G87" s="75" t="n">
        <x:v>0.01886622836711467</x:v>
      </x:c>
      <x:c r="H87" s="75" t="n">
        <x:v>0.011391176127872313</x:v>
      </x:c>
      <x:c r="I87" s="75" t="n">
        <x:v>0.00815429774644872</x:v>
      </x:c>
      <x:c r="J87" s="75" t="n">
        <x:v>0.012064093748340384</x:v>
      </x:c>
      <x:c r="K87" s="75" t="n">
        <x:v>0.012585365532970173</x:v>
      </x:c>
      <x:c r="L87" s="75" t="n">
        <x:v>0.011251086095413483</x:v>
      </x:c>
      <x:c r="M87" s="75" t="n">
        <x:v>0.010257847506061808</x:v>
      </x:c>
      <x:c r="N87" s="75" t="n">
        <x:v>0.006027656324790769</x:v>
      </x:c>
      <x:c r="O87" s="75" t="n">
        <x:v>0.007956176029452762</x:v>
      </x:c>
      <x:c r="P87" s="75" t="n">
        <x:v>0.000018124138630810178</x:v>
      </x:c>
      <x:c r="Q87" s="75" t="n">
        <x:v>0.0025881092406198148</x:v>
      </x:c>
      <x:c r="R87" s="75" t="n">
        <x:v>0.3842362485965427</x:v>
      </x:c>
      <x:c r="S87" s="75" t="n">
        <x:v>0.01591035988026124</x:v>
      </x:c>
      <x:c r="T87" s="75" t="n">
        <x:v>0.006976130264200037</x:v>
      </x:c>
      <x:c r="U87" s="75" t="n">
        <x:v>0.008191889808396809</x:v>
      </x:c>
      <x:c r="V87" s="75" t="n">
        <x:v>0.030663303751818607</x:v>
      </x:c>
      <x:c r="W87" s="75" t="n">
        <x:v>0.011199045846809167</x:v>
      </x:c>
      <x:c r="X87" s="75" t="n">
        <x:v>0.021879060986624097</x:v>
      </x:c>
      <x:c r="Y87" s="75" t="n">
        <x:v>0.01783325869246386</x:v>
      </x:c>
      <x:c r="Z87" s="75" t="n">
        <x:v>0.00538779078341322</x:v>
      </x:c>
      <x:c r="AA87" s="75" t="n">
        <x:v>0.006952964181177085</x:v>
      </x:c>
      <x:c r="AB87" s="75" t="n">
        <x:v>0.004965670018037781</x:v>
      </x:c>
      <x:c r="AC87" s="75" t="n">
        <x:v>0.017347807617037324</x:v>
      </x:c>
      <x:c r="AD87" s="75" t="n">
        <x:v>0.09057554973186052</x:v>
      </x:c>
      <x:c r="AE87" s="75" t="n">
        <x:v>0.06711093137564239</x:v>
      </x:c>
      <x:c r="AF87" s="74" t="n">
        <x:v>9</x:v>
      </x:c>
    </x:row>
    <x:row r="88">
      <x:c r="A88" t="str">
        <x:v>2026 S1</x:v>
      </x:c>
      <x:c r="B88" t="str">
        <x:v>CNCT0022</x:v>
      </x:c>
      <x:c r="C88" s="74" t="n">
        <x:v>1703</x:v>
      </x:c>
      <x:c r="D88" s="74" t="n">
        <x:v>1175.013</x:v>
      </x:c>
      <x:c r="E88" s="75" t="n">
        <x:v>0.9723472205861763</x:v>
      </x:c>
      <x:c r="F88" s="75" t="n">
        <x:v>0.15852799064450662</x:v>
      </x:c>
      <x:c r="G88" s="75" t="n">
        <x:v>0.02030041399953188</x:v>
      </x:c>
      <x:c r="H88" s="75" t="n">
        <x:v>0.011391176127872313</x:v>
      </x:c>
      <x:c r="I88" s="75" t="n">
        <x:v>0.00815429774644872</x:v>
      </x:c>
      <x:c r="J88" s="75" t="n">
        <x:v>0.012064093748340384</x:v>
      </x:c>
      <x:c r="K88" s="75" t="n">
        <x:v>0.012585365532970173</x:v>
      </x:c>
      <x:c r="L88" s="75" t="n">
        <x:v>0.011251086095413483</x:v>
      </x:c>
      <x:c r="M88" s="75" t="n">
        <x:v>0.010257847506061808</x:v>
      </x:c>
      <x:c r="N88" s="75" t="n">
        <x:v>0.006027656324790769</x:v>
      </x:c>
      <x:c r="O88" s="75" t="n">
        <x:v>0.009217006756161026</x:v>
      </x:c>
      <x:c r="P88" s="75" t="n">
        <x:v>0.000018124138630810178</x:v>
      </x:c>
      <x:c r="Q88" s="75" t="n">
        <x:v>0.0025881092406198148</x:v>
      </x:c>
      <x:c r="R88" s="75" t="n">
        <x:v>0.376630266671254</x:v>
      </x:c>
      <x:c r="S88" s="75" t="n">
        <x:v>0.01591035988026124</x:v>
      </x:c>
      <x:c r="T88" s="75" t="n">
        <x:v>0.006976130264200037</x:v>
      </x:c>
      <x:c r="U88" s="75" t="n">
        <x:v>0.008191889808396809</x:v>
      </x:c>
      <x:c r="V88" s="75" t="n">
        <x:v>0.030663303751818607</x:v>
      </x:c>
      <x:c r="W88" s="75" t="n">
        <x:v>0.01377987719232146</x:v>
      </x:c>
      <x:c r="X88" s="75" t="n">
        <x:v>0.026921112530751218</x:v>
      </x:c>
      <x:c r="Y88" s="75" t="n">
        <x:v>0.021942951040875278</x:v>
      </x:c>
      <x:c r="Z88" s="75" t="n">
        <x:v>0.006629412572188812</x:v>
      </x:c>
      <x:c r="AA88" s="75" t="n">
        <x:v>0.008555281748982985</x:v>
      </x:c>
      <x:c r="AB88" s="75" t="n">
        <x:v>0.006110013653140757</x:v>
      </x:c>
      <x:c r="AC88" s="75" t="n">
        <x:v>0.021345627278318843</x:v>
      </x:c>
      <x:c r="AD88" s="75" t="n">
        <x:v>0.09057554973186052</x:v>
      </x:c>
      <x:c r="AE88" s="75" t="n">
        <x:v>0.06711093137564239</x:v>
      </x:c>
      <x:c r="AF88" s="74" t="n">
        <x:v>9</x:v>
      </x:c>
    </x:row>
    <x:row r="89">
      <x:c r="A89" t="str">
        <x:v>2026 S2</x:v>
      </x:c>
      <x:c r="B89" t="str">
        <x:v>CNCT0022</x:v>
      </x:c>
      <x:c r="C89" s="74" t="n">
        <x:v>1965</x:v>
      </x:c>
      <x:c r="D89" s="74" t="n">
        <x:v>1157.298</x:v>
      </x:c>
      <x:c r="E89" s="75" t="n">
        <x:v>0.961150944777968</x:v>
      </x:c>
      <x:c r="F89" s="75" t="n">
        <x:v>0.16031492210828582</x:v>
      </x:c>
      <x:c r="G89" s="75" t="n">
        <x:v>0.017392590264003954</x:v>
      </x:c>
      <x:c r="H89" s="75" t="n">
        <x:v>0.011391176127872313</x:v>
      </x:c>
      <x:c r="I89" s="75" t="n">
        <x:v>0.00815429774644872</x:v>
      </x:c>
      <x:c r="J89" s="75" t="n">
        <x:v>0.012064093748340384</x:v>
      </x:c>
      <x:c r="K89" s="75" t="n">
        <x:v>0.012585365532970173</x:v>
      </x:c>
      <x:c r="L89" s="75" t="n">
        <x:v>0.011251086095413483</x:v>
      </x:c>
      <x:c r="M89" s="75" t="n">
        <x:v>0.010257847506061808</x:v>
      </x:c>
      <x:c r="N89" s="75" t="n">
        <x:v>0.006027656324790769</x:v>
      </x:c>
      <x:c r="O89" s="75" t="n">
        <x:v>0.007956176029452762</x:v>
      </x:c>
      <x:c r="P89" s="75" t="n">
        <x:v>0.000018124138630810178</x:v>
      </x:c>
      <x:c r="Q89" s="75" t="n">
        <x:v>0.0025881092406198148</x:v>
      </x:c>
      <x:c r="R89" s="75" t="n">
        <x:v>0.38057684177852136</x:v>
      </x:c>
      <x:c r="S89" s="75" t="n">
        <x:v>0.01591035988026124</x:v>
      </x:c>
      <x:c r="T89" s="75" t="n">
        <x:v>0.006976130264200037</x:v>
      </x:c>
      <x:c r="U89" s="75" t="n">
        <x:v>0.008191889808396809</x:v>
      </x:c>
      <x:c r="V89" s="75" t="n">
        <x:v>0.030663303751818607</x:v>
      </x:c>
      <x:c r="W89" s="75" t="n">
        <x:v>0.011870988597617718</x:v>
      </x:c>
      <x:c r="X89" s="75" t="n">
        <x:v>0.023191804645821545</x:v>
      </x:c>
      <x:c r="Y89" s="75" t="n">
        <x:v>0.018903254214011695</x:v>
      </x:c>
      <x:c r="Z89" s="75" t="n">
        <x:v>0.005711058230418013</x:v>
      </x:c>
      <x:c r="AA89" s="75" t="n">
        <x:v>0.0073701420320477105</x:v>
      </x:c>
      <x:c r="AB89" s="75" t="n">
        <x:v>0.005263610219120048</x:v>
      </x:c>
      <x:c r="AC89" s="75" t="n">
        <x:v>0.018388676074059564</x:v>
      </x:c>
      <x:c r="AD89" s="75" t="n">
        <x:v>0.09057554973186052</x:v>
      </x:c>
      <x:c r="AE89" s="75" t="n">
        <x:v>0.06711093137564239</x:v>
      </x:c>
      <x:c r="AF89" s="74" t="n">
        <x:v>9</x:v>
      </x:c>
    </x:row>
    <x:row r="90">
      <x:c r="A90" t="str">
        <x:v>2025 S1</x:v>
      </x:c>
      <x:c r="B90" t="str">
        <x:v>CNCT0023</x:v>
      </x:c>
      <x:c r="C90" s="74" t="n">
        <x:v>1944</x:v>
      </x:c>
      <x:c r="D90" s="74" t="n">
        <x:v>1098.453</x:v>
      </x:c>
      <x:c r="E90" s="75" t="n">
        <x:v>0.9696155107882223</x:v>
      </x:c>
      <x:c r="F90" s="75" t="n">
        <x:v>0.15554548107343724</x:v>
      </x:c>
      <x:c r="G90" s="75" t="n">
        <x:v>0.016489945533321587</x:v>
      </x:c>
      <x:c r="H90" s="75" t="n">
        <x:v>0.007888262231601401</x:v>
      </x:c>
      <x:c r="I90" s="75" t="n">
        <x:v>0.007490979738802707</x:v>
      </x:c>
      <x:c r="J90" s="75" t="n">
        <x:v>0.016365924925601575</x:v>
      </x:c>
      <x:c r="K90" s="75" t="n">
        <x:v>0.008616001410948228</x:v>
      </x:c>
      <x:c r="L90" s="75" t="n">
        <x:v>0.013829839189857012</x:v>
      </x:c>
      <x:c r="M90" s="75" t="n">
        <x:v>0.009608867868435482</x:v>
      </x:c>
      <x:c r="N90" s="75" t="n">
        <x:v>0.0089372328241152</x:v>
      </x:c>
      <x:c r="O90" s="75" t="n">
        <x:v>0.008684043443077825</x:v>
      </x:c>
      <x:c r="P90" s="75" t="n">
        <x:v>0.0028976721921089845</x:v>
      </x:c>
      <x:c r="Q90" s="75" t="n">
        <x:v>0.0032461605283097016</x:v>
      </x:c>
      <x:c r="R90" s="75" t="n">
        <x:v>0.38309480260289347</x:v>
      </x:c>
      <x:c r="S90" s="75" t="n">
        <x:v>0.01522652351713623</x:v>
      </x:c>
      <x:c r="T90" s="75" t="n">
        <x:v>0.005035712509066798</x:v>
      </x:c>
      <x:c r="U90" s="75" t="n">
        <x:v>0.01298103555291891</x:v>
      </x:c>
      <x:c r="V90" s="75" t="n">
        <x:v>0.032054985201189996</x:v>
      </x:c>
      <x:c r="W90" s="75" t="n">
        <x:v>0.014569645754979502</x:v>
      </x:c>
      <x:c r="X90" s="75" t="n">
        <x:v>0.01780400946573849</x:v>
      </x:c>
      <x:c r="Y90" s="75" t="n">
        <x:v>0.021354148824784206</x:v>
      </x:c>
      <x:c r="Z90" s="75" t="n">
        <x:v>0.005630345222092</x:v>
      </x:c>
      <x:c r="AA90" s="75" t="n">
        <x:v>0.008282420229583512</x:v>
      </x:c>
      <x:c r="AB90" s="75" t="n">
        <x:v>0.007086399679176975</x:v>
      </x:c>
      <x:c r="AC90" s="75" t="n">
        <x:v>0.02493539283822756</x:v>
      </x:c>
      <x:c r="AD90" s="75" t="n">
        <x:v>0.09960438041636371</x:v>
      </x:c>
      <x:c r="AE90" s="75" t="n">
        <x:v>0.08102374525113555</x:v>
      </x:c>
      <x:c r="AF90" s="74" t="n">
        <x:v>8</x:v>
      </x:c>
    </x:row>
    <x:row r="91">
      <x:c r="A91" t="str">
        <x:v>2025 S2</x:v>
      </x:c>
      <x:c r="B91" t="str">
        <x:v>CNCT0023</x:v>
      </x:c>
      <x:c r="C91" s="74" t="n">
        <x:v>2102</x:v>
      </x:c>
      <x:c r="D91" s="74" t="n">
        <x:v>1111.634</x:v>
      </x:c>
      <x:c r="E91" s="75" t="n">
        <x:v>0.9620782672265668</x:v>
      </x:c>
      <x:c r="F91" s="75" t="n">
        <x:v>0.15554548107343724</x:v>
      </x:c>
      <x:c r="G91" s="75" t="n">
        <x:v>0.016489945533321587</x:v>
      </x:c>
      <x:c r="H91" s="75" t="n">
        <x:v>0.007888262231601401</x:v>
      </x:c>
      <x:c r="I91" s="75" t="n">
        <x:v>0.007490979738802707</x:v>
      </x:c>
      <x:c r="J91" s="75" t="n">
        <x:v>0.016365924925601575</x:v>
      </x:c>
      <x:c r="K91" s="75" t="n">
        <x:v>0.008616001410948228</x:v>
      </x:c>
      <x:c r="L91" s="75" t="n">
        <x:v>0.013829839189857012</x:v>
      </x:c>
      <x:c r="M91" s="75" t="n">
        <x:v>0.009608867868435482</x:v>
      </x:c>
      <x:c r="N91" s="75" t="n">
        <x:v>0.0089372328241152</x:v>
      </x:c>
      <x:c r="O91" s="75" t="n">
        <x:v>0.008684043443077825</x:v>
      </x:c>
      <x:c r="P91" s="75" t="n">
        <x:v>0.0028976721921089845</x:v>
      </x:c>
      <x:c r="Q91" s="75" t="n">
        <x:v>0.0032461605283097016</x:v>
      </x:c>
      <x:c r="R91" s="75" t="n">
        <x:v>0.39026027733964114</x:v>
      </x:c>
      <x:c r="S91" s="75" t="n">
        <x:v>0.01522652351713623</x:v>
      </x:c>
      <x:c r="T91" s="75" t="n">
        <x:v>0.005035712509066798</x:v>
      </x:c>
      <x:c r="U91" s="75" t="n">
        <x:v>0.01298103555291891</x:v>
      </x:c>
      <x:c r="V91" s="75" t="n">
        <x:v>0.032054985201189996</x:v>
      </x:c>
      <x:c r="W91" s="75" t="n">
        <x:v>0.014569645754979502</x:v>
      </x:c>
      <x:c r="X91" s="75" t="n">
        <x:v>0.01780400946573849</x:v>
      </x:c>
      <x:c r="Y91" s="75" t="n">
        <x:v>0.021354148824784206</x:v>
      </x:c>
      <x:c r="Z91" s="75" t="n">
        <x:v>0.005630345222092</x:v>
      </x:c>
      <x:c r="AA91" s="75" t="n">
        <x:v>0.008282420229583512</x:v>
      </x:c>
      <x:c r="AB91" s="75" t="n">
        <x:v>0.007086399679176975</x:v>
      </x:c>
      <x:c r="AC91" s="75" t="n">
        <x:v>0.02493539283822756</x:v>
      </x:c>
      <x:c r="AD91" s="75" t="n">
        <x:v>0.09960438041636371</x:v>
      </x:c>
      <x:c r="AE91" s="75" t="n">
        <x:v>0.08102374525113555</x:v>
      </x:c>
      <x:c r="AF91" s="74" t="n">
        <x:v>8</x:v>
      </x:c>
    </x:row>
    <x:row r="92">
      <x:c r="A92" t="str">
        <x:v>2026 S1</x:v>
      </x:c>
      <x:c r="B92" t="str">
        <x:v>CNCT0023</x:v>
      </x:c>
      <x:c r="C92" s="74" t="n">
        <x:v>1925</x:v>
      </x:c>
      <x:c r="D92" s="74" t="n">
        <x:v>1154.219</x:v>
      </x:c>
      <x:c r="E92" s="75" t="n">
        <x:v>0.9695653053109418</x:v>
      </x:c>
      <x:c r="F92" s="75" t="n">
        <x:v>0.15955953477643195</x:v>
      </x:c>
      <x:c r="G92" s="75" t="n">
        <x:v>0.015181985711853484</x:v>
      </x:c>
      <x:c r="H92" s="75" t="n">
        <x:v>0.007888262231601401</x:v>
      </x:c>
      <x:c r="I92" s="75" t="n">
        <x:v>0.007490979738802707</x:v>
      </x:c>
      <x:c r="J92" s="75" t="n">
        <x:v>0.016365924925601575</x:v>
      </x:c>
      <x:c r="K92" s="75" t="n">
        <x:v>0.008616001410948228</x:v>
      </x:c>
      <x:c r="L92" s="75" t="n">
        <x:v>0.013829839189857012</x:v>
      </x:c>
      <x:c r="M92" s="75" t="n">
        <x:v>0.009608867868435482</x:v>
      </x:c>
      <x:c r="N92" s="75" t="n">
        <x:v>0.0089372328241152</x:v>
      </x:c>
      <x:c r="O92" s="75" t="n">
        <x:v>0.010606198020366718</x:v>
      </x:c>
      <x:c r="P92" s="75" t="n">
        <x:v>0.0028976721921089845</x:v>
      </x:c>
      <x:c r="Q92" s="75" t="n">
        <x:v>0.0032461605283097016</x:v>
      </x:c>
      <x:c r="R92" s="75" t="n">
        <x:v>0.37690718609931767</x:v>
      </x:c>
      <x:c r="S92" s="75" t="n">
        <x:v>0.01522652351713623</x:v>
      </x:c>
      <x:c r="T92" s="75" t="n">
        <x:v>0.005035712509066798</x:v>
      </x:c>
      <x:c r="U92" s="75" t="n">
        <x:v>0.01298103555291891</x:v>
      </x:c>
      <x:c r="V92" s="75" t="n">
        <x:v>0.032054985201189996</x:v>
      </x:c>
      <x:c r="W92" s="75" t="n">
        <x:v>0.01792723522928054</x:v>
      </x:c>
      <x:c r="X92" s="75" t="n">
        <x:v>0.02190696130052067</x:v>
      </x:c>
      <x:c r="Y92" s="75" t="n">
        <x:v>0.02627523383484691</x:v>
      </x:c>
      <x:c r="Z92" s="75" t="n">
        <x:v>0.0069278639244884695</x:v>
      </x:c>
      <x:c r="AA92" s="75" t="n">
        <x:v>0.010191112276889003</x:v>
      </x:c>
      <x:c r="AB92" s="75" t="n">
        <x:v>0.008719467591302635</x:v>
      </x:c>
      <x:c r="AC92" s="75" t="n">
        <x:v>0.030681779122367667</x:v>
      </x:c>
      <x:c r="AD92" s="75" t="n">
        <x:v>0.09960438041636371</x:v>
      </x:c>
      <x:c r="AE92" s="75" t="n">
        <x:v>0.08102374525113555</x:v>
      </x:c>
      <x:c r="AF92" s="74" t="n">
        <x:v>8</x:v>
      </x:c>
    </x:row>
    <x:row r="93">
      <x:c r="A93" t="str">
        <x:v>2026 S2</x:v>
      </x:c>
      <x:c r="B93" t="str">
        <x:v>CNCT0023</x:v>
      </x:c>
      <x:c r="C93" s="74" t="n">
        <x:v>2160</x:v>
      </x:c>
      <x:c r="D93" s="74" t="n">
        <x:v>1143.454</x:v>
      </x:c>
      <x:c r="E93" s="75" t="n">
        <x:v>0.9620782672265668</x:v>
      </x:c>
      <x:c r="F93" s="75" t="n">
        <x:v>0.15066042244000707</x:v>
      </x:c>
      <x:c r="G93" s="75" t="n">
        <x:v>0.01698791764352063</x:v>
      </x:c>
      <x:c r="H93" s="75" t="n">
        <x:v>0.007888262231601401</x:v>
      </x:c>
      <x:c r="I93" s="75" t="n">
        <x:v>0.007490979738802707</x:v>
      </x:c>
      <x:c r="J93" s="75" t="n">
        <x:v>0.016365924925601575</x:v>
      </x:c>
      <x:c r="K93" s="75" t="n">
        <x:v>0.008616001410948228</x:v>
      </x:c>
      <x:c r="L93" s="75" t="n">
        <x:v>0.013829839189857012</x:v>
      </x:c>
      <x:c r="M93" s="75" t="n">
        <x:v>0.009608867868435482</x:v>
      </x:c>
      <x:c r="N93" s="75" t="n">
        <x:v>0.0089372328241152</x:v>
      </x:c>
      <x:c r="O93" s="75" t="n">
        <x:v>0.008684043443077825</x:v>
      </x:c>
      <x:c r="P93" s="75" t="n">
        <x:v>0.0028976721921089845</x:v>
      </x:c>
      <x:c r="Q93" s="75" t="n">
        <x:v>0.0032461605283097016</x:v>
      </x:c>
      <x:c r="R93" s="75" t="n">
        <x:v>0.39237807255004625</x:v>
      </x:c>
      <x:c r="S93" s="75" t="n">
        <x:v>0.01522652351713623</x:v>
      </x:c>
      <x:c r="T93" s="75" t="n">
        <x:v>0.005035712509066798</x:v>
      </x:c>
      <x:c r="U93" s="75" t="n">
        <x:v>0.01298103555291891</x:v>
      </x:c>
      <x:c r="V93" s="75" t="n">
        <x:v>0.032054985201189996</x:v>
      </x:c>
      <x:c r="W93" s="75" t="n">
        <x:v>0.015443824500278272</x:v>
      </x:c>
      <x:c r="X93" s="75" t="n">
        <x:v>0.0188722500336828</x:v>
      </x:c>
      <x:c r="Y93" s="75" t="n">
        <x:v>0.022635397754271258</x:v>
      </x:c>
      <x:c r="Z93" s="75" t="n">
        <x:v>0.0059681659354175205</x:v>
      </x:c>
      <x:c r="AA93" s="75" t="n">
        <x:v>0.008779365443358524</x:v>
      </x:c>
      <x:c r="AB93" s="75" t="n">
        <x:v>0.007511583659927594</x:v>
      </x:c>
      <x:c r="AC93" s="75" t="n">
        <x:v>0.026431516408521216</x:v>
      </x:c>
      <x:c r="AD93" s="75" t="n">
        <x:v>0.09960438041636371</x:v>
      </x:c>
      <x:c r="AE93" s="75" t="n">
        <x:v>0.08102374525113555</x:v>
      </x:c>
      <x:c r="AF93" s="74" t="n">
        <x:v>8</x:v>
      </x:c>
    </x:row>
    <x:row r="94">
      <x:c r="A94" t="str">
        <x:v>2025 S1</x:v>
      </x:c>
      <x:c r="B94" t="str">
        <x:v>CNCT0024</x:v>
      </x:c>
      <x:c r="C94" s="74" t="n">
        <x:v>2474</x:v>
      </x:c>
      <x:c r="D94" s="74" t="n">
        <x:v>1121.212</x:v>
      </x:c>
      <x:c r="E94" s="75" t="n">
        <x:v>0.9753795382677636</x:v>
      </x:c>
      <x:c r="F94" s="75" t="n">
        <x:v>0.19656424616114238</x:v>
      </x:c>
      <x:c r="G94" s="75" t="n">
        <x:v>0.016962234641530814</x:v>
      </x:c>
      <x:c r="H94" s="75" t="n">
        <x:v>0.010601008138743056</x:v>
      </x:c>
      <x:c r="I94" s="75" t="n">
        <x:v>0.007419272526774876</x:v>
      </x:c>
      <x:c r="J94" s="75" t="n">
        <x:v>0.011292469706560952</x:v>
      </x:c>
      <x:c r="K94" s="75" t="n">
        <x:v>0.01153875883181172</x:v>
      </x:c>
      <x:c r="L94" s="75" t="n">
        <x:v>0.009737730491760885</x:v>
      </x:c>
      <x:c r="M94" s="75" t="n">
        <x:v>0.00848507775154576</x:v>
      </x:c>
      <x:c r="N94" s="75" t="n">
        <x:v>0.007531108568073251</x:v>
      </x:c>
      <x:c r="O94" s="75" t="n">
        <x:v>0.012962099438351287</x:v>
      </x:c>
      <x:c r="P94" s="75" t="n">
        <x:v>0.001385567539748081</x:v>
      </x:c>
      <x:c r="Q94" s="75" t="n">
        <x:v>0.0026099733044097776</x:v>
      </x:c>
      <x:c r="R94" s="75" t="n">
        <x:v>0.3654745659252207</x:v>
      </x:c>
      <x:c r="S94" s="75" t="n">
        <x:v>0.014847048880888907</x:v>
      </x:c>
      <x:c r="T94" s="75" t="n">
        <x:v>0.005072898937825812</x:v>
      </x:c>
      <x:c r="U94" s="75" t="n">
        <x:v>0.012064538958191404</x:v>
      </x:c>
      <x:c r="V94" s="75" t="n">
        <x:v>0.035191008163790685</x:v>
      </x:c>
      <x:c r="W94" s="75" t="n">
        <x:v>0.011120944260342368</x:v>
      </x:c>
      <x:c r="X94" s="75" t="n">
        <x:v>0.02040742866761633</x:v>
      </x:c>
      <x:c r="Y94" s="75" t="n">
        <x:v>0.016679143359576702</x:v>
      </x:c>
      <x:c r="Z94" s="75" t="n">
        <x:v>0.007853630072032684</x:v>
      </x:c>
      <x:c r="AA94" s="75" t="n">
        <x:v>0.008409703654915793</x:v>
      </x:c>
      <x:c r="AB94" s="75" t="n">
        <x:v>0.004951342366769676</x:v>
      </x:c>
      <x:c r="AC94" s="75" t="n">
        <x:v>0.022764757839404046</x:v>
      </x:c>
      <x:c r="AD94" s="75" t="n">
        <x:v>0.10789030781760812</x:v>
      </x:c>
      <x:c r="AE94" s="75" t="n">
        <x:v>0.09026579978989321</x:v>
      </x:c>
      <x:c r="AF94" s="74" t="n">
        <x:v>9</x:v>
      </x:c>
    </x:row>
    <x:row r="95">
      <x:c r="A95" t="str">
        <x:v>2025 S2</x:v>
      </x:c>
      <x:c r="B95" t="str">
        <x:v>CNCT0024</x:v>
      </x:c>
      <x:c r="C95" s="74" t="n">
        <x:v>2615</x:v>
      </x:c>
      <x:c r="D95" s="74" t="n">
        <x:v>1134.667</x:v>
      </x:c>
      <x:c r="E95" s="75" t="n">
        <x:v>0.9663956211121404</x:v>
      </x:c>
      <x:c r="F95" s="75" t="n">
        <x:v>0.19656424616114238</x:v>
      </x:c>
      <x:c r="G95" s="75" t="n">
        <x:v>0.016962234641530814</x:v>
      </x:c>
      <x:c r="H95" s="75" t="n">
        <x:v>0.010601008138743056</x:v>
      </x:c>
      <x:c r="I95" s="75" t="n">
        <x:v>0.007419272526774876</x:v>
      </x:c>
      <x:c r="J95" s="75" t="n">
        <x:v>0.011292469706560952</x:v>
      </x:c>
      <x:c r="K95" s="75" t="n">
        <x:v>0.01153875883181172</x:v>
      </x:c>
      <x:c r="L95" s="75" t="n">
        <x:v>0.009737730491760885</x:v>
      </x:c>
      <x:c r="M95" s="75" t="n">
        <x:v>0.00848507775154576</x:v>
      </x:c>
      <x:c r="N95" s="75" t="n">
        <x:v>0.007531108568073251</x:v>
      </x:c>
      <x:c r="O95" s="75" t="n">
        <x:v>0.012962099438351287</x:v>
      </x:c>
      <x:c r="P95" s="75" t="n">
        <x:v>0.001385567539748081</x:v>
      </x:c>
      <x:c r="Q95" s="75" t="n">
        <x:v>0.0026099733044097776</x:v>
      </x:c>
      <x:c r="R95" s="75" t="n">
        <x:v>0.3700050793803009</x:v>
      </x:c>
      <x:c r="S95" s="75" t="n">
        <x:v>0.014847048880888907</x:v>
      </x:c>
      <x:c r="T95" s="75" t="n">
        <x:v>0.005072898937825812</x:v>
      </x:c>
      <x:c r="U95" s="75" t="n">
        <x:v>0.012064538958191404</x:v>
      </x:c>
      <x:c r="V95" s="75" t="n">
        <x:v>0.035191008163790685</x:v>
      </x:c>
      <x:c r="W95" s="75" t="n">
        <x:v>0.011120944260342368</x:v>
      </x:c>
      <x:c r="X95" s="75" t="n">
        <x:v>0.02040742866761633</x:v>
      </x:c>
      <x:c r="Y95" s="75" t="n">
        <x:v>0.016679143359576702</x:v>
      </x:c>
      <x:c r="Z95" s="75" t="n">
        <x:v>0.007853630072032684</x:v>
      </x:c>
      <x:c r="AA95" s="75" t="n">
        <x:v>0.008409703654915793</x:v>
      </x:c>
      <x:c r="AB95" s="75" t="n">
        <x:v>0.004951342366769676</x:v>
      </x:c>
      <x:c r="AC95" s="75" t="n">
        <x:v>0.022764757839404046</x:v>
      </x:c>
      <x:c r="AD95" s="75" t="n">
        <x:v>0.10789030781760812</x:v>
      </x:c>
      <x:c r="AE95" s="75" t="n">
        <x:v>0.09026579978989321</x:v>
      </x:c>
      <x:c r="AF95" s="74" t="n">
        <x:v>9</x:v>
      </x:c>
    </x:row>
    <x:row r="96">
      <x:c r="A96" t="str">
        <x:v>2026 S1</x:v>
      </x:c>
      <x:c r="B96" t="str">
        <x:v>CNCT0024</x:v>
      </x:c>
      <x:c r="C96" s="74" t="n">
        <x:v>2506</x:v>
      </x:c>
      <x:c r="D96" s="74" t="n">
        <x:v>1181.237</x:v>
      </x:c>
      <x:c r="E96" s="75" t="n">
        <x:v>0.9724574835953245</x:v>
      </x:c>
      <x:c r="F96" s="75" t="n">
        <x:v>0.19401188422314591</x:v>
      </x:c>
      <x:c r="G96" s="75" t="n">
        <x:v>0.01609054702236972</x:v>
      </x:c>
      <x:c r="H96" s="75" t="n">
        <x:v>0.010601008138743056</x:v>
      </x:c>
      <x:c r="I96" s="75" t="n">
        <x:v>0.007419272526774876</x:v>
      </x:c>
      <x:c r="J96" s="75" t="n">
        <x:v>0.011292469706560952</x:v>
      </x:c>
      <x:c r="K96" s="75" t="n">
        <x:v>0.01153875883181172</x:v>
      </x:c>
      <x:c r="L96" s="75" t="n">
        <x:v>0.009737730491760885</x:v>
      </x:c>
      <x:c r="M96" s="75" t="n">
        <x:v>0.00848507775154576</x:v>
      </x:c>
      <x:c r="N96" s="75" t="n">
        <x:v>0.007531108568073251</x:v>
      </x:c>
      <x:c r="O96" s="75" t="n">
        <x:v>0.011743066378396179</x:v>
      </x:c>
      <x:c r="P96" s="75" t="n">
        <x:v>0.001385567539748081</x:v>
      </x:c>
      <x:c r="Q96" s="75" t="n">
        <x:v>0.0026099733044097776</x:v>
      </x:c>
      <x:c r="R96" s="75" t="n">
        <x:v>0.3664865861435596</x:v>
      </x:c>
      <x:c r="S96" s="75" t="n">
        <x:v>0.014847048880888907</x:v>
      </x:c>
      <x:c r="T96" s="75" t="n">
        <x:v>0.005072898937825812</x:v>
      </x:c>
      <x:c r="U96" s="75" t="n">
        <x:v>0.012064538958191404</x:v>
      </x:c>
      <x:c r="V96" s="75" t="n">
        <x:v>0.035191008163790685</x:v>
      </x:c>
      <x:c r="W96" s="75" t="n">
        <x:v>0.013683777016935125</x:v>
      </x:c>
      <x:c r="X96" s="75" t="n">
        <x:v>0.025110341068113072</x:v>
      </x:c>
      <x:c r="Y96" s="75" t="n">
        <x:v>0.020522868672207102</x:v>
      </x:c>
      <x:c r="Z96" s="75" t="n">
        <x:v>0.009663506997550846</x:v>
      </x:c>
      <x:c r="AA96" s="75" t="n">
        <x:v>0.010347728295225652</x:v>
      </x:c>
      <x:c r="AB96" s="75" t="n">
        <x:v>0.006092384180270518</x:v>
      </x:c>
      <x:c r="AC96" s="75" t="n">
        <x:v>0.02801091911140833</x:v>
      </x:c>
      <x:c r="AD96" s="75" t="n">
        <x:v>0.10789030781760812</x:v>
      </x:c>
      <x:c r="AE96" s="75" t="n">
        <x:v>0.09026579978989321</x:v>
      </x:c>
      <x:c r="AF96" s="74" t="n">
        <x:v>9</x:v>
      </x:c>
    </x:row>
    <x:row r="97">
      <x:c r="A97" t="str">
        <x:v>2026 S2</x:v>
      </x:c>
      <x:c r="B97" t="str">
        <x:v>CNCT0024</x:v>
      </x:c>
      <x:c r="C97" s="74" t="n">
        <x:v>2721</x:v>
      </x:c>
      <x:c r="D97" s="74" t="n">
        <x:v>1160.644</x:v>
      </x:c>
      <x:c r="E97" s="75" t="n">
        <x:v>0.9663956211121404</x:v>
      </x:c>
      <x:c r="F97" s="75" t="n">
        <x:v>0.2030300436966354</x:v>
      </x:c>
      <x:c r="G97" s="75" t="n">
        <x:v>0.01579220936958518</x:v>
      </x:c>
      <x:c r="H97" s="75" t="n">
        <x:v>0.010601008138743056</x:v>
      </x:c>
      <x:c r="I97" s="75" t="n">
        <x:v>0.007419272526774876</x:v>
      </x:c>
      <x:c r="J97" s="75" t="n">
        <x:v>0.011292469706560952</x:v>
      </x:c>
      <x:c r="K97" s="75" t="n">
        <x:v>0.01153875883181172</x:v>
      </x:c>
      <x:c r="L97" s="75" t="n">
        <x:v>0.009737730491760885</x:v>
      </x:c>
      <x:c r="M97" s="75" t="n">
        <x:v>0.00848507775154576</x:v>
      </x:c>
      <x:c r="N97" s="75" t="n">
        <x:v>0.007531108568073251</x:v>
      </x:c>
      <x:c r="O97" s="75" t="n">
        <x:v>0.012962099438351287</x:v>
      </x:c>
      <x:c r="P97" s="75" t="n">
        <x:v>0.001385567539748081</x:v>
      </x:c>
      <x:c r="Q97" s="75" t="n">
        <x:v>0.0026099733044097776</x:v>
      </x:c>
      <x:c r="R97" s="75" t="n">
        <x:v>0.36920305785535174</x:v>
      </x:c>
      <x:c r="S97" s="75" t="n">
        <x:v>0.014847048880888907</x:v>
      </x:c>
      <x:c r="T97" s="75" t="n">
        <x:v>0.005072898937825812</x:v>
      </x:c>
      <x:c r="U97" s="75" t="n">
        <x:v>0.012064538958191404</x:v>
      </x:c>
      <x:c r="V97" s="75" t="n">
        <x:v>0.035191008163790685</x:v>
      </x:c>
      <x:c r="W97" s="75" t="n">
        <x:v>0.01178820091596291</x:v>
      </x:c>
      <x:c r="X97" s="75" t="n">
        <x:v>0.02163187438767331</x:v>
      </x:c>
      <x:c r="Y97" s="75" t="n">
        <x:v>0.017679891961151304</x:v>
      </x:c>
      <x:c r="Z97" s="75" t="n">
        <x:v>0.008324847876354645</x:v>
      </x:c>
      <x:c r="AA97" s="75" t="n">
        <x:v>0.008914285874210741</x:v>
      </x:c>
      <x:c r="AB97" s="75" t="n">
        <x:v>0.0052484229087758575</x:v>
      </x:c>
      <x:c r="AC97" s="75" t="n">
        <x:v>0.02413064330976829</x:v>
      </x:c>
      <x:c r="AD97" s="75" t="n">
        <x:v>0.10789030781760812</x:v>
      </x:c>
      <x:c r="AE97" s="75" t="n">
        <x:v>0.09026579978989321</x:v>
      </x:c>
      <x:c r="AF97" s="74" t="n">
        <x:v>9</x:v>
      </x:c>
    </x:row>
    <x:row r="98">
      <x:c r="A98" t="str">
        <x:v>2025 S1</x:v>
      </x:c>
      <x:c r="B98" t="str">
        <x:v>CNCT0025</x:v>
      </x:c>
      <x:c r="C98" s="74" t="n">
        <x:v>1922</x:v>
      </x:c>
      <x:c r="D98" s="74" t="n">
        <x:v>992.551</x:v>
      </x:c>
      <x:c r="E98" s="75" t="n">
        <x:v>0.9775526494960067</x:v>
      </x:c>
      <x:c r="F98" s="75" t="n">
        <x:v>0.15765743498154916</x:v>
      </x:c>
      <x:c r="G98" s="75" t="n">
        <x:v>0.010435427992721086</x:v>
      </x:c>
      <x:c r="H98" s="75" t="n">
        <x:v>0.010500857676632109</x:v>
      </x:c>
      <x:c r="I98" s="75" t="n">
        <x:v>0.009576796922963695</x:v>
      </x:c>
      <x:c r="J98" s="75" t="n">
        <x:v>0.013236639323731652</x:v>
      </x:c>
      <x:c r="K98" s="75" t="n">
        <x:v>0.012405956661066739</x:v>
      </x:c>
      <x:c r="L98" s="75" t="n">
        <x:v>0.009209373191770282</x:v>
      </x:c>
      <x:c r="M98" s="75" t="n">
        <x:v>0.008052284689882071</x:v>
      </x:c>
      <x:c r="N98" s="75" t="n">
        <x:v>0.008617628801934188</x:v>
      </x:c>
      <x:c r="O98" s="75" t="n">
        <x:v>0.007435544771738932</x:v>
      </x:c>
      <x:c r="P98" s="75" t="n">
        <x:v>0.00044682877101513436</x:v>
      </x:c>
      <x:c r="Q98" s="75" t="n">
        <x:v>0.006018357591870881</x:v>
      </x:c>
      <x:c r="R98" s="75" t="n">
        <x:v>0.40610321188590065</x:v>
      </x:c>
      <x:c r="S98" s="75" t="n">
        <x:v>0.011400846649938103</x:v>
      </x:c>
      <x:c r="T98" s="75" t="n">
        <x:v>0.0036977770348967168</x:v>
      </x:c>
      <x:c r="U98" s="75" t="n">
        <x:v>0.010533739727688953</x:v>
      </x:c>
      <x:c r="V98" s="75" t="n">
        <x:v>0.03333966708822118</x:v>
      </x:c>
      <x:c r="W98" s="75" t="n">
        <x:v>0.01371773559985304</x:v>
      </x:c>
      <x:c r="X98" s="75" t="n">
        <x:v>0.020380477932133944</x:v>
      </x:c>
      <x:c r="Y98" s="75" t="n">
        <x:v>0.015896585316169366</x:v>
      </x:c>
      <x:c r="Z98" s="75" t="n">
        <x:v>0.007914497586370271</x:v>
      </x:c>
      <x:c r="AA98" s="75" t="n">
        <x:v>0.005482176068335539</x:v>
      </x:c>
      <x:c r="AB98" s="75" t="n">
        <x:v>0.00631843169137137</x:v>
      </x:c>
      <x:c r="AC98" s="75" t="n">
        <x:v>0.018856710748246405</x:v>
      </x:c>
      <x:c r="AD98" s="75" t="n">
        <x:v>0.09900427378530731</x:v>
      </x:c>
      <x:c r="AE98" s="75" t="n">
        <x:v>0.06552858390449547</x:v>
      </x:c>
      <x:c r="AF98" s="74" t="n">
        <x:v>10</x:v>
      </x:c>
    </x:row>
    <x:row r="99">
      <x:c r="A99" t="str">
        <x:v>2025 S2</x:v>
      </x:c>
      <x:c r="B99" t="str">
        <x:v>CNCT0025</x:v>
      </x:c>
      <x:c r="C99" s="74" t="n">
        <x:v>2049</x:v>
      </x:c>
      <x:c r="D99" s="74" t="n">
        <x:v>1004.462</x:v>
      </x:c>
      <x:c r="E99" s="75" t="n">
        <x:v>0.9840695573578123</x:v>
      </x:c>
      <x:c r="F99" s="75" t="n">
        <x:v>0.15765743498154916</x:v>
      </x:c>
      <x:c r="G99" s="75" t="n">
        <x:v>0.010435427992721086</x:v>
      </x:c>
      <x:c r="H99" s="75" t="n">
        <x:v>0.010500857676632109</x:v>
      </x:c>
      <x:c r="I99" s="75" t="n">
        <x:v>0.009576796922963695</x:v>
      </x:c>
      <x:c r="J99" s="75" t="n">
        <x:v>0.013236639323731652</x:v>
      </x:c>
      <x:c r="K99" s="75" t="n">
        <x:v>0.012405956661066739</x:v>
      </x:c>
      <x:c r="L99" s="75" t="n">
        <x:v>0.009209373191770282</x:v>
      </x:c>
      <x:c r="M99" s="75" t="n">
        <x:v>0.008052284689882071</x:v>
      </x:c>
      <x:c r="N99" s="75" t="n">
        <x:v>0.008617628801934188</x:v>
      </x:c>
      <x:c r="O99" s="75" t="n">
        <x:v>0.007435544771738932</x:v>
      </x:c>
      <x:c r="P99" s="75" t="n">
        <x:v>0.00044682877101513436</x:v>
      </x:c>
      <x:c r="Q99" s="75" t="n">
        <x:v>0.006018357591870881</x:v>
      </x:c>
      <x:c r="R99" s="75" t="n">
        <x:v>0.38649724191511237</x:v>
      </x:c>
      <x:c r="S99" s="75" t="n">
        <x:v>0.011400846649938103</x:v>
      </x:c>
      <x:c r="T99" s="75" t="n">
        <x:v>0.0036977770348967168</x:v>
      </x:c>
      <x:c r="U99" s="75" t="n">
        <x:v>0.010533739727688953</x:v>
      </x:c>
      <x:c r="V99" s="75" t="n">
        <x:v>0.03333966708822118</x:v>
      </x:c>
      <x:c r="W99" s="75" t="n">
        <x:v>0.01371773559985304</x:v>
      </x:c>
      <x:c r="X99" s="75" t="n">
        <x:v>0.020380477932133944</x:v>
      </x:c>
      <x:c r="Y99" s="75" t="n">
        <x:v>0.015896585316169366</x:v>
      </x:c>
      <x:c r="Z99" s="75" t="n">
        <x:v>0.007914497586370271</x:v>
      </x:c>
      <x:c r="AA99" s="75" t="n">
        <x:v>0.005482176068335539</x:v>
      </x:c>
      <x:c r="AB99" s="75" t="n">
        <x:v>0.00631843169137137</x:v>
      </x:c>
      <x:c r="AC99" s="75" t="n">
        <x:v>0.018856710748246405</x:v>
      </x:c>
      <x:c r="AD99" s="75" t="n">
        <x:v>0.09900427378530731</x:v>
      </x:c>
      <x:c r="AE99" s="75" t="n">
        <x:v>0.06552858390449547</x:v>
      </x:c>
      <x:c r="AF99" s="74" t="n">
        <x:v>10</x:v>
      </x:c>
    </x:row>
    <x:row r="100">
      <x:c r="A100" t="str">
        <x:v>2026 S1</x:v>
      </x:c>
      <x:c r="B100" t="str">
        <x:v>CNCT0025</x:v>
      </x:c>
      <x:c r="C100" s="74" t="n">
        <x:v>2074</x:v>
      </x:c>
      <x:c r="D100" s="74" t="n">
        <x:v>1037.53</x:v>
      </x:c>
      <x:c r="E100" s="75" t="n">
        <x:v>0.981170467003074</x:v>
      </x:c>
      <x:c r="F100" s="75" t="n">
        <x:v>0.19543948074794026</x:v>
      </x:c>
      <x:c r="G100" s="75" t="n">
        <x:v>0.008924673269997583</x:v>
      </x:c>
      <x:c r="H100" s="75" t="n">
        <x:v>0.010500857676632109</x:v>
      </x:c>
      <x:c r="I100" s="75" t="n">
        <x:v>0.009576796922963695</x:v>
      </x:c>
      <x:c r="J100" s="75" t="n">
        <x:v>0.013236639323731652</x:v>
      </x:c>
      <x:c r="K100" s="75" t="n">
        <x:v>0.012405956661066739</x:v>
      </x:c>
      <x:c r="L100" s="75" t="n">
        <x:v>0.009209373191770282</x:v>
      </x:c>
      <x:c r="M100" s="75" t="n">
        <x:v>0.008052284689882071</x:v>
      </x:c>
      <x:c r="N100" s="75" t="n">
        <x:v>0.008617628801934188</x:v>
      </x:c>
      <x:c r="O100" s="75" t="n">
        <x:v>0.007289904531047796</x:v>
      </x:c>
      <x:c r="P100" s="75" t="n">
        <x:v>0.00044682877101513436</x:v>
      </x:c>
      <x:c r="Q100" s="75" t="n">
        <x:v>0.006018357591870881</x:v>
      </x:c>
      <x:c r="R100" s="75" t="n">
        <x:v>0.40447095882968576</x:v>
      </x:c>
      <x:c r="S100" s="75" t="n">
        <x:v>0.011400846649938103</x:v>
      </x:c>
      <x:c r="T100" s="75" t="n">
        <x:v>0.0036977770348967168</x:v>
      </x:c>
      <x:c r="U100" s="75" t="n">
        <x:v>0.010533739727688953</x:v>
      </x:c>
      <x:c r="V100" s="75" t="n">
        <x:v>0.03333966708822118</x:v>
      </x:c>
      <x:c r="W100" s="75" t="n">
        <x:v>0.016879001524631593</x:v>
      </x:c>
      <x:c r="X100" s="75" t="n">
        <x:v>0.025077179508613268</x:v>
      </x:c>
      <x:c r="Y100" s="75" t="n">
        <x:v>0.019559969342967467</x:v>
      </x:c>
      <x:c r="Z100" s="75" t="n">
        <x:v>0.009738401491603908</x:v>
      </x:c>
      <x:c r="AA100" s="75" t="n">
        <x:v>0.006745549040668615</x:v>
      </x:c>
      <x:c r="AB100" s="75" t="n">
        <x:v>0.0077745206106086834</x:v>
      </x:c>
      <x:c r="AC100" s="75" t="n">
        <x:v>0.023202258649204305</x:v>
      </x:c>
      <x:c r="AD100" s="75" t="n">
        <x:v>0.09900427378530731</x:v>
      </x:c>
      <x:c r="AE100" s="75" t="n">
        <x:v>0.06552858390449547</x:v>
      </x:c>
      <x:c r="AF100" s="74" t="n">
        <x:v>10</x:v>
      </x:c>
    </x:row>
    <x:row r="101">
      <x:c r="A101" t="str">
        <x:v>2026 S2</x:v>
      </x:c>
      <x:c r="B101" t="str">
        <x:v>CNCT0025</x:v>
      </x:c>
      <x:c r="C101" s="74" t="n">
        <x:v>2120</x:v>
      </x:c>
      <x:c r="D101" s="74" t="n">
        <x:v>1052.096</x:v>
      </x:c>
      <x:c r="E101" s="75" t="n">
        <x:v>0.9840695573578123</x:v>
      </x:c>
      <x:c r="F101" s="75" t="n">
        <x:v>0.19475902752851834</x:v>
      </x:c>
      <x:c r="G101" s="75" t="n">
        <x:v>0.008848725923948222</x:v>
      </x:c>
      <x:c r="H101" s="75" t="n">
        <x:v>0.010500857676632109</x:v>
      </x:c>
      <x:c r="I101" s="75" t="n">
        <x:v>0.009576796922963695</x:v>
      </x:c>
      <x:c r="J101" s="75" t="n">
        <x:v>0.013236639323731652</x:v>
      </x:c>
      <x:c r="K101" s="75" t="n">
        <x:v>0.012405956661066739</x:v>
      </x:c>
      <x:c r="L101" s="75" t="n">
        <x:v>0.009209373191770282</x:v>
      </x:c>
      <x:c r="M101" s="75" t="n">
        <x:v>0.008052284689882071</x:v>
      </x:c>
      <x:c r="N101" s="75" t="n">
        <x:v>0.008617628801934188</x:v>
      </x:c>
      <x:c r="O101" s="75" t="n">
        <x:v>0.007435544771738932</x:v>
      </x:c>
      <x:c r="P101" s="75" t="n">
        <x:v>0.00044682877101513436</x:v>
      </x:c>
      <x:c r="Q101" s="75" t="n">
        <x:v>0.006018357591870881</x:v>
      </x:c>
      <x:c r="R101" s="75" t="n">
        <x:v>0.38649724191511237</x:v>
      </x:c>
      <x:c r="S101" s="75" t="n">
        <x:v>0.011400846649938103</x:v>
      </x:c>
      <x:c r="T101" s="75" t="n">
        <x:v>0.0036977770348967168</x:v>
      </x:c>
      <x:c r="U101" s="75" t="n">
        <x:v>0.010533739727688953</x:v>
      </x:c>
      <x:c r="V101" s="75" t="n">
        <x:v>0.03333966708822118</x:v>
      </x:c>
      <x:c r="W101" s="75" t="n">
        <x:v>0.014540799735844224</x:v>
      </x:c>
      <x:c r="X101" s="75" t="n">
        <x:v>0.021603306608061982</x:v>
      </x:c>
      <x:c r="Y101" s="75" t="n">
        <x:v>0.01685038043513953</x:v>
      </x:c>
      <x:c r="Z101" s="75" t="n">
        <x:v>0.008389367441552487</x:v>
      </x:c>
      <x:c r="AA101" s="75" t="n">
        <x:v>0.0058111066324356715</x:v>
      </x:c>
      <x:c r="AB101" s="75" t="n">
        <x:v>0.006697537592853652</x:v>
      </x:c>
      <x:c r="AC101" s="75" t="n">
        <x:v>0.01998811339314119</x:v>
      </x:c>
      <x:c r="AD101" s="75" t="n">
        <x:v>0.09900427378530731</x:v>
      </x:c>
      <x:c r="AE101" s="75" t="n">
        <x:v>0.06552858390449547</x:v>
      </x:c>
      <x:c r="AF101" s="74" t="n">
        <x:v>10</x:v>
      </x:c>
    </x:row>
    <x:row r="102">
      <x:c r="A102" t="str">
        <x:v>2025 S1</x:v>
      </x:c>
      <x:c r="B102" t="str">
        <x:v>CNCT0026</x:v>
      </x:c>
      <x:c r="C102" s="74" t="n">
        <x:v>1735</x:v>
      </x:c>
      <x:c r="D102" s="74" t="n">
        <x:v>925.749</x:v>
      </x:c>
      <x:c r="E102" s="75" t="n">
        <x:v>0.9843587775165797</x:v>
      </x:c>
      <x:c r="F102" s="75" t="n">
        <x:v>0.2090462648230605</x:v>
      </x:c>
      <x:c r="G102" s="75" t="n">
        <x:v>0.013202573426606249</x:v>
      </x:c>
      <x:c r="H102" s="75" t="n">
        <x:v>0.010191540786887344</x:v>
      </x:c>
      <x:c r="I102" s="75" t="n">
        <x:v>0.007509141708590505</x:v>
      </x:c>
      <x:c r="J102" s="75" t="n">
        <x:v>0.011983654614370608</x:v>
      </x:c>
      <x:c r="K102" s="75" t="n">
        <x:v>0.008040447397339449</x:v>
      </x:c>
      <x:c r="L102" s="75" t="n">
        <x:v>0.013084725181885005</x:v>
      </x:c>
      <x:c r="M102" s="75" t="n">
        <x:v>0.00947331128948281</x:v>
      </x:c>
      <x:c r="N102" s="75" t="n">
        <x:v>0.006998152859305265</x:v>
      </x:c>
      <x:c r="O102" s="75" t="n">
        <x:v>0.012483687534200726</x:v>
      </x:c>
      <x:c r="P102" s="75" t="n">
        <x:v>0.0016651250729919412</x:v>
      </x:c>
      <x:c r="Q102" s="75" t="n">
        <x:v>0.005477579088495986</x:v>
      </x:c>
      <x:c r="R102" s="75" t="n">
        <x:v>0.363472732464197</x:v>
      </x:c>
      <x:c r="S102" s="75" t="n">
        <x:v>0.013360521564034571</x:v>
      </x:c>
      <x:c r="T102" s="75" t="n">
        <x:v>0.006090073304018006</x:v>
      </x:c>
      <x:c r="U102" s="75" t="n">
        <x:v>0.010328309931275726</x:v>
      </x:c>
      <x:c r="V102" s="75" t="n">
        <x:v>0.02988806463769288</x:v>
      </x:c>
      <x:c r="W102" s="75" t="n">
        <x:v>0.015116573475085899</x:v>
      </x:c>
      <x:c r="X102" s="75" t="n">
        <x:v>0.018419408101484295</x:v>
      </x:c>
      <x:c r="Y102" s="75" t="n">
        <x:v>0.01979079475393286</x:v>
      </x:c>
      <x:c r="Z102" s="75" t="n">
        <x:v>0.005200528969489096</x:v>
      </x:c>
      <x:c r="AA102" s="75" t="n">
        <x:v>0.006152649815251825</x:v>
      </x:c>
      <x:c r="AB102" s="75" t="n">
        <x:v>0.004302715838213044</x:v>
      </x:c>
      <x:c r="AC102" s="75" t="n">
        <x:v>0.02800855566137179</x:v>
      </x:c>
      <x:c r="AD102" s="75" t="n">
        <x:v>0.1209488003004226</x:v>
      </x:c>
      <x:c r="AE102" s="75" t="n">
        <x:v>0.07683790683493134</x:v>
      </x:c>
      <x:c r="AF102" s="74" t="n">
        <x:v>7</x:v>
      </x:c>
    </x:row>
    <x:row r="103">
      <x:c r="A103" t="str">
        <x:v>2025 S2</x:v>
      </x:c>
      <x:c r="B103" t="str">
        <x:v>CNCT0026</x:v>
      </x:c>
      <x:c r="C103" s="74" t="n">
        <x:v>1892</x:v>
      </x:c>
      <x:c r="D103" s="74" t="n">
        <x:v>936.858</x:v>
      </x:c>
      <x:c r="E103" s="75" t="n">
        <x:v>0.9661093998650904</x:v>
      </x:c>
      <x:c r="F103" s="75" t="n">
        <x:v>0.2090462648230605</x:v>
      </x:c>
      <x:c r="G103" s="75" t="n">
        <x:v>0.013202573426606249</x:v>
      </x:c>
      <x:c r="H103" s="75" t="n">
        <x:v>0.010191540786887344</x:v>
      </x:c>
      <x:c r="I103" s="75" t="n">
        <x:v>0.007509141708590505</x:v>
      </x:c>
      <x:c r="J103" s="75" t="n">
        <x:v>0.011983654614370608</x:v>
      </x:c>
      <x:c r="K103" s="75" t="n">
        <x:v>0.008040447397339449</x:v>
      </x:c>
      <x:c r="L103" s="75" t="n">
        <x:v>0.013084725181885005</x:v>
      </x:c>
      <x:c r="M103" s="75" t="n">
        <x:v>0.00947331128948281</x:v>
      </x:c>
      <x:c r="N103" s="75" t="n">
        <x:v>0.006998152859305265</x:v>
      </x:c>
      <x:c r="O103" s="75" t="n">
        <x:v>0.012483687534200726</x:v>
      </x:c>
      <x:c r="P103" s="75" t="n">
        <x:v>0.0016651250729919412</x:v>
      </x:c>
      <x:c r="Q103" s="75" t="n">
        <x:v>0.005477579088495986</x:v>
      </x:c>
      <x:c r="R103" s="75" t="n">
        <x:v>0.35879891750843035</x:v>
      </x:c>
      <x:c r="S103" s="75" t="n">
        <x:v>0.013360521564034571</x:v>
      </x:c>
      <x:c r="T103" s="75" t="n">
        <x:v>0.006090073304018006</x:v>
      </x:c>
      <x:c r="U103" s="75" t="n">
        <x:v>0.010328309931275726</x:v>
      </x:c>
      <x:c r="V103" s="75" t="n">
        <x:v>0.02988806463769288</x:v>
      </x:c>
      <x:c r="W103" s="75" t="n">
        <x:v>0.015116573475085899</x:v>
      </x:c>
      <x:c r="X103" s="75" t="n">
        <x:v>0.018419408101484295</x:v>
      </x:c>
      <x:c r="Y103" s="75" t="n">
        <x:v>0.01979079475393286</x:v>
      </x:c>
      <x:c r="Z103" s="75" t="n">
        <x:v>0.005200528969489096</x:v>
      </x:c>
      <x:c r="AA103" s="75" t="n">
        <x:v>0.006152649815251825</x:v>
      </x:c>
      <x:c r="AB103" s="75" t="n">
        <x:v>0.004302715838213044</x:v>
      </x:c>
      <x:c r="AC103" s="75" t="n">
        <x:v>0.02800855566137179</x:v>
      </x:c>
      <x:c r="AD103" s="75" t="n">
        <x:v>0.1209488003004226</x:v>
      </x:c>
      <x:c r="AE103" s="75" t="n">
        <x:v>0.07683790683493134</x:v>
      </x:c>
      <x:c r="AF103" s="74" t="n">
        <x:v>7</x:v>
      </x:c>
    </x:row>
    <x:row r="104">
      <x:c r="A104" t="str">
        <x:v>2026 S1</x:v>
      </x:c>
      <x:c r="B104" t="str">
        <x:v>CNCT0026</x:v>
      </x:c>
      <x:c r="C104" s="74" t="n">
        <x:v>1597</x:v>
      </x:c>
      <x:c r="D104" s="74" t="n">
        <x:v>973.94</x:v>
      </x:c>
      <x:c r="E104" s="75" t="n">
        <x:v>0.9882600584328466</x:v>
      </x:c>
      <x:c r="F104" s="75" t="n">
        <x:v>0.2049920825704321</x:v>
      </x:c>
      <x:c r="G104" s="75" t="n">
        <x:v>0.012666037286704521</x:v>
      </x:c>
      <x:c r="H104" s="75" t="n">
        <x:v>0.010191540786887344</x:v>
      </x:c>
      <x:c r="I104" s="75" t="n">
        <x:v>0.007509141708590505</x:v>
      </x:c>
      <x:c r="J104" s="75" t="n">
        <x:v>0.011983654614370608</x:v>
      </x:c>
      <x:c r="K104" s="75" t="n">
        <x:v>0.008040447397339449</x:v>
      </x:c>
      <x:c r="L104" s="75" t="n">
        <x:v>0.013084725181885005</x:v>
      </x:c>
      <x:c r="M104" s="75" t="n">
        <x:v>0.00947331128948281</x:v>
      </x:c>
      <x:c r="N104" s="75" t="n">
        <x:v>0.006998152859305265</x:v>
      </x:c>
      <x:c r="O104" s="75" t="n">
        <x:v>0.011954747447889531</x:v>
      </x:c>
      <x:c r="P104" s="75" t="n">
        <x:v>0.0016651250729919412</x:v>
      </x:c>
      <x:c r="Q104" s="75" t="n">
        <x:v>0.005477579088495986</x:v>
      </x:c>
      <x:c r="R104" s="75" t="n">
        <x:v>0.37119197230525713</x:v>
      </x:c>
      <x:c r="S104" s="75" t="n">
        <x:v>0.013360521564034571</x:v>
      </x:c>
      <x:c r="T104" s="75" t="n">
        <x:v>0.006090073304018006</x:v>
      </x:c>
      <x:c r="U104" s="75" t="n">
        <x:v>0.010328309931275726</x:v>
      </x:c>
      <x:c r="V104" s="75" t="n">
        <x:v>0.02988806463769288</x:v>
      </x:c>
      <x:c r="W104" s="75" t="n">
        <x:v>0.018600202990930504</x:v>
      </x:c>
      <x:c r="X104" s="75" t="n">
        <x:v>0.02266417916898002</x:v>
      </x:c>
      <x:c r="Y104" s="75" t="n">
        <x:v>0.02435160325067662</x:v>
      </x:c>
      <x:c r="Z104" s="75" t="n">
        <x:v>0.006398996085464544</x:v>
      </x:c>
      <x:c r="AA104" s="75" t="n">
        <x:v>0.007570534134895587</x:v>
      </x:c>
      <x:c r="AB104" s="75" t="n">
        <x:v>0.00529428101778201</x:v>
      </x:c>
      <x:c r="AC104" s="75" t="n">
        <x:v>0.03446315539979412</x:v>
      </x:c>
      <x:c r="AD104" s="75" t="n">
        <x:v>0.1209488003004226</x:v>
      </x:c>
      <x:c r="AE104" s="75" t="n">
        <x:v>0.07683790683493134</x:v>
      </x:c>
      <x:c r="AF104" s="74" t="n">
        <x:v>7</x:v>
      </x:c>
    </x:row>
    <x:row r="105">
      <x:c r="A105" t="str">
        <x:v>2026 S2</x:v>
      </x:c>
      <x:c r="B105" t="str">
        <x:v>CNCT0026</x:v>
      </x:c>
      <x:c r="C105" s="74" t="n">
        <x:v>1824</x:v>
      </x:c>
      <x:c r="D105" s="74" t="n">
        <x:v>966.682</x:v>
      </x:c>
      <x:c r="E105" s="75" t="n">
        <x:v>0.9661093998650904</x:v>
      </x:c>
      <x:c r="F105" s="75" t="n">
        <x:v>0.2047437488683354</x:v>
      </x:c>
      <x:c r="G105" s="75" t="n">
        <x:v>0.011909512386555434</x:v>
      </x:c>
      <x:c r="H105" s="75" t="n">
        <x:v>0.010191540786887344</x:v>
      </x:c>
      <x:c r="I105" s="75" t="n">
        <x:v>0.007509141708590505</x:v>
      </x:c>
      <x:c r="J105" s="75" t="n">
        <x:v>0.011983654614370608</x:v>
      </x:c>
      <x:c r="K105" s="75" t="n">
        <x:v>0.008040447397339449</x:v>
      </x:c>
      <x:c r="L105" s="75" t="n">
        <x:v>0.013084725181885005</x:v>
      </x:c>
      <x:c r="M105" s="75" t="n">
        <x:v>0.00947331128948281</x:v>
      </x:c>
      <x:c r="N105" s="75" t="n">
        <x:v>0.006998152859305265</x:v>
      </x:c>
      <x:c r="O105" s="75" t="n">
        <x:v>0.012483687534200726</x:v>
      </x:c>
      <x:c r="P105" s="75" t="n">
        <x:v>0.0016651250729919412</x:v>
      </x:c>
      <x:c r="Q105" s="75" t="n">
        <x:v>0.005477579088495986</x:v>
      </x:c>
      <x:c r="R105" s="75" t="n">
        <x:v>0.36375708130740225</x:v>
      </x:c>
      <x:c r="S105" s="75" t="n">
        <x:v>0.013360521564034571</x:v>
      </x:c>
      <x:c r="T105" s="75" t="n">
        <x:v>0.006090073304018006</x:v>
      </x:c>
      <x:c r="U105" s="75" t="n">
        <x:v>0.010328309931275726</x:v>
      </x:c>
      <x:c r="V105" s="75" t="n">
        <x:v>0.02988806463769288</x:v>
      </x:c>
      <x:c r="W105" s="75" t="n">
        <x:v>0.016023567883591053</x:v>
      </x:c>
      <x:c r="X105" s="75" t="n">
        <x:v>0.019524572587573355</x:v>
      </x:c>
      <x:c r="Y105" s="75" t="n">
        <x:v>0.020978242439168834</x:v>
      </x:c>
      <x:c r="Z105" s="75" t="n">
        <x:v>0.005512560707658442</x:v>
      </x:c>
      <x:c r="AA105" s="75" t="n">
        <x:v>0.006521808804166935</x:v>
      </x:c>
      <x:c r="AB105" s="75" t="n">
        <x:v>0.004560878788505827</x:v>
      </x:c>
      <x:c r="AC105" s="75" t="n">
        <x:v>0.0296890690010541</x:v>
      </x:c>
      <x:c r="AD105" s="75" t="n">
        <x:v>0.1209488003004226</x:v>
      </x:c>
      <x:c r="AE105" s="75" t="n">
        <x:v>0.07683790683493134</x:v>
      </x:c>
      <x:c r="AF105" s="74" t="n">
        <x:v>7</x:v>
      </x:c>
    </x:row>
    <x:row r="106">
      <x:c r="A106" t="str">
        <x:v>2025 S1</x:v>
      </x:c>
      <x:c r="B106" t="str">
        <x:v>CNCT0027</x:v>
      </x:c>
      <x:c r="C106" s="74" t="n">
        <x:v>1649</x:v>
      </x:c>
      <x:c r="D106" s="74" t="n">
        <x:v>906.667</x:v>
      </x:c>
      <x:c r="E106" s="75" t="n">
        <x:v>0.9717509261029772</x:v>
      </x:c>
      <x:c r="F106" s="75" t="n">
        <x:v>0.20441157001489774</x:v>
      </x:c>
      <x:c r="G106" s="75" t="n">
        <x:v>0.010656765141233336</x:v>
      </x:c>
      <x:c r="H106" s="75" t="n">
        <x:v>0.010601496301984299</x:v>
      </x:c>
      <x:c r="I106" s="75" t="n">
        <x:v>0.009968639766419074</x:v>
      </x:c>
      <x:c r="J106" s="75" t="n">
        <x:v>0.012043726251256884</x:v>
      </x:c>
      <x:c r="K106" s="75" t="n">
        <x:v>0.010848477492070742</x:v>
      </x:c>
      <x:c r="L106" s="75" t="n">
        <x:v>0.009560615515696553</x:v>
      </x:c>
      <x:c r="M106" s="75" t="n">
        <x:v>0.008251938048313605</x:v>
      </x:c>
      <x:c r="N106" s="75" t="n">
        <x:v>0.008499016142654</x:v>
      </x:c>
      <x:c r="O106" s="75" t="n">
        <x:v>0.013437921903692768</x:v>
      </x:c>
      <x:c r="P106" s="75" t="n">
        <x:v>0.002473078544906457</x:v>
      </x:c>
      <x:c r="Q106" s="75" t="n">
        <x:v>0.0031820491764374312</x:v>
      </x:c>
      <x:c r="R106" s="75" t="n">
        <x:v>0.3751788954711646</x:v>
      </x:c>
      <x:c r="S106" s="75" t="n">
        <x:v>0.012121995587440324</x:v>
      </x:c>
      <x:c r="T106" s="75" t="n">
        <x:v>0.004367772148529184</x:v>
      </x:c>
      <x:c r="U106" s="75" t="n">
        <x:v>0.011561999725628993</x:v>
      </x:c>
      <x:c r="V106" s="75" t="n">
        <x:v>0.03446660080309107</x:v>
      </x:c>
      <x:c r="W106" s="75" t="n">
        <x:v>0.014111602088264773</x:v>
      </x:c>
      <x:c r="X106" s="75" t="n">
        <x:v>0.02480314941459568</x:v>
      </x:c>
      <x:c r="Y106" s="75" t="n">
        <x:v>0.01618156775668962</x:v>
      </x:c>
      <x:c r="Z106" s="75" t="n">
        <x:v>0.00645500638144149</x:v>
      </x:c>
      <x:c r="AA106" s="75" t="n">
        <x:v>0.006493511212213198</x:v>
      </x:c>
      <x:c r="AB106" s="75" t="n">
        <x:v>0.003555115983124051</x:v>
      </x:c>
      <x:c r="AC106" s="75" t="n">
        <x:v>0.02081243774071627</x:v>
      </x:c>
      <x:c r="AD106" s="75" t="n">
        <x:v>0.11431307151624061</x:v>
      </x:c>
      <x:c r="AE106" s="75" t="n">
        <x:v>0.08673882995978056</x:v>
      </x:c>
      <x:c r="AF106" s="74" t="n">
        <x:v>8</x:v>
      </x:c>
    </x:row>
    <x:row r="107">
      <x:c r="A107" t="str">
        <x:v>2025 S2</x:v>
      </x:c>
      <x:c r="B107" t="str">
        <x:v>CNCT0027</x:v>
      </x:c>
      <x:c r="C107" s="74" t="n">
        <x:v>1796</x:v>
      </x:c>
      <x:c r="D107" s="74" t="n">
        <x:v>917.547</x:v>
      </x:c>
      <x:c r="E107" s="75" t="n">
        <x:v>0.9746833376846625</x:v>
      </x:c>
      <x:c r="F107" s="75" t="n">
        <x:v>0.20441157001489774</x:v>
      </x:c>
      <x:c r="G107" s="75" t="n">
        <x:v>0.010656765141233336</x:v>
      </x:c>
      <x:c r="H107" s="75" t="n">
        <x:v>0.010601496301984299</x:v>
      </x:c>
      <x:c r="I107" s="75" t="n">
        <x:v>0.009968639766419074</x:v>
      </x:c>
      <x:c r="J107" s="75" t="n">
        <x:v>0.012043726251256884</x:v>
      </x:c>
      <x:c r="K107" s="75" t="n">
        <x:v>0.010848477492070742</x:v>
      </x:c>
      <x:c r="L107" s="75" t="n">
        <x:v>0.009560615515696553</x:v>
      </x:c>
      <x:c r="M107" s="75" t="n">
        <x:v>0.008251938048313605</x:v>
      </x:c>
      <x:c r="N107" s="75" t="n">
        <x:v>0.008499016142654</x:v>
      </x:c>
      <x:c r="O107" s="75" t="n">
        <x:v>0.013437921903692768</x:v>
      </x:c>
      <x:c r="P107" s="75" t="n">
        <x:v>0.002473078544906457</x:v>
      </x:c>
      <x:c r="Q107" s="75" t="n">
        <x:v>0.0031820491764374312</x:v>
      </x:c>
      <x:c r="R107" s="75" t="n">
        <x:v>0.36597141180201015</x:v>
      </x:c>
      <x:c r="S107" s="75" t="n">
        <x:v>0.012121995587440324</x:v>
      </x:c>
      <x:c r="T107" s="75" t="n">
        <x:v>0.004367772148529184</x:v>
      </x:c>
      <x:c r="U107" s="75" t="n">
        <x:v>0.011561999725628993</x:v>
      </x:c>
      <x:c r="V107" s="75" t="n">
        <x:v>0.03446660080309107</x:v>
      </x:c>
      <x:c r="W107" s="75" t="n">
        <x:v>0.014111602088264773</x:v>
      </x:c>
      <x:c r="X107" s="75" t="n">
        <x:v>0.02480314941459568</x:v>
      </x:c>
      <x:c r="Y107" s="75" t="n">
        <x:v>0.01618156775668962</x:v>
      </x:c>
      <x:c r="Z107" s="75" t="n">
        <x:v>0.00645500638144149</x:v>
      </x:c>
      <x:c r="AA107" s="75" t="n">
        <x:v>0.006493511212213198</x:v>
      </x:c>
      <x:c r="AB107" s="75" t="n">
        <x:v>0.003555115983124051</x:v>
      </x:c>
      <x:c r="AC107" s="75" t="n">
        <x:v>0.02081243774071627</x:v>
      </x:c>
      <x:c r="AD107" s="75" t="n">
        <x:v>0.11431307151624061</x:v>
      </x:c>
      <x:c r="AE107" s="75" t="n">
        <x:v>0.08673882995978056</x:v>
      </x:c>
      <x:c r="AF107" s="74" t="n">
        <x:v>8</x:v>
      </x:c>
    </x:row>
    <x:row r="108">
      <x:c r="A108" t="str">
        <x:v>2026 S1</x:v>
      </x:c>
      <x:c r="B108" t="str">
        <x:v>CNCT0027</x:v>
      </x:c>
      <x:c r="C108" s="74" t="n">
        <x:v>1201</x:v>
      </x:c>
      <x:c r="D108" s="74" t="n">
        <x:v>946.386</x:v>
      </x:c>
      <x:c r="E108" s="75" t="n">
        <x:v>0.9745493616699059</x:v>
      </x:c>
      <x:c r="F108" s="75" t="n">
        <x:v>0.21641157001489775</x:v>
      </x:c>
      <x:c r="G108" s="75" t="n">
        <x:v>0.009257131233433028</x:v>
      </x:c>
      <x:c r="H108" s="75" t="n">
        <x:v>0.010601496301984299</x:v>
      </x:c>
      <x:c r="I108" s="75" t="n">
        <x:v>0.009968639766419074</x:v>
      </x:c>
      <x:c r="J108" s="75" t="n">
        <x:v>0.012043726251256884</x:v>
      </x:c>
      <x:c r="K108" s="75" t="n">
        <x:v>0.010848477492070742</x:v>
      </x:c>
      <x:c r="L108" s="75" t="n">
        <x:v>0.009560615515696553</x:v>
      </x:c>
      <x:c r="M108" s="75" t="n">
        <x:v>0.008251938048313605</x:v>
      </x:c>
      <x:c r="N108" s="75" t="n">
        <x:v>0.008499016142654</x:v>
      </x:c>
      <x:c r="O108" s="75" t="n">
        <x:v>0.01532548041395785</x:v>
      </x:c>
      <x:c r="P108" s="75" t="n">
        <x:v>0.002473078544906457</x:v>
      </x:c>
      <x:c r="Q108" s="75" t="n">
        <x:v>0.0031820491764374312</x:v>
      </x:c>
      <x:c r="R108" s="75" t="n">
        <x:v>0.39215939207657136</x:v>
      </x:c>
      <x:c r="S108" s="75" t="n">
        <x:v>0.012121995587440324</x:v>
      </x:c>
      <x:c r="T108" s="75" t="n">
        <x:v>0.004367772148529184</x:v>
      </x:c>
      <x:c r="U108" s="75" t="n">
        <x:v>0.011561999725628993</x:v>
      </x:c>
      <x:c r="V108" s="75" t="n">
        <x:v>0.03446660080309107</x:v>
      </x:c>
      <x:c r="W108" s="75" t="n">
        <x:v>0.017363634940256993</x:v>
      </x:c>
      <x:c r="X108" s="75" t="n">
        <x:v>0.030519060069149517</x:v>
      </x:c>
      <x:c r="Y108" s="75" t="n">
        <x:v>0.01991062627267868</x:v>
      </x:c>
      <x:c r="Z108" s="75" t="n">
        <x:v>0.007942569074959048</x:v>
      </x:c>
      <x:c r="AA108" s="75" t="n">
        <x:v>0.00798994738259375</x:v>
      </x:c>
      <x:c r="AB108" s="75" t="n">
        <x:v>0.004374396026413854</x:v>
      </x:c>
      <x:c r="AC108" s="75" t="n">
        <x:v>0.03713259308795028</x:v>
      </x:c>
      <x:c r="AD108" s="75" t="n">
        <x:v>0.12574437866786467</x:v>
      </x:c>
      <x:c r="AE108" s="75" t="n">
        <x:v>0.09220825045882809</x:v>
      </x:c>
      <x:c r="AF108" s="74" t="n">
        <x:v>8</x:v>
      </x:c>
    </x:row>
    <x:row r="109">
      <x:c r="A109" t="str">
        <x:v>2026 S2</x:v>
      </x:c>
      <x:c r="B109" t="str">
        <x:v>CNCT0027</x:v>
      </x:c>
      <x:c r="C109" s="74" t="n">
        <x:v>1494</x:v>
      </x:c>
      <x:c r="D109" s="74" t="n">
        <x:v>958.022</x:v>
      </x:c>
      <x:c r="E109" s="75" t="n">
        <x:v>0.9746833376846625</x:v>
      </x:c>
      <x:c r="F109" s="75" t="n">
        <x:v>0.20119504638799937</x:v>
      </x:c>
      <x:c r="G109" s="75" t="n">
        <x:v>0.010286728087216033</x:v>
      </x:c>
      <x:c r="H109" s="75" t="n">
        <x:v>0.010601496301984299</x:v>
      </x:c>
      <x:c r="I109" s="75" t="n">
        <x:v>0.009968639766419074</x:v>
      </x:c>
      <x:c r="J109" s="75" t="n">
        <x:v>0.012043726251256884</x:v>
      </x:c>
      <x:c r="K109" s="75" t="n">
        <x:v>0.010848477492070742</x:v>
      </x:c>
      <x:c r="L109" s="75" t="n">
        <x:v>0.009560615515696553</x:v>
      </x:c>
      <x:c r="M109" s="75" t="n">
        <x:v>0.008251938048313605</x:v>
      </x:c>
      <x:c r="N109" s="75" t="n">
        <x:v>0.008499016142654</x:v>
      </x:c>
      <x:c r="O109" s="75" t="n">
        <x:v>0.013437921903692768</x:v>
      </x:c>
      <x:c r="P109" s="75" t="n">
        <x:v>0.002473078544906457</x:v>
      </x:c>
      <x:c r="Q109" s="75" t="n">
        <x:v>0.0031820491764374312</x:v>
      </x:c>
      <x:c r="R109" s="75" t="n">
        <x:v>0.385644466072635</x:v>
      </x:c>
      <x:c r="S109" s="75" t="n">
        <x:v>0.012121995587440324</x:v>
      </x:c>
      <x:c r="T109" s="75" t="n">
        <x:v>0.004367772148529184</x:v>
      </x:c>
      <x:c r="U109" s="75" t="n">
        <x:v>0.011561999725628993</x:v>
      </x:c>
      <x:c r="V109" s="75" t="n">
        <x:v>0.03446660080309107</x:v>
      </x:c>
      <x:c r="W109" s="75" t="n">
        <x:v>0.01495829821356066</x:v>
      </x:c>
      <x:c r="X109" s="75" t="n">
        <x:v>0.026291338379471424</x:v>
      </x:c>
      <x:c r="Y109" s="75" t="n">
        <x:v>0.017152461822091</x:v>
      </x:c>
      <x:c r="Z109" s="75" t="n">
        <x:v>0.00684230676432798</x:v>
      </x:c>
      <x:c r="AA109" s="75" t="n">
        <x:v>0.0068831218849459905</x:v>
      </x:c>
      <x:c r="AB109" s="75" t="n">
        <x:v>0.0037684229421114943</x:v>
      </x:c>
      <x:c r="AC109" s="75" t="n">
        <x:v>0.0319887168074809</x:v>
      </x:c>
      <x:c r="AD109" s="75" t="n">
        <x:v>0.12345811723753987</x:v>
      </x:c>
      <x:c r="AE109" s="75" t="n">
        <x:v>0.1219080648036424</x:v>
      </x:c>
      <x:c r="AF109" s="74" t="n">
        <x:v>8</x:v>
      </x:c>
    </x:row>
    <x:row r="110">
      <x:c r="A110" t="str">
        <x:v>2025 S1</x:v>
      </x:c>
      <x:c r="B110" t="str">
        <x:v>CNCT0028</x:v>
      </x:c>
      <x:c r="C110" s="74" t="n">
        <x:v>3092</x:v>
      </x:c>
      <x:c r="D110" s="74" t="n">
        <x:v>1285.125</x:v>
      </x:c>
      <x:c r="E110" s="75" t="n">
        <x:v>0.9640199565066141</x:v>
      </x:c>
      <x:c r="F110" s="75" t="n">
        <x:v>0.2033154025003314</x:v>
      </x:c>
      <x:c r="G110" s="75" t="n">
        <x:v>0.013801888500602218</x:v>
      </x:c>
      <x:c r="H110" s="75" t="n">
        <x:v>0.011374425979403895</x:v>
      </x:c>
      <x:c r="I110" s="75" t="n">
        <x:v>0.00826800751205883</x:v>
      </x:c>
      <x:c r="J110" s="75" t="n">
        <x:v>0.01355249646291486</x:v>
      </x:c>
      <x:c r="K110" s="75" t="n">
        <x:v>0.011439883712784649</x:v>
      </x:c>
      <x:c r="L110" s="75" t="n">
        <x:v>0.009690658328702738</x:v>
      </x:c>
      <x:c r="M110" s="75" t="n">
        <x:v>0.009079461633125903</x:v>
      </x:c>
      <x:c r="N110" s="75" t="n">
        <x:v>0.008366898753549321</x:v>
      </x:c>
      <x:c r="O110" s="75" t="n">
        <x:v>0.011451055183075367</x:v>
      </x:c>
      <x:c r="P110" s="75" t="n">
        <x:v>0.0021787663103532396</x:v>
      </x:c>
      <x:c r="Q110" s="75" t="n">
        <x:v>0.004509836024211836</x:v>
      </x:c>
      <x:c r="R110" s="75" t="n">
        <x:v>0.34376731088709417</x:v>
      </x:c>
      <x:c r="S110" s="75" t="n">
        <x:v>0.015496572530610138</x:v>
      </x:c>
      <x:c r="T110" s="75" t="n">
        <x:v>0.004337884652893991</x:v>
      </x:c>
      <x:c r="U110" s="75" t="n">
        <x:v>0.009523420132201863</x:v>
      </x:c>
      <x:c r="V110" s="75" t="n">
        <x:v>0.029558206469402652</x:v>
      </x:c>
      <x:c r="W110" s="75" t="n">
        <x:v>0.01728502292906132</x:v>
      </x:c>
      <x:c r="X110" s="75" t="n">
        <x:v>0.02525710585588594</x:v>
      </x:c>
      <x:c r="Y110" s="75" t="n">
        <x:v>0.02225107937447615</x:v>
      </x:c>
      <x:c r="Z110" s="75" t="n">
        <x:v>0.008380658398472239</x:v>
      </x:c>
      <x:c r="AA110" s="75" t="n">
        <x:v>0.0108110455886913</x:v>
      </x:c>
      <x:c r="AB110" s="75" t="n">
        <x:v>0.006966305376851467</x:v>
      </x:c>
      <x:c r="AC110" s="75" t="n">
        <x:v>0.03560703601344559</x:v>
      </x:c>
      <x:c r="AD110" s="75" t="n">
        <x:v>0.104063618051081</x:v>
      </x:c>
      <x:c r="AE110" s="75" t="n">
        <x:v>0.08573885523909121</x:v>
      </x:c>
      <x:c r="AF110" s="74" t="n">
        <x:v>15</x:v>
      </x:c>
    </x:row>
    <x:row r="111">
      <x:c r="A111" t="str">
        <x:v>2025 S2</x:v>
      </x:c>
      <x:c r="B111" t="str">
        <x:v>CNCT0028</x:v>
      </x:c>
      <x:c r="C111" s="74" t="n">
        <x:v>3389</x:v>
      </x:c>
      <x:c r="D111" s="74" t="n">
        <x:v>1300.547</x:v>
      </x:c>
      <x:c r="E111" s="75" t="n">
        <x:v>0.9679043668298982</x:v>
      </x:c>
      <x:c r="F111" s="75" t="n">
        <x:v>0.2033154025003314</x:v>
      </x:c>
      <x:c r="G111" s="75" t="n">
        <x:v>0.013801888500602218</x:v>
      </x:c>
      <x:c r="H111" s="75" t="n">
        <x:v>0.011374425979403895</x:v>
      </x:c>
      <x:c r="I111" s="75" t="n">
        <x:v>0.00826800751205883</x:v>
      </x:c>
      <x:c r="J111" s="75" t="n">
        <x:v>0.01355249646291486</x:v>
      </x:c>
      <x:c r="K111" s="75" t="n">
        <x:v>0.011439883712784649</x:v>
      </x:c>
      <x:c r="L111" s="75" t="n">
        <x:v>0.009690658328702738</x:v>
      </x:c>
      <x:c r="M111" s="75" t="n">
        <x:v>0.009079461633125903</x:v>
      </x:c>
      <x:c r="N111" s="75" t="n">
        <x:v>0.008366898753549321</x:v>
      </x:c>
      <x:c r="O111" s="75" t="n">
        <x:v>0.011451055183075367</x:v>
      </x:c>
      <x:c r="P111" s="75" t="n">
        <x:v>0.0021787663103532396</x:v>
      </x:c>
      <x:c r="Q111" s="75" t="n">
        <x:v>0.004509836024211836</x:v>
      </x:c>
      <x:c r="R111" s="75" t="n">
        <x:v>0.3454194101671947</x:v>
      </x:c>
      <x:c r="S111" s="75" t="n">
        <x:v>0.015496572530610138</x:v>
      </x:c>
      <x:c r="T111" s="75" t="n">
        <x:v>0.004337884652893991</x:v>
      </x:c>
      <x:c r="U111" s="75" t="n">
        <x:v>0.009523420132201863</x:v>
      </x:c>
      <x:c r="V111" s="75" t="n">
        <x:v>0.029558206469402652</x:v>
      </x:c>
      <x:c r="W111" s="75" t="n">
        <x:v>0.01728502292906132</x:v>
      </x:c>
      <x:c r="X111" s="75" t="n">
        <x:v>0.02525710585588594</x:v>
      </x:c>
      <x:c r="Y111" s="75" t="n">
        <x:v>0.02225107937447615</x:v>
      </x:c>
      <x:c r="Z111" s="75" t="n">
        <x:v>0.008380658398472239</x:v>
      </x:c>
      <x:c r="AA111" s="75" t="n">
        <x:v>0.0108110455886913</x:v>
      </x:c>
      <x:c r="AB111" s="75" t="n">
        <x:v>0.006966305376851467</x:v>
      </x:c>
      <x:c r="AC111" s="75" t="n">
        <x:v>0.03560703601344559</x:v>
      </x:c>
      <x:c r="AD111" s="75" t="n">
        <x:v>0.104063618051081</x:v>
      </x:c>
      <x:c r="AE111" s="75" t="n">
        <x:v>0.08573885523909121</x:v>
      </x:c>
      <x:c r="AF111" s="74" t="n">
        <x:v>15</x:v>
      </x:c>
    </x:row>
    <x:row r="112">
      <x:c r="A112" t="str">
        <x:v>2026 S1</x:v>
      </x:c>
      <x:c r="B112" t="str">
        <x:v>CNCT0028</x:v>
      </x:c>
      <x:c r="C112" s="74" t="n">
        <x:v>3341</x:v>
      </x:c>
      <x:c r="D112" s="74" t="n">
        <x:v>1341.491</x:v>
      </x:c>
      <x:c r="E112" s="75" t="n">
        <x:v>0.9604694381234149</x:v>
      </x:c>
      <x:c r="F112" s="75" t="n">
        <x:v>0.24852184882908476</x:v>
      </x:c>
      <x:c r="G112" s="75" t="n">
        <x:v>0.015099286370641493</x:v>
      </x:c>
      <x:c r="H112" s="75" t="n">
        <x:v>0.011374425979403895</x:v>
      </x:c>
      <x:c r="I112" s="75" t="n">
        <x:v>0.00826800751205883</x:v>
      </x:c>
      <x:c r="J112" s="75" t="n">
        <x:v>0.01355249646291486</x:v>
      </x:c>
      <x:c r="K112" s="75" t="n">
        <x:v>0.011439883712784649</x:v>
      </x:c>
      <x:c r="L112" s="75" t="n">
        <x:v>0.009690658328702738</x:v>
      </x:c>
      <x:c r="M112" s="75" t="n">
        <x:v>0.009079461633125903</x:v>
      </x:c>
      <x:c r="N112" s="75" t="n">
        <x:v>0.008366898753549321</x:v>
      </x:c>
      <x:c r="O112" s="75" t="n">
        <x:v>0.012356197807923307</x:v>
      </x:c>
      <x:c r="P112" s="75" t="n">
        <x:v>0.0021787663103532396</x:v>
      </x:c>
      <x:c r="Q112" s="75" t="n">
        <x:v>0.004509836024211836</x:v>
      </x:c>
      <x:c r="R112" s="75" t="n">
        <x:v>0.3439248195115934</x:v>
      </x:c>
      <x:c r="S112" s="75" t="n">
        <x:v>0.015496572530610138</x:v>
      </x:c>
      <x:c r="T112" s="75" t="n">
        <x:v>0.004337884652893991</x:v>
      </x:c>
      <x:c r="U112" s="75" t="n">
        <x:v>0.009523420132201863</x:v>
      </x:c>
      <x:c r="V112" s="75" t="n">
        <x:v>0.029558206469402652</x:v>
      </x:c>
      <x:c r="W112" s="75" t="n">
        <x:v>0.02382057865156469</x:v>
      </x:c>
      <x:c r="X112" s="75" t="n">
        <x:v>0.034806946974857075</x:v>
      </x:c>
      <x:c r="Y112" s="75" t="n">
        <x:v>0.030664326480630357</x:v>
      </x:c>
      <x:c r="Z112" s="75" t="n">
        <x:v>0.011549428273945908</x:v>
      </x:c>
      <x:c r="AA112" s="75" t="n">
        <x:v>0.01489875731192089</x:v>
      </x:c>
      <x:c r="AB112" s="75" t="n">
        <x:v>0.009600301128968184</x:v>
      </x:c>
      <x:c r="AC112" s="75" t="n">
        <x:v>0.049070238748791656</x:v>
      </x:c>
      <x:c r="AD112" s="75" t="n">
        <x:v>0.104063618051081</x:v>
      </x:c>
      <x:c r="AE112" s="75" t="n">
        <x:v>0.08573885523909121</x:v>
      </x:c>
      <x:c r="AF112" s="74" t="n">
        <x:v>15</x:v>
      </x:c>
    </x:row>
    <x:row r="113">
      <x:c r="A113" t="str">
        <x:v>2026 S2</x:v>
      </x:c>
      <x:c r="B113" t="str">
        <x:v>CNCT0028</x:v>
      </x:c>
      <x:c r="C113" s="74" t="n">
        <x:v>3520</x:v>
      </x:c>
      <x:c r="D113" s="74" t="n">
        <x:v>1354.736</x:v>
      </x:c>
      <x:c r="E113" s="75" t="n">
        <x:v>0.9679043668298982</x:v>
      </x:c>
      <x:c r="F113" s="75" t="n">
        <x:v>0.23336608173580498</x:v>
      </x:c>
      <x:c r="G113" s="75" t="n">
        <x:v>0.015699958784825867</x:v>
      </x:c>
      <x:c r="H113" s="75" t="n">
        <x:v>0.011374425979403895</x:v>
      </x:c>
      <x:c r="I113" s="75" t="n">
        <x:v>0.00826800751205883</x:v>
      </x:c>
      <x:c r="J113" s="75" t="n">
        <x:v>0.01355249646291486</x:v>
      </x:c>
      <x:c r="K113" s="75" t="n">
        <x:v>0.011439883712784649</x:v>
      </x:c>
      <x:c r="L113" s="75" t="n">
        <x:v>0.009690658328702738</x:v>
      </x:c>
      <x:c r="M113" s="75" t="n">
        <x:v>0.009079461633125903</x:v>
      </x:c>
      <x:c r="N113" s="75" t="n">
        <x:v>0.008366898753549321</x:v>
      </x:c>
      <x:c r="O113" s="75" t="n">
        <x:v>0.011451055183075367</x:v>
      </x:c>
      <x:c r="P113" s="75" t="n">
        <x:v>0.0021787663103532396</x:v>
      </x:c>
      <x:c r="Q113" s="75" t="n">
        <x:v>0.004509836024211836</x:v>
      </x:c>
      <x:c r="R113" s="75" t="n">
        <x:v>0.3454194101671947</x:v>
      </x:c>
      <x:c r="S113" s="75" t="n">
        <x:v>0.015496572530610138</x:v>
      </x:c>
      <x:c r="T113" s="75" t="n">
        <x:v>0.004337884652893991</x:v>
      </x:c>
      <x:c r="U113" s="75" t="n">
        <x:v>0.009523420132201863</x:v>
      </x:c>
      <x:c r="V113" s="75" t="n">
        <x:v>0.029558206469402652</x:v>
      </x:c>
      <x:c r="W113" s="75" t="n">
        <x:v>0.021620106679669904</x:v>
      </x:c>
      <x:c r="X113" s="75" t="n">
        <x:v>0.031591588004542134</x:v>
      </x:c>
      <x:c r="Y113" s="75" t="n">
        <x:v>0.027831650081594772</x:v>
      </x:c>
      <x:c r="Z113" s="75" t="n">
        <x:v>0.010482527524809077</x:v>
      </x:c>
      <x:c r="AA113" s="75" t="n">
        <x:v>0.01352245582233508</x:v>
      </x:c>
      <x:c r="AB113" s="75" t="n">
        <x:v>0.008713454765365815</x:v>
      </x:c>
      <x:c r="AC113" s="75" t="n">
        <x:v>0.04453728064561774</x:v>
      </x:c>
      <x:c r="AD113" s="75" t="n">
        <x:v>0.104063618051081</x:v>
      </x:c>
      <x:c r="AE113" s="75" t="n">
        <x:v>0.08573885523909121</x:v>
      </x:c>
      <x:c r="AF113" s="74" t="n">
        <x:v>15</x:v>
      </x:c>
    </x:row>
    <x:row r="114">
      <x:c r="A114" t="str">
        <x:v>2025 S1</x:v>
      </x:c>
      <x:c r="B114" t="str">
        <x:v>CNCT0029</x:v>
      </x:c>
      <x:c r="C114" s="74" t="n">
        <x:v>2586</x:v>
      </x:c>
      <x:c r="D114" s="74" t="n">
        <x:v>1293.148</x:v>
      </x:c>
      <x:c r="E114" s="75" t="n">
        <x:v>0.9651539433303842</x:v>
      </x:c>
      <x:c r="F114" s="75" t="n">
        <x:v>0.19610430862382056</x:v>
      </x:c>
      <x:c r="G114" s="75" t="n">
        <x:v>0.009230394785001407</x:v>
      </x:c>
      <x:c r="H114" s="75" t="n">
        <x:v>0.007413579466359807</x:v>
      </x:c>
      <x:c r="I114" s="75" t="n">
        <x:v>0.007433746323920787</x:v>
      </x:c>
      <x:c r="J114" s="75" t="n">
        <x:v>0.016377261578163597</x:v>
      </x:c>
      <x:c r="K114" s="75" t="n">
        <x:v>0.010481896429540939</x:v>
      </x:c>
      <x:c r="L114" s="75" t="n">
        <x:v>0.013429960368848696</x:v>
      </x:c>
      <x:c r="M114" s="75" t="n">
        <x:v>0.009267422175301363</x:v>
      </x:c>
      <x:c r="N114" s="75" t="n">
        <x:v>0.005800058292694303</x:v>
      </x:c>
      <x:c r="O114" s="75" t="n">
        <x:v>0.008838961021952854</x:v>
      </x:c>
      <x:c r="P114" s="75" t="n">
        <x:v>0.0013643648691504496</x:v>
      </x:c>
      <x:c r="Q114" s="75" t="n">
        <x:v>0.0063358723866113</x:v>
      </x:c>
      <x:c r="R114" s="75" t="n">
        <x:v>0.34765567844567036</x:v>
      </x:c>
      <x:c r="S114" s="75" t="n">
        <x:v>0.01187628579387092</x:v>
      </x:c>
      <x:c r="T114" s="75" t="n">
        <x:v>0.0033084861967654436</x:v>
      </x:c>
      <x:c r="U114" s="75" t="n">
        <x:v>0.012573583801102357</x:v>
      </x:c>
      <x:c r="V114" s="75" t="n">
        <x:v>0.03965790319041117</x:v>
      </x:c>
      <x:c r="W114" s="75" t="n">
        <x:v>0.01119352964542655</x:v>
      </x:c>
      <x:c r="X114" s="75" t="n">
        <x:v>0.03192161805482819</x:v>
      </x:c>
      <x:c r="Y114" s="75" t="n">
        <x:v>0.022681757452922224</x:v>
      </x:c>
      <x:c r="Z114" s="75" t="n">
        <x:v>0.0057650951371297715</x:v>
      </x:c>
      <x:c r="AA114" s="75" t="n">
        <x:v>0.007113249291627249</x:v>
      </x:c>
      <x:c r="AB114" s="75" t="n">
        <x:v>0.006323073276703014</x:v>
      </x:c>
      <x:c r="AC114" s="75" t="n">
        <x:v>0.03231948546187033</x:v>
      </x:c>
      <x:c r="AD114" s="75" t="n">
        <x:v>0.0987643156431368</x:v>
      </x:c>
      <x:c r="AE114" s="75" t="n">
        <x:v>0.07779417460537479</x:v>
      </x:c>
      <x:c r="AF114" s="74" t="n">
        <x:v>8</x:v>
      </x:c>
    </x:row>
    <x:row r="115">
      <x:c r="A115" t="str">
        <x:v>2025 S2</x:v>
      </x:c>
      <x:c r="B115" t="str">
        <x:v>CNCT0029</x:v>
      </x:c>
      <x:c r="C115" s="74" t="n">
        <x:v>2806</x:v>
      </x:c>
      <x:c r="D115" s="74" t="n">
        <x:v>1308.666</x:v>
      </x:c>
      <x:c r="E115" s="75" t="n">
        <x:v>0.9765336915295046</x:v>
      </x:c>
      <x:c r="F115" s="75" t="n">
        <x:v>0.19610430862382056</x:v>
      </x:c>
      <x:c r="G115" s="75" t="n">
        <x:v>0.009230394785001407</x:v>
      </x:c>
      <x:c r="H115" s="75" t="n">
        <x:v>0.007413579466359807</x:v>
      </x:c>
      <x:c r="I115" s="75" t="n">
        <x:v>0.007433746323920787</x:v>
      </x:c>
      <x:c r="J115" s="75" t="n">
        <x:v>0.016377261578163597</x:v>
      </x:c>
      <x:c r="K115" s="75" t="n">
        <x:v>0.010481896429540939</x:v>
      </x:c>
      <x:c r="L115" s="75" t="n">
        <x:v>0.013429960368848696</x:v>
      </x:c>
      <x:c r="M115" s="75" t="n">
        <x:v>0.009267422175301363</x:v>
      </x:c>
      <x:c r="N115" s="75" t="n">
        <x:v>0.005800058292694303</x:v>
      </x:c>
      <x:c r="O115" s="75" t="n">
        <x:v>0.008838961021952854</x:v>
      </x:c>
      <x:c r="P115" s="75" t="n">
        <x:v>0.0013643648691504496</x:v>
      </x:c>
      <x:c r="Q115" s="75" t="n">
        <x:v>0.0063358723866113</x:v>
      </x:c>
      <x:c r="R115" s="75" t="n">
        <x:v>0.36280883742974424</x:v>
      </x:c>
      <x:c r="S115" s="75" t="n">
        <x:v>0.01187628579387092</x:v>
      </x:c>
      <x:c r="T115" s="75" t="n">
        <x:v>0.0033084861967654436</x:v>
      </x:c>
      <x:c r="U115" s="75" t="n">
        <x:v>0.012573583801102357</x:v>
      </x:c>
      <x:c r="V115" s="75" t="n">
        <x:v>0.03965790319041117</x:v>
      </x:c>
      <x:c r="W115" s="75" t="n">
        <x:v>0.01119352964542655</x:v>
      </x:c>
      <x:c r="X115" s="75" t="n">
        <x:v>0.03192161805482819</x:v>
      </x:c>
      <x:c r="Y115" s="75" t="n">
        <x:v>0.022681757452922224</x:v>
      </x:c>
      <x:c r="Z115" s="75" t="n">
        <x:v>0.0057650951371297715</x:v>
      </x:c>
      <x:c r="AA115" s="75" t="n">
        <x:v>0.007113249291627249</x:v>
      </x:c>
      <x:c r="AB115" s="75" t="n">
        <x:v>0.006323073276703014</x:v>
      </x:c>
      <x:c r="AC115" s="75" t="n">
        <x:v>0.03231948546187033</x:v>
      </x:c>
      <x:c r="AD115" s="75" t="n">
        <x:v>0.0987643156431368</x:v>
      </x:c>
      <x:c r="AE115" s="75" t="n">
        <x:v>0.07779417460537479</x:v>
      </x:c>
      <x:c r="AF115" s="74" t="n">
        <x:v>8</x:v>
      </x:c>
    </x:row>
    <x:row r="116">
      <x:c r="A116" t="str">
        <x:v>2026 S1</x:v>
      </x:c>
      <x:c r="B116" t="str">
        <x:v>CNCT0029</x:v>
      </x:c>
      <x:c r="C116" s="74" t="n">
        <x:v>2759</x:v>
      </x:c>
      <x:c r="D116" s="74" t="n">
        <x:v>1339.527</x:v>
      </x:c>
      <x:c r="E116" s="75" t="n">
        <x:v>0.9660576079188468</x:v>
      </x:c>
      <x:c r="F116" s="75" t="n">
        <x:v>0.23631736697535963</x:v>
      </x:c>
      <x:c r="G116" s="75" t="n">
        <x:v>0.008765951530698656</x:v>
      </x:c>
      <x:c r="H116" s="75" t="n">
        <x:v>0.007413579466359807</x:v>
      </x:c>
      <x:c r="I116" s="75" t="n">
        <x:v>0.007433746323920787</x:v>
      </x:c>
      <x:c r="J116" s="75" t="n">
        <x:v>0.016377261578163597</x:v>
      </x:c>
      <x:c r="K116" s="75" t="n">
        <x:v>0.010481896429540939</x:v>
      </x:c>
      <x:c r="L116" s="75" t="n">
        <x:v>0.013429960368848696</x:v>
      </x:c>
      <x:c r="M116" s="75" t="n">
        <x:v>0.009267422175301363</x:v>
      </x:c>
      <x:c r="N116" s="75" t="n">
        <x:v>0.005800058292694303</x:v>
      </x:c>
      <x:c r="O116" s="75" t="n">
        <x:v>0.01025325506084846</x:v>
      </x:c>
      <x:c r="P116" s="75" t="n">
        <x:v>0.0013643648691504496</x:v>
      </x:c>
      <x:c r="Q116" s="75" t="n">
        <x:v>0.0063358723866113</x:v>
      </x:c>
      <x:c r="R116" s="75" t="n">
        <x:v>0.3441913343967913</x:v>
      </x:c>
      <x:c r="S116" s="75" t="n">
        <x:v>0.01187628579387092</x:v>
      </x:c>
      <x:c r="T116" s="75" t="n">
        <x:v>0.0033084861967654436</x:v>
      </x:c>
      <x:c r="U116" s="75" t="n">
        <x:v>0.012573583801102357</x:v>
      </x:c>
      <x:c r="V116" s="75" t="n">
        <x:v>0.03965790319041117</x:v>
      </x:c>
      <x:c r="W116" s="75" t="n">
        <x:v>0.01542586055001456</x:v>
      </x:c>
      <x:c r="X116" s="75" t="n">
        <x:v>0.043991345379229774</x:v>
      </x:c>
      <x:c r="Y116" s="75" t="n">
        <x:v>0.03125784614694685</x:v>
      </x:c>
      <x:c r="Z116" s="75" t="n">
        <x:v>0.007944907143678898</x:v>
      </x:c>
      <x:c r="AA116" s="75" t="n">
        <x:v>0.009802805290730117</x:v>
      </x:c>
      <x:c r="AB116" s="75" t="n">
        <x:v>0.008713859676406603</x:v>
      </x:c>
      <x:c r="AC116" s="75" t="n">
        <x:v>0.044539648491191915</x:v>
      </x:c>
      <x:c r="AD116" s="75" t="n">
        <x:v>0.0987643156431368</x:v>
      </x:c>
      <x:c r="AE116" s="75" t="n">
        <x:v>0.07779417460537479</x:v>
      </x:c>
      <x:c r="AF116" s="74" t="n">
        <x:v>8</x:v>
      </x:c>
    </x:row>
    <x:row r="117">
      <x:c r="A117" t="str">
        <x:v>2026 S2</x:v>
      </x:c>
      <x:c r="B117" t="str">
        <x:v>CNCT0029</x:v>
      </x:c>
      <x:c r="C117" s="74" t="n">
        <x:v>2966</x:v>
      </x:c>
      <x:c r="D117" s="74" t="n">
        <x:v>1367.622</x:v>
      </x:c>
      <x:c r="E117" s="75" t="n">
        <x:v>0.9765336915295046</x:v>
      </x:c>
      <x:c r="F117" s="75" t="n">
        <x:v>0.22698040588053484</x:v>
      </x:c>
      <x:c r="G117" s="75" t="n">
        <x:v>0.010974432621238518</x:v>
      </x:c>
      <x:c r="H117" s="75" t="n">
        <x:v>0.007413579466359807</x:v>
      </x:c>
      <x:c r="I117" s="75" t="n">
        <x:v>0.007433746323920787</x:v>
      </x:c>
      <x:c r="J117" s="75" t="n">
        <x:v>0.016377261578163597</x:v>
      </x:c>
      <x:c r="K117" s="75" t="n">
        <x:v>0.010481896429540939</x:v>
      </x:c>
      <x:c r="L117" s="75" t="n">
        <x:v>0.013429960368848696</x:v>
      </x:c>
      <x:c r="M117" s="75" t="n">
        <x:v>0.009267422175301363</x:v>
      </x:c>
      <x:c r="N117" s="75" t="n">
        <x:v>0.005800058292694303</x:v>
      </x:c>
      <x:c r="O117" s="75" t="n">
        <x:v>0.008838961021952854</x:v>
      </x:c>
      <x:c r="P117" s="75" t="n">
        <x:v>0.0013643648691504496</x:v>
      </x:c>
      <x:c r="Q117" s="75" t="n">
        <x:v>0.0063358723866113</x:v>
      </x:c>
      <x:c r="R117" s="75" t="n">
        <x:v>0.36280883742974424</x:v>
      </x:c>
      <x:c r="S117" s="75" t="n">
        <x:v>0.01187628579387092</x:v>
      </x:c>
      <x:c r="T117" s="75" t="n">
        <x:v>0.0033084861967654436</x:v>
      </x:c>
      <x:c r="U117" s="75" t="n">
        <x:v>0.012573583801102357</x:v>
      </x:c>
      <x:c r="V117" s="75" t="n">
        <x:v>0.03965790319041117</x:v>
      </x:c>
      <x:c r="W117" s="75" t="n">
        <x:v>0.014000866880499528</x:v>
      </x:c>
      <x:c r="X117" s="75" t="n">
        <x:v>0.0399275598629791</x:v>
      </x:c>
      <x:c r="Y117" s="75" t="n">
        <x:v>0.028370342222115118</x:v>
      </x:c>
      <x:c r="Z117" s="75" t="n">
        <x:v>0.007210980997521919</x:v>
      </x:c>
      <x:c r="AA117" s="75" t="n">
        <x:v>0.008897252213967363</x:v>
      </x:c>
      <x:c r="AB117" s="75" t="n">
        <x:v>0.00790890005450013</x:v>
      </x:c>
      <x:c r="AC117" s="75" t="n">
        <x:v>0.04042521241570741</x:v>
      </x:c>
      <x:c r="AD117" s="75" t="n">
        <x:v>0.0987643156431368</x:v>
      </x:c>
      <x:c r="AE117" s="75" t="n">
        <x:v>0.07779417460537479</x:v>
      </x:c>
      <x:c r="AF117" s="74" t="n">
        <x:v>8</x:v>
      </x:c>
    </x:row>
    <x:row r="118">
      <x:c r="A118" t="str">
        <x:v>2025 S1</x:v>
      </x:c>
      <x:c r="B118" t="str">
        <x:v>CNCT0030</x:v>
      </x:c>
      <x:c r="C118" s="74" t="n">
        <x:v>2278</x:v>
      </x:c>
      <x:c r="D118" s="74" t="n">
        <x:v>1102.953</x:v>
      </x:c>
      <x:c r="E118" s="75" t="n">
        <x:v>0.9767643457065569</x:v>
      </x:c>
      <x:c r="F118" s="75" t="n">
        <x:v>0.1585030514872633</x:v>
      </x:c>
      <x:c r="G118" s="75" t="n">
        <x:v>0.018856679086122312</x:v>
      </x:c>
      <x:c r="H118" s="75" t="n">
        <x:v>0.010692488869797671</x:v>
      </x:c>
      <x:c r="I118" s="75" t="n">
        <x:v>0.009621765609816067</x:v>
      </x:c>
      <x:c r="J118" s="75" t="n">
        <x:v>0.013033663318958133</x:v>
      </x:c>
      <x:c r="K118" s="75" t="n">
        <x:v>0.008456309528366545</x:v>
      </x:c>
      <x:c r="L118" s="75" t="n">
        <x:v>0.011289807520457542</x:v>
      </x:c>
      <x:c r="M118" s="75" t="n">
        <x:v>0.008976585065727705</x:v>
      </x:c>
      <x:c r="N118" s="75" t="n">
        <x:v>0.007212519209606399</x:v>
      </x:c>
      <x:c r="O118" s="75" t="n">
        <x:v>0.015070308870875578</x:v>
      </x:c>
      <x:c r="P118" s="75" t="n">
        <x:v>0.0013579137465858366</x:v>
      </x:c>
      <x:c r="Q118" s="75" t="n">
        <x:v>0.005734056539651647</x:v>
      </x:c>
      <x:c r="R118" s="75" t="n">
        <x:v>0.38823963457662974</x:v>
      </x:c>
      <x:c r="S118" s="75" t="n">
        <x:v>0.011926991971253301</x:v>
      </x:c>
      <x:c r="T118" s="75" t="n">
        <x:v>0.0030133081913518256</x:v>
      </x:c>
      <x:c r="U118" s="75" t="n">
        <x:v>0.007448998723411932</x:v>
      </x:c>
      <x:c r="V118" s="75" t="n">
        <x:v>0.03629445435813978</x:v>
      </x:c>
      <x:c r="W118" s="75" t="n">
        <x:v>0.014448642859907065</x:v>
      </x:c>
      <x:c r="X118" s="75" t="n">
        <x:v>0.030784384213649076</x:v>
      </x:c>
      <x:c r="Y118" s="75" t="n">
        <x:v>0.017631467290764025</x:v>
      </x:c>
      <x:c r="Z118" s="75" t="n">
        <x:v>0.005721913999326294</x:v>
      </x:c>
      <x:c r="AA118" s="75" t="n">
        <x:v>0.007799902872050693</x:v>
      </x:c>
      <x:c r="AB118" s="75" t="n">
        <x:v>0.0057761539399253685</x:v>
      </x:c>
      <x:c r="AC118" s="75" t="n">
        <x:v>0.034675417983175263</x:v>
      </x:c>
      <x:c r="AD118" s="75" t="n">
        <x:v>0.10813050704200577</x:v>
      </x:c>
      <x:c r="AE118" s="75" t="n">
        <x:v>0.08618295940344979</x:v>
      </x:c>
      <x:c r="AF118" s="74" t="n">
        <x:v>10</x:v>
      </x:c>
    </x:row>
    <x:row r="119">
      <x:c r="A119" t="str">
        <x:v>2025 S2</x:v>
      </x:c>
      <x:c r="B119" t="str">
        <x:v>CNCT0030</x:v>
      </x:c>
      <x:c r="C119" s="74" t="n">
        <x:v>2420</x:v>
      </x:c>
      <x:c r="D119" s="74" t="n">
        <x:v>1116.188</x:v>
      </x:c>
      <x:c r="E119" s="75" t="n">
        <x:v>0.9722598558935424</x:v>
      </x:c>
      <x:c r="F119" s="75" t="n">
        <x:v>0.1585030514872633</x:v>
      </x:c>
      <x:c r="G119" s="75" t="n">
        <x:v>0.018856679086122312</x:v>
      </x:c>
      <x:c r="H119" s="75" t="n">
        <x:v>0.010692488869797671</x:v>
      </x:c>
      <x:c r="I119" s="75" t="n">
        <x:v>0.009621765609816067</x:v>
      </x:c>
      <x:c r="J119" s="75" t="n">
        <x:v>0.013033663318958133</x:v>
      </x:c>
      <x:c r="K119" s="75" t="n">
        <x:v>0.008456309528366545</x:v>
      </x:c>
      <x:c r="L119" s="75" t="n">
        <x:v>0.011289807520457542</x:v>
      </x:c>
      <x:c r="M119" s="75" t="n">
        <x:v>0.008976585065727705</x:v>
      </x:c>
      <x:c r="N119" s="75" t="n">
        <x:v>0.007212519209606399</x:v>
      </x:c>
      <x:c r="O119" s="75" t="n">
        <x:v>0.015070308870875578</x:v>
      </x:c>
      <x:c r="P119" s="75" t="n">
        <x:v>0.0013579137465858366</x:v>
      </x:c>
      <x:c r="Q119" s="75" t="n">
        <x:v>0.005734056539651647</x:v>
      </x:c>
      <x:c r="R119" s="75" t="n">
        <x:v>0.38683432683180546</x:v>
      </x:c>
      <x:c r="S119" s="75" t="n">
        <x:v>0.011926991971253301</x:v>
      </x:c>
      <x:c r="T119" s="75" t="n">
        <x:v>0.0030133081913518256</x:v>
      </x:c>
      <x:c r="U119" s="75" t="n">
        <x:v>0.007448998723411932</x:v>
      </x:c>
      <x:c r="V119" s="75" t="n">
        <x:v>0.03629445435813978</x:v>
      </x:c>
      <x:c r="W119" s="75" t="n">
        <x:v>0.014448642859907065</x:v>
      </x:c>
      <x:c r="X119" s="75" t="n">
        <x:v>0.030784384213649076</x:v>
      </x:c>
      <x:c r="Y119" s="75" t="n">
        <x:v>0.017631467290764025</x:v>
      </x:c>
      <x:c r="Z119" s="75" t="n">
        <x:v>0.005721913999326294</x:v>
      </x:c>
      <x:c r="AA119" s="75" t="n">
        <x:v>0.007799902872050693</x:v>
      </x:c>
      <x:c r="AB119" s="75" t="n">
        <x:v>0.0057761539399253685</x:v>
      </x:c>
      <x:c r="AC119" s="75" t="n">
        <x:v>0.034675417983175263</x:v>
      </x:c>
      <x:c r="AD119" s="75" t="n">
        <x:v>0.10813050704200577</x:v>
      </x:c>
      <x:c r="AE119" s="75" t="n">
        <x:v>0.08618295940344979</x:v>
      </x:c>
      <x:c r="AF119" s="74" t="n">
        <x:v>10</x:v>
      </x:c>
    </x:row>
    <x:row r="120">
      <x:c r="A120" t="str">
        <x:v>2026 S1</x:v>
      </x:c>
      <x:c r="B120" t="str">
        <x:v>CNCT0030</x:v>
      </x:c>
      <x:c r="C120" s="74" t="n">
        <x:v>2403</x:v>
      </x:c>
      <x:c r="D120" s="74" t="n">
        <x:v>1164.6</x:v>
      </x:c>
      <x:c r="E120" s="75" t="n">
        <x:v>0.9788531109952019</x:v>
      </x:c>
      <x:c r="F120" s="75" t="n">
        <x:v>0.15287384643399854</x:v>
      </x:c>
      <x:c r="G120" s="75" t="n">
        <x:v>0.020805763376862157</x:v>
      </x:c>
      <x:c r="H120" s="75" t="n">
        <x:v>0.010692488869797671</x:v>
      </x:c>
      <x:c r="I120" s="75" t="n">
        <x:v>0.009621765609816067</x:v>
      </x:c>
      <x:c r="J120" s="75" t="n">
        <x:v>0.013033663318958133</x:v>
      </x:c>
      <x:c r="K120" s="75" t="n">
        <x:v>0.008456309528366545</x:v>
      </x:c>
      <x:c r="L120" s="75" t="n">
        <x:v>0.011289807520457542</x:v>
      </x:c>
      <x:c r="M120" s="75" t="n">
        <x:v>0.008976585065727705</x:v>
      </x:c>
      <x:c r="N120" s="75" t="n">
        <x:v>0.007212519209606399</x:v>
      </x:c>
      <x:c r="O120" s="75" t="n">
        <x:v>0.016380686153533587</x:v>
      </x:c>
      <x:c r="P120" s="75" t="n">
        <x:v>0.0013579137465858366</x:v>
      </x:c>
      <x:c r="Q120" s="75" t="n">
        <x:v>0.005734056539651647</x:v>
      </x:c>
      <x:c r="R120" s="75" t="n">
        <x:v>0.3929263456237197</x:v>
      </x:c>
      <x:c r="S120" s="75" t="n">
        <x:v>0.011926991971253301</x:v>
      </x:c>
      <x:c r="T120" s="75" t="n">
        <x:v>0.0030133081913518256</x:v>
      </x:c>
      <x:c r="U120" s="75" t="n">
        <x:v>0.007448998723411932</x:v>
      </x:c>
      <x:c r="V120" s="75" t="n">
        <x:v>0.03629445435813978</x:v>
      </x:c>
      <x:c r="W120" s="75" t="n">
        <x:v>0.01991174874718408</x:v>
      </x:c>
      <x:c r="X120" s="75" t="n">
        <x:v>0.04242411759652996</x:v>
      </x:c>
      <x:c r="Y120" s="75" t="n">
        <x:v>0.02429801540129879</x:v>
      </x:c>
      <x:c r="Z120" s="75" t="n">
        <x:v>0.007885398996450329</x:v>
      </x:c>
      <x:c r="AA120" s="75" t="n">
        <x:v>0.010749086107711562</x:v>
      </x:c>
      <x:c r="AB120" s="75" t="n">
        <x:v>0.007960147336466942</x:v>
      </x:c>
      <x:c r="AC120" s="75" t="n">
        <x:v>0.04778637116849709</x:v>
      </x:c>
      <x:c r="AD120" s="75" t="n">
        <x:v>0.10813050704200577</x:v>
      </x:c>
      <x:c r="AE120" s="75" t="n">
        <x:v>0.08618295940344979</x:v>
      </x:c>
      <x:c r="AF120" s="74" t="n">
        <x:v>10</x:v>
      </x:c>
    </x:row>
    <x:row r="121">
      <x:c r="A121" t="str">
        <x:v>2026 S2</x:v>
      </x:c>
      <x:c r="B121" t="str">
        <x:v>CNCT0030</x:v>
      </x:c>
      <x:c r="C121" s="74" t="n">
        <x:v>2596</x:v>
      </x:c>
      <x:c r="D121" s="74" t="n">
        <x:v>1167.183</x:v>
      </x:c>
      <x:c r="E121" s="75" t="n">
        <x:v>0.9722598558935424</x:v>
      </x:c>
      <x:c r="F121" s="75" t="n">
        <x:v>0.1640378555638017</x:v>
      </x:c>
      <x:c r="G121" s="75" t="n">
        <x:v>0.019668193158126086</x:v>
      </x:c>
      <x:c r="H121" s="75" t="n">
        <x:v>0.010692488869797671</x:v>
      </x:c>
      <x:c r="I121" s="75" t="n">
        <x:v>0.009621765609816067</x:v>
      </x:c>
      <x:c r="J121" s="75" t="n">
        <x:v>0.013033663318958133</x:v>
      </x:c>
      <x:c r="K121" s="75" t="n">
        <x:v>0.008456309528366545</x:v>
      </x:c>
      <x:c r="L121" s="75" t="n">
        <x:v>0.011289807520457542</x:v>
      </x:c>
      <x:c r="M121" s="75" t="n">
        <x:v>0.008976585065727705</x:v>
      </x:c>
      <x:c r="N121" s="75" t="n">
        <x:v>0.007212519209606399</x:v>
      </x:c>
      <x:c r="O121" s="75" t="n">
        <x:v>0.015070308870875578</x:v>
      </x:c>
      <x:c r="P121" s="75" t="n">
        <x:v>0.0013579137465858366</x:v>
      </x:c>
      <x:c r="Q121" s="75" t="n">
        <x:v>0.005734056539651647</x:v>
      </x:c>
      <x:c r="R121" s="75" t="n">
        <x:v>0.3805968804247293</x:v>
      </x:c>
      <x:c r="S121" s="75" t="n">
        <x:v>0.011926991971253301</x:v>
      </x:c>
      <x:c r="T121" s="75" t="n">
        <x:v>0.0030133081913518256</x:v>
      </x:c>
      <x:c r="U121" s="75" t="n">
        <x:v>0.007448998723411932</x:v>
      </x:c>
      <x:c r="V121" s="75" t="n">
        <x:v>0.03629445435813978</x:v>
      </x:c>
      <x:c r="W121" s="75" t="n">
        <x:v>0.018072362489171757</x:v>
      </x:c>
      <x:c r="X121" s="75" t="n">
        <x:v>0.038505107774432265</x:v>
      </x:c>
      <x:c r="Y121" s="75" t="n">
        <x:v>0.022053439287287643</x:v>
      </x:c>
      <x:c r="Z121" s="75" t="n">
        <x:v>0.007156970030357328</x:v>
      </x:c>
      <x:c r="AA121" s="75" t="n">
        <x:v>0.009756118512361007</x:v>
      </x:c>
      <x:c r="AB121" s="75" t="n">
        <x:v>0.007224813348058651</x:v>
      </x:c>
      <x:c r="AC121" s="75" t="n">
        <x:v>0.043372012813355613</x:v>
      </x:c>
      <x:c r="AD121" s="75" t="n">
        <x:v>0.10813050704200577</x:v>
      </x:c>
      <x:c r="AE121" s="75" t="n">
        <x:v>0.08618295940344979</x:v>
      </x:c>
      <x:c r="AF121" s="74" t="n">
        <x:v>10</x:v>
      </x:c>
    </x:row>
    <x:row r="122">
      <x:c r="A122" t="str">
        <x:v>2025 S1</x:v>
      </x:c>
      <x:c r="B122" t="str">
        <x:v>CNCT0031</x:v>
      </x:c>
      <x:c r="C122" s="74" t="n">
        <x:v>1978</x:v>
      </x:c>
      <x:c r="D122" s="74" t="n">
        <x:v>1145.394</x:v>
      </x:c>
      <x:c r="E122" s="75" t="n">
        <x:v>0.9822745459932776</x:v>
      </x:c>
      <x:c r="F122" s="75" t="n">
        <x:v>0.17842641970050316</x:v>
      </x:c>
      <x:c r="G122" s="75" t="n">
        <x:v>0.016962876812955073</x:v>
      </x:c>
      <x:c r="H122" s="75" t="n">
        <x:v>0.007100688779180927</x:v>
      </x:c>
      <x:c r="I122" s="75" t="n">
        <x:v>0.007464618586025608</x:v>
      </x:c>
      <x:c r="J122" s="75" t="n">
        <x:v>0.017123994296125603</x:v>
      </x:c>
      <x:c r="K122" s="75" t="n">
        <x:v>0.00896328553694184</x:v>
      </x:c>
      <x:c r="L122" s="75" t="n">
        <x:v>0.009475982709176605</x:v>
      </x:c>
      <x:c r="M122" s="75" t="n">
        <x:v>0.01037347760306875</x:v>
      </x:c>
      <x:c r="N122" s="75" t="n">
        <x:v>0.008688659508421551</x:v>
      </x:c>
      <x:c r="O122" s="75" t="n">
        <x:v>0.009246293475713173</x:v>
      </x:c>
      <x:c r="P122" s="75" t="n">
        <x:v>0.002763069921386887</x:v>
      </x:c>
      <x:c r="Q122" s="75" t="n">
        <x:v>0.0013467712033743738</x:v>
      </x:c>
      <x:c r="R122" s="75" t="n">
        <x:v>0.3739047891802457</x:v>
      </x:c>
      <x:c r="S122" s="75" t="n">
        <x:v>0.01421002687325381</x:v>
      </x:c>
      <x:c r="T122" s="75" t="n">
        <x:v>0.004769490907652653</x:v>
      </x:c>
      <x:c r="U122" s="75" t="n">
        <x:v>0.005312873619841411</x:v>
      </x:c>
      <x:c r="V122" s="75" t="n">
        <x:v>0.03978282341483282</x:v>
      </x:c>
      <x:c r="W122" s="75" t="n">
        <x:v>0.015556039501712091</x:v>
      </x:c>
      <x:c r="X122" s="75" t="n">
        <x:v>0.023633761501670132</x:v>
      </x:c>
      <x:c r="Y122" s="75" t="n">
        <x:v>0.022391703639446106</x:v>
      </x:c>
      <x:c r="Z122" s="75" t="n">
        <x:v>0.00699133831741428</x:v>
      </x:c>
      <x:c r="AA122" s="75" t="n">
        <x:v>0.008379414232088999</x:v>
      </x:c>
      <x:c r="AB122" s="75" t="n">
        <x:v>0.0076596491981253505</x:v>
      </x:c>
      <x:c r="AC122" s="75" t="n">
        <x:v>0.028941527480388297</x:v>
      </x:c>
      <x:c r="AD122" s="75" t="n">
        <x:v>0.10722940164402826</x:v>
      </x:c>
      <x:c r="AE122" s="75" t="n">
        <x:v>0.07230766433710233</x:v>
      </x:c>
      <x:c r="AF122" s="74" t="n">
        <x:v>8</x:v>
      </x:c>
    </x:row>
    <x:row r="123">
      <x:c r="A123" t="str">
        <x:v>2025 S2</x:v>
      </x:c>
      <x:c r="B123" t="str">
        <x:v>CNCT0031</x:v>
      </x:c>
      <x:c r="C123" s="74" t="n">
        <x:v>2139</x:v>
      </x:c>
      <x:c r="D123" s="74" t="n">
        <x:v>1159.139</x:v>
      </x:c>
      <x:c r="E123" s="75" t="n">
        <x:v>0.9821503130867931</x:v>
      </x:c>
      <x:c r="F123" s="75" t="n">
        <x:v>0.17842641970050316</x:v>
      </x:c>
      <x:c r="G123" s="75" t="n">
        <x:v>0.016962876812955073</x:v>
      </x:c>
      <x:c r="H123" s="75" t="n">
        <x:v>0.007100688779180927</x:v>
      </x:c>
      <x:c r="I123" s="75" t="n">
        <x:v>0.007464618586025608</x:v>
      </x:c>
      <x:c r="J123" s="75" t="n">
        <x:v>0.017123994296125603</x:v>
      </x:c>
      <x:c r="K123" s="75" t="n">
        <x:v>0.00896328553694184</x:v>
      </x:c>
      <x:c r="L123" s="75" t="n">
        <x:v>0.009475982709176605</x:v>
      </x:c>
      <x:c r="M123" s="75" t="n">
        <x:v>0.01037347760306875</x:v>
      </x:c>
      <x:c r="N123" s="75" t="n">
        <x:v>0.008688659508421551</x:v>
      </x:c>
      <x:c r="O123" s="75" t="n">
        <x:v>0.009246293475713173</x:v>
      </x:c>
      <x:c r="P123" s="75" t="n">
        <x:v>0.002763069921386887</x:v>
      </x:c>
      <x:c r="Q123" s="75" t="n">
        <x:v>0.0013467712033743738</x:v>
      </x:c>
      <x:c r="R123" s="75" t="n">
        <x:v>0.37509220890772726</x:v>
      </x:c>
      <x:c r="S123" s="75" t="n">
        <x:v>0.01421002687325381</x:v>
      </x:c>
      <x:c r="T123" s="75" t="n">
        <x:v>0.004769490907652653</x:v>
      </x:c>
      <x:c r="U123" s="75" t="n">
        <x:v>0.005312873619841411</x:v>
      </x:c>
      <x:c r="V123" s="75" t="n">
        <x:v>0.03978282341483282</x:v>
      </x:c>
      <x:c r="W123" s="75" t="n">
        <x:v>0.015556039501712091</x:v>
      </x:c>
      <x:c r="X123" s="75" t="n">
        <x:v>0.023633761501670132</x:v>
      </x:c>
      <x:c r="Y123" s="75" t="n">
        <x:v>0.022391703639446106</x:v>
      </x:c>
      <x:c r="Z123" s="75" t="n">
        <x:v>0.00699133831741428</x:v>
      </x:c>
      <x:c r="AA123" s="75" t="n">
        <x:v>0.008379414232088999</x:v>
      </x:c>
      <x:c r="AB123" s="75" t="n">
        <x:v>0.0076596491981253505</x:v>
      </x:c>
      <x:c r="AC123" s="75" t="n">
        <x:v>0.028941527480388297</x:v>
      </x:c>
      <x:c r="AD123" s="75" t="n">
        <x:v>0.10722940164402826</x:v>
      </x:c>
      <x:c r="AE123" s="75" t="n">
        <x:v>0.07230766433710233</x:v>
      </x:c>
      <x:c r="AF123" s="74" t="n">
        <x:v>8</x:v>
      </x:c>
    </x:row>
    <x:row r="124">
      <x:c r="A124" t="str">
        <x:v>2026 S1</x:v>
      </x:c>
      <x:c r="B124" t="str">
        <x:v>CNCT0031</x:v>
      </x:c>
      <x:c r="C124" s="74" t="n">
        <x:v>1849</x:v>
      </x:c>
      <x:c r="D124" s="74" t="n">
        <x:v>1212.74</x:v>
      </x:c>
      <x:c r="E124" s="75" t="n">
        <x:v>0.9817264496406715</x:v>
      </x:c>
      <x:c r="F124" s="75" t="n">
        <x:v>0.17726740821608836</x:v>
      </x:c>
      <x:c r="G124" s="75" t="n">
        <x:v>0.017915334617100598</x:v>
      </x:c>
      <x:c r="H124" s="75" t="n">
        <x:v>0.007100688779180927</x:v>
      </x:c>
      <x:c r="I124" s="75" t="n">
        <x:v>0.007464618586025608</x:v>
      </x:c>
      <x:c r="J124" s="75" t="n">
        <x:v>0.017123994296125603</x:v>
      </x:c>
      <x:c r="K124" s="75" t="n">
        <x:v>0.00896328553694184</x:v>
      </x:c>
      <x:c r="L124" s="75" t="n">
        <x:v>0.009475982709176605</x:v>
      </x:c>
      <x:c r="M124" s="75" t="n">
        <x:v>0.01037347760306875</x:v>
      </x:c>
      <x:c r="N124" s="75" t="n">
        <x:v>0.008688659508421551</x:v>
      </x:c>
      <x:c r="O124" s="75" t="n">
        <x:v>0.008828473953726643</x:v>
      </x:c>
      <x:c r="P124" s="75" t="n">
        <x:v>0.002763069921386887</x:v>
      </x:c>
      <x:c r="Q124" s="75" t="n">
        <x:v>0.0013467712033743738</x:v>
      </x:c>
      <x:c r="R124" s="75" t="n">
        <x:v>0.37606812593499633</x:v>
      </x:c>
      <x:c r="S124" s="75" t="n">
        <x:v>0.01421002687325381</x:v>
      </x:c>
      <x:c r="T124" s="75" t="n">
        <x:v>0.004769490907652653</x:v>
      </x:c>
      <x:c r="U124" s="75" t="n">
        <x:v>0.005312873619841411</x:v>
      </x:c>
      <x:c r="V124" s="75" t="n">
        <x:v>0.03978282341483282</x:v>
      </x:c>
      <x:c r="W124" s="75" t="n">
        <x:v>0.021437857732567282</x:v>
      </x:c>
      <x:c r="X124" s="75" t="n">
        <x:v>0.03256980780374513</x:v>
      </x:c>
      <x:c r="Y124" s="75" t="n">
        <x:v>0.030858121500618636</x:v>
      </x:c>
      <x:c r="Z124" s="75" t="n">
        <x:v>0.009634799152604236</x:v>
      </x:c>
      <x:c r="AA124" s="75" t="n">
        <x:v>0.011547713681879167</x:v>
      </x:c>
      <x:c r="AB124" s="75" t="n">
        <x:v>0.010555801801140442</x:v>
      </x:c>
      <x:c r="AC124" s="75" t="n">
        <x:v>0.039884467291270695</x:v>
      </x:c>
      <x:c r="AD124" s="75" t="n">
        <x:v>0.10722940164402826</x:v>
      </x:c>
      <x:c r="AE124" s="75" t="n">
        <x:v>0.07230766433710233</x:v>
      </x:c>
      <x:c r="AF124" s="74" t="n">
        <x:v>8</x:v>
      </x:c>
    </x:row>
    <x:row r="125">
      <x:c r="A125" t="str">
        <x:v>2026 S2</x:v>
      </x:c>
      <x:c r="B125" t="str">
        <x:v>CNCT0031</x:v>
      </x:c>
      <x:c r="C125" s="74" t="n">
        <x:v>2095</x:v>
      </x:c>
      <x:c r="D125" s="74" t="n">
        <x:v>1182.649</x:v>
      </x:c>
      <x:c r="E125" s="75" t="n">
        <x:v>0.9821503130867931</x:v>
      </x:c>
      <x:c r="F125" s="75" t="n">
        <x:v>0.17610575412784962</x:v>
      </x:c>
      <x:c r="G125" s="75" t="n">
        <x:v>0.017392075938718336</x:v>
      </x:c>
      <x:c r="H125" s="75" t="n">
        <x:v>0.007100688779180927</x:v>
      </x:c>
      <x:c r="I125" s="75" t="n">
        <x:v>0.007464618586025608</x:v>
      </x:c>
      <x:c r="J125" s="75" t="n">
        <x:v>0.017123994296125603</x:v>
      </x:c>
      <x:c r="K125" s="75" t="n">
        <x:v>0.00896328553694184</x:v>
      </x:c>
      <x:c r="L125" s="75" t="n">
        <x:v>0.009475982709176605</x:v>
      </x:c>
      <x:c r="M125" s="75" t="n">
        <x:v>0.01037347760306875</x:v>
      </x:c>
      <x:c r="N125" s="75" t="n">
        <x:v>0.008688659508421551</x:v>
      </x:c>
      <x:c r="O125" s="75" t="n">
        <x:v>0.009246293475713173</x:v>
      </x:c>
      <x:c r="P125" s="75" t="n">
        <x:v>0.002763069921386887</x:v>
      </x:c>
      <x:c r="Q125" s="75" t="n">
        <x:v>0.0013467712033743738</x:v>
      </x:c>
      <x:c r="R125" s="75" t="n">
        <x:v>0.3780373659897151</x:v>
      </x:c>
      <x:c r="S125" s="75" t="n">
        <x:v>0.01421002687325381</x:v>
      </x:c>
      <x:c r="T125" s="75" t="n">
        <x:v>0.004769490907652653</x:v>
      </x:c>
      <x:c r="U125" s="75" t="n">
        <x:v>0.005312873619841411</x:v>
      </x:c>
      <x:c r="V125" s="75" t="n">
        <x:v>0.03978282341483282</x:v>
      </x:c>
      <x:c r="W125" s="75" t="n">
        <x:v>0.01945749420874148</x:v>
      </x:c>
      <x:c r="X125" s="75" t="n">
        <x:v>0.029561108886289003</x:v>
      </x:c>
      <x:c r="Y125" s="75" t="n">
        <x:v>0.028007542912219192</x:v>
      </x:c>
      <x:c r="Z125" s="75" t="n">
        <x:v>0.008744765967421781</x:v>
      </x:c>
      <x:c r="AA125" s="75" t="n">
        <x:v>0.010480971321496921</x:v>
      </x:c>
      <x:c r="AB125" s="75" t="n">
        <x:v>0.009580689217015187</x:v>
      </x:c>
      <x:c r="AC125" s="75" t="n">
        <x:v>0.03620006257246968</x:v>
      </x:c>
      <x:c r="AD125" s="75" t="n">
        <x:v>0.10722940164402826</x:v>
      </x:c>
      <x:c r="AE125" s="75" t="n">
        <x:v>0.07230766433710233</x:v>
      </x:c>
      <x:c r="AF125" s="74" t="n">
        <x:v>8</x:v>
      </x:c>
    </x:row>
    <x:row r="126">
      <x:c r="A126" t="str">
        <x:v>2025 S1</x:v>
      </x:c>
      <x:c r="B126" t="str">
        <x:v>CNCT0032</x:v>
      </x:c>
      <x:c r="C126" s="74" t="n">
        <x:v>2379</x:v>
      </x:c>
      <x:c r="D126" s="74" t="n">
        <x:v>1093.198</x:v>
      </x:c>
      <x:c r="E126" s="75" t="n">
        <x:v>0.9769790077605867</x:v>
      </x:c>
      <x:c r="F126" s="75" t="n">
        <x:v>0.1687684345820453</x:v>
      </x:c>
      <x:c r="G126" s="75" t="n">
        <x:v>0.00906931169109157</x:v>
      </x:c>
      <x:c r="H126" s="75" t="n">
        <x:v>0.008718758241155228</x:v>
      </x:c>
      <x:c r="I126" s="75" t="n">
        <x:v>0.009285380622521188</x:v>
      </x:c>
      <x:c r="J126" s="75" t="n">
        <x:v>0.015928710680251243</x:v>
      </x:c>
      <x:c r="K126" s="75" t="n">
        <x:v>0.013920569178793812</x:v>
      </x:c>
      <x:c r="L126" s="75" t="n">
        <x:v>0.013192903014787588</x:v>
      </x:c>
      <x:c r="M126" s="75" t="n">
        <x:v>0.0069072317031241256</x:v>
      </x:c>
      <x:c r="N126" s="75" t="n">
        <x:v>0.005087769276986364</x:v>
      </x:c>
      <x:c r="O126" s="75" t="n">
        <x:v>0.010530702322299475</x:v>
      </x:c>
      <x:c r="P126" s="75" t="n">
        <x:v>0.0010329152977610646</x:v>
      </x:c>
      <x:c r="Q126" s="75" t="n">
        <x:v>0.004282324334559235</x:v>
      </x:c>
      <x:c r="R126" s="75" t="n">
        <x:v>0.3902204626945508</x:v>
      </x:c>
      <x:c r="S126" s="75" t="n">
        <x:v>0.013744878488392715</x:v>
      </x:c>
      <x:c r="T126" s="75" t="n">
        <x:v>0.005256995761592407</x:v>
      </x:c>
      <x:c r="U126" s="75" t="n">
        <x:v>0.008852911049471003</x:v>
      </x:c>
      <x:c r="V126" s="75" t="n">
        <x:v>0.0318156097085448</x:v>
      </x:c>
      <x:c r="W126" s="75" t="n">
        <x:v>0.014571498735285073</x:v>
      </x:c>
      <x:c r="X126" s="75" t="n">
        <x:v>0.029734101144679784</x:v>
      </x:c>
      <x:c r="Y126" s="75" t="n">
        <x:v>0.025097892461600182</x:v>
      </x:c>
      <x:c r="Z126" s="75" t="n">
        <x:v>0.009023506332285412</x:v>
      </x:c>
      <x:c r="AA126" s="75" t="n">
        <x:v>0.008905734863628563</x:v>
      </x:c>
      <x:c r="AB126" s="75" t="n">
        <x:v>0.0046320503153689215</x:v>
      </x:c>
      <x:c r="AC126" s="75" t="n">
        <x:v>0.027251416047629436</x:v>
      </x:c>
      <x:c r="AD126" s="75" t="n">
        <x:v>0.08767614881540067</x:v>
      </x:c>
      <x:c r="AE126" s="75" t="n">
        <x:v>0.08348108753480482</x:v>
      </x:c>
      <x:c r="AF126" s="74" t="n">
        <x:v>9</x:v>
      </x:c>
    </x:row>
    <x:row r="127">
      <x:c r="A127" t="str">
        <x:v>2025 S2</x:v>
      </x:c>
      <x:c r="B127" t="str">
        <x:v>CNCT0032</x:v>
      </x:c>
      <x:c r="C127" s="74" t="n">
        <x:v>2517</x:v>
      </x:c>
      <x:c r="D127" s="74" t="n">
        <x:v>1106.316</x:v>
      </x:c>
      <x:c r="E127" s="75" t="n">
        <x:v>0.984155426590296</x:v>
      </x:c>
      <x:c r="F127" s="75" t="n">
        <x:v>0.1687684345820453</x:v>
      </x:c>
      <x:c r="G127" s="75" t="n">
        <x:v>0.00906931169109157</x:v>
      </x:c>
      <x:c r="H127" s="75" t="n">
        <x:v>0.008718758241155228</x:v>
      </x:c>
      <x:c r="I127" s="75" t="n">
        <x:v>0.009285380622521188</x:v>
      </x:c>
      <x:c r="J127" s="75" t="n">
        <x:v>0.015928710680251243</x:v>
      </x:c>
      <x:c r="K127" s="75" t="n">
        <x:v>0.013920569178793812</x:v>
      </x:c>
      <x:c r="L127" s="75" t="n">
        <x:v>0.013192903014787588</x:v>
      </x:c>
      <x:c r="M127" s="75" t="n">
        <x:v>0.0069072317031241256</x:v>
      </x:c>
      <x:c r="N127" s="75" t="n">
        <x:v>0.005087769276986364</x:v>
      </x:c>
      <x:c r="O127" s="75" t="n">
        <x:v>0.010530702322299475</x:v>
      </x:c>
      <x:c r="P127" s="75" t="n">
        <x:v>0.0010329152977610646</x:v>
      </x:c>
      <x:c r="Q127" s="75" t="n">
        <x:v>0.004282324334559235</x:v>
      </x:c>
      <x:c r="R127" s="75" t="n">
        <x:v>0.376322643086053</x:v>
      </x:c>
      <x:c r="S127" s="75" t="n">
        <x:v>0.013744878488392715</x:v>
      </x:c>
      <x:c r="T127" s="75" t="n">
        <x:v>0.005256995761592407</x:v>
      </x:c>
      <x:c r="U127" s="75" t="n">
        <x:v>0.008852911049471003</x:v>
      </x:c>
      <x:c r="V127" s="75" t="n">
        <x:v>0.0318156097085448</x:v>
      </x:c>
      <x:c r="W127" s="75" t="n">
        <x:v>0.014571498735285073</x:v>
      </x:c>
      <x:c r="X127" s="75" t="n">
        <x:v>0.029734101144679784</x:v>
      </x:c>
      <x:c r="Y127" s="75" t="n">
        <x:v>0.025097892461600182</x:v>
      </x:c>
      <x:c r="Z127" s="75" t="n">
        <x:v>0.009023506332285412</x:v>
      </x:c>
      <x:c r="AA127" s="75" t="n">
        <x:v>0.008905734863628563</x:v>
      </x:c>
      <x:c r="AB127" s="75" t="n">
        <x:v>0.0046320503153689215</x:v>
      </x:c>
      <x:c r="AC127" s="75" t="n">
        <x:v>0.027251416047629436</x:v>
      </x:c>
      <x:c r="AD127" s="75" t="n">
        <x:v>0.08767614881540067</x:v>
      </x:c>
      <x:c r="AE127" s="75" t="n">
        <x:v>0.08348108753480482</x:v>
      </x:c>
      <x:c r="AF127" s="74" t="n">
        <x:v>9</x:v>
      </x:c>
    </x:row>
    <x:row r="128">
      <x:c r="A128" t="str">
        <x:v>2026 S1</x:v>
      </x:c>
      <x:c r="B128" t="str">
        <x:v>CNCT0032</x:v>
      </x:c>
      <x:c r="C128" s="74" t="n">
        <x:v>2355</x:v>
      </x:c>
      <x:c r="D128" s="74" t="n">
        <x:v>1133.481</x:v>
      </x:c>
      <x:c r="E128" s="75" t="n">
        <x:v>0.9754587106131948</x:v>
      </x:c>
      <x:c r="F128" s="75" t="n">
        <x:v>0.1643061766514438</x:v>
      </x:c>
      <x:c r="G128" s="75" t="n">
        <x:v>0.009313174749426252</x:v>
      </x:c>
      <x:c r="H128" s="75" t="n">
        <x:v>0.008718758241155228</x:v>
      </x:c>
      <x:c r="I128" s="75" t="n">
        <x:v>0.009285380622521188</x:v>
      </x:c>
      <x:c r="J128" s="75" t="n">
        <x:v>0.015928710680251243</x:v>
      </x:c>
      <x:c r="K128" s="75" t="n">
        <x:v>0.013920569178793812</x:v>
      </x:c>
      <x:c r="L128" s="75" t="n">
        <x:v>0.013192903014787588</x:v>
      </x:c>
      <x:c r="M128" s="75" t="n">
        <x:v>0.0069072317031241256</x:v>
      </x:c>
      <x:c r="N128" s="75" t="n">
        <x:v>0.005087769276986364</x:v>
      </x:c>
      <x:c r="O128" s="75" t="n">
        <x:v>0.0117822100630583</x:v>
      </x:c>
      <x:c r="P128" s="75" t="n">
        <x:v>0.0010329152977610646</x:v>
      </x:c>
      <x:c r="Q128" s="75" t="n">
        <x:v>0.004282324334559235</x:v>
      </x:c>
      <x:c r="R128" s="75" t="n">
        <x:v>0.3878930675586052</x:v>
      </x:c>
      <x:c r="S128" s="75" t="n">
        <x:v>0.013744878488392715</x:v>
      </x:c>
      <x:c r="T128" s="75" t="n">
        <x:v>0.005256995761592407</x:v>
      </x:c>
      <x:c r="U128" s="75" t="n">
        <x:v>0.008852911049471003</x:v>
      </x:c>
      <x:c r="V128" s="75" t="n">
        <x:v>0.0318156097085448</x:v>
      </x:c>
      <x:c r="W128" s="75" t="n">
        <x:v>0.02008105705844633</x:v>
      </x:c>
      <x:c r="X128" s="75" t="n">
        <x:v>0.04097671711847064</x:v>
      </x:c>
      <x:c r="Y128" s="75" t="n">
        <x:v>0.034587534180524585</x:v>
      </x:c>
      <x:c r="Z128" s="75" t="n">
        <x:v>0.012435340304912714</x:v>
      </x:c>
      <x:c r="AA128" s="75" t="n">
        <x:v>0.012273038840600853</x:v>
      </x:c>
      <x:c r="AB128" s="75" t="n">
        <x:v>0.006383452270100195</x:v>
      </x:c>
      <x:c r="AC128" s="75" t="n">
        <x:v>0.037555316067163676</x:v>
      </x:c>
      <x:c r="AD128" s="75" t="n">
        <x:v>0.08767614881540067</x:v>
      </x:c>
      <x:c r="AE128" s="75" t="n">
        <x:v>0.08348108753480482</x:v>
      </x:c>
      <x:c r="AF128" s="74" t="n">
        <x:v>9</x:v>
      </x:c>
    </x:row>
    <x:row r="129">
      <x:c r="A129" t="str">
        <x:v>2026 S2</x:v>
      </x:c>
      <x:c r="B129" t="str">
        <x:v>CNCT0032</x:v>
      </x:c>
      <x:c r="C129" s="74" t="n">
        <x:v>2508</x:v>
      </x:c>
      <x:c r="D129" s="74" t="n">
        <x:v>1129.446</x:v>
      </x:c>
      <x:c r="E129" s="75" t="n">
        <x:v>0.984155426590296</x:v>
      </x:c>
      <x:c r="F129" s="75" t="n">
        <x:v>0.16341098320922173</x:v>
      </x:c>
      <x:c r="G129" s="75" t="n">
        <x:v>0.007387762940772517</x:v>
      </x:c>
      <x:c r="H129" s="75" t="n">
        <x:v>0.008718758241155228</x:v>
      </x:c>
      <x:c r="I129" s="75" t="n">
        <x:v>0.009285380622521188</x:v>
      </x:c>
      <x:c r="J129" s="75" t="n">
        <x:v>0.015928710680251243</x:v>
      </x:c>
      <x:c r="K129" s="75" t="n">
        <x:v>0.013920569178793812</x:v>
      </x:c>
      <x:c r="L129" s="75" t="n">
        <x:v>0.013192903014787588</x:v>
      </x:c>
      <x:c r="M129" s="75" t="n">
        <x:v>0.0069072317031241256</x:v>
      </x:c>
      <x:c r="N129" s="75" t="n">
        <x:v>0.005087769276986364</x:v>
      </x:c>
      <x:c r="O129" s="75" t="n">
        <x:v>0.010530702322299475</x:v>
      </x:c>
      <x:c r="P129" s="75" t="n">
        <x:v>0.0010329152977610646</x:v>
      </x:c>
      <x:c r="Q129" s="75" t="n">
        <x:v>0.004282324334559235</x:v>
      </x:c>
      <x:c r="R129" s="75" t="n">
        <x:v>0.37618229806547904</x:v>
      </x:c>
      <x:c r="S129" s="75" t="n">
        <x:v>0.013744878488392715</x:v>
      </x:c>
      <x:c r="T129" s="75" t="n">
        <x:v>0.005256995761592407</x:v>
      </x:c>
      <x:c r="U129" s="75" t="n">
        <x:v>0.008852911049471003</x:v>
      </x:c>
      <x:c r="V129" s="75" t="n">
        <x:v>0.0318156097085448</x:v>
      </x:c>
      <x:c r="W129" s="75" t="n">
        <x:v>0.01822603061809457</x:v>
      </x:c>
      <x:c r="X129" s="75" t="n">
        <x:v>0.03719141371176548</x:v>
      </x:c>
      <x:c r="Y129" s="75" t="n">
        <x:v>0.031392443890969506</x:v>
      </x:c>
      <x:c r="Z129" s="75" t="n">
        <x:v>0.011286601720422593</x:v>
      </x:c>
      <x:c r="AA129" s="75" t="n">
        <x:v>0.011139293167426607</x:v>
      </x:c>
      <x:c r="AB129" s="75" t="n">
        <x:v>0.005793768534463447</x:v>
      </x:c>
      <x:c r="AC129" s="75" t="n">
        <x:v>0.034086071192374896</x:v>
      </x:c>
      <x:c r="AD129" s="75" t="n">
        <x:v>0.08767614881540067</x:v>
      </x:c>
      <x:c r="AE129" s="75" t="n">
        <x:v>0.08348108753480482</x:v>
      </x:c>
      <x:c r="AF129" s="74" t="n">
        <x:v>9</x:v>
      </x:c>
    </x:row>
    <x:row r="130">
      <x:c r="A130" t="str">
        <x:v>2025 S1</x:v>
      </x:c>
      <x:c r="B130" t="str">
        <x:v>CNCT0033</x:v>
      </x:c>
      <x:c r="C130" s="74" t="n">
        <x:v>2324</x:v>
      </x:c>
      <x:c r="D130" s="74" t="n">
        <x:v>1106.314</x:v>
      </x:c>
      <x:c r="E130" s="75" t="n">
        <x:v>0.9801520316719543</x:v>
      </x:c>
      <x:c r="F130" s="75" t="n">
        <x:v>0.1740911328298971</x:v>
      </x:c>
      <x:c r="G130" s="75" t="n">
        <x:v>0.018050022288778562</x:v>
      </x:c>
      <x:c r="H130" s="75" t="n">
        <x:v>0.009304648492972774</x:v>
      </x:c>
      <x:c r="I130" s="75" t="n">
        <x:v>0.008477434423237356</x:v>
      </x:c>
      <x:c r="J130" s="75" t="n">
        <x:v>0.013439021338010207</x:v>
      </x:c>
      <x:c r="K130" s="75" t="n">
        <x:v>0.013216437549548573</x:v>
      </x:c>
      <x:c r="L130" s="75" t="n">
        <x:v>0.013342004975158488</x:v>
      </x:c>
      <x:c r="M130" s="75" t="n">
        <x:v>0.008552315066961455</x:v>
      </x:c>
      <x:c r="N130" s="75" t="n">
        <x:v>0.005474985167820705</x:v>
      </x:c>
      <x:c r="O130" s="75" t="n">
        <x:v>0.01204745824879501</x:v>
      </x:c>
      <x:c r="P130" s="75" t="n">
        <x:v>0.0006344530826172559</x:v>
      </x:c>
      <x:c r="Q130" s="75" t="n">
        <x:v>0.004390741012881335</x:v>
      </x:c>
      <x:c r="R130" s="75" t="n">
        <x:v>0.3801458263444373</x:v>
      </x:c>
      <x:c r="S130" s="75" t="n">
        <x:v>0.012251625125692955</x:v>
      </x:c>
      <x:c r="T130" s="75" t="n">
        <x:v>0.0047627773938688734</x:v>
      </x:c>
      <x:c r="U130" s="75" t="n">
        <x:v>0.012258190163760445</x:v>
      </x:c>
      <x:c r="V130" s="75" t="n">
        <x:v>0.038259212919379934</x:v>
      </x:c>
      <x:c r="W130" s="75" t="n">
        <x:v>0.015554722942740424</x:v>
      </x:c>
      <x:c r="X130" s="75" t="n">
        <x:v>0.027309325436968984</x:v>
      </x:c>
      <x:c r="Y130" s="75" t="n">
        <x:v>0.023920346692052022</x:v>
      </x:c>
      <x:c r="Z130" s="75" t="n">
        <x:v>0.009533181914014801</x:v>
      </x:c>
      <x:c r="AA130" s="75" t="n">
        <x:v>0.011025801978054329</x:v>
      </x:c>
      <x:c r="AB130" s="75" t="n">
        <x:v>0.006364810608734494</x:v>
      </x:c>
      <x:c r="AC130" s="75" t="n">
        <x:v>0.027134859033633375</x:v>
      </x:c>
      <x:c r="AD130" s="75" t="n">
        <x:v>0.08216167622784269</x:v>
      </x:c>
      <x:c r="AE130" s="75" t="n">
        <x:v>0.09217497809478664</x:v>
      </x:c>
      <x:c r="AF130" s="74" t="n">
        <x:v>10</x:v>
      </x:c>
    </x:row>
    <x:row r="131">
      <x:c r="A131" t="str">
        <x:v>2025 S2</x:v>
      </x:c>
      <x:c r="B131" t="str">
        <x:v>CNCT0033</x:v>
      </x:c>
      <x:c r="C131" s="74" t="n">
        <x:v>2498</x:v>
      </x:c>
      <x:c r="D131" s="74" t="n">
        <x:v>1119.59</x:v>
      </x:c>
      <x:c r="E131" s="75" t="n">
        <x:v>0.9783723198210355</x:v>
      </x:c>
      <x:c r="F131" s="75" t="n">
        <x:v>0.1740911328298971</x:v>
      </x:c>
      <x:c r="G131" s="75" t="n">
        <x:v>0.018050022288778562</x:v>
      </x:c>
      <x:c r="H131" s="75" t="n">
        <x:v>0.009304648492972774</x:v>
      </x:c>
      <x:c r="I131" s="75" t="n">
        <x:v>0.008477434423237356</x:v>
      </x:c>
      <x:c r="J131" s="75" t="n">
        <x:v>0.013439021338010207</x:v>
      </x:c>
      <x:c r="K131" s="75" t="n">
        <x:v>0.013216437549548573</x:v>
      </x:c>
      <x:c r="L131" s="75" t="n">
        <x:v>0.013342004975158488</x:v>
      </x:c>
      <x:c r="M131" s="75" t="n">
        <x:v>0.008552315066961455</x:v>
      </x:c>
      <x:c r="N131" s="75" t="n">
        <x:v>0.005474985167820705</x:v>
      </x:c>
      <x:c r="O131" s="75" t="n">
        <x:v>0.01204745824879501</x:v>
      </x:c>
      <x:c r="P131" s="75" t="n">
        <x:v>0.0006344530826172559</x:v>
      </x:c>
      <x:c r="Q131" s="75" t="n">
        <x:v>0.004390741012881335</x:v>
      </x:c>
      <x:c r="R131" s="75" t="n">
        <x:v>0.3743321429420354</x:v>
      </x:c>
      <x:c r="S131" s="75" t="n">
        <x:v>0.012251625125692955</x:v>
      </x:c>
      <x:c r="T131" s="75" t="n">
        <x:v>0.0047627773938688734</x:v>
      </x:c>
      <x:c r="U131" s="75" t="n">
        <x:v>0.012258190163760445</x:v>
      </x:c>
      <x:c r="V131" s="75" t="n">
        <x:v>0.038259212919379934</x:v>
      </x:c>
      <x:c r="W131" s="75" t="n">
        <x:v>0.015554722942740424</x:v>
      </x:c>
      <x:c r="X131" s="75" t="n">
        <x:v>0.027309325436968984</x:v>
      </x:c>
      <x:c r="Y131" s="75" t="n">
        <x:v>0.023920346692052022</x:v>
      </x:c>
      <x:c r="Z131" s="75" t="n">
        <x:v>0.009533181914014801</x:v>
      </x:c>
      <x:c r="AA131" s="75" t="n">
        <x:v>0.011025801978054329</x:v>
      </x:c>
      <x:c r="AB131" s="75" t="n">
        <x:v>0.006364810608734494</x:v>
      </x:c>
      <x:c r="AC131" s="75" t="n">
        <x:v>0.027134859033633375</x:v>
      </x:c>
      <x:c r="AD131" s="75" t="n">
        <x:v>0.08216167622784269</x:v>
      </x:c>
      <x:c r="AE131" s="75" t="n">
        <x:v>0.09217497809478664</x:v>
      </x:c>
      <x:c r="AF131" s="74" t="n">
        <x:v>10</x:v>
      </x:c>
    </x:row>
    <x:row r="132">
      <x:c r="A132" t="str">
        <x:v>2026 S1</x:v>
      </x:c>
      <x:c r="B132" t="str">
        <x:v>CNCT0033</x:v>
      </x:c>
      <x:c r="C132" s="74" t="n">
        <x:v>2298</x:v>
      </x:c>
      <x:c r="D132" s="74" t="n">
        <x:v>1161.213</x:v>
      </x:c>
      <x:c r="E132" s="75" t="n">
        <x:v>0.9839862249214784</x:v>
      </x:c>
      <x:c r="F132" s="75" t="n">
        <x:v>0.17083249943258125</x:v>
      </x:c>
      <x:c r="G132" s="75" t="n">
        <x:v>0.018129034084908197</x:v>
      </x:c>
      <x:c r="H132" s="75" t="n">
        <x:v>0.009304648492972774</x:v>
      </x:c>
      <x:c r="I132" s="75" t="n">
        <x:v>0.008477434423237356</x:v>
      </x:c>
      <x:c r="J132" s="75" t="n">
        <x:v>0.013439021338010207</x:v>
      </x:c>
      <x:c r="K132" s="75" t="n">
        <x:v>0.013216437549548573</x:v>
      </x:c>
      <x:c r="L132" s="75" t="n">
        <x:v>0.013342004975158488</x:v>
      </x:c>
      <x:c r="M132" s="75" t="n">
        <x:v>0.008552315066961455</x:v>
      </x:c>
      <x:c r="N132" s="75" t="n">
        <x:v>0.005474985167820705</x:v>
      </x:c>
      <x:c r="O132" s="75" t="n">
        <x:v>0.011880338972230673</x:v>
      </x:c>
      <x:c r="P132" s="75" t="n">
        <x:v>0.0006344530826172559</x:v>
      </x:c>
      <x:c r="Q132" s="75" t="n">
        <x:v>0.004390741012881335</x:v>
      </x:c>
      <x:c r="R132" s="75" t="n">
        <x:v>0.3830120060005639</x:v>
      </x:c>
      <x:c r="S132" s="75" t="n">
        <x:v>0.012251625125692955</x:v>
      </x:c>
      <x:c r="T132" s="75" t="n">
        <x:v>0.0047627773938688734</x:v>
      </x:c>
      <x:c r="U132" s="75" t="n">
        <x:v>0.012258190163760445</x:v>
      </x:c>
      <x:c r="V132" s="75" t="n">
        <x:v>0.038259212919379934</x:v>
      </x:c>
      <x:c r="W132" s="75" t="n">
        <x:v>0.021436043375903557</x:v>
      </x:c>
      <x:c r="X132" s="75" t="n">
        <x:v>0.03763512129328851</x:v>
      </x:c>
      <x:c r="Y132" s="75" t="n">
        <x:v>0.03296475232281707</x:v>
      </x:c>
      <x:c r="Z132" s="75" t="n">
        <x:v>0.013137726835216624</x:v>
      </x:c>
      <x:c r="AA132" s="75" t="n">
        <x:v>0.015194714192322082</x:v>
      </x:c>
      <x:c r="AB132" s="75" t="n">
        <x:v>0.00877137810750401</x:v>
      </x:c>
      <x:c r="AC132" s="75" t="n">
        <x:v>0.03739468824904162</x:v>
      </x:c>
      <x:c r="AD132" s="75" t="n">
        <x:v>0.08216167622784269</x:v>
      </x:c>
      <x:c r="AE132" s="75" t="n">
        <x:v>0.09217497809478664</x:v>
      </x:c>
      <x:c r="AF132" s="74" t="n">
        <x:v>10</x:v>
      </x:c>
    </x:row>
    <x:row r="133">
      <x:c r="A133" t="str">
        <x:v>2026 S2</x:v>
      </x:c>
      <x:c r="B133" t="str">
        <x:v>CNCT0033</x:v>
      </x:c>
      <x:c r="C133" s="74" t="n">
        <x:v>2521</x:v>
      </x:c>
      <x:c r="D133" s="74" t="n">
        <x:v>1164.126</x:v>
      </x:c>
      <x:c r="E133" s="75" t="n">
        <x:v>0.9783723198210355</x:v>
      </x:c>
      <x:c r="F133" s="75" t="n">
        <x:v>0.18047756275846769</x:v>
      </x:c>
      <x:c r="G133" s="75" t="n">
        <x:v>0.01861455155543808</x:v>
      </x:c>
      <x:c r="H133" s="75" t="n">
        <x:v>0.009304648492972774</x:v>
      </x:c>
      <x:c r="I133" s="75" t="n">
        <x:v>0.008477434423237356</x:v>
      </x:c>
      <x:c r="J133" s="75" t="n">
        <x:v>0.013439021338010207</x:v>
      </x:c>
      <x:c r="K133" s="75" t="n">
        <x:v>0.013216437549548573</x:v>
      </x:c>
      <x:c r="L133" s="75" t="n">
        <x:v>0.013342004975158488</x:v>
      </x:c>
      <x:c r="M133" s="75" t="n">
        <x:v>0.008552315066961455</x:v>
      </x:c>
      <x:c r="N133" s="75" t="n">
        <x:v>0.005474985167820705</x:v>
      </x:c>
      <x:c r="O133" s="75" t="n">
        <x:v>0.01204745824879501</x:v>
      </x:c>
      <x:c r="P133" s="75" t="n">
        <x:v>0.0006344530826172559</x:v>
      </x:c>
      <x:c r="Q133" s="75" t="n">
        <x:v>0.004390741012881335</x:v>
      </x:c>
      <x:c r="R133" s="75" t="n">
        <x:v>0.3649721544094139</x:v>
      </x:c>
      <x:c r="S133" s="75" t="n">
        <x:v>0.012251625125692955</x:v>
      </x:c>
      <x:c r="T133" s="75" t="n">
        <x:v>0.0047627773938688734</x:v>
      </x:c>
      <x:c r="U133" s="75" t="n">
        <x:v>0.012258190163760445</x:v>
      </x:c>
      <x:c r="V133" s="75" t="n">
        <x:v>0.038259212919379934</x:v>
      </x:c>
      <x:c r="W133" s="75" t="n">
        <x:v>0.01945584745677972</x:v>
      </x:c>
      <x:c r="X133" s="75" t="n">
        <x:v>0.03415850425656081</x:v>
      </x:c>
      <x:c r="Y133" s="75" t="n">
        <x:v>0.02991956964241867</x:v>
      </x:c>
      <x:c r="Z133" s="75" t="n">
        <x:v>0.011924103938049713</x:v>
      </x:c>
      <x:c r="AA133" s="75" t="n">
        <x:v>0.013791073114150355</x:v>
      </x:c>
      <x:c r="AB133" s="75" t="n">
        <x:v>0.007961105109405104</x:v>
      </x:c>
      <x:c r="AC133" s="75" t="n">
        <x:v>0.03394028167926862</x:v>
      </x:c>
      <x:c r="AD133" s="75" t="n">
        <x:v>0.08216167622784269</x:v>
      </x:c>
      <x:c r="AE133" s="75" t="n">
        <x:v>0.09217497809478664</x:v>
      </x:c>
      <x:c r="AF133" s="74" t="n">
        <x:v>10</x:v>
      </x:c>
    </x:row>
    <x:row r="134">
      <x:c r="A134" t="str">
        <x:v>2025 S1</x:v>
      </x:c>
      <x:c r="B134" t="str">
        <x:v>CNCT0034</x:v>
      </x:c>
      <x:c r="C134" s="74" t="n">
        <x:v>1955</x:v>
      </x:c>
      <x:c r="D134" s="74" t="n">
        <x:v>968.753</x:v>
      </x:c>
      <x:c r="E134" s="75" t="n">
        <x:v>0.9683610470379354</x:v>
      </x:c>
      <x:c r="F134" s="75" t="n">
        <x:v>0.2138813973958604</x:v>
      </x:c>
      <x:c r="G134" s="75" t="n">
        <x:v>0.013570471557002747</x:v>
      </x:c>
      <x:c r="H134" s="75" t="n">
        <x:v>0.012166964141601056</x:v>
      </x:c>
      <x:c r="I134" s="75" t="n">
        <x:v>0.007840133220395729</x:v>
      </x:c>
      <x:c r="J134" s="75" t="n">
        <x:v>0.014229100971497247</x:v>
      </x:c>
      <x:c r="K134" s="75" t="n">
        <x:v>0.008844626683836395</x:v>
      </x:c>
      <x:c r="L134" s="75" t="n">
        <x:v>0.011541233500582166</x:v>
      </x:c>
      <x:c r="M134" s="75" t="n">
        <x:v>0.010350306362895936</x:v>
      </x:c>
      <x:c r="N134" s="75" t="n">
        <x:v>0.00618734685954405</x:v>
      </x:c>
      <x:c r="O134" s="75" t="n">
        <x:v>0.013748094055859836</x:v>
      </x:c>
      <x:c r="P134" s="75" t="n">
        <x:v>0.0009147727136296453</x:v>
      </x:c>
      <x:c r="Q134" s="75" t="n">
        <x:v>0.0017795813329576048</x:v>
      </x:c>
      <x:c r="R134" s="75" t="n">
        <x:v>0.3605740177860382</x:v>
      </x:c>
      <x:c r="S134" s="75" t="n">
        <x:v>0.015858569857860858</x:v>
      </x:c>
      <x:c r="T134" s="75" t="n">
        <x:v>0.005443428530503298</x:v>
      </x:c>
      <x:c r="U134" s="75" t="n">
        <x:v>0.005210526414863125</x:v>
      </x:c>
      <x:c r="V134" s="75" t="n">
        <x:v>0.030748268450533946</x:v>
      </x:c>
      <x:c r="W134" s="75" t="n">
        <x:v>0.012451005228206283</x:v>
      </x:c>
      <x:c r="X134" s="75" t="n">
        <x:v>0.02139657712696998</x:v>
      </x:c>
      <x:c r="Y134" s="75" t="n">
        <x:v>0.018981856428099613</x:v>
      </x:c>
      <x:c r="Z134" s="75" t="n">
        <x:v>0.006560175921821734</x:v>
      </x:c>
      <x:c r="AA134" s="75" t="n">
        <x:v>0.008845185069577814</x:v>
      </x:c>
      <x:c r="AB134" s="75" t="n">
        <x:v>0.006462325652700909</x:v>
      </x:c>
      <x:c r="AC134" s="75" t="n">
        <x:v>0.024953188229078778</x:v>
      </x:c>
      <x:c r="AD134" s="75" t="n">
        <x:v>0.0921327968989208</x:v>
      </x:c>
      <x:c r="AE134" s="75" t="n">
        <x:v>0.06070398780456163</x:v>
      </x:c>
      <x:c r="AF134" s="74" t="n">
        <x:v>8</x:v>
      </x:c>
    </x:row>
    <x:row r="135">
      <x:c r="A135" t="str">
        <x:v>2025 S2</x:v>
      </x:c>
      <x:c r="B135" t="str">
        <x:v>CNCT0034</x:v>
      </x:c>
      <x:c r="C135" s="74" t="n">
        <x:v>2060</x:v>
      </x:c>
      <x:c r="D135" s="74" t="n">
        <x:v>980.378</x:v>
      </x:c>
      <x:c r="E135" s="75" t="n">
        <x:v>0.9779058319372707</x:v>
      </x:c>
      <x:c r="F135" s="75" t="n">
        <x:v>0.2138813973958604</x:v>
      </x:c>
      <x:c r="G135" s="75" t="n">
        <x:v>0.013570471557002747</x:v>
      </x:c>
      <x:c r="H135" s="75" t="n">
        <x:v>0.012166964141601056</x:v>
      </x:c>
      <x:c r="I135" s="75" t="n">
        <x:v>0.007840133220395729</x:v>
      </x:c>
      <x:c r="J135" s="75" t="n">
        <x:v>0.014229100971497247</x:v>
      </x:c>
      <x:c r="K135" s="75" t="n">
        <x:v>0.008844626683836395</x:v>
      </x:c>
      <x:c r="L135" s="75" t="n">
        <x:v>0.011541233500582166</x:v>
      </x:c>
      <x:c r="M135" s="75" t="n">
        <x:v>0.010350306362895936</x:v>
      </x:c>
      <x:c r="N135" s="75" t="n">
        <x:v>0.00618734685954405</x:v>
      </x:c>
      <x:c r="O135" s="75" t="n">
        <x:v>0.013748094055859836</x:v>
      </x:c>
      <x:c r="P135" s="75" t="n">
        <x:v>0.0009147727136296453</x:v>
      </x:c>
      <x:c r="Q135" s="75" t="n">
        <x:v>0.0017795813329576048</x:v>
      </x:c>
      <x:c r="R135" s="75" t="n">
        <x:v>0.37251995932825704</x:v>
      </x:c>
      <x:c r="S135" s="75" t="n">
        <x:v>0.015858569857860858</x:v>
      </x:c>
      <x:c r="T135" s="75" t="n">
        <x:v>0.005443428530503298</x:v>
      </x:c>
      <x:c r="U135" s="75" t="n">
        <x:v>0.005210526414863125</x:v>
      </x:c>
      <x:c r="V135" s="75" t="n">
        <x:v>0.030748268450533946</x:v>
      </x:c>
      <x:c r="W135" s="75" t="n">
        <x:v>0.012451005228206283</x:v>
      </x:c>
      <x:c r="X135" s="75" t="n">
        <x:v>0.02139657712696998</x:v>
      </x:c>
      <x:c r="Y135" s="75" t="n">
        <x:v>0.018981856428099613</x:v>
      </x:c>
      <x:c r="Z135" s="75" t="n">
        <x:v>0.006560175921821734</x:v>
      </x:c>
      <x:c r="AA135" s="75" t="n">
        <x:v>0.008845185069577814</x:v>
      </x:c>
      <x:c r="AB135" s="75" t="n">
        <x:v>0.006462325652700909</x:v>
      </x:c>
      <x:c r="AC135" s="75" t="n">
        <x:v>0.024953188229078778</x:v>
      </x:c>
      <x:c r="AD135" s="75" t="n">
        <x:v>0.0921327968989208</x:v>
      </x:c>
      <x:c r="AE135" s="75" t="n">
        <x:v>0.06070398780456163</x:v>
      </x:c>
      <x:c r="AF135" s="74" t="n">
        <x:v>8</x:v>
      </x:c>
    </x:row>
    <x:row r="136">
      <x:c r="A136" t="str">
        <x:v>2026 S1</x:v>
      </x:c>
      <x:c r="B136" t="str">
        <x:v>CNCT0034</x:v>
      </x:c>
      <x:c r="C136" s="74" t="n">
        <x:v>2049</x:v>
      </x:c>
      <x:c r="D136" s="74" t="n">
        <x:v>1006.818</x:v>
      </x:c>
      <x:c r="E136" s="75" t="n">
        <x:v>0.9656133461607824</x:v>
      </x:c>
      <x:c r="F136" s="75" t="n">
        <x:v>0.21961243471104536</x:v>
      </x:c>
      <x:c r="G136" s="75" t="n">
        <x:v>0.012227369446714874</x:v>
      </x:c>
      <x:c r="H136" s="75" t="n">
        <x:v>0.012166964141601056</x:v>
      </x:c>
      <x:c r="I136" s="75" t="n">
        <x:v>0.007840133220395729</x:v>
      </x:c>
      <x:c r="J136" s="75" t="n">
        <x:v>0.014229100971497247</x:v>
      </x:c>
      <x:c r="K136" s="75" t="n">
        <x:v>0.008844626683836395</x:v>
      </x:c>
      <x:c r="L136" s="75" t="n">
        <x:v>0.011541233500582166</x:v>
      </x:c>
      <x:c r="M136" s="75" t="n">
        <x:v>0.010350306362895936</x:v>
      </x:c>
      <x:c r="N136" s="75" t="n">
        <x:v>0.00618734685954405</x:v>
      </x:c>
      <x:c r="O136" s="75" t="n">
        <x:v>0.014244825964386108</x:v>
      </x:c>
      <x:c r="P136" s="75" t="n">
        <x:v>0.0009147727136296453</x:v>
      </x:c>
      <x:c r="Q136" s="75" t="n">
        <x:v>0.0017795813329576048</x:v>
      </x:c>
      <x:c r="R136" s="75" t="n">
        <x:v>0.35342429936794467</x:v>
      </x:c>
      <x:c r="S136" s="75" t="n">
        <x:v>0.015858569857860858</x:v>
      </x:c>
      <x:c r="T136" s="75" t="n">
        <x:v>0.005443428530503298</x:v>
      </x:c>
      <x:c r="U136" s="75" t="n">
        <x:v>0.005210526414863125</x:v>
      </x:c>
      <x:c r="V136" s="75" t="n">
        <x:v>0.030748268450533946</x:v>
      </x:c>
      <x:c r="W136" s="75" t="n">
        <x:v>0.017158794092825513</x:v>
      </x:c>
      <x:c r="X136" s="75" t="n">
        <x:v>0.029486732555635494</x:v>
      </x:c>
      <x:c r="Y136" s="75" t="n">
        <x:v>0.026158993589649262</x:v>
      </x:c>
      <x:c r="Z136" s="75" t="n">
        <x:v>0.009040612046346978</x:v>
      </x:c>
      <x:c r="AA136" s="75" t="n">
        <x:v>0.012189594859216432</x:v>
      </x:c>
      <x:c r="AB136" s="75" t="n">
        <x:v>0.008905764089174152</x:v>
      </x:c>
      <x:c r="AC136" s="75" t="n">
        <x:v>0.03438811653635155</x:v>
      </x:c>
      <x:c r="AD136" s="75" t="n">
        <x:v>0.0921327968989208</x:v>
      </x:c>
      <x:c r="AE136" s="75" t="n">
        <x:v>0.06070398780456163</x:v>
      </x:c>
      <x:c r="AF136" s="74" t="n">
        <x:v>8</x:v>
      </x:c>
    </x:row>
    <x:row r="137">
      <x:c r="A137" t="str">
        <x:v>2026 S2</x:v>
      </x:c>
      <x:c r="B137" t="str">
        <x:v>CNCT0034</x:v>
      </x:c>
      <x:c r="C137" s="74" t="n">
        <x:v>2135</x:v>
      </x:c>
      <x:c r="D137" s="74" t="n">
        <x:v>1002.402</x:v>
      </x:c>
      <x:c r="E137" s="75" t="n">
        <x:v>0.9779058319372707</x:v>
      </x:c>
      <x:c r="F137" s="75" t="n">
        <x:v>0.21632961343207535</x:v>
      </x:c>
      <x:c r="G137" s="75" t="n">
        <x:v>0.013132916227958048</x:v>
      </x:c>
      <x:c r="H137" s="75" t="n">
        <x:v>0.012166964141601056</x:v>
      </x:c>
      <x:c r="I137" s="75" t="n">
        <x:v>0.007840133220395729</x:v>
      </x:c>
      <x:c r="J137" s="75" t="n">
        <x:v>0.014229100971497247</x:v>
      </x:c>
      <x:c r="K137" s="75" t="n">
        <x:v>0.008844626683836395</x:v>
      </x:c>
      <x:c r="L137" s="75" t="n">
        <x:v>0.011541233500582166</x:v>
      </x:c>
      <x:c r="M137" s="75" t="n">
        <x:v>0.010350306362895936</x:v>
      </x:c>
      <x:c r="N137" s="75" t="n">
        <x:v>0.00618734685954405</x:v>
      </x:c>
      <x:c r="O137" s="75" t="n">
        <x:v>0.013748094055859836</x:v>
      </x:c>
      <x:c r="P137" s="75" t="n">
        <x:v>0.0009147727136296453</x:v>
      </x:c>
      <x:c r="Q137" s="75" t="n">
        <x:v>0.0017795813329576048</x:v>
      </x:c>
      <x:c r="R137" s="75" t="n">
        <x:v>0.3647061326265788</x:v>
      </x:c>
      <x:c r="S137" s="75" t="n">
        <x:v>0.015858569857860858</x:v>
      </x:c>
      <x:c r="T137" s="75" t="n">
        <x:v>0.005443428530503298</x:v>
      </x:c>
      <x:c r="U137" s="75" t="n">
        <x:v>0.005210526414863125</x:v>
      </x:c>
      <x:c r="V137" s="75" t="n">
        <x:v>0.030748268450533946</x:v>
      </x:c>
      <x:c r="W137" s="75" t="n">
        <x:v>0.01557371733944042</x:v>
      </x:c>
      <x:c r="X137" s="75" t="n">
        <x:v>0.026762838670414048</x:v>
      </x:c>
      <x:c r="Y137" s="75" t="n">
        <x:v>0.023742506020266996</x:v>
      </x:c>
      <x:c r="Z137" s="75" t="n">
        <x:v>0.008205468043014625</x:v>
      </x:c>
      <x:c r="AA137" s="75" t="n">
        <x:v>0.01106355748502793</x:v>
      </x:c>
      <x:c r="AB137" s="75" t="n">
        <x:v>0.008083076926398296</x:v>
      </x:c>
      <x:c r="AC137" s="75" t="n">
        <x:v>0.031211447836931736</x:v>
      </x:c>
      <x:c r="AD137" s="75" t="n">
        <x:v>0.0921327968989208</x:v>
      </x:c>
      <x:c r="AE137" s="75" t="n">
        <x:v>0.06070398780456163</x:v>
      </x:c>
      <x:c r="AF137" s="74" t="n">
        <x:v>8</x:v>
      </x:c>
    </x:row>
    <x:row r="138">
      <x:c r="A138" t="str">
        <x:v>2025 S1</x:v>
      </x:c>
      <x:c r="B138" t="str">
        <x:v>CNCT0035</x:v>
      </x:c>
      <x:c r="C138" s="74" t="n">
        <x:v>1492</x:v>
      </x:c>
      <x:c r="D138" s="74" t="n">
        <x:v>914.251</x:v>
      </x:c>
      <x:c r="E138" s="75" t="n">
        <x:v>0.9761469050525047</x:v>
      </x:c>
      <x:c r="F138" s="75" t="n">
        <x:v>0.2152485805461183</x:v>
      </x:c>
      <x:c r="G138" s="75" t="n">
        <x:v>0.012208003221312536</x:v>
      </x:c>
      <x:c r="H138" s="75" t="n">
        <x:v>0.010602485339710256</x:v>
      </x:c>
      <x:c r="I138" s="75" t="n">
        <x:v>0.007753146142775222</x:v>
      </x:c>
      <x:c r="J138" s="75" t="n">
        <x:v>0.013057951366907218</x:v>
      </x:c>
      <x:c r="K138" s="75" t="n">
        <x:v>0.008411218514302163</x:v>
      </x:c>
      <x:c r="L138" s="75" t="n">
        <x:v>0.011970457549366983</x:v>
      </x:c>
      <x:c r="M138" s="75" t="n">
        <x:v>0.005838980153064768</x:v>
      </x:c>
      <x:c r="N138" s="75" t="n">
        <x:v>0.0074782916099356955</x:v>
      </x:c>
      <x:c r="O138" s="75" t="n">
        <x:v>0.013901742462127003</x:v>
      </x:c>
      <x:c r="P138" s="75" t="n">
        <x:v>0.002666737690989976</x:v>
      </x:c>
      <x:c r="Q138" s="75" t="n">
        <x:v>0.003614346328788088</x:v>
      </x:c>
      <x:c r="R138" s="75" t="n">
        <x:v>0.34523824594227653</x:v>
      </x:c>
      <x:c r="S138" s="75" t="n">
        <x:v>0.01698166328141815</x:v>
      </x:c>
      <x:c r="T138" s="75" t="n">
        <x:v>0.006563753730297321</x:v>
      </x:c>
      <x:c r="U138" s="75" t="n">
        <x:v>0.011274613140412839</x:v>
      </x:c>
      <x:c r="V138" s="75" t="n">
        <x:v>0.030457821854215583</x:v>
      </x:c>
      <x:c r="W138" s="75" t="n">
        <x:v>0.0201091657159774</x:v>
      </x:c>
      <x:c r="X138" s="75" t="n">
        <x:v>0.04317789778831835</x:v>
      </x:c>
      <x:c r="Y138" s="75" t="n">
        <x:v>0.03269141827286862</x:v>
      </x:c>
      <x:c r="Z138" s="75" t="n">
        <x:v>0.005858995018924121</x:v>
      </x:c>
      <x:c r="AA138" s="75" t="n">
        <x:v>0.008011348067791947</x:v>
      </x:c>
      <x:c r="AB138" s="75" t="n">
        <x:v>0.009247112470485324</x:v>
      </x:c>
      <x:c r="AC138" s="75" t="n">
        <x:v>0.041421017577904486</x:v>
      </x:c>
      <x:c r="AD138" s="75" t="n">
        <x:v>0.10354024645784289</x:v>
      </x:c>
      <x:c r="AE138" s="75" t="n">
        <x:v>0.0849282912145718</x:v>
      </x:c>
      <x:c r="AF138" s="74" t="n">
        <x:v>9</x:v>
      </x:c>
    </x:row>
    <x:row r="139">
      <x:c r="A139" t="str">
        <x:v>2025 S2</x:v>
      </x:c>
      <x:c r="B139" t="str">
        <x:v>CNCT0035</x:v>
      </x:c>
      <x:c r="C139" s="74" t="n">
        <x:v>2263</x:v>
      </x:c>
      <x:c r="D139" s="74" t="n">
        <x:v>925.222</x:v>
      </x:c>
      <x:c r="E139" s="75" t="n">
        <x:v>0.9670595182737451</x:v>
      </x:c>
      <x:c r="F139" s="75" t="n">
        <x:v>0.2152485805461183</x:v>
      </x:c>
      <x:c r="G139" s="75" t="n">
        <x:v>0.012208003221312536</x:v>
      </x:c>
      <x:c r="H139" s="75" t="n">
        <x:v>0.010602485339710256</x:v>
      </x:c>
      <x:c r="I139" s="75" t="n">
        <x:v>0.007753146142775222</x:v>
      </x:c>
      <x:c r="J139" s="75" t="n">
        <x:v>0.013057951366907218</x:v>
      </x:c>
      <x:c r="K139" s="75" t="n">
        <x:v>0.008411218514302163</x:v>
      </x:c>
      <x:c r="L139" s="75" t="n">
        <x:v>0.011970457549366983</x:v>
      </x:c>
      <x:c r="M139" s="75" t="n">
        <x:v>0.005838980153064768</x:v>
      </x:c>
      <x:c r="N139" s="75" t="n">
        <x:v>0.0074782916099356955</x:v>
      </x:c>
      <x:c r="O139" s="75" t="n">
        <x:v>0.013901742462127003</x:v>
      </x:c>
      <x:c r="P139" s="75" t="n">
        <x:v>0.002666737690989976</x:v>
      </x:c>
      <x:c r="Q139" s="75" t="n">
        <x:v>0.003614346328788088</x:v>
      </x:c>
      <x:c r="R139" s="75" t="n">
        <x:v>0.3611736717271943</x:v>
      </x:c>
      <x:c r="S139" s="75" t="n">
        <x:v>0.01698166328141815</x:v>
      </x:c>
      <x:c r="T139" s="75" t="n">
        <x:v>0.006563753730297321</x:v>
      </x:c>
      <x:c r="U139" s="75" t="n">
        <x:v>0.011274613140412839</x:v>
      </x:c>
      <x:c r="V139" s="75" t="n">
        <x:v>0.030457821854215583</x:v>
      </x:c>
      <x:c r="W139" s="75" t="n">
        <x:v>0.014895678308131407</x:v>
      </x:c>
      <x:c r="X139" s="75" t="n">
        <x:v>0.03198362799134692</x:v>
      </x:c>
      <x:c r="Y139" s="75" t="n">
        <x:v>0.02421586538731009</x:v>
      </x:c>
      <x:c r="Z139" s="75" t="n">
        <x:v>0.005858995018924121</x:v>
      </x:c>
      <x:c r="AA139" s="75" t="n">
        <x:v>0.008011348067791947</x:v>
      </x:c>
      <x:c r="AB139" s="75" t="n">
        <x:v>0.00684971294110024</x:v>
      </x:c>
      <x:c r="AC139" s="75" t="n">
        <x:v>0.030682235242892212</x:v>
      </x:c>
      <x:c r="AD139" s="75" t="n">
        <x:v>0.092446648623074</x:v>
      </x:c>
      <x:c r="AE139" s="75" t="n">
        <x:v>0.0849282912145718</x:v>
      </x:c>
      <x:c r="AF139" s="74" t="n">
        <x:v>9</x:v>
      </x:c>
    </x:row>
    <x:row r="140">
      <x:c r="A140" t="str">
        <x:v>2026 S1</x:v>
      </x:c>
      <x:c r="B140" t="str">
        <x:v>CNCT0035</x:v>
      </x:c>
      <x:c r="C140" s="74" t="n">
        <x:v>1891</x:v>
      </x:c>
      <x:c r="D140" s="74" t="n">
        <x:v>948.34</x:v>
      </x:c>
      <x:c r="E140" s="75" t="n">
        <x:v>0.9769106271681812</x:v>
      </x:c>
      <x:c r="F140" s="75" t="n">
        <x:v>0.212529144357326</x:v>
      </x:c>
      <x:c r="G140" s="75" t="n">
        <x:v>0.011570538674219278</x:v>
      </x:c>
      <x:c r="H140" s="75" t="n">
        <x:v>0.010602485339710256</x:v>
      </x:c>
      <x:c r="I140" s="75" t="n">
        <x:v>0.007753146142775222</x:v>
      </x:c>
      <x:c r="J140" s="75" t="n">
        <x:v>0.013057951366907218</x:v>
      </x:c>
      <x:c r="K140" s="75" t="n">
        <x:v>0.008411218514302163</x:v>
      </x:c>
      <x:c r="L140" s="75" t="n">
        <x:v>0.011970457549366983</x:v>
      </x:c>
      <x:c r="M140" s="75" t="n">
        <x:v>0.005838980153064768</x:v>
      </x:c>
      <x:c r="N140" s="75" t="n">
        <x:v>0.0074782916099356955</x:v>
      </x:c>
      <x:c r="O140" s="75" t="n">
        <x:v>0.012093136163646705</x:v>
      </x:c>
      <x:c r="P140" s="75" t="n">
        <x:v>0.002666737690989976</x:v>
      </x:c>
      <x:c r="Q140" s="75" t="n">
        <x:v>0.003614346328788088</x:v>
      </x:c>
      <x:c r="R140" s="75" t="n">
        <x:v>0.3524861231845191</x:v>
      </x:c>
      <x:c r="S140" s="75" t="n">
        <x:v>0.01698166328141815</x:v>
      </x:c>
      <x:c r="T140" s="75" t="n">
        <x:v>0.006563753730297321</x:v>
      </x:c>
      <x:c r="U140" s="75" t="n">
        <x:v>0.011274613140412839</x:v>
      </x:c>
      <x:c r="V140" s="75" t="n">
        <x:v>0.030457821854215583</x:v>
      </x:c>
      <x:c r="W140" s="75" t="n">
        <x:v>0.02771254429459996</x:v>
      </x:c>
      <x:c r="X140" s="75" t="n">
        <x:v>0.05950368214708021</x:v>
      </x:c>
      <x:c r="Y140" s="75" t="n">
        <x:v>0.04505221100348032</x:v>
      </x:c>
      <x:c r="Z140" s="75" t="n">
        <x:v>0.00807431105183885</x:v>
      </x:c>
      <x:c r="AA140" s="75" t="n">
        <x:v>0.011040479815218987</x:v>
      </x:c>
      <x:c r="AB140" s="75" t="n">
        <x:v>0.012743493069524228</x:v>
      </x:c>
      <x:c r="AC140" s="75" t="n">
        <x:v>0.05708251652842323</x:v>
      </x:c>
      <x:c r="AD140" s="75" t="n">
        <x:v>0.10354024645784289</x:v>
      </x:c>
      <x:c r="AE140" s="75" t="n">
        <x:v>0.0849282912145718</x:v>
      </x:c>
      <x:c r="AF140" s="74" t="n">
        <x:v>9</x:v>
      </x:c>
    </x:row>
    <x:row r="141">
      <x:c r="A141" t="str">
        <x:v>2026 S2</x:v>
      </x:c>
      <x:c r="B141" t="str">
        <x:v>CNCT0035</x:v>
      </x:c>
      <x:c r="C141" s="74" t="n">
        <x:v>2381</x:v>
      </x:c>
      <x:c r="D141" s="74" t="n">
        <x:v>953.611</x:v>
      </x:c>
      <x:c r="E141" s="75" t="n">
        <x:v>0.9670595182737451</x:v>
      </x:c>
      <x:c r="F141" s="75" t="n">
        <x:v>0.21701639825886376</x:v>
      </x:c>
      <x:c r="G141" s="75" t="n">
        <x:v>0.011649742253259545</x:v>
      </x:c>
      <x:c r="H141" s="75" t="n">
        <x:v>0.010602485339710256</x:v>
      </x:c>
      <x:c r="I141" s="75" t="n">
        <x:v>0.007753146142775222</x:v>
      </x:c>
      <x:c r="J141" s="75" t="n">
        <x:v>0.013057951366907218</x:v>
      </x:c>
      <x:c r="K141" s="75" t="n">
        <x:v>0.008411218514302163</x:v>
      </x:c>
      <x:c r="L141" s="75" t="n">
        <x:v>0.011970457549366983</x:v>
      </x:c>
      <x:c r="M141" s="75" t="n">
        <x:v>0.005838980153064768</x:v>
      </x:c>
      <x:c r="N141" s="75" t="n">
        <x:v>0.0074782916099356955</x:v>
      </x:c>
      <x:c r="O141" s="75" t="n">
        <x:v>0.013901742462127003</x:v>
      </x:c>
      <x:c r="P141" s="75" t="n">
        <x:v>0.002666737690989976</x:v>
      </x:c>
      <x:c r="Q141" s="75" t="n">
        <x:v>0.003614346328788088</x:v>
      </x:c>
      <x:c r="R141" s="75" t="n">
        <x:v>0.3620185162762044</x:v>
      </x:c>
      <x:c r="S141" s="75" t="n">
        <x:v>0.01698166328141815</x:v>
      </x:c>
      <x:c r="T141" s="75" t="n">
        <x:v>0.006563753730297321</x:v>
      </x:c>
      <x:c r="U141" s="75" t="n">
        <x:v>0.011274613140412839</x:v>
      </x:c>
      <x:c r="V141" s="75" t="n">
        <x:v>0.030457821854215583</x:v>
      </x:c>
      <x:c r="W141" s="75" t="n">
        <x:v>0.01863151442781076</x:v>
      </x:c>
      <x:c r="X141" s="75" t="n">
        <x:v>0.04000512189157673</x:v>
      </x:c>
      <x:c r="Y141" s="75" t="n">
        <x:v>0.03028920442644746</x:v>
      </x:c>
      <x:c r="Z141" s="75" t="n">
        <x:v>0.00732843096967029</x:v>
      </x:c>
      <x:c r="AA141" s="75" t="n">
        <x:v>0.010020594163194167</x:v>
      </x:c>
      <x:c r="AB141" s="75" t="n">
        <x:v>0.00856762094672818</x:v>
      </x:c>
      <x:c r="AC141" s="75" t="n">
        <x:v>0.038377339841809584</x:v>
      </x:c>
      <x:c r="AD141" s="75" t="n">
        <x:v>0.092446648623074</x:v>
      </x:c>
      <x:c r="AE141" s="75" t="n">
        <x:v>0.0849282912145718</x:v>
      </x:c>
      <x:c r="AF141" s="74" t="n">
        <x:v>9</x:v>
      </x:c>
    </x:row>
    <x:row r="142">
      <x:c r="A142" t="str">
        <x:v>2025 S1</x:v>
      </x:c>
      <x:c r="B142" t="str">
        <x:v>CNCT0036</x:v>
      </x:c>
      <x:c r="C142" s="74" t="n">
        <x:v>2016</x:v>
      </x:c>
      <x:c r="D142" s="74" t="n">
        <x:v>986.961</x:v>
      </x:c>
      <x:c r="E142" s="75" t="n">
        <x:v>0.9841323285035906</x:v>
      </x:c>
      <x:c r="F142" s="75" t="n">
        <x:v>0.18709982648538426</x:v>
      </x:c>
      <x:c r="G142" s="75" t="n">
        <x:v>0.009087076690251706</x:v>
      </x:c>
      <x:c r="H142" s="75" t="n">
        <x:v>0.012426433573142277</x:v>
      </x:c>
      <x:c r="I142" s="75" t="n">
        <x:v>0.009247990577321617</x:v>
      </x:c>
      <x:c r="J142" s="75" t="n">
        <x:v>0.015708183459355495</x:v>
      </x:c>
      <x:c r="K142" s="75" t="n">
        <x:v>0.008222010250785387</x:v>
      </x:c>
      <x:c r="L142" s="75" t="n">
        <x:v>0.010275544090261973</x:v>
      </x:c>
      <x:c r="M142" s="75" t="n">
        <x:v>0.005904514444627466</x:v>
      </x:c>
      <x:c r="N142" s="75" t="n">
        <x:v>0.005779364424015512</x:v>
      </x:c>
      <x:c r="O142" s="75" t="n">
        <x:v>0.006469157498482672</x:v>
      </x:c>
      <x:c r="P142" s="75" t="n">
        <x:v>0.0005018891107538366</x:v>
      </x:c>
      <x:c r="Q142" s="75" t="n">
        <x:v>0.001032264620575006</x:v>
      </x:c>
      <x:c r="R142" s="75" t="n">
        <x:v>0.37251647476787675</x:v>
      </x:c>
      <x:c r="S142" s="75" t="n">
        <x:v>0.016323821715996018</x:v>
      </x:c>
      <x:c r="T142" s="75" t="n">
        <x:v>0.006615596385003301</x:v>
      </x:c>
      <x:c r="U142" s="75" t="n">
        <x:v>0.00880079797032522</x:v>
      </x:c>
      <x:c r="V142" s="75" t="n">
        <x:v>0.03226335490886413</x:v>
      </x:c>
      <x:c r="W142" s="75" t="n">
        <x:v>0.013361084888673156</x:v>
      </x:c>
      <x:c r="X142" s="75" t="n">
        <x:v>0.02207996296979317</x:v>
      </x:c>
      <x:c r="Y142" s="75" t="n">
        <x:v>0.01754572492460143</x:v>
      </x:c>
      <x:c r="Z142" s="75" t="n">
        <x:v>0.009305870118219406</x:v>
      </x:c>
      <x:c r="AA142" s="75" t="n">
        <x:v>0.009525841817461</x:v>
      </x:c>
      <x:c r="AB142" s="75" t="n">
        <x:v>0.007361024677751936</x:v>
      </x:c>
      <x:c r="AC142" s="75" t="n">
        <x:v>0.037054609402585315</x:v>
      </x:c>
      <x:c r="AD142" s="75" t="n">
        <x:v>0.08868125861035515</x:v>
      </x:c>
      <x:c r="AE142" s="75" t="n">
        <x:v>0.06617012910465564</x:v>
      </x:c>
      <x:c r="AF142" s="74" t="n">
        <x:v>9</x:v>
      </x:c>
    </x:row>
    <x:row r="143">
      <x:c r="A143" t="str">
        <x:v>2025 S2</x:v>
      </x:c>
      <x:c r="B143" t="str">
        <x:v>CNCT0036</x:v>
      </x:c>
      <x:c r="C143" s="74" t="n">
        <x:v>2176</x:v>
      </x:c>
      <x:c r="D143" s="74" t="n">
        <x:v>998.805</x:v>
      </x:c>
      <x:c r="E143" s="75" t="n">
        <x:v>0.9713350663361489</x:v>
      </x:c>
      <x:c r="F143" s="75" t="n">
        <x:v>0.18709982648538426</x:v>
      </x:c>
      <x:c r="G143" s="75" t="n">
        <x:v>0.009087076690251706</x:v>
      </x:c>
      <x:c r="H143" s="75" t="n">
        <x:v>0.012426433573142277</x:v>
      </x:c>
      <x:c r="I143" s="75" t="n">
        <x:v>0.009247990577321617</x:v>
      </x:c>
      <x:c r="J143" s="75" t="n">
        <x:v>0.015708183459355495</x:v>
      </x:c>
      <x:c r="K143" s="75" t="n">
        <x:v>0.008222010250785387</x:v>
      </x:c>
      <x:c r="L143" s="75" t="n">
        <x:v>0.010275544090261973</x:v>
      </x:c>
      <x:c r="M143" s="75" t="n">
        <x:v>0.005904514444627466</x:v>
      </x:c>
      <x:c r="N143" s="75" t="n">
        <x:v>0.005779364424015512</x:v>
      </x:c>
      <x:c r="O143" s="75" t="n">
        <x:v>0.006469157498482672</x:v>
      </x:c>
      <x:c r="P143" s="75" t="n">
        <x:v>0.0005018891107538366</x:v>
      </x:c>
      <x:c r="Q143" s="75" t="n">
        <x:v>0.001032264620575006</x:v>
      </x:c>
      <x:c r="R143" s="75" t="n">
        <x:v>0.37992596191705025</x:v>
      </x:c>
      <x:c r="S143" s="75" t="n">
        <x:v>0.016323821715996018</x:v>
      </x:c>
      <x:c r="T143" s="75" t="n">
        <x:v>0.006615596385003301</x:v>
      </x:c>
      <x:c r="U143" s="75" t="n">
        <x:v>0.00880079797032522</x:v>
      </x:c>
      <x:c r="V143" s="75" t="n">
        <x:v>0.03226335490886413</x:v>
      </x:c>
      <x:c r="W143" s="75" t="n">
        <x:v>0.013361084888673156</x:v>
      </x:c>
      <x:c r="X143" s="75" t="n">
        <x:v>0.02207996296979317</x:v>
      </x:c>
      <x:c r="Y143" s="75" t="n">
        <x:v>0.01754572492460143</x:v>
      </x:c>
      <x:c r="Z143" s="75" t="n">
        <x:v>0.009305870118219406</x:v>
      </x:c>
      <x:c r="AA143" s="75" t="n">
        <x:v>0.009525841817461</x:v>
      </x:c>
      <x:c r="AB143" s="75" t="n">
        <x:v>0.007361024677751936</x:v>
      </x:c>
      <x:c r="AC143" s="75" t="n">
        <x:v>0.037054609402585315</x:v>
      </x:c>
      <x:c r="AD143" s="75" t="n">
        <x:v>0.08868125861035515</x:v>
      </x:c>
      <x:c r="AE143" s="75" t="n">
        <x:v>0.06617012910465564</x:v>
      </x:c>
      <x:c r="AF143" s="74" t="n">
        <x:v>9</x:v>
      </x:c>
    </x:row>
    <x:row r="144">
      <x:c r="A144" t="str">
        <x:v>2026 S1</x:v>
      </x:c>
      <x:c r="B144" t="str">
        <x:v>CNCT0036</x:v>
      </x:c>
      <x:c r="C144" s="74" t="n">
        <x:v>1896</x:v>
      </x:c>
      <x:c r="D144" s="74" t="n">
        <x:v>1030.316</x:v>
      </x:c>
      <x:c r="E144" s="75" t="n">
        <x:v>0.9821909133979061</x:v>
      </x:c>
      <x:c r="F144" s="75" t="n">
        <x:v>0.1842229743104326</x:v>
      </x:c>
      <x:c r="G144" s="75" t="n">
        <x:v>0.007228691489840457</x:v>
      </x:c>
      <x:c r="H144" s="75" t="n">
        <x:v>0.012426433573142277</x:v>
      </x:c>
      <x:c r="I144" s="75" t="n">
        <x:v>0.009247990577321617</x:v>
      </x:c>
      <x:c r="J144" s="75" t="n">
        <x:v>0.015708183459355495</x:v>
      </x:c>
      <x:c r="K144" s="75" t="n">
        <x:v>0.008222010250785387</x:v>
      </x:c>
      <x:c r="L144" s="75" t="n">
        <x:v>0.010275544090261973</x:v>
      </x:c>
      <x:c r="M144" s="75" t="n">
        <x:v>0.005904514444627466</x:v>
      </x:c>
      <x:c r="N144" s="75" t="n">
        <x:v>0.005779364424015512</x:v>
      </x:c>
      <x:c r="O144" s="75" t="n">
        <x:v>0.006317765929554298</x:v>
      </x:c>
      <x:c r="P144" s="75" t="n">
        <x:v>0.0005018891107538366</x:v>
      </x:c>
      <x:c r="Q144" s="75" t="n">
        <x:v>0.001032264620575006</x:v>
      </x:c>
      <x:c r="R144" s="75" t="n">
        <x:v>0.3741826612255145</x:v>
      </x:c>
      <x:c r="S144" s="75" t="n">
        <x:v>0.016323821715996018</x:v>
      </x:c>
      <x:c r="T144" s="75" t="n">
        <x:v>0.006615596385003301</x:v>
      </x:c>
      <x:c r="U144" s="75" t="n">
        <x:v>0.00880079797032522</x:v>
      </x:c>
      <x:c r="V144" s="75" t="n">
        <x:v>0.03226335490886413</x:v>
      </x:c>
      <x:c r="W144" s="75" t="n">
        <x:v>0.018412979535350565</x:v>
      </x:c>
      <x:c r="X144" s="75" t="n">
        <x:v>0.03042851008668906</x:v>
      </x:c>
      <x:c r="Y144" s="75" t="n">
        <x:v>0.02417985340722278</x:v>
      </x:c>
      <x:c r="Z144" s="75" t="n">
        <x:v>0.012824467284888293</x:v>
      </x:c>
      <x:c r="AA144" s="75" t="n">
        <x:v>0.01312761141055173</x:v>
      </x:c>
      <x:c r="AB144" s="75" t="n">
        <x:v>0.010144265819728411</x:v>
      </x:c>
      <x:c r="AC144" s="75" t="n">
        <x:v>0.05106514705243875</x:v>
      </x:c>
      <x:c r="AD144" s="75" t="n">
        <x:v>0.08868125861035515</x:v>
      </x:c>
      <x:c r="AE144" s="75" t="n">
        <x:v>0.06617012910465564</x:v>
      </x:c>
      <x:c r="AF144" s="74" t="n">
        <x:v>9</x:v>
      </x:c>
    </x:row>
    <x:row r="145">
      <x:c r="A145" t="str">
        <x:v>2026 S2</x:v>
      </x:c>
      <x:c r="B145" t="str">
        <x:v>CNCT0036</x:v>
      </x:c>
      <x:c r="C145" s="74" t="n">
        <x:v>2103</x:v>
      </x:c>
      <x:c r="D145" s="74" t="n">
        <x:v>1021.902</x:v>
      </x:c>
      <x:c r="E145" s="75" t="n">
        <x:v>0.9713350663361489</x:v>
      </x:c>
      <x:c r="F145" s="75" t="n">
        <x:v>0.18617445996625612</x:v>
      </x:c>
      <x:c r="G145" s="75" t="n">
        <x:v>0.009154391026633676</x:v>
      </x:c>
      <x:c r="H145" s="75" t="n">
        <x:v>0.012426433573142277</x:v>
      </x:c>
      <x:c r="I145" s="75" t="n">
        <x:v>0.009247990577321617</x:v>
      </x:c>
      <x:c r="J145" s="75" t="n">
        <x:v>0.015708183459355495</x:v>
      </x:c>
      <x:c r="K145" s="75" t="n">
        <x:v>0.008222010250785387</x:v>
      </x:c>
      <x:c r="L145" s="75" t="n">
        <x:v>0.010275544090261973</x:v>
      </x:c>
      <x:c r="M145" s="75" t="n">
        <x:v>0.005904514444627466</x:v>
      </x:c>
      <x:c r="N145" s="75" t="n">
        <x:v>0.005779364424015512</x:v>
      </x:c>
      <x:c r="O145" s="75" t="n">
        <x:v>0.006469157498482672</x:v>
      </x:c>
      <x:c r="P145" s="75" t="n">
        <x:v>0.0005018891107538366</x:v>
      </x:c>
      <x:c r="Q145" s="75" t="n">
        <x:v>0.001032264620575006</x:v>
      </x:c>
      <x:c r="R145" s="75" t="n">
        <x:v>0.38055980650001925</x:v>
      </x:c>
      <x:c r="S145" s="75" t="n">
        <x:v>0.016323821715996018</x:v>
      </x:c>
      <x:c r="T145" s="75" t="n">
        <x:v>0.006615596385003301</x:v>
      </x:c>
      <x:c r="U145" s="75" t="n">
        <x:v>0.00880079797032522</x:v>
      </x:c>
      <x:c r="V145" s="75" t="n">
        <x:v>0.03226335490886413</x:v>
      </x:c>
      <x:c r="W145" s="75" t="n">
        <x:v>0.016712044978752384</x:v>
      </x:c>
      <x:c r="X145" s="75" t="n">
        <x:v>0.027617617682617297</x:v>
      </x:c>
      <x:c r="Y145" s="75" t="n">
        <x:v>0.021946192735691466</x:v>
      </x:c>
      <x:c r="Z145" s="75" t="n">
        <x:v>0.011639782343868832</x:v>
      </x:c>
      <x:c r="AA145" s="75" t="n">
        <x:v>0.011914922945280218</x:v>
      </x:c>
      <x:c r="AB145" s="75" t="n">
        <x:v>0.009207169666932122</x:v>
      </x:c>
      <x:c r="AC145" s="75" t="n">
        <x:v>0.04634790544075371</x:v>
      </x:c>
      <x:c r="AD145" s="75" t="n">
        <x:v>0.08868125861035515</x:v>
      </x:c>
      <x:c r="AE145" s="75" t="n">
        <x:v>0.06617012910465564</x:v>
      </x:c>
      <x:c r="AF145" s="74" t="n">
        <x:v>9</x:v>
      </x:c>
    </x:row>
    <x:row r="146">
      <x:c r="A146" t="str">
        <x:v>2025 S1</x:v>
      </x:c>
      <x:c r="B146" t="str">
        <x:v>CNCT0037</x:v>
      </x:c>
      <x:c r="C146" s="74" t="n">
        <x:v>3083</x:v>
      </x:c>
      <x:c r="D146" s="74" t="n">
        <x:v>1272.827</x:v>
      </x:c>
      <x:c r="E146" s="75" t="n">
        <x:v>0.97262772478427</x:v>
      </x:c>
      <x:c r="F146" s="75" t="n">
        <x:v>0.18240502890385688</x:v>
      </x:c>
      <x:c r="G146" s="75" t="n">
        <x:v>0.009250060138612752</x:v>
      </x:c>
      <x:c r="H146" s="75" t="n">
        <x:v>0.010167693543597124</x:v>
      </x:c>
      <x:c r="I146" s="75" t="n">
        <x:v>0.006572494611653383</x:v>
      </x:c>
      <x:c r="J146" s="75" t="n">
        <x:v>0.012811897485866211</x:v>
      </x:c>
      <x:c r="K146" s="75" t="n">
        <x:v>0.013972878298634896</x:v>
      </x:c>
      <x:c r="L146" s="75" t="n">
        <x:v>0.011179078830777144</x:v>
      </x:c>
      <x:c r="M146" s="75" t="n">
        <x:v>0.009510723361861892</x:v>
      </x:c>
      <x:c r="N146" s="75" t="n">
        <x:v>0.00795645509277165</x:v>
      </x:c>
      <x:c r="O146" s="75" t="n">
        <x:v>0.007867530317176715</x:v>
      </x:c>
      <x:c r="P146" s="75" t="n">
        <x:v>0.002323986541843624</x:v>
      </x:c>
      <x:c r="Q146" s="75" t="n">
        <x:v>0.005783294416643912</x:v>
      </x:c>
      <x:c r="R146" s="75" t="n">
        <x:v>0.3527604873260227</x:v>
      </x:c>
      <x:c r="S146" s="75" t="n">
        <x:v>0.012877196798945079</x:v>
      </x:c>
      <x:c r="T146" s="75" t="n">
        <x:v>0.006886429500998929</x:v>
      </x:c>
      <x:c r="U146" s="75" t="n">
        <x:v>0.005924038256925996</x:v>
      </x:c>
      <x:c r="V146" s="75" t="n">
        <x:v>0.03757021142286249</x:v>
      </x:c>
      <x:c r="W146" s="75" t="n">
        <x:v>0.012862904327722208</x:v>
      </x:c>
      <x:c r="X146" s="75" t="n">
        <x:v>0.024724138714018917</x:v>
      </x:c>
      <x:c r="Y146" s="75" t="n">
        <x:v>0.014740184972821736</x:v>
      </x:c>
      <x:c r="Z146" s="75" t="n">
        <x:v>0.005395299339329359</x:v>
      </x:c>
      <x:c r="AA146" s="75" t="n">
        <x:v>0.005058307777411538</x:v>
      </x:c>
      <x:c r="AB146" s="75" t="n">
        <x:v>0.0038759815961937425</x:v>
      </x:c>
      <x:c r="AC146" s="75" t="n">
        <x:v>0.02033830567464465</x:v>
      </x:c>
      <x:c r="AD146" s="75" t="n">
        <x:v>0.1092997765899636</x:v>
      </x:c>
      <x:c r="AE146" s="75" t="n">
        <x:v>0.07063717514974846</x:v>
      </x:c>
      <x:c r="AF146" s="74" t="n">
        <x:v>11</x:v>
      </x:c>
    </x:row>
    <x:row r="147">
      <x:c r="A147" t="str">
        <x:v>2025 S2</x:v>
      </x:c>
      <x:c r="B147" t="str">
        <x:v>CNCT0037</x:v>
      </x:c>
      <x:c r="C147" s="74" t="n">
        <x:v>3337</x:v>
      </x:c>
      <x:c r="D147" s="74" t="n">
        <x:v>1288.101</x:v>
      </x:c>
      <x:c r="E147" s="75" t="n">
        <x:v>0.9822478152871772</x:v>
      </x:c>
      <x:c r="F147" s="75" t="n">
        <x:v>0.18240502890385688</x:v>
      </x:c>
      <x:c r="G147" s="75" t="n">
        <x:v>0.009250060138612752</x:v>
      </x:c>
      <x:c r="H147" s="75" t="n">
        <x:v>0.010167693543597124</x:v>
      </x:c>
      <x:c r="I147" s="75" t="n">
        <x:v>0.006572494611653383</x:v>
      </x:c>
      <x:c r="J147" s="75" t="n">
        <x:v>0.012811897485866211</x:v>
      </x:c>
      <x:c r="K147" s="75" t="n">
        <x:v>0.013972878298634896</x:v>
      </x:c>
      <x:c r="L147" s="75" t="n">
        <x:v>0.011179078830777144</x:v>
      </x:c>
      <x:c r="M147" s="75" t="n">
        <x:v>0.009510723361861892</x:v>
      </x:c>
      <x:c r="N147" s="75" t="n">
        <x:v>0.00795645509277165</x:v>
      </x:c>
      <x:c r="O147" s="75" t="n">
        <x:v>0.007867530317176715</x:v>
      </x:c>
      <x:c r="P147" s="75" t="n">
        <x:v>0.002323986541843624</x:v>
      </x:c>
      <x:c r="Q147" s="75" t="n">
        <x:v>0.005783294416643912</x:v>
      </x:c>
      <x:c r="R147" s="75" t="n">
        <x:v>0.34664221659786776</x:v>
      </x:c>
      <x:c r="S147" s="75" t="n">
        <x:v>0.012877196798945079</x:v>
      </x:c>
      <x:c r="T147" s="75" t="n">
        <x:v>0.006886429500998929</x:v>
      </x:c>
      <x:c r="U147" s="75" t="n">
        <x:v>0.005924038256925996</x:v>
      </x:c>
      <x:c r="V147" s="75" t="n">
        <x:v>0.03757021142286249</x:v>
      </x:c>
      <x:c r="W147" s="75" t="n">
        <x:v>0.012862904327722208</x:v>
      </x:c>
      <x:c r="X147" s="75" t="n">
        <x:v>0.024724138714018917</x:v>
      </x:c>
      <x:c r="Y147" s="75" t="n">
        <x:v>0.014740184972821736</x:v>
      </x:c>
      <x:c r="Z147" s="75" t="n">
        <x:v>0.005395299339329359</x:v>
      </x:c>
      <x:c r="AA147" s="75" t="n">
        <x:v>0.005058307777411538</x:v>
      </x:c>
      <x:c r="AB147" s="75" t="n">
        <x:v>0.0038759815961937425</x:v>
      </x:c>
      <x:c r="AC147" s="75" t="n">
        <x:v>0.02033830567464465</x:v>
      </x:c>
      <x:c r="AD147" s="75" t="n">
        <x:v>0.1092997765899636</x:v>
      </x:c>
      <x:c r="AE147" s="75" t="n">
        <x:v>0.07913225613707286</x:v>
      </x:c>
      <x:c r="AF147" s="74" t="n">
        <x:v>11</x:v>
      </x:c>
    </x:row>
    <x:row r="148">
      <x:c r="A148" t="str">
        <x:v>2026 S1</x:v>
      </x:c>
      <x:c r="B148" t="str">
        <x:v>CNCT0037</x:v>
      </x:c>
      <x:c r="C148" s="74" t="n">
        <x:v>3440</x:v>
      </x:c>
      <x:c r="D148" s="74" t="n">
        <x:v>1317.412</x:v>
      </x:c>
      <x:c r="E148" s="75" t="n">
        <x:v>0.969865780945478</x:v>
      </x:c>
      <x:c r="F148" s="75" t="n">
        <x:v>0.18657364840283117</x:v>
      </x:c>
      <x:c r="G148" s="75" t="n">
        <x:v>0.010421026018681005</x:v>
      </x:c>
      <x:c r="H148" s="75" t="n">
        <x:v>0.010167693543597124</x:v>
      </x:c>
      <x:c r="I148" s="75" t="n">
        <x:v>0.006572494611653383</x:v>
      </x:c>
      <x:c r="J148" s="75" t="n">
        <x:v>0.012811897485866211</x:v>
      </x:c>
      <x:c r="K148" s="75" t="n">
        <x:v>0.013972878298634896</x:v>
      </x:c>
      <x:c r="L148" s="75" t="n">
        <x:v>0.011179078830777144</x:v>
      </x:c>
      <x:c r="M148" s="75" t="n">
        <x:v>0.009510723361861892</x:v>
      </x:c>
      <x:c r="N148" s="75" t="n">
        <x:v>0.00795645509277165</x:v>
      </x:c>
      <x:c r="O148" s="75" t="n">
        <x:v>0.009379141501874983</x:v>
      </x:c>
      <x:c r="P148" s="75" t="n">
        <x:v>0.002323986541843624</x:v>
      </x:c>
      <x:c r="Q148" s="75" t="n">
        <x:v>0.005783294416643912</x:v>
      </x:c>
      <x:c r="R148" s="75" t="n">
        <x:v>0.32956265162470183</x:v>
      </x:c>
      <x:c r="S148" s="75" t="n">
        <x:v>0.012877196798945079</x:v>
      </x:c>
      <x:c r="T148" s="75" t="n">
        <x:v>0.006886429500998929</x:v>
      </x:c>
      <x:c r="U148" s="75" t="n">
        <x:v>0.005924038256925996</x:v>
      </x:c>
      <x:c r="V148" s="75" t="n">
        <x:v>0.03757021142286249</x:v>
      </x:c>
      <x:c r="W148" s="75" t="n">
        <x:v>0.011319355808395543</x:v>
      </x:c>
      <x:c r="X148" s="75" t="n">
        <x:v>0.02175724206833665</x:v>
      </x:c>
      <x:c r="Y148" s="75" t="n">
        <x:v>0.012971362776083128</x:v>
      </x:c>
      <x:c r="Z148" s="75" t="n">
        <x:v>0.004747863418609836</x:v>
      </x:c>
      <x:c r="AA148" s="75" t="n">
        <x:v>0.004451310844122153</x:v>
      </x:c>
      <x:c r="AB148" s="75" t="n">
        <x:v>0.0034108638046504935</x:v>
      </x:c>
      <x:c r="AC148" s="75" t="n">
        <x:v>0.017897708993687294</x:v>
      </x:c>
      <x:c r="AD148" s="75" t="n">
        <x:v>0.10055579446276651</x:v>
      </x:c>
      <x:c r="AE148" s="75" t="n">
        <x:v>0.11763652866146837</x:v>
      </x:c>
      <x:c r="AF148" s="74" t="n">
        <x:v>11</x:v>
      </x:c>
    </x:row>
    <x:row r="149">
      <x:c r="A149" t="str">
        <x:v>2026 S2</x:v>
      </x:c>
      <x:c r="B149" t="str">
        <x:v>CNCT0037</x:v>
      </x:c>
      <x:c r="C149" s="74" t="n">
        <x:v>3786</x:v>
      </x:c>
      <x:c r="D149" s="74" t="n">
        <x:v>1317.944</x:v>
      </x:c>
      <x:c r="E149" s="75" t="n">
        <x:v>0.9822478152871772</x:v>
      </x:c>
      <x:c r="F149" s="75" t="n">
        <x:v>0.17808791764313356</x:v>
      </x:c>
      <x:c r="G149" s="75" t="n">
        <x:v>0.009041716687119332</x:v>
      </x:c>
      <x:c r="H149" s="75" t="n">
        <x:v>0.010167693543597124</x:v>
      </x:c>
      <x:c r="I149" s="75" t="n">
        <x:v>0.006572494611653383</x:v>
      </x:c>
      <x:c r="J149" s="75" t="n">
        <x:v>0.012811897485866211</x:v>
      </x:c>
      <x:c r="K149" s="75" t="n">
        <x:v>0.013972878298634896</x:v>
      </x:c>
      <x:c r="L149" s="75" t="n">
        <x:v>0.011179078830777144</x:v>
      </x:c>
      <x:c r="M149" s="75" t="n">
        <x:v>0.009510723361861892</x:v>
      </x:c>
      <x:c r="N149" s="75" t="n">
        <x:v>0.00795645509277165</x:v>
      </x:c>
      <x:c r="O149" s="75" t="n">
        <x:v>0.007867530317176715</x:v>
      </x:c>
      <x:c r="P149" s="75" t="n">
        <x:v>0.002323986541843624</x:v>
      </x:c>
      <x:c r="Q149" s="75" t="n">
        <x:v>0.005783294416643912</x:v>
      </x:c>
      <x:c r="R149" s="75" t="n">
        <x:v>0.33101214385947975</x:v>
      </x:c>
      <x:c r="S149" s="75" t="n">
        <x:v>0.012877196798945079</x:v>
      </x:c>
      <x:c r="T149" s="75" t="n">
        <x:v>0.006886429500998929</x:v>
      </x:c>
      <x:c r="U149" s="75" t="n">
        <x:v>0.005924038256925996</x:v>
      </x:c>
      <x:c r="V149" s="75" t="n">
        <x:v>0.03757021142286249</x:v>
      </x:c>
      <x:c r="W149" s="75" t="n">
        <x:v>0.011725823585151566</x:v>
      </x:c>
      <x:c r="X149" s="75" t="n">
        <x:v>0.022538524851699646</x:v>
      </x:c>
      <x:c r="Y149" s="75" t="n">
        <x:v>0.013437152621224295</x:v>
      </x:c>
      <x:c r="Z149" s="75" t="n">
        <x:v>0.004918354877732643</x:v>
      </x:c>
      <x:c r="AA149" s="75" t="n">
        <x:v>0.004611153369888358</x:v>
      </x:c>
      <x:c r="AB149" s="75" t="n">
        <x:v>0.003533344823090216</x:v>
      </x:c>
      <x:c r="AC149" s="75" t="n">
        <x:v>0.018540399453006066</x:v>
      </x:c>
      <x:c r="AD149" s="75" t="n">
        <x:v>0.09836979893096724</x:v>
      </x:c>
      <x:c r="AE149" s="75" t="n">
        <x:v>0.12232529620364968</x:v>
      </x:c>
      <x:c r="AF149" s="74" t="n">
        <x:v>11</x:v>
      </x:c>
    </x:row>
    <x:row r="150">
      <x:c r="A150" t="str">
        <x:v>2025 S1</x:v>
      </x:c>
      <x:c r="B150" t="str">
        <x:v>CNCT0038</x:v>
      </x:c>
      <x:c r="C150" s="74" t="n">
        <x:v>2479</x:v>
      </x:c>
      <x:c r="D150" s="74" t="n">
        <x:v>1285.243</x:v>
      </x:c>
      <x:c r="E150" s="75" t="n">
        <x:v>0.9847285082556773</x:v>
      </x:c>
      <x:c r="F150" s="75" t="n">
        <x:v>0.1760840084122028</x:v>
      </x:c>
      <x:c r="G150" s="75" t="n">
        <x:v>0.012355120353779055</x:v>
      </x:c>
      <x:c r="H150" s="75" t="n">
        <x:v>0.010533974189282163</x:v>
      </x:c>
      <x:c r="I150" s="75" t="n">
        <x:v>0.005767365335457726</x:v>
      </x:c>
      <x:c r="J150" s="75" t="n">
        <x:v>0.015043935888097621</x:v>
      </x:c>
      <x:c r="K150" s="75" t="n">
        <x:v>0.013315414333104854</x:v>
      </x:c>
      <x:c r="L150" s="75" t="n">
        <x:v>0.012206134927211678</x:v>
      </x:c>
      <x:c r="M150" s="75" t="n">
        <x:v>0.006694754024927534</x:v>
      </x:c>
      <x:c r="N150" s="75" t="n">
        <x:v>0.006432655062075355</x:v>
      </x:c>
      <x:c r="O150" s="75" t="n">
        <x:v>0.012829451810572209</x:v>
      </x:c>
      <x:c r="P150" s="75" t="n">
        <x:v>0.0022325823909054637</x:v>
      </x:c>
      <x:c r="Q150" s="75" t="n">
        <x:v>0.003707079848078138</x:v>
      </x:c>
      <x:c r="R150" s="75" t="n">
        <x:v>0.3539153906620027</x:v>
      </x:c>
      <x:c r="S150" s="75" t="n">
        <x:v>0.015967708831245545</x:v>
      </x:c>
      <x:c r="T150" s="75" t="n">
        <x:v>0.006019760283525102</x:v>
      </x:c>
      <x:c r="U150" s="75" t="n">
        <x:v>0.011502549456257838</x:v>
      </x:c>
      <x:c r="V150" s="75" t="n">
        <x:v>0.030877485435572456</x:v>
      </x:c>
      <x:c r="W150" s="75" t="n">
        <x:v>0.009019328554332604</x:v>
      </x:c>
      <x:c r="X150" s="75" t="n">
        <x:v>0.025430028765068127</x:v>
      </x:c>
      <x:c r="Y150" s="75" t="n">
        <x:v>0.015215911791429391</x:v>
      </x:c>
      <x:c r="Z150" s="75" t="n">
        <x:v>0.005284853449481307</x:v>
      </x:c>
      <x:c r="AA150" s="75" t="n">
        <x:v>0.007580466124947416</x:v>
      </x:c>
      <x:c r="AB150" s="75" t="n">
        <x:v>0.003076255217584549</x:v>
      </x:c>
      <x:c r="AC150" s="75" t="n">
        <x:v>0.025191392557061043</x:v>
      </x:c>
      <x:c r="AD150" s="75" t="n">
        <x:v>0.100461789398134</x:v>
      </x:c>
      <x:c r="AE150" s="75" t="n">
        <x:v>0.09060389773658244</x:v>
      </x:c>
      <x:c r="AF150" s="74" t="n">
        <x:v>10</x:v>
      </x:c>
    </x:row>
    <x:row r="151">
      <x:c r="A151" t="str">
        <x:v>2025 S2</x:v>
      </x:c>
      <x:c r="B151" t="str">
        <x:v>CNCT0038</x:v>
      </x:c>
      <x:c r="C151" s="74" t="n">
        <x:v>2617</x:v>
      </x:c>
      <x:c r="D151" s="74" t="n">
        <x:v>1300.666</x:v>
      </x:c>
      <x:c r="E151" s="75" t="n">
        <x:v>0.973800719127401</x:v>
      </x:c>
      <x:c r="F151" s="75" t="n">
        <x:v>0.1760840084122028</x:v>
      </x:c>
      <x:c r="G151" s="75" t="n">
        <x:v>0.012355120353779055</x:v>
      </x:c>
      <x:c r="H151" s="75" t="n">
        <x:v>0.010533974189282163</x:v>
      </x:c>
      <x:c r="I151" s="75" t="n">
        <x:v>0.005767365335457726</x:v>
      </x:c>
      <x:c r="J151" s="75" t="n">
        <x:v>0.015043935888097621</x:v>
      </x:c>
      <x:c r="K151" s="75" t="n">
        <x:v>0.013315414333104854</x:v>
      </x:c>
      <x:c r="L151" s="75" t="n">
        <x:v>0.012206134927211678</x:v>
      </x:c>
      <x:c r="M151" s="75" t="n">
        <x:v>0.006694754024927534</x:v>
      </x:c>
      <x:c r="N151" s="75" t="n">
        <x:v>0.006432655062075355</x:v>
      </x:c>
      <x:c r="O151" s="75" t="n">
        <x:v>0.012829451810572209</x:v>
      </x:c>
      <x:c r="P151" s="75" t="n">
        <x:v>0.0022325823909054637</x:v>
      </x:c>
      <x:c r="Q151" s="75" t="n">
        <x:v>0.003707079848078138</x:v>
      </x:c>
      <x:c r="R151" s="75" t="n">
        <x:v>0.35777218527669497</x:v>
      </x:c>
      <x:c r="S151" s="75" t="n">
        <x:v>0.015967708831245545</x:v>
      </x:c>
      <x:c r="T151" s="75" t="n">
        <x:v>0.006019760283525102</x:v>
      </x:c>
      <x:c r="U151" s="75" t="n">
        <x:v>0.011502549456257838</x:v>
      </x:c>
      <x:c r="V151" s="75" t="n">
        <x:v>0.030877485435572456</x:v>
      </x:c>
      <x:c r="W151" s="75" t="n">
        <x:v>0.009019328554332604</x:v>
      </x:c>
      <x:c r="X151" s="75" t="n">
        <x:v>0.025430028765068127</x:v>
      </x:c>
      <x:c r="Y151" s="75" t="n">
        <x:v>0.015215911791429391</x:v>
      </x:c>
      <x:c r="Z151" s="75" t="n">
        <x:v>0.005284853449481307</x:v>
      </x:c>
      <x:c r="AA151" s="75" t="n">
        <x:v>0.007580466124947416</x:v>
      </x:c>
      <x:c r="AB151" s="75" t="n">
        <x:v>0.003076255217584549</x:v>
      </x:c>
      <x:c r="AC151" s="75" t="n">
        <x:v>0.025191392557061043</x:v>
      </x:c>
      <x:c r="AD151" s="75" t="n">
        <x:v>0.100461789398134</x:v>
      </x:c>
      <x:c r="AE151" s="75" t="n">
        <x:v>0.09060389773658244</x:v>
      </x:c>
      <x:c r="AF151" s="74" t="n">
        <x:v>10</x:v>
      </x:c>
    </x:row>
    <x:row r="152">
      <x:c r="A152" t="str">
        <x:v>2026 S1</x:v>
      </x:c>
      <x:c r="B152" t="str">
        <x:v>CNCT0038</x:v>
      </x:c>
      <x:c r="C152" s="74" t="n">
        <x:v>2686</x:v>
      </x:c>
      <x:c r="D152" s="74" t="n">
        <x:v>1346.32</x:v>
      </x:c>
      <x:c r="E152" s="75" t="n">
        <x:v>0.981567176712444</x:v>
      </x:c>
      <x:c r="F152" s="75" t="n">
        <x:v>0.17013838946359464</x:v>
      </x:c>
      <x:c r="G152" s="75" t="n">
        <x:v>0.013644228361925342</x:v>
      </x:c>
      <x:c r="H152" s="75" t="n">
        <x:v>0.010533974189282163</x:v>
      </x:c>
      <x:c r="I152" s="75" t="n">
        <x:v>0.005767365335457726</x:v>
      </x:c>
      <x:c r="J152" s="75" t="n">
        <x:v>0.015043935888097621</x:v>
      </x:c>
      <x:c r="K152" s="75" t="n">
        <x:v>0.013315414333104854</x:v>
      </x:c>
      <x:c r="L152" s="75" t="n">
        <x:v>0.012206134927211678</x:v>
      </x:c>
      <x:c r="M152" s="75" t="n">
        <x:v>0.006694754024927534</x:v>
      </x:c>
      <x:c r="N152" s="75" t="n">
        <x:v>0.006432655062075355</x:v>
      </x:c>
      <x:c r="O152" s="75" t="n">
        <x:v>0.014691002260766254</x:v>
      </x:c>
      <x:c r="P152" s="75" t="n">
        <x:v>0.0022325823909054637</x:v>
      </x:c>
      <x:c r="Q152" s="75" t="n">
        <x:v>0.003707079848078138</x:v>
      </x:c>
      <x:c r="R152" s="75" t="n">
        <x:v>0.3336557513328938</x:v>
      </x:c>
      <x:c r="S152" s="75" t="n">
        <x:v>0.015967708831245545</x:v>
      </x:c>
      <x:c r="T152" s="75" t="n">
        <x:v>0.006019760283525102</x:v>
      </x:c>
      <x:c r="U152" s="75" t="n">
        <x:v>0.011502549456257838</x:v>
      </x:c>
      <x:c r="V152" s="75" t="n">
        <x:v>0.030877485435572456</x:v>
      </x:c>
      <x:c r="W152" s="75" t="n">
        <x:v>0.007937009127812691</x:v>
      </x:c>
      <x:c r="X152" s="75" t="n">
        <x:v>0.022378425313259953</x:v>
      </x:c>
      <x:c r="Y152" s="75" t="n">
        <x:v>0.013390002376457865</x:v>
      </x:c>
      <x:c r="Z152" s="75" t="n">
        <x:v>0.00465067103554355</x:v>
      </x:c>
      <x:c r="AA152" s="75" t="n">
        <x:v>0.0066708101899537265</x:v>
      </x:c>
      <x:c r="AB152" s="75" t="n">
        <x:v>0.002707104591474403</x:v>
      </x:c>
      <x:c r="AC152" s="75" t="n">
        <x:v>0.02216842545021372</x:v>
      </x:c>
      <x:c r="AD152" s="75" t="n">
        <x:v>0.09242484624628328</x:v>
      </x:c>
      <x:c r="AE152" s="75" t="n">
        <x:v>0.12346693895444248</x:v>
      </x:c>
      <x:c r="AF152" s="74" t="n">
        <x:v>10</x:v>
      </x:c>
    </x:row>
    <x:row r="153">
      <x:c r="A153" t="str">
        <x:v>2026 S2</x:v>
      </x:c>
      <x:c r="B153" t="str">
        <x:v>CNCT0038</x:v>
      </x:c>
      <x:c r="C153" s="74" t="n">
        <x:v>2845</x:v>
      </x:c>
      <x:c r="D153" s="74" t="n">
        <x:v>1358.072</x:v>
      </x:c>
      <x:c r="E153" s="75" t="n">
        <x:v>0.973800719127401</x:v>
      </x:c>
      <x:c r="F153" s="75" t="n">
        <x:v>0.18226270158498664</x:v>
      </x:c>
      <x:c r="G153" s="75" t="n">
        <x:v>0.01247065176386968</x:v>
      </x:c>
      <x:c r="H153" s="75" t="n">
        <x:v>0.010533974189282163</x:v>
      </x:c>
      <x:c r="I153" s="75" t="n">
        <x:v>0.005767365335457726</x:v>
      </x:c>
      <x:c r="J153" s="75" t="n">
        <x:v>0.015043935888097621</x:v>
      </x:c>
      <x:c r="K153" s="75" t="n">
        <x:v>0.013315414333104854</x:v>
      </x:c>
      <x:c r="L153" s="75" t="n">
        <x:v>0.012206134927211678</x:v>
      </x:c>
      <x:c r="M153" s="75" t="n">
        <x:v>0.006694754024927534</x:v>
      </x:c>
      <x:c r="N153" s="75" t="n">
        <x:v>0.006432655062075355</x:v>
      </x:c>
      <x:c r="O153" s="75" t="n">
        <x:v>0.012829451810572209</x:v>
      </x:c>
      <x:c r="P153" s="75" t="n">
        <x:v>0.0022325823909054637</x:v>
      </x:c>
      <x:c r="Q153" s="75" t="n">
        <x:v>0.003707079848078138</x:v>
      </x:c>
      <x:c r="R153" s="75" t="n">
        <x:v>0.3306362057126031</x:v>
      </x:c>
      <x:c r="S153" s="75" t="n">
        <x:v>0.015967708831245545</x:v>
      </x:c>
      <x:c r="T153" s="75" t="n">
        <x:v>0.006019760283525102</x:v>
      </x:c>
      <x:c r="U153" s="75" t="n">
        <x:v>0.011502549456257838</x:v>
      </x:c>
      <x:c r="V153" s="75" t="n">
        <x:v>0.030877485435572456</x:v>
      </x:c>
      <x:c r="W153" s="75" t="n">
        <x:v>0.008222019910129602</x:v>
      </x:c>
      <x:c r="X153" s="75" t="n">
        <x:v>0.023182014222236105</x:v>
      </x:c>
      <x:c r="Y153" s="75" t="n">
        <x:v>0.013870825189067033</x:v>
      </x:c>
      <x:c r="Z153" s="75" t="n">
        <x:v>0.00481767240454716</x:v>
      </x:c>
      <x:c r="AA153" s="75" t="n">
        <x:v>0.0069103529195020654</x:v>
      </x:c>
      <x:c r="AB153" s="75" t="n">
        <x:v>0.002804314256350075</x:v>
      </x:c>
      <x:c r="AC153" s="75" t="n">
        <x:v>0.02296447345501685</x:v>
      </x:c>
      <x:c r="AD153" s="75" t="n">
        <x:v>0.0904156104583206</x:v>
      </x:c>
      <x:c r="AE153" s="75" t="n">
        <x:v>0.12098740057837463</x:v>
      </x:c>
      <x:c r="AF153" s="74" t="n">
        <x:v>10</x:v>
      </x:c>
    </x:row>
    <x:row r="154">
      <x:c r="A154" t="str">
        <x:v>2025 S1</x:v>
      </x:c>
      <x:c r="B154" t="str">
        <x:v>CNCT0039</x:v>
      </x:c>
      <x:c r="C154" s="74" t="n">
        <x:v>2754</x:v>
      </x:c>
      <x:c r="D154" s="74" t="n">
        <x:v>1170.23</x:v>
      </x:c>
      <x:c r="E154" s="75" t="n">
        <x:v>0.9713773222996387</x:v>
      </x:c>
      <x:c r="F154" s="75" t="n">
        <x:v>0.1679216165706748</x:v>
      </x:c>
      <x:c r="G154" s="75" t="n">
        <x:v>0.020512445525218935</x:v>
      </x:c>
      <x:c r="H154" s="75" t="n">
        <x:v>0.00902867424867145</x:v>
      </x:c>
      <x:c r="I154" s="75" t="n">
        <x:v>0.007496717692418315</x:v>
      </x:c>
      <x:c r="J154" s="75" t="n">
        <x:v>0.01085463631595485</x:v>
      </x:c>
      <x:c r="K154" s="75" t="n">
        <x:v>0.010162575800539343</x:v>
      </x:c>
      <x:c r="L154" s="75" t="n">
        <x:v>0.013413014131103409</x:v>
      </x:c>
      <x:c r="M154" s="75" t="n">
        <x:v>0.009620420351609937</x:v>
      </x:c>
      <x:c r="N154" s="75" t="n">
        <x:v>0.005059248846635455</x:v>
      </x:c>
      <x:c r="O154" s="75" t="n">
        <x:v>0.010063540717834257</x:v>
      </x:c>
      <x:c r="P154" s="75" t="n">
        <x:v>0.002987186348782416</x:v>
      </x:c>
      <x:c r="Q154" s="75" t="n">
        <x:v>0.0036603365740097617</x:v>
      </x:c>
      <x:c r="R154" s="75" t="n">
        <x:v>0.34617540276949577</x:v>
      </x:c>
      <x:c r="S154" s="75" t="n">
        <x:v>0.014997558736427892</x:v>
      </x:c>
      <x:c r="T154" s="75" t="n">
        <x:v>0.005288097629367257</x:v>
      </x:c>
      <x:c r="U154" s="75" t="n">
        <x:v>0.0087190081475419</x:v>
      </x:c>
      <x:c r="V154" s="75" t="n">
        <x:v>0.0393085162412317</x:v>
      </x:c>
      <x:c r="W154" s="75" t="n">
        <x:v>0.010890004293138918</x:v>
      </x:c>
      <x:c r="X154" s="75" t="n">
        <x:v>0.024005625409991408</x:v>
      </x:c>
      <x:c r="Y154" s="75" t="n">
        <x:v>0.014831805980431965</x:v>
      </x:c>
      <x:c r="Z154" s="75" t="n">
        <x:v>0.007520191137050279</x:v>
      </x:c>
      <x:c r="AA154" s="75" t="n">
        <x:v>0.00861654207515472</x:v>
      </x:c>
      <x:c r="AB154" s="75" t="n">
        <x:v>0.0042889230314001915</x:v>
      </x:c>
      <x:c r="AC154" s="75" t="n">
        <x:v>0.026560440060106338</x:v>
      </x:c>
      <x:c r="AD154" s="75" t="n">
        <x:v>0.11465205510990928</x:v>
      </x:c>
      <x:c r="AE154" s="75" t="n">
        <x:v>0.09584273799718357</x:v>
      </x:c>
      <x:c r="AF154" s="74" t="n">
        <x:v>11</x:v>
      </x:c>
    </x:row>
    <x:row r="155">
      <x:c r="A155" t="str">
        <x:v>2025 S2</x:v>
      </x:c>
      <x:c r="B155" t="str">
        <x:v>CNCT0039</x:v>
      </x:c>
      <x:c r="C155" s="74" t="n">
        <x:v>3006</x:v>
      </x:c>
      <x:c r="D155" s="74" t="n">
        <x:v>1184.273</x:v>
      </x:c>
      <x:c r="E155" s="75" t="n">
        <x:v>0.9681128332033113</x:v>
      </x:c>
      <x:c r="F155" s="75" t="n">
        <x:v>0.1679216165706748</x:v>
      </x:c>
      <x:c r="G155" s="75" t="n">
        <x:v>0.020512445525218935</x:v>
      </x:c>
      <x:c r="H155" s="75" t="n">
        <x:v>0.00902867424867145</x:v>
      </x:c>
      <x:c r="I155" s="75" t="n">
        <x:v>0.007496717692418315</x:v>
      </x:c>
      <x:c r="J155" s="75" t="n">
        <x:v>0.01085463631595485</x:v>
      </x:c>
      <x:c r="K155" s="75" t="n">
        <x:v>0.010162575800539343</x:v>
      </x:c>
      <x:c r="L155" s="75" t="n">
        <x:v>0.013413014131103409</x:v>
      </x:c>
      <x:c r="M155" s="75" t="n">
        <x:v>0.009620420351609937</x:v>
      </x:c>
      <x:c r="N155" s="75" t="n">
        <x:v>0.005059248846635455</x:v>
      </x:c>
      <x:c r="O155" s="75" t="n">
        <x:v>0.010063540717834257</x:v>
      </x:c>
      <x:c r="P155" s="75" t="n">
        <x:v>0.002987186348782416</x:v>
      </x:c>
      <x:c r="Q155" s="75" t="n">
        <x:v>0.0036603365740097617</x:v>
      </x:c>
      <x:c r="R155" s="75" t="n">
        <x:v>0.36656550341454797</x:v>
      </x:c>
      <x:c r="S155" s="75" t="n">
        <x:v>0.014997558736427892</x:v>
      </x:c>
      <x:c r="T155" s="75" t="n">
        <x:v>0.005288097629367257</x:v>
      </x:c>
      <x:c r="U155" s="75" t="n">
        <x:v>0.0087190081475419</x:v>
      </x:c>
      <x:c r="V155" s="75" t="n">
        <x:v>0.0393085162412317</x:v>
      </x:c>
      <x:c r="W155" s="75" t="n">
        <x:v>0.010890004293138918</x:v>
      </x:c>
      <x:c r="X155" s="75" t="n">
        <x:v>0.024005625409991408</x:v>
      </x:c>
      <x:c r="Y155" s="75" t="n">
        <x:v>0.014831805980431965</x:v>
      </x:c>
      <x:c r="Z155" s="75" t="n">
        <x:v>0.007520191137050279</x:v>
      </x:c>
      <x:c r="AA155" s="75" t="n">
        <x:v>0.00861654207515472</x:v>
      </x:c>
      <x:c r="AB155" s="75" t="n">
        <x:v>0.0042889230314001915</x:v>
      </x:c>
      <x:c r="AC155" s="75" t="n">
        <x:v>0.026560440060106338</x:v>
      </x:c>
      <x:c r="AD155" s="75" t="n">
        <x:v>0.11465205510990928</x:v>
      </x:c>
      <x:c r="AE155" s="75" t="n">
        <x:v>0.09584273799718357</x:v>
      </x:c>
      <x:c r="AF155" s="74" t="n">
        <x:v>11</x:v>
      </x:c>
    </x:row>
    <x:row r="156">
      <x:c r="A156" t="str">
        <x:v>2026 S1</x:v>
      </x:c>
      <x:c r="B156" t="str">
        <x:v>CNCT0039</x:v>
      </x:c>
      <x:c r="C156" s="74" t="n">
        <x:v>3088</x:v>
      </x:c>
      <x:c r="D156" s="74" t="n">
        <x:v>1233.474</x:v>
      </x:c>
      <x:c r="E156" s="75" t="n">
        <x:v>0.9720051801923545</x:v>
      </x:c>
      <x:c r="F156" s="75" t="n">
        <x:v>0.17093897562049096</x:v>
      </x:c>
      <x:c r="G156" s="75" t="n">
        <x:v>0.01986052621122144</x:v>
      </x:c>
      <x:c r="H156" s="75" t="n">
        <x:v>0.00902867424867145</x:v>
      </x:c>
      <x:c r="I156" s="75" t="n">
        <x:v>0.007496717692418315</x:v>
      </x:c>
      <x:c r="J156" s="75" t="n">
        <x:v>0.01085463631595485</x:v>
      </x:c>
      <x:c r="K156" s="75" t="n">
        <x:v>0.010162575800539343</x:v>
      </x:c>
      <x:c r="L156" s="75" t="n">
        <x:v>0.013413014131103409</x:v>
      </x:c>
      <x:c r="M156" s="75" t="n">
        <x:v>0.009620420351609937</x:v>
      </x:c>
      <x:c r="N156" s="75" t="n">
        <x:v>0.005059248846635455</x:v>
      </x:c>
      <x:c r="O156" s="75" t="n">
        <x:v>0.01103566286158457</x:v>
      </x:c>
      <x:c r="P156" s="75" t="n">
        <x:v>0.002987186348782416</x:v>
      </x:c>
      <x:c r="Q156" s="75" t="n">
        <x:v>0.0036603365740097617</x:v>
      </x:c>
      <x:c r="R156" s="75" t="n">
        <x:v>0.32787124478743823</x:v>
      </x:c>
      <x:c r="S156" s="75" t="n">
        <x:v>0.014997558736427892</x:v>
      </x:c>
      <x:c r="T156" s="75" t="n">
        <x:v>0.005288097629367257</x:v>
      </x:c>
      <x:c r="U156" s="75" t="n">
        <x:v>0.0087190081475419</x:v>
      </x:c>
      <x:c r="V156" s="75" t="n">
        <x:v>0.0393085162412317</x:v>
      </x:c>
      <x:c r="W156" s="75" t="n">
        <x:v>0.009583203777962247</x:v>
      </x:c>
      <x:c r="X156" s="75" t="n">
        <x:v>0.021124950360792438</x:v>
      </x:c>
      <x:c r="Y156" s="75" t="n">
        <x:v>0.01305198926278013</x:v>
      </x:c>
      <x:c r="Z156" s="75" t="n">
        <x:v>0.0066177682006042455</x:v>
      </x:c>
      <x:c r="AA156" s="75" t="n">
        <x:v>0.007582557026136154</x:v>
      </x:c>
      <x:c r="AB156" s="75" t="n">
        <x:v>0.0037742522676321687</x:v>
      </x:c>
      <x:c r="AC156" s="75" t="n">
        <x:v>0.023373187252893578</x:v>
      </x:c>
      <x:c r="AD156" s="75" t="n">
        <x:v>0.10547989070111655</x:v>
      </x:c>
      <x:c r="AE156" s="75" t="n">
        <x:v>0.10941213065791155</x:v>
      </x:c>
      <x:c r="AF156" s="74" t="n">
        <x:v>11</x:v>
      </x:c>
    </x:row>
    <x:row r="157">
      <x:c r="A157" t="str">
        <x:v>2026 S2</x:v>
      </x:c>
      <x:c r="B157" t="str">
        <x:v>CNCT0039</x:v>
      </x:c>
      <x:c r="C157" s="74" t="n">
        <x:v>3435</x:v>
      </x:c>
      <x:c r="D157" s="74" t="n">
        <x:v>1224.068</x:v>
      </x:c>
      <x:c r="E157" s="75" t="n">
        <x:v>0.9681128332033113</x:v>
      </x:c>
      <x:c r="F157" s="75" t="n">
        <x:v>0.16272797630986316</x:v>
      </x:c>
      <x:c r="G157" s="75" t="n">
        <x:v>0.021002621094474306</x:v>
      </x:c>
      <x:c r="H157" s="75" t="n">
        <x:v>0.00902867424867145</x:v>
      </x:c>
      <x:c r="I157" s="75" t="n">
        <x:v>0.007496717692418315</x:v>
      </x:c>
      <x:c r="J157" s="75" t="n">
        <x:v>0.01085463631595485</x:v>
      </x:c>
      <x:c r="K157" s="75" t="n">
        <x:v>0.010162575800539343</x:v>
      </x:c>
      <x:c r="L157" s="75" t="n">
        <x:v>0.013413014131103409</x:v>
      </x:c>
      <x:c r="M157" s="75" t="n">
        <x:v>0.009620420351609937</x:v>
      </x:c>
      <x:c r="N157" s="75" t="n">
        <x:v>0.005059248846635455</x:v>
      </x:c>
      <x:c r="O157" s="75" t="n">
        <x:v>0.010063540717834257</x:v>
      </x:c>
      <x:c r="P157" s="75" t="n">
        <x:v>0.002987186348782416</x:v>
      </x:c>
      <x:c r="Q157" s="75" t="n">
        <x:v>0.0036603365740097617</x:v>
      </x:c>
      <x:c r="R157" s="75" t="n">
        <x:v>0.3459915907875281</x:v>
      </x:c>
      <x:c r="S157" s="75" t="n">
        <x:v>0.014997558736427892</x:v>
      </x:c>
      <x:c r="T157" s="75" t="n">
        <x:v>0.005288097629367257</x:v>
      </x:c>
      <x:c r="U157" s="75" t="n">
        <x:v>0.0087190081475419</x:v>
      </x:c>
      <x:c r="V157" s="75" t="n">
        <x:v>0.0393085162412317</x:v>
      </x:c>
      <x:c r="W157" s="75" t="n">
        <x:v>0.009927327913625439</x:v>
      </x:c>
      <x:c r="X157" s="75" t="n">
        <x:v>0.021883528123748167</x:v>
      </x:c>
      <x:c r="Y157" s="75" t="n">
        <x:v>0.01352067433176178</x:v>
      </x:c>
      <x:c r="Z157" s="75" t="n">
        <x:v>0.006855406240535034</x:v>
      </x:c>
      <x:c r="AA157" s="75" t="n">
        <x:v>0.007854839755711045</x:v>
      </x:c>
      <x:c r="AB157" s="75" t="n">
        <x:v>0.003909782235424415</x:v>
      </x:c>
      <x:c r="AC157" s="75" t="n">
        <x:v>0.024212497158792937</x:v>
      </x:c>
      <x:c r="AD157" s="75" t="n">
        <x:v>0.10318684959891836</x:v>
      </x:c>
      <x:c r="AE157" s="75" t="n">
        <x:v>0.09584273799718357</x:v>
      </x:c>
      <x:c r="AF157" s="74" t="n">
        <x:v>11</x:v>
      </x:c>
    </x:row>
    <x:row r="158">
      <x:c r="A158" t="str">
        <x:v>2025 S1</x:v>
      </x:c>
      <x:c r="B158" t="str">
        <x:v>CNCT0040</x:v>
      </x:c>
      <x:c r="C158" s="74" t="n">
        <x:v>2116</x:v>
      </x:c>
      <x:c r="D158" s="74" t="n">
        <x:v>1012.387</x:v>
      </x:c>
      <x:c r="E158" s="75" t="n">
        <x:v>0.977225881853199</x:v>
      </x:c>
      <x:c r="F158" s="75" t="n">
        <x:v>0.18331117320782506</x:v>
      </x:c>
      <x:c r="G158" s="75" t="n">
        <x:v>0.009078563611670688</x:v>
      </x:c>
      <x:c r="H158" s="75" t="n">
        <x:v>0.008344666595589842</x:v>
      </x:c>
      <x:c r="I158" s="75" t="n">
        <x:v>0.00709762568628139</x:v>
      </x:c>
      <x:c r="J158" s="75" t="n">
        <x:v>0.014988687116245274</x:v>
      </x:c>
      <x:c r="K158" s="75" t="n">
        <x:v>0.009481277577491709</x:v>
      </x:c>
      <x:c r="L158" s="75" t="n">
        <x:v>0.00846867424994707</x:v>
      </x:c>
      <x:c r="M158" s="75" t="n">
        <x:v>0.01017398068667535</x:v>
      </x:c>
      <x:c r="N158" s="75" t="n">
        <x:v>0.0068263453558320185</x:v>
      </x:c>
      <x:c r="O158" s="75" t="n">
        <x:v>0.009411560560343786</x:v>
      </x:c>
      <x:c r="P158" s="75" t="n">
        <x:v>0.0016853526134218556</x:v>
      </x:c>
      <x:c r="Q158" s="75" t="n">
        <x:v>0.004976938706800865</x:v>
      </x:c>
      <x:c r="R158" s="75" t="n">
        <x:v>0.37262802517977095</x:v>
      </x:c>
      <x:c r="S158" s="75" t="n">
        <x:v>0.014001165561583548</x:v>
      </x:c>
      <x:c r="T158" s="75" t="n">
        <x:v>0.004614372761039704</x:v>
      </x:c>
      <x:c r="U158" s="75" t="n">
        <x:v>0.009617263019375969</x:v>
      </x:c>
      <x:c r="V158" s="75" t="n">
        <x:v>0.03446985182120989</x:v>
      </x:c>
      <x:c r="W158" s="75" t="n">
        <x:v>0.011893669540670816</x:v>
      </x:c>
      <x:c r="X158" s="75" t="n">
        <x:v>0.020955300362521082</x:v>
      </x:c>
      <x:c r="Y158" s="75" t="n">
        <x:v>0.019052417062327152</x:v>
      </x:c>
      <x:c r="Z158" s="75" t="n">
        <x:v>0.00685530035953234</x:v>
      </x:c>
      <x:c r="AA158" s="75" t="n">
        <x:v>0.008515781555257272</x:v>
      </x:c>
      <x:c r="AB158" s="75" t="n">
        <x:v>0.0036981848904659278</x:v>
      </x:c>
      <x:c r="AC158" s="75" t="n">
        <x:v>0.02663633215931477</x:v>
      </x:c>
      <x:c r="AD158" s="75" t="n">
        <x:v>0.10222224850108615</x:v>
      </x:c>
      <x:c r="AE158" s="75" t="n">
        <x:v>0.0807470941003121</x:v>
      </x:c>
      <x:c r="AF158" s="74" t="n">
        <x:v>10</x:v>
      </x:c>
    </x:row>
    <x:row r="159">
      <x:c r="A159" t="str">
        <x:v>2025 S2</x:v>
      </x:c>
      <x:c r="B159" t="str">
        <x:v>CNCT0040</x:v>
      </x:c>
      <x:c r="C159" s="74" t="n">
        <x:v>2288</x:v>
      </x:c>
      <x:c r="D159" s="74" t="n">
        <x:v>1024.535</x:v>
      </x:c>
      <x:c r="E159" s="75" t="n">
        <x:v>0.9725565536106006</x:v>
      </x:c>
      <x:c r="F159" s="75" t="n">
        <x:v>0.18331117320782506</x:v>
      </x:c>
      <x:c r="G159" s="75" t="n">
        <x:v>0.009078563611670688</x:v>
      </x:c>
      <x:c r="H159" s="75" t="n">
        <x:v>0.008344666595589842</x:v>
      </x:c>
      <x:c r="I159" s="75" t="n">
        <x:v>0.00709762568628139</x:v>
      </x:c>
      <x:c r="J159" s="75" t="n">
        <x:v>0.014988687116245274</x:v>
      </x:c>
      <x:c r="K159" s="75" t="n">
        <x:v>0.009481277577491709</x:v>
      </x:c>
      <x:c r="L159" s="75" t="n">
        <x:v>0.00846867424994707</x:v>
      </x:c>
      <x:c r="M159" s="75" t="n">
        <x:v>0.01017398068667535</x:v>
      </x:c>
      <x:c r="N159" s="75" t="n">
        <x:v>0.0068263453558320185</x:v>
      </x:c>
      <x:c r="O159" s="75" t="n">
        <x:v>0.009411560560343786</x:v>
      </x:c>
      <x:c r="P159" s="75" t="n">
        <x:v>0.0016853526134218556</x:v>
      </x:c>
      <x:c r="Q159" s="75" t="n">
        <x:v>0.004976938706800865</x:v>
      </x:c>
      <x:c r="R159" s="75" t="n">
        <x:v>0.3706306113927048</x:v>
      </x:c>
      <x:c r="S159" s="75" t="n">
        <x:v>0.014001165561583548</x:v>
      </x:c>
      <x:c r="T159" s="75" t="n">
        <x:v>0.004614372761039704</x:v>
      </x:c>
      <x:c r="U159" s="75" t="n">
        <x:v>0.009617263019375969</x:v>
      </x:c>
      <x:c r="V159" s="75" t="n">
        <x:v>0.03446985182120989</x:v>
      </x:c>
      <x:c r="W159" s="75" t="n">
        <x:v>0.011893669540670816</x:v>
      </x:c>
      <x:c r="X159" s="75" t="n">
        <x:v>0.020955300362521082</x:v>
      </x:c>
      <x:c r="Y159" s="75" t="n">
        <x:v>0.019052417062327152</x:v>
      </x:c>
      <x:c r="Z159" s="75" t="n">
        <x:v>0.00685530035953234</x:v>
      </x:c>
      <x:c r="AA159" s="75" t="n">
        <x:v>0.008515781555257272</x:v>
      </x:c>
      <x:c r="AB159" s="75" t="n">
        <x:v>0.0036981848904659278</x:v>
      </x:c>
      <x:c r="AC159" s="75" t="n">
        <x:v>0.02663633215931477</x:v>
      </x:c>
      <x:c r="AD159" s="75" t="n">
        <x:v>0.10222224850108615</x:v>
      </x:c>
      <x:c r="AE159" s="75" t="n">
        <x:v>0.0807470941003121</x:v>
      </x:c>
      <x:c r="AF159" s="74" t="n">
        <x:v>10</x:v>
      </x:c>
    </x:row>
    <x:row r="160">
      <x:c r="A160" t="str">
        <x:v>2026 S1</x:v>
      </x:c>
      <x:c r="B160" t="str">
        <x:v>CNCT0040</x:v>
      </x:c>
      <x:c r="C160" s="74" t="n">
        <x:v>2210</x:v>
      </x:c>
      <x:c r="D160" s="74" t="n">
        <x:v>1062.94</x:v>
      </x:c>
      <x:c r="E160" s="75" t="n">
        <x:v>0.9744109919795882</x:v>
      </x:c>
      <x:c r="F160" s="75" t="n">
        <x:v>0.18504545964821592</x:v>
      </x:c>
      <x:c r="G160" s="75" t="n">
        <x:v>0.009802693586338136</x:v>
      </x:c>
      <x:c r="H160" s="75" t="n">
        <x:v>0.008344666595589842</x:v>
      </x:c>
      <x:c r="I160" s="75" t="n">
        <x:v>0.00709762568628139</x:v>
      </x:c>
      <x:c r="J160" s="75" t="n">
        <x:v>0.014988687116245274</x:v>
      </x:c>
      <x:c r="K160" s="75" t="n">
        <x:v>0.009481277577491709</x:v>
      </x:c>
      <x:c r="L160" s="75" t="n">
        <x:v>0.00846867424994707</x:v>
      </x:c>
      <x:c r="M160" s="75" t="n">
        <x:v>0.01017398068667535</x:v>
      </x:c>
      <x:c r="N160" s="75" t="n">
        <x:v>0.0068263453558320185</x:v>
      </x:c>
      <x:c r="O160" s="75" t="n">
        <x:v>0.011208488211501388</x:v>
      </x:c>
      <x:c r="P160" s="75" t="n">
        <x:v>0.0016853526134218556</x:v>
      </x:c>
      <x:c r="Q160" s="75" t="n">
        <x:v>0.004976938706800865</x:v>
      </x:c>
      <x:c r="R160" s="75" t="n">
        <x:v>0.3755774661085426</x:v>
      </x:c>
      <x:c r="S160" s="75" t="n">
        <x:v>0.014001165561583548</x:v>
      </x:c>
      <x:c r="T160" s="75" t="n">
        <x:v>0.004614372761039704</x:v>
      </x:c>
      <x:c r="U160" s="75" t="n">
        <x:v>0.009617263019375969</x:v>
      </x:c>
      <x:c r="V160" s="75" t="n">
        <x:v>0.03446985182120989</x:v>
      </x:c>
      <x:c r="W160" s="75" t="n">
        <x:v>0.014634577612984298</x:v>
      </x:c>
      <x:c r="X160" s="75" t="n">
        <x:v>0.02578447034450027</x:v>
      </x:c>
      <x:c r="Y160" s="75" t="n">
        <x:v>0.023443065679614218</x:v>
      </x:c>
      <x:c r="Z160" s="75" t="n">
        <x:v>0.00843511120170544</x:v>
      </x:c>
      <x:c r="AA160" s="75" t="n">
        <x:v>0.010478251954073016</x:v>
      </x:c>
      <x:c r="AB160" s="75" t="n">
        <x:v>0.0045504353069184865</x:v>
      </x:c>
      <x:c r="AC160" s="75" t="n">
        <x:v>0.03277470161565762</x:v>
      </x:c>
      <x:c r="AD160" s="75" t="n">
        <x:v>0.10222224850108615</x:v>
      </x:c>
      <x:c r="AE160" s="75" t="n">
        <x:v>0.0807470941003121</x:v>
      </x:c>
      <x:c r="AF160" s="74" t="n">
        <x:v>10</x:v>
      </x:c>
    </x:row>
    <x:row r="161">
      <x:c r="A161" t="str">
        <x:v>2026 S2</x:v>
      </x:c>
      <x:c r="B161" t="str">
        <x:v>CNCT0040</x:v>
      </x:c>
      <x:c r="C161" s="74" t="n">
        <x:v>2463</x:v>
      </x:c>
      <x:c r="D161" s="74" t="n">
        <x:v>1057.838</x:v>
      </x:c>
      <x:c r="E161" s="75" t="n">
        <x:v>0.9725565536106006</x:v>
      </x:c>
      <x:c r="F161" s="75" t="n">
        <x:v>0.17812990754095517</x:v>
      </x:c>
      <x:c r="G161" s="75" t="n">
        <x:v>0.007552675466758955</x:v>
      </x:c>
      <x:c r="H161" s="75" t="n">
        <x:v>0.008344666595589842</x:v>
      </x:c>
      <x:c r="I161" s="75" t="n">
        <x:v>0.00709762568628139</x:v>
      </x:c>
      <x:c r="J161" s="75" t="n">
        <x:v>0.014988687116245274</x:v>
      </x:c>
      <x:c r="K161" s="75" t="n">
        <x:v>0.009481277577491709</x:v>
      </x:c>
      <x:c r="L161" s="75" t="n">
        <x:v>0.00846867424994707</x:v>
      </x:c>
      <x:c r="M161" s="75" t="n">
        <x:v>0.01017398068667535</x:v>
      </x:c>
      <x:c r="N161" s="75" t="n">
        <x:v>0.0068263453558320185</x:v>
      </x:c>
      <x:c r="O161" s="75" t="n">
        <x:v>0.009411560560343786</x:v>
      </x:c>
      <x:c r="P161" s="75" t="n">
        <x:v>0.0016853526134218556</x:v>
      </x:c>
      <x:c r="Q161" s="75" t="n">
        <x:v>0.004976938706800865</x:v>
      </x:c>
      <x:c r="R161" s="75" t="n">
        <x:v>0.37042969170963796</x:v>
      </x:c>
      <x:c r="S161" s="75" t="n">
        <x:v>0.014001165561583548</x:v>
      </x:c>
      <x:c r="T161" s="75" t="n">
        <x:v>0.004614372761039704</x:v>
      </x:c>
      <x:c r="U161" s="75" t="n">
        <x:v>0.009617263019375969</x:v>
      </x:c>
      <x:c r="V161" s="75" t="n">
        <x:v>0.03446985182120989</x:v>
      </x:c>
      <x:c r="W161" s="75" t="n">
        <x:v>0.012607289713111066</x:v>
      </x:c>
      <x:c r="X161" s="75" t="n">
        <x:v>0.02221261838427235</x:v>
      </x:c>
      <x:c r="Y161" s="75" t="n">
        <x:v>0.020195562086066782</x:v>
      </x:c>
      <x:c r="Z161" s="75" t="n">
        <x:v>0.00726661838110428</x:v>
      </x:c>
      <x:c r="AA161" s="75" t="n">
        <x:v>0.00902672844857271</x:v>
      </x:c>
      <x:c r="AB161" s="75" t="n">
        <x:v>0.003920075983893883</x:v>
      </x:c>
      <x:c r="AC161" s="75" t="n">
        <x:v>0.028234512088873655</x:v>
      </x:c>
      <x:c r="AD161" s="75" t="n">
        <x:v>0.10222224850108615</x:v>
      </x:c>
      <x:c r="AE161" s="75" t="n">
        <x:v>0.0807470941003121</x:v>
      </x:c>
      <x:c r="AF161" s="74" t="n">
        <x:v>10</x:v>
      </x:c>
    </x:row>
    <x:row r="162">
      <x:c r="A162" t="str">
        <x:v>2025 S1</x:v>
      </x:c>
      <x:c r="B162" t="str">
        <x:v>CNCT0041</x:v>
      </x:c>
      <x:c r="C162" s="74" t="n">
        <x:v>1957</x:v>
      </x:c>
      <x:c r="D162" s="74" t="n">
        <x:v>1134.541</x:v>
      </x:c>
      <x:c r="E162" s="75" t="n">
        <x:v>0.9631962830480187</x:v>
      </x:c>
      <x:c r="F162" s="75" t="n">
        <x:v>0.20389782403828577</x:v>
      </x:c>
      <x:c r="G162" s="75" t="n">
        <x:v>0.01676934262749273</x:v>
      </x:c>
      <x:c r="H162" s="75" t="n">
        <x:v>0.007456193842255743</x:v>
      </x:c>
      <x:c r="I162" s="75" t="n">
        <x:v>0.007260465801125974</x:v>
      </x:c>
      <x:c r="J162" s="75" t="n">
        <x:v>0.012893990531767485</x:v>
      </x:c>
      <x:c r="K162" s="75" t="n">
        <x:v>0.011900271686281483</x:v>
      </x:c>
      <x:c r="L162" s="75" t="n">
        <x:v>0.008048263269716699</x:v>
      </x:c>
      <x:c r="M162" s="75" t="n">
        <x:v>0.007980076560241287</x:v>
      </x:c>
      <x:c r="N162" s="75" t="n">
        <x:v>0.008516763968247687</x:v>
      </x:c>
      <x:c r="O162" s="75" t="n">
        <x:v>0.007150332010074634</x:v>
      </x:c>
      <x:c r="P162" s="75" t="n">
        <x:v>0.001443849778843287</x:v>
      </x:c>
      <x:c r="Q162" s="75" t="n">
        <x:v>0.006634557866986143</x:v>
      </x:c>
      <x:c r="R162" s="75" t="n">
        <x:v>0.34708604610447646</x:v>
      </x:c>
      <x:c r="S162" s="75" t="n">
        <x:v>0.012311284209485166</x:v>
      </x:c>
      <x:c r="T162" s="75" t="n">
        <x:v>0.004740877157666546</x:v>
      </x:c>
      <x:c r="U162" s="75" t="n">
        <x:v>0.012985004797252259</x:v>
      </x:c>
      <x:c r="V162" s="75" t="n">
        <x:v>0.03659144295216538</x:v>
      </x:c>
      <x:c r="W162" s="75" t="n">
        <x:v>0.01279298632668797</x:v>
      </x:c>
      <x:c r="X162" s="75" t="n">
        <x:v>0.01753946745925583</x:v>
      </x:c>
      <x:c r="Y162" s="75" t="n">
        <x:v>0.01880029238361982</x:v>
      </x:c>
      <x:c r="Z162" s="75" t="n">
        <x:v>0.006358922437798174</x:v>
      </x:c>
      <x:c r="AA162" s="75" t="n">
        <x:v>0.006369015203554918</x:v>
      </x:c>
      <x:c r="AB162" s="75" t="n">
        <x:v>0.004587545432482148</x:v>
      </x:c>
      <x:c r="AC162" s="75" t="n">
        <x:v>0.023122617741979774</x:v>
      </x:c>
      <x:c r="AD162" s="75" t="n">
        <x:v>0.11268921084119939</x:v>
      </x:c>
      <x:c r="AE162" s="75" t="n">
        <x:v>0.07288291716075036</x:v>
      </x:c>
      <x:c r="AF162" s="74" t="n">
        <x:v>6</x:v>
      </x:c>
    </x:row>
    <x:row r="163">
      <x:c r="A163" t="str">
        <x:v>2025 S2</x:v>
      </x:c>
      <x:c r="B163" t="str">
        <x:v>CNCT0041</x:v>
      </x:c>
      <x:c r="C163" s="74" t="n">
        <x:v>2146</x:v>
      </x:c>
      <x:c r="D163" s="74" t="n">
        <x:v>1148.156</x:v>
      </x:c>
      <x:c r="E163" s="75" t="n">
        <x:v>0.9837997938671033</x:v>
      </x:c>
      <x:c r="F163" s="75" t="n">
        <x:v>0.20389782403828577</x:v>
      </x:c>
      <x:c r="G163" s="75" t="n">
        <x:v>0.01676934262749273</x:v>
      </x:c>
      <x:c r="H163" s="75" t="n">
        <x:v>0.007456193842255743</x:v>
      </x:c>
      <x:c r="I163" s="75" t="n">
        <x:v>0.007260465801125974</x:v>
      </x:c>
      <x:c r="J163" s="75" t="n">
        <x:v>0.012893990531767485</x:v>
      </x:c>
      <x:c r="K163" s="75" t="n">
        <x:v>0.011900271686281483</x:v>
      </x:c>
      <x:c r="L163" s="75" t="n">
        <x:v>0.008048263269716699</x:v>
      </x:c>
      <x:c r="M163" s="75" t="n">
        <x:v>0.007980076560241287</x:v>
      </x:c>
      <x:c r="N163" s="75" t="n">
        <x:v>0.008516763968247687</x:v>
      </x:c>
      <x:c r="O163" s="75" t="n">
        <x:v>0.007150332010074634</x:v>
      </x:c>
      <x:c r="P163" s="75" t="n">
        <x:v>0.001443849778843287</x:v>
      </x:c>
      <x:c r="Q163" s="75" t="n">
        <x:v>0.006634557866986143</x:v>
      </x:c>
      <x:c r="R163" s="75" t="n">
        <x:v>0.3463926402136093</x:v>
      </x:c>
      <x:c r="S163" s="75" t="n">
        <x:v>0.012311284209485166</x:v>
      </x:c>
      <x:c r="T163" s="75" t="n">
        <x:v>0.004740877157666546</x:v>
      </x:c>
      <x:c r="U163" s="75" t="n">
        <x:v>0.012985004797252259</x:v>
      </x:c>
      <x:c r="V163" s="75" t="n">
        <x:v>0.03659144295216538</x:v>
      </x:c>
      <x:c r="W163" s="75" t="n">
        <x:v>0.01279298632668797</x:v>
      </x:c>
      <x:c r="X163" s="75" t="n">
        <x:v>0.01753946745925583</x:v>
      </x:c>
      <x:c r="Y163" s="75" t="n">
        <x:v>0.01880029238361982</x:v>
      </x:c>
      <x:c r="Z163" s="75" t="n">
        <x:v>0.006358922437798174</x:v>
      </x:c>
      <x:c r="AA163" s="75" t="n">
        <x:v>0.006369015203554918</x:v>
      </x:c>
      <x:c r="AB163" s="75" t="n">
        <x:v>0.004587545432482148</x:v>
      </x:c>
      <x:c r="AC163" s="75" t="n">
        <x:v>0.023122617741979774</x:v>
      </x:c>
      <x:c r="AD163" s="75" t="n">
        <x:v>0.11268921084119939</x:v>
      </x:c>
      <x:c r="AE163" s="75" t="n">
        <x:v>0.07288291716075036</x:v>
      </x:c>
      <x:c r="AF163" s="74" t="n">
        <x:v>6</x:v>
      </x:c>
    </x:row>
    <x:row r="164">
      <x:c r="A164" t="str">
        <x:v>2026 S1</x:v>
      </x:c>
      <x:c r="B164" t="str">
        <x:v>CNCT0041</x:v>
      </x:c>
      <x:c r="C164" s="74" t="n">
        <x:v>1829</x:v>
      </x:c>
      <x:c r="D164" s="74" t="n">
        <x:v>1192.012</x:v>
      </x:c>
      <x:c r="E164" s="75" t="n">
        <x:v>0.9663746213744161</x:v>
      </x:c>
      <x:c r="F164" s="75" t="n">
        <x:v>0.2003914044339763</x:v>
      </x:c>
      <x:c r="G164" s="75" t="n">
        <x:v>0.01573001873376779</x:v>
      </x:c>
      <x:c r="H164" s="75" t="n">
        <x:v>0.007456193842255743</x:v>
      </x:c>
      <x:c r="I164" s="75" t="n">
        <x:v>0.007260465801125974</x:v>
      </x:c>
      <x:c r="J164" s="75" t="n">
        <x:v>0.012893990531767485</x:v>
      </x:c>
      <x:c r="K164" s="75" t="n">
        <x:v>0.011900271686281483</x:v>
      </x:c>
      <x:c r="L164" s="75" t="n">
        <x:v>0.008048263269716699</x:v>
      </x:c>
      <x:c r="M164" s="75" t="n">
        <x:v>0.007980076560241287</x:v>
      </x:c>
      <x:c r="N164" s="75" t="n">
        <x:v>0.008516763968247687</x:v>
      </x:c>
      <x:c r="O164" s="75" t="n">
        <x:v>0.006811635606063645</x:v>
      </x:c>
      <x:c r="P164" s="75" t="n">
        <x:v>0.001443849778843287</x:v>
      </x:c>
      <x:c r="Q164" s="75" t="n">
        <x:v>0.006634557866986143</x:v>
      </x:c>
      <x:c r="R164" s="75" t="n">
        <x:v>0.3476061668851408</x:v>
      </x:c>
      <x:c r="S164" s="75" t="n">
        <x:v>0.012311284209485166</x:v>
      </x:c>
      <x:c r="T164" s="75" t="n">
        <x:v>0.004740877157666546</x:v>
      </x:c>
      <x:c r="U164" s="75" t="n">
        <x:v>0.012985004797252259</x:v>
      </x:c>
      <x:c r="V164" s="75" t="n">
        <x:v>0.03659144295216538</x:v>
      </x:c>
      <x:c r="W164" s="75" t="n">
        <x:v>0.015741142854150847</x:v>
      </x:c>
      <x:c r="X164" s="75" t="n">
        <x:v>0.021581455323368165</x:v>
      </x:c>
      <x:c r="Y164" s="75" t="n">
        <x:v>0.02313283861587464</x:v>
      </x:c>
      <x:c r="Z164" s="75" t="n">
        <x:v>0.007824342490152623</x:v>
      </x:c>
      <x:c r="AA164" s="75" t="n">
        <x:v>0.007836761143898774</x:v>
      </x:c>
      <x:c r="AB164" s="75" t="n">
        <x:v>0.0056447498776702205</x:v>
      </x:c>
      <x:c r="AC164" s="75" t="n">
        <x:v>0.02845124818738534</x:v>
      </x:c>
      <x:c r="AD164" s="75" t="n">
        <x:v>0.11268921084119939</x:v>
      </x:c>
      <x:c r="AE164" s="75" t="n">
        <x:v>0.07288291716075036</x:v>
      </x:c>
      <x:c r="AF164" s="74" t="n">
        <x:v>6</x:v>
      </x:c>
    </x:row>
    <x:row r="165">
      <x:c r="A165" t="str">
        <x:v>2026 S2</x:v>
      </x:c>
      <x:c r="B165" t="str">
        <x:v>CNCT0041</x:v>
      </x:c>
      <x:c r="C165" s="74" t="n">
        <x:v>2094</x:v>
      </x:c>
      <x:c r="D165" s="74" t="n">
        <x:v>1190.35</x:v>
      </x:c>
      <x:c r="E165" s="75" t="n">
        <x:v>0.9837997938671033</x:v>
      </x:c>
      <x:c r="F165" s="75" t="n">
        <x:v>0.20929190468778325</x:v>
      </x:c>
      <x:c r="G165" s="75" t="n">
        <x:v>0.015574128709151407</x:v>
      </x:c>
      <x:c r="H165" s="75" t="n">
        <x:v>0.007456193842255743</x:v>
      </x:c>
      <x:c r="I165" s="75" t="n">
        <x:v>0.007260465801125974</x:v>
      </x:c>
      <x:c r="J165" s="75" t="n">
        <x:v>0.012893990531767485</x:v>
      </x:c>
      <x:c r="K165" s="75" t="n">
        <x:v>0.011900271686281483</x:v>
      </x:c>
      <x:c r="L165" s="75" t="n">
        <x:v>0.008048263269716699</x:v>
      </x:c>
      <x:c r="M165" s="75" t="n">
        <x:v>0.007980076560241287</x:v>
      </x:c>
      <x:c r="N165" s="75" t="n">
        <x:v>0.008516763968247687</x:v>
      </x:c>
      <x:c r="O165" s="75" t="n">
        <x:v>0.007150332010074634</x:v>
      </x:c>
      <x:c r="P165" s="75" t="n">
        <x:v>0.001443849778843287</x:v>
      </x:c>
      <x:c r="Q165" s="75" t="n">
        <x:v>0.006634557866986143</x:v>
      </x:c>
      <x:c r="R165" s="75" t="n">
        <x:v>0.3414727046131115</x:v>
      </x:c>
      <x:c r="S165" s="75" t="n">
        <x:v>0.012311284209485166</x:v>
      </x:c>
      <x:c r="T165" s="75" t="n">
        <x:v>0.004740877157666546</x:v>
      </x:c>
      <x:c r="U165" s="75" t="n">
        <x:v>0.012985004797252259</x:v>
      </x:c>
      <x:c r="V165" s="75" t="n">
        <x:v>0.03659144295216538</x:v>
      </x:c>
      <x:c r="W165" s="75" t="n">
        <x:v>0.013560565506289248</x:v>
      </x:c>
      <x:c r="X165" s="75" t="n">
        <x:v>0.01859183550681118</x:v>
      </x:c>
      <x:c r="Y165" s="75" t="n">
        <x:v>0.01992830992663701</x:v>
      </x:c>
      <x:c r="Z165" s="75" t="n">
        <x:v>0.006740457784066065</x:v>
      </x:c>
      <x:c r="AA165" s="75" t="n">
        <x:v>0.006751156115768214</x:v>
      </x:c>
      <x:c r="AB165" s="75" t="n">
        <x:v>0.004862798158431078</x:v>
      </x:c>
      <x:c r="AC165" s="75" t="n">
        <x:v>0.024509974806498563</x:v>
      </x:c>
      <x:c r="AD165" s="75" t="n">
        <x:v>0.11268921084119939</x:v>
      </x:c>
      <x:c r="AE165" s="75" t="n">
        <x:v>0.07288291716075036</x:v>
      </x:c>
      <x:c r="AF165" s="74" t="n">
        <x:v>6</x:v>
      </x:c>
    </x:row>
    <x:row r="166">
      <x:c r="A166" t="str">
        <x:v>2025 S1</x:v>
      </x:c>
      <x:c r="B166" t="str">
        <x:v>CNCT0042</x:v>
      </x:c>
      <x:c r="C166" s="74" t="n">
        <x:v>2282</x:v>
      </x:c>
      <x:c r="D166" s="74" t="n">
        <x:v>1073.722</x:v>
      </x:c>
      <x:c r="E166" s="75" t="n">
        <x:v>0.9715702687342418</x:v>
      </x:c>
      <x:c r="F166" s="75" t="n">
        <x:v>0.20770769689558075</x:v>
      </x:c>
      <x:c r="G166" s="75" t="n">
        <x:v>0.02048454882844817</x:v>
      </x:c>
      <x:c r="H166" s="75" t="n">
        <x:v>0.010164135068203906</x:v>
      </x:c>
      <x:c r="I166" s="75" t="n">
        <x:v>0.00639765968363281</x:v>
      </x:c>
      <x:c r="J166" s="75" t="n">
        <x:v>0.015254168346669757</x:v>
      </x:c>
      <x:c r="K166" s="75" t="n">
        <x:v>0.013134378148904943</x:v>
      </x:c>
      <x:c r="L166" s="75" t="n">
        <x:v>0.009998516809817374</x:v>
      </x:c>
      <x:c r="M166" s="75" t="n">
        <x:v>0.00572481678675831</x:v>
      </x:c>
      <x:c r="N166" s="75" t="n">
        <x:v>0.005398200763942441</x:v>
      </x:c>
      <x:c r="O166" s="75" t="n">
        <x:v>0.01002810326719191</x:v>
      </x:c>
      <x:c r="P166" s="75" t="n">
        <x:v>0.0026459365329210413</x:v>
      </x:c>
      <x:c r="Q166" s="75" t="n">
        <x:v>0.005854006900233799</x:v>
      </x:c>
      <x:c r="R166" s="75" t="n">
        <x:v>0.36755519944197573</x:v>
      </x:c>
      <x:c r="S166" s="75" t="n">
        <x:v>0.01287811185127066</x:v>
      </x:c>
      <x:c r="T166" s="75" t="n">
        <x:v>0.003142241283741896</x:v>
      </x:c>
      <x:c r="U166" s="75" t="n">
        <x:v>0.009345922337815863</x:v>
      </x:c>
      <x:c r="V166" s="75" t="n">
        <x:v>0.030391649028892062</x:v>
      </x:c>
      <x:c r="W166" s="75" t="n">
        <x:v>0.013133397262875223</x:v>
      </x:c>
      <x:c r="X166" s="75" t="n">
        <x:v>0.024762867618747405</x:v>
      </x:c>
      <x:c r="Y166" s="75" t="n">
        <x:v>0.020189505783377682</x:v>
      </x:c>
      <x:c r="Z166" s="75" t="n">
        <x:v>0.0064265182880742944</x:v>
      </x:c>
      <x:c r="AA166" s="75" t="n">
        <x:v>0.006105837404820486</x:v>
      </x:c>
      <x:c r="AB166" s="75" t="n">
        <x:v>0.004668773475718627</x:v>
      </x:c>
      <x:c r="AC166" s="75" t="n">
        <x:v>0.02026012690332427</x:v>
      </x:c>
      <x:c r="AD166" s="75" t="n">
        <x:v>0.11147170422170893</x:v>
      </x:c>
      <x:c r="AE166" s="75" t="n">
        <x:v>0.07764373620078549</x:v>
      </x:c>
      <x:c r="AF166" s="74" t="n">
        <x:v>10</x:v>
      </x:c>
    </x:row>
    <x:row r="167">
      <x:c r="A167" t="str">
        <x:v>2025 S2</x:v>
      </x:c>
      <x:c r="B167" t="str">
        <x:v>CNCT0042</x:v>
      </x:c>
      <x:c r="C167" s="74" t="n">
        <x:v>2421</x:v>
      </x:c>
      <x:c r="D167" s="74" t="n">
        <x:v>1086.606</x:v>
      </x:c>
      <x:c r="E167" s="75" t="n">
        <x:v>0.9824412657194188</x:v>
      </x:c>
      <x:c r="F167" s="75" t="n">
        <x:v>0.20770769689558075</x:v>
      </x:c>
      <x:c r="G167" s="75" t="n">
        <x:v>0.02048454882844817</x:v>
      </x:c>
      <x:c r="H167" s="75" t="n">
        <x:v>0.010164135068203906</x:v>
      </x:c>
      <x:c r="I167" s="75" t="n">
        <x:v>0.00639765968363281</x:v>
      </x:c>
      <x:c r="J167" s="75" t="n">
        <x:v>0.015254168346669757</x:v>
      </x:c>
      <x:c r="K167" s="75" t="n">
        <x:v>0.013134378148904943</x:v>
      </x:c>
      <x:c r="L167" s="75" t="n">
        <x:v>0.009998516809817374</x:v>
      </x:c>
      <x:c r="M167" s="75" t="n">
        <x:v>0.00572481678675831</x:v>
      </x:c>
      <x:c r="N167" s="75" t="n">
        <x:v>0.005398200763942441</x:v>
      </x:c>
      <x:c r="O167" s="75" t="n">
        <x:v>0.01002810326719191</x:v>
      </x:c>
      <x:c r="P167" s="75" t="n">
        <x:v>0.0026459365329210413</x:v>
      </x:c>
      <x:c r="Q167" s="75" t="n">
        <x:v>0.005854006900233799</x:v>
      </x:c>
      <x:c r="R167" s="75" t="n">
        <x:v>0.3630341469484714</x:v>
      </x:c>
      <x:c r="S167" s="75" t="n">
        <x:v>0.01287811185127066</x:v>
      </x:c>
      <x:c r="T167" s="75" t="n">
        <x:v>0.003142241283741896</x:v>
      </x:c>
      <x:c r="U167" s="75" t="n">
        <x:v>0.009345922337815863</x:v>
      </x:c>
      <x:c r="V167" s="75" t="n">
        <x:v>0.030391649028892062</x:v>
      </x:c>
      <x:c r="W167" s="75" t="n">
        <x:v>0.013133397262875223</x:v>
      </x:c>
      <x:c r="X167" s="75" t="n">
        <x:v>0.024762867618747405</x:v>
      </x:c>
      <x:c r="Y167" s="75" t="n">
        <x:v>0.020189505783377682</x:v>
      </x:c>
      <x:c r="Z167" s="75" t="n">
        <x:v>0.0064265182880742944</x:v>
      </x:c>
      <x:c r="AA167" s="75" t="n">
        <x:v>0.006105837404820486</x:v>
      </x:c>
      <x:c r="AB167" s="75" t="n">
        <x:v>0.004668773475718627</x:v>
      </x:c>
      <x:c r="AC167" s="75" t="n">
        <x:v>0.02026012690332427</x:v>
      </x:c>
      <x:c r="AD167" s="75" t="n">
        <x:v>0.11147170422170893</x:v>
      </x:c>
      <x:c r="AE167" s="75" t="n">
        <x:v>0.07764373620078549</x:v>
      </x:c>
      <x:c r="AF167" s="74" t="n">
        <x:v>10</x:v>
      </x:c>
    </x:row>
    <x:row r="168">
      <x:c r="A168" t="str">
        <x:v>2026 S1</x:v>
      </x:c>
      <x:c r="B168" t="str">
        <x:v>CNCT0042</x:v>
      </x:c>
      <x:c r="C168" s="74" t="n">
        <x:v>2215</x:v>
      </x:c>
      <x:c r="D168" s="74" t="n">
        <x:v>1127.354</x:v>
      </x:c>
      <x:c r="E168" s="75" t="n">
        <x:v>0.9751534375274163</x:v>
      </x:c>
      <x:c r="F168" s="75" t="n">
        <x:v>0.20495085325277615</x:v>
      </x:c>
      <x:c r="G168" s="75" t="n">
        <x:v>0.022101050081488213</x:v>
      </x:c>
      <x:c r="H168" s="75" t="n">
        <x:v>0.010164135068203906</x:v>
      </x:c>
      <x:c r="I168" s="75" t="n">
        <x:v>0.00639765968363281</x:v>
      </x:c>
      <x:c r="J168" s="75" t="n">
        <x:v>0.015254168346669757</x:v>
      </x:c>
      <x:c r="K168" s="75" t="n">
        <x:v>0.013134378148904943</x:v>
      </x:c>
      <x:c r="L168" s="75" t="n">
        <x:v>0.009998516809817374</x:v>
      </x:c>
      <x:c r="M168" s="75" t="n">
        <x:v>0.00572481678675831</x:v>
      </x:c>
      <x:c r="N168" s="75" t="n">
        <x:v>0.005398200763942441</x:v>
      </x:c>
      <x:c r="O168" s="75" t="n">
        <x:v>0.011133370575029403</x:v>
      </x:c>
      <x:c r="P168" s="75" t="n">
        <x:v>0.0026459365329210413</x:v>
      </x:c>
      <x:c r="Q168" s="75" t="n">
        <x:v>0.005854006900233799</x:v>
      </x:c>
      <x:c r="R168" s="75" t="n">
        <x:v>0.3638146266039366</x:v>
      </x:c>
      <x:c r="S168" s="75" t="n">
        <x:v>0.01287811185127066</x:v>
      </x:c>
      <x:c r="T168" s="75" t="n">
        <x:v>0.003142241283741896</x:v>
      </x:c>
      <x:c r="U168" s="75" t="n">
        <x:v>0.009345922337815863</x:v>
      </x:c>
      <x:c r="V168" s="75" t="n">
        <x:v>0.030391649028892062</x:v>
      </x:c>
      <x:c r="W168" s="75" t="n">
        <x:v>0.016160001831937783</x:v>
      </x:c>
      <x:c r="X168" s="75" t="n">
        <x:v>0.030469495293054455</x:v>
      </x:c>
      <x:c r="Y168" s="75" t="n">
        <x:v>0.024842197636674165</x:v>
      </x:c>
      <x:c r="Z168" s="75" t="n">
        <x:v>0.007907515871908256</x:v>
      </x:c>
      <x:c r="AA168" s="75" t="n">
        <x:v>0.007512933757538066</x:v>
      </x:c>
      <x:c r="AB168" s="75" t="n">
        <x:v>0.005744697004923938</x:v>
      </x:c>
      <x:c r="AC168" s="75" t="n">
        <x:v>0.024929093464529487</x:v>
      </x:c>
      <x:c r="AD168" s="75" t="n">
        <x:v>0.11147170422170893</x:v>
      </x:c>
      <x:c r="AE168" s="75" t="n">
        <x:v>0.07764373620078549</x:v>
      </x:c>
      <x:c r="AF168" s="74" t="n">
        <x:v>10</x:v>
      </x:c>
    </x:row>
    <x:row r="169">
      <x:c r="A169" t="str">
        <x:v>2026 S2</x:v>
      </x:c>
      <x:c r="B169" t="str">
        <x:v>CNCT0042</x:v>
      </x:c>
      <x:c r="C169" s="74" t="n">
        <x:v>2437</x:v>
      </x:c>
      <x:c r="D169" s="74" t="n">
        <x:v>1108.933</x:v>
      </x:c>
      <x:c r="E169" s="75" t="n">
        <x:v>0.9824412657194188</x:v>
      </x:c>
      <x:c r="F169" s="75" t="n">
        <x:v>0.2022048160825507</x:v>
      </x:c>
      <x:c r="G169" s="75" t="n">
        <x:v>0.022473930642379857</x:v>
      </x:c>
      <x:c r="H169" s="75" t="n">
        <x:v>0.010164135068203906</x:v>
      </x:c>
      <x:c r="I169" s="75" t="n">
        <x:v>0.00639765968363281</x:v>
      </x:c>
      <x:c r="J169" s="75" t="n">
        <x:v>0.015254168346669757</x:v>
      </x:c>
      <x:c r="K169" s="75" t="n">
        <x:v>0.013134378148904943</x:v>
      </x:c>
      <x:c r="L169" s="75" t="n">
        <x:v>0.009998516809817374</x:v>
      </x:c>
      <x:c r="M169" s="75" t="n">
        <x:v>0.00572481678675831</x:v>
      </x:c>
      <x:c r="N169" s="75" t="n">
        <x:v>0.005398200763942441</x:v>
      </x:c>
      <x:c r="O169" s="75" t="n">
        <x:v>0.01002810326719191</x:v>
      </x:c>
      <x:c r="P169" s="75" t="n">
        <x:v>0.0026459365329210413</x:v>
      </x:c>
      <x:c r="Q169" s="75" t="n">
        <x:v>0.005854006900233799</x:v>
      </x:c>
      <x:c r="R169" s="75" t="n">
        <x:v>0.35751750357457507</x:v>
      </x:c>
      <x:c r="S169" s="75" t="n">
        <x:v>0.01287811185127066</x:v>
      </x:c>
      <x:c r="T169" s="75" t="n">
        <x:v>0.003142241283741896</x:v>
      </x:c>
      <x:c r="U169" s="75" t="n">
        <x:v>0.009345922337815863</x:v>
      </x:c>
      <x:c r="V169" s="75" t="n">
        <x:v>0.030391649028892062</x:v>
      </x:c>
      <x:c r="W169" s="75" t="n">
        <x:v>0.013921401098647737</x:v>
      </x:c>
      <x:c r="X169" s="75" t="n">
        <x:v>0.02624863967587225</x:v>
      </x:c>
      <x:c r="Y169" s="75" t="n">
        <x:v>0.021400876130380345</x:v>
      </x:c>
      <x:c r="Z169" s="75" t="n">
        <x:v>0.006812109385358752</x:v>
      </x:c>
      <x:c r="AA169" s="75" t="n">
        <x:v>0.0064721876491097155</x:v>
      </x:c>
      <x:c r="AB169" s="75" t="n">
        <x:v>0.004948899884261745</x:v>
      </x:c>
      <x:c r="AC169" s="75" t="n">
        <x:v>0.021475734517523725</x:v>
      </x:c>
      <x:c r="AD169" s="75" t="n">
        <x:v>0.11147170422170893</x:v>
      </x:c>
      <x:c r="AE169" s="75" t="n">
        <x:v>0.07764373620078549</x:v>
      </x:c>
      <x:c r="AF169" s="74" t="n">
        <x:v>10</x:v>
      </x:c>
    </x:row>
    <x:row r="170">
      <x:c r="A170" t="str">
        <x:v>2025 S1</x:v>
      </x:c>
      <x:c r="B170" t="str">
        <x:v>CNCT0043</x:v>
      </x:c>
      <x:c r="C170" s="74" t="n">
        <x:v>2481</x:v>
      </x:c>
      <x:c r="D170" s="74" t="n">
        <x:v>1140.916</x:v>
      </x:c>
      <x:c r="E170" s="75" t="n">
        <x:v>0.9667563936313672</x:v>
      </x:c>
      <x:c r="F170" s="75" t="n">
        <x:v>0.18978941401513294</x:v>
      </x:c>
      <x:c r="G170" s="75" t="n">
        <x:v>0.013306707306794122</x:v>
      </x:c>
      <x:c r="H170" s="75" t="n">
        <x:v>0.008691437277695514</x:v>
      </x:c>
      <x:c r="I170" s="75" t="n">
        <x:v>0.010459575748616771</x:v>
      </x:c>
      <x:c r="J170" s="75" t="n">
        <x:v>0.01342849560646573</x:v>
      </x:c>
      <x:c r="K170" s="75" t="n">
        <x:v>0.013184026228445873</x:v>
      </x:c>
      <x:c r="L170" s="75" t="n">
        <x:v>0.01319205562110801</x:v>
      </x:c>
      <x:c r="M170" s="75" t="n">
        <x:v>0.00638950862236743</x:v>
      </x:c>
      <x:c r="N170" s="75" t="n">
        <x:v>0.006211084528506035</x:v>
      </x:c>
      <x:c r="O170" s="75" t="n">
        <x:v>0.014961483777566172</x:v>
      </x:c>
      <x:c r="P170" s="75" t="n">
        <x:v>0.0018266718310624129</x:v>
      </x:c>
      <x:c r="Q170" s="75" t="n">
        <x:v>0.00208260287810117</x:v>
      </x:c>
      <x:c r="R170" s="75" t="n">
        <x:v>0.36257920909742003</x:v>
      </x:c>
      <x:c r="S170" s="75" t="n">
        <x:v>0.011084286475568661</x:v>
      </x:c>
      <x:c r="T170" s="75" t="n">
        <x:v>0.005710507167415927</x:v>
      </x:c>
      <x:c r="U170" s="75" t="n">
        <x:v>0.009220026314113056</x:v>
      </x:c>
      <x:c r="V170" s="75" t="n">
        <x:v>0.038672390025923965</x:v>
      </x:c>
      <x:c r="W170" s="75" t="n">
        <x:v>0.009342343064793385</x:v>
      </x:c>
      <x:c r="X170" s="75" t="n">
        <x:v>0.019385874666377784</x:v>
      </x:c>
      <x:c r="Y170" s="75" t="n">
        <x:v>0.017077936866381208</x:v>
      </x:c>
      <x:c r="Z170" s="75" t="n">
        <x:v>0.004308286887576105</x:v>
      </x:c>
      <x:c r="AA170" s="75" t="n">
        <x:v>0.006539696266254178</x:v>
      </x:c>
      <x:c r="AB170" s="75" t="n">
        <x:v>0.003365363335452276</x:v>
      </x:c>
      <x:c r="AC170" s="75" t="n">
        <x:v>0.02254388981194497</x:v>
      </x:c>
      <x:c r="AD170" s="75" t="n">
        <x:v>0.08132601646986679</x:v>
      </x:c>
      <x:c r="AE170" s="75" t="n">
        <x:v>0.0782020671344831</x:v>
      </x:c>
      <x:c r="AF170" s="74" t="n">
        <x:v>11</x:v>
      </x:c>
    </x:row>
    <x:row r="171">
      <x:c r="A171" t="str">
        <x:v>2025 S2</x:v>
      </x:c>
      <x:c r="B171" t="str">
        <x:v>CNCT0043</x:v>
      </x:c>
      <x:c r="C171" s="74" t="n">
        <x:v>2698</x:v>
      </x:c>
      <x:c r="D171" s="74" t="n">
        <x:v>1154.607</x:v>
      </x:c>
      <x:c r="E171" s="75" t="n">
        <x:v>0.9842651384957717</x:v>
      </x:c>
      <x:c r="F171" s="75" t="n">
        <x:v>0.18978941401513294</x:v>
      </x:c>
      <x:c r="G171" s="75" t="n">
        <x:v>0.013306707306794122</x:v>
      </x:c>
      <x:c r="H171" s="75" t="n">
        <x:v>0.008691437277695514</x:v>
      </x:c>
      <x:c r="I171" s="75" t="n">
        <x:v>0.010459575748616771</x:v>
      </x:c>
      <x:c r="J171" s="75" t="n">
        <x:v>0.01342849560646573</x:v>
      </x:c>
      <x:c r="K171" s="75" t="n">
        <x:v>0.013184026228445873</x:v>
      </x:c>
      <x:c r="L171" s="75" t="n">
        <x:v>0.01319205562110801</x:v>
      </x:c>
      <x:c r="M171" s="75" t="n">
        <x:v>0.00638950862236743</x:v>
      </x:c>
      <x:c r="N171" s="75" t="n">
        <x:v>0.006211084528506035</x:v>
      </x:c>
      <x:c r="O171" s="75" t="n">
        <x:v>0.014961483777566172</x:v>
      </x:c>
      <x:c r="P171" s="75" t="n">
        <x:v>0.0018266718310624129</x:v>
      </x:c>
      <x:c r="Q171" s="75" t="n">
        <x:v>0.00208260287810117</x:v>
      </x:c>
      <x:c r="R171" s="75" t="n">
        <x:v>0.34687059358566114</x:v>
      </x:c>
      <x:c r="S171" s="75" t="n">
        <x:v>0.011084286475568661</x:v>
      </x:c>
      <x:c r="T171" s="75" t="n">
        <x:v>0.005710507167415927</x:v>
      </x:c>
      <x:c r="U171" s="75" t="n">
        <x:v>0.009220026314113056</x:v>
      </x:c>
      <x:c r="V171" s="75" t="n">
        <x:v>0.038672390025923965</x:v>
      </x:c>
      <x:c r="W171" s="75" t="n">
        <x:v>0.009342343064793385</x:v>
      </x:c>
      <x:c r="X171" s="75" t="n">
        <x:v>0.019385874666377784</x:v>
      </x:c>
      <x:c r="Y171" s="75" t="n">
        <x:v>0.017077936866381208</x:v>
      </x:c>
      <x:c r="Z171" s="75" t="n">
        <x:v>0.004308286887576105</x:v>
      </x:c>
      <x:c r="AA171" s="75" t="n">
        <x:v>0.006539696266254178</x:v>
      </x:c>
      <x:c r="AB171" s="75" t="n">
        <x:v>0.003365363335452276</x:v>
      </x:c>
      <x:c r="AC171" s="75" t="n">
        <x:v>0.02254388981194497</x:v>
      </x:c>
      <x:c r="AD171" s="75" t="n">
        <x:v>0.08132601646986679</x:v>
      </x:c>
      <x:c r="AE171" s="75" t="n">
        <x:v>0.10043709584861968</x:v>
      </x:c>
      <x:c r="AF171" s="74" t="n">
        <x:v>11</x:v>
      </x:c>
    </x:row>
    <x:row r="172">
      <x:c r="A172" t="str">
        <x:v>2026 S1</x:v>
      </x:c>
      <x:c r="B172" t="str">
        <x:v>CNCT0043</x:v>
      </x:c>
      <x:c r="C172" s="74" t="n">
        <x:v>2733</x:v>
      </x:c>
      <x:c r="D172" s="74" t="n">
        <x:v>1193.131</x:v>
      </x:c>
      <x:c r="E172" s="75" t="n">
        <x:v>0.9662711862816068</x:v>
      </x:c>
      <x:c r="F172" s="75" t="n">
        <x:v>0.19285923815453498</x:v>
      </x:c>
      <x:c r="G172" s="75" t="n">
        <x:v>0.013223112680017947</x:v>
      </x:c>
      <x:c r="H172" s="75" t="n">
        <x:v>0.008691437277695514</x:v>
      </x:c>
      <x:c r="I172" s="75" t="n">
        <x:v>0.010459575748616771</x:v>
      </x:c>
      <x:c r="J172" s="75" t="n">
        <x:v>0.01342849560646573</x:v>
      </x:c>
      <x:c r="K172" s="75" t="n">
        <x:v>0.013184026228445873</x:v>
      </x:c>
      <x:c r="L172" s="75" t="n">
        <x:v>0.01319205562110801</x:v>
      </x:c>
      <x:c r="M172" s="75" t="n">
        <x:v>0.00638950862236743</x:v>
      </x:c>
      <x:c r="N172" s="75" t="n">
        <x:v>0.006211084528506035</x:v>
      </x:c>
      <x:c r="O172" s="75" t="n">
        <x:v>0.013918138609013113</x:v>
      </x:c>
      <x:c r="P172" s="75" t="n">
        <x:v>0.0018266718310624129</x:v>
      </x:c>
      <x:c r="Q172" s="75" t="n">
        <x:v>0.00208260287810117</x:v>
      </x:c>
      <x:c r="R172" s="75" t="n">
        <x:v>0.3401707913991157</x:v>
      </x:c>
      <x:c r="S172" s="75" t="n">
        <x:v>0.011084286475568661</x:v>
      </x:c>
      <x:c r="T172" s="75" t="n">
        <x:v>0.005710507167415927</x:v>
      </x:c>
      <x:c r="U172" s="75" t="n">
        <x:v>0.009220026314113056</x:v>
      </x:c>
      <x:c r="V172" s="75" t="n">
        <x:v>0.038672390025923965</x:v>
      </x:c>
      <x:c r="W172" s="75" t="n">
        <x:v>0.008221261897018179</x:v>
      </x:c>
      <x:c r="X172" s="75" t="n">
        <x:v>0.01705956970641245</x:v>
      </x:c>
      <x:c r="Y172" s="75" t="n">
        <x:v>0.015028584442415463</x:v>
      </x:c>
      <x:c r="Z172" s="75" t="n">
        <x:v>0.0037912924610669727</x:v>
      </x:c>
      <x:c r="AA172" s="75" t="n">
        <x:v>0.005754932714303677</x:v>
      </x:c>
      <x:c r="AB172" s="75" t="n">
        <x:v>0.002961519735198003</x:v>
      </x:c>
      <x:c r="AC172" s="75" t="n">
        <x:v>0.019838623034511574</x:v>
      </x:c>
      <x:c r="AD172" s="75" t="n">
        <x:v>0.07481993515227744</x:v>
      </x:c>
      <x:c r="AE172" s="75" t="n">
        <x:v>0.12500652521932296</x:v>
      </x:c>
      <x:c r="AF172" s="74" t="n">
        <x:v>11</x:v>
      </x:c>
    </x:row>
    <x:row r="173">
      <x:c r="A173" t="str">
        <x:v>2026 S2</x:v>
      </x:c>
      <x:c r="B173" t="str">
        <x:v>CNCT0043</x:v>
      </x:c>
      <x:c r="C173" s="74" t="n">
        <x:v>3057</x:v>
      </x:c>
      <x:c r="D173" s="74" t="n">
        <x:v>1180.804</x:v>
      </x:c>
      <x:c r="E173" s="75" t="n">
        <x:v>0.9842651384957717</x:v>
      </x:c>
      <x:c r="F173" s="75" t="n">
        <x:v>0.19537457192091098</x:v>
      </x:c>
      <x:c r="G173" s="75" t="n">
        <x:v>0.01326868767873384</x:v>
      </x:c>
      <x:c r="H173" s="75" t="n">
        <x:v>0.008691437277695514</x:v>
      </x:c>
      <x:c r="I173" s="75" t="n">
        <x:v>0.010459575748616771</x:v>
      </x:c>
      <x:c r="J173" s="75" t="n">
        <x:v>0.01342849560646573</x:v>
      </x:c>
      <x:c r="K173" s="75" t="n">
        <x:v>0.013184026228445873</x:v>
      </x:c>
      <x:c r="L173" s="75" t="n">
        <x:v>0.01319205562110801</x:v>
      </x:c>
      <x:c r="M173" s="75" t="n">
        <x:v>0.00638950862236743</x:v>
      </x:c>
      <x:c r="N173" s="75" t="n">
        <x:v>0.006211084528506035</x:v>
      </x:c>
      <x:c r="O173" s="75" t="n">
        <x:v>0.014961483777566172</x:v>
      </x:c>
      <x:c r="P173" s="75" t="n">
        <x:v>0.0018266718310624129</x:v>
      </x:c>
      <x:c r="Q173" s="75" t="n">
        <x:v>0.00208260287810117</x:v>
      </x:c>
      <x:c r="R173" s="75" t="n">
        <x:v>0.3223768296915577</x:v>
      </x:c>
      <x:c r="S173" s="75" t="n">
        <x:v>0.011084286475568661</x:v>
      </x:c>
      <x:c r="T173" s="75" t="n">
        <x:v>0.005710507167415927</x:v>
      </x:c>
      <x:c r="U173" s="75" t="n">
        <x:v>0.009220026314113056</x:v>
      </x:c>
      <x:c r="V173" s="75" t="n">
        <x:v>0.038672390025923965</x:v>
      </x:c>
      <x:c r="W173" s="75" t="n">
        <x:v>0.00851647993786565</x:v>
      </x:c>
      <x:c r="X173" s="75" t="n">
        <x:v>0.01767216334586999</x:v>
      </x:c>
      <x:c r="Y173" s="75" t="n">
        <x:v>0.015568247247393112</x:v>
      </x:c>
      <x:c r="Z173" s="75" t="n">
        <x:v>0.003927434326714377</x:v>
      </x:c>
      <x:c r="AA173" s="75" t="n">
        <x:v>0.005961587116317308</x:v>
      </x:c>
      <x:c r="AB173" s="75" t="n">
        <x:v>0.0030678652165982948</x:v>
      </x:c>
      <x:c r="AC173" s="75" t="n">
        <x:v>0.020551009952569036</x:v>
      </x:c>
      <x:c r="AD173" s="75" t="n">
        <x:v>0.07319341482288011</x:v>
      </x:c>
      <x:c r="AE173" s="75" t="n">
        <x:v>0.14692784072012163</x:v>
      </x:c>
      <x:c r="AF173" s="74" t="n">
        <x:v>11</x:v>
      </x:c>
    </x:row>
    <x:row r="174">
      <x:c r="A174" t="str">
        <x:v>2025 S1</x:v>
      </x:c>
      <x:c r="B174" t="str">
        <x:v>CNCT0044</x:v>
      </x:c>
      <x:c r="C174" s="74" t="n">
        <x:v>1864</x:v>
      </x:c>
      <x:c r="D174" s="74" t="n">
        <x:v>913.262</x:v>
      </x:c>
      <x:c r="E174" s="75" t="n">
        <x:v>0.9825350216862425</x:v>
      </x:c>
      <x:c r="F174" s="75" t="n">
        <x:v>0.1673935048535932</x:v>
      </x:c>
      <x:c r="G174" s="75" t="n">
        <x:v>0.009522894145367899</x:v>
      </x:c>
      <x:c r="H174" s="75" t="n">
        <x:v>0.007169271496284636</x:v>
      </x:c>
      <x:c r="I174" s="75" t="n">
        <x:v>0.00980376792082825</x:v>
      </x:c>
      <x:c r="J174" s="75" t="n">
        <x:v>0.011912739001447336</x:v>
      </x:c>
      <x:c r="K174" s="75" t="n">
        <x:v>0.009421970390496425</x:v>
      </x:c>
      <x:c r="L174" s="75" t="n">
        <x:v>0.010538255297113209</x:v>
      </x:c>
      <x:c r="M174" s="75" t="n">
        <x:v>0.008616565789514426</x:v>
      </x:c>
      <x:c r="N174" s="75" t="n">
        <x:v>0.007565713077639885</x:v>
      </x:c>
      <x:c r="O174" s="75" t="n">
        <x:v>0.014773945520424603</x:v>
      </x:c>
      <x:c r="P174" s="75" t="n">
        <x:v>0.0010173291389255611</x:v>
      </x:c>
      <x:c r="Q174" s="75" t="n">
        <x:v>0.0027580798752896954</x:v>
      </x:c>
      <x:c r="R174" s="75" t="n">
        <x:v>0.3797666062277839</x:v>
      </x:c>
      <x:c r="S174" s="75" t="n">
        <x:v>0.011012356054823614</x:v>
      </x:c>
      <x:c r="T174" s="75" t="n">
        <x:v>0.00543290257663466</x:v>
      </x:c>
      <x:c r="U174" s="75" t="n">
        <x:v>0.007548047264863271</x:v>
      </x:c>
      <x:c r="V174" s="75" t="n">
        <x:v>0.03125893911789172</x:v>
      </x:c>
      <x:c r="W174" s="75" t="n">
        <x:v>0.013668424073647475</x:v>
      </x:c>
      <x:c r="X174" s="75" t="n">
        <x:v>0.024806501364483265</x:v>
      </x:c>
      <x:c r="Y174" s="75" t="n">
        <x:v>0.018855149285055234</x:v>
      </x:c>
      <x:c r="Z174" s="75" t="n">
        <x:v>0.006245543554436882</x:v>
      </x:c>
      <x:c r="AA174" s="75" t="n">
        <x:v>0.008523321262784303</x:v>
      </x:c>
      <x:c r="AB174" s="75" t="n">
        <x:v>0.003381863576342585</x:v>
      </x:c>
      <x:c r="AC174" s="75" t="n">
        <x:v>0.022061451683656193</x:v>
      </x:c>
      <x:c r="AD174" s="75" t="n">
        <x:v>0.08989283232174058</x:v>
      </x:c>
      <x:c r="AE174" s="75" t="n">
        <x:v>0.06627882579470133</x:v>
      </x:c>
      <x:c r="AF174" s="74" t="n">
        <x:v>8</x:v>
      </x:c>
    </x:row>
    <x:row r="175">
      <x:c r="A175" t="str">
        <x:v>2025 S2</x:v>
      </x:c>
      <x:c r="B175" t="str">
        <x:v>CNCT0044</x:v>
      </x:c>
      <x:c r="C175" s="74" t="n">
        <x:v>2014</x:v>
      </x:c>
      <x:c r="D175" s="74" t="n">
        <x:v>924.221</x:v>
      </x:c>
      <x:c r="E175" s="75" t="n">
        <x:v>0.9803186696571647</x:v>
      </x:c>
      <x:c r="F175" s="75" t="n">
        <x:v>0.1673935048535932</x:v>
      </x:c>
      <x:c r="G175" s="75" t="n">
        <x:v>0.009522894145367899</x:v>
      </x:c>
      <x:c r="H175" s="75" t="n">
        <x:v>0.007169271496284636</x:v>
      </x:c>
      <x:c r="I175" s="75" t="n">
        <x:v>0.00980376792082825</x:v>
      </x:c>
      <x:c r="J175" s="75" t="n">
        <x:v>0.011912739001447336</x:v>
      </x:c>
      <x:c r="K175" s="75" t="n">
        <x:v>0.009421970390496425</x:v>
      </x:c>
      <x:c r="L175" s="75" t="n">
        <x:v>0.010538255297113209</x:v>
      </x:c>
      <x:c r="M175" s="75" t="n">
        <x:v>0.008616565789514426</x:v>
      </x:c>
      <x:c r="N175" s="75" t="n">
        <x:v>0.007565713077639885</x:v>
      </x:c>
      <x:c r="O175" s="75" t="n">
        <x:v>0.014773945520424603</x:v>
      </x:c>
      <x:c r="P175" s="75" t="n">
        <x:v>0.0010173291389255611</x:v>
      </x:c>
      <x:c r="Q175" s="75" t="n">
        <x:v>0.0027580798752896954</x:v>
      </x:c>
      <x:c r="R175" s="75" t="n">
        <x:v>0.37753243599718156</x:v>
      </x:c>
      <x:c r="S175" s="75" t="n">
        <x:v>0.011012356054823614</x:v>
      </x:c>
      <x:c r="T175" s="75" t="n">
        <x:v>0.00543290257663466</x:v>
      </x:c>
      <x:c r="U175" s="75" t="n">
        <x:v>0.007548047264863271</x:v>
      </x:c>
      <x:c r="V175" s="75" t="n">
        <x:v>0.03125893911789172</x:v>
      </x:c>
      <x:c r="W175" s="75" t="n">
        <x:v>0.013668424073647475</x:v>
      </x:c>
      <x:c r="X175" s="75" t="n">
        <x:v>0.024806501364483265</x:v>
      </x:c>
      <x:c r="Y175" s="75" t="n">
        <x:v>0.018855149285055234</x:v>
      </x:c>
      <x:c r="Z175" s="75" t="n">
        <x:v>0.006245543554436882</x:v>
      </x:c>
      <x:c r="AA175" s="75" t="n">
        <x:v>0.008523321262784303</x:v>
      </x:c>
      <x:c r="AB175" s="75" t="n">
        <x:v>0.003381863576342585</x:v>
      </x:c>
      <x:c r="AC175" s="75" t="n">
        <x:v>0.022061451683656193</x:v>
      </x:c>
      <x:c r="AD175" s="75" t="n">
        <x:v>0.08989283232174058</x:v>
      </x:c>
      <x:c r="AE175" s="75" t="n">
        <x:v>0.06679401391395344</x:v>
      </x:c>
      <x:c r="AF175" s="74" t="n">
        <x:v>8</x:v>
      </x:c>
    </x:row>
    <x:row r="176">
      <x:c r="A176" t="str">
        <x:v>2026 S1</x:v>
      </x:c>
      <x:c r="B176" t="str">
        <x:v>CNCT0044</x:v>
      </x:c>
      <x:c r="C176" s="74" t="n">
        <x:v>1910</x:v>
      </x:c>
      <x:c r="D176" s="74" t="n">
        <x:v>956.125</x:v>
      </x:c>
      <x:c r="E176" s="75" t="n">
        <x:v>0.9790662942133349</x:v>
      </x:c>
      <x:c r="F176" s="75" t="n">
        <x:v>0.16864126127761847</x:v>
      </x:c>
      <x:c r="G176" s="75" t="n">
        <x:v>0.007794959270082471</x:v>
      </x:c>
      <x:c r="H176" s="75" t="n">
        <x:v>0.007169271496284636</x:v>
      </x:c>
      <x:c r="I176" s="75" t="n">
        <x:v>0.00980376792082825</x:v>
      </x:c>
      <x:c r="J176" s="75" t="n">
        <x:v>0.011912739001447336</x:v>
      </x:c>
      <x:c r="K176" s="75" t="n">
        <x:v>0.009421970390496425</x:v>
      </x:c>
      <x:c r="L176" s="75" t="n">
        <x:v>0.010538255297113209</x:v>
      </x:c>
      <x:c r="M176" s="75" t="n">
        <x:v>0.008616565789514426</x:v>
      </x:c>
      <x:c r="N176" s="75" t="n">
        <x:v>0.007565713077639885</x:v>
      </x:c>
      <x:c r="O176" s="75" t="n">
        <x:v>0.015985143060053813</x:v>
      </x:c>
      <x:c r="P176" s="75" t="n">
        <x:v>0.0010173291389255611</x:v>
      </x:c>
      <x:c r="Q176" s="75" t="n">
        <x:v>0.0027580798752896954</x:v>
      </x:c>
      <x:c r="R176" s="75" t="n">
        <x:v>0.382313325042239</x:v>
      </x:c>
      <x:c r="S176" s="75" t="n">
        <x:v>0.011012356054823614</x:v>
      </x:c>
      <x:c r="T176" s="75" t="n">
        <x:v>0.00543290257663466</x:v>
      </x:c>
      <x:c r="U176" s="75" t="n">
        <x:v>0.007548047264863271</x:v>
      </x:c>
      <x:c r="V176" s="75" t="n">
        <x:v>0.03125893911789172</x:v>
      </x:c>
      <x:c r="W176" s="75" t="n">
        <x:v>0.016818326107763626</x:v>
      </x:c>
      <x:c r="X176" s="75" t="n">
        <x:v>0.030523184479249944</x:v>
      </x:c>
      <x:c r="Y176" s="75" t="n">
        <x:v>0.023200337345254934</x:v>
      </x:c>
      <x:c r="Z176" s="75" t="n">
        <x:v>0.007684835329427294</x:v>
      </x:c>
      <x:c r="AA176" s="75" t="n">
        <x:v>0.010487529194760276</x:v>
      </x:c>
      <x:c r="AB176" s="75" t="n">
        <x:v>0.004161217428756542</x:v>
      </x:c>
      <x:c r="AC176" s="75" t="n">
        <x:v>0.027145535346811057</x:v>
      </x:c>
      <x:c r="AD176" s="75" t="n">
        <x:v>0.08989283232174058</x:v>
      </x:c>
      <x:c r="AE176" s="75" t="n">
        <x:v>0.06627882579470133</x:v>
      </x:c>
      <x:c r="AF176" s="74" t="n">
        <x:v>8</x:v>
      </x:c>
    </x:row>
    <x:row r="177">
      <x:c r="A177" t="str">
        <x:v>2026 S2</x:v>
      </x:c>
      <x:c r="B177" t="str">
        <x:v>CNCT0044</x:v>
      </x:c>
      <x:c r="C177" s="74" t="n">
        <x:v>2066</x:v>
      </x:c>
      <x:c r="D177" s="74" t="n">
        <x:v>961.252</x:v>
      </x:c>
      <x:c r="E177" s="75" t="n">
        <x:v>0.9803186696571647</x:v>
      </x:c>
      <x:c r="F177" s="75" t="n">
        <x:v>0.1721894980280049</x:v>
      </x:c>
      <x:c r="G177" s="75" t="n">
        <x:v>0.008878301537042716</x:v>
      </x:c>
      <x:c r="H177" s="75" t="n">
        <x:v>0.007169271496284636</x:v>
      </x:c>
      <x:c r="I177" s="75" t="n">
        <x:v>0.00980376792082825</x:v>
      </x:c>
      <x:c r="J177" s="75" t="n">
        <x:v>0.011912739001447336</x:v>
      </x:c>
      <x:c r="K177" s="75" t="n">
        <x:v>0.009421970390496425</x:v>
      </x:c>
      <x:c r="L177" s="75" t="n">
        <x:v>0.010538255297113209</x:v>
      </x:c>
      <x:c r="M177" s="75" t="n">
        <x:v>0.008616565789514426</x:v>
      </x:c>
      <x:c r="N177" s="75" t="n">
        <x:v>0.007565713077639885</x:v>
      </x:c>
      <x:c r="O177" s="75" t="n">
        <x:v>0.014773945520424603</x:v>
      </x:c>
      <x:c r="P177" s="75" t="n">
        <x:v>0.0010173291389255611</x:v>
      </x:c>
      <x:c r="Q177" s="75" t="n">
        <x:v>0.0027580798752896954</x:v>
      </x:c>
      <x:c r="R177" s="75" t="n">
        <x:v>0.37134327088112734</x:v>
      </x:c>
      <x:c r="S177" s="75" t="n">
        <x:v>0.011012356054823614</x:v>
      </x:c>
      <x:c r="T177" s="75" t="n">
        <x:v>0.00543290257663466</x:v>
      </x:c>
      <x:c r="U177" s="75" t="n">
        <x:v>0.007548047264863271</x:v>
      </x:c>
      <x:c r="V177" s="75" t="n">
        <x:v>0.03125893911789172</x:v>
      </x:c>
      <x:c r="W177" s="75" t="n">
        <x:v>0.014488529518066324</x:v>
      </x:c>
      <x:c r="X177" s="75" t="n">
        <x:v>0.02629489144635226</x:v>
      </x:c>
      <x:c r="Y177" s="75" t="n">
        <x:v>0.01998645824215855</x:v>
      </x:c>
      <x:c r="Z177" s="75" t="n">
        <x:v>0.006620276167703095</x:v>
      </x:c>
      <x:c r="AA177" s="75" t="n">
        <x:v>0.009034720538551363</x:v>
      </x:c>
      <x:c r="AB177" s="75" t="n">
        <x:v>0.0035847753909231403</x:v>
      </x:c>
      <x:c r="AC177" s="75" t="n">
        <x:v>0.023385138784675567</x:v>
      </x:c>
      <x:c r="AD177" s="75" t="n">
        <x:v>0.08989283232174058</x:v>
      </x:c>
      <x:c r="AE177" s="75" t="n">
        <x:v>0.06679401391395344</x:v>
      </x:c>
      <x:c r="AF177" s="74" t="n">
        <x:v>8</x:v>
      </x:c>
    </x:row>
    <x:row r="178">
      <x:c r="A178" t="str">
        <x:v>2025 S1</x:v>
      </x:c>
      <x:c r="B178" t="str">
        <x:v>CNCT0045</x:v>
      </x:c>
      <x:c r="C178" s="74" t="n">
        <x:v>1053</x:v>
      </x:c>
      <x:c r="D178" s="74" t="n">
        <x:v>1001.189</x:v>
      </x:c>
      <x:c r="E178" s="75" t="n">
        <x:v>0.984464680244986</x:v>
      </x:c>
      <x:c r="F178" s="75" t="n">
        <x:v>0.18617378586577252</x:v>
      </x:c>
      <x:c r="G178" s="75" t="n">
        <x:v>0.015888092316890833</x:v>
      </x:c>
      <x:c r="H178" s="75" t="n">
        <x:v>0.008101447611305048</x:v>
      </x:c>
      <x:c r="I178" s="75" t="n">
        <x:v>0.007089499397159671</x:v>
      </x:c>
      <x:c r="J178" s="75" t="n">
        <x:v>0.010895542826794554</x:v>
      </x:c>
      <x:c r="K178" s="75" t="n">
        <x:v>0.010263685660407645</x:v>
      </x:c>
      <x:c r="L178" s="75" t="n">
        <x:v>0.008496410924912197</x:v>
      </x:c>
      <x:c r="M178" s="75" t="n">
        <x:v>0.009570659872595571</x:v>
      </x:c>
      <x:c r="N178" s="75" t="n">
        <x:v>0.006934787572892674</x:v>
      </x:c>
      <x:c r="O178" s="75" t="n">
        <x:v>0.014967086112866127</x:v>
      </x:c>
      <x:c r="P178" s="75" t="n">
        <x:v>0.0019470688698947924</x:v>
      </x:c>
      <x:c r="Q178" s="75" t="n">
        <x:v>0.0020537081985748957</x:v>
      </x:c>
      <x:c r="R178" s="75" t="n">
        <x:v>0.36629822627848146</x:v>
      </x:c>
      <x:c r="S178" s="75" t="n">
        <x:v>0.013740411461418262</x:v>
      </x:c>
      <x:c r="T178" s="75" t="n">
        <x:v>0.003971503060340183</x:v>
      </x:c>
      <x:c r="U178" s="75" t="n">
        <x:v>0.011277206450875382</x:v>
      </x:c>
      <x:c r="V178" s="75" t="n">
        <x:v>0.036504565211886074</x:v>
      </x:c>
      <x:c r="W178" s="75" t="n">
        <x:v>0.01267285864171652</x:v>
      </x:c>
      <x:c r="X178" s="75" t="n">
        <x:v>0.023768753189009895</x:v>
      </x:c>
      <x:c r="Y178" s="75" t="n">
        <x:v>0.02552586986192933</x:v>
      </x:c>
      <x:c r="Z178" s="75" t="n">
        <x:v>0.005678843841550407</x:v>
      </x:c>
      <x:c r="AA178" s="75" t="n">
        <x:v>0.005832941190184793</x:v>
      </x:c>
      <x:c r="AB178" s="75" t="n">
        <x:v>0.004207816107400578</x:v>
      </x:c>
      <x:c r="AC178" s="75" t="n">
        <x:v>0.02917012090909324</x:v>
      </x:c>
      <x:c r="AD178" s="75" t="n">
        <x:v>0.11390585142815488</x:v>
      </x:c>
      <x:c r="AE178" s="75" t="n">
        <x:v>0.08527765103620186</x:v>
      </x:c>
      <x:c r="AF178" s="74" t="n">
        <x:v>6</x:v>
      </x:c>
    </x:row>
    <x:row r="179">
      <x:c r="A179" t="str">
        <x:v>2025 S2</x:v>
      </x:c>
      <x:c r="B179" t="str">
        <x:v>CNCT0045</x:v>
      </x:c>
      <x:c r="C179" s="74" t="n">
        <x:v>1600</x:v>
      </x:c>
      <x:c r="D179" s="74" t="n">
        <x:v>1013.204</x:v>
      </x:c>
      <x:c r="E179" s="75" t="n">
        <x:v>0.979549798674263</x:v>
      </x:c>
      <x:c r="F179" s="75" t="n">
        <x:v>0.18617378586577252</x:v>
      </x:c>
      <x:c r="G179" s="75" t="n">
        <x:v>0.015888092316890833</x:v>
      </x:c>
      <x:c r="H179" s="75" t="n">
        <x:v>0.008101447611305048</x:v>
      </x:c>
      <x:c r="I179" s="75" t="n">
        <x:v>0.007089499397159671</x:v>
      </x:c>
      <x:c r="J179" s="75" t="n">
        <x:v>0.010895542826794554</x:v>
      </x:c>
      <x:c r="K179" s="75" t="n">
        <x:v>0.010263685660407645</x:v>
      </x:c>
      <x:c r="L179" s="75" t="n">
        <x:v>0.008496410924912197</x:v>
      </x:c>
      <x:c r="M179" s="75" t="n">
        <x:v>0.009570659872595571</x:v>
      </x:c>
      <x:c r="N179" s="75" t="n">
        <x:v>0.006934787572892674</x:v>
      </x:c>
      <x:c r="O179" s="75" t="n">
        <x:v>0.014967086112866127</x:v>
      </x:c>
      <x:c r="P179" s="75" t="n">
        <x:v>0.0019470688698947924</x:v>
      </x:c>
      <x:c r="Q179" s="75" t="n">
        <x:v>0.0020537081985748957</x:v>
      </x:c>
      <x:c r="R179" s="75" t="n">
        <x:v>0.3618962256363457</x:v>
      </x:c>
      <x:c r="S179" s="75" t="n">
        <x:v>0.013740411461418262</x:v>
      </x:c>
      <x:c r="T179" s="75" t="n">
        <x:v>0.003971503060340183</x:v>
      </x:c>
      <x:c r="U179" s="75" t="n">
        <x:v>0.011277206450875382</x:v>
      </x:c>
      <x:c r="V179" s="75" t="n">
        <x:v>0.036504565211886074</x:v>
      </x:c>
      <x:c r="W179" s="75" t="n">
        <x:v>0.009387302697567792</x:v>
      </x:c>
      <x:c r="X179" s="75" t="n">
        <x:v>0.01760648384371103</x:v>
      </x:c>
      <x:c r="Y179" s="75" t="n">
        <x:v>0.01890805174957728</x:v>
      </x:c>
      <x:c r="Z179" s="75" t="n">
        <x:v>0.005678843841550407</x:v>
      </x:c>
      <x:c r="AA179" s="75" t="n">
        <x:v>0.005832941190184793</x:v>
      </x:c>
      <x:c r="AB179" s="75" t="n">
        <x:v>0.003116900820296724</x:v>
      </x:c>
      <x:c r="AC179" s="75" t="n">
        <x:v>0.021607496969698693</x:v>
      </x:c>
      <x:c r="AD179" s="75" t="n">
        <x:v>0.10170165306085256</x:v>
      </x:c>
      <x:c r="AE179" s="75" t="n">
        <x:v>0.08527765103620186</x:v>
      </x:c>
      <x:c r="AF179" s="74" t="n">
        <x:v>6</x:v>
      </x:c>
    </x:row>
    <x:row r="180">
      <x:c r="A180" t="str">
        <x:v>2026 S1</x:v>
      </x:c>
      <x:c r="B180" t="str">
        <x:v>CNCT0045</x:v>
      </x:c>
      <x:c r="C180" s="74" t="n">
        <x:v>1364</x:v>
      </x:c>
      <x:c r="D180" s="74" t="n">
        <x:v>1036.208</x:v>
      </x:c>
      <x:c r="E180" s="75" t="n">
        <x:v>0.9832253712692326</x:v>
      </x:c>
      <x:c r="F180" s="75" t="n">
        <x:v>0.18337764443643392</x:v>
      </x:c>
      <x:c r="G180" s="75" t="n">
        <x:v>0.015989509683524375</x:v>
      </x:c>
      <x:c r="H180" s="75" t="n">
        <x:v>0.008101447611305048</x:v>
      </x:c>
      <x:c r="I180" s="75" t="n">
        <x:v>0.007089499397159671</x:v>
      </x:c>
      <x:c r="J180" s="75" t="n">
        <x:v>0.010895542826794554</x:v>
      </x:c>
      <x:c r="K180" s="75" t="n">
        <x:v>0.010263685660407645</x:v>
      </x:c>
      <x:c r="L180" s="75" t="n">
        <x:v>0.008496410924912197</x:v>
      </x:c>
      <x:c r="M180" s="75" t="n">
        <x:v>0.009570659872595571</x:v>
      </x:c>
      <x:c r="N180" s="75" t="n">
        <x:v>0.006934787572892674</x:v>
      </x:c>
      <x:c r="O180" s="75" t="n">
        <x:v>0.016682546151930183</x:v>
      </x:c>
      <x:c r="P180" s="75" t="n">
        <x:v>0.0019470688698947924</x:v>
      </x:c>
      <x:c r="Q180" s="75" t="n">
        <x:v>0.0020537081985748957</x:v>
      </x:c>
      <x:c r="R180" s="75" t="n">
        <x:v>0.3703382870931625</x:v>
      </x:c>
      <x:c r="S180" s="75" t="n">
        <x:v>0.013740411461418262</x:v>
      </x:c>
      <x:c r="T180" s="75" t="n">
        <x:v>0.003971503060340183</x:v>
      </x:c>
      <x:c r="U180" s="75" t="n">
        <x:v>0.011277206450875382</x:v>
      </x:c>
      <x:c r="V180" s="75" t="n">
        <x:v>0.036504565211886074</x:v>
      </x:c>
      <x:c r="W180" s="75" t="n">
        <x:v>0.015593331623716775</x:v>
      </x:c>
      <x:c r="X180" s="75" t="n">
        <x:v>0.029246286196111557</x:v>
      </x:c>
      <x:c r="Y180" s="75" t="n">
        <x:v>0.03140833216829668</x:v>
      </x:c>
      <x:c r="Z180" s="75" t="n">
        <x:v>0.006987539099434234</x:v>
      </x:c>
      <x:c r="AA180" s="75" t="n">
        <x:v>0.007177148336586272</x:v>
      </x:c>
      <x:c r="AB180" s="75" t="n">
        <x:v>0.005177511548840802</x:v>
      </x:c>
      <x:c r="AC180" s="75" t="n">
        <x:v>0.035892404523640724</x:v>
      </x:c>
      <x:c r="AD180" s="75" t="n">
        <x:v>0.11390585142815488</x:v>
      </x:c>
      <x:c r="AE180" s="75" t="n">
        <x:v>0.08527765103620186</x:v>
      </x:c>
      <x:c r="AF180" s="74" t="n">
        <x:v>6</x:v>
      </x:c>
    </x:row>
    <x:row r="181">
      <x:c r="A181" t="str">
        <x:v>2026 S2</x:v>
      </x:c>
      <x:c r="B181" t="str">
        <x:v>CNCT0045</x:v>
      </x:c>
      <x:c r="C181" s="74" t="n">
        <x:v>1699</x:v>
      </x:c>
      <x:c r="D181" s="74" t="n">
        <x:v>1061.491</x:v>
      </x:c>
      <x:c r="E181" s="75" t="n">
        <x:v>0.979549798674263</x:v>
      </x:c>
      <x:c r="F181" s="75" t="n">
        <x:v>0.18613180086031206</x:v>
      </x:c>
      <x:c r="G181" s="75" t="n">
        <x:v>0.01627223736172891</x:v>
      </x:c>
      <x:c r="H181" s="75" t="n">
        <x:v>0.008101447611305048</x:v>
      </x:c>
      <x:c r="I181" s="75" t="n">
        <x:v>0.007089499397159671</x:v>
      </x:c>
      <x:c r="J181" s="75" t="n">
        <x:v>0.010895542826794554</x:v>
      </x:c>
      <x:c r="K181" s="75" t="n">
        <x:v>0.010263685660407645</x:v>
      </x:c>
      <x:c r="L181" s="75" t="n">
        <x:v>0.008496410924912197</x:v>
      </x:c>
      <x:c r="M181" s="75" t="n">
        <x:v>0.009570659872595571</x:v>
      </x:c>
      <x:c r="N181" s="75" t="n">
        <x:v>0.006934787572892674</x:v>
      </x:c>
      <x:c r="O181" s="75" t="n">
        <x:v>0.014967086112866127</x:v>
      </x:c>
      <x:c r="P181" s="75" t="n">
        <x:v>0.0019470688698947924</x:v>
      </x:c>
      <x:c r="Q181" s="75" t="n">
        <x:v>0.0020537081985748957</x:v>
      </x:c>
      <x:c r="R181" s="75" t="n">
        <x:v>0.35772856095133077</x:v>
      </x:c>
      <x:c r="S181" s="75" t="n">
        <x:v>0.013740411461418262</x:v>
      </x:c>
      <x:c r="T181" s="75" t="n">
        <x:v>0.003971503060340183</x:v>
      </x:c>
      <x:c r="U181" s="75" t="n">
        <x:v>0.011277206450875382</x:v>
      </x:c>
      <x:c r="V181" s="75" t="n">
        <x:v>0.036504565211886074</x:v>
      </x:c>
      <x:c r="W181" s="75" t="n">
        <x:v>0.009950540859421859</x:v>
      </x:c>
      <x:c r="X181" s="75" t="n">
        <x:v>0.018662872874333693</x:v>
      </x:c>
      <x:c r="Y181" s="75" t="n">
        <x:v>0.02004253485455192</x:v>
      </x:c>
      <x:c r="Z181" s="75" t="n">
        <x:v>0.006019574472043432</x:v>
      </x:c>
      <x:c r="AA181" s="75" t="n">
        <x:v>0.006182917661595881</x:v>
      </x:c>
      <x:c r="AB181" s="75" t="n">
        <x:v>0.0033039148695145275</x:v>
      </x:c>
      <x:c r="AC181" s="75" t="n">
        <x:v>0.022903946787880616</x:v>
      </x:c>
      <x:c r="AD181" s="75" t="n">
        <x:v>0.10170165306085256</x:v>
      </x:c>
      <x:c r="AE181" s="75" t="n">
        <x:v>0.08527765103620186</x:v>
      </x:c>
      <x:c r="AF181" s="74" t="n">
        <x:v>6</x:v>
      </x:c>
    </x:row>
    <x:row r="182">
      <x:c r="A182" t="str">
        <x:v>2025 S1</x:v>
      </x:c>
      <x:c r="B182" t="str">
        <x:v>CNCT0046</x:v>
      </x:c>
      <x:c r="C182" s="74" t="n">
        <x:v>2102</x:v>
      </x:c>
      <x:c r="D182" s="74" t="n">
        <x:v>1252.647</x:v>
      </x:c>
      <x:c r="E182" s="75" t="n">
        <x:v>0.9758751429310359</x:v>
      </x:c>
      <x:c r="F182" s="75" t="n">
        <x:v>0.18804900793478008</x:v>
      </x:c>
      <x:c r="G182" s="75" t="n">
        <x:v>0.018813815157787756</x:v>
      </x:c>
      <x:c r="H182" s="75" t="n">
        <x:v>0.010552378889617103</x:v>
      </x:c>
      <x:c r="I182" s="75" t="n">
        <x:v>0.009230842877994291</x:v>
      </x:c>
      <x:c r="J182" s="75" t="n">
        <x:v>0.011473068207327743</x:v>
      </x:c>
      <x:c r="K182" s="75" t="n">
        <x:v>0.009661595732046406</x:v>
      </x:c>
      <x:c r="L182" s="75" t="n">
        <x:v>0.013690957252547377</x:v>
      </x:c>
      <x:c r="M182" s="75" t="n">
        <x:v>0.006975012613991567</x:v>
      </x:c>
      <x:c r="N182" s="75" t="n">
        <x:v>0.006024031152148382</x:v>
      </x:c>
      <x:c r="O182" s="75" t="n">
        <x:v>0.007282597201425232</x:v>
      </x:c>
      <x:c r="P182" s="75" t="n">
        <x:v>0.0028220426109865004</x:v>
      </x:c>
      <x:c r="Q182" s="75" t="n">
        <x:v>0.006206868511930225</x:v>
      </x:c>
      <x:c r="R182" s="75" t="n">
        <x:v>0.3677758242093331</x:v>
      </x:c>
      <x:c r="S182" s="75" t="n">
        <x:v>0.013808281772871852</x:v>
      </x:c>
      <x:c r="T182" s="75" t="n">
        <x:v>0.004345231821484049</x:v>
      </x:c>
      <x:c r="U182" s="75" t="n">
        <x:v>0.010080475510680116</x:v>
      </x:c>
      <x:c r="V182" s="75" t="n">
        <x:v>0.032985723255696944</x:v>
      </x:c>
      <x:c r="W182" s="75" t="n">
        <x:v>0.011947378283477155</x:v>
      </x:c>
      <x:c r="X182" s="75" t="n">
        <x:v>0.023368546964891466</x:v>
      </x:c>
      <x:c r="Y182" s="75" t="n">
        <x:v>0.016604072514105356</x:v>
      </x:c>
      <x:c r="Z182" s="75" t="n">
        <x:v>0.007643261506347336</x:v>
      </x:c>
      <x:c r="AA182" s="75" t="n">
        <x:v>0.005698596773557365</x:v>
      </x:c>
      <x:c r="AB182" s="75" t="n">
        <x:v>0.0035473006107436963</x:v>
      </x:c>
      <x:c r="AC182" s="75" t="n">
        <x:v>0.02087612087143934</x:v>
      </x:c>
      <x:c r="AD182" s="75" t="n">
        <x:v>0.10451724485683371</x:v>
      </x:c>
      <x:c r="AE182" s="75" t="n">
        <x:v>0.06053628935449524</x:v>
      </x:c>
      <x:c r="AF182" s="74" t="n">
        <x:v>11</x:v>
      </x:c>
    </x:row>
    <x:row r="183">
      <x:c r="A183" t="str">
        <x:v>2025 S2</x:v>
      </x:c>
      <x:c r="B183" t="str">
        <x:v>CNCT0046</x:v>
      </x:c>
      <x:c r="C183" s="74" t="n">
        <x:v>2247</x:v>
      </x:c>
      <x:c r="D183" s="74" t="n">
        <x:v>1267.679</x:v>
      </x:c>
      <x:c r="E183" s="75" t="n">
        <x:v>0.9831094579141063</x:v>
      </x:c>
      <x:c r="F183" s="75" t="n">
        <x:v>0.18804900793478008</x:v>
      </x:c>
      <x:c r="G183" s="75" t="n">
        <x:v>0.018813815157787756</x:v>
      </x:c>
      <x:c r="H183" s="75" t="n">
        <x:v>0.010552378889617103</x:v>
      </x:c>
      <x:c r="I183" s="75" t="n">
        <x:v>0.009230842877994291</x:v>
      </x:c>
      <x:c r="J183" s="75" t="n">
        <x:v>0.011473068207327743</x:v>
      </x:c>
      <x:c r="K183" s="75" t="n">
        <x:v>0.009661595732046406</x:v>
      </x:c>
      <x:c r="L183" s="75" t="n">
        <x:v>0.013690957252547377</x:v>
      </x:c>
      <x:c r="M183" s="75" t="n">
        <x:v>0.006975012613991567</x:v>
      </x:c>
      <x:c r="N183" s="75" t="n">
        <x:v>0.006024031152148382</x:v>
      </x:c>
      <x:c r="O183" s="75" t="n">
        <x:v>0.007282597201425232</x:v>
      </x:c>
      <x:c r="P183" s="75" t="n">
        <x:v>0.0028220426109865004</x:v>
      </x:c>
      <x:c r="Q183" s="75" t="n">
        <x:v>0.006206868511930225</x:v>
      </x:c>
      <x:c r="R183" s="75" t="n">
        <x:v>0.3455233909904299</x:v>
      </x:c>
      <x:c r="S183" s="75" t="n">
        <x:v>0.013808281772871852</x:v>
      </x:c>
      <x:c r="T183" s="75" t="n">
        <x:v>0.004345231821484049</x:v>
      </x:c>
      <x:c r="U183" s="75" t="n">
        <x:v>0.010080475510680116</x:v>
      </x:c>
      <x:c r="V183" s="75" t="n">
        <x:v>0.032985723255696944</x:v>
      </x:c>
      <x:c r="W183" s="75" t="n">
        <x:v>0.011947378283477155</x:v>
      </x:c>
      <x:c r="X183" s="75" t="n">
        <x:v>0.023368546964891466</x:v>
      </x:c>
      <x:c r="Y183" s="75" t="n">
        <x:v>0.016604072514105356</x:v>
      </x:c>
      <x:c r="Z183" s="75" t="n">
        <x:v>0.007643261506347336</x:v>
      </x:c>
      <x:c r="AA183" s="75" t="n">
        <x:v>0.005698596773557365</x:v>
      </x:c>
      <x:c r="AB183" s="75" t="n">
        <x:v>0.0035473006107436963</x:v>
      </x:c>
      <x:c r="AC183" s="75" t="n">
        <x:v>0.02087612087143934</x:v>
      </x:c>
      <x:c r="AD183" s="75" t="n">
        <x:v>0.10451724485683371</x:v>
      </x:c>
      <x:c r="AE183" s="75" t="n">
        <x:v>0.07738916491206707</x:v>
      </x:c>
      <x:c r="AF183" s="74" t="n">
        <x:v>11</x:v>
      </x:c>
    </x:row>
    <x:row r="184">
      <x:c r="A184" t="str">
        <x:v>2026 S1</x:v>
      </x:c>
      <x:c r="B184" t="str">
        <x:v>CNCT0046</x:v>
      </x:c>
      <x:c r="C184" s="74" t="n">
        <x:v>2299</x:v>
      </x:c>
      <x:c r="D184" s="74" t="n">
        <x:v>1311.742</x:v>
      </x:c>
      <x:c r="E184" s="75" t="n">
        <x:v>0.9742249443896871</x:v>
      </x:c>
      <x:c r="F184" s="75" t="n">
        <x:v>0.23123583184511515</x:v>
      </x:c>
      <x:c r="G184" s="75" t="n">
        <x:v>0.017516893219712074</x:v>
      </x:c>
      <x:c r="H184" s="75" t="n">
        <x:v>0.010552378889617103</x:v>
      </x:c>
      <x:c r="I184" s="75" t="n">
        <x:v>0.009230842877994291</x:v>
      </x:c>
      <x:c r="J184" s="75" t="n">
        <x:v>0.011473068207327743</x:v>
      </x:c>
      <x:c r="K184" s="75" t="n">
        <x:v>0.009661595732046406</x:v>
      </x:c>
      <x:c r="L184" s="75" t="n">
        <x:v>0.013690957252547377</x:v>
      </x:c>
      <x:c r="M184" s="75" t="n">
        <x:v>0.006975012613991567</x:v>
      </x:c>
      <x:c r="N184" s="75" t="n">
        <x:v>0.006024031152148382</x:v>
      </x:c>
      <x:c r="O184" s="75" t="n">
        <x:v>0.008677276306421844</x:v>
      </x:c>
      <x:c r="P184" s="75" t="n">
        <x:v>0.0028220426109865004</x:v>
      </x:c>
      <x:c r="Q184" s="75" t="n">
        <x:v>0.006206868511930225</x:v>
      </x:c>
      <x:c r="R184" s="75" t="n">
        <x:v>0.3675316234798745</x:v>
      </x:c>
      <x:c r="S184" s="75" t="n">
        <x:v>0.013808281772871852</x:v>
      </x:c>
      <x:c r="T184" s="75" t="n">
        <x:v>0.004345231821484049</x:v>
      </x:c>
      <x:c r="U184" s="75" t="n">
        <x:v>0.010080475510680116</x:v>
      </x:c>
      <x:c r="V184" s="75" t="n">
        <x:v>0.032985723255696944</x:v>
      </x:c>
      <x:c r="W184" s="75" t="n">
        <x:v>0.014700663589428105</x:v>
      </x:c>
      <x:c r="X184" s="75" t="n">
        <x:v>0.028753852046328528</x:v>
      </x:c>
      <x:c r="Y184" s="75" t="n">
        <x:v>0.020430497675117773</x:v>
      </x:c>
      <x:c r="Z184" s="75" t="n">
        <x:v>0.009404658784951121</x:v>
      </x:c>
      <x:c r="AA184" s="75" t="n">
        <x:v>0.007011844114429928</x:v>
      </x:c>
      <x:c r="AB184" s="75" t="n">
        <x:v>0.0043647795936313915</x:v>
      </x:c>
      <x:c r="AC184" s="75" t="n">
        <x:v>0.02568704386029958</x:v>
      </x:c>
      <x:c r="AD184" s="75" t="n">
        <x:v>0.10451724485683371</x:v>
      </x:c>
      <x:c r="AE184" s="75" t="n">
        <x:v>0.06053628935449524</x:v>
      </x:c>
      <x:c r="AF184" s="74" t="n">
        <x:v>11</x:v>
      </x:c>
    </x:row>
    <x:row r="185">
      <x:c r="A185" t="str">
        <x:v>2026 S2</x:v>
      </x:c>
      <x:c r="B185" t="str">
        <x:v>CNCT0046</x:v>
      </x:c>
      <x:c r="C185" s="74" t="n">
        <x:v>2334</x:v>
      </x:c>
      <x:c r="D185" s="74" t="n">
        <x:v>1315.727</x:v>
      </x:c>
      <x:c r="E185" s="75" t="n">
        <x:v>0.9831094579141063</x:v>
      </x:c>
      <x:c r="F185" s="75" t="n">
        <x:v>0.22318828231294172</x:v>
      </x:c>
      <x:c r="G185" s="75" t="n">
        <x:v>0.019184448720290674</x:v>
      </x:c>
      <x:c r="H185" s="75" t="n">
        <x:v>0.010552378889617103</x:v>
      </x:c>
      <x:c r="I185" s="75" t="n">
        <x:v>0.009230842877994291</x:v>
      </x:c>
      <x:c r="J185" s="75" t="n">
        <x:v>0.011473068207327743</x:v>
      </x:c>
      <x:c r="K185" s="75" t="n">
        <x:v>0.009661595732046406</x:v>
      </x:c>
      <x:c r="L185" s="75" t="n">
        <x:v>0.013690957252547377</x:v>
      </x:c>
      <x:c r="M185" s="75" t="n">
        <x:v>0.006975012613991567</x:v>
      </x:c>
      <x:c r="N185" s="75" t="n">
        <x:v>0.006024031152148382</x:v>
      </x:c>
      <x:c r="O185" s="75" t="n">
        <x:v>0.007282597201425232</x:v>
      </x:c>
      <x:c r="P185" s="75" t="n">
        <x:v>0.0028220426109865004</x:v>
      </x:c>
      <x:c r="Q185" s="75" t="n">
        <x:v>0.006206868511930225</x:v>
      </x:c>
      <x:c r="R185" s="75" t="n">
        <x:v>0.3455233909904299</x:v>
      </x:c>
      <x:c r="S185" s="75" t="n">
        <x:v>0.013808281772871852</x:v>
      </x:c>
      <x:c r="T185" s="75" t="n">
        <x:v>0.004345231821484049</x:v>
      </x:c>
      <x:c r="U185" s="75" t="n">
        <x:v>0.010080475510680116</x:v>
      </x:c>
      <x:c r="V185" s="75" t="n">
        <x:v>0.032985723255696944</x:v>
      </x:c>
      <x:c r="W185" s="75" t="n">
        <x:v>0.012664220980485785</x:v>
      </x:c>
      <x:c r="X185" s="75" t="n">
        <x:v>0.024770659782784955</x:v>
      </x:c>
      <x:c r="Y185" s="75" t="n">
        <x:v>0.017600316864951678</x:v>
      </x:c>
      <x:c r="Z185" s="75" t="n">
        <x:v>0.008101857196728176</x:v>
      </x:c>
      <x:c r="AA185" s="75" t="n">
        <x:v>0.006040512579970807</x:v>
      </x:c>
      <x:c r="AB185" s="75" t="n">
        <x:v>0.0037601386473883184</x:v>
      </x:c>
      <x:c r="AC185" s="75" t="n">
        <x:v>0.0221286881237257</x:v>
      </x:c>
      <x:c r="AD185" s="75" t="n">
        <x:v>0.10451724485683371</x:v>
      </x:c>
      <x:c r="AE185" s="75" t="n">
        <x:v>0.07738916491206707</x:v>
      </x:c>
      <x:c r="AF185" s="74" t="n">
        <x:v>11</x:v>
      </x:c>
    </x:row>
    <x:row r="186">
      <x:c r="A186" t="str">
        <x:v>2025 S1</x:v>
      </x:c>
      <x:c r="B186" t="str">
        <x:v>CNCT0047</x:v>
      </x:c>
      <x:c r="C186" s="74" t="n">
        <x:v>1652</x:v>
      </x:c>
      <x:c r="D186" s="74" t="n">
        <x:v>1014.885</x:v>
      </x:c>
      <x:c r="E186" s="75" t="n">
        <x:v>0.9623234099925612</x:v>
      </x:c>
      <x:c r="F186" s="75" t="n">
        <x:v>0.20404687648359687</x:v>
      </x:c>
      <x:c r="G186" s="75" t="n">
        <x:v>0.01977917369414354</x:v>
      </x:c>
      <x:c r="H186" s="75" t="n">
        <x:v>0.011900434280007175</x:v>
      </x:c>
      <x:c r="I186" s="75" t="n">
        <x:v>0.007913158765921254</x:v>
      </x:c>
      <x:c r="J186" s="75" t="n">
        <x:v>0.015820493974577403</x:v>
      </x:c>
      <x:c r="K186" s="75" t="n">
        <x:v>0.009246538439721915</x:v>
      </x:c>
      <x:c r="L186" s="75" t="n">
        <x:v>0.011414141131055657</x:v>
      </x:c>
      <x:c r="M186" s="75" t="n">
        <x:v>0.006890075784547662</x:v>
      </x:c>
      <x:c r="N186" s="75" t="n">
        <x:v>0.007340447488648352</x:v>
      </x:c>
      <x:c r="O186" s="75" t="n">
        <x:v>0.01194892154142144</x:v>
      </x:c>
      <x:c r="P186" s="75" t="n">
        <x:v>0.00002076914338977067</x:v>
      </x:c>
      <x:c r="Q186" s="75" t="n">
        <x:v>0.005510587104472506</x:v>
      </x:c>
      <x:c r="R186" s="75" t="n">
        <x:v>0.34226953257165205</x:v>
      </x:c>
      <x:c r="S186" s="75" t="n">
        <x:v>0.015386253233885327</x:v>
      </x:c>
      <x:c r="T186" s="75" t="n">
        <x:v>0.0036811679057063883</x:v>
      </x:c>
      <x:c r="U186" s="75" t="n">
        <x:v>0.01246610890617012</x:v>
      </x:c>
      <x:c r="V186" s="75" t="n">
        <x:v>0.031435180638189196</x:v>
      </x:c>
      <x:c r="W186" s="75" t="n">
        <x:v>0.011419097586572752</x:v>
      </x:c>
      <x:c r="X186" s="75" t="n">
        <x:v>0.02591773291220554</x:v>
      </x:c>
      <x:c r="Y186" s="75" t="n">
        <x:v>0.0206954427959997</x:v>
      </x:c>
      <x:c r="Z186" s="75" t="n">
        <x:v>0.007479308265393775</x:v>
      </x:c>
      <x:c r="AA186" s="75" t="n">
        <x:v>0.005563101791766821</x:v>
      </x:c>
      <x:c r="AB186" s="75" t="n">
        <x:v>0.006879842713964172</x:v>
      </x:c>
      <x:c r="AC186" s="75" t="n">
        <x:v>0.027468406789016443</x:v>
      </x:c>
      <x:c r="AD186" s="75" t="n">
        <x:v>0.08761542993111653</x:v>
      </x:c>
      <x:c r="AE186" s="75" t="n">
        <x:v>0.06662955909557937</x:v>
      </x:c>
      <x:c r="AF186" s="74" t="n">
        <x:v>7</x:v>
      </x:c>
    </x:row>
    <x:row r="187">
      <x:c r="A187" t="str">
        <x:v>2025 S2</x:v>
      </x:c>
      <x:c r="B187" t="str">
        <x:v>CNCT0047</x:v>
      </x:c>
      <x:c r="C187" s="74" t="n">
        <x:v>1740</x:v>
      </x:c>
      <x:c r="D187" s="74" t="n">
        <x:v>1027.064</x:v>
      </x:c>
      <x:c r="E187" s="75" t="n">
        <x:v>0.9665406993436044</x:v>
      </x:c>
      <x:c r="F187" s="75" t="n">
        <x:v>0.20404687648359687</x:v>
      </x:c>
      <x:c r="G187" s="75" t="n">
        <x:v>0.01977917369414354</x:v>
      </x:c>
      <x:c r="H187" s="75" t="n">
        <x:v>0.011900434280007175</x:v>
      </x:c>
      <x:c r="I187" s="75" t="n">
        <x:v>0.007913158765921254</x:v>
      </x:c>
      <x:c r="J187" s="75" t="n">
        <x:v>0.015820493974577403</x:v>
      </x:c>
      <x:c r="K187" s="75" t="n">
        <x:v>0.009246538439721915</x:v>
      </x:c>
      <x:c r="L187" s="75" t="n">
        <x:v>0.011414141131055657</x:v>
      </x:c>
      <x:c r="M187" s="75" t="n">
        <x:v>0.006890075784547662</x:v>
      </x:c>
      <x:c r="N187" s="75" t="n">
        <x:v>0.007340447488648352</x:v>
      </x:c>
      <x:c r="O187" s="75" t="n">
        <x:v>0.01194892154142144</x:v>
      </x:c>
      <x:c r="P187" s="75" t="n">
        <x:v>0.00002076914338977067</x:v>
      </x:c>
      <x:c r="Q187" s="75" t="n">
        <x:v>0.005510587104472506</x:v>
      </x:c>
      <x:c r="R187" s="75" t="n">
        <x:v>0.34975486405203404</x:v>
      </x:c>
      <x:c r="S187" s="75" t="n">
        <x:v>0.015386253233885327</x:v>
      </x:c>
      <x:c r="T187" s="75" t="n">
        <x:v>0.0036811679057063883</x:v>
      </x:c>
      <x:c r="U187" s="75" t="n">
        <x:v>0.01246610890617012</x:v>
      </x:c>
      <x:c r="V187" s="75" t="n">
        <x:v>0.031435180638189196</x:v>
      </x:c>
      <x:c r="W187" s="75" t="n">
        <x:v>0.011419097586572752</x:v>
      </x:c>
      <x:c r="X187" s="75" t="n">
        <x:v>0.02591773291220554</x:v>
      </x:c>
      <x:c r="Y187" s="75" t="n">
        <x:v>0.0206954427959997</x:v>
      </x:c>
      <x:c r="Z187" s="75" t="n">
        <x:v>0.007479308265393775</x:v>
      </x:c>
      <x:c r="AA187" s="75" t="n">
        <x:v>0.005563101791766821</x:v>
      </x:c>
      <x:c r="AB187" s="75" t="n">
        <x:v>0.006879842713964172</x:v>
      </x:c>
      <x:c r="AC187" s="75" t="n">
        <x:v>0.027468406789016443</x:v>
      </x:c>
      <x:c r="AD187" s="75" t="n">
        <x:v>0.08761542993111653</x:v>
      </x:c>
      <x:c r="AE187" s="75" t="n">
        <x:v>0.06483897002320736</x:v>
      </x:c>
      <x:c r="AF187" s="74" t="n">
        <x:v>7</x:v>
      </x:c>
    </x:row>
    <x:row r="188">
      <x:c r="A188" t="str">
        <x:v>2026 S1</x:v>
      </x:c>
      <x:c r="B188" t="str">
        <x:v>CNCT0047</x:v>
      </x:c>
      <x:c r="C188" s="74" t="n">
        <x:v>1590</x:v>
      </x:c>
      <x:c r="D188" s="74" t="n">
        <x:v>1056.484</x:v>
      </x:c>
      <x:c r="E188" s="75" t="n">
        <x:v>0.9605331254142802</x:v>
      </x:c>
      <x:c r="F188" s="75" t="n">
        <x:v>0.19915920964753606</x:v>
      </x:c>
      <x:c r="G188" s="75" t="n">
        <x:v>0.0196222453150549</x:v>
      </x:c>
      <x:c r="H188" s="75" t="n">
        <x:v>0.011900434280007175</x:v>
      </x:c>
      <x:c r="I188" s="75" t="n">
        <x:v>0.007913158765921254</x:v>
      </x:c>
      <x:c r="J188" s="75" t="n">
        <x:v>0.015820493974577403</x:v>
      </x:c>
      <x:c r="K188" s="75" t="n">
        <x:v>0.009246538439721915</x:v>
      </x:c>
      <x:c r="L188" s="75" t="n">
        <x:v>0.011414141131055657</x:v>
      </x:c>
      <x:c r="M188" s="75" t="n">
        <x:v>0.006890075784547662</x:v>
      </x:c>
      <x:c r="N188" s="75" t="n">
        <x:v>0.007340447488648352</x:v>
      </x:c>
      <x:c r="O188" s="75" t="n">
        <x:v>0.01163612893296522</x:v>
      </x:c>
      <x:c r="P188" s="75" t="n">
        <x:v>0.00002076914338977067</x:v>
      </x:c>
      <x:c r="Q188" s="75" t="n">
        <x:v>0.005510587104472506</x:v>
      </x:c>
      <x:c r="R188" s="75" t="n">
        <x:v>0.3410299605169625</x:v>
      </x:c>
      <x:c r="S188" s="75" t="n">
        <x:v>0.015386253233885327</x:v>
      </x:c>
      <x:c r="T188" s="75" t="n">
        <x:v>0.0036811679057063883</x:v>
      </x:c>
      <x:c r="U188" s="75" t="n">
        <x:v>0.01246610890617012</x:v>
      </x:c>
      <x:c r="V188" s="75" t="n">
        <x:v>0.031435180638189196</x:v>
      </x:c>
      <x:c r="W188" s="75" t="n">
        <x:v>0.014050640076175786</x:v>
      </x:c>
      <x:c r="X188" s="75" t="n">
        <x:v>0.031890500451459226</x:v>
      </x:c>
      <x:c r="Y188" s="75" t="n">
        <x:v>0.025464728341195553</x:v>
      </x:c>
      <x:c r="Z188" s="75" t="n">
        <x:v>0.00920292235521172</x:v>
      </x:c>
      <x:c r="AA188" s="75" t="n">
        <x:v>0.006845124178214871</x:v>
      </x:c>
      <x:c r="AB188" s="75" t="n">
        <x:v>0.00846530936632653</x:v>
      </x:c>
      <x:c r="AC188" s="75" t="n">
        <x:v>0.03379852867815708</x:v>
      </x:c>
      <x:c r="AD188" s="75" t="n">
        <x:v>0.08761542993111653</x:v>
      </x:c>
      <x:c r="AE188" s="75" t="n">
        <x:v>0.06662955909557937</x:v>
      </x:c>
      <x:c r="AF188" s="74" t="n">
        <x:v>7</x:v>
      </x:c>
    </x:row>
    <x:row r="189">
      <x:c r="A189" t="str">
        <x:v>2026 S2</x:v>
      </x:c>
      <x:c r="B189" t="str">
        <x:v>CNCT0047</x:v>
      </x:c>
      <x:c r="C189" s="74" t="n">
        <x:v>1716</x:v>
      </x:c>
      <x:c r="D189" s="74" t="n">
        <x:v>1046.782</x:v>
      </x:c>
      <x:c r="E189" s="75" t="n">
        <x:v>0.9665406993436044</x:v>
      </x:c>
      <x:c r="F189" s="75" t="n">
        <x:v>0.2002980248812819</x:v>
      </x:c>
      <x:c r="G189" s="75" t="n">
        <x:v>0.020221721975976836</x:v>
      </x:c>
      <x:c r="H189" s="75" t="n">
        <x:v>0.011900434280007175</x:v>
      </x:c>
      <x:c r="I189" s="75" t="n">
        <x:v>0.007913158765921254</x:v>
      </x:c>
      <x:c r="J189" s="75" t="n">
        <x:v>0.015820493974577403</x:v>
      </x:c>
      <x:c r="K189" s="75" t="n">
        <x:v>0.009246538439721915</x:v>
      </x:c>
      <x:c r="L189" s="75" t="n">
        <x:v>0.011414141131055657</x:v>
      </x:c>
      <x:c r="M189" s="75" t="n">
        <x:v>0.006890075784547662</x:v>
      </x:c>
      <x:c r="N189" s="75" t="n">
        <x:v>0.007340447488648352</x:v>
      </x:c>
      <x:c r="O189" s="75" t="n">
        <x:v>0.01194892154142144</x:v>
      </x:c>
      <x:c r="P189" s="75" t="n">
        <x:v>0.00002076914338977067</x:v>
      </x:c>
      <x:c r="Q189" s="75" t="n">
        <x:v>0.005510587104472506</x:v>
      </x:c>
      <x:c r="R189" s="75" t="n">
        <x:v>0.3538218309024985</x:v>
      </x:c>
      <x:c r="S189" s="75" t="n">
        <x:v>0.015386253233885327</x:v>
      </x:c>
      <x:c r="T189" s="75" t="n">
        <x:v>0.0036811679057063883</x:v>
      </x:c>
      <x:c r="U189" s="75" t="n">
        <x:v>0.01246610890617012</x:v>
      </x:c>
      <x:c r="V189" s="75" t="n">
        <x:v>0.031435180638189196</x:v>
      </x:c>
      <x:c r="W189" s="75" t="n">
        <x:v>0.012104243441767118</x:v>
      </x:c>
      <x:c r="X189" s="75" t="n">
        <x:v>0.027472796886937875</x:v>
      </x:c>
      <x:c r="Y189" s="75" t="n">
        <x:v>0.021937169363759685</x:v>
      </x:c>
      <x:c r="Z189" s="75" t="n">
        <x:v>0.007928066761317402</x:v>
      </x:c>
      <x:c r="AA189" s="75" t="n">
        <x:v>0.005896887899272831</x:v>
      </x:c>
      <x:c r="AB189" s="75" t="n">
        <x:v>0.007292633276802023</x:v>
      </x:c>
      <x:c r="AC189" s="75" t="n">
        <x:v>0.02911651119635743</x:v>
      </x:c>
      <x:c r="AD189" s="75" t="n">
        <x:v>0.08761542993111653</x:v>
      </x:c>
      <x:c r="AE189" s="75" t="n">
        <x:v>0.06483897002320736</x:v>
      </x:c>
      <x:c r="AF189" s="74" t="n">
        <x:v>7</x:v>
      </x:c>
    </x:row>
    <x:row r="190">
      <x:c r="A190" t="str">
        <x:v>2025 S1</x:v>
      </x:c>
      <x:c r="B190" t="str">
        <x:v>CNCT0048</x:v>
      </x:c>
      <x:c r="C190" s="74" t="n">
        <x:v>2442</x:v>
      </x:c>
      <x:c r="D190" s="74" t="n">
        <x:v>1199.97</x:v>
      </x:c>
      <x:c r="E190" s="75" t="n">
        <x:v>0.9693225900944671</x:v>
      </x:c>
      <x:c r="F190" s="75" t="n">
        <x:v>0.20308523825835437</x:v>
      </x:c>
      <x:c r="G190" s="75" t="n">
        <x:v>0.015996150533115722</x:v>
      </x:c>
      <x:c r="H190" s="75" t="n">
        <x:v>0.00953603976433078</x:v>
      </x:c>
      <x:c r="I190" s="75" t="n">
        <x:v>0.006475997605079897</x:v>
      </x:c>
      <x:c r="J190" s="75" t="n">
        <x:v>0.010377828558222973</x:v>
      </x:c>
      <x:c r="K190" s="75" t="n">
        <x:v>0.013182448257859504</x:v>
      </x:c>
      <x:c r="L190" s="75" t="n">
        <x:v>0.008587091245353803</x:v>
      </x:c>
      <x:c r="M190" s="75" t="n">
        <x:v>0.009214436840709822</x:v>
      </x:c>
      <x:c r="N190" s="75" t="n">
        <x:v>0.006555424424732337</x:v>
      </x:c>
      <x:c r="O190" s="75" t="n">
        <x:v>0.00793924521234294</x:v>
      </x:c>
      <x:c r="P190" s="75" t="n">
        <x:v>0.00016305783587449688</x:v>
      </x:c>
      <x:c r="Q190" s="75" t="n">
        <x:v>0.001005500146166014</x:v>
      </x:c>
      <x:c r="R190" s="75" t="n">
        <x:v>0.3526589502543353</x:v>
      </x:c>
      <x:c r="S190" s="75" t="n">
        <x:v>0.01350916867444903</x:v>
      </x:c>
      <x:c r="T190" s="75" t="n">
        <x:v>0.005260811979975188</x:v>
      </x:c>
      <x:c r="U190" s="75" t="n">
        <x:v>0.012529337408428546</x:v>
      </x:c>
      <x:c r="V190" s="75" t="n">
        <x:v>0.03622626979844063</x:v>
      </x:c>
      <x:c r="W190" s="75" t="n">
        <x:v>0.012725639455553028</x:v>
      </x:c>
      <x:c r="X190" s="75" t="n">
        <x:v>0.01944948758637358</x:v>
      </x:c>
      <x:c r="Y190" s="75" t="n">
        <x:v>0.016540150339364776</x:v>
      </x:c>
      <x:c r="Z190" s="75" t="n">
        <x:v>0.008049622974992962</x:v>
      </x:c>
      <x:c r="AA190" s="75" t="n">
        <x:v>0.008472663752830267</x:v>
      </x:c>
      <x:c r="AB190" s="75" t="n">
        <x:v>0.0036265797125466636</x:v>
      </x:c>
      <x:c r="AC190" s="75" t="n">
        <x:v>0.021913242286213788</x:v>
      </x:c>
      <x:c r="AD190" s="75" t="n">
        <x:v>0.08819133094017162</x:v>
      </x:c>
      <x:c r="AE190" s="75" t="n">
        <x:v>0.08885867998251343</x:v>
      </x:c>
      <x:c r="AF190" s="74" t="n">
        <x:v>10</x:v>
      </x:c>
    </x:row>
    <x:row r="191">
      <x:c r="A191" t="str">
        <x:v>2025 S2</x:v>
      </x:c>
      <x:c r="B191" t="str">
        <x:v>CNCT0048</x:v>
      </x:c>
      <x:c r="C191" s="74" t="n">
        <x:v>2646</x:v>
      </x:c>
      <x:c r="D191" s="74" t="n">
        <x:v>1214.37</x:v>
      </x:c>
      <x:c r="E191" s="75" t="n">
        <x:v>0.9795771096181124</x:v>
      </x:c>
      <x:c r="F191" s="75" t="n">
        <x:v>0.20308523825835437</x:v>
      </x:c>
      <x:c r="G191" s="75" t="n">
        <x:v>0.015996150533115722</x:v>
      </x:c>
      <x:c r="H191" s="75" t="n">
        <x:v>0.00953603976433078</x:v>
      </x:c>
      <x:c r="I191" s="75" t="n">
        <x:v>0.006475997605079897</x:v>
      </x:c>
      <x:c r="J191" s="75" t="n">
        <x:v>0.010377828558222973</x:v>
      </x:c>
      <x:c r="K191" s="75" t="n">
        <x:v>0.013182448257859504</x:v>
      </x:c>
      <x:c r="L191" s="75" t="n">
        <x:v>0.008587091245353803</x:v>
      </x:c>
      <x:c r="M191" s="75" t="n">
        <x:v>0.009214436840709822</x:v>
      </x:c>
      <x:c r="N191" s="75" t="n">
        <x:v>0.006555424424732337</x:v>
      </x:c>
      <x:c r="O191" s="75" t="n">
        <x:v>0.00793924521234294</x:v>
      </x:c>
      <x:c r="P191" s="75" t="n">
        <x:v>0.00016305783587449688</x:v>
      </x:c>
      <x:c r="Q191" s="75" t="n">
        <x:v>0.001005500146166014</x:v>
      </x:c>
      <x:c r="R191" s="75" t="n">
        <x:v>0.35266035606401747</x:v>
      </x:c>
      <x:c r="S191" s="75" t="n">
        <x:v>0.01350916867444903</x:v>
      </x:c>
      <x:c r="T191" s="75" t="n">
        <x:v>0.005260811979975188</x:v>
      </x:c>
      <x:c r="U191" s="75" t="n">
        <x:v>0.012529337408428546</x:v>
      </x:c>
      <x:c r="V191" s="75" t="n">
        <x:v>0.03622626979844063</x:v>
      </x:c>
      <x:c r="W191" s="75" t="n">
        <x:v>0.012725639455553028</x:v>
      </x:c>
      <x:c r="X191" s="75" t="n">
        <x:v>0.01944948758637358</x:v>
      </x:c>
      <x:c r="Y191" s="75" t="n">
        <x:v>0.016540150339364776</x:v>
      </x:c>
      <x:c r="Z191" s="75" t="n">
        <x:v>0.008049622974992962</x:v>
      </x:c>
      <x:c r="AA191" s="75" t="n">
        <x:v>0.008472663752830267</x:v>
      </x:c>
      <x:c r="AB191" s="75" t="n">
        <x:v>0.0036265797125466636</x:v>
      </x:c>
      <x:c r="AC191" s="75" t="n">
        <x:v>0.021913242286213788</x:v>
      </x:c>
      <x:c r="AD191" s="75" t="n">
        <x:v>0.08819133094017162</x:v>
      </x:c>
      <x:c r="AE191" s="75" t="n">
        <x:v>0.08885867998251343</x:v>
      </x:c>
      <x:c r="AF191" s="74" t="n">
        <x:v>10</x:v>
      </x:c>
    </x:row>
    <x:row r="192">
      <x:c r="A192" t="str">
        <x:v>2026 S1</x:v>
      </x:c>
      <x:c r="B192" t="str">
        <x:v>CNCT0048</x:v>
      </x:c>
      <x:c r="C192" s="74" t="n">
        <x:v>2432</x:v>
      </x:c>
      <x:c r="D192" s="74" t="n">
        <x:v>1247.184</x:v>
      </x:c>
      <x:c r="E192" s="75" t="n">
        <x:v>0.9680612333593307</x:v>
      </x:c>
      <x:c r="F192" s="75" t="n">
        <x:v>0.20041589474320062</x:v>
      </x:c>
      <x:c r="G192" s="75" t="n">
        <x:v>0.016203584389033493</x:v>
      </x:c>
      <x:c r="H192" s="75" t="n">
        <x:v>0.00953603976433078</x:v>
      </x:c>
      <x:c r="I192" s="75" t="n">
        <x:v>0.006475997605079897</x:v>
      </x:c>
      <x:c r="J192" s="75" t="n">
        <x:v>0.010377828558222973</x:v>
      </x:c>
      <x:c r="K192" s="75" t="n">
        <x:v>0.013182448257859504</x:v>
      </x:c>
      <x:c r="L192" s="75" t="n">
        <x:v>0.008587091245353803</x:v>
      </x:c>
      <x:c r="M192" s="75" t="n">
        <x:v>0.009214436840709822</x:v>
      </x:c>
      <x:c r="N192" s="75" t="n">
        <x:v>0.006555424424732337</x:v>
      </x:c>
      <x:c r="O192" s="75" t="n">
        <x:v>0.006233644955398632</x:v>
      </x:c>
      <x:c r="P192" s="75" t="n">
        <x:v>0.00016305783587449688</x:v>
      </x:c>
      <x:c r="Q192" s="75" t="n">
        <x:v>0.001005500146166014</x:v>
      </x:c>
      <x:c r="R192" s="75" t="n">
        <x:v>0.35901515239923043</x:v>
      </x:c>
      <x:c r="S192" s="75" t="n">
        <x:v>0.01350916867444903</x:v>
      </x:c>
      <x:c r="T192" s="75" t="n">
        <x:v>0.005260811979975188</x:v>
      </x:c>
      <x:c r="U192" s="75" t="n">
        <x:v>0.012529337408428546</x:v>
      </x:c>
      <x:c r="V192" s="75" t="n">
        <x:v>0.03622626979844063</x:v>
      </x:c>
      <x:c r="W192" s="75" t="n">
        <x:v>0.015658275829029147</x:v>
      </x:c>
      <x:c r="X192" s="75" t="n">
        <x:v>0.023931641504099252</x:v>
      </x:c>
      <x:c r="Y192" s="75" t="n">
        <x:v>0.020351844571108713</x:v>
      </x:c>
      <x:c r="Z192" s="75" t="n">
        <x:v>0.009904666661534962</x:v>
      </x:c>
      <x:c r="AA192" s="75" t="n">
        <x:v>0.010425197610839284</x:v>
      </x:c>
      <x:c r="AB192" s="75" t="n">
        <x:v>0.004462328643943897</x:v>
      </x:c>
      <x:c r="AC192" s="75" t="n">
        <x:v>0.02696317094510748</x:v>
      </x:c>
      <x:c r="AD192" s="75" t="n">
        <x:v>0.08819133094017162</x:v>
      </x:c>
      <x:c r="AE192" s="75" t="n">
        <x:v>0.08885867998251343</x:v>
      </x:c>
      <x:c r="AF192" s="74" t="n">
        <x:v>10</x:v>
      </x:c>
    </x:row>
    <x:row r="193">
      <x:c r="A193" t="str">
        <x:v>2026 S2</x:v>
      </x:c>
      <x:c r="B193" t="str">
        <x:v>CNCT0048</x:v>
      </x:c>
      <x:c r="C193" s="74" t="n">
        <x:v>2691</x:v>
      </x:c>
      <x:c r="D193" s="74" t="n">
        <x:v>1257.631</x:v>
      </x:c>
      <x:c r="E193" s="75" t="n">
        <x:v>0.9795771096181124</x:v>
      </x:c>
      <x:c r="F193" s="75" t="n">
        <x:v>0.20675786224917828</x:v>
      </x:c>
      <x:c r="G193" s="75" t="n">
        <x:v>0.015386945265956454</x:v>
      </x:c>
      <x:c r="H193" s="75" t="n">
        <x:v>0.00953603976433078</x:v>
      </x:c>
      <x:c r="I193" s="75" t="n">
        <x:v>0.006475997605079897</x:v>
      </x:c>
      <x:c r="J193" s="75" t="n">
        <x:v>0.010377828558222973</x:v>
      </x:c>
      <x:c r="K193" s="75" t="n">
        <x:v>0.013182448257859504</x:v>
      </x:c>
      <x:c r="L193" s="75" t="n">
        <x:v>0.008587091245353803</x:v>
      </x:c>
      <x:c r="M193" s="75" t="n">
        <x:v>0.009214436840709822</x:v>
      </x:c>
      <x:c r="N193" s="75" t="n">
        <x:v>0.006555424424732337</x:v>
      </x:c>
      <x:c r="O193" s="75" t="n">
        <x:v>0.00793924521234294</x:v>
      </x:c>
      <x:c r="P193" s="75" t="n">
        <x:v>0.00016305783587449688</x:v>
      </x:c>
      <x:c r="Q193" s="75" t="n">
        <x:v>0.001005500146166014</x:v>
      </x:c>
      <x:c r="R193" s="75" t="n">
        <x:v>0.3502085867819629</x:v>
      </x:c>
      <x:c r="S193" s="75" t="n">
        <x:v>0.01350916867444903</x:v>
      </x:c>
      <x:c r="T193" s="75" t="n">
        <x:v>0.005260811979975188</x:v>
      </x:c>
      <x:c r="U193" s="75" t="n">
        <x:v>0.012529337408428546</x:v>
      </x:c>
      <x:c r="V193" s="75" t="n">
        <x:v>0.03622626979844063</x:v>
      </x:c>
      <x:c r="W193" s="75" t="n">
        <x:v>0.01348917782288621</x:v>
      </x:c>
      <x:c r="X193" s="75" t="n">
        <x:v>0.020616456841555997</x:v>
      </x:c>
      <x:c r="Y193" s="75" t="n">
        <x:v>0.017532559359726665</x:v>
      </x:c>
      <x:c r="Z193" s="75" t="n">
        <x:v>0.00853260035349254</x:v>
      </x:c>
      <x:c r="AA193" s="75" t="n">
        <x:v>0.008981023578000083</x:v>
      </x:c>
      <x:c r="AB193" s="75" t="n">
        <x:v>0.0038441744952994635</x:v>
      </x:c>
      <x:c r="AC193" s="75" t="n">
        <x:v>0.023228036823386616</x:v>
      </x:c>
      <x:c r="AD193" s="75" t="n">
        <x:v>0.08819133094017162</x:v>
      </x:c>
      <x:c r="AE193" s="75" t="n">
        <x:v>0.08885867998251343</x:v>
      </x:c>
      <x:c r="AF193" s="74" t="n">
        <x:v>10</x:v>
      </x:c>
    </x:row>
    <x:row r="194">
      <x:c r="A194" t="str">
        <x:v>2025 S1</x:v>
      </x:c>
      <x:c r="B194" t="str">
        <x:v>CNCT0049</x:v>
      </x:c>
      <x:c r="C194" s="74" t="n">
        <x:v>2336</x:v>
      </x:c>
      <x:c r="D194" s="74" t="n">
        <x:v>1269.869</x:v>
      </x:c>
      <x:c r="E194" s="75" t="n">
        <x:v>0.97944106065511</x:v>
      </x:c>
      <x:c r="F194" s="75" t="n">
        <x:v>0.2089346502427943</x:v>
      </x:c>
      <x:c r="G194" s="75" t="n">
        <x:v>0.009216873210651101</x:v>
      </x:c>
      <x:c r="H194" s="75" t="n">
        <x:v>0.008610042464708386</x:v>
      </x:c>
      <x:c r="I194" s="75" t="n">
        <x:v>0.008483243900580419</x:v>
      </x:c>
      <x:c r="J194" s="75" t="n">
        <x:v>0.01282343110932561</x:v>
      </x:c>
      <x:c r="K194" s="75" t="n">
        <x:v>0.012572170866671513</x:v>
      </x:c>
      <x:c r="L194" s="75" t="n">
        <x:v>0.00985847699320584</x:v>
      </x:c>
      <x:c r="M194" s="75" t="n">
        <x:v>0.00758421192906826</x:v>
      </x:c>
      <x:c r="N194" s="75" t="n">
        <x:v>0.005937145577947376</x:v>
      </x:c>
      <x:c r="O194" s="75" t="n">
        <x:v>0.011489467511360998</x:v>
      </x:c>
      <x:c r="P194" s="75" t="n">
        <x:v>0.0029140440634073455</x:v>
      </x:c>
      <x:c r="Q194" s="75" t="n">
        <x:v>0.0015570752131461633</x:v>
      </x:c>
      <x:c r="R194" s="75" t="n">
        <x:v>0.36191035329862503</x:v>
      </x:c>
      <x:c r="S194" s="75" t="n">
        <x:v>0.013491747475658485</x:v>
      </x:c>
      <x:c r="T194" s="75" t="n">
        <x:v>0.006765084870450664</x:v>
      </x:c>
      <x:c r="U194" s="75" t="n">
        <x:v>0.005002616091209347</x:v>
      </x:c>
      <x:c r="V194" s="75" t="n">
        <x:v>0.0378961848900799</x:v>
      </x:c>
      <x:c r="W194" s="75" t="n">
        <x:v>0.013537943196549895</x:v>
      </x:c>
      <x:c r="X194" s="75" t="n">
        <x:v>0.017439045587073196</x:v>
      </x:c>
      <x:c r="Y194" s="75" t="n">
        <x:v>0.013382087159522346</x:v>
      </x:c>
      <x:c r="Z194" s="75" t="n">
        <x:v>0.0046308912264445105</x:v>
      </x:c>
      <x:c r="AA194" s="75" t="n">
        <x:v>0.0072245813189193726</x:v>
      </x:c>
      <x:c r="AB194" s="75" t="n">
        <x:v>0.005856835006000984</x:v>
      </x:c>
      <x:c r="AC194" s="75" t="n">
        <x:v>0.026412440417018658</x:v>
      </x:c>
      <x:c r="AD194" s="75" t="n">
        <x:v>0.09055516590281332</x:v>
      </x:c>
      <x:c r="AE194" s="75" t="n">
        <x:v>0.07396920476207743</x:v>
      </x:c>
      <x:c r="AF194" s="74" t="n">
        <x:v>13</x:v>
      </x:c>
    </x:row>
    <x:row r="195">
      <x:c r="A195" t="str">
        <x:v>2025 S2</x:v>
      </x:c>
      <x:c r="B195" t="str">
        <x:v>CNCT0049</x:v>
      </x:c>
      <x:c r="C195" s="74" t="n">
        <x:v>2482</x:v>
      </x:c>
      <x:c r="D195" s="74" t="n">
        <x:v>1285.107</x:v>
      </x:c>
      <x:c r="E195" s="75" t="n">
        <x:v>0.9640215052015264</x:v>
      </x:c>
      <x:c r="F195" s="75" t="n">
        <x:v>0.2089346502427943</x:v>
      </x:c>
      <x:c r="G195" s="75" t="n">
        <x:v>0.009216873210651101</x:v>
      </x:c>
      <x:c r="H195" s="75" t="n">
        <x:v>0.008610042464708386</x:v>
      </x:c>
      <x:c r="I195" s="75" t="n">
        <x:v>0.008483243900580419</x:v>
      </x:c>
      <x:c r="J195" s="75" t="n">
        <x:v>0.01282343110932561</x:v>
      </x:c>
      <x:c r="K195" s="75" t="n">
        <x:v>0.012572170866671513</x:v>
      </x:c>
      <x:c r="L195" s="75" t="n">
        <x:v>0.00985847699320584</x:v>
      </x:c>
      <x:c r="M195" s="75" t="n">
        <x:v>0.00758421192906826</x:v>
      </x:c>
      <x:c r="N195" s="75" t="n">
        <x:v>0.005937145577947376</x:v>
      </x:c>
      <x:c r="O195" s="75" t="n">
        <x:v>0.011489467511360998</x:v>
      </x:c>
      <x:c r="P195" s="75" t="n">
        <x:v>0.0029140440634073455</x:v>
      </x:c>
      <x:c r="Q195" s="75" t="n">
        <x:v>0.0015570752131461633</x:v>
      </x:c>
      <x:c r="R195" s="75" t="n">
        <x:v>0.3525999586221711</x:v>
      </x:c>
      <x:c r="S195" s="75" t="n">
        <x:v>0.013491747475658485</x:v>
      </x:c>
      <x:c r="T195" s="75" t="n">
        <x:v>0.006765084870450664</x:v>
      </x:c>
      <x:c r="U195" s="75" t="n">
        <x:v>0.005002616091209347</x:v>
      </x:c>
      <x:c r="V195" s="75" t="n">
        <x:v>0.0378961848900799</x:v>
      </x:c>
      <x:c r="W195" s="75" t="n">
        <x:v>0.013537943196549895</x:v>
      </x:c>
      <x:c r="X195" s="75" t="n">
        <x:v>0.017439045587073196</x:v>
      </x:c>
      <x:c r="Y195" s="75" t="n">
        <x:v>0.013382087159522346</x:v>
      </x:c>
      <x:c r="Z195" s="75" t="n">
        <x:v>0.0046308912264445105</x:v>
      </x:c>
      <x:c r="AA195" s="75" t="n">
        <x:v>0.0072245813189193726</x:v>
      </x:c>
      <x:c r="AB195" s="75" t="n">
        <x:v>0.005856835006000984</x:v>
      </x:c>
      <x:c r="AC195" s="75" t="n">
        <x:v>0.026412440417018658</x:v>
      </x:c>
      <x:c r="AD195" s="75" t="n">
        <x:v>0.09055516590281332</x:v>
      </x:c>
      <x:c r="AE195" s="75" t="n">
        <x:v>0.07410395215948841</x:v>
      </x:c>
      <x:c r="AF195" s="74" t="n">
        <x:v>13</x:v>
      </x:c>
    </x:row>
    <x:row r="196">
      <x:c r="A196" t="str">
        <x:v>2026 S1</x:v>
      </x:c>
      <x:c r="B196" t="str">
        <x:v>CNCT0049</x:v>
      </x:c>
      <x:c r="C196" s="74" t="n">
        <x:v>2371</x:v>
      </x:c>
      <x:c r="D196" s="74" t="n">
        <x:v>1342.35</x:v>
      </x:c>
      <x:c r="E196" s="75" t="n">
        <x:v>0.9829387397581159</x:v>
      </x:c>
      <x:c r="F196" s="75" t="n">
        <x:v>0.21145489627547795</x:v>
      </x:c>
      <x:c r="G196" s="75" t="n">
        <x:v>0.009559979235767969</x:v>
      </x:c>
      <x:c r="H196" s="75" t="n">
        <x:v>0.008610042464708386</x:v>
      </x:c>
      <x:c r="I196" s="75" t="n">
        <x:v>0.008483243900580419</x:v>
      </x:c>
      <x:c r="J196" s="75" t="n">
        <x:v>0.01282343110932561</x:v>
      </x:c>
      <x:c r="K196" s="75" t="n">
        <x:v>0.012572170866671513</x:v>
      </x:c>
      <x:c r="L196" s="75" t="n">
        <x:v>0.00985847699320584</x:v>
      </x:c>
      <x:c r="M196" s="75" t="n">
        <x:v>0.00758421192906826</x:v>
      </x:c>
      <x:c r="N196" s="75" t="n">
        <x:v>0.005937145577947376</x:v>
      </x:c>
      <x:c r="O196" s="75" t="n">
        <x:v>0.010267058901459677</x:v>
      </x:c>
      <x:c r="P196" s="75" t="n">
        <x:v>0.0029140440634073455</x:v>
      </x:c>
      <x:c r="Q196" s="75" t="n">
        <x:v>0.0015570752131461633</x:v>
      </x:c>
      <x:c r="R196" s="75" t="n">
        <x:v>0.3630051984641904</x:v>
      </x:c>
      <x:c r="S196" s="75" t="n">
        <x:v>0.013491747475658485</x:v>
      </x:c>
      <x:c r="T196" s="75" t="n">
        <x:v>0.006765084870450664</x:v>
      </x:c>
      <x:c r="U196" s="75" t="n">
        <x:v>0.005002616091209347</x:v>
      </x:c>
      <x:c r="V196" s="75" t="n">
        <x:v>0.0378961848900799</x:v>
      </x:c>
      <x:c r="W196" s="75" t="n">
        <x:v>0.01665777578169604</x:v>
      </x:c>
      <x:c r="X196" s="75" t="n">
        <x:v>0.021457891130040572</x:v>
      </x:c>
      <x:c r="Y196" s="75" t="n">
        <x:v>0.016466002564647066</x:v>
      </x:c>
      <x:c r="Z196" s="75" t="n">
        <x:v>0.005698084753317257</x:v>
      </x:c>
      <x:c r="AA196" s="75" t="n">
        <x:v>0.008889493328488662</x:v>
      </x:c>
      <x:c r="AB196" s="75" t="n">
        <x:v>0.007206548506217408</x:v>
      </x:c>
      <x:c r="AC196" s="75" t="n">
        <x:v>0.03249921379683649</x:v>
      </x:c>
      <x:c r="AD196" s="75" t="n">
        <x:v>0.09055516590281332</x:v>
      </x:c>
      <x:c r="AE196" s="75" t="n">
        <x:v>0.07396920476207743</x:v>
      </x:c>
      <x:c r="AF196" s="74" t="n">
        <x:v>13</x:v>
      </x:c>
    </x:row>
    <x:row r="197">
      <x:c r="A197" t="str">
        <x:v>2026 S2</x:v>
      </x:c>
      <x:c r="B197" t="str">
        <x:v>CNCT0049</x:v>
      </x:c>
      <x:c r="C197" s="74" t="n">
        <x:v>2645</x:v>
      </x:c>
      <x:c r="D197" s="74" t="n">
        <x:v>1317.937</x:v>
      </x:c>
      <x:c r="E197" s="75" t="n">
        <x:v>0.9640215052015264</x:v>
      </x:c>
      <x:c r="F197" s="75" t="n">
        <x:v>0.20407209900230236</x:v>
      </x:c>
      <x:c r="G197" s="75" t="n">
        <x:v>0.008141633593360894</x:v>
      </x:c>
      <x:c r="H197" s="75" t="n">
        <x:v>0.008610042464708386</x:v>
      </x:c>
      <x:c r="I197" s="75" t="n">
        <x:v>0.008483243900580419</x:v>
      </x:c>
      <x:c r="J197" s="75" t="n">
        <x:v>0.01282343110932561</x:v>
      </x:c>
      <x:c r="K197" s="75" t="n">
        <x:v>0.012572170866671513</x:v>
      </x:c>
      <x:c r="L197" s="75" t="n">
        <x:v>0.00985847699320584</x:v>
      </x:c>
      <x:c r="M197" s="75" t="n">
        <x:v>0.00758421192906826</x:v>
      </x:c>
      <x:c r="N197" s="75" t="n">
        <x:v>0.005937145577947376</x:v>
      </x:c>
      <x:c r="O197" s="75" t="n">
        <x:v>0.011489467511360998</x:v>
      </x:c>
      <x:c r="P197" s="75" t="n">
        <x:v>0.0029140440634073455</x:v>
      </x:c>
      <x:c r="Q197" s="75" t="n">
        <x:v>0.0015570752131461633</x:v>
      </x:c>
      <x:c r="R197" s="75" t="n">
        <x:v>0.35756068136663866</x:v>
      </x:c>
      <x:c r="S197" s="75" t="n">
        <x:v>0.013491747475658485</x:v>
      </x:c>
      <x:c r="T197" s="75" t="n">
        <x:v>0.006765084870450664</x:v>
      </x:c>
      <x:c r="U197" s="75" t="n">
        <x:v>0.005002616091209347</x:v>
      </x:c>
      <x:c r="V197" s="75" t="n">
        <x:v>0.0378961848900799</x:v>
      </x:c>
      <x:c r="W197" s="75" t="n">
        <x:v>0.014350219788342888</x:v>
      </x:c>
      <x:c r="X197" s="75" t="n">
        <x:v>0.01848538832229759</x:v>
      </x:c>
      <x:c r="Y197" s="75" t="n">
        <x:v>0.014185012389093688</x:v>
      </x:c>
      <x:c r="Z197" s="75" t="n">
        <x:v>0.004908744700031181</x:v>
      </x:c>
      <x:c r="AA197" s="75" t="n">
        <x:v>0.007658056198054535</x:v>
      </x:c>
      <x:c r="AB197" s="75" t="n">
        <x:v>0.0062082451063610435</x:v>
      </x:c>
      <x:c r="AC197" s="75" t="n">
        <x:v>0.02799718684203978</x:v>
      </x:c>
      <x:c r="AD197" s="75" t="n">
        <x:v>0.09055516590281332</x:v>
      </x:c>
      <x:c r="AE197" s="75" t="n">
        <x:v>0.07410395215948841</x:v>
      </x:c>
      <x:c r="AF197" s="74" t="n">
        <x:v>13</x:v>
      </x:c>
    </x:row>
    <x:row r="198">
      <x:c r="A198" t="str">
        <x:v>2025 S1</x:v>
      </x:c>
      <x:c r="B198" t="str">
        <x:v>CNCT0050</x:v>
      </x:c>
      <x:c r="C198" s="74" t="n">
        <x:v>1822</x:v>
      </x:c>
      <x:c r="D198" s="74" t="n">
        <x:v>1129.95</x:v>
      </x:c>
      <x:c r="E198" s="75" t="n">
        <x:v>0.9790923827392398</x:v>
      </x:c>
      <x:c r="F198" s="75" t="n">
        <x:v>0.16206478672800584</x:v>
      </x:c>
      <x:c r="G198" s="75" t="n">
        <x:v>0.014622212474554544</x:v>
      </x:c>
      <x:c r="H198" s="75" t="n">
        <x:v>0.008162055767897983</x:v>
      </x:c>
      <x:c r="I198" s="75" t="n">
        <x:v>0.005802966921408369</x:v>
      </x:c>
      <x:c r="J198" s="75" t="n">
        <x:v>0.013101174386305502</x:v>
      </x:c>
      <x:c r="K198" s="75" t="n">
        <x:v>0.010691517553950688</x:v>
      </x:c>
      <x:c r="L198" s="75" t="n">
        <x:v>0.010839547320648306</x:v>
      </x:c>
      <x:c r="M198" s="75" t="n">
        <x:v>0.007342924273751123</x:v>
      </x:c>
      <x:c r="N198" s="75" t="n">
        <x:v>0.005339505480849766</x:v>
      </x:c>
      <x:c r="O198" s="75" t="n">
        <x:v>0.010905881903832777</x:v>
      </x:c>
      <x:c r="P198" s="75" t="n">
        <x:v>0.001420720316011284</x:v>
      </x:c>
      <x:c r="Q198" s="75" t="n">
        <x:v>0.004027088329079561</x:v>
      </x:c>
      <x:c r="R198" s="75" t="n">
        <x:v>0.4000598421522731</x:v>
      </x:c>
      <x:c r="S198" s="75" t="n">
        <x:v>0.013979052736627636</x:v>
      </x:c>
      <x:c r="T198" s="75" t="n">
        <x:v>0.0068687774204299785</x:v>
      </x:c>
      <x:c r="U198" s="75" t="n">
        <x:v>0.012057345812936545</x:v>
      </x:c>
      <x:c r="V198" s="75" t="n">
        <x:v>0.0292874790933347</x:v>
      </x:c>
      <x:c r="W198" s="75" t="n">
        <x:v>0.010752166481217136</x:v>
      </x:c>
      <x:c r="X198" s="75" t="n">
        <x:v>0.02470238760723325</x:v>
      </x:c>
      <x:c r="Y198" s="75" t="n">
        <x:v>0.021030014980670534</x:v>
      </x:c>
      <x:c r="Z198" s="75" t="n">
        <x:v>0.005287139301240677</x:v>
      </x:c>
      <x:c r="AA198" s="75" t="n">
        <x:v>0.006651070735087269</x:v>
      </x:c>
      <x:c r="AB198" s="75" t="n">
        <x:v>0.006758904261232238</x:v>
      </x:c>
      <x:c r="AC198" s="75" t="n">
        <x:v>0.023544376604514396</x:v>
      </x:c>
      <x:c r="AD198" s="75" t="n">
        <x:v>0.08233146093603137</x:v>
      </x:c>
      <x:c r="AE198" s="75" t="n">
        <x:v>0.08802285292606393</x:v>
      </x:c>
      <x:c r="AF198" s="74" t="n">
        <x:v>6</x:v>
      </x:c>
    </x:row>
    <x:row r="199">
      <x:c r="A199" t="str">
        <x:v>2025 S2</x:v>
      </x:c>
      <x:c r="B199" t="str">
        <x:v>CNCT0050</x:v>
      </x:c>
      <x:c r="C199" s="74" t="n">
        <x:v>1954</x:v>
      </x:c>
      <x:c r="D199" s="74" t="n">
        <x:v>1143.509</x:v>
      </x:c>
      <x:c r="E199" s="75" t="n">
        <x:v>0.979339168560633</x:v>
      </x:c>
      <x:c r="F199" s="75" t="n">
        <x:v>0.16206478672800584</x:v>
      </x:c>
      <x:c r="G199" s="75" t="n">
        <x:v>0.014622212474554544</x:v>
      </x:c>
      <x:c r="H199" s="75" t="n">
        <x:v>0.008162055767897983</x:v>
      </x:c>
      <x:c r="I199" s="75" t="n">
        <x:v>0.005802966921408369</x:v>
      </x:c>
      <x:c r="J199" s="75" t="n">
        <x:v>0.013101174386305502</x:v>
      </x:c>
      <x:c r="K199" s="75" t="n">
        <x:v>0.010691517553950688</x:v>
      </x:c>
      <x:c r="L199" s="75" t="n">
        <x:v>0.010839547320648306</x:v>
      </x:c>
      <x:c r="M199" s="75" t="n">
        <x:v>0.007342924273751123</x:v>
      </x:c>
      <x:c r="N199" s="75" t="n">
        <x:v>0.005339505480849766</x:v>
      </x:c>
      <x:c r="O199" s="75" t="n">
        <x:v>0.010905881903832777</x:v>
      </x:c>
      <x:c r="P199" s="75" t="n">
        <x:v>0.001420720316011284</x:v>
      </x:c>
      <x:c r="Q199" s="75" t="n">
        <x:v>0.004027088329079561</x:v>
      </x:c>
      <x:c r="R199" s="75" t="n">
        <x:v>0.38524312340966665</x:v>
      </x:c>
      <x:c r="S199" s="75" t="n">
        <x:v>0.013979052736627636</x:v>
      </x:c>
      <x:c r="T199" s="75" t="n">
        <x:v>0.0068687774204299785</x:v>
      </x:c>
      <x:c r="U199" s="75" t="n">
        <x:v>0.012057345812936545</x:v>
      </x:c>
      <x:c r="V199" s="75" t="n">
        <x:v>0.0292874790933347</x:v>
      </x:c>
      <x:c r="W199" s="75" t="n">
        <x:v>0.010752166481217136</x:v>
      </x:c>
      <x:c r="X199" s="75" t="n">
        <x:v>0.02470238760723325</x:v>
      </x:c>
      <x:c r="Y199" s="75" t="n">
        <x:v>0.021030014980670534</x:v>
      </x:c>
      <x:c r="Z199" s="75" t="n">
        <x:v>0.005287139301240677</x:v>
      </x:c>
      <x:c r="AA199" s="75" t="n">
        <x:v>0.006651070735087269</x:v>
      </x:c>
      <x:c r="AB199" s="75" t="n">
        <x:v>0.006758904261232238</x:v>
      </x:c>
      <x:c r="AC199" s="75" t="n">
        <x:v>0.023544376604514396</x:v>
      </x:c>
      <x:c r="AD199" s="75" t="n">
        <x:v>0.08233146093603137</x:v>
      </x:c>
      <x:c r="AE199" s="75" t="n">
        <x:v>0.08802285292606393</x:v>
      </x:c>
      <x:c r="AF199" s="74" t="n">
        <x:v>6</x:v>
      </x:c>
    </x:row>
    <x:row r="200">
      <x:c r="A200" t="str">
        <x:v>2026 S1</x:v>
      </x:c>
      <x:c r="B200" t="str">
        <x:v>CNCT0050</x:v>
      </x:c>
      <x:c r="C200" s="74" t="n">
        <x:v>1950</x:v>
      </x:c>
      <x:c r="D200" s="74" t="n">
        <x:v>1178.325</x:v>
      </x:c>
      <x:c r="E200" s="75" t="n">
        <x:v>0.9765152180263249</x:v>
      </x:c>
      <x:c r="F200" s="75" t="n">
        <x:v>0.1628082150525115</x:v>
      </x:c>
      <x:c r="G200" s="75" t="n">
        <x:v>0.01467413139880955</x:v>
      </x:c>
      <x:c r="H200" s="75" t="n">
        <x:v>0.008162055767897983</x:v>
      </x:c>
      <x:c r="I200" s="75" t="n">
        <x:v>0.005802966921408369</x:v>
      </x:c>
      <x:c r="J200" s="75" t="n">
        <x:v>0.013101174386305502</x:v>
      </x:c>
      <x:c r="K200" s="75" t="n">
        <x:v>0.010691517553950688</x:v>
      </x:c>
      <x:c r="L200" s="75" t="n">
        <x:v>0.010839547320648306</x:v>
      </x:c>
      <x:c r="M200" s="75" t="n">
        <x:v>0.007342924273751123</x:v>
      </x:c>
      <x:c r="N200" s="75" t="n">
        <x:v>0.005339505480849766</x:v>
      </x:c>
      <x:c r="O200" s="75" t="n">
        <x:v>0.012831406138880992</x:v>
      </x:c>
      <x:c r="P200" s="75" t="n">
        <x:v>0.001420720316011284</x:v>
      </x:c>
      <x:c r="Q200" s="75" t="n">
        <x:v>0.004027088329079561</x:v>
      </x:c>
      <x:c r="R200" s="75" t="n">
        <x:v>0.39861405006698886</x:v>
      </x:c>
      <x:c r="S200" s="75" t="n">
        <x:v>0.013979052736627636</x:v>
      </x:c>
      <x:c r="T200" s="75" t="n">
        <x:v>0.0068687774204299785</x:v>
      </x:c>
      <x:c r="U200" s="75" t="n">
        <x:v>0.012057345812936545</x:v>
      </x:c>
      <x:c r="V200" s="75" t="n">
        <x:v>0.0292874790933347</x:v>
      </x:c>
      <x:c r="W200" s="75" t="n">
        <x:v>0.013230014028809611</x:v>
      </x:c>
      <x:c r="X200" s="75" t="n">
        <x:v>0.030395077602239064</x:v>
      </x:c>
      <x:c r="Y200" s="75" t="n">
        <x:v>0.025876403021324157</x:v>
      </x:c>
      <x:c r="Z200" s="75" t="n">
        <x:v>0.0065055658550188895</x:v>
      </x:c>
      <x:c r="AA200" s="75" t="n">
        <x:v>0.008183816655510788</x:v>
      </x:c>
      <x:c r="AB200" s="75" t="n">
        <x:v>0.00831650052588855</x:v>
      </x:c>
      <x:c r="AC200" s="75" t="n">
        <x:v>0.028970201802720003</x:v>
      </x:c>
      <x:c r="AD200" s="75" t="n">
        <x:v>0.08233146093603137</x:v>
      </x:c>
      <x:c r="AE200" s="75" t="n">
        <x:v>0.08802285292606393</x:v>
      </x:c>
      <x:c r="AF200" s="74" t="n">
        <x:v>6</x:v>
      </x:c>
    </x:row>
    <x:row r="201">
      <x:c r="A201" t="str">
        <x:v>2026 S2</x:v>
      </x:c>
      <x:c r="B201" t="str">
        <x:v>CNCT0050</x:v>
      </x:c>
      <x:c r="C201" s="74" t="n">
        <x:v>2097</x:v>
      </x:c>
      <x:c r="D201" s="74" t="n">
        <x:v>1173.942</x:v>
      </x:c>
      <x:c r="E201" s="75" t="n">
        <x:v>0.979339168560633</x:v>
      </x:c>
      <x:c r="F201" s="75" t="n">
        <x:v>0.16478414832589622</x:v>
      </x:c>
      <x:c r="G201" s="75" t="n">
        <x:v>0.013019114735625408</x:v>
      </x:c>
      <x:c r="H201" s="75" t="n">
        <x:v>0.008162055767897983</x:v>
      </x:c>
      <x:c r="I201" s="75" t="n">
        <x:v>0.005802966921408369</x:v>
      </x:c>
      <x:c r="J201" s="75" t="n">
        <x:v>0.013101174386305502</x:v>
      </x:c>
      <x:c r="K201" s="75" t="n">
        <x:v>0.010691517553950688</x:v>
      </x:c>
      <x:c r="L201" s="75" t="n">
        <x:v>0.010839547320648306</x:v>
      </x:c>
      <x:c r="M201" s="75" t="n">
        <x:v>0.007342924273751123</x:v>
      </x:c>
      <x:c r="N201" s="75" t="n">
        <x:v>0.005339505480849766</x:v>
      </x:c>
      <x:c r="O201" s="75" t="n">
        <x:v>0.010905881903832777</x:v>
      </x:c>
      <x:c r="P201" s="75" t="n">
        <x:v>0.001420720316011284</x:v>
      </x:c>
      <x:c r="Q201" s="75" t="n">
        <x:v>0.004027088329079561</x:v>
      </x:c>
      <x:c r="R201" s="75" t="n">
        <x:v>0.37855034500306245</x:v>
      </x:c>
      <x:c r="S201" s="75" t="n">
        <x:v>0.013979052736627636</x:v>
      </x:c>
      <x:c r="T201" s="75" t="n">
        <x:v>0.0068687774204299785</x:v>
      </x:c>
      <x:c r="U201" s="75" t="n">
        <x:v>0.012057345812936545</x:v>
      </x:c>
      <x:c r="V201" s="75" t="n">
        <x:v>0.0292874790933347</x:v>
      </x:c>
      <x:c r="W201" s="75" t="n">
        <x:v>0.011397296470090164</x:v>
      </x:c>
      <x:c r="X201" s="75" t="n">
        <x:v>0.026184530863667246</x:v>
      </x:c>
      <x:c r="Y201" s="75" t="n">
        <x:v>0.022291815879510766</x:v>
      </x:c>
      <x:c r="Z201" s="75" t="n">
        <x:v>0.005604367659315118</x:v>
      </x:c>
      <x:c r="AA201" s="75" t="n">
        <x:v>0.007050134979192505</x:v>
      </x:c>
      <x:c r="AB201" s="75" t="n">
        <x:v>0.007164438516906172</x:v>
      </x:c>
      <x:c r="AC201" s="75" t="n">
        <x:v>0.02495703920078526</x:v>
      </x:c>
      <x:c r="AD201" s="75" t="n">
        <x:v>0.08233146093603137</x:v>
      </x:c>
      <x:c r="AE201" s="75" t="n">
        <x:v>0.08802285292606393</x:v>
      </x:c>
      <x:c r="AF201" s="74" t="n">
        <x:v>6</x:v>
      </x:c>
    </x:row>
    <x:row r="202">
      <x:c r="A202" t="str">
        <x:v>2025 S1</x:v>
      </x:c>
      <x:c r="B202" t="str">
        <x:v>CNCT0051</x:v>
      </x:c>
      <x:c r="C202" s="74" t="n">
        <x:v>1818</x:v>
      </x:c>
      <x:c r="D202" s="74" t="n">
        <x:v>1058.408</x:v>
      </x:c>
      <x:c r="E202" s="75" t="n">
        <x:v>0.9830313476474257</x:v>
      </x:c>
      <x:c r="F202" s="75" t="n">
        <x:v>0.1650143629782833</x:v>
      </x:c>
      <x:c r="G202" s="75" t="n">
        <x:v>0.01357486552587943</x:v>
      </x:c>
      <x:c r="H202" s="75" t="n">
        <x:v>0.012032566953086644</x:v>
      </x:c>
      <x:c r="I202" s="75" t="n">
        <x:v>0.009323844954531525</x:v>
      </x:c>
      <x:c r="J202" s="75" t="n">
        <x:v>0.014370767456479371</x:v>
      </x:c>
      <x:c r="K202" s="75" t="n">
        <x:v>0.012221467113333346</x:v>
      </x:c>
      <x:c r="L202" s="75" t="n">
        <x:v>0.010614825349020975</x:v>
      </x:c>
      <x:c r="M202" s="75" t="n">
        <x:v>0.007756019348596965</x:v>
      </x:c>
      <x:c r="N202" s="75" t="n">
        <x:v>0.005926426514357445</x:v>
      </x:c>
      <x:c r="O202" s="75" t="n">
        <x:v>0.014284024293279799</x:v>
      </x:c>
      <x:c r="P202" s="75" t="n">
        <x:v>0.0008184633705241141</x:v>
      </x:c>
      <x:c r="Q202" s="75" t="n">
        <x:v>0.0011097546333185162</x:v>
      </x:c>
      <x:c r="R202" s="75" t="n">
        <x:v>0.3837397622600097</x:v>
      </x:c>
      <x:c r="S202" s="75" t="n">
        <x:v>0.01573203728860244</x:v>
      </x:c>
      <x:c r="T202" s="75" t="n">
        <x:v>0.004441655090864515</x:v>
      </x:c>
      <x:c r="U202" s="75" t="n">
        <x:v>0.009170075187692419</x:v>
      </x:c>
      <x:c r="V202" s="75" t="n">
        <x:v>0.03338715444828268</x:v>
      </x:c>
      <x:c r="W202" s="75" t="n">
        <x:v>0.011835915600031149</x:v>
      </x:c>
      <x:c r="X202" s="75" t="n">
        <x:v>0.021747814067696453</x:v>
      </x:c>
      <x:c r="Y202" s="75" t="n">
        <x:v>0.016207367736524904</x:v>
      </x:c>
      <x:c r="Z202" s="75" t="n">
        <x:v>0.00807644135801238</x:v>
      </x:c>
      <x:c r="AA202" s="75" t="n">
        <x:v>0.005646291671383661</x:v>
      </x:c>
      <x:c r="AB202" s="75" t="n">
        <x:v>0.00549556914572313</x:v>
      </x:c>
      <x:c r="AC202" s="75" t="n">
        <x:v>0.017575878846194243</x:v>
      </x:c>
      <x:c r="AD202" s="75" t="n">
        <x:v>0.08367773477428272</x:v>
      </x:c>
      <x:c r="AE202" s="75" t="n">
        <x:v>0.0899703308185417</x:v>
      </x:c>
      <x:c r="AF202" s="74" t="n">
        <x:v>7</x:v>
      </x:c>
    </x:row>
    <x:row r="203">
      <x:c r="A203" t="str">
        <x:v>2025 S2</x:v>
      </x:c>
      <x:c r="B203" t="str">
        <x:v>CNCT0051</x:v>
      </x:c>
      <x:c r="C203" s="74" t="n">
        <x:v>1958</x:v>
      </x:c>
      <x:c r="D203" s="74" t="n">
        <x:v>1071.109</x:v>
      </x:c>
      <x:c r="E203" s="75" t="n">
        <x:v>0.967733693655493</x:v>
      </x:c>
      <x:c r="F203" s="75" t="n">
        <x:v>0.1650143629782833</x:v>
      </x:c>
      <x:c r="G203" s="75" t="n">
        <x:v>0.01357486552587943</x:v>
      </x:c>
      <x:c r="H203" s="75" t="n">
        <x:v>0.012032566953086644</x:v>
      </x:c>
      <x:c r="I203" s="75" t="n">
        <x:v>0.009323844954531525</x:v>
      </x:c>
      <x:c r="J203" s="75" t="n">
        <x:v>0.014370767456479371</x:v>
      </x:c>
      <x:c r="K203" s="75" t="n">
        <x:v>0.012221467113333346</x:v>
      </x:c>
      <x:c r="L203" s="75" t="n">
        <x:v>0.010614825349020975</x:v>
      </x:c>
      <x:c r="M203" s="75" t="n">
        <x:v>0.007756019348596965</x:v>
      </x:c>
      <x:c r="N203" s="75" t="n">
        <x:v>0.005926426514357445</x:v>
      </x:c>
      <x:c r="O203" s="75" t="n">
        <x:v>0.014284024293279799</x:v>
      </x:c>
      <x:c r="P203" s="75" t="n">
        <x:v>0.0008184633705241141</x:v>
      </x:c>
      <x:c r="Q203" s="75" t="n">
        <x:v>0.0011097546333185162</x:v>
      </x:c>
      <x:c r="R203" s="75" t="n">
        <x:v>0.36727687457470326</x:v>
      </x:c>
      <x:c r="S203" s="75" t="n">
        <x:v>0.01573203728860244</x:v>
      </x:c>
      <x:c r="T203" s="75" t="n">
        <x:v>0.004441655090864515</x:v>
      </x:c>
      <x:c r="U203" s="75" t="n">
        <x:v>0.009170075187692419</x:v>
      </x:c>
      <x:c r="V203" s="75" t="n">
        <x:v>0.03338715444828268</x:v>
      </x:c>
      <x:c r="W203" s="75" t="n">
        <x:v>0.011835915600031149</x:v>
      </x:c>
      <x:c r="X203" s="75" t="n">
        <x:v>0.021747814067696453</x:v>
      </x:c>
      <x:c r="Y203" s="75" t="n">
        <x:v>0.016207367736524904</x:v>
      </x:c>
      <x:c r="Z203" s="75" t="n">
        <x:v>0.00807644135801238</x:v>
      </x:c>
      <x:c r="AA203" s="75" t="n">
        <x:v>0.005646291671383661</x:v>
      </x:c>
      <x:c r="AB203" s="75" t="n">
        <x:v>0.00549556914572313</x:v>
      </x:c>
      <x:c r="AC203" s="75" t="n">
        <x:v>0.017575878846194243</x:v>
      </x:c>
      <x:c r="AD203" s="75" t="n">
        <x:v>0.08367773477428272</x:v>
      </x:c>
      <x:c r="AE203" s="75" t="n">
        <x:v>0.0899703308185417</x:v>
      </x:c>
      <x:c r="AF203" s="74" t="n">
        <x:v>7</x:v>
      </x:c>
    </x:row>
    <x:row r="204">
      <x:c r="A204" t="str">
        <x:v>2026 S1</x:v>
      </x:c>
      <x:c r="B204" t="str">
        <x:v>CNCT0051</x:v>
      </x:c>
      <x:c r="C204" s="74" t="n">
        <x:v>1737</x:v>
      </x:c>
      <x:c r="D204" s="74" t="n">
        <x:v>1096.655</x:v>
      </x:c>
      <x:c r="E204" s="75" t="n">
        <x:v>0.9832982767835783</x:v>
      </x:c>
      <x:c r="F204" s="75" t="n">
        <x:v>0.16670342163844906</x:v>
      </x:c>
      <x:c r="G204" s="75" t="n">
        <x:v>0.011614967543109742</x:v>
      </x:c>
      <x:c r="H204" s="75" t="n">
        <x:v>0.012032566953086644</x:v>
      </x:c>
      <x:c r="I204" s="75" t="n">
        <x:v>0.009323844954531525</x:v>
      </x:c>
      <x:c r="J204" s="75" t="n">
        <x:v>0.014370767456479371</x:v>
      </x:c>
      <x:c r="K204" s="75" t="n">
        <x:v>0.012221467113333346</x:v>
      </x:c>
      <x:c r="L204" s="75" t="n">
        <x:v>0.010614825349020975</x:v>
      </x:c>
      <x:c r="M204" s="75" t="n">
        <x:v>0.007756019348596965</x:v>
      </x:c>
      <x:c r="N204" s="75" t="n">
        <x:v>0.005926426514357445</x:v>
      </x:c>
      <x:c r="O204" s="75" t="n">
        <x:v>0.013233293471945217</x:v>
      </x:c>
      <x:c r="P204" s="75" t="n">
        <x:v>0.0008184633705241141</x:v>
      </x:c>
      <x:c r="Q204" s="75" t="n">
        <x:v>0.0011097546333185162</x:v>
      </x:c>
      <x:c r="R204" s="75" t="n">
        <x:v>0.3787621328495544</x:v>
      </x:c>
      <x:c r="S204" s="75" t="n">
        <x:v>0.01573203728860244</x:v>
      </x:c>
      <x:c r="T204" s="75" t="n">
        <x:v>0.004441655090864515</x:v>
      </x:c>
      <x:c r="U204" s="75" t="n">
        <x:v>0.009170075187692419</x:v>
      </x:c>
      <x:c r="V204" s="75" t="n">
        <x:v>0.03338715444828268</x:v>
      </x:c>
      <x:c r="W204" s="75" t="n">
        <x:v>0.014563514218810053</x:v>
      </x:c>
      <x:c r="X204" s="75" t="n">
        <x:v>0.026759619627745663</x:v>
      </x:c>
      <x:c r="Y204" s="75" t="n">
        <x:v>0.01994237188373856</x:v>
      </x:c>
      <x:c r="Z204" s="75" t="n">
        <x:v>0.00993766536781399</x:v>
      </x:c>
      <x:c r="AA204" s="75" t="n">
        <x:v>0.006947485249010082</x:v>
      </x:c>
      <x:c r="AB204" s="75" t="n">
        <x:v>0.006762028566170411</x:v>
      </x:c>
      <x:c r="AC204" s="75" t="n">
        <x:v>0.021626257750938935</x:v>
      </x:c>
      <x:c r="AD204" s="75" t="n">
        <x:v>0.08367773477428272</x:v>
      </x:c>
      <x:c r="AE204" s="75" t="n">
        <x:v>0.0899703308185417</x:v>
      </x:c>
      <x:c r="AF204" s="74" t="n">
        <x:v>7</x:v>
      </x:c>
    </x:row>
    <x:row r="205">
      <x:c r="A205" t="str">
        <x:v>2026 S2</x:v>
      </x:c>
      <x:c r="B205" t="str">
        <x:v>CNCT0051</x:v>
      </x:c>
      <x:c r="C205" s="74" t="n">
        <x:v>1947</x:v>
      </x:c>
      <x:c r="D205" s="74" t="n">
        <x:v>1097.072</x:v>
      </x:c>
      <x:c r="E205" s="75" t="n">
        <x:v>0.967733693655493</x:v>
      </x:c>
      <x:c r="F205" s="75" t="n">
        <x:v>0.15879714834257902</x:v>
      </x:c>
      <x:c r="G205" s="75" t="n">
        <x:v>0.01212397603917634</x:v>
      </x:c>
      <x:c r="H205" s="75" t="n">
        <x:v>0.012032566953086644</x:v>
      </x:c>
      <x:c r="I205" s="75" t="n">
        <x:v>0.009323844954531525</x:v>
      </x:c>
      <x:c r="J205" s="75" t="n">
        <x:v>0.014370767456479371</x:v>
      </x:c>
      <x:c r="K205" s="75" t="n">
        <x:v>0.012221467113333346</x:v>
      </x:c>
      <x:c r="L205" s="75" t="n">
        <x:v>0.010614825349020975</x:v>
      </x:c>
      <x:c r="M205" s="75" t="n">
        <x:v>0.007756019348596965</x:v>
      </x:c>
      <x:c r="N205" s="75" t="n">
        <x:v>0.005926426514357445</x:v>
      </x:c>
      <x:c r="O205" s="75" t="n">
        <x:v>0.014284024293279799</x:v>
      </x:c>
      <x:c r="P205" s="75" t="n">
        <x:v>0.0008184633705241141</x:v>
      </x:c>
      <x:c r="Q205" s="75" t="n">
        <x:v>0.0011097546333185162</x:v>
      </x:c>
      <x:c r="R205" s="75" t="n">
        <x:v>0.3653904351600928</x:v>
      </x:c>
      <x:c r="S205" s="75" t="n">
        <x:v>0.01573203728860244</x:v>
      </x:c>
      <x:c r="T205" s="75" t="n">
        <x:v>0.004441655090864515</x:v>
      </x:c>
      <x:c r="U205" s="75" t="n">
        <x:v>0.009170075187692419</x:v>
      </x:c>
      <x:c r="V205" s="75" t="n">
        <x:v>0.03338715444828268</x:v>
      </x:c>
      <x:c r="W205" s="75" t="n">
        <x:v>0.012546070536033018</x:v>
      </x:c>
      <x:c r="X205" s="75" t="n">
        <x:v>0.023052682911758243</x:v>
      </x:c>
      <x:c r="Y205" s="75" t="n">
        <x:v>0.0171798098007164</x:v>
      </x:c>
      <x:c r="Z205" s="75" t="n">
        <x:v>0.008561027839493123</x:v>
      </x:c>
      <x:c r="AA205" s="75" t="n">
        <x:v>0.005985069171666681</x:v>
      </x:c>
      <x:c r="AB205" s="75" t="n">
        <x:v>0.0058253032944665184</x:v>
      </x:c>
      <x:c r="AC205" s="75" t="n">
        <x:v>0.018630431576965898</x:v>
      </x:c>
      <x:c r="AD205" s="75" t="n">
        <x:v>0.08367773477428272</x:v>
      </x:c>
      <x:c r="AE205" s="75" t="n">
        <x:v>0.0899703308185417</x:v>
      </x:c>
      <x:c r="AF205" s="74" t="n">
        <x:v>7</x:v>
      </x:c>
    </x:row>
    <x:row r="206">
      <x:c r="A206" t="str">
        <x:v>2025 S1</x:v>
      </x:c>
      <x:c r="B206" t="str">
        <x:v>CNCT0052</x:v>
      </x:c>
      <x:c r="C206" s="74" t="n">
        <x:v>1296</x:v>
      </x:c>
      <x:c r="D206" s="74" t="n">
        <x:v>982.652</x:v>
      </x:c>
      <x:c r="E206" s="75" t="n">
        <x:v>0.9626446498925288</x:v>
      </x:c>
      <x:c r="F206" s="75" t="n">
        <x:v>0.19697547237598337</x:v>
      </x:c>
      <x:c r="G206" s="75" t="n">
        <x:v>0.010314321977173677</x:v>
      </x:c>
      <x:c r="H206" s="75" t="n">
        <x:v>0.012281059497472598</x:v>
      </x:c>
      <x:c r="I206" s="75" t="n">
        <x:v>0.008501920290589623</x:v>
      </x:c>
      <x:c r="J206" s="75" t="n">
        <x:v>0.013970376807788853</x:v>
      </x:c>
      <x:c r="K206" s="75" t="n">
        <x:v>0.013519001662541996</x:v>
      </x:c>
      <x:c r="L206" s="75" t="n">
        <x:v>0.01280014309183025</x:v>
      </x:c>
      <x:c r="M206" s="75" t="n">
        <x:v>0.010186155805466115</x:v>
      </x:c>
      <x:c r="N206" s="75" t="n">
        <x:v>0.007951506341301866</x:v>
      </x:c>
      <x:c r="O206" s="75" t="n">
        <x:v>0.014699002073954033</x:v>
      </x:c>
      <x:c r="P206" s="75" t="n">
        <x:v>0.0013300041282273015</x:v>
      </x:c>
      <x:c r="Q206" s="75" t="n">
        <x:v>0.004490112154744565</x:v>
      </x:c>
      <x:c r="R206" s="75" t="n">
        <x:v>0.3529673633120643</x:v>
      </x:c>
      <x:c r="S206" s="75" t="n">
        <x:v>0.012500942821614444</x:v>
      </x:c>
      <x:c r="T206" s="75" t="n">
        <x:v>0.005669384501699824</x:v>
      </x:c>
      <x:c r="U206" s="75" t="n">
        <x:v>0.011347007791162468</x:v>
      </x:c>
      <x:c r="V206" s="75" t="n">
        <x:v>0.03946230739852763</x:v>
      </x:c>
      <x:c r="W206" s="75" t="n">
        <x:v>0.01384379346470596</x:v>
      </x:c>
      <x:c r="X206" s="75" t="n">
        <x:v>0.023160022918475735</x:v>
      </x:c>
      <x:c r="Y206" s="75" t="n">
        <x:v>0.017738735247780572</x:v>
      </x:c>
      <x:c r="Z206" s="75" t="n">
        <x:v>0.005897099805058679</x:v>
      </x:c>
      <x:c r="AA206" s="75" t="n">
        <x:v>0.007773554878750584</x:v>
      </x:c>
      <x:c r="AB206" s="75" t="n">
        <x:v>0.0039715924952412026</x:v>
      </x:c>
      <x:c r="AC206" s="75" t="n">
        <x:v>0.0183826302760106</x:v>
      </x:c>
      <x:c r="AD206" s="75" t="n">
        <x:v>0.09350367707187253</x:v>
      </x:c>
      <x:c r="AE206" s="75" t="n">
        <x:v>0.08852151983451767</x:v>
      </x:c>
      <x:c r="AF206" s="74" t="n">
        <x:v>4</x:v>
      </x:c>
    </x:row>
    <x:row r="207">
      <x:c r="A207" t="str">
        <x:v>2025 S2</x:v>
      </x:c>
      <x:c r="B207" t="str">
        <x:v>CNCT0052</x:v>
      </x:c>
      <x:c r="C207" s="74" t="n">
        <x:v>1394</x:v>
      </x:c>
      <x:c r="D207" s="74" t="n">
        <x:v>994.444</x:v>
      </x:c>
      <x:c r="E207" s="75" t="n">
        <x:v>0.9737885190683737</x:v>
      </x:c>
      <x:c r="F207" s="75" t="n">
        <x:v>0.19697547237598337</x:v>
      </x:c>
      <x:c r="G207" s="75" t="n">
        <x:v>0.010314321977173677</x:v>
      </x:c>
      <x:c r="H207" s="75" t="n">
        <x:v>0.012281059497472598</x:v>
      </x:c>
      <x:c r="I207" s="75" t="n">
        <x:v>0.008501920290589623</x:v>
      </x:c>
      <x:c r="J207" s="75" t="n">
        <x:v>0.013970376807788853</x:v>
      </x:c>
      <x:c r="K207" s="75" t="n">
        <x:v>0.013519001662541996</x:v>
      </x:c>
      <x:c r="L207" s="75" t="n">
        <x:v>0.01280014309183025</x:v>
      </x:c>
      <x:c r="M207" s="75" t="n">
        <x:v>0.010186155805466115</x:v>
      </x:c>
      <x:c r="N207" s="75" t="n">
        <x:v>0.007951506341301866</x:v>
      </x:c>
      <x:c r="O207" s="75" t="n">
        <x:v>0.014699002073954033</x:v>
      </x:c>
      <x:c r="P207" s="75" t="n">
        <x:v>0.0013300041282273015</x:v>
      </x:c>
      <x:c r="Q207" s="75" t="n">
        <x:v>0.004490112154744565</x:v>
      </x:c>
      <x:c r="R207" s="75" t="n">
        <x:v>0.36235131602186293</x:v>
      </x:c>
      <x:c r="S207" s="75" t="n">
        <x:v>0.012500942821614444</x:v>
      </x:c>
      <x:c r="T207" s="75" t="n">
        <x:v>0.005669384501699824</x:v>
      </x:c>
      <x:c r="U207" s="75" t="n">
        <x:v>0.011347007791162468</x:v>
      </x:c>
      <x:c r="V207" s="75" t="n">
        <x:v>0.03946230739852763</x:v>
      </x:c>
      <x:c r="W207" s="75" t="n">
        <x:v>0.01384379346470596</x:v>
      </x:c>
      <x:c r="X207" s="75" t="n">
        <x:v>0.023160022918475735</x:v>
      </x:c>
      <x:c r="Y207" s="75" t="n">
        <x:v>0.017738735247780572</x:v>
      </x:c>
      <x:c r="Z207" s="75" t="n">
        <x:v>0.005897099805058679</x:v>
      </x:c>
      <x:c r="AA207" s="75" t="n">
        <x:v>0.007773554878750584</x:v>
      </x:c>
      <x:c r="AB207" s="75" t="n">
        <x:v>0.0039715924952412026</x:v>
      </x:c>
      <x:c r="AC207" s="75" t="n">
        <x:v>0.0183826302760106</x:v>
      </x:c>
      <x:c r="AD207" s="75" t="n">
        <x:v>0.09350367707187253</x:v>
      </x:c>
      <x:c r="AE207" s="75" t="n">
        <x:v>0.08852151983451767</x:v>
      </x:c>
      <x:c r="AF207" s="74" t="n">
        <x:v>4</x:v>
      </x:c>
    </x:row>
    <x:row r="208">
      <x:c r="A208" t="str">
        <x:v>2026 S1</x:v>
      </x:c>
      <x:c r="B208" t="str">
        <x:v>CNCT0052</x:v>
      </x:c>
      <x:c r="C208" s="74" t="n">
        <x:v>1263</x:v>
      </x:c>
      <x:c r="D208" s="74" t="n">
        <x:v>1019.828</x:v>
      </x:c>
      <x:c r="E208" s="75" t="n">
        <x:v>0.9604511950986416</x:v>
      </x:c>
      <x:c r="F208" s="75" t="n">
        <x:v>0.1928288764667668</x:v>
      </x:c>
      <x:c r="G208" s="75" t="n">
        <x:v>0.012274609348096419</x:v>
      </x:c>
      <x:c r="H208" s="75" t="n">
        <x:v>0.012281059497472598</x:v>
      </x:c>
      <x:c r="I208" s="75" t="n">
        <x:v>0.008501920290589623</x:v>
      </x:c>
      <x:c r="J208" s="75" t="n">
        <x:v>0.013970376807788853</x:v>
      </x:c>
      <x:c r="K208" s="75" t="n">
        <x:v>0.013519001662541996</x:v>
      </x:c>
      <x:c r="L208" s="75" t="n">
        <x:v>0.01280014309183025</x:v>
      </x:c>
      <x:c r="M208" s="75" t="n">
        <x:v>0.010186155805466115</x:v>
      </x:c>
      <x:c r="N208" s="75" t="n">
        <x:v>0.007951506341301866</x:v>
      </x:c>
      <x:c r="O208" s="75" t="n">
        <x:v>0.0130202396106215</x:v>
      </x:c>
      <x:c r="P208" s="75" t="n">
        <x:v>0.0013300041282273015</x:v>
      </x:c>
      <x:c r="Q208" s="75" t="n">
        <x:v>0.004490112154744565</x:v>
      </x:c>
      <x:c r="R208" s="75" t="n">
        <x:v>0.35414787898853656</x:v>
      </x:c>
      <x:c r="S208" s="75" t="n">
        <x:v>0.012500942821614444</x:v>
      </x:c>
      <x:c r="T208" s="75" t="n">
        <x:v>0.005669384501699824</x:v>
      </x:c>
      <x:c r="U208" s="75" t="n">
        <x:v>0.011347007791162468</x:v>
      </x:c>
      <x:c r="V208" s="75" t="n">
        <x:v>0.03946230739852763</x:v>
      </x:c>
      <x:c r="W208" s="75" t="n">
        <x:v>0.017034109550847453</x:v>
      </x:c>
      <x:c r="X208" s="75" t="n">
        <x:v>0.02849727342431374</x:v>
      </x:c>
      <x:c r="Y208" s="75" t="n">
        <x:v>0.021826644573579045</x:v>
      </x:c>
      <x:c r="Z208" s="75" t="n">
        <x:v>0.007256092368594454</x:v>
      </x:c>
      <x:c r="AA208" s="75" t="n">
        <x:v>0.009564978395679541</x:v>
      </x:c>
      <x:c r="AB208" s="75" t="n">
        <x:v>0.004886849968380336</x:v>
      </x:c>
      <x:c r="AC208" s="75" t="n">
        <x:v>0.022618925856746058</x:v>
      </x:c>
      <x:c r="AD208" s="75" t="n">
        <x:v>0.09350367707187253</x:v>
      </x:c>
      <x:c r="AE208" s="75" t="n">
        <x:v>0.08852151983451767</x:v>
      </x:c>
      <x:c r="AF208" s="74" t="n">
        <x:v>4</x:v>
      </x:c>
    </x:row>
    <x:row r="209">
      <x:c r="A209" t="str">
        <x:v>2026 S2</x:v>
      </x:c>
      <x:c r="B209" t="str">
        <x:v>CNCT0052</x:v>
      </x:c>
      <x:c r="C209" s="74" t="n">
        <x:v>1364</x:v>
      </x:c>
      <x:c r="D209" s="74" t="n">
        <x:v>1030.87</x:v>
      </x:c>
      <x:c r="E209" s="75" t="n">
        <x:v>0.9737885190683737</x:v>
      </x:c>
      <x:c r="F209" s="75" t="n">
        <x:v>0.20082590628875185</x:v>
      </x:c>
      <x:c r="G209" s="75" t="n">
        <x:v>0.009272047990350984</x:v>
      </x:c>
      <x:c r="H209" s="75" t="n">
        <x:v>0.012281059497472598</x:v>
      </x:c>
      <x:c r="I209" s="75" t="n">
        <x:v>0.008501920290589623</x:v>
      </x:c>
      <x:c r="J209" s="75" t="n">
        <x:v>0.013970376807788853</x:v>
      </x:c>
      <x:c r="K209" s="75" t="n">
        <x:v>0.013519001662541996</x:v>
      </x:c>
      <x:c r="L209" s="75" t="n">
        <x:v>0.01280014309183025</x:v>
      </x:c>
      <x:c r="M209" s="75" t="n">
        <x:v>0.010186155805466115</x:v>
      </x:c>
      <x:c r="N209" s="75" t="n">
        <x:v>0.007951506341301866</x:v>
      </x:c>
      <x:c r="O209" s="75" t="n">
        <x:v>0.014699002073954033</x:v>
      </x:c>
      <x:c r="P209" s="75" t="n">
        <x:v>0.0013300041282273015</x:v>
      </x:c>
      <x:c r="Q209" s="75" t="n">
        <x:v>0.004490112154744565</x:v>
      </x:c>
      <x:c r="R209" s="75" t="n">
        <x:v>0.3554776658761499</x:v>
      </x:c>
      <x:c r="S209" s="75" t="n">
        <x:v>0.012500942821614444</x:v>
      </x:c>
      <x:c r="T209" s="75" t="n">
        <x:v>0.005669384501699824</x:v>
      </x:c>
      <x:c r="U209" s="75" t="n">
        <x:v>0.011347007791162468</x:v>
      </x:c>
      <x:c r="V209" s="75" t="n">
        <x:v>0.03946230739852763</x:v>
      </x:c>
      <x:c r="W209" s="75" t="n">
        <x:v>0.014674421072588317</x:v>
      </x:c>
      <x:c r="X209" s="75" t="n">
        <x:v>0.02454962429358428</x:v>
      </x:c>
      <x:c r="Y209" s="75" t="n">
        <x:v>0.01880305936264741</x:v>
      </x:c>
      <x:c r="Z209" s="75" t="n">
        <x:v>0.0062509257933622</x:v>
      </x:c>
      <x:c r="AA209" s="75" t="n">
        <x:v>0.008239968171475619</x:v>
      </x:c>
      <x:c r="AB209" s="75" t="n">
        <x:v>0.004209888044955675</x:v>
      </x:c>
      <x:c r="AC209" s="75" t="n">
        <x:v>0.019485588092571237</x:v>
      </x:c>
      <x:c r="AD209" s="75" t="n">
        <x:v>0.09350367707187253</x:v>
      </x:c>
      <x:c r="AE209" s="75" t="n">
        <x:v>0.08852151983451767</x:v>
      </x:c>
      <x:c r="AF209" s="74" t="n">
        <x:v>4</x:v>
      </x:c>
    </x:row>
    <x:row r="210">
      <x:c r="A210" t="str">
        <x:v>2025 S1</x:v>
      </x:c>
      <x:c r="B210" t="str">
        <x:v>CNCT0053</x:v>
      </x:c>
      <x:c r="C210" s="74" t="n">
        <x:v>1230</x:v>
      </x:c>
      <x:c r="D210" s="74" t="n">
        <x:v>938.861</x:v>
      </x:c>
      <x:c r="E210" s="75" t="n">
        <x:v>0.9830785033615539</x:v>
      </x:c>
      <x:c r="F210" s="75" t="n">
        <x:v>0.19878800520455114</x:v>
      </x:c>
      <x:c r="G210" s="75" t="n">
        <x:v>0.01637489751711837</x:v>
      </x:c>
      <x:c r="H210" s="75" t="n">
        <x:v>0.007646030668838648</x:v>
      </x:c>
      <x:c r="I210" s="75" t="n">
        <x:v>0.006219134367791412</x:v>
      </x:c>
      <x:c r="J210" s="75" t="n">
        <x:v>0.015967858597519806</x:v>
      </x:c>
      <x:c r="K210" s="75" t="n">
        <x:v>0.01027295778307598</x:v>
      </x:c>
      <x:c r="L210" s="75" t="n">
        <x:v>0.013018111734039849</x:v>
      </x:c>
      <x:c r="M210" s="75" t="n">
        <x:v>0.007757408726036374</x:v>
      </x:c>
      <x:c r="N210" s="75" t="n">
        <x:v>0.00745133799679752</x:v>
      </x:c>
      <x:c r="O210" s="75" t="n">
        <x:v>0.007495814578793215</x:v>
      </x:c>
      <x:c r="P210" s="75" t="n">
        <x:v>0.0010180568193421777</x:v>
      </x:c>
      <x:c r="Q210" s="75" t="n">
        <x:v>0.0024237235045402486</x:v>
      </x:c>
      <x:c r="R210" s="75" t="n">
        <x:v>0.36790806117638897</x:v>
      </x:c>
      <x:c r="S210" s="75" t="n">
        <x:v>0.01684465265482868</x:v>
      </x:c>
      <x:c r="T210" s="75" t="n">
        <x:v>0.003052442657615757</x:v>
      </x:c>
      <x:c r="U210" s="75" t="n">
        <x:v>0.010176149648963472</x:v>
      </x:c>
      <x:c r="V210" s="75" t="n">
        <x:v>0.03632127014108119</x:v>
      </x:c>
      <x:c r="W210" s="75" t="n">
        <x:v>0.011608097170621112</x:v>
      </x:c>
      <x:c r="X210" s="75" t="n">
        <x:v>0.017802887978562214</x:v>
      </x:c>
      <x:c r="Y210" s="75" t="n">
        <x:v>0.019986708750772526</x:v>
      </x:c>
      <x:c r="Z210" s="75" t="n">
        <x:v>0.007509977943665581</x:v>
      </x:c>
      <x:c r="AA210" s="75" t="n">
        <x:v>0.006197006149513182</x:v>
      </x:c>
      <x:c r="AB210" s="75" t="n">
        <x:v>0.004901282339147293</x:v>
      </x:c>
      <x:c r="AC210" s="75" t="n">
        <x:v>0.026725486685504438</x:v>
      </x:c>
      <x:c r="AD210" s="75" t="n">
        <x:v>0.08784461424572511</x:v>
      </x:c>
      <x:c r="AE210" s="75" t="n">
        <x:v>0.08269033767651127</x:v>
      </x:c>
      <x:c r="AF210" s="74" t="n">
        <x:v>8</x:v>
      </x:c>
    </x:row>
    <x:row r="211">
      <x:c r="A211" t="str">
        <x:v>2025 S2</x:v>
      </x:c>
      <x:c r="B211" t="str">
        <x:v>CNCT0053</x:v>
      </x:c>
      <x:c r="C211" s="74" t="n">
        <x:v>1293</x:v>
      </x:c>
      <x:c r="D211" s="74" t="n">
        <x:v>950.127</x:v>
      </x:c>
      <x:c r="E211" s="75" t="n">
        <x:v>0.9673969938968657</x:v>
      </x:c>
      <x:c r="F211" s="75" t="n">
        <x:v>0.19878800520455114</x:v>
      </x:c>
      <x:c r="G211" s="75" t="n">
        <x:v>0.01637489751711837</x:v>
      </x:c>
      <x:c r="H211" s="75" t="n">
        <x:v>0.007646030668838648</x:v>
      </x:c>
      <x:c r="I211" s="75" t="n">
        <x:v>0.006219134367791412</x:v>
      </x:c>
      <x:c r="J211" s="75" t="n">
        <x:v>0.015967858597519806</x:v>
      </x:c>
      <x:c r="K211" s="75" t="n">
        <x:v>0.01027295778307598</x:v>
      </x:c>
      <x:c r="L211" s="75" t="n">
        <x:v>0.013018111734039849</x:v>
      </x:c>
      <x:c r="M211" s="75" t="n">
        <x:v>0.007757408726036374</x:v>
      </x:c>
      <x:c r="N211" s="75" t="n">
        <x:v>0.00745133799679752</x:v>
      </x:c>
      <x:c r="O211" s="75" t="n">
        <x:v>0.007495814578793215</x:v>
      </x:c>
      <x:c r="P211" s="75" t="n">
        <x:v>0.0010180568193421777</x:v>
      </x:c>
      <x:c r="Q211" s="75" t="n">
        <x:v>0.0024237235045402486</x:v>
      </x:c>
      <x:c r="R211" s="75" t="n">
        <x:v>0.35027344590943893</x:v>
      </x:c>
      <x:c r="S211" s="75" t="n">
        <x:v>0.01684465265482868</x:v>
      </x:c>
      <x:c r="T211" s="75" t="n">
        <x:v>0.003052442657615757</x:v>
      </x:c>
      <x:c r="U211" s="75" t="n">
        <x:v>0.010176149648963472</x:v>
      </x:c>
      <x:c r="V211" s="75" t="n">
        <x:v>0.03632127014108119</x:v>
      </x:c>
      <x:c r="W211" s="75" t="n">
        <x:v>0.011608097170621112</x:v>
      </x:c>
      <x:c r="X211" s="75" t="n">
        <x:v>0.017802887978562214</x:v>
      </x:c>
      <x:c r="Y211" s="75" t="n">
        <x:v>0.019986708750772526</x:v>
      </x:c>
      <x:c r="Z211" s="75" t="n">
        <x:v>0.007509977943665581</x:v>
      </x:c>
      <x:c r="AA211" s="75" t="n">
        <x:v>0.006197006149513182</x:v>
      </x:c>
      <x:c r="AB211" s="75" t="n">
        <x:v>0.004901282339147293</x:v>
      </x:c>
      <x:c r="AC211" s="75" t="n">
        <x:v>0.026725486685504438</x:v>
      </x:c>
      <x:c r="AD211" s="75" t="n">
        <x:v>0.08784461424572511</x:v>
      </x:c>
      <x:c r="AE211" s="75" t="n">
        <x:v>0.08269033767651127</x:v>
      </x:c>
      <x:c r="AF211" s="74" t="n">
        <x:v>8</x:v>
      </x:c>
    </x:row>
    <x:row r="212">
      <x:c r="A212" t="str">
        <x:v>2026 S1</x:v>
      </x:c>
      <x:c r="B212" t="str">
        <x:v>CNCT0053</x:v>
      </x:c>
      <x:c r="C212" s="74" t="n">
        <x:v>907</x:v>
      </x:c>
      <x:c r="D212" s="74" t="n">
        <x:v>986.203</x:v>
      </x:c>
      <x:c r="E212" s="75" t="n">
        <x:v>0.9844091944786487</x:v>
      </x:c>
      <x:c r="F212" s="75" t="n">
        <x:v>0.21078800520455115</x:v>
      </x:c>
      <x:c r="G212" s="75" t="n">
        <x:v>0.017869479246204717</x:v>
      </x:c>
      <x:c r="H212" s="75" t="n">
        <x:v>0.007646030668838648</x:v>
      </x:c>
      <x:c r="I212" s="75" t="n">
        <x:v>0.006219134367791412</x:v>
      </x:c>
      <x:c r="J212" s="75" t="n">
        <x:v>0.015967858597519806</x:v>
      </x:c>
      <x:c r="K212" s="75" t="n">
        <x:v>0.01027295778307598</x:v>
      </x:c>
      <x:c r="L212" s="75" t="n">
        <x:v>0.013018111734039849</x:v>
      </x:c>
      <x:c r="M212" s="75" t="n">
        <x:v>0.007757408726036374</x:v>
      </x:c>
      <x:c r="N212" s="75" t="n">
        <x:v>0.00745133799679752</x:v>
      </x:c>
      <x:c r="O212" s="75" t="n">
        <x:v>0.007025592679838154</x:v>
      </x:c>
      <x:c r="P212" s="75" t="n">
        <x:v>0.0010180568193421777</x:v>
      </x:c>
      <x:c r="Q212" s="75" t="n">
        <x:v>0.0024237235045402486</x:v>
      </x:c>
      <x:c r="R212" s="75" t="n">
        <x:v>0.38171070768396953</x:v>
      </x:c>
      <x:c r="S212" s="75" t="n">
        <x:v>0.01684465265482868</x:v>
      </x:c>
      <x:c r="T212" s="75" t="n">
        <x:v>0.003052442657615757</x:v>
      </x:c>
      <x:c r="U212" s="75" t="n">
        <x:v>0.010176149648963472</x:v>
      </x:c>
      <x:c r="V212" s="75" t="n">
        <x:v>0.03632127014108119</x:v>
      </x:c>
      <x:c r="W212" s="75" t="n">
        <x:v>0.014283194803892013</x:v>
      </x:c>
      <x:c r="X212" s="75" t="n">
        <x:v>0.021905581365500023</x:v>
      </x:c>
      <x:c r="Y212" s="75" t="n">
        <x:v>0.024592665824545504</x:v>
      </x:c>
      <x:c r="Z212" s="75" t="n">
        <x:v>0.009240659891596028</x:v>
      </x:c>
      <x:c r="AA212" s="75" t="n">
        <x:v>0.0076251124308668655</x:v>
      </x:c>
      <x:c r="AB212" s="75" t="n">
        <x:v>0.006030787769083648</x:v>
      </x:c>
      <x:c r="AC212" s="75" t="n">
        <x:v>0.04768238274312387</x:v>
      </x:c>
      <x:c r="AD212" s="75" t="n">
        <x:v>0.09662907567029763</x:v>
      </x:c>
      <x:c r="AE212" s="75" t="n">
        <x:v>0.14116182067351263</x:v>
      </x:c>
      <x:c r="AF212" s="74" t="n">
        <x:v>8</x:v>
      </x:c>
    </x:row>
    <x:row r="213">
      <x:c r="A213" t="str">
        <x:v>2026 S2</x:v>
      </x:c>
      <x:c r="B213" t="str">
        <x:v>CNCT0053</x:v>
      </x:c>
      <x:c r="C213" s="74" t="n">
        <x:v>1133</x:v>
      </x:c>
      <x:c r="D213" s="74" t="n">
        <x:v>993.296</x:v>
      </x:c>
      <x:c r="E213" s="75" t="n">
        <x:v>0.9673969938968657</x:v>
      </x:c>
      <x:c r="F213" s="75" t="n">
        <x:v>0.19877384989264826</x:v>
      </x:c>
      <x:c r="G213" s="75" t="n">
        <x:v>0.01599445552428369</x:v>
      </x:c>
      <x:c r="H213" s="75" t="n">
        <x:v>0.007646030668838648</x:v>
      </x:c>
      <x:c r="I213" s="75" t="n">
        <x:v>0.006219134367791412</x:v>
      </x:c>
      <x:c r="J213" s="75" t="n">
        <x:v>0.015967858597519806</x:v>
      </x:c>
      <x:c r="K213" s="75" t="n">
        <x:v>0.01027295778307598</x:v>
      </x:c>
      <x:c r="L213" s="75" t="n">
        <x:v>0.013018111734039849</x:v>
      </x:c>
      <x:c r="M213" s="75" t="n">
        <x:v>0.007757408726036374</x:v>
      </x:c>
      <x:c r="N213" s="75" t="n">
        <x:v>0.00745133799679752</x:v>
      </x:c>
      <x:c r="O213" s="75" t="n">
        <x:v>0.007495814578793215</x:v>
      </x:c>
      <x:c r="P213" s="75" t="n">
        <x:v>0.0010180568193421777</x:v>
      </x:c>
      <x:c r="Q213" s="75" t="n">
        <x:v>0.0024237235045402486</x:v>
      </x:c>
      <x:c r="R213" s="75" t="n">
        <x:v>0.37269611421648063</x:v>
      </x:c>
      <x:c r="S213" s="75" t="n">
        <x:v>0.01684465265482868</x:v>
      </x:c>
      <x:c r="T213" s="75" t="n">
        <x:v>0.003052442657615757</x:v>
      </x:c>
      <x:c r="U213" s="75" t="n">
        <x:v>0.010176149648963472</x:v>
      </x:c>
      <x:c r="V213" s="75" t="n">
        <x:v>0.03632127014108119</x:v>
      </x:c>
      <x:c r="W213" s="75" t="n">
        <x:v>0.01230458300085838</x:v>
      </x:c>
      <x:c r="X213" s="75" t="n">
        <x:v>0.01887106125727595</x:v>
      </x:c>
      <x:c r="Y213" s="75" t="n">
        <x:v>0.02118591127581888</x:v>
      </x:c>
      <x:c r="Z213" s="75" t="n">
        <x:v>0.007960576620285516</x:v>
      </x:c>
      <x:c r="AA213" s="75" t="n">
        <x:v>0.0065688265184839735</x:v>
      </x:c>
      <x:c r="AB213" s="75" t="n">
        <x:v>0.00519535927949613</x:v>
      </x:c>
      <x:c r="AC213" s="75" t="n">
        <x:v>0.041077073035620325</x:v>
      </x:c>
      <x:c r="AD213" s="75" t="n">
        <x:v>0.09487218338538313</x:v>
      </x:c>
      <x:c r="AE213" s="75" t="n">
        <x:v>0.18138872595708777</x:v>
      </x:c>
      <x:c r="AF213" s="74" t="n">
        <x:v>8</x:v>
      </x:c>
    </x:row>
    <x:row r="214">
      <x:c r="A214" t="str">
        <x:v>2025 S1</x:v>
      </x:c>
      <x:c r="B214" t="str">
        <x:v>CNCT0054</x:v>
      </x:c>
      <x:c r="C214" s="74" t="n">
        <x:v>1500</x:v>
      </x:c>
      <x:c r="D214" s="74" t="n">
        <x:v>936.233</x:v>
      </x:c>
      <x:c r="E214" s="75" t="n">
        <x:v>0.9682966742124408</x:v>
      </x:c>
      <x:c r="F214" s="75" t="n">
        <x:v>0.17212691518245266</x:v>
      </x:c>
      <x:c r="G214" s="75" t="n">
        <x:v>0.019250152610968144</x:v>
      </x:c>
      <x:c r="H214" s="75" t="n">
        <x:v>0.010481401417800953</x:v>
      </x:c>
      <x:c r="I214" s="75" t="n">
        <x:v>0.006996093137066055</x:v>
      </x:c>
      <x:c r="J214" s="75" t="n">
        <x:v>0.011493915376311635</x:v>
      </x:c>
      <x:c r="K214" s="75" t="n">
        <x:v>0.011526769743300974</x:v>
      </x:c>
      <x:c r="L214" s="75" t="n">
        <x:v>0.009777532354011782</x:v>
      </x:c>
      <x:c r="M214" s="75" t="n">
        <x:v>0.005822815287217963</x:v>
      </x:c>
      <x:c r="N214" s="75" t="n">
        <x:v>0.00688047385570826</x:v>
      </x:c>
      <x:c r="O214" s="75" t="n">
        <x:v>0.01067807149492728</x:v>
      </x:c>
      <x:c r="P214" s="75" t="n">
        <x:v>0.0008949342047635582</x:v>
      </x:c>
      <x:c r="Q214" s="75" t="n">
        <x:v>0.0013559596892573607</x:v>
      </x:c>
      <x:c r="R214" s="75" t="n">
        <x:v>0.37843470873450125</x:v>
      </x:c>
      <x:c r="S214" s="75" t="n">
        <x:v>0.013569553746503517</x:v>
      </x:c>
      <x:c r="T214" s="75" t="n">
        <x:v>0.005198162842818419</x:v>
      </x:c>
      <x:c r="U214" s="75" t="n">
        <x:v>0.012328196917660534</x:v>
      </x:c>
      <x:c r="V214" s="75" t="n">
        <x:v>0.03824421358751715</x:v>
      </x:c>
      <x:c r="W214" s="75" t="n">
        <x:v>0.013246464676290634</x:v>
      </x:c>
      <x:c r="X214" s="75" t="n">
        <x:v>0.023983209775972427</x:v>
      </x:c>
      <x:c r="Y214" s="75" t="n">
        <x:v>0.020317732856069345</x:v>
      </x:c>
      <x:c r="Z214" s="75" t="n">
        <x:v>0.007372296407565591</x:v>
      </x:c>
      <x:c r="AA214" s="75" t="n">
        <x:v>0.006761166080371478</x:v>
      </x:c>
      <x:c r="AB214" s="75" t="n">
        <x:v>0.00604078656603233</x:v>
      </x:c>
      <x:c r="AC214" s="75" t="n">
        <x:v>0.01887996816327795</x:v>
      </x:c>
      <x:c r="AD214" s="75" t="n">
        <x:v>0.09121579158265378</x:v>
      </x:c>
      <x:c r="AE214" s="75" t="n">
        <x:v>0.08583907005868968</x:v>
      </x:c>
      <x:c r="AF214" s="74" t="n">
        <x:v>8</x:v>
      </x:c>
    </x:row>
    <x:row r="215">
      <x:c r="A215" t="str">
        <x:v>2025 S2</x:v>
      </x:c>
      <x:c r="B215" t="str">
        <x:v>CNCT0054</x:v>
      </x:c>
      <x:c r="C215" s="74" t="n">
        <x:v>1633</x:v>
      </x:c>
      <x:c r="D215" s="74" t="n">
        <x:v>947.468</x:v>
      </x:c>
      <x:c r="E215" s="75" t="n">
        <x:v>0.9789230642839102</x:v>
      </x:c>
      <x:c r="F215" s="75" t="n">
        <x:v>0.17212691518245266</x:v>
      </x:c>
      <x:c r="G215" s="75" t="n">
        <x:v>0.019250152610968144</x:v>
      </x:c>
      <x:c r="H215" s="75" t="n">
        <x:v>0.010481401417800953</x:v>
      </x:c>
      <x:c r="I215" s="75" t="n">
        <x:v>0.006996093137066055</x:v>
      </x:c>
      <x:c r="J215" s="75" t="n">
        <x:v>0.011493915376311635</x:v>
      </x:c>
      <x:c r="K215" s="75" t="n">
        <x:v>0.011526769743300974</x:v>
      </x:c>
      <x:c r="L215" s="75" t="n">
        <x:v>0.009777532354011782</x:v>
      </x:c>
      <x:c r="M215" s="75" t="n">
        <x:v>0.005822815287217963</x:v>
      </x:c>
      <x:c r="N215" s="75" t="n">
        <x:v>0.00688047385570826</x:v>
      </x:c>
      <x:c r="O215" s="75" t="n">
        <x:v>0.01067807149492728</x:v>
      </x:c>
      <x:c r="P215" s="75" t="n">
        <x:v>0.0008949342047635582</x:v>
      </x:c>
      <x:c r="Q215" s="75" t="n">
        <x:v>0.0013559596892573607</x:v>
      </x:c>
      <x:c r="R215" s="75" t="n">
        <x:v>0.36487492032294866</x:v>
      </x:c>
      <x:c r="S215" s="75" t="n">
        <x:v>0.013569553746503517</x:v>
      </x:c>
      <x:c r="T215" s="75" t="n">
        <x:v>0.005198162842818419</x:v>
      </x:c>
      <x:c r="U215" s="75" t="n">
        <x:v>0.012328196917660534</x:v>
      </x:c>
      <x:c r="V215" s="75" t="n">
        <x:v>0.03824421358751715</x:v>
      </x:c>
      <x:c r="W215" s="75" t="n">
        <x:v>0.013246464676290634</x:v>
      </x:c>
      <x:c r="X215" s="75" t="n">
        <x:v>0.023983209775972427</x:v>
      </x:c>
      <x:c r="Y215" s="75" t="n">
        <x:v>0.020317732856069345</x:v>
      </x:c>
      <x:c r="Z215" s="75" t="n">
        <x:v>0.007372296407565591</x:v>
      </x:c>
      <x:c r="AA215" s="75" t="n">
        <x:v>0.006761166080371478</x:v>
      </x:c>
      <x:c r="AB215" s="75" t="n">
        <x:v>0.00604078656603233</x:v>
      </x:c>
      <x:c r="AC215" s="75" t="n">
        <x:v>0.01887996816327795</x:v>
      </x:c>
      <x:c r="AD215" s="75" t="n">
        <x:v>0.09121579158265378</x:v>
      </x:c>
      <x:c r="AE215" s="75" t="n">
        <x:v>0.08583907005868968</x:v>
      </x:c>
      <x:c r="AF215" s="74" t="n">
        <x:v>8</x:v>
      </x:c>
    </x:row>
    <x:row r="216">
      <x:c r="A216" t="str">
        <x:v>2026 S1</x:v>
      </x:c>
      <x:c r="B216" t="str">
        <x:v>CNCT0054</x:v>
      </x:c>
      <x:c r="C216" s="74" t="n">
        <x:v>1577</x:v>
      </x:c>
      <x:c r="D216" s="74" t="n">
        <x:v>972.003</x:v>
      </x:c>
      <x:c r="E216" s="75" t="n">
        <x:v>0.9670446389035205</x:v>
      </x:c>
      <x:c r="F216" s="75" t="n">
        <x:v>0.17169018750835677</x:v>
      </x:c>
      <x:c r="G216" s="75" t="n">
        <x:v>0.019426945470446298</x:v>
      </x:c>
      <x:c r="H216" s="75" t="n">
        <x:v>0.010481401417800953</x:v>
      </x:c>
      <x:c r="I216" s="75" t="n">
        <x:v>0.006996093137066055</x:v>
      </x:c>
      <x:c r="J216" s="75" t="n">
        <x:v>0.011493915376311635</x:v>
      </x:c>
      <x:c r="K216" s="75" t="n">
        <x:v>0.011526769743300974</x:v>
      </x:c>
      <x:c r="L216" s="75" t="n">
        <x:v>0.009777532354011782</x:v>
      </x:c>
      <x:c r="M216" s="75" t="n">
        <x:v>0.005822815287217963</x:v>
      </x:c>
      <x:c r="N216" s="75" t="n">
        <x:v>0.00688047385570826</x:v>
      </x:c>
      <x:c r="O216" s="75" t="n">
        <x:v>0.011793157314779819</x:v>
      </x:c>
      <x:c r="P216" s="75" t="n">
        <x:v>0.0008949342047635582</x:v>
      </x:c>
      <x:c r="Q216" s="75" t="n">
        <x:v>0.0013559596892573607</x:v>
      </x:c>
      <x:c r="R216" s="75" t="n">
        <x:v>0.3725762898058018</x:v>
      </x:c>
      <x:c r="S216" s="75" t="n">
        <x:v>0.013569553746503517</x:v>
      </x:c>
      <x:c r="T216" s="75" t="n">
        <x:v>0.005198162842818419</x:v>
      </x:c>
      <x:c r="U216" s="75" t="n">
        <x:v>0.012328196917660534</x:v>
      </x:c>
      <x:c r="V216" s="75" t="n">
        <x:v>0.03824421358751715</x:v>
      </x:c>
      <x:c r="W216" s="75" t="n">
        <x:v>0.01629912574415587</x:v>
      </x:c>
      <x:c r="X216" s="75" t="n">
        <x:v>0.029510164518591155</x:v>
      </x:c>
      <x:c r="Y216" s="75" t="n">
        <x:v>0.02499997476685043</x:v>
      </x:c>
      <x:c r="Z216" s="75" t="n">
        <x:v>0.009071249507438293</x:v>
      </x:c>
      <x:c r="AA216" s="75" t="n">
        <x:v>0.008319283583516524</x:v>
      </x:c>
      <x:c r="AB216" s="75" t="n">
        <x:v>0.00743289188771987</x:v>
      </x:c>
      <x:c r="AC216" s="75" t="n">
        <x:v>0.02323087575885181</x:v>
      </x:c>
      <x:c r="AD216" s="75" t="n">
        <x:v>0.09121579158265378</x:v>
      </x:c>
      <x:c r="AE216" s="75" t="n">
        <x:v>0.08583907005868968</x:v>
      </x:c>
      <x:c r="AF216" s="74" t="n">
        <x:v>8</x:v>
      </x:c>
    </x:row>
    <x:row r="217">
      <x:c r="A217" t="str">
        <x:v>2026 S2</x:v>
      </x:c>
      <x:c r="B217" t="str">
        <x:v>CNCT0054</x:v>
      </x:c>
      <x:c r="C217" s="74" t="n">
        <x:v>1704</x:v>
      </x:c>
      <x:c r="D217" s="74" t="n">
        <x:v>986.816</x:v>
      </x:c>
      <x:c r="E217" s="75" t="n">
        <x:v>0.9789230642839102</x:v>
      </x:c>
      <x:c r="F217" s="75" t="n">
        <x:v>0.16527988015222947</x:v>
      </x:c>
      <x:c r="G217" s="75" t="n">
        <x:v>0.021063820877314357</x:v>
      </x:c>
      <x:c r="H217" s="75" t="n">
        <x:v>0.010481401417800953</x:v>
      </x:c>
      <x:c r="I217" s="75" t="n">
        <x:v>0.006996093137066055</x:v>
      </x:c>
      <x:c r="J217" s="75" t="n">
        <x:v>0.011493915376311635</x:v>
      </x:c>
      <x:c r="K217" s="75" t="n">
        <x:v>0.011526769743300974</x:v>
      </x:c>
      <x:c r="L217" s="75" t="n">
        <x:v>0.009777532354011782</x:v>
      </x:c>
      <x:c r="M217" s="75" t="n">
        <x:v>0.005822815287217963</x:v>
      </x:c>
      <x:c r="N217" s="75" t="n">
        <x:v>0.00688047385570826</x:v>
      </x:c>
      <x:c r="O217" s="75" t="n">
        <x:v>0.01067807149492728</x:v>
      </x:c>
      <x:c r="P217" s="75" t="n">
        <x:v>0.0008949342047635582</x:v>
      </x:c>
      <x:c r="Q217" s="75" t="n">
        <x:v>0.0013559596892573607</x:v>
      </x:c>
      <x:c r="R217" s="75" t="n">
        <x:v>0.36753308937890716</x:v>
      </x:c>
      <x:c r="S217" s="75" t="n">
        <x:v>0.013569553746503517</x:v>
      </x:c>
      <x:c r="T217" s="75" t="n">
        <x:v>0.005198162842818419</x:v>
      </x:c>
      <x:c r="U217" s="75" t="n">
        <x:v>0.012328196917660534</x:v>
      </x:c>
      <x:c r="V217" s="75" t="n">
        <x:v>0.03824421358751715</x:v>
      </x:c>
      <x:c r="W217" s="75" t="n">
        <x:v>0.014041252556868073</x:v>
      </x:c>
      <x:c r="X217" s="75" t="n">
        <x:v>0.025422202362530774</x:v>
      </x:c>
      <x:c r="Y217" s="75" t="n">
        <x:v>0.021536796827433508</x:v>
      </x:c>
      <x:c r="Z217" s="75" t="n">
        <x:v>0.007814634192019526</x:v>
      </x:c>
      <x:c r="AA217" s="75" t="n">
        <x:v>0.0071668360451937665</x:v>
      </x:c>
      <x:c r="AB217" s="75" t="n">
        <x:v>0.00640323375999427</x:v>
      </x:c>
      <x:c r="AC217" s="75" t="n">
        <x:v>0.02001276625307463</x:v>
      </x:c>
      <x:c r="AD217" s="75" t="n">
        <x:v>0.09121579158265378</x:v>
      </x:c>
      <x:c r="AE217" s="75" t="n">
        <x:v>0.08583907005868968</x:v>
      </x:c>
      <x:c r="AF217" s="74" t="n">
        <x:v>8</x:v>
      </x:c>
    </x:row>
    <x:row r="218">
      <x:c r="A218" t="str">
        <x:v>2025 S1</x:v>
      </x:c>
      <x:c r="B218" t="str">
        <x:v>CNCT0055</x:v>
      </x:c>
      <x:c r="C218" s="74" t="n">
        <x:v>2261</x:v>
      </x:c>
      <x:c r="D218" s="74" t="n">
        <x:v>1073.224</x:v>
      </x:c>
      <x:c r="E218" s="75" t="n">
        <x:v>0.9648827648184378</x:v>
      </x:c>
      <x:c r="F218" s="75" t="n">
        <x:v>0.17312523988308384</x:v>
      </x:c>
      <x:c r="G218" s="75" t="n">
        <x:v>0.019748560318446833</x:v>
      </x:c>
      <x:c r="H218" s="75" t="n">
        <x:v>0.010113288326196198</x:v>
      </x:c>
      <x:c r="I218" s="75" t="n">
        <x:v>0.005899380326466599</x:v>
      </x:c>
      <x:c r="J218" s="75" t="n">
        <x:v>0.01248166836090968</x:v>
      </x:c>
      <x:c r="K218" s="75" t="n">
        <x:v>0.009951808279729447</x:v>
      </x:c>
      <x:c r="L218" s="75" t="n">
        <x:v>0.008707667432594463</x:v>
      </x:c>
      <x:c r="M218" s="75" t="n">
        <x:v>0.009771869902331674</x:v>
      </x:c>
      <x:c r="N218" s="75" t="n">
        <x:v>0.008764156742137857</x:v>
      </x:c>
      <x:c r="O218" s="75" t="n">
        <x:v>0.014526679153874282</x:v>
      </x:c>
      <x:c r="P218" s="75" t="n">
        <x:v>0.0021756923544744497</x:v>
      </x:c>
      <x:c r="Q218" s="75" t="n">
        <x:v>0.005921526717713278</x:v>
      </x:c>
      <x:c r="R218" s="75" t="n">
        <x:v>0.377430614580694</x:v>
      </x:c>
      <x:c r="S218" s="75" t="n">
        <x:v>0.011875273101672065</x:v>
      </x:c>
      <x:c r="T218" s="75" t="n">
        <x:v>0.005795907210986115</x:v>
      </x:c>
      <x:c r="U218" s="75" t="n">
        <x:v>0.0059025657887104895</x:v>
      </x:c>
      <x:c r="V218" s="75" t="n">
        <x:v>0.03681493096124905</x:v>
      </x:c>
      <x:c r="W218" s="75" t="n">
        <x:v>0.00967370528661704</x:v>
      </x:c>
      <x:c r="X218" s="75" t="n">
        <x:v>0.021595065035346778</x:v>
      </x:c>
      <x:c r="Y218" s="75" t="n">
        <x:v>0.01642101281467942</x:v>
      </x:c>
      <x:c r="Z218" s="75" t="n">
        <x:v>0.005632760489221346</x:v>
      </x:c>
      <x:c r="AA218" s="75" t="n">
        <x:v>0.007347846627458348</x:v>
      </x:c>
      <x:c r="AB218" s="75" t="n">
        <x:v>0.005767915957295918</x:v>
      </x:c>
      <x:c r="AC218" s="75" t="n">
        <x:v>0.026622926563036158</x:v>
      </x:c>
      <x:c r="AD218" s="75" t="n">
        <x:v>0.11282208943690057</x:v>
      </x:c>
      <x:c r="AE218" s="75" t="n">
        <x:v>0.07977303988856146</x:v>
      </x:c>
      <x:c r="AF218" s="74" t="n">
        <x:v>12</x:v>
      </x:c>
    </x:row>
    <x:row r="219">
      <x:c r="A219" t="str">
        <x:v>2025 S2</x:v>
      </x:c>
      <x:c r="B219" t="str">
        <x:v>CNCT0055</x:v>
      </x:c>
      <x:c r="C219" s="74" t="n">
        <x:v>2410</x:v>
      </x:c>
      <x:c r="D219" s="74" t="n">
        <x:v>1086.102</x:v>
      </x:c>
      <x:c r="E219" s="75" t="n">
        <x:v>0.9614475560470018</x:v>
      </x:c>
      <x:c r="F219" s="75" t="n">
        <x:v>0.17312523988308384</x:v>
      </x:c>
      <x:c r="G219" s="75" t="n">
        <x:v>0.019748560318446833</x:v>
      </x:c>
      <x:c r="H219" s="75" t="n">
        <x:v>0.010113288326196198</x:v>
      </x:c>
      <x:c r="I219" s="75" t="n">
        <x:v>0.005899380326466599</x:v>
      </x:c>
      <x:c r="J219" s="75" t="n">
        <x:v>0.01248166836090968</x:v>
      </x:c>
      <x:c r="K219" s="75" t="n">
        <x:v>0.009951808279729447</x:v>
      </x:c>
      <x:c r="L219" s="75" t="n">
        <x:v>0.008707667432594463</x:v>
      </x:c>
      <x:c r="M219" s="75" t="n">
        <x:v>0.009771869902331674</x:v>
      </x:c>
      <x:c r="N219" s="75" t="n">
        <x:v>0.008764156742137857</x:v>
      </x:c>
      <x:c r="O219" s="75" t="n">
        <x:v>0.014526679153874282</x:v>
      </x:c>
      <x:c r="P219" s="75" t="n">
        <x:v>0.0021756923544744497</x:v>
      </x:c>
      <x:c r="Q219" s="75" t="n">
        <x:v>0.005921526717713278</x:v>
      </x:c>
      <x:c r="R219" s="75" t="n">
        <x:v>0.3696353662549739</x:v>
      </x:c>
      <x:c r="S219" s="75" t="n">
        <x:v>0.011875273101672065</x:v>
      </x:c>
      <x:c r="T219" s="75" t="n">
        <x:v>0.005795907210986115</x:v>
      </x:c>
      <x:c r="U219" s="75" t="n">
        <x:v>0.0059025657887104895</x:v>
      </x:c>
      <x:c r="V219" s="75" t="n">
        <x:v>0.03681493096124905</x:v>
      </x:c>
      <x:c r="W219" s="75" t="n">
        <x:v>0.00967370528661704</x:v>
      </x:c>
      <x:c r="X219" s="75" t="n">
        <x:v>0.021595065035346778</x:v>
      </x:c>
      <x:c r="Y219" s="75" t="n">
        <x:v>0.01642101281467942</x:v>
      </x:c>
      <x:c r="Z219" s="75" t="n">
        <x:v>0.005632760489221346</x:v>
      </x:c>
      <x:c r="AA219" s="75" t="n">
        <x:v>0.007347846627458348</x:v>
      </x:c>
      <x:c r="AB219" s="75" t="n">
        <x:v>0.005767915957295918</x:v>
      </x:c>
      <x:c r="AC219" s="75" t="n">
        <x:v>0.026622926563036158</x:v>
      </x:c>
      <x:c r="AD219" s="75" t="n">
        <x:v>0.11282208943690057</x:v>
      </x:c>
      <x:c r="AE219" s="75" t="n">
        <x:v>0.07977303988856146</x:v>
      </x:c>
      <x:c r="AF219" s="74" t="n">
        <x:v>12</x:v>
      </x:c>
    </x:row>
    <x:row r="220">
      <x:c r="A220" t="str">
        <x:v>2026 S1</x:v>
      </x:c>
      <x:c r="B220" t="str">
        <x:v>CNCT0055</x:v>
      </x:c>
      <x:c r="C220" s="74" t="n">
        <x:v>2604</x:v>
      </x:c>
      <x:c r="D220" s="74" t="n">
        <x:v>1111.438</x:v>
      </x:c>
      <x:c r="E220" s="75" t="n">
        <x:v>0.9651762778395204</x:v>
      </x:c>
      <x:c r="F220" s="75" t="n">
        <x:v>0.17776617530040675</x:v>
      </x:c>
      <x:c r="G220" s="75" t="n">
        <x:v>0.017851457217460846</x:v>
      </x:c>
      <x:c r="H220" s="75" t="n">
        <x:v>0.010113288326196198</x:v>
      </x:c>
      <x:c r="I220" s="75" t="n">
        <x:v>0.005899380326466599</x:v>
      </x:c>
      <x:c r="J220" s="75" t="n">
        <x:v>0.01248166836090968</x:v>
      </x:c>
      <x:c r="K220" s="75" t="n">
        <x:v>0.009951808279729447</x:v>
      </x:c>
      <x:c r="L220" s="75" t="n">
        <x:v>0.008707667432594463</x:v>
      </x:c>
      <x:c r="M220" s="75" t="n">
        <x:v>0.009771869902331674</x:v>
      </x:c>
      <x:c r="N220" s="75" t="n">
        <x:v>0.008764156742137857</x:v>
      </x:c>
      <x:c r="O220" s="75" t="n">
        <x:v>0.012671741105965337</x:v>
      </x:c>
      <x:c r="P220" s="75" t="n">
        <x:v>0.0021756923544744497</x:v>
      </x:c>
      <x:c r="Q220" s="75" t="n">
        <x:v>0.005921526717713278</x:v>
      </x:c>
      <x:c r="R220" s="75" t="n">
        <x:v>0.3729684603247546</x:v>
      </x:c>
      <x:c r="S220" s="75" t="n">
        <x:v>0.011875273101672065</x:v>
      </x:c>
      <x:c r="T220" s="75" t="n">
        <x:v>0.005795907210986115</x:v>
      </x:c>
      <x:c r="U220" s="75" t="n">
        <x:v>0.0059025657887104895</x:v>
      </x:c>
      <x:c r="V220" s="75" t="n">
        <x:v>0.03681493096124905</x:v>
      </x:c>
      <x:c r="W220" s="75" t="n">
        <x:v>0.009286757075152358</x:v>
      </x:c>
      <x:c r="X220" s="75" t="n">
        <x:v>0.020731262433932907</x:v>
      </x:c>
      <x:c r="Y220" s="75" t="n">
        <x:v>0.015764172302092243</x:v>
      </x:c>
      <x:c r="Z220" s="75" t="n">
        <x:v>0.005407450069652492</x:v>
      </x:c>
      <x:c r="AA220" s="75" t="n">
        <x:v>0.007053932762360014</x:v>
      </x:c>
      <x:c r="AB220" s="75" t="n">
        <x:v>0.005537199319004081</x:v>
      </x:c>
      <x:c r="AC220" s="75" t="n">
        <x:v>0.02555800950051471</x:v>
      </x:c>
      <x:c r="AD220" s="75" t="n">
        <x:v>0.10830920585942455</x:v>
      </x:c>
      <x:c r="AE220" s="75" t="n">
        <x:v>0.07977303988856146</x:v>
      </x:c>
      <x:c r="AF220" s="74" t="n">
        <x:v>12</x:v>
      </x:c>
    </x:row>
    <x:row r="221">
      <x:c r="A221" t="str">
        <x:v>2026 S2</x:v>
      </x:c>
      <x:c r="B221" t="str">
        <x:v>CNCT0055</x:v>
      </x:c>
      <x:c r="C221" s="74" t="n">
        <x:v>2635</x:v>
      </x:c>
      <x:c r="D221" s="74" t="n">
        <x:v>1131.214</x:v>
      </x:c>
      <x:c r="E221" s="75" t="n">
        <x:v>0.9614475560470018</x:v>
      </x:c>
      <x:c r="F221" s="75" t="n">
        <x:v>0.1714044138405152</x:v>
      </x:c>
      <x:c r="G221" s="75" t="n">
        <x:v>0.020499782223589134</x:v>
      </x:c>
      <x:c r="H221" s="75" t="n">
        <x:v>0.010113288326196198</x:v>
      </x:c>
      <x:c r="I221" s="75" t="n">
        <x:v>0.005899380326466599</x:v>
      </x:c>
      <x:c r="J221" s="75" t="n">
        <x:v>0.01248166836090968</x:v>
      </x:c>
      <x:c r="K221" s="75" t="n">
        <x:v>0.009951808279729447</x:v>
      </x:c>
      <x:c r="L221" s="75" t="n">
        <x:v>0.008707667432594463</x:v>
      </x:c>
      <x:c r="M221" s="75" t="n">
        <x:v>0.009771869902331674</x:v>
      </x:c>
      <x:c r="N221" s="75" t="n">
        <x:v>0.008764156742137857</x:v>
      </x:c>
      <x:c r="O221" s="75" t="n">
        <x:v>0.014526679153874282</x:v>
      </x:c>
      <x:c r="P221" s="75" t="n">
        <x:v>0.0021756923544744497</x:v>
      </x:c>
      <x:c r="Q221" s="75" t="n">
        <x:v>0.005921526717713278</x:v>
      </x:c>
      <x:c r="R221" s="75" t="n">
        <x:v>0.3727662399582308</x:v>
      </x:c>
      <x:c r="S221" s="75" t="n">
        <x:v>0.011875273101672065</x:v>
      </x:c>
      <x:c r="T221" s="75" t="n">
        <x:v>0.005795907210986115</x:v>
      </x:c>
      <x:c r="U221" s="75" t="n">
        <x:v>0.0059025657887104895</x:v>
      </x:c>
      <x:c r="V221" s="75" t="n">
        <x:v>0.03681493096124905</x:v>
      </x:c>
      <x:c r="W221" s="75" t="n">
        <x:v>0.00974142122362336</x:v>
      </x:c>
      <x:c r="X221" s="75" t="n">
        <x:v>0.021746230490594206</x:v>
      </x:c>
      <x:c r="Y221" s="75" t="n">
        <x:v>0.016535959904382176</x:v>
      </x:c>
      <x:c r="Z221" s="75" t="n">
        <x:v>0.005672189812645896</x:v>
      </x:c>
      <x:c r="AA221" s="75" t="n">
        <x:v>0.007399281553850556</x:v>
      </x:c>
      <x:c r="AB221" s="75" t="n">
        <x:v>0.005808291368996989</x:v>
      </x:c>
      <x:c r="AC221" s="75" t="n">
        <x:v>0.02680928704897741</x:v>
      </x:c>
      <x:c r="AD221" s="75" t="n">
        <x:v>0.11282208943690057</x:v>
      </x:c>
      <x:c r="AE221" s="75" t="n">
        <x:v>0.07977303988856146</x:v>
      </x:c>
      <x:c r="AF221" s="74" t="n">
        <x:v>12</x:v>
      </x:c>
    </x:row>
    <x:row r="222">
      <x:c r="A222" t="str">
        <x:v>2025 S1</x:v>
      </x:c>
      <x:c r="B222" t="str">
        <x:v>CNCT0056</x:v>
      </x:c>
      <x:c r="C222" s="74" t="n">
        <x:v>1623</x:v>
      </x:c>
      <x:c r="D222" s="74" t="n">
        <x:v>1049.729</x:v>
      </x:c>
      <x:c r="E222" s="75" t="n">
        <x:v>0.9820675468858099</x:v>
      </x:c>
      <x:c r="F222" s="75" t="n">
        <x:v>0.21480633554141967</x:v>
      </x:c>
      <x:c r="G222" s="75" t="n">
        <x:v>0.02011140868929215</x:v>
      </x:c>
      <x:c r="H222" s="75" t="n">
        <x:v>0.007808614010304154</x:v>
      </x:c>
      <x:c r="I222" s="75" t="n">
        <x:v>0.0064334154406769815</x:v>
      </x:c>
      <x:c r="J222" s="75" t="n">
        <x:v>0.016592504250560525</x:v>
      </x:c>
      <x:c r="K222" s="75" t="n">
        <x:v>0.013356406214454181</x:v>
      </x:c>
      <x:c r="L222" s="75" t="n">
        <x:v>0.012990288199791393</x:v>
      </x:c>
      <x:c r="M222" s="75" t="n">
        <x:v>0.010213838838433732</x:v>
      </x:c>
      <x:c r="N222" s="75" t="n">
        <x:v>0.007944659414206398</x:v>
      </x:c>
      <x:c r="O222" s="75" t="n">
        <x:v>0.010194596762099535</x:v>
      </x:c>
      <x:c r="P222" s="75" t="n">
        <x:v>0.0008379129384775297</x:v>
      </x:c>
      <x:c r="Q222" s="75" t="n">
        <x:v>0.0021474803250312105</x:v>
      </x:c>
      <x:c r="R222" s="75" t="n">
        <x:v>0.33602442317515047</x:v>
      </x:c>
      <x:c r="S222" s="75" t="n">
        <x:v>0.013369823904729856</x:v>
      </x:c>
      <x:c r="T222" s="75" t="n">
        <x:v>0.005571308353573841</x:v>
      </x:c>
      <x:c r="U222" s="75" t="n">
        <x:v>0.012171127678046104</x:v>
      </x:c>
      <x:c r="V222" s="75" t="n">
        <x:v>0.0377150164718405</x:v>
      </x:c>
      <x:c r="W222" s="75" t="n">
        <x:v>0.011310177260218188</x:v>
      </x:c>
      <x:c r="X222" s="75" t="n">
        <x:v>0.018742086828626926</x:v>
      </x:c>
      <x:c r="Y222" s="75" t="n">
        <x:v>0.014369876030511226</x:v>
      </x:c>
      <x:c r="Z222" s="75" t="n">
        <x:v>0.00716838997246814</x:v>
      </x:c>
      <x:c r="AA222" s="75" t="n">
        <x:v>0.00532004955953118</x:v>
      </x:c>
      <x:c r="AB222" s="75" t="n">
        <x:v>0.004393722236703616</x:v>
      </x:c>
      <x:c r="AC222" s="75" t="n">
        <x:v>0.021500258192940963</x:v>
      </x:c>
      <x:c r="AD222" s="75" t="n">
        <x:v>0.10598095404975175</x:v>
      </x:c>
      <x:c r="AE222" s="75" t="n">
        <x:v>0.08981579551784671</x:v>
      </x:c>
      <x:c r="AF222" s="74" t="n">
        <x:v>9</x:v>
      </x:c>
    </x:row>
    <x:row r="223">
      <x:c r="A223" t="str">
        <x:v>2025 S2</x:v>
      </x:c>
      <x:c r="B223" t="str">
        <x:v>CNCT0056</x:v>
      </x:c>
      <x:c r="C223" s="74" t="n">
        <x:v>1773</x:v>
      </x:c>
      <x:c r="D223" s="74" t="n">
        <x:v>1062.325</x:v>
      </x:c>
      <x:c r="E223" s="75" t="n">
        <x:v>0.9642459918733802</x:v>
      </x:c>
      <x:c r="F223" s="75" t="n">
        <x:v>0.21480633554141967</x:v>
      </x:c>
      <x:c r="G223" s="75" t="n">
        <x:v>0.02011140868929215</x:v>
      </x:c>
      <x:c r="H223" s="75" t="n">
        <x:v>0.007808614010304154</x:v>
      </x:c>
      <x:c r="I223" s="75" t="n">
        <x:v>0.0064334154406769815</x:v>
      </x:c>
      <x:c r="J223" s="75" t="n">
        <x:v>0.016592504250560525</x:v>
      </x:c>
      <x:c r="K223" s="75" t="n">
        <x:v>0.013356406214454181</x:v>
      </x:c>
      <x:c r="L223" s="75" t="n">
        <x:v>0.012990288199791393</x:v>
      </x:c>
      <x:c r="M223" s="75" t="n">
        <x:v>0.010213838838433732</x:v>
      </x:c>
      <x:c r="N223" s="75" t="n">
        <x:v>0.007944659414206398</x:v>
      </x:c>
      <x:c r="O223" s="75" t="n">
        <x:v>0.010194596762099535</x:v>
      </x:c>
      <x:c r="P223" s="75" t="n">
        <x:v>0.0008379129384775297</x:v>
      </x:c>
      <x:c r="Q223" s="75" t="n">
        <x:v>0.0021474803250312105</x:v>
      </x:c>
      <x:c r="R223" s="75" t="n">
        <x:v>0.34845166480431333</x:v>
      </x:c>
      <x:c r="S223" s="75" t="n">
        <x:v>0.013369823904729856</x:v>
      </x:c>
      <x:c r="T223" s="75" t="n">
        <x:v>0.005571308353573841</x:v>
      </x:c>
      <x:c r="U223" s="75" t="n">
        <x:v>0.012171127678046104</x:v>
      </x:c>
      <x:c r="V223" s="75" t="n">
        <x:v>0.0377150164718405</x:v>
      </x:c>
      <x:c r="W223" s="75" t="n">
        <x:v>0.011310177260218188</x:v>
      </x:c>
      <x:c r="X223" s="75" t="n">
        <x:v>0.018742086828626926</x:v>
      </x:c>
      <x:c r="Y223" s="75" t="n">
        <x:v>0.014369876030511226</x:v>
      </x:c>
      <x:c r="Z223" s="75" t="n">
        <x:v>0.00716838997246814</x:v>
      </x:c>
      <x:c r="AA223" s="75" t="n">
        <x:v>0.00532004955953118</x:v>
      </x:c>
      <x:c r="AB223" s="75" t="n">
        <x:v>0.004393722236703616</x:v>
      </x:c>
      <x:c r="AC223" s="75" t="n">
        <x:v>0.021500258192940963</x:v>
      </x:c>
      <x:c r="AD223" s="75" t="n">
        <x:v>0.10598095404975175</x:v>
      </x:c>
      <x:c r="AE223" s="75" t="n">
        <x:v>0.08981579551784671</x:v>
      </x:c>
      <x:c r="AF223" s="74" t="n">
        <x:v>9</x:v>
      </x:c>
    </x:row>
    <x:row r="224">
      <x:c r="A224" t="str">
        <x:v>2026 S1</x:v>
      </x:c>
      <x:c r="B224" t="str">
        <x:v>CNCT0056</x:v>
      </x:c>
      <x:c r="C224" s="74" t="n">
        <x:v>1507</x:v>
      </x:c>
      <x:c r="D224" s="74" t="n">
        <x:v>1101.48</x:v>
      </x:c>
      <x:c r="E224" s="75" t="n">
        <x:v>0.9831551102233207</x:v>
      </x:c>
      <x:c r="F224" s="75" t="n">
        <x:v>0.21612793384118412</x:v>
      </x:c>
      <x:c r="G224" s="75" t="n">
        <x:v>0.020976107815862635</x:v>
      </x:c>
      <x:c r="H224" s="75" t="n">
        <x:v>0.007808614010304154</x:v>
      </x:c>
      <x:c r="I224" s="75" t="n">
        <x:v>0.0064334154406769815</x:v>
      </x:c>
      <x:c r="J224" s="75" t="n">
        <x:v>0.016592504250560525</x:v>
      </x:c>
      <x:c r="K224" s="75" t="n">
        <x:v>0.013356406214454181</x:v>
      </x:c>
      <x:c r="L224" s="75" t="n">
        <x:v>0.012990288199791393</x:v>
      </x:c>
      <x:c r="M224" s="75" t="n">
        <x:v>0.010213838838433732</x:v>
      </x:c>
      <x:c r="N224" s="75" t="n">
        <x:v>0.007944659414206398</x:v>
      </x:c>
      <x:c r="O224" s="75" t="n">
        <x:v>0.009784244535374454</x:v>
      </x:c>
      <x:c r="P224" s="75" t="n">
        <x:v>0.0008379129384775297</x:v>
      </x:c>
      <x:c r="Q224" s="75" t="n">
        <x:v>0.0021474803250312105</x:v>
      </x:c>
      <x:c r="R224" s="75" t="n">
        <x:v>0.3387782548583833</x:v>
      </x:c>
      <x:c r="S224" s="75" t="n">
        <x:v>0.013369823904729856</x:v>
      </x:c>
      <x:c r="T224" s="75" t="n">
        <x:v>0.005571308353573841</x:v>
      </x:c>
      <x:c r="U224" s="75" t="n">
        <x:v>0.012171127678046104</x:v>
      </x:c>
      <x:c r="V224" s="75" t="n">
        <x:v>0.0377150164718405</x:v>
      </x:c>
      <x:c r="W224" s="75" t="n">
        <x:v>0.013916618951390312</x:v>
      </x:c>
      <x:c r="X224" s="75" t="n">
        <x:v>0.0230612195323666</x:v>
      </x:c>
      <x:c r="Y224" s="75" t="n">
        <x:v>0.017681428371484606</x:v>
      </x:c>
      <x:c r="Z224" s="75" t="n">
        <x:v>0.008820352629900505</x:v>
      </x:c>
      <x:c r="AA224" s="75" t="n">
        <x:v>0.006546060315334</x:v>
      </x:c>
      <x:c r="AB224" s="75" t="n">
        <x:v>0.00540625993206361</x:v>
      </x:c>
      <x:c r="AC224" s="75" t="n">
        <x:v>0.026455014253410104</x:v>
      </x:c>
      <x:c r="AD224" s="75" t="n">
        <x:v>0.10598095404975175</x:v>
      </x:c>
      <x:c r="AE224" s="75" t="n">
        <x:v>0.08981579551784671</x:v>
      </x:c>
      <x:c r="AF224" s="74" t="n">
        <x:v>9</x:v>
      </x:c>
    </x:row>
    <x:row r="225">
      <x:c r="A225" t="str">
        <x:v>2026 S2</x:v>
      </x:c>
      <x:c r="B225" t="str">
        <x:v>CNCT0056</x:v>
      </x:c>
      <x:c r="C225" s="74" t="n">
        <x:v>1713</x:v>
      </x:c>
      <x:c r="D225" s="74" t="n">
        <x:v>1102.062</x:v>
      </x:c>
      <x:c r="E225" s="75" t="n">
        <x:v>0.9642459918733802</x:v>
      </x:c>
      <x:c r="F225" s="75" t="n">
        <x:v>0.21392475161082983</x:v>
      </x:c>
      <x:c r="G225" s="75" t="n">
        <x:v>0.018326072327879958</x:v>
      </x:c>
      <x:c r="H225" s="75" t="n">
        <x:v>0.007808614010304154</x:v>
      </x:c>
      <x:c r="I225" s="75" t="n">
        <x:v>0.0064334154406769815</x:v>
      </x:c>
      <x:c r="J225" s="75" t="n">
        <x:v>0.016592504250560525</x:v>
      </x:c>
      <x:c r="K225" s="75" t="n">
        <x:v>0.013356406214454181</x:v>
      </x:c>
      <x:c r="L225" s="75" t="n">
        <x:v>0.012990288199791393</x:v>
      </x:c>
      <x:c r="M225" s="75" t="n">
        <x:v>0.010213838838433732</x:v>
      </x:c>
      <x:c r="N225" s="75" t="n">
        <x:v>0.007944659414206398</x:v>
      </x:c>
      <x:c r="O225" s="75" t="n">
        <x:v>0.010194596762099535</x:v>
      </x:c>
      <x:c r="P225" s="75" t="n">
        <x:v>0.0008379129384775297</x:v>
      </x:c>
      <x:c r="Q225" s="75" t="n">
        <x:v>0.0021474803250312105</x:v>
      </x:c>
      <x:c r="R225" s="75" t="n">
        <x:v>0.34650709869046586</x:v>
      </x:c>
      <x:c r="S225" s="75" t="n">
        <x:v>0.013369823904729856</x:v>
      </x:c>
      <x:c r="T225" s="75" t="n">
        <x:v>0.005571308353573841</x:v>
      </x:c>
      <x:c r="U225" s="75" t="n">
        <x:v>0.012171127678046104</x:v>
      </x:c>
      <x:c r="V225" s="75" t="n">
        <x:v>0.0377150164718405</x:v>
      </x:c>
      <x:c r="W225" s="75" t="n">
        <x:v>0.01198878789583128</x:v>
      </x:c>
      <x:c r="X225" s="75" t="n">
        <x:v>0.01986661203834454</x:v>
      </x:c>
      <x:c r="Y225" s="75" t="n">
        <x:v>0.0152320685923419</x:v>
      </x:c>
      <x:c r="Z225" s="75" t="n">
        <x:v>0.007598493370816229</x:v>
      </x:c>
      <x:c r="AA225" s="75" t="n">
        <x:v>0.005639252533103051</x:v>
      </x:c>
      <x:c r="AB225" s="75" t="n">
        <x:v>0.004657345570905833</x:v>
      </x:c>
      <x:c r="AC225" s="75" t="n">
        <x:v>0.02279027368451742</x:v>
      </x:c>
      <x:c r="AD225" s="75" t="n">
        <x:v>0.10598095404975175</x:v>
      </x:c>
      <x:c r="AE225" s="75" t="n">
        <x:v>0.08981579551784671</x:v>
      </x:c>
      <x:c r="AF225" s="74" t="n">
        <x:v>9</x:v>
      </x:c>
    </x:row>
    <x:row r="226">
      <x:c r="A226" t="str">
        <x:v>2025 S1</x:v>
      </x:c>
      <x:c r="B226" t="str">
        <x:v>CNCT0057</x:v>
      </x:c>
      <x:c r="C226" s="74" t="n">
        <x:v>2041</x:v>
      </x:c>
      <x:c r="D226" s="74" t="n">
        <x:v>1230.8</x:v>
      </x:c>
      <x:c r="E226" s="75" t="n">
        <x:v>0.9809416846163803</x:v>
      </x:c>
      <x:c r="F226" s="75" t="n">
        <x:v>0.16880700508737936</x:v>
      </x:c>
      <x:c r="G226" s="75" t="n">
        <x:v>0.018301161181996577</x:v>
      </x:c>
      <x:c r="H226" s="75" t="n">
        <x:v>0.007290301877816091</x:v>
      </x:c>
      <x:c r="I226" s="75" t="n">
        <x:v>0.006048392862619949</x:v>
      </x:c>
      <x:c r="J226" s="75" t="n">
        <x:v>0.011307713471236639</x:v>
      </x:c>
      <x:c r="K226" s="75" t="n">
        <x:v>0.011603786777537607</x:v>
      </x:c>
      <x:c r="L226" s="75" t="n">
        <x:v>0.01164101465956628</x:v>
      </x:c>
      <x:c r="M226" s="75" t="n">
        <x:v>0.00795123598344435</x:v>
      </x:c>
      <x:c r="N226" s="75" t="n">
        <x:v>0.006158989373157965</x:v>
      </x:c>
      <x:c r="O226" s="75" t="n">
        <x:v>0.009079046578131965</x:v>
      </x:c>
      <x:c r="P226" s="75" t="n">
        <x:v>0.0017166217174963095</x:v>
      </x:c>
      <x:c r="Q226" s="75" t="n">
        <x:v>0.005574047149028047</x:v>
      </x:c>
      <x:c r="R226" s="75" t="n">
        <x:v>0.38485219316718106</x:v>
      </x:c>
      <x:c r="S226" s="75" t="n">
        <x:v>0.0136281698703242</x:v>
      </x:c>
      <x:c r="T226" s="75" t="n">
        <x:v>0.003778031013760483</x:v>
      </x:c>
      <x:c r="U226" s="75" t="n">
        <x:v>0.006904221274482552</x:v>
      </x:c>
      <x:c r="V226" s="75" t="n">
        <x:v>0.0345588972242731</x:v>
      </x:c>
      <x:c r="W226" s="75" t="n">
        <x:v>0.009804621734315878</x:v>
      </x:c>
      <x:c r="X226" s="75" t="n">
        <x:v>0.025521815427912514</x:v>
      </x:c>
      <x:c r="Y226" s="75" t="n">
        <x:v>0.020374929689480927</x:v>
      </x:c>
      <x:c r="Z226" s="75" t="n">
        <x:v>0.00600554451609205</x:v>
      </x:c>
      <x:c r="AA226" s="75" t="n">
        <x:v>0.008000015601156629</x:v>
      </x:c>
      <x:c r="AB226" s="75" t="n">
        <x:v>0.0032018420785258064</x:v>
      </x:c>
      <x:c r="AC226" s="75" t="n">
        <x:v>0.024741412205533195</x:v>
      </x:c>
      <x:c r="AD226" s="75" t="n">
        <x:v>0.10198262950437494</x:v>
      </x:c>
      <x:c r="AE226" s="75" t="n">
        <x:v>0.07303980988336843</x:v>
      </x:c>
      <x:c r="AF226" s="74" t="n">
        <x:v>7</x:v>
      </x:c>
    </x:row>
    <x:row r="227">
      <x:c r="A227" t="str">
        <x:v>2025 S2</x:v>
      </x:c>
      <x:c r="B227" t="str">
        <x:v>CNCT0057</x:v>
      </x:c>
      <x:c r="C227" s="74" t="n">
        <x:v>2227</x:v>
      </x:c>
      <x:c r="D227" s="74" t="n">
        <x:v>1245.57</x:v>
      </x:c>
      <x:c r="E227" s="75" t="n">
        <x:v>0.9733458694350556</x:v>
      </x:c>
      <x:c r="F227" s="75" t="n">
        <x:v>0.16880700508737936</x:v>
      </x:c>
      <x:c r="G227" s="75" t="n">
        <x:v>0.018301161181996577</x:v>
      </x:c>
      <x:c r="H227" s="75" t="n">
        <x:v>0.007290301877816091</x:v>
      </x:c>
      <x:c r="I227" s="75" t="n">
        <x:v>0.006048392862619949</x:v>
      </x:c>
      <x:c r="J227" s="75" t="n">
        <x:v>0.011307713471236639</x:v>
      </x:c>
      <x:c r="K227" s="75" t="n">
        <x:v>0.011603786777537607</x:v>
      </x:c>
      <x:c r="L227" s="75" t="n">
        <x:v>0.01164101465956628</x:v>
      </x:c>
      <x:c r="M227" s="75" t="n">
        <x:v>0.00795123598344435</x:v>
      </x:c>
      <x:c r="N227" s="75" t="n">
        <x:v>0.006158989373157965</x:v>
      </x:c>
      <x:c r="O227" s="75" t="n">
        <x:v>0.009079046578131965</x:v>
      </x:c>
      <x:c r="P227" s="75" t="n">
        <x:v>0.0017166217174963095</x:v>
      </x:c>
      <x:c r="Q227" s="75" t="n">
        <x:v>0.005574047149028047</x:v>
      </x:c>
      <x:c r="R227" s="75" t="n">
        <x:v>0.37117477110824054</x:v>
      </x:c>
      <x:c r="S227" s="75" t="n">
        <x:v>0.0136281698703242</x:v>
      </x:c>
      <x:c r="T227" s="75" t="n">
        <x:v>0.003778031013760483</x:v>
      </x:c>
      <x:c r="U227" s="75" t="n">
        <x:v>0.006904221274482552</x:v>
      </x:c>
      <x:c r="V227" s="75" t="n">
        <x:v>0.0345588972242731</x:v>
      </x:c>
      <x:c r="W227" s="75" t="n">
        <x:v>0.009804621734315878</x:v>
      </x:c>
      <x:c r="X227" s="75" t="n">
        <x:v>0.025521815427912514</x:v>
      </x:c>
      <x:c r="Y227" s="75" t="n">
        <x:v>0.020374929689480927</x:v>
      </x:c>
      <x:c r="Z227" s="75" t="n">
        <x:v>0.00600554451609205</x:v>
      </x:c>
      <x:c r="AA227" s="75" t="n">
        <x:v>0.008000015601156629</x:v>
      </x:c>
      <x:c r="AB227" s="75" t="n">
        <x:v>0.0032018420785258064</x:v>
      </x:c>
      <x:c r="AC227" s="75" t="n">
        <x:v>0.024741412205533195</x:v>
      </x:c>
      <x:c r="AD227" s="75" t="n">
        <x:v>0.10198262950437494</x:v>
      </x:c>
      <x:c r="AE227" s="75" t="n">
        <x:v>0.07303980988336843</x:v>
      </x:c>
      <x:c r="AF227" s="74" t="n">
        <x:v>7</x:v>
      </x:c>
    </x:row>
    <x:row r="228">
      <x:c r="A228" t="str">
        <x:v>2026 S1</x:v>
      </x:c>
      <x:c r="B228" t="str">
        <x:v>CNCT0057</x:v>
      </x:c>
      <x:c r="C228" s="74" t="n">
        <x:v>2349</x:v>
      </x:c>
      <x:c r="D228" s="74" t="n">
        <x:v>1279.522</x:v>
      </x:c>
      <x:c r="E228" s="75" t="n">
        <x:v>0.9797532548327581</x:v>
      </x:c>
      <x:c r="F228" s="75" t="n">
        <x:v>0.17133675764966028</x:v>
      </x:c>
      <x:c r="G228" s="75" t="n">
        <x:v>0.01983119291107869</x:v>
      </x:c>
      <x:c r="H228" s="75" t="n">
        <x:v>0.007290301877816091</x:v>
      </x:c>
      <x:c r="I228" s="75" t="n">
        <x:v>0.006048392862619949</x:v>
      </x:c>
      <x:c r="J228" s="75" t="n">
        <x:v>0.011307713471236639</x:v>
      </x:c>
      <x:c r="K228" s="75" t="n">
        <x:v>0.011603786777537607</x:v>
      </x:c>
      <x:c r="L228" s="75" t="n">
        <x:v>0.01164101465956628</x:v>
      </x:c>
      <x:c r="M228" s="75" t="n">
        <x:v>0.00795123598344435</x:v>
      </x:c>
      <x:c r="N228" s="75" t="n">
        <x:v>0.006158989373157965</x:v>
      </x:c>
      <x:c r="O228" s="75" t="n">
        <x:v>0.007116068632240057</x:v>
      </x:c>
      <x:c r="P228" s="75" t="n">
        <x:v>0.0017166217174963095</x:v>
      </x:c>
      <x:c r="Q228" s="75" t="n">
        <x:v>0.005574047149028047</x:v>
      </x:c>
      <x:c r="R228" s="75" t="n">
        <x:v>0.3779490445016736</x:v>
      </x:c>
      <x:c r="S228" s="75" t="n">
        <x:v>0.0136281698703242</x:v>
      </x:c>
      <x:c r="T228" s="75" t="n">
        <x:v>0.003778031013760483</x:v>
      </x:c>
      <x:c r="U228" s="75" t="n">
        <x:v>0.006904221274482552</x:v>
      </x:c>
      <x:c r="V228" s="75" t="n">
        <x:v>0.0345588972242731</x:v>
      </x:c>
      <x:c r="W228" s="75" t="n">
        <x:v>0.009412436864943243</x:v>
      </x:c>
      <x:c r="X228" s="75" t="n">
        <x:v>0.02450094281079601</x:v>
      </x:c>
      <x:c r="Y228" s="75" t="n">
        <x:v>0.01955993250190169</x:v>
      </x:c>
      <x:c r="Z228" s="75" t="n">
        <x:v>0.005765322735448368</x:v>
      </x:c>
      <x:c r="AA228" s="75" t="n">
        <x:v>0.007680014977110364</x:v>
      </x:c>
      <x:c r="AB228" s="75" t="n">
        <x:v>0.003073768395384774</x:v>
      </x:c>
      <x:c r="AC228" s="75" t="n">
        <x:v>0.023751755717311866</x:v>
      </x:c>
      <x:c r="AD228" s="75" t="n">
        <x:v>0.09790332432419993</x:v>
      </x:c>
      <x:c r="AE228" s="75" t="n">
        <x:v>0.07303980988336843</x:v>
      </x:c>
      <x:c r="AF228" s="74" t="n">
        <x:v>7</x:v>
      </x:c>
    </x:row>
    <x:row r="229">
      <x:c r="A229" t="str">
        <x:v>2026 S2</x:v>
      </x:c>
      <x:c r="B229" t="str">
        <x:v>CNCT0057</x:v>
      </x:c>
      <x:c r="C229" s="74" t="n">
        <x:v>2375</x:v>
      </x:c>
      <x:c r="D229" s="74" t="n">
        <x:v>1287.871</x:v>
      </x:c>
      <x:c r="E229" s="75" t="n">
        <x:v>0.9733458694350556</x:v>
      </x:c>
      <x:c r="F229" s="75" t="n">
        <x:v>0.16749487439186123</x:v>
      </x:c>
      <x:c r="G229" s="75" t="n">
        <x:v>0.01972233447933104</x:v>
      </x:c>
      <x:c r="H229" s="75" t="n">
        <x:v>0.007290301877816091</x:v>
      </x:c>
      <x:c r="I229" s="75" t="n">
        <x:v>0.006048392862619949</x:v>
      </x:c>
      <x:c r="J229" s="75" t="n">
        <x:v>0.011307713471236639</x:v>
      </x:c>
      <x:c r="K229" s="75" t="n">
        <x:v>0.011603786777537607</x:v>
      </x:c>
      <x:c r="L229" s="75" t="n">
        <x:v>0.01164101465956628</x:v>
      </x:c>
      <x:c r="M229" s="75" t="n">
        <x:v>0.00795123598344435</x:v>
      </x:c>
      <x:c r="N229" s="75" t="n">
        <x:v>0.006158989373157965</x:v>
      </x:c>
      <x:c r="O229" s="75" t="n">
        <x:v>0.009079046578131965</x:v>
      </x:c>
      <x:c r="P229" s="75" t="n">
        <x:v>0.0017166217174963095</x:v>
      </x:c>
      <x:c r="Q229" s="75" t="n">
        <x:v>0.005574047149028047</x:v>
      </x:c>
      <x:c r="R229" s="75" t="n">
        <x:v>0.36262087487937583</x:v>
      </x:c>
      <x:c r="S229" s="75" t="n">
        <x:v>0.0136281698703242</x:v>
      </x:c>
      <x:c r="T229" s="75" t="n">
        <x:v>0.003778031013760483</x:v>
      </x:c>
      <x:c r="U229" s="75" t="n">
        <x:v>0.006904221274482552</x:v>
      </x:c>
      <x:c r="V229" s="75" t="n">
        <x:v>0.0345588972242731</x:v>
      </x:c>
      <x:c r="W229" s="75" t="n">
        <x:v>0.00987325408645609</x:v>
      </x:c>
      <x:c r="X229" s="75" t="n">
        <x:v>0.0257004681359079</x:v>
      </x:c>
      <x:c r="Y229" s="75" t="n">
        <x:v>0.020517554197307292</x:v>
      </x:c>
      <x:c r="Z229" s="75" t="n">
        <x:v>0.006047583327704695</x:v>
      </x:c>
      <x:c r="AA229" s="75" t="n">
        <x:v>0.008056015710364725</x:v>
      </x:c>
      <x:c r="AB229" s="75" t="n">
        <x:v>0.003224254973075487</x:v>
      </x:c>
      <x:c r="AC229" s="75" t="n">
        <x:v>0.024914602090971925</x:v>
      </x:c>
      <x:c r="AD229" s="75" t="n">
        <x:v>0.10198262950437494</x:v>
      </x:c>
      <x:c r="AE229" s="75" t="n">
        <x:v>0.07303980988336843</x:v>
      </x:c>
      <x:c r="AF229" s="74" t="n">
        <x:v>7</x:v>
      </x:c>
    </x:row>
    <x:row r="230">
      <x:c r="A230" t="str">
        <x:v>2025 S1</x:v>
      </x:c>
      <x:c r="B230" t="str">
        <x:v>CNCT0058</x:v>
      </x:c>
      <x:c r="C230" s="74" t="n">
        <x:v>2445</x:v>
      </x:c>
      <x:c r="D230" s="74" t="n">
        <x:v>1239.175</x:v>
      </x:c>
      <x:c r="E230" s="75" t="n">
        <x:v>0.9757638694108173</x:v>
      </x:c>
      <x:c r="F230" s="75" t="n">
        <x:v>0.20203765090508385</x:v>
      </x:c>
      <x:c r="G230" s="75" t="n">
        <x:v>0.014061288666474865</x:v>
      </x:c>
      <x:c r="H230" s="75" t="n">
        <x:v>0.008162050291721243</x:v>
      </x:c>
      <x:c r="I230" s="75" t="n">
        <x:v>0.005775586192874471</x:v>
      </x:c>
      <x:c r="J230" s="75" t="n">
        <x:v>0.01166188185333158</x:v>
      </x:c>
      <x:c r="K230" s="75" t="n">
        <x:v>0.009313202552286383</x:v>
      </x:c>
      <x:c r="L230" s="75" t="n">
        <x:v>0.010264962525474403</x:v>
      </x:c>
      <x:c r="M230" s="75" t="n">
        <x:v>0.007851480639554211</x:v>
      </x:c>
      <x:c r="N230" s="75" t="n">
        <x:v>0.0074376655349915385</x:v>
      </x:c>
      <x:c r="O230" s="75" t="n">
        <x:v>0.013709981617226731</x:v>
      </x:c>
      <x:c r="P230" s="75" t="n">
        <x:v>0.002752261675152113</x:v>
      </x:c>
      <x:c r="Q230" s="75" t="n">
        <x:v>0.0036333826195186704</x:v>
      </x:c>
      <x:c r="R230" s="75" t="n">
        <x:v>0.36424414258103366</x:v>
      </x:c>
      <x:c r="S230" s="75" t="n">
        <x:v>0.01533121957113326</x:v>
      </x:c>
      <x:c r="T230" s="75" t="n">
        <x:v>0.0041447648380708415</x:v>
      </x:c>
      <x:c r="U230" s="75" t="n">
        <x:v>0.00858501894964138</x:v>
      </x:c>
      <x:c r="V230" s="75" t="n">
        <x:v>0.030307843499947924</x:v>
      </x:c>
      <x:c r="W230" s="75" t="n">
        <x:v>0.014751997635053703</x:v>
      </x:c>
      <x:c r="X230" s="75" t="n">
        <x:v>0.023973104962117506</x:v>
      </x:c>
      <x:c r="Y230" s="75" t="n">
        <x:v>0.016015620320539457</x:v>
      </x:c>
      <x:c r="Z230" s="75" t="n">
        <x:v>0.005994537119515008</x:v>
      </x:c>
      <x:c r="AA230" s="75" t="n">
        <x:v>0.0054301783787133176</x:v>
      </x:c>
      <x:c r="AB230" s="75" t="n">
        <x:v>0.0032752988454682057</x:v>
      </x:c>
      <x:c r="AC230" s="75" t="n">
        <x:v>0.028387096430477682</x:v>
      </x:c>
      <x:c r="AD230" s="75" t="n">
        <x:v>0.11379078842906439</x:v>
      </x:c>
      <x:c r="AE230" s="75" t="n">
        <x:v>0.06141297145502904</x:v>
      </x:c>
      <x:c r="AF230" s="74" t="n">
        <x:v>8</x:v>
      </x:c>
    </x:row>
    <x:row r="231">
      <x:c r="A231" t="str">
        <x:v>2025 S2</x:v>
      </x:c>
      <x:c r="B231" t="str">
        <x:v>CNCT0058</x:v>
      </x:c>
      <x:c r="C231" s="74" t="n">
        <x:v>2600</x:v>
      </x:c>
      <x:c r="D231" s="74" t="n">
        <x:v>1254.045</x:v>
      </x:c>
      <x:c r="E231" s="75" t="n">
        <x:v>0.9640355605992081</x:v>
      </x:c>
      <x:c r="F231" s="75" t="n">
        <x:v>0.20203765090508385</x:v>
      </x:c>
      <x:c r="G231" s="75" t="n">
        <x:v>0.014061288666474865</x:v>
      </x:c>
      <x:c r="H231" s="75" t="n">
        <x:v>0.008162050291721243</x:v>
      </x:c>
      <x:c r="I231" s="75" t="n">
        <x:v>0.005775586192874471</x:v>
      </x:c>
      <x:c r="J231" s="75" t="n">
        <x:v>0.01166188185333158</x:v>
      </x:c>
      <x:c r="K231" s="75" t="n">
        <x:v>0.009313202552286383</x:v>
      </x:c>
      <x:c r="L231" s="75" t="n">
        <x:v>0.010264962525474403</x:v>
      </x:c>
      <x:c r="M231" s="75" t="n">
        <x:v>0.007851480639554211</x:v>
      </x:c>
      <x:c r="N231" s="75" t="n">
        <x:v>0.0074376655349915385</x:v>
      </x:c>
      <x:c r="O231" s="75" t="n">
        <x:v>0.013709981617226731</x:v>
      </x:c>
      <x:c r="P231" s="75" t="n">
        <x:v>0.002752261675152113</x:v>
      </x:c>
      <x:c r="Q231" s="75" t="n">
        <x:v>0.0036333826195186704</x:v>
      </x:c>
      <x:c r="R231" s="75" t="n">
        <x:v>0.3540354867497541</x:v>
      </x:c>
      <x:c r="S231" s="75" t="n">
        <x:v>0.01533121957113326</x:v>
      </x:c>
      <x:c r="T231" s="75" t="n">
        <x:v>0.0041447648380708415</x:v>
      </x:c>
      <x:c r="U231" s="75" t="n">
        <x:v>0.00858501894964138</x:v>
      </x:c>
      <x:c r="V231" s="75" t="n">
        <x:v>0.030307843499947924</x:v>
      </x:c>
      <x:c r="W231" s="75" t="n">
        <x:v>0.014751997635053703</x:v>
      </x:c>
      <x:c r="X231" s="75" t="n">
        <x:v>0.023973104962117506</x:v>
      </x:c>
      <x:c r="Y231" s="75" t="n">
        <x:v>0.016015620320539457</x:v>
      </x:c>
      <x:c r="Z231" s="75" t="n">
        <x:v>0.005994537119515008</x:v>
      </x:c>
      <x:c r="AA231" s="75" t="n">
        <x:v>0.0054301783787133176</x:v>
      </x:c>
      <x:c r="AB231" s="75" t="n">
        <x:v>0.0032752988454682057</x:v>
      </x:c>
      <x:c r="AC231" s="75" t="n">
        <x:v>0.028387096430477682</x:v>
      </x:c>
      <x:c r="AD231" s="75" t="n">
        <x:v>0.11379078842906439</x:v>
      </x:c>
      <x:c r="AE231" s="75" t="n">
        <x:v>0.06141297145502904</x:v>
      </x:c>
      <x:c r="AF231" s="74" t="n">
        <x:v>8</x:v>
      </x:c>
    </x:row>
    <x:row r="232">
      <x:c r="A232" t="str">
        <x:v>2026 S1</x:v>
      </x:c>
      <x:c r="B232" t="str">
        <x:v>CNCT0058</x:v>
      </x:c>
      <x:c r="C232" s="74" t="n">
        <x:v>2731</x:v>
      </x:c>
      <x:c r="D232" s="74" t="n">
        <x:v>1304.757</x:v>
      </x:c>
      <x:c r="E232" s="75" t="n">
        <x:v>0.97334144465407</x:v>
      </x:c>
      <x:c r="F232" s="75" t="n">
        <x:v>0.20268322946707484</x:v>
      </x:c>
      <x:c r="G232" s="75" t="n">
        <x:v>0.01575049104736172</x:v>
      </x:c>
      <x:c r="H232" s="75" t="n">
        <x:v>0.008162050291721243</x:v>
      </x:c>
      <x:c r="I232" s="75" t="n">
        <x:v>0.005775586192874471</x:v>
      </x:c>
      <x:c r="J232" s="75" t="n">
        <x:v>0.01166188185333158</x:v>
      </x:c>
      <x:c r="K232" s="75" t="n">
        <x:v>0.009313202552286383</x:v>
      </x:c>
      <x:c r="L232" s="75" t="n">
        <x:v>0.010264962525474403</x:v>
      </x:c>
      <x:c r="M232" s="75" t="n">
        <x:v>0.007851480639554211</x:v>
      </x:c>
      <x:c r="N232" s="75" t="n">
        <x:v>0.0074376655349915385</x:v>
      </x:c>
      <x:c r="O232" s="75" t="n">
        <x:v>0.013974398490143357</x:v>
      </x:c>
      <x:c r="P232" s="75" t="n">
        <x:v>0.002752261675152113</x:v>
      </x:c>
      <x:c r="Q232" s="75" t="n">
        <x:v>0.0036333826195186704</x:v>
      </x:c>
      <x:c r="R232" s="75" t="n">
        <x:v>0.3657459747305582</x:v>
      </x:c>
      <x:c r="S232" s="75" t="n">
        <x:v>0.01533121957113326</x:v>
      </x:c>
      <x:c r="T232" s="75" t="n">
        <x:v>0.0041447648380708415</x:v>
      </x:c>
      <x:c r="U232" s="75" t="n">
        <x:v>0.00858501894964138</x:v>
      </x:c>
      <x:c r="V232" s="75" t="n">
        <x:v>0.030307843499947924</x:v>
      </x:c>
      <x:c r="W232" s="75" t="n">
        <x:v>0.014161917729651554</x:v>
      </x:c>
      <x:c r="X232" s="75" t="n">
        <x:v>0.023014180763632805</x:v>
      </x:c>
      <x:c r="Y232" s="75" t="n">
        <x:v>0.015374995507717879</x:v>
      </x:c>
      <x:c r="Z232" s="75" t="n">
        <x:v>0.005754755634734407</x:v>
      </x:c>
      <x:c r="AA232" s="75" t="n">
        <x:v>0.005212971243564785</x:v>
      </x:c>
      <x:c r="AB232" s="75" t="n">
        <x:v>0.0031442868916494774</x:v>
      </x:c>
      <x:c r="AC232" s="75" t="n">
        <x:v>0.027251612573258574</x:v>
      </x:c>
      <x:c r="AD232" s="75" t="n">
        <x:v>0.1092391568919018</x:v>
      </x:c>
      <x:c r="AE232" s="75" t="n">
        <x:v>0.06141297145502904</x:v>
      </x:c>
      <x:c r="AF232" s="74" t="n">
        <x:v>8</x:v>
      </x:c>
    </x:row>
    <x:row r="233">
      <x:c r="A233" t="str">
        <x:v>2026 S2</x:v>
      </x:c>
      <x:c r="B233" t="str">
        <x:v>CNCT0058</x:v>
      </x:c>
      <x:c r="C233" s="74" t="n">
        <x:v>2820</x:v>
      </x:c>
      <x:c r="D233" s="74" t="n">
        <x:v>1303.894</x:v>
      </x:c>
      <x:c r="E233" s="75" t="n">
        <x:v>0.9640355605992081</x:v>
      </x:c>
      <x:c r="F233" s="75" t="n">
        <x:v>0.19604747388551186</x:v>
      </x:c>
      <x:c r="G233" s="75" t="n">
        <x:v>0.015458623373531736</x:v>
      </x:c>
      <x:c r="H233" s="75" t="n">
        <x:v>0.008162050291721243</x:v>
      </x:c>
      <x:c r="I233" s="75" t="n">
        <x:v>0.005775586192874471</x:v>
      </x:c>
      <x:c r="J233" s="75" t="n">
        <x:v>0.01166188185333158</x:v>
      </x:c>
      <x:c r="K233" s="75" t="n">
        <x:v>0.009313202552286383</x:v>
      </x:c>
      <x:c r="L233" s="75" t="n">
        <x:v>0.010264962525474403</x:v>
      </x:c>
      <x:c r="M233" s="75" t="n">
        <x:v>0.007851480639554211</x:v>
      </x:c>
      <x:c r="N233" s="75" t="n">
        <x:v>0.0074376655349915385</x:v>
      </x:c>
      <x:c r="O233" s="75" t="n">
        <x:v>0.013709981617226731</x:v>
      </x:c>
      <x:c r="P233" s="75" t="n">
        <x:v>0.002752261675152113</x:v>
      </x:c>
      <x:c r="Q233" s="75" t="n">
        <x:v>0.0036333826195186704</x:v>
      </x:c>
      <x:c r="R233" s="75" t="n">
        <x:v>0.34994846528663154</x:v>
      </x:c>
      <x:c r="S233" s="75" t="n">
        <x:v>0.01533121957113326</x:v>
      </x:c>
      <x:c r="T233" s="75" t="n">
        <x:v>0.0041447648380708415</x:v>
      </x:c>
      <x:c r="U233" s="75" t="n">
        <x:v>0.00858501894964138</x:v>
      </x:c>
      <x:c r="V233" s="75" t="n">
        <x:v>0.030307843499947924</x:v>
      </x:c>
      <x:c r="W233" s="75" t="n">
        <x:v>0.01485526161849908</x:v>
      </x:c>
      <x:c r="X233" s="75" t="n">
        <x:v>0.024140916696852328</x:v>
      </x:c>
      <x:c r="Y233" s="75" t="n">
        <x:v>0.01612772966278323</x:v>
      </x:c>
      <x:c r="Z233" s="75" t="n">
        <x:v>0.006036498879351613</x:v>
      </x:c>
      <x:c r="AA233" s="75" t="n">
        <x:v>0.005468189627364311</x:v>
      </x:c>
      <x:c r="AB233" s="75" t="n">
        <x:v>0.0032982259373864832</x:v>
      </x:c>
      <x:c r="AC233" s="75" t="n">
        <x:v>0.028585806105491024</x:v>
      </x:c>
      <x:c r="AD233" s="75" t="n">
        <x:v>0.11379078842906439</x:v>
      </x:c>
      <x:c r="AE233" s="75" t="n">
        <x:v>0.06141297145502904</x:v>
      </x:c>
      <x:c r="AF233" s="74" t="n">
        <x:v>8</x:v>
      </x:c>
    </x:row>
    <x:row r="234">
      <x:c r="A234" t="str">
        <x:v>2025 S1</x:v>
      </x:c>
      <x:c r="B234" t="str">
        <x:v>CNCT0059</x:v>
      </x:c>
      <x:c r="C234" s="74" t="n">
        <x:v>2123</x:v>
      </x:c>
      <x:c r="D234" s="74" t="n">
        <x:v>1009.985</x:v>
      </x:c>
      <x:c r="E234" s="75" t="n">
        <x:v>0.9641005662628668</x:v>
      </x:c>
      <x:c r="F234" s="75" t="n">
        <x:v>0.18838697802554816</x:v>
      </x:c>
      <x:c r="G234" s="75" t="n">
        <x:v>0.013835668355663074</x:v>
      </x:c>
      <x:c r="H234" s="75" t="n">
        <x:v>0.008183977322565626</x:v>
      </x:c>
      <x:c r="I234" s="75" t="n">
        <x:v>0.010098202095803572</x:v>
      </x:c>
      <x:c r="J234" s="75" t="n">
        <x:v>0.011783013581065462</x:v>
      </x:c>
      <x:c r="K234" s="75" t="n">
        <x:v>0.013859283239551587</x:v>
      </x:c>
      <x:c r="L234" s="75" t="n">
        <x:v>0.013095317873005115</x:v>
      </x:c>
      <x:c r="M234" s="75" t="n">
        <x:v>0.010225435690506856</x:v>
      </x:c>
      <x:c r="N234" s="75" t="n">
        <x:v>0.00781136157719402</x:v>
      </x:c>
      <x:c r="O234" s="75" t="n">
        <x:v>0.007444603102736437</x:v>
      </x:c>
      <x:c r="P234" s="75" t="n">
        <x:v>0.0006624029266567959</x:v>
      </x:c>
      <x:c r="Q234" s="75" t="n">
        <x:v>0.001460656729148468</x:v>
      </x:c>
      <x:c r="R234" s="75" t="n">
        <x:v>0.366175164039063</x:v>
      </x:c>
      <x:c r="S234" s="75" t="n">
        <x:v>0.011987942739535356</x:v>
      </x:c>
      <x:c r="T234" s="75" t="n">
        <x:v>0.004924611117865425</x:v>
      </x:c>
      <x:c r="U234" s="75" t="n">
        <x:v>0.010427084525872488</x:v>
      </x:c>
      <x:c r="V234" s="75" t="n">
        <x:v>0.030224861241265902</x:v>
      </x:c>
      <x:c r="W234" s="75" t="n">
        <x:v>0.01221559135227435</x:v>
      </x:c>
      <x:c r="X234" s="75" t="n">
        <x:v>0.023649041170486017</x:v>
      </x:c>
      <x:c r="Y234" s="75" t="n">
        <x:v>0.014328459306880835</x:v>
      </x:c>
      <x:c r="Z234" s="75" t="n">
        <x:v>0.00738851293164189</x:v>
      </x:c>
      <x:c r="AA234" s="75" t="n">
        <x:v>0.006567155931382441</x:v>
      </x:c>
      <x:c r="AB234" s="75" t="n">
        <x:v>0.006533599989832146</x:v>
      </x:c>
      <x:c r="AC234" s="75" t="n">
        <x:v>0.01743535613811109</x:v>
      </x:c>
      <x:c r="AD234" s="75" t="n">
        <x:v>0.10091008011868689</x:v>
      </x:c>
      <x:c r="AE234" s="75" t="n">
        <x:v>0.08066781600284957</x:v>
      </x:c>
      <x:c r="AF234" s="74" t="n">
        <x:v>13</x:v>
      </x:c>
    </x:row>
    <x:row r="235">
      <x:c r="A235" t="str">
        <x:v>2025 S2</x:v>
      </x:c>
      <x:c r="B235" t="str">
        <x:v>CNCT0059</x:v>
      </x:c>
      <x:c r="C235" s="74" t="n">
        <x:v>2309</x:v>
      </x:c>
      <x:c r="D235" s="74" t="n">
        <x:v>1022.105</x:v>
      </x:c>
      <x:c r="E235" s="75" t="n">
        <x:v>0.9844598136281419</x:v>
      </x:c>
      <x:c r="F235" s="75" t="n">
        <x:v>0.18838697802554816</x:v>
      </x:c>
      <x:c r="G235" s="75" t="n">
        <x:v>0.013835668355663074</x:v>
      </x:c>
      <x:c r="H235" s="75" t="n">
        <x:v>0.008183977322565626</x:v>
      </x:c>
      <x:c r="I235" s="75" t="n">
        <x:v>0.010098202095803572</x:v>
      </x:c>
      <x:c r="J235" s="75" t="n">
        <x:v>0.011783013581065462</x:v>
      </x:c>
      <x:c r="K235" s="75" t="n">
        <x:v>0.013859283239551587</x:v>
      </x:c>
      <x:c r="L235" s="75" t="n">
        <x:v>0.013095317873005115</x:v>
      </x:c>
      <x:c r="M235" s="75" t="n">
        <x:v>0.010225435690506856</x:v>
      </x:c>
      <x:c r="N235" s="75" t="n">
        <x:v>0.00781136157719402</x:v>
      </x:c>
      <x:c r="O235" s="75" t="n">
        <x:v>0.007444603102736437</x:v>
      </x:c>
      <x:c r="P235" s="75" t="n">
        <x:v>0.0006624029266567959</x:v>
      </x:c>
      <x:c r="Q235" s="75" t="n">
        <x:v>0.001460656729148468</x:v>
      </x:c>
      <x:c r="R235" s="75" t="n">
        <x:v>0.3780306950598134</x:v>
      </x:c>
      <x:c r="S235" s="75" t="n">
        <x:v>0.011987942739535356</x:v>
      </x:c>
      <x:c r="T235" s="75" t="n">
        <x:v>0.004924611117865425</x:v>
      </x:c>
      <x:c r="U235" s="75" t="n">
        <x:v>0.010427084525872488</x:v>
      </x:c>
      <x:c r="V235" s="75" t="n">
        <x:v>0.030224861241265902</x:v>
      </x:c>
      <x:c r="W235" s="75" t="n">
        <x:v>0.01221559135227435</x:v>
      </x:c>
      <x:c r="X235" s="75" t="n">
        <x:v>0.023649041170486017</x:v>
      </x:c>
      <x:c r="Y235" s="75" t="n">
        <x:v>0.014328459306880835</x:v>
      </x:c>
      <x:c r="Z235" s="75" t="n">
        <x:v>0.00738851293164189</x:v>
      </x:c>
      <x:c r="AA235" s="75" t="n">
        <x:v>0.006567155931382441</x:v>
      </x:c>
      <x:c r="AB235" s="75" t="n">
        <x:v>0.006533599989832146</x:v>
      </x:c>
      <x:c r="AC235" s="75" t="n">
        <x:v>0.01743535613811109</x:v>
      </x:c>
      <x:c r="AD235" s="75" t="n">
        <x:v>0.10091008011868689</x:v>
      </x:c>
      <x:c r="AE235" s="75" t="n">
        <x:v>0.08066781600284957</x:v>
      </x:c>
      <x:c r="AF235" s="74" t="n">
        <x:v>13</x:v>
      </x:c>
    </x:row>
    <x:row r="236">
      <x:c r="A236" t="str">
        <x:v>2026 S1</x:v>
      </x:c>
      <x:c r="B236" t="str">
        <x:v>CNCT0059</x:v>
      </x:c>
      <x:c r="C236" s="74" t="n">
        <x:v>2221</x:v>
      </x:c>
      <x:c r="D236" s="74" t="n">
        <x:v>1052.382</x:v>
      </x:c>
      <x:c r="E236" s="75" t="n">
        <x:v>0.9631502889715703</x:v>
      </x:c>
      <x:c r="F236" s="75" t="n">
        <x:v>0.1834521459130483</x:v>
      </x:c>
      <x:c r="G236" s="75" t="n">
        <x:v>0.015436638776875043</x:v>
      </x:c>
      <x:c r="H236" s="75" t="n">
        <x:v>0.008183977322565626</x:v>
      </x:c>
      <x:c r="I236" s="75" t="n">
        <x:v>0.010098202095803572</x:v>
      </x:c>
      <x:c r="J236" s="75" t="n">
        <x:v>0.011783013581065462</x:v>
      </x:c>
      <x:c r="K236" s="75" t="n">
        <x:v>0.013859283239551587</x:v>
      </x:c>
      <x:c r="L236" s="75" t="n">
        <x:v>0.013095317873005115</x:v>
      </x:c>
      <x:c r="M236" s="75" t="n">
        <x:v>0.010225435690506856</x:v>
      </x:c>
      <x:c r="N236" s="75" t="n">
        <x:v>0.00781136157719402</x:v>
      </x:c>
      <x:c r="O236" s="75" t="n">
        <x:v>0.007327843149172622</x:v>
      </x:c>
      <x:c r="P236" s="75" t="n">
        <x:v>0.0006624029266567959</x:v>
      </x:c>
      <x:c r="Q236" s="75" t="n">
        <x:v>0.001460656729148468</x:v>
      </x:c>
      <x:c r="R236" s="75" t="n">
        <x:v>0.37064925598423026</x:v>
      </x:c>
      <x:c r="S236" s="75" t="n">
        <x:v>0.011987942739535356</x:v>
      </x:c>
      <x:c r="T236" s="75" t="n">
        <x:v>0.004924611117865425</x:v>
      </x:c>
      <x:c r="U236" s="75" t="n">
        <x:v>0.010427084525872488</x:v>
      </x:c>
      <x:c r="V236" s="75" t="n">
        <x:v>0.030224861241265902</x:v>
      </x:c>
      <x:c r="W236" s="75" t="n">
        <x:v>0.01503068662888678</x:v>
      </x:c>
      <x:c r="X236" s="75" t="n">
        <x:v>0.029098986422874718</x:v>
      </x:c>
      <x:c r="Y236" s="75" t="n">
        <x:v>0.017630467122361968</x:v>
      </x:c>
      <x:c r="Z236" s="75" t="n">
        <x:v>0.009091203145749488</x:v>
      </x:c>
      <x:c r="AA236" s="75" t="n">
        <x:v>0.008080563601144576</x:v>
      </x:c>
      <x:c r="AB236" s="75" t="n">
        <x:v>0.00803927465921498</x:v>
      </x:c>
      <x:c r="AC236" s="75" t="n">
        <x:v>0.021453351443865464</x:v>
      </x:c>
      <x:c r="AD236" s="75" t="n">
        <x:v>0.10091008011868689</x:v>
      </x:c>
      <x:c r="AE236" s="75" t="n">
        <x:v>0.08066781600284957</x:v>
      </x:c>
      <x:c r="AF236" s="74" t="n">
        <x:v>13</x:v>
      </x:c>
    </x:row>
    <x:row r="237">
      <x:c r="A237" t="str">
        <x:v>2026 S2</x:v>
      </x:c>
      <x:c r="B237" t="str">
        <x:v>CNCT0059</x:v>
      </x:c>
      <x:c r="C237" s="74" t="n">
        <x:v>2435</x:v>
      </x:c>
      <x:c r="D237" s="74" t="n">
        <x:v>1050.565</x:v>
      </x:c>
      <x:c r="E237" s="75" t="n">
        <x:v>0.9844598136281419</x:v>
      </x:c>
      <x:c r="F237" s="75" t="n">
        <x:v>0.18872524047319894</x:v>
      </x:c>
      <x:c r="G237" s="75" t="n">
        <x:v>0.012551546908274758</x:v>
      </x:c>
      <x:c r="H237" s="75" t="n">
        <x:v>0.008183977322565626</x:v>
      </x:c>
      <x:c r="I237" s="75" t="n">
        <x:v>0.010098202095803572</x:v>
      </x:c>
      <x:c r="J237" s="75" t="n">
        <x:v>0.011783013581065462</x:v>
      </x:c>
      <x:c r="K237" s="75" t="n">
        <x:v>0.013859283239551587</x:v>
      </x:c>
      <x:c r="L237" s="75" t="n">
        <x:v>0.013095317873005115</x:v>
      </x:c>
      <x:c r="M237" s="75" t="n">
        <x:v>0.010225435690506856</x:v>
      </x:c>
      <x:c r="N237" s="75" t="n">
        <x:v>0.00781136157719402</x:v>
      </x:c>
      <x:c r="O237" s="75" t="n">
        <x:v>0.007444603102736437</x:v>
      </x:c>
      <x:c r="P237" s="75" t="n">
        <x:v>0.0006624029266567959</x:v>
      </x:c>
      <x:c r="Q237" s="75" t="n">
        <x:v>0.001460656729148468</x:v>
      </x:c>
      <x:c r="R237" s="75" t="n">
        <x:v>0.37563190493570314</x:v>
      </x:c>
      <x:c r="S237" s="75" t="n">
        <x:v>0.011987942739535356</x:v>
      </x:c>
      <x:c r="T237" s="75" t="n">
        <x:v>0.004924611117865425</x:v>
      </x:c>
      <x:c r="U237" s="75" t="n">
        <x:v>0.010427084525872488</x:v>
      </x:c>
      <x:c r="V237" s="75" t="n">
        <x:v>0.030224861241265902</x:v>
      </x:c>
      <x:c r="W237" s="75" t="n">
        <x:v>0.012948526833410811</x:v>
      </x:c>
      <x:c r="X237" s="75" t="n">
        <x:v>0.025067983640715177</x:v>
      </x:c>
      <x:c r="Y237" s="75" t="n">
        <x:v>0.015188166865293685</x:v>
      </x:c>
      <x:c r="Z237" s="75" t="n">
        <x:v>0.007831823707540405</x:v>
      </x:c>
      <x:c r="AA237" s="75" t="n">
        <x:v>0.006961185287265388</x:v>
      </x:c>
      <x:c r="AB237" s="75" t="n">
        <x:v>0.006925615989222075</x:v>
      </x:c>
      <x:c r="AC237" s="75" t="n">
        <x:v>0.018481477506397757</x:v>
      </x:c>
      <x:c r="AD237" s="75" t="n">
        <x:v>0.10091008011868689</x:v>
      </x:c>
      <x:c r="AE237" s="75" t="n">
        <x:v>0.08066781600284957</x:v>
      </x:c>
      <x:c r="AF237" s="74" t="n">
        <x:v>13</x:v>
      </x:c>
    </x:row>
    <x:row r="238">
      <x:c r="A238" t="str">
        <x:v>2025 S1</x:v>
      </x:c>
      <x:c r="B238" t="str">
        <x:v>CNCT0060</x:v>
      </x:c>
      <x:c r="C238" s="74" t="n">
        <x:v>1996</x:v>
      </x:c>
      <x:c r="D238" s="74" t="n">
        <x:v>1041.769</x:v>
      </x:c>
      <x:c r="E238" s="75" t="n">
        <x:v>0.9672840745574794</x:v>
      </x:c>
      <x:c r="F238" s="75" t="n">
        <x:v>0.20860500458441675</x:v>
      </x:c>
      <x:c r="G238" s="75" t="n">
        <x:v>0.013719392576356767</x:v>
      </x:c>
      <x:c r="H238" s="75" t="n">
        <x:v>0.0076079589982109615</x:v>
      </x:c>
      <x:c r="I238" s="75" t="n">
        <x:v>0.008369194344930293</x:v>
      </x:c>
      <x:c r="J238" s="75" t="n">
        <x:v>0.010541839819750749</x:v>
      </x:c>
      <x:c r="K238" s="75" t="n">
        <x:v>0.01062334619667672</x:v>
      </x:c>
      <x:c r="L238" s="75" t="n">
        <x:v>0.008403044158927514</x:v>
      </x:c>
      <x:c r="M238" s="75" t="n">
        <x:v>0.008625174797824002</x:v>
      </x:c>
      <x:c r="N238" s="75" t="n">
        <x:v>0.005905350896529853</x:v>
      </x:c>
      <x:c r="O238" s="75" t="n">
        <x:v>0.0061459085478472834</x:v>
      </x:c>
      <x:c r="P238" s="75" t="n">
        <x:v>0.0018885016575404734</x:v>
      </x:c>
      <x:c r="Q238" s="75" t="n">
        <x:v>0.005775262172290241</x:v>
      </x:c>
      <x:c r="R238" s="75" t="n">
        <x:v>0.3623895729870206</x:v>
      </x:c>
      <x:c r="S238" s="75" t="n">
        <x:v>0.012532335873846024</x:v>
      </x:c>
      <x:c r="T238" s="75" t="n">
        <x:v>0.006490886695421068</x:v>
      </x:c>
      <x:c r="U238" s="75" t="n">
        <x:v>0.007959983149368782</x:v>
      </x:c>
      <x:c r="V238" s="75" t="n">
        <x:v>0.02910979576400132</x:v>
      </x:c>
      <x:c r="W238" s="75" t="n">
        <x:v>0.011885184255764762</x:v>
      </x:c>
      <x:c r="X238" s="75" t="n">
        <x:v>0.0191935429953289</x:v>
      </x:c>
      <x:c r="Y238" s="75" t="n">
        <x:v>0.013238670345714784</x:v>
      </x:c>
      <x:c r="Z238" s="75" t="n">
        <x:v>0.005521674883575179</x:v>
      </x:c>
      <x:c r="AA238" s="75" t="n">
        <x:v>0.009115495133916848</x:v>
      </x:c>
      <x:c r="AB238" s="75" t="n">
        <x:v>0.0043384815893892665</x:v>
      </x:c>
      <x:c r="AC238" s="75" t="n">
        <x:v>0.023817314653465288</x:v>
      </x:c>
      <x:c r="AD238" s="75" t="n">
        <x:v>0.11496224965274451</x:v>
      </x:c>
      <x:c r="AE238" s="75" t="n">
        <x:v>0.06897345015183964</x:v>
      </x:c>
      <x:c r="AF238" s="74" t="n">
        <x:v>12</x:v>
      </x:c>
    </x:row>
    <x:row r="239">
      <x:c r="A239" t="str">
        <x:v>2025 S2</x:v>
      </x:c>
      <x:c r="B239" t="str">
        <x:v>CNCT0060</x:v>
      </x:c>
      <x:c r="C239" s="74" t="n">
        <x:v>2141</x:v>
      </x:c>
      <x:c r="D239" s="74" t="n">
        <x:v>1054.27</x:v>
      </x:c>
      <x:c r="E239" s="75" t="n">
        <x:v>0.9827987117928642</x:v>
      </x:c>
      <x:c r="F239" s="75" t="n">
        <x:v>0.20860500458441675</x:v>
      </x:c>
      <x:c r="G239" s="75" t="n">
        <x:v>0.013719392576356767</x:v>
      </x:c>
      <x:c r="H239" s="75" t="n">
        <x:v>0.0076079589982109615</x:v>
      </x:c>
      <x:c r="I239" s="75" t="n">
        <x:v>0.008369194344930293</x:v>
      </x:c>
      <x:c r="J239" s="75" t="n">
        <x:v>0.010541839819750749</x:v>
      </x:c>
      <x:c r="K239" s="75" t="n">
        <x:v>0.01062334619667672</x:v>
      </x:c>
      <x:c r="L239" s="75" t="n">
        <x:v>0.008403044158927514</x:v>
      </x:c>
      <x:c r="M239" s="75" t="n">
        <x:v>0.008625174797824002</x:v>
      </x:c>
      <x:c r="N239" s="75" t="n">
        <x:v>0.005905350896529853</x:v>
      </x:c>
      <x:c r="O239" s="75" t="n">
        <x:v>0.0061459085478472834</x:v>
      </x:c>
      <x:c r="P239" s="75" t="n">
        <x:v>0.0018885016575404734</x:v>
      </x:c>
      <x:c r="Q239" s="75" t="n">
        <x:v>0.005775262172290241</x:v>
      </x:c>
      <x:c r="R239" s="75" t="n">
        <x:v>0.3821794257631717</x:v>
      </x:c>
      <x:c r="S239" s="75" t="n">
        <x:v>0.012532335873846024</x:v>
      </x:c>
      <x:c r="T239" s="75" t="n">
        <x:v>0.006490886695421068</x:v>
      </x:c>
      <x:c r="U239" s="75" t="n">
        <x:v>0.007959983149368782</x:v>
      </x:c>
      <x:c r="V239" s="75" t="n">
        <x:v>0.02910979576400132</x:v>
      </x:c>
      <x:c r="W239" s="75" t="n">
        <x:v>0.011885184255764762</x:v>
      </x:c>
      <x:c r="X239" s="75" t="n">
        <x:v>0.0191935429953289</x:v>
      </x:c>
      <x:c r="Y239" s="75" t="n">
        <x:v>0.013238670345714784</x:v>
      </x:c>
      <x:c r="Z239" s="75" t="n">
        <x:v>0.005521674883575179</x:v>
      </x:c>
      <x:c r="AA239" s="75" t="n">
        <x:v>0.009115495133916848</x:v>
      </x:c>
      <x:c r="AB239" s="75" t="n">
        <x:v>0.0043384815893892665</x:v>
      </x:c>
      <x:c r="AC239" s="75" t="n">
        <x:v>0.023817314653465288</x:v>
      </x:c>
      <x:c r="AD239" s="75" t="n">
        <x:v>0.11496224965274451</x:v>
      </x:c>
      <x:c r="AE239" s="75" t="n">
        <x:v>0.06897345015183964</x:v>
      </x:c>
      <x:c r="AF239" s="74" t="n">
        <x:v>12</x:v>
      </x:c>
    </x:row>
    <x:row r="240">
      <x:c r="A240" t="str">
        <x:v>2026 S1</x:v>
      </x:c>
      <x:c r="B240" t="str">
        <x:v>CNCT0060</x:v>
      </x:c>
      <x:c r="C240" s="74" t="n">
        <x:v>2333</x:v>
      </x:c>
      <x:c r="D240" s="74" t="n">
        <x:v>1103.253</x:v>
      </x:c>
      <x:c r="E240" s="75" t="n">
        <x:v>0.9710653566944529</x:v>
      </x:c>
      <x:c r="F240" s="75" t="n">
        <x:v>0.20883648003073177</x:v>
      </x:c>
      <x:c r="G240" s="75" t="n">
        <x:v>0.013692838267204932</x:v>
      </x:c>
      <x:c r="H240" s="75" t="n">
        <x:v>0.0076079589982109615</x:v>
      </x:c>
      <x:c r="I240" s="75" t="n">
        <x:v>0.008369194344930293</x:v>
      </x:c>
      <x:c r="J240" s="75" t="n">
        <x:v>0.010541839819750749</x:v>
      </x:c>
      <x:c r="K240" s="75" t="n">
        <x:v>0.01062334619667672</x:v>
      </x:c>
      <x:c r="L240" s="75" t="n">
        <x:v>0.008403044158927514</x:v>
      </x:c>
      <x:c r="M240" s="75" t="n">
        <x:v>0.008625174797824002</x:v>
      </x:c>
      <x:c r="N240" s="75" t="n">
        <x:v>0.005905350896529853</x:v>
      </x:c>
      <x:c r="O240" s="75" t="n">
        <x:v>0.006969975393038111</x:v>
      </x:c>
      <x:c r="P240" s="75" t="n">
        <x:v>0.0018885016575404734</x:v>
      </x:c>
      <x:c r="Q240" s="75" t="n">
        <x:v>0.005775262172290241</x:v>
      </x:c>
      <x:c r="R240" s="75" t="n">
        <x:v>0.35870656307803017</x:v>
      </x:c>
      <x:c r="S240" s="75" t="n">
        <x:v>0.012532335873846024</x:v>
      </x:c>
      <x:c r="T240" s="75" t="n">
        <x:v>0.006490886695421068</x:v>
      </x:c>
      <x:c r="U240" s="75" t="n">
        <x:v>0.007959983149368782</x:v>
      </x:c>
      <x:c r="V240" s="75" t="n">
        <x:v>0.02910979576400132</x:v>
      </x:c>
      <x:c r="W240" s="75" t="n">
        <x:v>0.01140977688553417</x:v>
      </x:c>
      <x:c r="X240" s="75" t="n">
        <x:v>0.018425801275515744</x:v>
      </x:c>
      <x:c r="Y240" s="75" t="n">
        <x:v>0.012709123531886192</x:v>
      </x:c>
      <x:c r="Z240" s="75" t="n">
        <x:v>0.005300807888232171</x:v>
      </x:c>
      <x:c r="AA240" s="75" t="n">
        <x:v>0.008750875328560174</x:v>
      </x:c>
      <x:c r="AB240" s="75" t="n">
        <x:v>0.004164942325813696</x:v>
      </x:c>
      <x:c r="AC240" s="75" t="n">
        <x:v>0.022864622067326677</x:v>
      </x:c>
      <x:c r="AD240" s="75" t="n">
        <x:v>0.11036375966663473</x:v>
      </x:c>
      <x:c r="AE240" s="75" t="n">
        <x:v>0.06897345015183964</x:v>
      </x:c>
      <x:c r="AF240" s="74" t="n">
        <x:v>12</x:v>
      </x:c>
    </x:row>
    <x:row r="241">
      <x:c r="A241" t="str">
        <x:v>2026 S2</x:v>
      </x:c>
      <x:c r="B241" t="str">
        <x:v>CNCT0060</x:v>
      </x:c>
      <x:c r="C241" s="74" t="n">
        <x:v>2411</x:v>
      </x:c>
      <x:c r="D241" s="74" t="n">
        <x:v>1098.279</x:v>
      </x:c>
      <x:c r="E241" s="75" t="n">
        <x:v>0.9827987117928642</x:v>
      </x:c>
      <x:c r="F241" s="75" t="n">
        <x:v>0.20274628478060186</x:v>
      </x:c>
      <x:c r="G241" s="75" t="n">
        <x:v>0.011766153758697327</x:v>
      </x:c>
      <x:c r="H241" s="75" t="n">
        <x:v>0.0076079589982109615</x:v>
      </x:c>
      <x:c r="I241" s="75" t="n">
        <x:v>0.008369194344930293</x:v>
      </x:c>
      <x:c r="J241" s="75" t="n">
        <x:v>0.010541839819750749</x:v>
      </x:c>
      <x:c r="K241" s="75" t="n">
        <x:v>0.01062334619667672</x:v>
      </x:c>
      <x:c r="L241" s="75" t="n">
        <x:v>0.008403044158927514</x:v>
      </x:c>
      <x:c r="M241" s="75" t="n">
        <x:v>0.008625174797824002</x:v>
      </x:c>
      <x:c r="N241" s="75" t="n">
        <x:v>0.005905350896529853</x:v>
      </x:c>
      <x:c r="O241" s="75" t="n">
        <x:v>0.0061459085478472834</x:v>
      </x:c>
      <x:c r="P241" s="75" t="n">
        <x:v>0.0018885016575404734</x:v>
      </x:c>
      <x:c r="Q241" s="75" t="n">
        <x:v>0.005775262172290241</x:v>
      </x:c>
      <x:c r="R241" s="75" t="n">
        <x:v>0.38204280896344683</x:v>
      </x:c>
      <x:c r="S241" s="75" t="n">
        <x:v>0.012532335873846024</x:v>
      </x:c>
      <x:c r="T241" s="75" t="n">
        <x:v>0.006490886695421068</x:v>
      </x:c>
      <x:c r="U241" s="75" t="n">
        <x:v>0.007959983149368782</x:v>
      </x:c>
      <x:c r="V241" s="75" t="n">
        <x:v>0.02910979576400132</x:v>
      </x:c>
      <x:c r="W241" s="75" t="n">
        <x:v>0.011968380545555116</x:v>
      </x:c>
      <x:c r="X241" s="75" t="n">
        <x:v>0.019327897796296203</x:v>
      </x:c>
      <x:c r="Y241" s="75" t="n">
        <x:v>0.013331341038134787</x:v>
      </x:c>
      <x:c r="Z241" s="75" t="n">
        <x:v>0.005560326607760205</x:v>
      </x:c>
      <x:c r="AA241" s="75" t="n">
        <x:v>0.009179303599854265</x:v>
      </x:c>
      <x:c r="AB241" s="75" t="n">
        <x:v>0.004368850960514992</x:v>
      </x:c>
      <x:c r="AC241" s="75" t="n">
        <x:v>0.023984035856039546</x:v>
      </x:c>
      <x:c r="AD241" s="75" t="n">
        <x:v>0.11496224965274451</x:v>
      </x:c>
      <x:c r="AE241" s="75" t="n">
        <x:v>0.06897345015183964</x:v>
      </x:c>
      <x:c r="AF241" s="74" t="n">
        <x:v>12</x:v>
      </x:c>
    </x:row>
    <x:row r="242">
      <x:c r="A242" t="str">
        <x:v>2025 S1</x:v>
      </x:c>
      <x:c r="B242" t="str">
        <x:v>CNCT0061</x:v>
      </x:c>
      <x:c r="C242" s="74" t="n">
        <x:v>2033</x:v>
      </x:c>
      <x:c r="D242" s="74" t="n">
        <x:v>1159.009</x:v>
      </x:c>
      <x:c r="E242" s="75" t="n">
        <x:v>0.982294826506637</x:v>
      </x:c>
      <x:c r="F242" s="75" t="n">
        <x:v>0.19180141681380336</x:v>
      </x:c>
      <x:c r="G242" s="75" t="n">
        <x:v>0.01151725256739155</x:v>
      </x:c>
      <x:c r="H242" s="75" t="n">
        <x:v>0.012492740198737012</x:v>
      </x:c>
      <x:c r="I242" s="75" t="n">
        <x:v>0.009575719221673353</x:v>
      </x:c>
      <x:c r="J242" s="75" t="n">
        <x:v>0.013000486843287945</x:v>
      </x:c>
      <x:c r="K242" s="75" t="n">
        <x:v>0.01156632725993404</x:v>
      </x:c>
      <x:c r="L242" s="75" t="n">
        <x:v>0.0094229437088361</x:v>
      </x:c>
      <x:c r="M242" s="75" t="n">
        <x:v>0.00811614056696999</x:v>
      </x:c>
      <x:c r="N242" s="75" t="n">
        <x:v>0.008965056904329687</x:v>
      </x:c>
      <x:c r="O242" s="75" t="n">
        <x:v>0.015024207551628933</x:v>
      </x:c>
      <x:c r="P242" s="75" t="n">
        <x:v>0.0006237636801324697</x:v>
      </x:c>
      <x:c r="Q242" s="75" t="n">
        <x:v>0.0019183119460803935</x:v>
      </x:c>
      <x:c r="R242" s="75" t="n">
        <x:v>0.3744431657679327</x:v>
      </x:c>
      <x:c r="S242" s="75" t="n">
        <x:v>0.013672643793572206</x:v>
      </x:c>
      <x:c r="T242" s="75" t="n">
        <x:v>0.006932274703591247</x:v>
      </x:c>
      <x:c r="U242" s="75" t="n">
        <x:v>0.009655248253198806</x:v>
      </x:c>
      <x:c r="V242" s="75" t="n">
        <x:v>0.02862912477221107</x:v>
      </x:c>
      <x:c r="W242" s="75" t="n">
        <x:v>0.013111250252249738</x:v>
      </x:c>
      <x:c r="X242" s="75" t="n">
        <x:v>0.023801193370497544</x:v>
      </x:c>
      <x:c r="Y242" s="75" t="n">
        <x:v>0.020039761062841284</x:v>
      </x:c>
      <x:c r="Z242" s="75" t="n">
        <x:v>0.00600412497043144</x:v>
      </x:c>
      <x:c r="AA242" s="75" t="n">
        <x:v>0.006406974560556701</x:v>
      </x:c>
      <x:c r="AB242" s="75" t="n">
        <x:v>0.006363889007765102</x:v>
      </x:c>
      <x:c r="AC242" s="75" t="n">
        <x:v>0.025120250939141258</x:v>
      </x:c>
      <x:c r="AD242" s="75" t="n">
        <x:v>0.10097958735012799</x:v>
      </x:c>
      <x:c r="AE242" s="75" t="n">
        <x:v>0.07157321436991333</x:v>
      </x:c>
      <x:c r="AF242" s="74" t="n">
        <x:v>7</x:v>
      </x:c>
    </x:row>
    <x:row r="243">
      <x:c r="A243" t="str">
        <x:v>2025 S2</x:v>
      </x:c>
      <x:c r="B243" t="str">
        <x:v>CNCT0061</x:v>
      </x:c>
      <x:c r="C243" s="74" t="n">
        <x:v>2143</x:v>
      </x:c>
      <x:c r="D243" s="74" t="n">
        <x:v>1172.918</x:v>
      </x:c>
      <x:c r="E243" s="75" t="n">
        <x:v>0.9749094838021265</x:v>
      </x:c>
      <x:c r="F243" s="75" t="n">
        <x:v>0.19180141681380336</x:v>
      </x:c>
      <x:c r="G243" s="75" t="n">
        <x:v>0.01151725256739155</x:v>
      </x:c>
      <x:c r="H243" s="75" t="n">
        <x:v>0.012492740198737012</x:v>
      </x:c>
      <x:c r="I243" s="75" t="n">
        <x:v>0.009575719221673353</x:v>
      </x:c>
      <x:c r="J243" s="75" t="n">
        <x:v>0.013000486843287945</x:v>
      </x:c>
      <x:c r="K243" s="75" t="n">
        <x:v>0.01156632725993404</x:v>
      </x:c>
      <x:c r="L243" s="75" t="n">
        <x:v>0.0094229437088361</x:v>
      </x:c>
      <x:c r="M243" s="75" t="n">
        <x:v>0.00811614056696999</x:v>
      </x:c>
      <x:c r="N243" s="75" t="n">
        <x:v>0.008965056904329687</x:v>
      </x:c>
      <x:c r="O243" s="75" t="n">
        <x:v>0.015024207551628933</x:v>
      </x:c>
      <x:c r="P243" s="75" t="n">
        <x:v>0.0006237636801324697</x:v>
      </x:c>
      <x:c r="Q243" s="75" t="n">
        <x:v>0.0019183119460803935</x:v>
      </x:c>
      <x:c r="R243" s="75" t="n">
        <x:v>0.3559924651827222</x:v>
      </x:c>
      <x:c r="S243" s="75" t="n">
        <x:v>0.013672643793572206</x:v>
      </x:c>
      <x:c r="T243" s="75" t="n">
        <x:v>0.006932274703591247</x:v>
      </x:c>
      <x:c r="U243" s="75" t="n">
        <x:v>0.009655248253198806</x:v>
      </x:c>
      <x:c r="V243" s="75" t="n">
        <x:v>0.02862912477221107</x:v>
      </x:c>
      <x:c r="W243" s="75" t="n">
        <x:v>0.013111250252249738</x:v>
      </x:c>
      <x:c r="X243" s="75" t="n">
        <x:v>0.023801193370497544</x:v>
      </x:c>
      <x:c r="Y243" s="75" t="n">
        <x:v>0.020039761062841284</x:v>
      </x:c>
      <x:c r="Z243" s="75" t="n">
        <x:v>0.00600412497043144</x:v>
      </x:c>
      <x:c r="AA243" s="75" t="n">
        <x:v>0.006406974560556701</x:v>
      </x:c>
      <x:c r="AB243" s="75" t="n">
        <x:v>0.006363889007765102</x:v>
      </x:c>
      <x:c r="AC243" s="75" t="n">
        <x:v>0.025120250939141258</x:v>
      </x:c>
      <x:c r="AD243" s="75" t="n">
        <x:v>0.10097958735012799</x:v>
      </x:c>
      <x:c r="AE243" s="75" t="n">
        <x:v>0.07157321436991333</x:v>
      </x:c>
      <x:c r="AF243" s="74" t="n">
        <x:v>7</x:v>
      </x:c>
    </x:row>
    <x:row r="244">
      <x:c r="A244" t="str">
        <x:v>2026 S1</x:v>
      </x:c>
      <x:c r="B244" t="str">
        <x:v>CNCT0061</x:v>
      </x:c>
      <x:c r="C244" s="74" t="n">
        <x:v>2353</x:v>
      </x:c>
      <x:c r="D244" s="74" t="n">
        <x:v>1206.166</x:v>
      </x:c>
      <x:c r="E244" s="75" t="n">
        <x:v>0.983416550568887</x:v>
      </x:c>
      <x:c r="F244" s="75" t="n">
        <x:v>0.19314351409830852</x:v>
      </x:c>
      <x:c r="G244" s="75" t="n">
        <x:v>0.013415952977979031</x:v>
      </x:c>
      <x:c r="H244" s="75" t="n">
        <x:v>0.012492740198737012</x:v>
      </x:c>
      <x:c r="I244" s="75" t="n">
        <x:v>0.009575719221673353</x:v>
      </x:c>
      <x:c r="J244" s="75" t="n">
        <x:v>0.013000486843287945</x:v>
      </x:c>
      <x:c r="K244" s="75" t="n">
        <x:v>0.01156632725993404</x:v>
      </x:c>
      <x:c r="L244" s="75" t="n">
        <x:v>0.0094229437088361</x:v>
      </x:c>
      <x:c r="M244" s="75" t="n">
        <x:v>0.00811614056696999</x:v>
      </x:c>
      <x:c r="N244" s="75" t="n">
        <x:v>0.008965056904329687</x:v>
      </x:c>
      <x:c r="O244" s="75" t="n">
        <x:v>0.016949042154170455</x:v>
      </x:c>
      <x:c r="P244" s="75" t="n">
        <x:v>0.0006237636801324697</x:v>
      </x:c>
      <x:c r="Q244" s="75" t="n">
        <x:v>0.0019183119460803935</x:v>
      </x:c>
      <x:c r="R244" s="75" t="n">
        <x:v>0.370360428182236</x:v>
      </x:c>
      <x:c r="S244" s="75" t="n">
        <x:v>0.013672643793572206</x:v>
      </x:c>
      <x:c r="T244" s="75" t="n">
        <x:v>0.006932274703591247</x:v>
      </x:c>
      <x:c r="U244" s="75" t="n">
        <x:v>0.009655248253198806</x:v>
      </x:c>
      <x:c r="V244" s="75" t="n">
        <x:v>0.02862912477221107</x:v>
      </x:c>
      <x:c r="W244" s="75" t="n">
        <x:v>0.012586800242159748</x:v>
      </x:c>
      <x:c r="X244" s="75" t="n">
        <x:v>0.02284914563567764</x:v>
      </x:c>
      <x:c r="Y244" s="75" t="n">
        <x:v>0.019238170620327632</x:v>
      </x:c>
      <x:c r="Z244" s="75" t="n">
        <x:v>0.005763959971614182</x:v>
      </x:c>
      <x:c r="AA244" s="75" t="n">
        <x:v>0.006150695578134433</x:v>
      </x:c>
      <x:c r="AB244" s="75" t="n">
        <x:v>0.006109333447454498</x:v>
      </x:c>
      <x:c r="AC244" s="75" t="n">
        <x:v>0.024115440901575608</x:v>
      </x:c>
      <x:c r="AD244" s="75" t="n">
        <x:v>0.09694040385612288</x:v>
      </x:c>
      <x:c r="AE244" s="75" t="n">
        <x:v>0.07157321436991333</x:v>
      </x:c>
      <x:c r="AF244" s="74" t="n">
        <x:v>7</x:v>
      </x:c>
    </x:row>
    <x:row r="245">
      <x:c r="A245" t="str">
        <x:v>2026 S2</x:v>
      </x:c>
      <x:c r="B245" t="str">
        <x:v>CNCT0061</x:v>
      </x:c>
      <x:c r="C245" s="74" t="n">
        <x:v>2375</x:v>
      </x:c>
      <x:c r="D245" s="74" t="n">
        <x:v>1205.808</x:v>
      </x:c>
      <x:c r="E245" s="75" t="n">
        <x:v>0.9749094838021265</x:v>
      </x:c>
      <x:c r="F245" s="75" t="n">
        <x:v>0.19459299710931371</x:v>
      </x:c>
      <x:c r="G245" s="75" t="n">
        <x:v>0.010011214158374058</x:v>
      </x:c>
      <x:c r="H245" s="75" t="n">
        <x:v>0.012492740198737012</x:v>
      </x:c>
      <x:c r="I245" s="75" t="n">
        <x:v>0.009575719221673353</x:v>
      </x:c>
      <x:c r="J245" s="75" t="n">
        <x:v>0.013000486843287945</x:v>
      </x:c>
      <x:c r="K245" s="75" t="n">
        <x:v>0.01156632725993404</x:v>
      </x:c>
      <x:c r="L245" s="75" t="n">
        <x:v>0.0094229437088361</x:v>
      </x:c>
      <x:c r="M245" s="75" t="n">
        <x:v>0.00811614056696999</x:v>
      </x:c>
      <x:c r="N245" s="75" t="n">
        <x:v>0.008965056904329687</x:v>
      </x:c>
      <x:c r="O245" s="75" t="n">
        <x:v>0.015024207551628933</x:v>
      </x:c>
      <x:c r="P245" s="75" t="n">
        <x:v>0.0006237636801324697</x:v>
      </x:c>
      <x:c r="Q245" s="75" t="n">
        <x:v>0.0019183119460803935</x:v>
      </x:c>
      <x:c r="R245" s="75" t="n">
        <x:v>0.3541739950906725</x:v>
      </x:c>
      <x:c r="S245" s="75" t="n">
        <x:v>0.013672643793572206</x:v>
      </x:c>
      <x:c r="T245" s="75" t="n">
        <x:v>0.006932274703591247</x:v>
      </x:c>
      <x:c r="U245" s="75" t="n">
        <x:v>0.009655248253198806</x:v>
      </x:c>
      <x:c r="V245" s="75" t="n">
        <x:v>0.02862912477221107</x:v>
      </x:c>
      <x:c r="W245" s="75" t="n">
        <x:v>0.013203029004015487</x:v>
      </x:c>
      <x:c r="X245" s="75" t="n">
        <x:v>0.023967801724091027</x:v>
      </x:c>
      <x:c r="Y245" s="75" t="n">
        <x:v>0.020180039390281176</x:v>
      </x:c>
      <x:c r="Z245" s="75" t="n">
        <x:v>0.00604615384522446</x:v>
      </x:c>
      <x:c r="AA245" s="75" t="n">
        <x:v>0.006451823382480598</x:v>
      </x:c>
      <x:c r="AB245" s="75" t="n">
        <x:v>0.006408436230819457</x:v>
      </x:c>
      <x:c r="AC245" s="75" t="n">
        <x:v>0.02529609269571525</x:v>
      </x:c>
      <x:c r="AD245" s="75" t="n">
        <x:v>0.10097958735012799</x:v>
      </x:c>
      <x:c r="AE245" s="75" t="n">
        <x:v>0.07157321436991333</x:v>
      </x:c>
      <x:c r="AF245" s="74" t="n">
        <x:v>7</x:v>
      </x:c>
    </x:row>
    <x:row r="246">
      <x:c r="A246" t="str">
        <x:v>2025 S1</x:v>
      </x:c>
      <x:c r="B246" t="str">
        <x:v>CNCT0062</x:v>
      </x:c>
      <x:c r="C246" s="74" t="n">
        <x:v>799</x:v>
      </x:c>
      <x:c r="D246" s="74" t="n">
        <x:v>884.116</x:v>
      </x:c>
      <x:c r="E246" s="75" t="n">
        <x:v>0.9685992715532192</x:v>
      </x:c>
      <x:c r="F246" s="75" t="n">
        <x:v>0.15838403656706213</x:v>
      </x:c>
      <x:c r="G246" s="75" t="n">
        <x:v>0.01362988812905678</x:v>
      </x:c>
      <x:c r="H246" s="75" t="n">
        <x:v>0.010326153551554399</x:v>
      </x:c>
      <x:c r="I246" s="75" t="n">
        <x:v>0.0067819929427041644</x:v>
      </x:c>
      <x:c r="J246" s="75" t="n">
        <x:v>0.017841468355123652</x:v>
      </x:c>
      <x:c r="K246" s="75" t="n">
        <x:v>0.01014491540864401</x:v>
      </x:c>
      <x:c r="L246" s="75" t="n">
        <x:v>0.010363448070886079</x:v>
      </x:c>
      <x:c r="M246" s="75" t="n">
        <x:v>0.008606357954638951</x:v>
      </x:c>
      <x:c r="N246" s="75" t="n">
        <x:v>0.006304657489847159</x:v>
      </x:c>
      <x:c r="O246" s="75" t="n">
        <x:v>0.009048539545052334</x:v>
      </x:c>
      <x:c r="P246" s="75" t="n">
        <x:v>0.0004969799606515152</x:v>
      </x:c>
      <x:c r="Q246" s="75" t="n">
        <x:v>0.006329333810303069</x:v>
      </x:c>
      <x:c r="R246" s="75" t="n">
        <x:v>0.38645377237630696</x:v>
      </x:c>
      <x:c r="S246" s="75" t="n">
        <x:v>0.016214134460473817</x:v>
      </x:c>
      <x:c r="T246" s="75" t="n">
        <x:v>0.005653957756643649</x:v>
      </x:c>
      <x:c r="U246" s="75" t="n">
        <x:v>0.008822716677706921</x:v>
      </x:c>
      <x:c r="V246" s="75" t="n">
        <x:v>0.03502058174082777</x:v>
      </x:c>
      <x:c r="W246" s="75" t="n">
        <x:v>0.01949790291358164</x:v>
      </x:c>
      <x:c r="X246" s="75" t="n">
        <x:v>0.0339560622803662</x:v>
      </x:c>
      <x:c r="Y246" s="75" t="n">
        <x:v>0.01800297220855489</x:v>
      </x:c>
      <x:c r="Z246" s="75" t="n">
        <x:v>0.006966636903330801</x:v>
      </x:c>
      <x:c r="AA246" s="75" t="n">
        <x:v>0.009024194172719144</x:v>
      </x:c>
      <x:c r="AB246" s="75" t="n">
        <x:v>0.006264628248413066</x:v>
      </x:c>
      <x:c r="AC246" s="75" t="n">
        <x:v>0.03818953579302295</x:v>
      </x:c>
      <x:c r="AD246" s="75" t="n">
        <x:v>0.11031591723392255</x:v>
      </x:c>
      <x:c r="AE246" s="75" t="n">
        <x:v>0.0956461459036509</x:v>
      </x:c>
      <x:c r="AF246" s="74" t="n">
        <x:v>5</x:v>
      </x:c>
    </x:row>
    <x:row r="247">
      <x:c r="A247" t="str">
        <x:v>2025 S2</x:v>
      </x:c>
      <x:c r="B247" t="str">
        <x:v>CNCT0062</x:v>
      </x:c>
      <x:c r="C247" s="74" t="n">
        <x:v>1192</x:v>
      </x:c>
      <x:c r="D247" s="74" t="n">
        <x:v>894.725</x:v>
      </x:c>
      <x:c r="E247" s="75" t="n">
        <x:v>0.9789171233805828</x:v>
      </x:c>
      <x:c r="F247" s="75" t="n">
        <x:v>0.15838403656706213</x:v>
      </x:c>
      <x:c r="G247" s="75" t="n">
        <x:v>0.01362988812905678</x:v>
      </x:c>
      <x:c r="H247" s="75" t="n">
        <x:v>0.010326153551554399</x:v>
      </x:c>
      <x:c r="I247" s="75" t="n">
        <x:v>0.0067819929427041644</x:v>
      </x:c>
      <x:c r="J247" s="75" t="n">
        <x:v>0.017841468355123652</x:v>
      </x:c>
      <x:c r="K247" s="75" t="n">
        <x:v>0.01014491540864401</x:v>
      </x:c>
      <x:c r="L247" s="75" t="n">
        <x:v>0.010363448070886079</x:v>
      </x:c>
      <x:c r="M247" s="75" t="n">
        <x:v>0.008606357954638951</x:v>
      </x:c>
      <x:c r="N247" s="75" t="n">
        <x:v>0.006304657489847159</x:v>
      </x:c>
      <x:c r="O247" s="75" t="n">
        <x:v>0.009048539545052334</x:v>
      </x:c>
      <x:c r="P247" s="75" t="n">
        <x:v>0.0004969799606515152</x:v>
      </x:c>
      <x:c r="Q247" s="75" t="n">
        <x:v>0.006329333810303069</x:v>
      </x:c>
      <x:c r="R247" s="75" t="n">
        <x:v>0.37875839846511716</x:v>
      </x:c>
      <x:c r="S247" s="75" t="n">
        <x:v>0.016214134460473817</x:v>
      </x:c>
      <x:c r="T247" s="75" t="n">
        <x:v>0.005653957756643649</x:v>
      </x:c>
      <x:c r="U247" s="75" t="n">
        <x:v>0.008822716677706921</x:v>
      </x:c>
      <x:c r="V247" s="75" t="n">
        <x:v>0.03502058174082777</x:v>
      </x:c>
      <x:c r="W247" s="75" t="n">
        <x:v>0.01444289104709751</x:v>
      </x:c>
      <x:c r="X247" s="75" t="n">
        <x:v>0.025152638726197184</x:v>
      </x:c>
      <x:c r="Y247" s="75" t="n">
        <x:v>0.013335534969299918</x:v>
      </x:c>
      <x:c r="Z247" s="75" t="n">
        <x:v>0.006966636903330801</x:v>
      </x:c>
      <x:c r="AA247" s="75" t="n">
        <x:v>0.009024194172719144</x:v>
      </x:c>
      <x:c r="AB247" s="75" t="n">
        <x:v>0.004640465369194863</x:v>
      </x:c>
      <x:c r="AC247" s="75" t="n">
        <x:v>0.02828854503186885</x:v>
      </x:c>
      <x:c r="AD247" s="75" t="n">
        <x:v>0.09849635467314512</x:v>
      </x:c>
      <x:c r="AE247" s="75" t="n">
        <x:v>0.0956461459036509</x:v>
      </x:c>
      <x:c r="AF247" s="74" t="n">
        <x:v>5</x:v>
      </x:c>
    </x:row>
    <x:row r="248">
      <x:c r="A248" t="str">
        <x:v>2026 S1</x:v>
      </x:c>
      <x:c r="B248" t="str">
        <x:v>CNCT0062</x:v>
      </x:c>
      <x:c r="C248" s="74" t="n">
        <x:v>1038</x:v>
      </x:c>
      <x:c r="D248" s="74" t="n">
        <x:v>918.136</x:v>
      </x:c>
      <x:c r="E248" s="75" t="n">
        <x:v>0.972100567378744</x:v>
      </x:c>
      <x:c r="F248" s="75" t="n">
        <x:v>0.15906630268989827</x:v>
      </x:c>
      <x:c r="G248" s="75" t="n">
        <x:v>0.012454032095280126</x:v>
      </x:c>
      <x:c r="H248" s="75" t="n">
        <x:v>0.010326153551554399</x:v>
      </x:c>
      <x:c r="I248" s="75" t="n">
        <x:v>0.0067819929427041644</x:v>
      </x:c>
      <x:c r="J248" s="75" t="n">
        <x:v>0.017841468355123652</x:v>
      </x:c>
      <x:c r="K248" s="75" t="n">
        <x:v>0.01014491540864401</x:v>
      </x:c>
      <x:c r="L248" s="75" t="n">
        <x:v>0.010363448070886079</x:v>
      </x:c>
      <x:c r="M248" s="75" t="n">
        <x:v>0.008606357954638951</x:v>
      </x:c>
      <x:c r="N248" s="75" t="n">
        <x:v>0.006304657489847159</x:v>
      </x:c>
      <x:c r="O248" s="75" t="n">
        <x:v>0.010510648464391124</x:v>
      </x:c>
      <x:c r="P248" s="75" t="n">
        <x:v>0.0004969799606515152</x:v>
      </x:c>
      <x:c r="Q248" s="75" t="n">
        <x:v>0.006329333810303069</x:v>
      </x:c>
      <x:c r="R248" s="75" t="n">
        <x:v>0.3859549884943613</x:v>
      </x:c>
      <x:c r="S248" s="75" t="n">
        <x:v>0.016214134460473817</x:v>
      </x:c>
      <x:c r="T248" s="75" t="n">
        <x:v>0.005653957756643649</x:v>
      </x:c>
      <x:c r="U248" s="75" t="n">
        <x:v>0.008822716677706921</x:v>
      </x:c>
      <x:c r="V248" s="75" t="n">
        <x:v>0.03502058174082777</x:v>
      </x:c>
      <x:c r="W248" s="75" t="n">
        <x:v>0.023991214192012056</x:v>
      </x:c>
      <x:c r="X248" s="75" t="n">
        <x:v>0.04178127088314244</x:v>
      </x:c>
      <x:c r="Y248" s="75" t="n">
        <x:v>0.022151775206933833</x:v>
      </x:c>
      <x:c r="Z248" s="75" t="n">
        <x:v>0.00857210536366768</x:v>
      </x:c>
      <x:c r="AA248" s="75" t="n">
        <x:v>0.011103828769052072</x:v>
      </x:c>
      <x:c r="AB248" s="75" t="n">
        <x:v>0.007708318110267929</x:v>
      </x:c>
      <x:c r="AC248" s="75" t="n">
        <x:v>0.04699035261200929</x:v>
      </x:c>
      <x:c r="AD248" s="75" t="n">
        <x:v>0.11031591723392255</x:v>
      </x:c>
      <x:c r="AE248" s="75" t="n">
        <x:v>0.0956461459036509</x:v>
      </x:c>
      <x:c r="AF248" s="74" t="n">
        <x:v>5</x:v>
      </x:c>
    </x:row>
    <x:row r="249">
      <x:c r="A249" t="str">
        <x:v>2026 S2</x:v>
      </x:c>
      <x:c r="B249" t="str">
        <x:v>CNCT0062</x:v>
      </x:c>
      <x:c r="C249" s="74" t="n">
        <x:v>1198</x:v>
      </x:c>
      <x:c r="D249" s="74" t="n">
        <x:v>911.266</x:v>
      </x:c>
      <x:c r="E249" s="75" t="n">
        <x:v>0.9789171233805828</x:v>
      </x:c>
      <x:c r="F249" s="75" t="n">
        <x:v>0.1532561474091344</x:v>
      </x:c>
      <x:c r="G249" s="75" t="n">
        <x:v>0.014661723004319355</x:v>
      </x:c>
      <x:c r="H249" s="75" t="n">
        <x:v>0.010326153551554399</x:v>
      </x:c>
      <x:c r="I249" s="75" t="n">
        <x:v>0.0067819929427041644</x:v>
      </x:c>
      <x:c r="J249" s="75" t="n">
        <x:v>0.017841468355123652</x:v>
      </x:c>
      <x:c r="K249" s="75" t="n">
        <x:v>0.01014491540864401</x:v>
      </x:c>
      <x:c r="L249" s="75" t="n">
        <x:v>0.010363448070886079</x:v>
      </x:c>
      <x:c r="M249" s="75" t="n">
        <x:v>0.008606357954638951</x:v>
      </x:c>
      <x:c r="N249" s="75" t="n">
        <x:v>0.006304657489847159</x:v>
      </x:c>
      <x:c r="O249" s="75" t="n">
        <x:v>0.009048539545052334</x:v>
      </x:c>
      <x:c r="P249" s="75" t="n">
        <x:v>0.0004969799606515152</x:v>
      </x:c>
      <x:c r="Q249" s="75" t="n">
        <x:v>0.006329333810303069</x:v>
      </x:c>
      <x:c r="R249" s="75" t="n">
        <x:v>0.37595226762456</x:v>
      </x:c>
      <x:c r="S249" s="75" t="n">
        <x:v>0.016214134460473817</x:v>
      </x:c>
      <x:c r="T249" s="75" t="n">
        <x:v>0.005653957756643649</x:v>
      </x:c>
      <x:c r="U249" s="75" t="n">
        <x:v>0.008822716677706921</x:v>
      </x:c>
      <x:c r="V249" s="75" t="n">
        <x:v>0.03502058174082777</x:v>
      </x:c>
      <x:c r="W249" s="75" t="n">
        <x:v>0.01530946450992336</x:v>
      </x:c>
      <x:c r="X249" s="75" t="n">
        <x:v>0.026661797049769016</x:v>
      </x:c>
      <x:c r="Y249" s="75" t="n">
        <x:v>0.014135667067457914</x:v>
      </x:c>
      <x:c r="Z249" s="75" t="n">
        <x:v>0.007384635117530649</x:v>
      </x:c>
      <x:c r="AA249" s="75" t="n">
        <x:v>0.009565645823082293</x:v>
      </x:c>
      <x:c r="AB249" s="75" t="n">
        <x:v>0.004918893291346555</x:v>
      </x:c>
      <x:c r="AC249" s="75" t="n">
        <x:v>0.02998585773378098</x:v>
      </x:c>
      <x:c r="AD249" s="75" t="n">
        <x:v>0.09849635467314512</x:v>
      </x:c>
      <x:c r="AE249" s="75" t="n">
        <x:v>0.0956461459036509</x:v>
      </x:c>
      <x:c r="AF249" s="74" t="n">
        <x:v>5</x:v>
      </x:c>
    </x:row>
    <x:row r="250">
      <x:c r="A250" t="str">
        <x:v>2025 S1</x:v>
      </x:c>
      <x:c r="B250" t="str">
        <x:v>CNCT0063</x:v>
      </x:c>
      <x:c r="C250" s="74" t="n">
        <x:v>1628</x:v>
      </x:c>
      <x:c r="D250" s="74" t="n">
        <x:v>908.208</x:v>
      </x:c>
      <x:c r="E250" s="75" t="n">
        <x:v>0.9760827137434971</x:v>
      </x:c>
      <x:c r="F250" s="75" t="n">
        <x:v>0.1646299263089895</x:v>
      </x:c>
      <x:c r="G250" s="75" t="n">
        <x:v>0.017131511182160466</x:v>
      </x:c>
      <x:c r="H250" s="75" t="n">
        <x:v>0.011802439565944952</x:v>
      </x:c>
      <x:c r="I250" s="75" t="n">
        <x:v>0.009800460084748466</x:v>
      </x:c>
      <x:c r="J250" s="75" t="n">
        <x:v>0.01736751366061799</x:v>
      </x:c>
      <x:c r="K250" s="75" t="n">
        <x:v>0.012761088663639383</x:v>
      </x:c>
      <x:c r="L250" s="75" t="n">
        <x:v>0.01347865544077649</x:v>
      </x:c>
      <x:c r="M250" s="75" t="n">
        <x:v>0.009218633426033193</x:v>
      </x:c>
      <x:c r="N250" s="75" t="n">
        <x:v>0.005566082474251744</x:v>
      </x:c>
      <x:c r="O250" s="75" t="n">
        <x:v>0.015410270955413578</x:v>
      </x:c>
      <x:c r="P250" s="75" t="n">
        <x:v>0.0015401705235854025</x:v>
      </x:c>
      <x:c r="Q250" s="75" t="n">
        <x:v>0.006674671652770485</x:v>
      </x:c>
      <x:c r="R250" s="75" t="n">
        <x:v>0.37835740664336354</x:v>
      </x:c>
      <x:c r="S250" s="75" t="n">
        <x:v>0.012658640238805674</x:v>
      </x:c>
      <x:c r="T250" s="75" t="n">
        <x:v>0.005261237078040722</x:v>
      </x:c>
      <x:c r="U250" s="75" t="n">
        <x:v>0.006958347060499363</x:v>
      </x:c>
      <x:c r="V250" s="75" t="n">
        <x:v>0.030830142377220912</x:v>
      </x:c>
      <x:c r="W250" s="75" t="n">
        <x:v>0.01150380160101631</x:v>
      </x:c>
      <x:c r="X250" s="75" t="n">
        <x:v>0.02028108765034878</x:v>
      </x:c>
      <x:c r="Y250" s="75" t="n">
        <x:v>0.020881857307306493</x:v>
      </x:c>
      <x:c r="Z250" s="75" t="n">
        <x:v>0.005492082490259782</x:v>
      </x:c>
      <x:c r="AA250" s="75" t="n">
        <x:v>0.005827305360903774</x:v>
      </x:c>
      <x:c r="AB250" s="75" t="n">
        <x:v>0.006755255415345891</x:v>
      </x:c>
      <x:c r="AC250" s="75" t="n">
        <x:v>0.021499918507409163</x:v>
      </x:c>
      <x:c r="AD250" s="75" t="n">
        <x:v>0.11442453265946825</x:v>
      </x:c>
      <x:c r="AE250" s="75" t="n">
        <x:v>0.09263149547597277</x:v>
      </x:c>
      <x:c r="AF250" s="74" t="n">
        <x:v>9</x:v>
      </x:c>
    </x:row>
    <x:row r="251">
      <x:c r="A251" t="str">
        <x:v>2025 S2</x:v>
      </x:c>
      <x:c r="B251" t="str">
        <x:v>CNCT0063</x:v>
      </x:c>
      <x:c r="C251" s="74" t="n">
        <x:v>1745</x:v>
      </x:c>
      <x:c r="D251" s="74" t="n">
        <x:v>919.107</x:v>
      </x:c>
      <x:c r="E251" s="75" t="n">
        <x:v>0.9844925135784433</x:v>
      </x:c>
      <x:c r="F251" s="75" t="n">
        <x:v>0.1646299263089895</x:v>
      </x:c>
      <x:c r="G251" s="75" t="n">
        <x:v>0.017131511182160466</x:v>
      </x:c>
      <x:c r="H251" s="75" t="n">
        <x:v>0.011802439565944952</x:v>
      </x:c>
      <x:c r="I251" s="75" t="n">
        <x:v>0.009800460084748466</x:v>
      </x:c>
      <x:c r="J251" s="75" t="n">
        <x:v>0.01736751366061799</x:v>
      </x:c>
      <x:c r="K251" s="75" t="n">
        <x:v>0.012761088663639383</x:v>
      </x:c>
      <x:c r="L251" s="75" t="n">
        <x:v>0.01347865544077649</x:v>
      </x:c>
      <x:c r="M251" s="75" t="n">
        <x:v>0.009218633426033193</x:v>
      </x:c>
      <x:c r="N251" s="75" t="n">
        <x:v>0.005566082474251744</x:v>
      </x:c>
      <x:c r="O251" s="75" t="n">
        <x:v>0.015410270955413578</x:v>
      </x:c>
      <x:c r="P251" s="75" t="n">
        <x:v>0.0015401705235854025</x:v>
      </x:c>
      <x:c r="Q251" s="75" t="n">
        <x:v>0.006674671652770485</x:v>
      </x:c>
      <x:c r="R251" s="75" t="n">
        <x:v>0.374563881513626</x:v>
      </x:c>
      <x:c r="S251" s="75" t="n">
        <x:v>0.012658640238805674</x:v>
      </x:c>
      <x:c r="T251" s="75" t="n">
        <x:v>0.005261237078040722</x:v>
      </x:c>
      <x:c r="U251" s="75" t="n">
        <x:v>0.006958347060499363</x:v>
      </x:c>
      <x:c r="V251" s="75" t="n">
        <x:v>0.030830142377220912</x:v>
      </x:c>
      <x:c r="W251" s="75" t="n">
        <x:v>0.01150380160101631</x:v>
      </x:c>
      <x:c r="X251" s="75" t="n">
        <x:v>0.02028108765034878</x:v>
      </x:c>
      <x:c r="Y251" s="75" t="n">
        <x:v>0.020881857307306493</x:v>
      </x:c>
      <x:c r="Z251" s="75" t="n">
        <x:v>0.005492082490259782</x:v>
      </x:c>
      <x:c r="AA251" s="75" t="n">
        <x:v>0.005827305360903774</x:v>
      </x:c>
      <x:c r="AB251" s="75" t="n">
        <x:v>0.006755255415345891</x:v>
      </x:c>
      <x:c r="AC251" s="75" t="n">
        <x:v>0.021499918507409163</x:v>
      </x:c>
      <x:c r="AD251" s="75" t="n">
        <x:v>0.11442453265946825</x:v>
      </x:c>
      <x:c r="AE251" s="75" t="n">
        <x:v>0.09263149547597277</x:v>
      </x:c>
      <x:c r="AF251" s="74" t="n">
        <x:v>9</x:v>
      </x:c>
    </x:row>
    <x:row r="252">
      <x:c r="A252" t="str">
        <x:v>2026 S1</x:v>
      </x:c>
      <x:c r="B252" t="str">
        <x:v>CNCT0063</x:v>
      </x:c>
      <x:c r="C252" s="74" t="n">
        <x:v>1640</x:v>
      </x:c>
      <x:c r="D252" s="74" t="n">
        <x:v>941.362</x:v>
      </x:c>
      <x:c r="E252" s="75" t="n">
        <x:v>0.9766870408111425</x:v>
      </x:c>
      <x:c r="F252" s="75" t="n">
        <x:v>0.16285122921623404</x:v>
      </x:c>
      <x:c r="G252" s="75" t="n">
        <x:v>0.018318499335713567</x:v>
      </x:c>
      <x:c r="H252" s="75" t="n">
        <x:v>0.011802439565944952</x:v>
      </x:c>
      <x:c r="I252" s="75" t="n">
        <x:v>0.009800460084748466</x:v>
      </x:c>
      <x:c r="J252" s="75" t="n">
        <x:v>0.01736751366061799</x:v>
      </x:c>
      <x:c r="K252" s="75" t="n">
        <x:v>0.012761088663639383</x:v>
      </x:c>
      <x:c r="L252" s="75" t="n">
        <x:v>0.01347865544077649</x:v>
      </x:c>
      <x:c r="M252" s="75" t="n">
        <x:v>0.009218633426033193</x:v>
      </x:c>
      <x:c r="N252" s="75" t="n">
        <x:v>0.005566082474251744</x:v>
      </x:c>
      <x:c r="O252" s="75" t="n">
        <x:v>0.014711684465815777</x:v>
      </x:c>
      <x:c r="P252" s="75" t="n">
        <x:v>0.0015401705235854025</x:v>
      </x:c>
      <x:c r="Q252" s="75" t="n">
        <x:v>0.006674671652770485</x:v>
      </x:c>
      <x:c r="R252" s="75" t="n">
        <x:v>0.37756513225221866</x:v>
      </x:c>
      <x:c r="S252" s="75" t="n">
        <x:v>0.012658640238805674</x:v>
      </x:c>
      <x:c r="T252" s="75" t="n">
        <x:v>0.005261237078040722</x:v>
      </x:c>
      <x:c r="U252" s="75" t="n">
        <x:v>0.006958347060499363</x:v>
      </x:c>
      <x:c r="V252" s="75" t="n">
        <x:v>0.030830142377220912</x:v>
      </x:c>
      <x:c r="W252" s="75" t="n">
        <x:v>0.01415486421568687</x:v>
      </x:c>
      <x:c r="X252" s="75" t="n">
        <x:v>0.024954884636724694</x:v>
      </x:c>
      <x:c r="Y252" s="75" t="n">
        <x:v>0.02569410226356467</x:v>
      </x:c>
      <x:c r="Z252" s="75" t="n">
        <x:v>0.006757738407459205</x:v>
      </x:c>
      <x:c r="AA252" s="75" t="n">
        <x:v>0.007170213724795978</x:v>
      </x:c>
      <x:c r="AB252" s="75" t="n">
        <x:v>0.008312010799808728</x:v>
      </x:c>
      <x:c r="AC252" s="75" t="n">
        <x:v>0.026454596287006873</x:v>
      </x:c>
      <x:c r="AD252" s="75" t="n">
        <x:v>0.11442453265946825</x:v>
      </x:c>
      <x:c r="AE252" s="75" t="n">
        <x:v>0.09263149547597277</x:v>
      </x:c>
      <x:c r="AF252" s="74" t="n">
        <x:v>9</x:v>
      </x:c>
    </x:row>
    <x:row r="253">
      <x:c r="A253" t="str">
        <x:v>2026 S2</x:v>
      </x:c>
      <x:c r="B253" t="str">
        <x:v>CNCT0063</x:v>
      </x:c>
      <x:c r="C253" s="74" t="n">
        <x:v>1793</x:v>
      </x:c>
      <x:c r="D253" s="74" t="n">
        <x:v>953.423</x:v>
      </x:c>
      <x:c r="E253" s="75" t="n">
        <x:v>0.9844925135784433</x:v>
      </x:c>
      <x:c r="F253" s="75" t="n">
        <x:v>0.1590498349700283</x:v>
      </x:c>
      <x:c r="G253" s="75" t="n">
        <x:v>0.016129662754552555</x:v>
      </x:c>
      <x:c r="H253" s="75" t="n">
        <x:v>0.011802439565944952</x:v>
      </x:c>
      <x:c r="I253" s="75" t="n">
        <x:v>0.009800460084748466</x:v>
      </x:c>
      <x:c r="J253" s="75" t="n">
        <x:v>0.01736751366061799</x:v>
      </x:c>
      <x:c r="K253" s="75" t="n">
        <x:v>0.012761088663639383</x:v>
      </x:c>
      <x:c r="L253" s="75" t="n">
        <x:v>0.01347865544077649</x:v>
      </x:c>
      <x:c r="M253" s="75" t="n">
        <x:v>0.009218633426033193</x:v>
      </x:c>
      <x:c r="N253" s="75" t="n">
        <x:v>0.005566082474251744</x:v>
      </x:c>
      <x:c r="O253" s="75" t="n">
        <x:v>0.015410270955413578</x:v>
      </x:c>
      <x:c r="P253" s="75" t="n">
        <x:v>0.0015401705235854025</x:v>
      </x:c>
      <x:c r="Q253" s="75" t="n">
        <x:v>0.006674671652770485</x:v>
      </x:c>
      <x:c r="R253" s="75" t="n">
        <x:v>0.3780370867908914</x:v>
      </x:c>
      <x:c r="S253" s="75" t="n">
        <x:v>0.012658640238805674</x:v>
      </x:c>
      <x:c r="T253" s="75" t="n">
        <x:v>0.005261237078040722</x:v>
      </x:c>
      <x:c r="U253" s="75" t="n">
        <x:v>0.006958347060499363</x:v>
      </x:c>
      <x:c r="V253" s="75" t="n">
        <x:v>0.030830142377220912</x:v>
      </x:c>
      <x:c r="W253" s="75" t="n">
        <x:v>0.01219402969707729</x:v>
      </x:c>
      <x:c r="X253" s="75" t="n">
        <x:v>0.02149795290936971</x:v>
      </x:c>
      <x:c r="Y253" s="75" t="n">
        <x:v>0.022134768745744885</x:v>
      </x:c>
      <x:c r="Z253" s="75" t="n">
        <x:v>0.005821607439675369</x:v>
      </x:c>
      <x:c r="AA253" s="75" t="n">
        <x:v>0.006176943682558001</x:v>
      </x:c>
      <x:c r="AB253" s="75" t="n">
        <x:v>0.0071605707402666455</x:v>
      </x:c>
      <x:c r="AC253" s="75" t="n">
        <x:v>0.022789913617853715</x:v>
      </x:c>
      <x:c r="AD253" s="75" t="n">
        <x:v>0.11442453265946825</x:v>
      </x:c>
      <x:c r="AE253" s="75" t="n">
        <x:v>0.09263149547597277</x:v>
      </x:c>
      <x:c r="AF253" s="74" t="n">
        <x:v>9</x:v>
      </x:c>
    </x:row>
    <x:row r="254">
      <x:c r="A254" t="str">
        <x:v>2025 S1</x:v>
      </x:c>
      <x:c r="B254" t="str">
        <x:v>CNCT0064</x:v>
      </x:c>
      <x:c r="C254" s="74" t="n">
        <x:v>2172</x:v>
      </x:c>
      <x:c r="D254" s="74" t="n">
        <x:v>1242.603</x:v>
      </x:c>
      <x:c r="E254" s="75" t="n">
        <x:v>0.9811225545983762</x:v>
      </x:c>
      <x:c r="F254" s="75" t="n">
        <x:v>0.2167354640578851</x:v>
      </x:c>
      <x:c r="G254" s="75" t="n">
        <x:v>0.017884181565837935</x:v>
      </x:c>
      <x:c r="H254" s="75" t="n">
        <x:v>0.01169388991221058</x:v>
      </x:c>
      <x:c r="I254" s="75" t="n">
        <x:v>0.007128977234813647</x:v>
      </x:c>
      <x:c r="J254" s="75" t="n">
        <x:v>0.016397245446845773</x:v>
      </x:c>
      <x:c r="K254" s="75" t="n">
        <x:v>0.008146571658759056</x:v>
      </x:c>
      <x:c r="L254" s="75" t="n">
        <x:v>0.010720713699898623</x:v>
      </x:c>
      <x:c r="M254" s="75" t="n">
        <x:v>0.00820378146220537</x:v>
      </x:c>
      <x:c r="N254" s="75" t="n">
        <x:v>0.008624660303525161</x:v>
      </x:c>
      <x:c r="O254" s="75" t="n">
        <x:v>0.008468690665627946</x:v>
      </x:c>
      <x:c r="P254" s="75" t="n">
        <x:v>0.0024662294658628525</x:v>
      </x:c>
      <x:c r="Q254" s="75" t="n">
        <x:v>0.006482554374146275</x:v>
      </x:c>
      <x:c r="R254" s="75" t="n">
        <x:v>0.3508525046780772</x:v>
      </x:c>
      <x:c r="S254" s="75" t="n">
        <x:v>0.012757269738285686</x:v>
      </x:c>
      <x:c r="T254" s="75" t="n">
        <x:v>0.006913466953774332</x:v>
      </x:c>
      <x:c r="U254" s="75" t="n">
        <x:v>0.009812263866871944</x:v>
      </x:c>
      <x:c r="V254" s="75" t="n">
        <x:v>0.03514055552095488</x:v>
      </x:c>
      <x:c r="W254" s="75" t="n">
        <x:v>0.012614404332416599</x:v>
      </x:c>
      <x:c r="X254" s="75" t="n">
        <x:v>0.019164643812575377</x:v>
      </x:c>
      <x:c r="Y254" s="75" t="n">
        <x:v>0.01576862875709776</x:v>
      </x:c>
      <x:c r="Z254" s="75" t="n">
        <x:v>0.006281446094115382</x:v>
      </x:c>
      <x:c r="AA254" s="75" t="n">
        <x:v>0.007059972386421577</x:v>
      </x:c>
      <x:c r="AB254" s="75" t="n">
        <x:v>0.0063188816180136205</x:v>
      </x:c>
      <x:c r="AC254" s="75" t="n">
        <x:v>0.021494212889629122</x:v>
      </x:c>
      <x:c r="AD254" s="75" t="n">
        <x:v>0.10026844798699312</x:v>
      </x:c>
      <x:c r="AE254" s="75" t="n">
        <x:v>0.06244424229927245</x:v>
      </x:c>
      <x:c r="AF254" s="74" t="n">
        <x:v>10</x:v>
      </x:c>
    </x:row>
    <x:row r="255">
      <x:c r="A255" t="str">
        <x:v>2025 S2</x:v>
      </x:c>
      <x:c r="B255" t="str">
        <x:v>CNCT0064</x:v>
      </x:c>
      <x:c r="C255" s="74" t="n">
        <x:v>2339</x:v>
      </x:c>
      <x:c r="D255" s="74" t="n">
        <x:v>1257.514</x:v>
      </x:c>
      <x:c r="E255" s="75" t="n">
        <x:v>0.9770601035606814</x:v>
      </x:c>
      <x:c r="F255" s="75" t="n">
        <x:v>0.2167354640578851</x:v>
      </x:c>
      <x:c r="G255" s="75" t="n">
        <x:v>0.017884181565837935</x:v>
      </x:c>
      <x:c r="H255" s="75" t="n">
        <x:v>0.01169388991221058</x:v>
      </x:c>
      <x:c r="I255" s="75" t="n">
        <x:v>0.007128977234813647</x:v>
      </x:c>
      <x:c r="J255" s="75" t="n">
        <x:v>0.016397245446845773</x:v>
      </x:c>
      <x:c r="K255" s="75" t="n">
        <x:v>0.008146571658759056</x:v>
      </x:c>
      <x:c r="L255" s="75" t="n">
        <x:v>0.010720713699898623</x:v>
      </x:c>
      <x:c r="M255" s="75" t="n">
        <x:v>0.00820378146220537</x:v>
      </x:c>
      <x:c r="N255" s="75" t="n">
        <x:v>0.008624660303525161</x:v>
      </x:c>
      <x:c r="O255" s="75" t="n">
        <x:v>0.008468690665627946</x:v>
      </x:c>
      <x:c r="P255" s="75" t="n">
        <x:v>0.0024662294658628525</x:v>
      </x:c>
      <x:c r="Q255" s="75" t="n">
        <x:v>0.006482554374146275</x:v>
      </x:c>
      <x:c r="R255" s="75" t="n">
        <x:v>0.33542772181852615</x:v>
      </x:c>
      <x:c r="S255" s="75" t="n">
        <x:v>0.012757269738285686</x:v>
      </x:c>
      <x:c r="T255" s="75" t="n">
        <x:v>0.006913466953774332</x:v>
      </x:c>
      <x:c r="U255" s="75" t="n">
        <x:v>0.009812263866871944</x:v>
      </x:c>
      <x:c r="V255" s="75" t="n">
        <x:v>0.03514055552095488</x:v>
      </x:c>
      <x:c r="W255" s="75" t="n">
        <x:v>0.012614404332416599</x:v>
      </x:c>
      <x:c r="X255" s="75" t="n">
        <x:v>0.019164643812575377</x:v>
      </x:c>
      <x:c r="Y255" s="75" t="n">
        <x:v>0.01576862875709776</x:v>
      </x:c>
      <x:c r="Z255" s="75" t="n">
        <x:v>0.006281446094115382</x:v>
      </x:c>
      <x:c r="AA255" s="75" t="n">
        <x:v>0.007059972386421577</x:v>
      </x:c>
      <x:c r="AB255" s="75" t="n">
        <x:v>0.0063188816180136205</x:v>
      </x:c>
      <x:c r="AC255" s="75" t="n">
        <x:v>0.021494212889629122</x:v>
      </x:c>
      <x:c r="AD255" s="75" t="n">
        <x:v>0.10026844798699312</x:v>
      </x:c>
      <x:c r="AE255" s="75" t="n">
        <x:v>0.07097833202278539</x:v>
      </x:c>
      <x:c r="AF255" s="74" t="n">
        <x:v>10</x:v>
      </x:c>
    </x:row>
    <x:row r="256">
      <x:c r="A256" t="str">
        <x:v>2026 S1</x:v>
      </x:c>
      <x:c r="B256" t="str">
        <x:v>CNCT0064</x:v>
      </x:c>
      <x:c r="C256" s="74" t="n">
        <x:v>2225</x:v>
      </x:c>
      <x:c r="D256" s="74" t="n">
        <x:v>1305.088</x:v>
      </x:c>
      <x:c r="E256" s="75" t="n">
        <x:v>0.9807352848781302</x:v>
      </x:c>
      <x:c r="F256" s="75" t="n">
        <x:v>0.21523114197229734</x:v>
      </x:c>
      <x:c r="G256" s="75" t="n">
        <x:v>0.017735085063584847</x:v>
      </x:c>
      <x:c r="H256" s="75" t="n">
        <x:v>0.01169388991221058</x:v>
      </x:c>
      <x:c r="I256" s="75" t="n">
        <x:v>0.007128977234813647</x:v>
      </x:c>
      <x:c r="J256" s="75" t="n">
        <x:v>0.016397245446845773</x:v>
      </x:c>
      <x:c r="K256" s="75" t="n">
        <x:v>0.008146571658759056</x:v>
      </x:c>
      <x:c r="L256" s="75" t="n">
        <x:v>0.010720713699898623</x:v>
      </x:c>
      <x:c r="M256" s="75" t="n">
        <x:v>0.00820378146220537</x:v>
      </x:c>
      <x:c r="N256" s="75" t="n">
        <x:v>0.008624660303525161</x:v>
      </x:c>
      <x:c r="O256" s="75" t="n">
        <x:v>0.007406093802288524</x:v>
      </x:c>
      <x:c r="P256" s="75" t="n">
        <x:v>0.0024662294658628525</x:v>
      </x:c>
      <x:c r="Q256" s="75" t="n">
        <x:v>0.006482554374146275</x:v>
      </x:c>
      <x:c r="R256" s="75" t="n">
        <x:v>0.35376823391579837</x:v>
      </x:c>
      <x:c r="S256" s="75" t="n">
        <x:v>0.012757269738285686</x:v>
      </x:c>
      <x:c r="T256" s="75" t="n">
        <x:v>0.006913466953774332</x:v>
      </x:c>
      <x:c r="U256" s="75" t="n">
        <x:v>0.009812263866871944</x:v>
      </x:c>
      <x:c r="V256" s="75" t="n">
        <x:v>0.03514055552095488</x:v>
      </x:c>
      <x:c r="W256" s="75" t="n">
        <x:v>0.015521406460222207</x:v>
      </x:c>
      <x:c r="X256" s="75" t="n">
        <x:v>0.023581155196995246</x:v>
      </x:c>
      <x:c r="Y256" s="75" t="n">
        <x:v>0.019402525066546262</x:v>
      </x:c>
      <x:c r="Z256" s="75" t="n">
        <x:v>0.007729011645376847</x:v>
      </x:c>
      <x:c r="AA256" s="75" t="n">
        <x:v>0.008686950102431146</x:v>
      </x:c>
      <x:c r="AB256" s="75" t="n">
        <x:v>0.007775074223296815</x:v>
      </x:c>
      <x:c r="AC256" s="75" t="n">
        <x:v>0.026447575803887978</x:v>
      </x:c>
      <x:c r="AD256" s="75" t="n">
        <x:v>0.10026844798699312</x:v>
      </x:c>
      <x:c r="AE256" s="75" t="n">
        <x:v>0.06244424229927245</x:v>
      </x:c>
      <x:c r="AF256" s="74" t="n">
        <x:v>10</x:v>
      </x:c>
    </x:row>
    <x:row r="257">
      <x:c r="A257" t="str">
        <x:v>2026 S2</x:v>
      </x:c>
      <x:c r="B257" t="str">
        <x:v>CNCT0064</x:v>
      </x:c>
      <x:c r="C257" s="74" t="n">
        <x:v>2471</x:v>
      </x:c>
      <x:c r="D257" s="74" t="n">
        <x:v>1281.145</x:v>
      </x:c>
      <x:c r="E257" s="75" t="n">
        <x:v>0.9770601035606814</x:v>
      </x:c>
      <x:c r="F257" s="75" t="n">
        <x:v>0.21065302439480865</x:v>
      </x:c>
      <x:c r="G257" s="75" t="n">
        <x:v>0.0188046808684594</x:v>
      </x:c>
      <x:c r="H257" s="75" t="n">
        <x:v>0.01169388991221058</x:v>
      </x:c>
      <x:c r="I257" s="75" t="n">
        <x:v>0.007128977234813647</x:v>
      </x:c>
      <x:c r="J257" s="75" t="n">
        <x:v>0.016397245446845773</x:v>
      </x:c>
      <x:c r="K257" s="75" t="n">
        <x:v>0.008146571658759056</x:v>
      </x:c>
      <x:c r="L257" s="75" t="n">
        <x:v>0.010720713699898623</x:v>
      </x:c>
      <x:c r="M257" s="75" t="n">
        <x:v>0.00820378146220537</x:v>
      </x:c>
      <x:c r="N257" s="75" t="n">
        <x:v>0.008624660303525161</x:v>
      </x:c>
      <x:c r="O257" s="75" t="n">
        <x:v>0.008468690665627946</x:v>
      </x:c>
      <x:c r="P257" s="75" t="n">
        <x:v>0.0024662294658628525</x:v>
      </x:c>
      <x:c r="Q257" s="75" t="n">
        <x:v>0.006482554374146275</x:v>
      </x:c>
      <x:c r="R257" s="75" t="n">
        <x:v>0.33998238380297363</x:v>
      </x:c>
      <x:c r="S257" s="75" t="n">
        <x:v>0.012757269738285686</x:v>
      </x:c>
      <x:c r="T257" s="75" t="n">
        <x:v>0.006913466953774332</x:v>
      </x:c>
      <x:c r="U257" s="75" t="n">
        <x:v>0.009812263866871944</x:v>
      </x:c>
      <x:c r="V257" s="75" t="n">
        <x:v>0.03514055552095488</x:v>
      </x:c>
      <x:c r="W257" s="75" t="n">
        <x:v>0.013371268592361596</x:v>
      </x:c>
      <x:c r="X257" s="75" t="n">
        <x:v>0.0203145224413299</x:v>
      </x:c>
      <x:c r="Y257" s="75" t="n">
        <x:v>0.016714746482523624</x:v>
      </x:c>
      <x:c r="Z257" s="75" t="n">
        <x:v>0.006658332859762305</x:v>
      </x:c>
      <x:c r="AA257" s="75" t="n">
        <x:v>0.0074835707296068725</x:v>
      </x:c>
      <x:c r="AB257" s="75" t="n">
        <x:v>0.006698014515094438</x:v>
      </x:c>
      <x:c r="AC257" s="75" t="n">
        <x:v>0.022783865663006872</x:v>
      </x:c>
      <x:c r="AD257" s="75" t="n">
        <x:v>0.10026844798699312</x:v>
      </x:c>
      <x:c r="AE257" s="75" t="n">
        <x:v>0.07097833202278539</x:v>
      </x:c>
      <x:c r="AF257" s="74" t="n">
        <x:v>10</x:v>
      </x:c>
    </x:row>
    <x:row r="258">
      <x:c r="A258" t="str">
        <x:v>2025 S1</x:v>
      </x:c>
      <x:c r="B258" t="str">
        <x:v>CNCT0065</x:v>
      </x:c>
      <x:c r="C258" s="74" t="n">
        <x:v>1786</x:v>
      </x:c>
      <x:c r="D258" s="74" t="n">
        <x:v>1136.93</x:v>
      </x:c>
      <x:c r="E258" s="75" t="n">
        <x:v>0.9663586105722933</x:v>
      </x:c>
      <x:c r="F258" s="75" t="n">
        <x:v>0.1900195002341643</x:v>
      </x:c>
      <x:c r="G258" s="75" t="n">
        <x:v>0.018869925367471296</x:v>
      </x:c>
      <x:c r="H258" s="75" t="n">
        <x:v>0.008605678297273699</x:v>
      </x:c>
      <x:c r="I258" s="75" t="n">
        <x:v>0.005835652803587436</x:v>
      </x:c>
      <x:c r="J258" s="75" t="n">
        <x:v>0.015434009645279731</x:v>
      </x:c>
      <x:c r="K258" s="75" t="n">
        <x:v>0.013281218166866893</x:v>
      </x:c>
      <x:c r="L258" s="75" t="n">
        <x:v>0.009381489932854833</x:v>
      </x:c>
      <x:c r="M258" s="75" t="n">
        <x:v>0.008504809483300051</x:v>
      </x:c>
      <x:c r="N258" s="75" t="n">
        <x:v>0.0072133850537211405</x:v>
      </x:c>
      <x:c r="O258" s="75" t="n">
        <x:v>0.009915628236209157</x:v>
      </x:c>
      <x:c r="P258" s="75" t="n">
        <x:v>0.001371892467905127</x:v>
      </x:c>
      <x:c r="Q258" s="75" t="n">
        <x:v>0.002832814048670116</x:v>
      </x:c>
      <x:c r="R258" s="75" t="n">
        <x:v>0.3810511234429779</x:v>
      </x:c>
      <x:c r="S258" s="75" t="n">
        <x:v>0.011967734692749218</x:v>
      </x:c>
      <x:c r="T258" s="75" t="n">
        <x:v>0.00688026158453431</x:v>
      </x:c>
      <x:c r="U258" s="75" t="n">
        <x:v>0.0071786243545648165</x:v>
      </x:c>
      <x:c r="V258" s="75" t="n">
        <x:v>0.03181358979342622</x:v>
      </x:c>
      <x:c r="W258" s="75" t="n">
        <x:v>0.013991475686387277</x:v>
      </x:c>
      <x:c r="X258" s="75" t="n">
        <x:v>0.02679911537695443</x:v>
      </x:c>
      <x:c r="Y258" s="75" t="n">
        <x:v>0.015034920991107356</x:v>
      </x:c>
      <x:c r="Z258" s="75" t="n">
        <x:v>0.004683956459834007</x:v>
      </x:c>
      <x:c r="AA258" s="75" t="n">
        <x:v>0.005020248349683243</x:v>
      </x:c>
      <x:c r="AB258" s="75" t="n">
        <x:v>0.006891247138890322</x:v>
      </x:c>
      <x:c r="AC258" s="75" t="n">
        <x:v>0.022294272511328015</x:v>
      </x:c>
      <x:c r="AD258" s="75" t="n">
        <x:v>0.0900794974665223</x:v>
      </x:c>
      <x:c r="AE258" s="75" t="n">
        <x:v>0.08000637613741855</x:v>
      </x:c>
      <x:c r="AF258" s="74" t="n">
        <x:v>9</x:v>
      </x:c>
    </x:row>
    <x:row r="259">
      <x:c r="A259" t="str">
        <x:v>2025 S2</x:v>
      </x:c>
      <x:c r="B259" t="str">
        <x:v>CNCT0065</x:v>
      </x:c>
      <x:c r="C259" s="74" t="n">
        <x:v>1932</x:v>
      </x:c>
      <x:c r="D259" s="74" t="n">
        <x:v>1150.573</x:v>
      </x:c>
      <x:c r="E259" s="75" t="n">
        <x:v>0.9657771331187687</x:v>
      </x:c>
      <x:c r="F259" s="75" t="n">
        <x:v>0.1900195002341643</x:v>
      </x:c>
      <x:c r="G259" s="75" t="n">
        <x:v>0.018869925367471296</x:v>
      </x:c>
      <x:c r="H259" s="75" t="n">
        <x:v>0.008605678297273699</x:v>
      </x:c>
      <x:c r="I259" s="75" t="n">
        <x:v>0.005835652803587436</x:v>
      </x:c>
      <x:c r="J259" s="75" t="n">
        <x:v>0.015434009645279731</x:v>
      </x:c>
      <x:c r="K259" s="75" t="n">
        <x:v>0.013281218166866893</x:v>
      </x:c>
      <x:c r="L259" s="75" t="n">
        <x:v>0.009381489932854833</x:v>
      </x:c>
      <x:c r="M259" s="75" t="n">
        <x:v>0.008504809483300051</x:v>
      </x:c>
      <x:c r="N259" s="75" t="n">
        <x:v>0.0072133850537211405</x:v>
      </x:c>
      <x:c r="O259" s="75" t="n">
        <x:v>0.009915628236209157</x:v>
      </x:c>
      <x:c r="P259" s="75" t="n">
        <x:v>0.001371892467905127</x:v>
      </x:c>
      <x:c r="Q259" s="75" t="n">
        <x:v>0.002832814048670116</x:v>
      </x:c>
      <x:c r="R259" s="75" t="n">
        <x:v>0.35705524272649064</x:v>
      </x:c>
      <x:c r="S259" s="75" t="n">
        <x:v>0.011967734692749218</x:v>
      </x:c>
      <x:c r="T259" s="75" t="n">
        <x:v>0.00688026158453431</x:v>
      </x:c>
      <x:c r="U259" s="75" t="n">
        <x:v>0.0071786243545648165</x:v>
      </x:c>
      <x:c r="V259" s="75" t="n">
        <x:v>0.03181358979342622</x:v>
      </x:c>
      <x:c r="W259" s="75" t="n">
        <x:v>0.013991475686387277</x:v>
      </x:c>
      <x:c r="X259" s="75" t="n">
        <x:v>0.02679911537695443</x:v>
      </x:c>
      <x:c r="Y259" s="75" t="n">
        <x:v>0.015034920991107356</x:v>
      </x:c>
      <x:c r="Z259" s="75" t="n">
        <x:v>0.004683956459834007</x:v>
      </x:c>
      <x:c r="AA259" s="75" t="n">
        <x:v>0.005020248349683243</x:v>
      </x:c>
      <x:c r="AB259" s="75" t="n">
        <x:v>0.006891247138890322</x:v>
      </x:c>
      <x:c r="AC259" s="75" t="n">
        <x:v>0.022294272511328015</x:v>
      </x:c>
      <x:c r="AD259" s="75" t="n">
        <x:v>0.0900794974665223</x:v>
      </x:c>
      <x:c r="AE259" s="75" t="n">
        <x:v>0.08000637613741855</x:v>
      </x:c>
      <x:c r="AF259" s="74" t="n">
        <x:v>9</x:v>
      </x:c>
    </x:row>
    <x:row r="260">
      <x:c r="A260" t="str">
        <x:v>2026 S1</x:v>
      </x:c>
      <x:c r="B260" t="str">
        <x:v>CNCT0065</x:v>
      </x:c>
      <x:c r="C260" s="74" t="n">
        <x:v>1877</x:v>
      </x:c>
      <x:c r="D260" s="74" t="n">
        <x:v>1191.671</x:v>
      </x:c>
      <x:c r="E260" s="75" t="n">
        <x:v>0.9632903406575205</x:v>
      </x:c>
      <x:c r="F260" s="75" t="n">
        <x:v>0.19084378057073106</x:v>
      </x:c>
      <x:c r="G260" s="75" t="n">
        <x:v>0.01793972510100866</x:v>
      </x:c>
      <x:c r="H260" s="75" t="n">
        <x:v>0.008605678297273699</x:v>
      </x:c>
      <x:c r="I260" s="75" t="n">
        <x:v>0.005835652803587436</x:v>
      </x:c>
      <x:c r="J260" s="75" t="n">
        <x:v>0.015434009645279731</x:v>
      </x:c>
      <x:c r="K260" s="75" t="n">
        <x:v>0.013281218166866893</x:v>
      </x:c>
      <x:c r="L260" s="75" t="n">
        <x:v>0.009381489932854833</x:v>
      </x:c>
      <x:c r="M260" s="75" t="n">
        <x:v>0.008504809483300051</x:v>
      </x:c>
      <x:c r="N260" s="75" t="n">
        <x:v>0.0072133850537211405</x:v>
      </x:c>
      <x:c r="O260" s="75" t="n">
        <x:v>0.011869474312145028</x:v>
      </x:c>
      <x:c r="P260" s="75" t="n">
        <x:v>0.001371892467905127</x:v>
      </x:c>
      <x:c r="Q260" s="75" t="n">
        <x:v>0.002832814048670116</x:v>
      </x:c>
      <x:c r="R260" s="75" t="n">
        <x:v>0.37903029604453653</x:v>
      </x:c>
      <x:c r="S260" s="75" t="n">
        <x:v>0.011967734692749218</x:v>
      </x:c>
      <x:c r="T260" s="75" t="n">
        <x:v>0.00688026158453431</x:v>
      </x:c>
      <x:c r="U260" s="75" t="n">
        <x:v>0.0071786243545648165</x:v>
      </x:c>
      <x:c r="V260" s="75" t="n">
        <x:v>0.03181358979342622</x:v>
      </x:c>
      <x:c r="W260" s="75" t="n">
        <x:v>0.017215825288607163</x:v>
      </x:c>
      <x:c r="X260" s="75" t="n">
        <x:v>0.03297499838903717</x:v>
      </x:c>
      <x:c r="Y260" s="75" t="n">
        <x:v>0.018499733610140096</x:v>
      </x:c>
      <x:c r="Z260" s="75" t="n">
        <x:v>0.005763378922953814</x:v>
      </x:c>
      <x:c r="AA260" s="75" t="n">
        <x:v>0.006177169616043664</x:v>
      </x:c>
      <x:c r="AB260" s="75" t="n">
        <x:v>0.008479341952412974</x:v>
      </x:c>
      <x:c r="AC260" s="75" t="n">
        <x:v>0.02743200996768659</x:v>
      </x:c>
      <x:c r="AD260" s="75" t="n">
        <x:v>0.0900794974665223</x:v>
      </x:c>
      <x:c r="AE260" s="75" t="n">
        <x:v>0.08000637613741855</x:v>
      </x:c>
      <x:c r="AF260" s="74" t="n">
        <x:v>9</x:v>
      </x:c>
    </x:row>
    <x:row r="261">
      <x:c r="A261" t="str">
        <x:v>2026 S2</x:v>
      </x:c>
      <x:c r="B261" t="str">
        <x:v>CNCT0065</x:v>
      </x:c>
      <x:c r="C261" s="74" t="n">
        <x:v>2029</x:v>
      </x:c>
      <x:c r="D261" s="74" t="n">
        <x:v>1196.039</x:v>
      </x:c>
      <x:c r="E261" s="75" t="n">
        <x:v>0.9657771331187687</x:v>
      </x:c>
      <x:c r="F261" s="75" t="n">
        <x:v>0.19159056998343296</x:v>
      </x:c>
      <x:c r="G261" s="75" t="n">
        <x:v>0.01949283954643397</x:v>
      </x:c>
      <x:c r="H261" s="75" t="n">
        <x:v>0.008605678297273699</x:v>
      </x:c>
      <x:c r="I261" s="75" t="n">
        <x:v>0.005835652803587436</x:v>
      </x:c>
      <x:c r="J261" s="75" t="n">
        <x:v>0.015434009645279731</x:v>
      </x:c>
      <x:c r="K261" s="75" t="n">
        <x:v>0.013281218166866893</x:v>
      </x:c>
      <x:c r="L261" s="75" t="n">
        <x:v>0.009381489932854833</x:v>
      </x:c>
      <x:c r="M261" s="75" t="n">
        <x:v>0.008504809483300051</x:v>
      </x:c>
      <x:c r="N261" s="75" t="n">
        <x:v>0.0072133850537211405</x:v>
      </x:c>
      <x:c r="O261" s="75" t="n">
        <x:v>0.009915628236209157</x:v>
      </x:c>
      <x:c r="P261" s="75" t="n">
        <x:v>0.001371892467905127</x:v>
      </x:c>
      <x:c r="Q261" s="75" t="n">
        <x:v>0.002832814048670116</x:v>
      </x:c>
      <x:c r="R261" s="75" t="n">
        <x:v>0.3515243734411963</x:v>
      </x:c>
      <x:c r="S261" s="75" t="n">
        <x:v>0.011967734692749218</x:v>
      </x:c>
      <x:c r="T261" s="75" t="n">
        <x:v>0.00688026158453431</x:v>
      </x:c>
      <x:c r="U261" s="75" t="n">
        <x:v>0.0071786243545648165</x:v>
      </x:c>
      <x:c r="V261" s="75" t="n">
        <x:v>0.03181358979342622</x:v>
      </x:c>
      <x:c r="W261" s="75" t="n">
        <x:v>0.014830964227570515</x:v>
      </x:c>
      <x:c r="X261" s="75" t="n">
        <x:v>0.028407062299571698</x:v>
      </x:c>
      <x:c r="Y261" s="75" t="n">
        <x:v>0.0159370162505738</x:v>
      </x:c>
      <x:c r="Z261" s="75" t="n">
        <x:v>0.004964993847424048</x:v>
      </x:c>
      <x:c r="AA261" s="75" t="n">
        <x:v>0.005321463250664238</x:v>
      </x:c>
      <x:c r="AB261" s="75" t="n">
        <x:v>0.007304721967223741</x:v>
      </x:c>
      <x:c r="AC261" s="75" t="n">
        <x:v>0.023631928862007698</x:v>
      </x:c>
      <x:c r="AD261" s="75" t="n">
        <x:v>0.0900794974665223</x:v>
      </x:c>
      <x:c r="AE261" s="75" t="n">
        <x:v>0.08000637613741855</x:v>
      </x:c>
      <x:c r="AF261" s="74" t="n">
        <x:v>9</x:v>
      </x:c>
    </x:row>
    <x:row r="262">
      <x:c r="A262" t="str">
        <x:v>2025 S1</x:v>
      </x:c>
      <x:c r="B262" t="str">
        <x:v>CNCT0066</x:v>
      </x:c>
      <x:c r="C262" s="74" t="n">
        <x:v>1951</x:v>
      </x:c>
      <x:c r="D262" s="74" t="n">
        <x:v>1108.769</x:v>
      </x:c>
      <x:c r="E262" s="75" t="n">
        <x:v>0.9735035011017171</x:v>
      </x:c>
      <x:c r="F262" s="75" t="n">
        <x:v>0.21587675162870437</x:v>
      </x:c>
      <x:c r="G262" s="75" t="n">
        <x:v>0.018654580659989733</x:v>
      </x:c>
      <x:c r="H262" s="75" t="n">
        <x:v>0.010078228564190795</x:v>
      </x:c>
      <x:c r="I262" s="75" t="n">
        <x:v>0.006900504941484541</x:v>
      </x:c>
      <x:c r="J262" s="75" t="n">
        <x:v>0.013033750996983146</x:v>
      </x:c>
      <x:c r="K262" s="75" t="n">
        <x:v>0.011927097462808888</x:v>
      </x:c>
      <x:c r="L262" s="75" t="n">
        <x:v>0.008529932961995654</x:v>
      </x:c>
      <x:c r="M262" s="75" t="n">
        <x:v>0.006128360780115145</x:v>
      </x:c>
      <x:c r="N262" s="75" t="n">
        <x:v>0.008886697647852998</x:v>
      </x:c>
      <x:c r="O262" s="75" t="n">
        <x:v>0.008014001390343764</x:v>
      </x:c>
      <x:c r="P262" s="75" t="n">
        <x:v>0.0016232414306505234</x:v>
      </x:c>
      <x:c r="Q262" s="75" t="n">
        <x:v>0.004914457587859943</x:v>
      </x:c>
      <x:c r="R262" s="75" t="n">
        <x:v>0.3610598099135861</x:v>
      </x:c>
      <x:c r="S262" s="75" t="n">
        <x:v>0.015852464819254238</x:v>
      </x:c>
      <x:c r="T262" s="75" t="n">
        <x:v>0.0030367470045457594</x:v>
      </x:c>
      <x:c r="U262" s="75" t="n">
        <x:v>0.010350234087614808</x:v>
      </x:c>
      <x:c r="V262" s="75" t="n">
        <x:v>0.035502980340912475</x:v>
      </x:c>
      <x:c r="W262" s="75" t="n">
        <x:v>0.01050186923853471</x:v>
      </x:c>
      <x:c r="X262" s="75" t="n">
        <x:v>0.022445622626284602</x:v>
      </x:c>
      <x:c r="Y262" s="75" t="n">
        <x:v>0.017802769024739973</x:v>
      </x:c>
      <x:c r="Z262" s="75" t="n">
        <x:v>0.005291759021289181</x:v>
      </x:c>
      <x:c r="AA262" s="75" t="n">
        <x:v>0.007047744195937412</x:v>
      </x:c>
      <x:c r="AB262" s="75" t="n">
        <x:v>0.006353324269497534</x:v>
      </x:c>
      <x:c r="AC262" s="75" t="n">
        <x:v>0.026478747753964853</x:v>
      </x:c>
      <x:c r="AD262" s="75" t="n">
        <x:v>0.10940971372854984</x:v>
      </x:c>
      <x:c r="AE262" s="75" t="n">
        <x:v>0.0828850191340507</x:v>
      </x:c>
      <x:c r="AF262" s="74" t="n">
        <x:v>9</x:v>
      </x:c>
    </x:row>
    <x:row r="263">
      <x:c r="A263" t="str">
        <x:v>2025 S2</x:v>
      </x:c>
      <x:c r="B263" t="str">
        <x:v>CNCT0066</x:v>
      </x:c>
      <x:c r="C263" s="74" t="n">
        <x:v>2137</x:v>
      </x:c>
      <x:c r="D263" s="74" t="n">
        <x:v>1122.075</x:v>
      </x:c>
      <x:c r="E263" s="75" t="n">
        <x:v>0.9641738109114812</x:v>
      </x:c>
      <x:c r="F263" s="75" t="n">
        <x:v>0.21587675162870437</x:v>
      </x:c>
      <x:c r="G263" s="75" t="n">
        <x:v>0.018654580659989733</x:v>
      </x:c>
      <x:c r="H263" s="75" t="n">
        <x:v>0.010078228564190795</x:v>
      </x:c>
      <x:c r="I263" s="75" t="n">
        <x:v>0.006900504941484541</x:v>
      </x:c>
      <x:c r="J263" s="75" t="n">
        <x:v>0.013033750996983146</x:v>
      </x:c>
      <x:c r="K263" s="75" t="n">
        <x:v>0.011927097462808888</x:v>
      </x:c>
      <x:c r="L263" s="75" t="n">
        <x:v>0.008529932961995654</x:v>
      </x:c>
      <x:c r="M263" s="75" t="n">
        <x:v>0.006128360780115145</x:v>
      </x:c>
      <x:c r="N263" s="75" t="n">
        <x:v>0.008886697647852998</x:v>
      </x:c>
      <x:c r="O263" s="75" t="n">
        <x:v>0.008014001390343764</x:v>
      </x:c>
      <x:c r="P263" s="75" t="n">
        <x:v>0.0016232414306505234</x:v>
      </x:c>
      <x:c r="Q263" s="75" t="n">
        <x:v>0.004914457587859943</x:v>
      </x:c>
      <x:c r="R263" s="75" t="n">
        <x:v>0.36110627535648454</x:v>
      </x:c>
      <x:c r="S263" s="75" t="n">
        <x:v>0.015852464819254238</x:v>
      </x:c>
      <x:c r="T263" s="75" t="n">
        <x:v>0.0030367470045457594</x:v>
      </x:c>
      <x:c r="U263" s="75" t="n">
        <x:v>0.010350234087614808</x:v>
      </x:c>
      <x:c r="V263" s="75" t="n">
        <x:v>0.035502980340912475</x:v>
      </x:c>
      <x:c r="W263" s="75" t="n">
        <x:v>0.01050186923853471</x:v>
      </x:c>
      <x:c r="X263" s="75" t="n">
        <x:v>0.022445622626284602</x:v>
      </x:c>
      <x:c r="Y263" s="75" t="n">
        <x:v>0.017802769024739973</x:v>
      </x:c>
      <x:c r="Z263" s="75" t="n">
        <x:v>0.005291759021289181</x:v>
      </x:c>
      <x:c r="AA263" s="75" t="n">
        <x:v>0.007047744195937412</x:v>
      </x:c>
      <x:c r="AB263" s="75" t="n">
        <x:v>0.006353324269497534</x:v>
      </x:c>
      <x:c r="AC263" s="75" t="n">
        <x:v>0.026478747753964853</x:v>
      </x:c>
      <x:c r="AD263" s="75" t="n">
        <x:v>0.10940971372854984</x:v>
      </x:c>
      <x:c r="AE263" s="75" t="n">
        <x:v>0.0828850191340507</x:v>
      </x:c>
      <x:c r="AF263" s="74" t="n">
        <x:v>9</x:v>
      </x:c>
    </x:row>
    <x:row r="264">
      <x:c r="A264" t="str">
        <x:v>2026 S1</x:v>
      </x:c>
      <x:c r="B264" t="str">
        <x:v>CNCT0066</x:v>
      </x:c>
      <x:c r="C264" s="74" t="n">
        <x:v>1865</x:v>
      </x:c>
      <x:c r="D264" s="74" t="n">
        <x:v>1154.361</x:v>
      </x:c>
      <x:c r="E264" s="75" t="n">
        <x:v>0.9728925865117635</x:v>
      </x:c>
      <x:c r="F264" s="75" t="n">
        <x:v>0.22098550929437624</x:v>
      </x:c>
      <x:c r="G264" s="75" t="n">
        <x:v>0.01671268887582846</x:v>
      </x:c>
      <x:c r="H264" s="75" t="n">
        <x:v>0.010078228564190795</x:v>
      </x:c>
      <x:c r="I264" s="75" t="n">
        <x:v>0.006900504941484541</x:v>
      </x:c>
      <x:c r="J264" s="75" t="n">
        <x:v>0.013033750996983146</x:v>
      </x:c>
      <x:c r="K264" s="75" t="n">
        <x:v>0.011927097462808888</x:v>
      </x:c>
      <x:c r="L264" s="75" t="n">
        <x:v>0.008529932961995654</x:v>
      </x:c>
      <x:c r="M264" s="75" t="n">
        <x:v>0.006128360780115145</x:v>
      </x:c>
      <x:c r="N264" s="75" t="n">
        <x:v>0.008886697647852998</x:v>
      </x:c>
      <x:c r="O264" s="75" t="n">
        <x:v>0.009580531008679826</x:v>
      </x:c>
      <x:c r="P264" s="75" t="n">
        <x:v>0.0016232414306505234</x:v>
      </x:c>
      <x:c r="Q264" s="75" t="n">
        <x:v>0.004914457587859943</x:v>
      </x:c>
      <x:c r="R264" s="75" t="n">
        <x:v>0.35549376878614614</x:v>
      </x:c>
      <x:c r="S264" s="75" t="n">
        <x:v>0.015852464819254238</x:v>
      </x:c>
      <x:c r="T264" s="75" t="n">
        <x:v>0.0030367470045457594</x:v>
      </x:c>
      <x:c r="U264" s="75" t="n">
        <x:v>0.010350234087614808</x:v>
      </x:c>
      <x:c r="V264" s="75" t="n">
        <x:v>0.035502980340912475</x:v>
      </x:c>
      <x:c r="W264" s="75" t="n">
        <x:v>0.012922035535559383</x:v>
      </x:c>
      <x:c r="X264" s="75" t="n">
        <x:v>0.027618238868404924</x:v>
      </x:c>
      <x:c r="Y264" s="75" t="n">
        <x:v>0.021905434998650164</x:v>
      </x:c>
      <x:c r="Z264" s="75" t="n">
        <x:v>0.006511250194185108</x:v>
      </x:c>
      <x:c r="AA264" s="75" t="n">
        <x:v>0.008671903913187791</x:v>
      </x:c>
      <x:c r="AB264" s="75" t="n">
        <x:v>0.007817454218353401</x:v>
      </x:c>
      <x:c r="AC264" s="75" t="n">
        <x:v>0.03258080172607323</x:v>
      </x:c>
      <x:c r="AD264" s="75" t="n">
        <x:v>0.10940971372854984</x:v>
      </x:c>
      <x:c r="AE264" s="75" t="n">
        <x:v>0.0828850191340507</x:v>
      </x:c>
      <x:c r="AF264" s="74" t="n">
        <x:v>9</x:v>
      </x:c>
    </x:row>
    <x:row r="265">
      <x:c r="A265" t="str">
        <x:v>2026 S2</x:v>
      </x:c>
      <x:c r="B265" t="str">
        <x:v>CNCT0066</x:v>
      </x:c>
      <x:c r="C265" s="74" t="n">
        <x:v>1346</x:v>
      </x:c>
      <x:c r="D265" s="74" t="n">
        <x:v>1163.286</x:v>
      </x:c>
      <x:c r="E265" s="75" t="n">
        <x:v>0.9641738109114812</x:v>
      </x:c>
      <x:c r="F265" s="75" t="n">
        <x:v>0.2165141513866547</x:v>
      </x:c>
      <x:c r="G265" s="75" t="n">
        <x:v>0.018320326069020666</x:v>
      </x:c>
      <x:c r="H265" s="75" t="n">
        <x:v>0.010078228564190795</x:v>
      </x:c>
      <x:c r="I265" s="75" t="n">
        <x:v>0.006900504941484541</x:v>
      </x:c>
      <x:c r="J265" s="75" t="n">
        <x:v>0.013033750996983146</x:v>
      </x:c>
      <x:c r="K265" s="75" t="n">
        <x:v>0.011927097462808888</x:v>
      </x:c>
      <x:c r="L265" s="75" t="n">
        <x:v>0.008529932961995654</x:v>
      </x:c>
      <x:c r="M265" s="75" t="n">
        <x:v>0.006128360780115145</x:v>
      </x:c>
      <x:c r="N265" s="75" t="n">
        <x:v>0.008886697647852998</x:v>
      </x:c>
      <x:c r="O265" s="75" t="n">
        <x:v>0.008014001390343764</x:v>
      </x:c>
      <x:c r="P265" s="75" t="n">
        <x:v>0.0016232414306505234</x:v>
      </x:c>
      <x:c r="Q265" s="75" t="n">
        <x:v>0.004914457587859943</x:v>
      </x:c>
      <x:c r="R265" s="75" t="n">
        <x:v>0.3634863361113215</x:v>
      </x:c>
      <x:c r="S265" s="75" t="n">
        <x:v>0.015852464819254238</x:v>
      </x:c>
      <x:c r="T265" s="75" t="n">
        <x:v>0.0030367470045457594</x:v>
      </x:c>
      <x:c r="U265" s="75" t="n">
        <x:v>0.010350234087614808</x:v>
      </x:c>
      <x:c r="V265" s="75" t="n">
        <x:v>0.035502980340912475</x:v>
      </x:c>
      <x:c r="W265" s="75" t="n">
        <x:v>0.011131981392846792</x:v>
      </x:c>
      <x:c r="X265" s="75" t="n">
        <x:v>0.02379235998386168</x:v>
      </x:c>
      <x:c r="Y265" s="75" t="n">
        <x:v>0.018870935166224373</x:v>
      </x:c>
      <x:c r="Z265" s="75" t="n">
        <x:v>0.0056092645625665325</x:v>
      </x:c>
      <x:c r="AA265" s="75" t="n">
        <x:v>0.010832382829155801</x:v>
      </x:c>
      <x:c r="AB265" s="75" t="n">
        <x:v>0.012122142706201296</x:v>
      </x:c>
      <x:c r="AC265" s="75" t="n">
        <x:v>0.028067472619202744</x:v>
      </x:c>
      <x:c r="AD265" s="75" t="n">
        <x:v>0.10940971372854984</x:v>
      </x:c>
      <x:c r="AE265" s="75" t="n">
        <x:v>0.0828850191340507</x:v>
      </x:c>
      <x:c r="AF265" s="74" t="n">
        <x:v>9</x:v>
      </x:c>
    </x:row>
    <x:row r="266">
      <x:c r="A266" t="str">
        <x:v>2025 S1</x:v>
      </x:c>
      <x:c r="B266" t="str">
        <x:v>CNCT0067</x:v>
      </x:c>
      <x:c r="C266" s="74" t="n">
        <x:v>1897</x:v>
      </x:c>
      <x:c r="D266" s="74" t="n">
        <x:v>1153.774</x:v>
      </x:c>
      <x:c r="E266" s="75" t="n">
        <x:v>0.965433369051505</x:v>
      </x:c>
      <x:c r="F266" s="75" t="n">
        <x:v>0.21281849937909283</x:v>
      </x:c>
      <x:c r="G266" s="75" t="n">
        <x:v>0.011698506998538504</x:v>
      </x:c>
      <x:c r="H266" s="75" t="n">
        <x:v>0.00847043949009094</x:v>
      </x:c>
      <x:c r="I266" s="75" t="n">
        <x:v>0.006105372192258074</x:v>
      </x:c>
      <x:c r="J266" s="75" t="n">
        <x:v>0.014036769167403691</x:v>
      </x:c>
      <x:c r="K266" s="75" t="n">
        <x:v>0.012458455743078956</x:v>
      </x:c>
      <x:c r="L266" s="75" t="n">
        <x:v>0.01096442855002533</x:v>
      </x:c>
      <x:c r="M266" s="75" t="n">
        <x:v>0.009574470678333455</x:v>
      </x:c>
      <x:c r="N266" s="75" t="n">
        <x:v>0.005095850182282448</x:v>
      </x:c>
      <x:c r="O266" s="75" t="n">
        <x:v>0.011316645374900871</x:v>
      </x:c>
      <x:c r="P266" s="75" t="n">
        <x:v>0.0011617668868602778</x:v>
      </x:c>
      <x:c r="Q266" s="75" t="n">
        <x:v>0.005421638088701002</x:v>
      </x:c>
      <x:c r="R266" s="75" t="n">
        <x:v>0.35232536639253326</x:v>
      </x:c>
      <x:c r="S266" s="75" t="n">
        <x:v>0.011566860802427982</x:v>
      </x:c>
      <x:c r="T266" s="75" t="n">
        <x:v>0.005550959299842361</x:v>
      </x:c>
      <x:c r="U266" s="75" t="n">
        <x:v>0.010017466190329286</x:v>
      </x:c>
      <x:c r="V266" s="75" t="n">
        <x:v>0.03496818284635083</x:v>
      </x:c>
      <x:c r="W266" s="75" t="n">
        <x:v>0.014198013352546696</x:v>
      </x:c>
      <x:c r="X266" s="75" t="n">
        <x:v>0.02049101121271815</x:v>
      </x:c>
      <x:c r="Y266" s="75" t="n">
        <x:v>0.013608028694347013</x:v>
      </x:c>
      <x:c r="Z266" s="75" t="n">
        <x:v>0.007558349591563456</x:v>
      </x:c>
      <x:c r="AA266" s="75" t="n">
        <x:v>0.008934498290589545</x:v>
      </x:c>
      <x:c r="AB266" s="75" t="n">
        <x:v>0.004370511088520289</x:v>
      </x:c>
      <x:c r="AC266" s="75" t="n">
        <x:v>0.025112432185793294</x:v>
      </x:c>
      <x:c r="AD266" s="75" t="n">
        <x:v>0.11118690397153841</x:v>
      </x:c>
      <x:c r="AE266" s="75" t="n">
        <x:v>0.09008239794861583</x:v>
      </x:c>
      <x:c r="AF266" s="74" t="n">
        <x:v>10</x:v>
      </x:c>
    </x:row>
    <x:row r="267">
      <x:c r="A267" t="str">
        <x:v>2025 S2</x:v>
      </x:c>
      <x:c r="B267" t="str">
        <x:v>CNCT0067</x:v>
      </x:c>
      <x:c r="C267" s="74" t="n">
        <x:v>2018</x:v>
      </x:c>
      <x:c r="D267" s="74" t="n">
        <x:v>1167.619</x:v>
      </x:c>
      <x:c r="E267" s="75" t="n">
        <x:v>0.9719397734201338</x:v>
      </x:c>
      <x:c r="F267" s="75" t="n">
        <x:v>0.21281849937909283</x:v>
      </x:c>
      <x:c r="G267" s="75" t="n">
        <x:v>0.011698506998538504</x:v>
      </x:c>
      <x:c r="H267" s="75" t="n">
        <x:v>0.00847043949009094</x:v>
      </x:c>
      <x:c r="I267" s="75" t="n">
        <x:v>0.006105372192258074</x:v>
      </x:c>
      <x:c r="J267" s="75" t="n">
        <x:v>0.014036769167403691</x:v>
      </x:c>
      <x:c r="K267" s="75" t="n">
        <x:v>0.012458455743078956</x:v>
      </x:c>
      <x:c r="L267" s="75" t="n">
        <x:v>0.01096442855002533</x:v>
      </x:c>
      <x:c r="M267" s="75" t="n">
        <x:v>0.009574470678333455</x:v>
      </x:c>
      <x:c r="N267" s="75" t="n">
        <x:v>0.005095850182282448</x:v>
      </x:c>
      <x:c r="O267" s="75" t="n">
        <x:v>0.011316645374900871</x:v>
      </x:c>
      <x:c r="P267" s="75" t="n">
        <x:v>0.0011617668868602778</x:v>
      </x:c>
      <x:c r="Q267" s="75" t="n">
        <x:v>0.005421638088701002</x:v>
      </x:c>
      <x:c r="R267" s="75" t="n">
        <x:v>0.35270225492936347</x:v>
      </x:c>
      <x:c r="S267" s="75" t="n">
        <x:v>0.011566860802427982</x:v>
      </x:c>
      <x:c r="T267" s="75" t="n">
        <x:v>0.005550959299842361</x:v>
      </x:c>
      <x:c r="U267" s="75" t="n">
        <x:v>0.010017466190329286</x:v>
      </x:c>
      <x:c r="V267" s="75" t="n">
        <x:v>0.03496818284635083</x:v>
      </x:c>
      <x:c r="W267" s="75" t="n">
        <x:v>0.014198013352546696</x:v>
      </x:c>
      <x:c r="X267" s="75" t="n">
        <x:v>0.02049101121271815</x:v>
      </x:c>
      <x:c r="Y267" s="75" t="n">
        <x:v>0.013608028694347013</x:v>
      </x:c>
      <x:c r="Z267" s="75" t="n">
        <x:v>0.007558349591563456</x:v>
      </x:c>
      <x:c r="AA267" s="75" t="n">
        <x:v>0.008934498290589545</x:v>
      </x:c>
      <x:c r="AB267" s="75" t="n">
        <x:v>0.004370511088520289</x:v>
      </x:c>
      <x:c r="AC267" s="75" t="n">
        <x:v>0.025112432185793294</x:v>
      </x:c>
      <x:c r="AD267" s="75" t="n">
        <x:v>0.11118690397153841</x:v>
      </x:c>
      <x:c r="AE267" s="75" t="n">
        <x:v>0.09008239794861583</x:v>
      </x:c>
      <x:c r="AF267" s="74" t="n">
        <x:v>10</x:v>
      </x:c>
    </x:row>
    <x:row r="268">
      <x:c r="A268" t="str">
        <x:v>2026 S1</x:v>
      </x:c>
      <x:c r="B268" t="str">
        <x:v>CNCT0067</x:v>
      </x:c>
      <x:c r="C268" s="74" t="n">
        <x:v>1834</x:v>
      </x:c>
      <x:c r="D268" s="74" t="n">
        <x:v>1218.25</x:v>
      </x:c>
      <x:c r="E268" s="75" t="n">
        <x:v>0.9627017695934774</x:v>
      </x:c>
      <x:c r="F268" s="75" t="n">
        <x:v>0.21801758596255968</x:v>
      </x:c>
      <x:c r="G268" s="75" t="n">
        <x:v>0.009978880718699656</x:v>
      </x:c>
      <x:c r="H268" s="75" t="n">
        <x:v>0.00847043949009094</x:v>
      </x:c>
      <x:c r="I268" s="75" t="n">
        <x:v>0.006105372192258074</x:v>
      </x:c>
      <x:c r="J268" s="75" t="n">
        <x:v>0.014036769167403691</x:v>
      </x:c>
      <x:c r="K268" s="75" t="n">
        <x:v>0.012458455743078956</x:v>
      </x:c>
      <x:c r="L268" s="75" t="n">
        <x:v>0.01096442855002533</x:v>
      </x:c>
      <x:c r="M268" s="75" t="n">
        <x:v>0.009574470678333455</x:v>
      </x:c>
      <x:c r="N268" s="75" t="n">
        <x:v>0.005095850182282448</x:v>
      </x:c>
      <x:c r="O268" s="75" t="n">
        <x:v>0.01182642742731059</x:v>
      </x:c>
      <x:c r="P268" s="75" t="n">
        <x:v>0.0011617668868602778</x:v>
      </x:c>
      <x:c r="Q268" s="75" t="n">
        <x:v>0.005421638088701002</x:v>
      </x:c>
      <x:c r="R268" s="75" t="n">
        <x:v>0.34906933043419</x:v>
      </x:c>
      <x:c r="S268" s="75" t="n">
        <x:v>0.011566860802427982</x:v>
      </x:c>
      <x:c r="T268" s="75" t="n">
        <x:v>0.005550959299842361</x:v>
      </x:c>
      <x:c r="U268" s="75" t="n">
        <x:v>0.010017466190329286</x:v>
      </x:c>
      <x:c r="V268" s="75" t="n">
        <x:v>0.03496818284635083</x:v>
      </x:c>
      <x:c r="W268" s="75" t="n">
        <x:v>0.01746995976704368</x:v>
      </x:c>
      <x:c r="X268" s="75" t="n">
        <x:v>0.02521318529454803</x:v>
      </x:c>
      <x:c r="Y268" s="75" t="n">
        <x:v>0.01674401255274044</x:v>
      </x:c>
      <x:c r="Z268" s="75" t="n">
        <x:v>0.009300178834257813</x:v>
      </x:c>
      <x:c r="AA268" s="75" t="n">
        <x:v>0.010993462380940983</x:v>
      </x:c>
      <x:c r="AB268" s="75" t="n">
        <x:v>0.005377699751505893</x:v>
      </x:c>
      <x:c r="AC268" s="75" t="n">
        <x:v>0.030899617365110425</x:v>
      </x:c>
      <x:c r="AD268" s="75" t="n">
        <x:v>0.11118690397153841</x:v>
      </x:c>
      <x:c r="AE268" s="75" t="n">
        <x:v>0.09008239794861583</x:v>
      </x:c>
      <x:c r="AF268" s="74" t="n">
        <x:v>10</x:v>
      </x:c>
    </x:row>
    <x:row r="269">
      <x:c r="A269" t="str">
        <x:v>2026 S2</x:v>
      </x:c>
      <x:c r="B269" t="str">
        <x:v>CNCT0067</x:v>
      </x:c>
      <x:c r="C269" s="74" t="n">
        <x:v>2023</x:v>
      </x:c>
      <x:c r="D269" s="74" t="n">
        <x:v>1203.252</x:v>
      </x:c>
      <x:c r="E269" s="75" t="n">
        <x:v>0.9719397734201338</x:v>
      </x:c>
      <x:c r="F269" s="75" t="n">
        <x:v>0.21005293615143455</x:v>
      </x:c>
      <x:c r="G269" s="75" t="n">
        <x:v>0.012594539343757786</x:v>
      </x:c>
      <x:c r="H269" s="75" t="n">
        <x:v>0.00847043949009094</x:v>
      </x:c>
      <x:c r="I269" s="75" t="n">
        <x:v>0.006105372192258074</x:v>
      </x:c>
      <x:c r="J269" s="75" t="n">
        <x:v>0.014036769167403691</x:v>
      </x:c>
      <x:c r="K269" s="75" t="n">
        <x:v>0.012458455743078956</x:v>
      </x:c>
      <x:c r="L269" s="75" t="n">
        <x:v>0.01096442855002533</x:v>
      </x:c>
      <x:c r="M269" s="75" t="n">
        <x:v>0.009574470678333455</x:v>
      </x:c>
      <x:c r="N269" s="75" t="n">
        <x:v>0.005095850182282448</x:v>
      </x:c>
      <x:c r="O269" s="75" t="n">
        <x:v>0.011316645374900871</x:v>
      </x:c>
      <x:c r="P269" s="75" t="n">
        <x:v>0.0011617668868602778</x:v>
      </x:c>
      <x:c r="Q269" s="75" t="n">
        <x:v>0.005421638088701002</x:v>
      </x:c>
      <x:c r="R269" s="75" t="n">
        <x:v>0.35233680006665413</x:v>
      </x:c>
      <x:c r="S269" s="75" t="n">
        <x:v>0.011566860802427982</x:v>
      </x:c>
      <x:c r="T269" s="75" t="n">
        <x:v>0.005550959299842361</x:v>
      </x:c>
      <x:c r="U269" s="75" t="n">
        <x:v>0.010017466190329286</x:v>
      </x:c>
      <x:c r="V269" s="75" t="n">
        <x:v>0.03496818284635083</x:v>
      </x:c>
      <x:c r="W269" s="75" t="n">
        <x:v>0.015049894153699499</x:v>
      </x:c>
      <x:c r="X269" s="75" t="n">
        <x:v>0.02172047188548124</x:v>
      </x:c>
      <x:c r="Y269" s="75" t="n">
        <x:v>0.014424510416007836</x:v>
      </x:c>
      <x:c r="Z269" s="75" t="n">
        <x:v>0.008011850567057263</x:v>
      </x:c>
      <x:c r="AA269" s="75" t="n">
        <x:v>0.009470568188024917</x:v>
      </x:c>
      <x:c r="AB269" s="75" t="n">
        <x:v>0.004632741753831506</x:v>
      </x:c>
      <x:c r="AC269" s="75" t="n">
        <x:v>0.026619178116940895</x:v>
      </x:c>
      <x:c r="AD269" s="75" t="n">
        <x:v>0.11118690397153841</x:v>
      </x:c>
      <x:c r="AE269" s="75" t="n">
        <x:v>0.09008239794861583</x:v>
      </x:c>
      <x:c r="AF269" s="74" t="n">
        <x:v>10</x:v>
      </x:c>
    </x:row>
    <x:row r="270">
      <x:c r="A270" t="str">
        <x:v>2025 S1</x:v>
      </x:c>
      <x:c r="B270" t="str">
        <x:v>CNCT0068</x:v>
      </x:c>
      <x:c r="C270" s="74" t="n">
        <x:v>2256</x:v>
      </x:c>
      <x:c r="D270" s="74" t="n">
        <x:v>1286.12</x:v>
      </x:c>
      <x:c r="E270" s="75" t="n">
        <x:v>0.9821643881794588</x:v>
      </x:c>
      <x:c r="F270" s="75" t="n">
        <x:v>0.17243517968336528</x:v>
      </x:c>
      <x:c r="G270" s="75" t="n">
        <x:v>0.012199790923856198</x:v>
      </x:c>
      <x:c r="H270" s="75" t="n">
        <x:v>0.009458095196983778</x:v>
      </x:c>
      <x:c r="I270" s="75" t="n">
        <x:v>0.008794981209219259</x:v>
      </x:c>
      <x:c r="J270" s="75" t="n">
        <x:v>0.010879725060483906</x:v>
      </x:c>
      <x:c r="K270" s="75" t="n">
        <x:v>0.01023787772252399</x:v>
      </x:c>
      <x:c r="L270" s="75" t="n">
        <x:v>0.012283532473637023</x:v>
      </x:c>
      <x:c r="M270" s="75" t="n">
        <x:v>0.007968241048263736</x:v>
      </x:c>
      <x:c r="N270" s="75" t="n">
        <x:v>0.007024255373646156</x:v>
      </x:c>
      <x:c r="O270" s="75" t="n">
        <x:v>0.008167189054234768</x:v>
      </x:c>
      <x:c r="P270" s="75" t="n">
        <x:v>0.0019212894584911737</x:v>
      </x:c>
      <x:c r="Q270" s="75" t="n">
        <x:v>0.005220322580935317</x:v>
      </x:c>
      <x:c r="R270" s="75" t="n">
        <x:v>0.3652503647633092</x:v>
      </x:c>
      <x:c r="S270" s="75" t="n">
        <x:v>0.011572880153733422</x:v>
      </x:c>
      <x:c r="T270" s="75" t="n">
        <x:v>0.0047221305732382465</x:v>
      </x:c>
      <x:c r="U270" s="75" t="n">
        <x:v>0.009159953496477101</x:v>
      </x:c>
      <x:c r="V270" s="75" t="n">
        <x:v>0.038652232480671955</x:v>
      </x:c>
      <x:c r="W270" s="75" t="n">
        <x:v>0.009818390846554394</x:v>
      </x:c>
      <x:c r="X270" s="75" t="n">
        <x:v>0.02601085147517733</x:v>
      </x:c>
      <x:c r="Y270" s="75" t="n">
        <x:v>0.020832480434910396</x:v>
      </x:c>
      <x:c r="Z270" s="75" t="n">
        <x:v>0.005900730650464539</x:v>
      </x:c>
      <x:c r="AA270" s="75" t="n">
        <x:v>0.006869563955318882</x:v>
      </x:c>
      <x:c r="AB270" s="75" t="n">
        <x:v>0.006788792267499957</x:v>
      </x:c>
      <x:c r="AC270" s="75" t="n">
        <x:v>0.016283550628111695</x:v>
      </x:c>
      <x:c r="AD270" s="75" t="n">
        <x:v>0.10146281970021664</x:v>
      </x:c>
      <x:c r="AE270" s="75" t="n">
        <x:v>0.07688419137826713</x:v>
      </x:c>
      <x:c r="AF270" s="74" t="n">
        <x:v>8</x:v>
      </x:c>
    </x:row>
    <x:row r="271">
      <x:c r="A271" t="str">
        <x:v>2025 S2</x:v>
      </x:c>
      <x:c r="B271" t="str">
        <x:v>CNCT0068</x:v>
      </x:c>
      <x:c r="C271" s="74" t="n">
        <x:v>2423</x:v>
      </x:c>
      <x:c r="D271" s="74" t="n">
        <x:v>1301.553</x:v>
      </x:c>
      <x:c r="E271" s="75" t="n">
        <x:v>0.9830478871894447</x:v>
      </x:c>
      <x:c r="F271" s="75" t="n">
        <x:v>0.17243517968336528</x:v>
      </x:c>
      <x:c r="G271" s="75" t="n">
        <x:v>0.012199790923856198</x:v>
      </x:c>
      <x:c r="H271" s="75" t="n">
        <x:v>0.009458095196983778</x:v>
      </x:c>
      <x:c r="I271" s="75" t="n">
        <x:v>0.008794981209219259</x:v>
      </x:c>
      <x:c r="J271" s="75" t="n">
        <x:v>0.010879725060483906</x:v>
      </x:c>
      <x:c r="K271" s="75" t="n">
        <x:v>0.01023787772252399</x:v>
      </x:c>
      <x:c r="L271" s="75" t="n">
        <x:v>0.012283532473637023</x:v>
      </x:c>
      <x:c r="M271" s="75" t="n">
        <x:v>0.007968241048263736</x:v>
      </x:c>
      <x:c r="N271" s="75" t="n">
        <x:v>0.007024255373646156</x:v>
      </x:c>
      <x:c r="O271" s="75" t="n">
        <x:v>0.008167189054234768</x:v>
      </x:c>
      <x:c r="P271" s="75" t="n">
        <x:v>0.0019212894584911737</x:v>
      </x:c>
      <x:c r="Q271" s="75" t="n">
        <x:v>0.005220322580935317</x:v>
      </x:c>
      <x:c r="R271" s="75" t="n">
        <x:v>0.38442788522042004</x:v>
      </x:c>
      <x:c r="S271" s="75" t="n">
        <x:v>0.011572880153733422</x:v>
      </x:c>
      <x:c r="T271" s="75" t="n">
        <x:v>0.0047221305732382465</x:v>
      </x:c>
      <x:c r="U271" s="75" t="n">
        <x:v>0.009159953496477101</x:v>
      </x:c>
      <x:c r="V271" s="75" t="n">
        <x:v>0.038652232480671955</x:v>
      </x:c>
      <x:c r="W271" s="75" t="n">
        <x:v>0.009818390846554394</x:v>
      </x:c>
      <x:c r="X271" s="75" t="n">
        <x:v>0.02601085147517733</x:v>
      </x:c>
      <x:c r="Y271" s="75" t="n">
        <x:v>0.020832480434910396</x:v>
      </x:c>
      <x:c r="Z271" s="75" t="n">
        <x:v>0.005900730650464539</x:v>
      </x:c>
      <x:c r="AA271" s="75" t="n">
        <x:v>0.006869563955318882</x:v>
      </x:c>
      <x:c r="AB271" s="75" t="n">
        <x:v>0.006788792267499957</x:v>
      </x:c>
      <x:c r="AC271" s="75" t="n">
        <x:v>0.016283550628111695</x:v>
      </x:c>
      <x:c r="AD271" s="75" t="n">
        <x:v>0.10146281970021664</x:v>
      </x:c>
      <x:c r="AE271" s="75" t="n">
        <x:v>0.07688419137826713</x:v>
      </x:c>
      <x:c r="AF271" s="74" t="n">
        <x:v>8</x:v>
      </x:c>
    </x:row>
    <x:row r="272">
      <x:c r="A272" t="str">
        <x:v>2026 S1</x:v>
      </x:c>
      <x:c r="B272" t="str">
        <x:v>CNCT0068</x:v>
      </x:c>
      <x:c r="C272" s="74" t="n">
        <x:v>2388</x:v>
      </x:c>
      <x:c r="D272" s="74" t="n">
        <x:v>1357.883</x:v>
      </x:c>
      <x:c r="E272" s="75" t="n">
        <x:v>0.9827088795628224</x:v>
      </x:c>
      <x:c r="F272" s="75" t="n">
        <x:v>0.21667144560304588</x:v>
      </x:c>
      <x:c r="G272" s="75" t="n">
        <x:v>0.01192504913182347</x:v>
      </x:c>
      <x:c r="H272" s="75" t="n">
        <x:v>0.009458095196983778</x:v>
      </x:c>
      <x:c r="I272" s="75" t="n">
        <x:v>0.008794981209219259</x:v>
      </x:c>
      <x:c r="J272" s="75" t="n">
        <x:v>0.010879725060483906</x:v>
      </x:c>
      <x:c r="K272" s="75" t="n">
        <x:v>0.01023787772252399</x:v>
      </x:c>
      <x:c r="L272" s="75" t="n">
        <x:v>0.012283532473637023</x:v>
      </x:c>
      <x:c r="M272" s="75" t="n">
        <x:v>0.007968241048263736</x:v>
      </x:c>
      <x:c r="N272" s="75" t="n">
        <x:v>0.007024255373646156</x:v>
      </x:c>
      <x:c r="O272" s="75" t="n">
        <x:v>0.007677979742322349</x:v>
      </x:c>
      <x:c r="P272" s="75" t="n">
        <x:v>0.0019212894584911737</x:v>
      </x:c>
      <x:c r="Q272" s="75" t="n">
        <x:v>0.005220322580935317</x:v>
      </x:c>
      <x:c r="R272" s="75" t="n">
        <x:v>0.36696855186674865</x:v>
      </x:c>
      <x:c r="S272" s="75" t="n">
        <x:v>0.011572880153733422</x:v>
      </x:c>
      <x:c r="T272" s="75" t="n">
        <x:v>0.0047221305732382465</x:v>
      </x:c>
      <x:c r="U272" s="75" t="n">
        <x:v>0.009159953496477101</x:v>
      </x:c>
      <x:c r="V272" s="75" t="n">
        <x:v>0.038652232480671955</x:v>
      </x:c>
      <x:c r="W272" s="75" t="n">
        <x:v>0.012081048862772652</x:v>
      </x:c>
      <x:c r="X272" s="75" t="n">
        <x:v>0.03200507828064477</x:v>
      </x:c>
      <x:c r="Y272" s="75" t="n">
        <x:v>0.025633346441411034</x:v>
      </x:c>
      <x:c r="Z272" s="75" t="n">
        <x:v>0.007260559945965013</x:v>
      </x:c>
      <x:c r="AA272" s="75" t="n">
        <x:v>0.008452661857444158</x:v>
      </x:c>
      <x:c r="AB272" s="75" t="n">
        <x:v>0.008353276253171591</x:v>
      </x:c>
      <x:c r="AC272" s="75" t="n">
        <x:v>0.020036111199085768</x:v>
      </x:c>
      <x:c r="AD272" s="75" t="n">
        <x:v>0.10146281970021664</x:v>
      </x:c>
      <x:c r="AE272" s="75" t="n">
        <x:v>0.07688419137826713</x:v>
      </x:c>
      <x:c r="AF272" s="74" t="n">
        <x:v>8</x:v>
      </x:c>
    </x:row>
    <x:row r="273">
      <x:c r="A273" t="str">
        <x:v>2026 S2</x:v>
      </x:c>
      <x:c r="B273" t="str">
        <x:v>CNCT0068</x:v>
      </x:c>
      <x:c r="C273" s="74" t="n">
        <x:v>2522</x:v>
      </x:c>
      <x:c r="D273" s="74" t="n">
        <x:v>1336.677</x:v>
      </x:c>
      <x:c r="E273" s="75" t="n">
        <x:v>0.9830478871894447</x:v>
      </x:c>
      <x:c r="F273" s="75" t="n">
        <x:v>0.21065321656342711</x:v>
      </x:c>
      <x:c r="G273" s="75" t="n">
        <x:v>0.01290584315865999</x:v>
      </x:c>
      <x:c r="H273" s="75" t="n">
        <x:v>0.009458095196983778</x:v>
      </x:c>
      <x:c r="I273" s="75" t="n">
        <x:v>0.008794981209219259</x:v>
      </x:c>
      <x:c r="J273" s="75" t="n">
        <x:v>0.010879725060483906</x:v>
      </x:c>
      <x:c r="K273" s="75" t="n">
        <x:v>0.01023787772252399</x:v>
      </x:c>
      <x:c r="L273" s="75" t="n">
        <x:v>0.012283532473637023</x:v>
      </x:c>
      <x:c r="M273" s="75" t="n">
        <x:v>0.007968241048263736</x:v>
      </x:c>
      <x:c r="N273" s="75" t="n">
        <x:v>0.007024255373646156</x:v>
      </x:c>
      <x:c r="O273" s="75" t="n">
        <x:v>0.008167189054234768</x:v>
      </x:c>
      <x:c r="P273" s="75" t="n">
        <x:v>0.0019212894584911737</x:v>
      </x:c>
      <x:c r="Q273" s="75" t="n">
        <x:v>0.005220322580935317</x:v>
      </x:c>
      <x:c r="R273" s="75" t="n">
        <x:v>0.38442788522042004</x:v>
      </x:c>
      <x:c r="S273" s="75" t="n">
        <x:v>0.011572880153733422</x:v>
      </x:c>
      <x:c r="T273" s="75" t="n">
        <x:v>0.0047221305732382465</x:v>
      </x:c>
      <x:c r="U273" s="75" t="n">
        <x:v>0.009159953496477101</x:v>
      </x:c>
      <x:c r="V273" s="75" t="n">
        <x:v>0.038652232480671955</x:v>
      </x:c>
      <x:c r="W273" s="75" t="n">
        <x:v>0.010407494297347658</x:v>
      </x:c>
      <x:c r="X273" s="75" t="n">
        <x:v>0.02757150256368797</x:v>
      </x:c>
      <x:c r="Y273" s="75" t="n">
        <x:v>0.02208242926100502</x:v>
      </x:c>
      <x:c r="Z273" s="75" t="n">
        <x:v>0.006254774489492411</x:v>
      </x:c>
      <x:c r="AA273" s="75" t="n">
        <x:v>0.007281737792638015</x:v>
      </x:c>
      <x:c r="AB273" s="75" t="n">
        <x:v>0.007196119803549955</x:v>
      </x:c>
      <x:c r="AC273" s="75" t="n">
        <x:v>0.0172605636657984</x:v>
      </x:c>
      <x:c r="AD273" s="75" t="n">
        <x:v>0.10146281970021664</x:v>
      </x:c>
      <x:c r="AE273" s="75" t="n">
        <x:v>0.07688419137826713</x:v>
      </x:c>
      <x:c r="AF273" s="74" t="n">
        <x:v>8</x:v>
      </x:c>
    </x:row>
    <x:row r="274">
      <x:c r="A274" t="str">
        <x:v>2025 S1</x:v>
      </x:c>
      <x:c r="B274" t="str">
        <x:v>CNCT0069</x:v>
      </x:c>
      <x:c r="C274" s="74" t="n">
        <x:v>2770</x:v>
      </x:c>
      <x:c r="D274" s="74" t="n">
        <x:v>1206.259</x:v>
      </x:c>
      <x:c r="E274" s="75" t="n">
        <x:v>0.9781752635994344</x:v>
      </x:c>
      <x:c r="F274" s="75" t="n">
        <x:v>0.19082929053111003</x:v>
      </x:c>
      <x:c r="G274" s="75" t="n">
        <x:v>0.012050921859870868</x:v>
      </x:c>
      <x:c r="H274" s="75" t="n">
        <x:v>0.007597114114232682</x:v>
      </x:c>
      <x:c r="I274" s="75" t="n">
        <x:v>0.007479016779750964</x:v>
      </x:c>
      <x:c r="J274" s="75" t="n">
        <x:v>0.010481808334065135</x:v>
      </x:c>
      <x:c r="K274" s="75" t="n">
        <x:v>0.013175810084154364</x:v>
      </x:c>
      <x:c r="L274" s="75" t="n">
        <x:v>0.008361376667686271</x:v>
      </x:c>
      <x:c r="M274" s="75" t="n">
        <x:v>0.00806281077694439</x:v>
      </x:c>
      <x:c r="N274" s="75" t="n">
        <x:v>0.007666629752609879</x:v>
      </x:c>
      <x:c r="O274" s="75" t="n">
        <x:v>0.0066672489421180205</x:v>
      </x:c>
      <x:c r="P274" s="75" t="n">
        <x:v>0.0009579494425197481</x:v>
      </x:c>
      <x:c r="Q274" s="75" t="n">
        <x:v>0.002440382352511733</x:v>
      </x:c>
      <x:c r="R274" s="75" t="n">
        <x:v>0.3759456680578599</x:v>
      </x:c>
      <x:c r="S274" s="75" t="n">
        <x:v>0.013601515062406179</x:v>
      </x:c>
      <x:c r="T274" s="75" t="n">
        <x:v>0.005302095475388341</x:v>
      </x:c>
      <x:c r="U274" s="75" t="n">
        <x:v>0.007971596976480214</x:v>
      </x:c>
      <x:c r="V274" s="75" t="n">
        <x:v>0.03750107144389767</x:v>
      </x:c>
      <x:c r="W274" s="75" t="n">
        <x:v>0.013832913966260093</x:v>
      </x:c>
      <x:c r="X274" s="75" t="n">
        <x:v>0.025630901946962693</x:v>
      </x:c>
      <x:c r="Y274" s="75" t="n">
        <x:v>0.01701274377020309</x:v>
      </x:c>
      <x:c r="Z274" s="75" t="n">
        <x:v>0.007806646620083484</x:v>
      </x:c>
      <x:c r="AA274" s="75" t="n">
        <x:v>0.006005261698490358</x:v>
      </x:c>
      <x:c r="AB274" s="75" t="n">
        <x:v>0.006955845442891587</x:v>
      </x:c>
      <x:c r="AC274" s="75" t="n">
        <x:v>0.024377683033118956</x:v>
      </x:c>
      <x:c r="AD274" s="75" t="n">
        <x:v>0.09550660600050469</x:v>
      </x:c>
      <x:c r="AE274" s="75" t="n">
        <x:v>0.09221359203307657</x:v>
      </x:c>
      <x:c r="AF274" s="74" t="n">
        <x:v>11</x:v>
      </x:c>
    </x:row>
    <x:row r="275">
      <x:c r="A275" t="str">
        <x:v>2025 S2</x:v>
      </x:c>
      <x:c r="B275" t="str">
        <x:v>CNCT0069</x:v>
      </x:c>
      <x:c r="C275" s="74" t="n">
        <x:v>2924</x:v>
      </x:c>
      <x:c r="D275" s="74" t="n">
        <x:v>1220.735</x:v>
      </x:c>
      <x:c r="E275" s="75" t="n">
        <x:v>0.9610547473974002</x:v>
      </x:c>
      <x:c r="F275" s="75" t="n">
        <x:v>0.19082929053111003</x:v>
      </x:c>
      <x:c r="G275" s="75" t="n">
        <x:v>0.012050921859870868</x:v>
      </x:c>
      <x:c r="H275" s="75" t="n">
        <x:v>0.007597114114232682</x:v>
      </x:c>
      <x:c r="I275" s="75" t="n">
        <x:v>0.007479016779750964</x:v>
      </x:c>
      <x:c r="J275" s="75" t="n">
        <x:v>0.010481808334065135</x:v>
      </x:c>
      <x:c r="K275" s="75" t="n">
        <x:v>0.013175810084154364</x:v>
      </x:c>
      <x:c r="L275" s="75" t="n">
        <x:v>0.008361376667686271</x:v>
      </x:c>
      <x:c r="M275" s="75" t="n">
        <x:v>0.00806281077694439</x:v>
      </x:c>
      <x:c r="N275" s="75" t="n">
        <x:v>0.007666629752609879</x:v>
      </x:c>
      <x:c r="O275" s="75" t="n">
        <x:v>0.0066672489421180205</x:v>
      </x:c>
      <x:c r="P275" s="75" t="n">
        <x:v>0.0009579494425197481</x:v>
      </x:c>
      <x:c r="Q275" s="75" t="n">
        <x:v>0.002440382352511733</x:v>
      </x:c>
      <x:c r="R275" s="75" t="n">
        <x:v>0.3644265254675387</x:v>
      </x:c>
      <x:c r="S275" s="75" t="n">
        <x:v>0.013601515062406179</x:v>
      </x:c>
      <x:c r="T275" s="75" t="n">
        <x:v>0.005302095475388341</x:v>
      </x:c>
      <x:c r="U275" s="75" t="n">
        <x:v>0.007971596976480214</x:v>
      </x:c>
      <x:c r="V275" s="75" t="n">
        <x:v>0.03750107144389767</x:v>
      </x:c>
      <x:c r="W275" s="75" t="n">
        <x:v>0.013832913966260093</x:v>
      </x:c>
      <x:c r="X275" s="75" t="n">
        <x:v>0.025630901946962693</x:v>
      </x:c>
      <x:c r="Y275" s="75" t="n">
        <x:v>0.01701274377020309</x:v>
      </x:c>
      <x:c r="Z275" s="75" t="n">
        <x:v>0.007806646620083484</x:v>
      </x:c>
      <x:c r="AA275" s="75" t="n">
        <x:v>0.006005261698490358</x:v>
      </x:c>
      <x:c r="AB275" s="75" t="n">
        <x:v>0.006955845442891587</x:v>
      </x:c>
      <x:c r="AC275" s="75" t="n">
        <x:v>0.024377683033118956</x:v>
      </x:c>
      <x:c r="AD275" s="75" t="n">
        <x:v>0.09550660600050469</x:v>
      </x:c>
      <x:c r="AE275" s="75" t="n">
        <x:v>0.09221359203307657</x:v>
      </x:c>
      <x:c r="AF275" s="74" t="n">
        <x:v>11</x:v>
      </x:c>
    </x:row>
    <x:row r="276">
      <x:c r="A276" t="str">
        <x:v>2026 S1</x:v>
      </x:c>
      <x:c r="B276" t="str">
        <x:v>CNCT0069</x:v>
      </x:c>
      <x:c r="C276" s="74" t="n">
        <x:v>2877</x:v>
      </x:c>
      <x:c r="D276" s="74" t="n">
        <x:v>1249.898</x:v>
      </x:c>
      <x:c r="E276" s="75" t="n">
        <x:v>0.9742663266120944</x:v>
      </x:c>
      <x:c r="F276" s="75" t="n">
        <x:v>0.19266907119174723</x:v>
      </x:c>
      <x:c r="G276" s="75" t="n">
        <x:v>0.01358845744300561</x:v>
      </x:c>
      <x:c r="H276" s="75" t="n">
        <x:v>0.007597114114232682</x:v>
      </x:c>
      <x:c r="I276" s="75" t="n">
        <x:v>0.007479016779750964</x:v>
      </x:c>
      <x:c r="J276" s="75" t="n">
        <x:v>0.010481808334065135</x:v>
      </x:c>
      <x:c r="K276" s="75" t="n">
        <x:v>0.013175810084154364</x:v>
      </x:c>
      <x:c r="L276" s="75" t="n">
        <x:v>0.008361376667686271</x:v>
      </x:c>
      <x:c r="M276" s="75" t="n">
        <x:v>0.00806281077694439</x:v>
      </x:c>
      <x:c r="N276" s="75" t="n">
        <x:v>0.007666629752609879</x:v>
      </x:c>
      <x:c r="O276" s="75" t="n">
        <x:v>0.00660001733667741</x:v>
      </x:c>
      <x:c r="P276" s="75" t="n">
        <x:v>0.0009579494425197481</x:v>
      </x:c>
      <x:c r="Q276" s="75" t="n">
        <x:v>0.002440382352511733</x:v>
      </x:c>
      <x:c r="R276" s="75" t="n">
        <x:v>0.37775703738657407</x:v>
      </x:c>
      <x:c r="S276" s="75" t="n">
        <x:v>0.013601515062406179</x:v>
      </x:c>
      <x:c r="T276" s="75" t="n">
        <x:v>0.005302095475388341</x:v>
      </x:c>
      <x:c r="U276" s="75" t="n">
        <x:v>0.007971596976480214</x:v>
      </x:c>
      <x:c r="V276" s="75" t="n">
        <x:v>0.03750107144389767</x:v>
      </x:c>
      <x:c r="W276" s="75" t="n">
        <x:v>0.017020722861075054</x:v>
      </x:c>
      <x:c r="X276" s="75" t="n">
        <x:v>0.03153756900264945</x:v>
      </x:c>
      <x:c r="Y276" s="75" t="n">
        <x:v>0.02093334763198825</x:v>
      </x:c>
      <x:c r="Z276" s="75" t="n">
        <x:v>0.009605696161986156</x:v>
      </x:c>
      <x:c r="AA276" s="75" t="n">
        <x:v>0.007389180278829428</x:v>
      </x:c>
      <x:c r="AB276" s="75" t="n">
        <x:v>0.00855882700034885</x:v>
      </x:c>
      <x:c r="AC276" s="75" t="n">
        <x:v>0.029995544533414735</x:v>
      </x:c>
      <x:c r="AD276" s="75" t="n">
        <x:v>0.09550660600050469</x:v>
      </x:c>
      <x:c r="AE276" s="75" t="n">
        <x:v>0.09221359203307657</x:v>
      </x:c>
      <x:c r="AF276" s="74" t="n">
        <x:v>11</x:v>
      </x:c>
    </x:row>
    <x:row r="277">
      <x:c r="A277" t="str">
        <x:v>2026 S2</x:v>
      </x:c>
      <x:c r="B277" t="str">
        <x:v>CNCT0069</x:v>
      </x:c>
      <x:c r="C277" s="74" t="n">
        <x:v>2967</x:v>
      </x:c>
      <x:c r="D277" s="74" t="n">
        <x:v>1268.59</x:v>
      </x:c>
      <x:c r="E277" s="75" t="n">
        <x:v>0.9610547473974002</x:v>
      </x:c>
      <x:c r="F277" s="75" t="n">
        <x:v>0.18812967627396576</x:v>
      </x:c>
      <x:c r="G277" s="75" t="n">
        <x:v>0.01189842260455407</x:v>
      </x:c>
      <x:c r="H277" s="75" t="n">
        <x:v>0.007597114114232682</x:v>
      </x:c>
      <x:c r="I277" s="75" t="n">
        <x:v>0.007479016779750964</x:v>
      </x:c>
      <x:c r="J277" s="75" t="n">
        <x:v>0.010481808334065135</x:v>
      </x:c>
      <x:c r="K277" s="75" t="n">
        <x:v>0.013175810084154364</x:v>
      </x:c>
      <x:c r="L277" s="75" t="n">
        <x:v>0.008361376667686271</x:v>
      </x:c>
      <x:c r="M277" s="75" t="n">
        <x:v>0.00806281077694439</x:v>
      </x:c>
      <x:c r="N277" s="75" t="n">
        <x:v>0.007666629752609879</x:v>
      </x:c>
      <x:c r="O277" s="75" t="n">
        <x:v>0.0066672489421180205</x:v>
      </x:c>
      <x:c r="P277" s="75" t="n">
        <x:v>0.0009579494425197481</x:v>
      </x:c>
      <x:c r="Q277" s="75" t="n">
        <x:v>0.002440382352511733</x:v>
      </x:c>
      <x:c r="R277" s="75" t="n">
        <x:v>0.35746698260747434</x:v>
      </x:c>
      <x:c r="S277" s="75" t="n">
        <x:v>0.013601515062406179</x:v>
      </x:c>
      <x:c r="T277" s="75" t="n">
        <x:v>0.005302095475388341</x:v>
      </x:c>
      <x:c r="U277" s="75" t="n">
        <x:v>0.007971596976480214</x:v>
      </x:c>
      <x:c r="V277" s="75" t="n">
        <x:v>0.03750107144389767</x:v>
      </x:c>
      <x:c r="W277" s="75" t="n">
        <x:v>0.0146628888042357</x:v>
      </x:c>
      <x:c r="X277" s="75" t="n">
        <x:v>0.027168756063780455</x:v>
      </x:c>
      <x:c r="Y277" s="75" t="n">
        <x:v>0.018033508396415276</x:v>
      </x:c>
      <x:c r="Z277" s="75" t="n">
        <x:v>0.008275045417288494</x:v>
      </x:c>
      <x:c r="AA277" s="75" t="n">
        <x:v>0.00636557740039978</x:v>
      </x:c>
      <x:c r="AB277" s="75" t="n">
        <x:v>0.007373196169465082</x:v>
      </x:c>
      <x:c r="AC277" s="75" t="n">
        <x:v>0.025840344015106095</x:v>
      </x:c>
      <x:c r="AD277" s="75" t="n">
        <x:v>0.09550660600050469</x:v>
      </x:c>
      <x:c r="AE277" s="75" t="n">
        <x:v>0.09221359203307657</x:v>
      </x:c>
      <x:c r="AF277" s="74" t="n">
        <x:v>11</x:v>
      </x:c>
    </x:row>
    <x:row r="278">
      <x:c r="A278" t="str">
        <x:v>2025 S1</x:v>
      </x:c>
      <x:c r="B278" t="str">
        <x:v>CNCT0070</x:v>
      </x:c>
      <x:c r="C278" s="74" t="n">
        <x:v>1657</x:v>
      </x:c>
      <x:c r="D278" s="74" t="n">
        <x:v>966.884</x:v>
      </x:c>
      <x:c r="E278" s="75" t="n">
        <x:v>0.9831255267114611</x:v>
      </x:c>
      <x:c r="F278" s="75" t="n">
        <x:v>0.16381734365853481</x:v>
      </x:c>
      <x:c r="G278" s="75" t="n">
        <x:v>0.015070873868622584</x:v>
      </x:c>
      <x:c r="H278" s="75" t="n">
        <x:v>0.01086659891450836</x:v>
      </x:c>
      <x:c r="I278" s="75" t="n">
        <x:v>0.009166147197236569</x:v>
      </x:c>
      <x:c r="J278" s="75" t="n">
        <x:v>0.012302781263191719</x:v>
      </x:c>
      <x:c r="K278" s="75" t="n">
        <x:v>0.011292073437296494</x:v>
      </x:c>
      <x:c r="L278" s="75" t="n">
        <x:v>0.009405031963571673</x:v>
      </x:c>
      <x:c r="M278" s="75" t="n">
        <x:v>0.006976803790646954</x:v>
      </x:c>
      <x:c r="N278" s="75" t="n">
        <x:v>0.007326225981378229</x:v>
      </x:c>
      <x:c r="O278" s="75" t="n">
        <x:v>0.010120405543799279</x:v>
      </x:c>
      <x:c r="P278" s="75" t="n">
        <x:v>0.001087023612424673</x:v>
      </x:c>
      <x:c r="Q278" s="75" t="n">
        <x:v>0.0012205245649311112</x:v>
      </x:c>
      <x:c r="R278" s="75" t="n">
        <x:v>0.38048169498117557</x:v>
      </x:c>
      <x:c r="S278" s="75" t="n">
        <x:v>0.015070812520116305</x:v>
      </x:c>
      <x:c r="T278" s="75" t="n">
        <x:v>0.004042092828547084</x:v>
      </x:c>
      <x:c r="U278" s="75" t="n">
        <x:v>0.012482513977898634</x:v>
      </x:c>
      <x:c r="V278" s="75" t="n">
        <x:v>0.036860296308848774</x:v>
      </x:c>
      <x:c r="W278" s="75" t="n">
        <x:v>0.012153265781569644</x:v>
      </x:c>
      <x:c r="X278" s="75" t="n">
        <x:v>0.017469161063410864</x:v>
      </x:c>
      <x:c r="Y278" s="75" t="n">
        <x:v>0.017965076022883296</x:v>
      </x:c>
      <x:c r="Z278" s="75" t="n">
        <x:v>0.006702685413038125</x:v>
      </x:c>
      <x:c r="AA278" s="75" t="n">
        <x:v>0.008544322981513688</x:v>
      </x:c>
      <x:c r="AB278" s="75" t="n">
        <x:v>0.003232455980993109</x:v>
      </x:c>
      <x:c r="AC278" s="75" t="n">
        <x:v>0.026553780455113155</x:v>
      </x:c>
      <x:c r="AD278" s="75" t="n">
        <x:v>0.09543816372493166</x:v>
      </x:c>
      <x:c r="AE278" s="75" t="n">
        <x:v>0.06948469203547575</x:v>
      </x:c>
      <x:c r="AF278" s="74" t="n">
        <x:v>8</x:v>
      </x:c>
    </x:row>
    <x:row r="279">
      <x:c r="A279" t="str">
        <x:v>2025 S2</x:v>
      </x:c>
      <x:c r="B279" t="str">
        <x:v>CNCT0070</x:v>
      </x:c>
      <x:c r="C279" s="74" t="n">
        <x:v>1801</x:v>
      </x:c>
      <x:c r="D279" s="74" t="n">
        <x:v>978.487</x:v>
      </x:c>
      <x:c r="E279" s="75" t="n">
        <x:v>0.9785817804757971</x:v>
      </x:c>
      <x:c r="F279" s="75" t="n">
        <x:v>0.16381734365853481</x:v>
      </x:c>
      <x:c r="G279" s="75" t="n">
        <x:v>0.015070873868622584</x:v>
      </x:c>
      <x:c r="H279" s="75" t="n">
        <x:v>0.01086659891450836</x:v>
      </x:c>
      <x:c r="I279" s="75" t="n">
        <x:v>0.009166147197236569</x:v>
      </x:c>
      <x:c r="J279" s="75" t="n">
        <x:v>0.012302781263191719</x:v>
      </x:c>
      <x:c r="K279" s="75" t="n">
        <x:v>0.011292073437296494</x:v>
      </x:c>
      <x:c r="L279" s="75" t="n">
        <x:v>0.009405031963571673</x:v>
      </x:c>
      <x:c r="M279" s="75" t="n">
        <x:v>0.006976803790646954</x:v>
      </x:c>
      <x:c r="N279" s="75" t="n">
        <x:v>0.007326225981378229</x:v>
      </x:c>
      <x:c r="O279" s="75" t="n">
        <x:v>0.010120405543799279</x:v>
      </x:c>
      <x:c r="P279" s="75" t="n">
        <x:v>0.001087023612424673</x:v>
      </x:c>
      <x:c r="Q279" s="75" t="n">
        <x:v>0.0012205245649311112</x:v>
      </x:c>
      <x:c r="R279" s="75" t="n">
        <x:v>0.38691350506869837</x:v>
      </x:c>
      <x:c r="S279" s="75" t="n">
        <x:v>0.015070812520116305</x:v>
      </x:c>
      <x:c r="T279" s="75" t="n">
        <x:v>0.004042092828547084</x:v>
      </x:c>
      <x:c r="U279" s="75" t="n">
        <x:v>0.012482513977898634</x:v>
      </x:c>
      <x:c r="V279" s="75" t="n">
        <x:v>0.036860296308848774</x:v>
      </x:c>
      <x:c r="W279" s="75" t="n">
        <x:v>0.012153265781569644</x:v>
      </x:c>
      <x:c r="X279" s="75" t="n">
        <x:v>0.017469161063410864</x:v>
      </x:c>
      <x:c r="Y279" s="75" t="n">
        <x:v>0.017965076022883296</x:v>
      </x:c>
      <x:c r="Z279" s="75" t="n">
        <x:v>0.006702685413038125</x:v>
      </x:c>
      <x:c r="AA279" s="75" t="n">
        <x:v>0.008544322981513688</x:v>
      </x:c>
      <x:c r="AB279" s="75" t="n">
        <x:v>0.003232455980993109</x:v>
      </x:c>
      <x:c r="AC279" s="75" t="n">
        <x:v>0.026553780455113155</x:v>
      </x:c>
      <x:c r="AD279" s="75" t="n">
        <x:v>0.09543816372493166</x:v>
      </x:c>
      <x:c r="AE279" s="75" t="n">
        <x:v>0.06948469203547575</x:v>
      </x:c>
      <x:c r="AF279" s="74" t="n">
        <x:v>8</x:v>
      </x:c>
    </x:row>
    <x:row r="280">
      <x:c r="A280" t="str">
        <x:v>2026 S1</x:v>
      </x:c>
      <x:c r="B280" t="str">
        <x:v>CNCT0070</x:v>
      </x:c>
      <x:c r="C280" s="74" t="n">
        <x:v>1713</x:v>
      </x:c>
      <x:c r="D280" s="74" t="n">
        <x:v>1020.089</x:v>
      </x:c>
      <x:c r="E280" s="75" t="n">
        <x:v>0.9844988798993872</x:v>
      </x:c>
      <x:c r="F280" s="75" t="n">
        <x:v>0.16763865798787447</x:v>
      </x:c>
      <x:c r="G280" s="75" t="n">
        <x:v>0.01431330815135152</x:v>
      </x:c>
      <x:c r="H280" s="75" t="n">
        <x:v>0.01086659891450836</x:v>
      </x:c>
      <x:c r="I280" s="75" t="n">
        <x:v>0.009166147197236569</x:v>
      </x:c>
      <x:c r="J280" s="75" t="n">
        <x:v>0.012302781263191719</x:v>
      </x:c>
      <x:c r="K280" s="75" t="n">
        <x:v>0.011292073437296494</x:v>
      </x:c>
      <x:c r="L280" s="75" t="n">
        <x:v>0.009405031963571673</x:v>
      </x:c>
      <x:c r="M280" s="75" t="n">
        <x:v>0.006976803790646954</x:v>
      </x:c>
      <x:c r="N280" s="75" t="n">
        <x:v>0.007326225981378229</x:v>
      </x:c>
      <x:c r="O280" s="75" t="n">
        <x:v>0.009405495233513647</x:v>
      </x:c>
      <x:c r="P280" s="75" t="n">
        <x:v>0.001087023612424673</x:v>
      </x:c>
      <x:c r="Q280" s="75" t="n">
        <x:v>0.0012205245649311112</x:v>
      </x:c>
      <x:c r="R280" s="75" t="n">
        <x:v>0.3767116157546393</x:v>
      </x:c>
      <x:c r="S280" s="75" t="n">
        <x:v>0.015070812520116305</x:v>
      </x:c>
      <x:c r="T280" s="75" t="n">
        <x:v>0.004042092828547084</x:v>
      </x:c>
      <x:c r="U280" s="75" t="n">
        <x:v>0.012482513977898634</x:v>
      </x:c>
      <x:c r="V280" s="75" t="n">
        <x:v>0.036860296308848774</x:v>
      </x:c>
      <x:c r="W280" s="75" t="n">
        <x:v>0.014953998067914694</x:v>
      </x:c>
      <x:c r="X280" s="75" t="n">
        <x:v>0.021494946748099278</x:v>
      </x:c>
      <x:c r="Y280" s="75" t="n">
        <x:v>0.0221051458072729</x:v>
      </x:c>
      <x:c r="Z280" s="75" t="n">
        <x:v>0.00824732598775329</x:v>
      </x:c>
      <x:c r="AA280" s="75" t="n">
        <x:v>0.01051337078063083</x:v>
      </x:c>
      <x:c r="AB280" s="75" t="n">
        <x:v>0.003977378703236685</x:v>
      </x:c>
      <x:c r="AC280" s="75" t="n">
        <x:v>0.03267312578844202</x:v>
      </x:c>
      <x:c r="AD280" s="75" t="n">
        <x:v>0.09543816372493166</x:v>
      </x:c>
      <x:c r="AE280" s="75" t="n">
        <x:v>0.06948469203547575</x:v>
      </x:c>
      <x:c r="AF280" s="74" t="n">
        <x:v>8</x:v>
      </x:c>
    </x:row>
    <x:row r="281">
      <x:c r="A281" t="str">
        <x:v>2026 S2</x:v>
      </x:c>
      <x:c r="B281" t="str">
        <x:v>CNCT0070</x:v>
      </x:c>
      <x:c r="C281" s="74" t="n">
        <x:v>1936</x:v>
      </x:c>
      <x:c r="D281" s="74" t="n">
        <x:v>1021.027</x:v>
      </x:c>
      <x:c r="E281" s="75" t="n">
        <x:v>0.9785817804757971</x:v>
      </x:c>
      <x:c r="F281" s="75" t="n">
        <x:v>0.1683285423024863</x:v>
      </x:c>
      <x:c r="G281" s="75" t="n">
        <x:v>0.015115621337812626</x:v>
      </x:c>
      <x:c r="H281" s="75" t="n">
        <x:v>0.01086659891450836</x:v>
      </x:c>
      <x:c r="I281" s="75" t="n">
        <x:v>0.009166147197236569</x:v>
      </x:c>
      <x:c r="J281" s="75" t="n">
        <x:v>0.012302781263191719</x:v>
      </x:c>
      <x:c r="K281" s="75" t="n">
        <x:v>0.011292073437296494</x:v>
      </x:c>
      <x:c r="L281" s="75" t="n">
        <x:v>0.009405031963571673</x:v>
      </x:c>
      <x:c r="M281" s="75" t="n">
        <x:v>0.006976803790646954</x:v>
      </x:c>
      <x:c r="N281" s="75" t="n">
        <x:v>0.007326225981378229</x:v>
      </x:c>
      <x:c r="O281" s="75" t="n">
        <x:v>0.010120405543799279</x:v>
      </x:c>
      <x:c r="P281" s="75" t="n">
        <x:v>0.001087023612424673</x:v>
      </x:c>
      <x:c r="Q281" s="75" t="n">
        <x:v>0.0012205245649311112</x:v>
      </x:c>
      <x:c r="R281" s="75" t="n">
        <x:v>0.3871608581618098</x:v>
      </x:c>
      <x:c r="S281" s="75" t="n">
        <x:v>0.015070812520116305</x:v>
      </x:c>
      <x:c r="T281" s="75" t="n">
        <x:v>0.004042092828547084</x:v>
      </x:c>
      <x:c r="U281" s="75" t="n">
        <x:v>0.012482513977898634</x:v>
      </x:c>
      <x:c r="V281" s="75" t="n">
        <x:v>0.036860296308848774</x:v>
      </x:c>
      <x:c r="W281" s="75" t="n">
        <x:v>0.012882461728463824</x:v>
      </x:c>
      <x:c r="X281" s="75" t="n">
        <x:v>0.018517310727215516</x:v>
      </x:c>
      <x:c r="Y281" s="75" t="n">
        <x:v>0.019042980584256294</x:v>
      </x:c>
      <x:c r="Z281" s="75" t="n">
        <x:v>0.007104846537820413</x:v>
      </x:c>
      <x:c r="AA281" s="75" t="n">
        <x:v>0.00905698236040451</x:v>
      </x:c>
      <x:c r="AB281" s="75" t="n">
        <x:v>0.003426403339852696</x:v>
      </x:c>
      <x:c r="AC281" s="75" t="n">
        <x:v>0.028147007282419947</x:v>
      </x:c>
      <x:c r="AD281" s="75" t="n">
        <x:v>0.09543816372493166</x:v>
      </x:c>
      <x:c r="AE281" s="75" t="n">
        <x:v>0.06948469203547575</x:v>
      </x:c>
      <x:c r="AF281" s="74" t="n">
        <x:v>8</x:v>
      </x:c>
    </x:row>
    <x:row r="282">
      <x:c r="A282" t="str">
        <x:v>2025 S1</x:v>
      </x:c>
      <x:c r="B282" t="str">
        <x:v>CNCT0071</x:v>
      </x:c>
      <x:c r="C282" s="74" t="n">
        <x:v>1771</x:v>
      </x:c>
      <x:c r="D282" s="74" t="n">
        <x:v>1001.872</x:v>
      </x:c>
      <x:c r="E282" s="75" t="n">
        <x:v>0.983810093451757</x:v>
      </x:c>
      <x:c r="F282" s="75" t="n">
        <x:v>0.19541986811626702</x:v>
      </x:c>
      <x:c r="G282" s="75" t="n">
        <x:v>0.014645946211967385</x:v>
      </x:c>
      <x:c r="H282" s="75" t="n">
        <x:v>0.011380308587838953</x:v>
      </x:c>
      <x:c r="I282" s="75" t="n">
        <x:v>0.007791217777847123</x:v>
      </x:c>
      <x:c r="J282" s="75" t="n">
        <x:v>0.016188073382165387</x:v>
      </x:c>
      <x:c r="K282" s="75" t="n">
        <x:v>0.01166172892229224</x:v>
      </x:c>
      <x:c r="L282" s="75" t="n">
        <x:v>0.011788812435072031</x:v>
      </x:c>
      <x:c r="M282" s="75" t="n">
        <x:v>0.008676344839594095</x:v>
      </x:c>
      <x:c r="N282" s="75" t="n">
        <x:v>0.006829170032899129</x:v>
      </x:c>
      <x:c r="O282" s="75" t="n">
        <x:v>0.015501632320752832</x:v>
      </x:c>
      <x:c r="P282" s="75" t="n">
        <x:v>0.0021843878930958454</x:v>
      </x:c>
      <x:c r="Q282" s="75" t="n">
        <x:v>0.0010151315323746529</x:v>
      </x:c>
      <x:c r="R282" s="75" t="n">
        <x:v>0.35252326917401383</x:v>
      </x:c>
      <x:c r="S282" s="75" t="n">
        <x:v>0.01310090530130401</x:v>
      </x:c>
      <x:c r="T282" s="75" t="n">
        <x:v>0.003431795512471581</x:v>
      </x:c>
      <x:c r="U282" s="75" t="n">
        <x:v>0.007136927425483008</x:v>
      </x:c>
      <x:c r="V282" s="75" t="n">
        <x:v>0.030542931902171406</x:v>
      </x:c>
      <x:c r="W282" s="75" t="n">
        <x:v>0.010719884063088103</x:v>
      </x:c>
      <x:c r="X282" s="75" t="n">
        <x:v>0.026305558618580107</x:v>
      </x:c>
      <x:c r="Y282" s="75" t="n">
        <x:v>0.01355753061224823</x:v>
      </x:c>
      <x:c r="Z282" s="75" t="n">
        <x:v>0.006331046831444837</x:v>
      </x:c>
      <x:c r="AA282" s="75" t="n">
        <x:v>0.00618085316921497</x:v>
      </x:c>
      <x:c r="AB282" s="75" t="n">
        <x:v>0.004644766684858042</x:v>
      </x:c>
      <x:c r="AC282" s="75" t="n">
        <x:v>0.018602461797185242</x:v>
      </x:c>
      <x:c r="AD282" s="75" t="n">
        <x:v>0.10562096825854679</x:v>
      </x:c>
      <x:c r="AE282" s="75" t="n">
        <x:v>0.07221938108385074</x:v>
      </x:c>
      <x:c r="AF282" s="74" t="n">
        <x:v>11</x:v>
      </x:c>
    </x:row>
    <x:row r="283">
      <x:c r="A283" t="str">
        <x:v>2025 S2</x:v>
      </x:c>
      <x:c r="B283" t="str">
        <x:v>CNCT0071</x:v>
      </x:c>
      <x:c r="C283" s="74" t="n">
        <x:v>1871</x:v>
      </x:c>
      <x:c r="D283" s="74" t="n">
        <x:v>1013.894</x:v>
      </x:c>
      <x:c r="E283" s="75" t="n">
        <x:v>0.9705461028685677</x:v>
      </x:c>
      <x:c r="F283" s="75" t="n">
        <x:v>0.19541986811626702</x:v>
      </x:c>
      <x:c r="G283" s="75" t="n">
        <x:v>0.014645946211967385</x:v>
      </x:c>
      <x:c r="H283" s="75" t="n">
        <x:v>0.011380308587838953</x:v>
      </x:c>
      <x:c r="I283" s="75" t="n">
        <x:v>0.007791217777847123</x:v>
      </x:c>
      <x:c r="J283" s="75" t="n">
        <x:v>0.016188073382165387</x:v>
      </x:c>
      <x:c r="K283" s="75" t="n">
        <x:v>0.01166172892229224</x:v>
      </x:c>
      <x:c r="L283" s="75" t="n">
        <x:v>0.011788812435072031</x:v>
      </x:c>
      <x:c r="M283" s="75" t="n">
        <x:v>0.008676344839594095</x:v>
      </x:c>
      <x:c r="N283" s="75" t="n">
        <x:v>0.006829170032899129</x:v>
      </x:c>
      <x:c r="O283" s="75" t="n">
        <x:v>0.015501632320752832</x:v>
      </x:c>
      <x:c r="P283" s="75" t="n">
        <x:v>0.0021843878930958454</x:v>
      </x:c>
      <x:c r="Q283" s="75" t="n">
        <x:v>0.0010151315323746529</x:v>
      </x:c>
      <x:c r="R283" s="75" t="n">
        <x:v>0.3764678157641347</x:v>
      </x:c>
      <x:c r="S283" s="75" t="n">
        <x:v>0.01310090530130401</x:v>
      </x:c>
      <x:c r="T283" s="75" t="n">
        <x:v>0.003431795512471581</x:v>
      </x:c>
      <x:c r="U283" s="75" t="n">
        <x:v>0.007136927425483008</x:v>
      </x:c>
      <x:c r="V283" s="75" t="n">
        <x:v>0.030542931902171406</x:v>
      </x:c>
      <x:c r="W283" s="75" t="n">
        <x:v>0.010719884063088103</x:v>
      </x:c>
      <x:c r="X283" s="75" t="n">
        <x:v>0.026305558618580107</x:v>
      </x:c>
      <x:c r="Y283" s="75" t="n">
        <x:v>0.01355753061224823</x:v>
      </x:c>
      <x:c r="Z283" s="75" t="n">
        <x:v>0.006331046831444837</x:v>
      </x:c>
      <x:c r="AA283" s="75" t="n">
        <x:v>0.00618085316921497</x:v>
      </x:c>
      <x:c r="AB283" s="75" t="n">
        <x:v>0.004644766684858042</x:v>
      </x:c>
      <x:c r="AC283" s="75" t="n">
        <x:v>0.018602461797185242</x:v>
      </x:c>
      <x:c r="AD283" s="75" t="n">
        <x:v>0.10562096825854679</x:v>
      </x:c>
      <x:c r="AE283" s="75" t="n">
        <x:v>0.07221938108385074</x:v>
      </x:c>
      <x:c r="AF283" s="74" t="n">
        <x:v>11</x:v>
      </x:c>
    </x:row>
    <x:row r="284">
      <x:c r="A284" t="str">
        <x:v>2026 S1</x:v>
      </x:c>
      <x:c r="B284" t="str">
        <x:v>CNCT0071</x:v>
      </x:c>
      <x:c r="C284" s="74" t="n">
        <x:v>1693</x:v>
      </x:c>
      <x:c r="D284" s="74" t="n">
        <x:v>1046.041</x:v>
      </x:c>
      <x:c r="E284" s="75" t="n">
        <x:v>0.9829947474858054</x:v>
      </x:c>
      <x:c r="F284" s="75" t="n">
        <x:v>0.20068398333821097</x:v>
      </x:c>
      <x:c r="G284" s="75" t="n">
        <x:v>0.014436245020187926</x:v>
      </x:c>
      <x:c r="H284" s="75" t="n">
        <x:v>0.011380308587838953</x:v>
      </x:c>
      <x:c r="I284" s="75" t="n">
        <x:v>0.007791217777847123</x:v>
      </x:c>
      <x:c r="J284" s="75" t="n">
        <x:v>0.016188073382165387</x:v>
      </x:c>
      <x:c r="K284" s="75" t="n">
        <x:v>0.01166172892229224</x:v>
      </x:c>
      <x:c r="L284" s="75" t="n">
        <x:v>0.011788812435072031</x:v>
      </x:c>
      <x:c r="M284" s="75" t="n">
        <x:v>0.008676344839594095</x:v>
      </x:c>
      <x:c r="N284" s="75" t="n">
        <x:v>0.006829170032899129</x:v>
      </x:c>
      <x:c r="O284" s="75" t="n">
        <x:v>0.016505527640751097</x:v>
      </x:c>
      <x:c r="P284" s="75" t="n">
        <x:v>0.0021843878930958454</x:v>
      </x:c>
      <x:c r="Q284" s="75" t="n">
        <x:v>0.0010151315323746529</x:v>
      </x:c>
      <x:c r="R284" s="75" t="n">
        <x:v>0.3453405306412472</x:v>
      </x:c>
      <x:c r="S284" s="75" t="n">
        <x:v>0.01310090530130401</x:v>
      </x:c>
      <x:c r="T284" s="75" t="n">
        <x:v>0.003431795512471581</x:v>
      </x:c>
      <x:c r="U284" s="75" t="n">
        <x:v>0.007136927425483008</x:v>
      </x:c>
      <x:c r="V284" s="75" t="n">
        <x:v>0.030542931902171406</x:v>
      </x:c>
      <x:c r="W284" s="75" t="n">
        <x:v>0.013190292095050763</x:v>
      </x:c>
      <x:c r="X284" s="75" t="n">
        <x:v>0.03236770098076946</x:v>
      </x:c>
      <x:c r="Y284" s="75" t="n">
        <x:v>0.01668187713698381</x:v>
      </x:c>
      <x:c r="Z284" s="75" t="n">
        <x:v>0.007790042922362219</x:v>
      </x:c>
      <x:c r="AA284" s="75" t="n">
        <x:v>0.007605236980061138</x:v>
      </x:c>
      <x:c r="AB284" s="75" t="n">
        <x:v>0.005715157825036139</x:v>
      </x:c>
      <x:c r="AC284" s="75" t="n">
        <x:v>0.02288941777241679</x:v>
      </x:c>
      <x:c r="AD284" s="75" t="n">
        <x:v>0.10562096825854679</x:v>
      </x:c>
      <x:c r="AE284" s="75" t="n">
        <x:v>0.07221938108385074</x:v>
      </x:c>
      <x:c r="AF284" s="74" t="n">
        <x:v>11</x:v>
      </x:c>
    </x:row>
    <x:row r="285">
      <x:c r="A285" t="str">
        <x:v>2026 S2</x:v>
      </x:c>
      <x:c r="B285" t="str">
        <x:v>CNCT0071</x:v>
      </x:c>
      <x:c r="C285" s="74" t="n">
        <x:v>1841</x:v>
      </x:c>
      <x:c r="D285" s="74" t="n">
        <x:v>1044.737</x:v>
      </x:c>
      <x:c r="E285" s="75" t="n">
        <x:v>0.9705461028685677</x:v>
      </x:c>
      <x:c r="F285" s="75" t="n">
        <x:v>0.19383209507233914</x:v>
      </x:c>
      <x:c r="G285" s="75" t="n">
        <x:v>0.014695495816951735</x:v>
      </x:c>
      <x:c r="H285" s="75" t="n">
        <x:v>0.011380308587838953</x:v>
      </x:c>
      <x:c r="I285" s="75" t="n">
        <x:v>0.007791217777847123</x:v>
      </x:c>
      <x:c r="J285" s="75" t="n">
        <x:v>0.016188073382165387</x:v>
      </x:c>
      <x:c r="K285" s="75" t="n">
        <x:v>0.01166172892229224</x:v>
      </x:c>
      <x:c r="L285" s="75" t="n">
        <x:v>0.011788812435072031</x:v>
      </x:c>
      <x:c r="M285" s="75" t="n">
        <x:v>0.008676344839594095</x:v>
      </x:c>
      <x:c r="N285" s="75" t="n">
        <x:v>0.006829170032899129</x:v>
      </x:c>
      <x:c r="O285" s="75" t="n">
        <x:v>0.015501632320752832</x:v>
      </x:c>
      <x:c r="P285" s="75" t="n">
        <x:v>0.0021843878930958454</x:v>
      </x:c>
      <x:c r="Q285" s="75" t="n">
        <x:v>0.0010151315323746529</x:v>
      </x:c>
      <x:c r="R285" s="75" t="n">
        <x:v>0.3776186293085916</x:v>
      </x:c>
      <x:c r="S285" s="75" t="n">
        <x:v>0.01310090530130401</x:v>
      </x:c>
      <x:c r="T285" s="75" t="n">
        <x:v>0.003431795512471581</x:v>
      </x:c>
      <x:c r="U285" s="75" t="n">
        <x:v>0.007136927425483008</x:v>
      </x:c>
      <x:c r="V285" s="75" t="n">
        <x:v>0.030542931902171406</x:v>
      </x:c>
      <x:c r="W285" s="75" t="n">
        <x:v>0.01136307710687339</x:v>
      </x:c>
      <x:c r="X285" s="75" t="n">
        <x:v>0.027883892135694914</x:v>
      </x:c>
      <x:c r="Y285" s="75" t="n">
        <x:v>0.014370982448983124</x:v>
      </x:c>
      <x:c r="Z285" s="75" t="n">
        <x:v>0.006710909641331528</x:v>
      </x:c>
      <x:c r="AA285" s="75" t="n">
        <x:v>0.006551704359367869</x:v>
      </x:c>
      <x:c r="AB285" s="75" t="n">
        <x:v>0.004923452685949525</x:v>
      </x:c>
      <x:c r="AC285" s="75" t="n">
        <x:v>0.019718609505016357</x:v>
      </x:c>
      <x:c r="AD285" s="75" t="n">
        <x:v>0.10562096825854679</x:v>
      </x:c>
      <x:c r="AE285" s="75" t="n">
        <x:v>0.07221938108385074</x:v>
      </x:c>
      <x:c r="AF285" s="74" t="n">
        <x:v>11</x:v>
      </x:c>
    </x:row>
    <x:row r="286">
      <x:c r="A286" t="str">
        <x:v>2025 S1</x:v>
      </x:c>
      <x:c r="B286" t="str">
        <x:v>CNCT0072</x:v>
      </x:c>
      <x:c r="C286" s="74" t="n">
        <x:v>1610</x:v>
      </x:c>
      <x:c r="D286" s="74" t="n">
        <x:v>884.194</x:v>
      </x:c>
      <x:c r="E286" s="75" t="n">
        <x:v>0.9758390279571176</x:v>
      </x:c>
      <x:c r="F286" s="75" t="n">
        <x:v>0.21499651090521366</x:v>
      </x:c>
      <x:c r="G286" s="75" t="n">
        <x:v>0.018635925429960478</x:v>
      </x:c>
      <x:c r="H286" s="75" t="n">
        <x:v>0.007877237907829113</x:v>
      </x:c>
      <x:c r="I286" s="75" t="n">
        <x:v>0.009294217013091839</x:v>
      </x:c>
      <x:c r="J286" s="75" t="n">
        <x:v>0.015421572488121456</x:v>
      </x:c>
      <x:c r="K286" s="75" t="n">
        <x:v>0.011642791232205126</x:v>
      </x:c>
      <x:c r="L286" s="75" t="n">
        <x:v>0.012091295436290238</x:v>
      </x:c>
      <x:c r="M286" s="75" t="n">
        <x:v>0.008179919311904087</x:v>
      </x:c>
      <x:c r="N286" s="75" t="n">
        <x:v>0.007533649494391284</x:v>
      </x:c>
      <x:c r="O286" s="75" t="n">
        <x:v>0.01210161103628343</x:v>
      </x:c>
      <x:c r="P286" s="75" t="n">
        <x:v>0.002657753775041783</x:v>
      </x:c>
      <x:c r="Q286" s="75" t="n">
        <x:v>0.006979660315992078</x:v>
      </x:c>
      <x:c r="R286" s="75" t="n">
        <x:v>0.33991340177597773</x:v>
      </x:c>
      <x:c r="S286" s="75" t="n">
        <x:v>0.015343489038365079</x:v>
      </x:c>
      <x:c r="T286" s="75" t="n">
        <x:v>0.00456407248400501</x:v>
      </x:c>
      <x:c r="U286" s="75" t="n">
        <x:v>0.009994441945658763</x:v>
      </x:c>
      <x:c r="V286" s="75" t="n">
        <x:v>0.03708516390212026</x:v>
      </x:c>
      <x:c r="W286" s="75" t="n">
        <x:v>0.009169007293894537</x:v>
      </x:c>
      <x:c r="X286" s="75" t="n">
        <x:v>0.026920000444035395</x:v>
      </x:c>
      <x:c r="Y286" s="75" t="n">
        <x:v>0.020173454419709743</x:v>
      </x:c>
      <x:c r="Z286" s="75" t="n">
        <x:v>0.006990721495007165</x:v>
      </x:c>
      <x:c r="AA286" s="75" t="n">
        <x:v>0.005764102603730862</x:v>
      </x:c>
      <x:c r="AB286" s="75" t="n">
        <x:v>0.0047543790374911625</x:v>
      </x:c>
      <x:c r="AC286" s="75" t="n">
        <x:v>0.018608753847249318</x:v>
      </x:c>
      <x:c r="AD286" s="75" t="n">
        <x:v>0.10873008759804362</x:v>
      </x:c>
      <x:c r="AE286" s="75" t="n">
        <x:v>0.06243743011387415</x:v>
      </x:c>
      <x:c r="AF286" s="74" t="n">
        <x:v>11</x:v>
      </x:c>
    </x:row>
    <x:row r="287">
      <x:c r="A287" t="str">
        <x:v>2025 S2</x:v>
      </x:c>
      <x:c r="B287" t="str">
        <x:v>CNCT0072</x:v>
      </x:c>
      <x:c r="C287" s="74" t="n">
        <x:v>1732</x:v>
      </x:c>
      <x:c r="D287" s="74" t="n">
        <x:v>894.805</x:v>
      </x:c>
      <x:c r="E287" s="75" t="n">
        <x:v>0.9668482679483713</x:v>
      </x:c>
      <x:c r="F287" s="75" t="n">
        <x:v>0.21499651090521366</x:v>
      </x:c>
      <x:c r="G287" s="75" t="n">
        <x:v>0.018635925429960478</x:v>
      </x:c>
      <x:c r="H287" s="75" t="n">
        <x:v>0.007877237907829113</x:v>
      </x:c>
      <x:c r="I287" s="75" t="n">
        <x:v>0.009294217013091839</x:v>
      </x:c>
      <x:c r="J287" s="75" t="n">
        <x:v>0.015421572488121456</x:v>
      </x:c>
      <x:c r="K287" s="75" t="n">
        <x:v>0.011642791232205126</x:v>
      </x:c>
      <x:c r="L287" s="75" t="n">
        <x:v>0.012091295436290238</x:v>
      </x:c>
      <x:c r="M287" s="75" t="n">
        <x:v>0.008179919311904087</x:v>
      </x:c>
      <x:c r="N287" s="75" t="n">
        <x:v>0.007533649494391284</x:v>
      </x:c>
      <x:c r="O287" s="75" t="n">
        <x:v>0.01210161103628343</x:v>
      </x:c>
      <x:c r="P287" s="75" t="n">
        <x:v>0.002657753775041783</x:v>
      </x:c>
      <x:c r="Q287" s="75" t="n">
        <x:v>0.006979660315992078</x:v>
      </x:c>
      <x:c r="R287" s="75" t="n">
        <x:v>0.3417892646037609</x:v>
      </x:c>
      <x:c r="S287" s="75" t="n">
        <x:v>0.015343489038365079</x:v>
      </x:c>
      <x:c r="T287" s="75" t="n">
        <x:v>0.00456407248400501</x:v>
      </x:c>
      <x:c r="U287" s="75" t="n">
        <x:v>0.009994441945658763</x:v>
      </x:c>
      <x:c r="V287" s="75" t="n">
        <x:v>0.03708516390212026</x:v>
      </x:c>
      <x:c r="W287" s="75" t="n">
        <x:v>0.009169007293894537</x:v>
      </x:c>
      <x:c r="X287" s="75" t="n">
        <x:v>0.026920000444035395</x:v>
      </x:c>
      <x:c r="Y287" s="75" t="n">
        <x:v>0.020173454419709743</x:v>
      </x:c>
      <x:c r="Z287" s="75" t="n">
        <x:v>0.006990721495007165</x:v>
      </x:c>
      <x:c r="AA287" s="75" t="n">
        <x:v>0.005764102603730862</x:v>
      </x:c>
      <x:c r="AB287" s="75" t="n">
        <x:v>0.0047543790374911625</x:v>
      </x:c>
      <x:c r="AC287" s="75" t="n">
        <x:v>0.018608753847249318</x:v>
      </x:c>
      <x:c r="AD287" s="75" t="n">
        <x:v>0.10873008759804362</x:v>
      </x:c>
      <x:c r="AE287" s="75" t="n">
        <x:v>0.06243743011387415</x:v>
      </x:c>
      <x:c r="AF287" s="74" t="n">
        <x:v>11</x:v>
      </x:c>
    </x:row>
    <x:row r="288">
      <x:c r="A288" t="str">
        <x:v>2026 S1</x:v>
      </x:c>
      <x:c r="B288" t="str">
        <x:v>CNCT0072</x:v>
      </x:c>
      <x:c r="C288" s="74" t="n">
        <x:v>1232</x:v>
      </x:c>
      <x:c r="D288" s="74" t="n">
        <x:v>921.279</x:v>
      </x:c>
      <x:c r="E288" s="75" t="n">
        <x:v>0.9730984308302432</x:v>
      </x:c>
      <x:c r="F288" s="75" t="n">
        <x:v>0.22699651090521367</x:v>
      </x:c>
      <x:c r="G288" s="75" t="n">
        <x:v>0.01877982807040098</x:v>
      </x:c>
      <x:c r="H288" s="75" t="n">
        <x:v>0.007877237907829113</x:v>
      </x:c>
      <x:c r="I288" s="75" t="n">
        <x:v>0.009294217013091839</x:v>
      </x:c>
      <x:c r="J288" s="75" t="n">
        <x:v>0.015421572488121456</x:v>
      </x:c>
      <x:c r="K288" s="75" t="n">
        <x:v>0.011642791232205126</x:v>
      </x:c>
      <x:c r="L288" s="75" t="n">
        <x:v>0.012091295436290238</x:v>
      </x:c>
      <x:c r="M288" s="75" t="n">
        <x:v>0.008179919311904087</x:v>
      </x:c>
      <x:c r="N288" s="75" t="n">
        <x:v>0.007533649494391284</x:v>
      </x:c>
      <x:c r="O288" s="75" t="n">
        <x:v>0.011465443792476434</x:v>
      </x:c>
      <x:c r="P288" s="75" t="n">
        <x:v>0.002657753775041783</x:v>
      </x:c>
      <x:c r="Q288" s="75" t="n">
        <x:v>0.006979660315992078</x:v>
      </x:c>
      <x:c r="R288" s="75" t="n">
        <x:v>0.3531251122919435</x:v>
      </x:c>
      <x:c r="S288" s="75" t="n">
        <x:v>0.015343489038365079</x:v>
      </x:c>
      <x:c r="T288" s="75" t="n">
        <x:v>0.00456407248400501</x:v>
      </x:c>
      <x:c r="U288" s="75" t="n">
        <x:v>0.009994441945658763</x:v>
      </x:c>
      <x:c r="V288" s="75" t="n">
        <x:v>0.03708516390212026</x:v>
      </x:c>
      <x:c r="W288" s="75" t="n">
        <x:v>0.011282014219217207</x:v>
      </x:c>
      <x:c r="X288" s="75" t="n">
        <x:v>0.03312374154104737</x:v>
      </x:c>
      <x:c r="Y288" s="75" t="n">
        <x:v>0.024822447220153056</x:v>
      </x:c>
      <x:c r="Z288" s="75" t="n">
        <x:v>0.00860174027364727</x:v>
      </x:c>
      <x:c r="AA288" s="75" t="n">
        <x:v>0.00709244582885447</x:v>
      </x:c>
      <x:c r="AB288" s="75" t="n">
        <x:v>0.00585003045425001</x:v>
      </x:c>
      <x:c r="AC288" s="75" t="n">
        <x:v>0.03320088175600507</x:v>
      </x:c>
      <x:c r="AD288" s="75" t="n">
        <x:v>0.119603096357848</x:v>
      </x:c>
      <x:c r="AE288" s="75" t="n">
        <x:v>0.13996977837887212</x:v>
      </x:c>
      <x:c r="AF288" s="74" t="n">
        <x:v>11</x:v>
      </x:c>
    </x:row>
    <x:row r="289">
      <x:c r="A289" t="str">
        <x:v>2026 S2</x:v>
      </x:c>
      <x:c r="B289" t="str">
        <x:v>CNCT0072</x:v>
      </x:c>
      <x:c r="C289" s="74" t="n">
        <x:v>1461</x:v>
      </x:c>
      <x:c r="D289" s="74" t="n">
        <x:v>926.268</x:v>
      </x:c>
      <x:c r="E289" s="75" t="n">
        <x:v>0.9668482679483713</x:v>
      </x:c>
      <x:c r="F289" s="75" t="n">
        <x:v>0.21445493433002777</x:v>
      </x:c>
      <x:c r="G289" s="75" t="n">
        <x:v>0.019665553929080485</x:v>
      </x:c>
      <x:c r="H289" s="75" t="n">
        <x:v>0.007877237907829113</x:v>
      </x:c>
      <x:c r="I289" s="75" t="n">
        <x:v>0.009294217013091839</x:v>
      </x:c>
      <x:c r="J289" s="75" t="n">
        <x:v>0.015421572488121456</x:v>
      </x:c>
      <x:c r="K289" s="75" t="n">
        <x:v>0.011642791232205126</x:v>
      </x:c>
      <x:c r="L289" s="75" t="n">
        <x:v>0.012091295436290238</x:v>
      </x:c>
      <x:c r="M289" s="75" t="n">
        <x:v>0.008179919311904087</x:v>
      </x:c>
      <x:c r="N289" s="75" t="n">
        <x:v>0.007533649494391284</x:v>
      </x:c>
      <x:c r="O289" s="75" t="n">
        <x:v>0.01210161103628343</x:v>
      </x:c>
      <x:c r="P289" s="75" t="n">
        <x:v>0.002657753775041783</x:v>
      </x:c>
      <x:c r="Q289" s="75" t="n">
        <x:v>0.006979660315992078</x:v>
      </x:c>
      <x:c r="R289" s="75" t="n">
        <x:v>0.35503523433362844</x:v>
      </x:c>
      <x:c r="S289" s="75" t="n">
        <x:v>0.015343489038365079</x:v>
      </x:c>
      <x:c r="T289" s="75" t="n">
        <x:v>0.00456407248400501</x:v>
      </x:c>
      <x:c r="U289" s="75" t="n">
        <x:v>0.009994441945658763</x:v>
      </x:c>
      <x:c r="V289" s="75" t="n">
        <x:v>0.03708516390212026</x:v>
      </x:c>
      <x:c r="W289" s="75" t="n">
        <x:v>0.00971914773152821</x:v>
      </x:c>
      <x:c r="X289" s="75" t="n">
        <x:v>0.02853520047067752</x:v>
      </x:c>
      <x:c r="Y289" s="75" t="n">
        <x:v>0.021383861684892327</x:v>
      </x:c>
      <x:c r="Z289" s="75" t="n">
        <x:v>0.007410164784707595</x:v>
      </x:c>
      <x:c r="AA289" s="75" t="n">
        <x:v>0.006109948759954714</x:v>
      </x:c>
      <x:c r="AB289" s="75" t="n">
        <x:v>0.005039641779740632</x:v>
      </x:c>
      <x:c r="AC289" s="75" t="n">
        <x:v>0.0286016546632222</x:v>
      </x:c>
      <x:c r="AD289" s="75" t="n">
        <x:v>0.11742849460588711</x:v>
      </x:c>
      <x:c r="AE289" s="75" t="n">
        <x:v>0.1525975155432753</x:v>
      </x:c>
      <x:c r="AF289" s="74" t="n">
        <x:v>11</x:v>
      </x:c>
    </x:row>
    <x:row r="290">
      <x:c r="A290" t="str">
        <x:v>2025 S1</x:v>
      </x:c>
      <x:c r="B290" t="str">
        <x:v>CNCT0073</x:v>
      </x:c>
      <x:c r="C290" s="74" t="n">
        <x:v>1919</x:v>
      </x:c>
      <x:c r="D290" s="74" t="n">
        <x:v>1029.272</x:v>
      </x:c>
      <x:c r="E290" s="75" t="n">
        <x:v>0.9662443058810313</x:v>
      </x:c>
      <x:c r="F290" s="75" t="n">
        <x:v>0.15711201196117325</x:v>
      </x:c>
      <x:c r="G290" s="75" t="n">
        <x:v>0.020782131160696736</x:v>
      </x:c>
      <x:c r="H290" s="75" t="n">
        <x:v>0.011945610352544463</x:v>
      </x:c>
      <x:c r="I290" s="75" t="n">
        <x:v>0.007418989830446663</x:v>
      </x:c>
      <x:c r="J290" s="75" t="n">
        <x:v>0.016085939836339096</x:v>
      </x:c>
      <x:c r="K290" s="75" t="n">
        <x:v>0.008618259502713044</x:v>
      </x:c>
      <x:c r="L290" s="75" t="n">
        <x:v>0.008438195326143613</x:v>
      </x:c>
      <x:c r="M290" s="75" t="n">
        <x:v>0.007172630262532948</x:v>
      </x:c>
      <x:c r="N290" s="75" t="n">
        <x:v>0.0062296387074165975</x:v>
      </x:c>
      <x:c r="O290" s="75" t="n">
        <x:v>0.007734775213662942</x:v>
      </x:c>
      <x:c r="P290" s="75" t="n">
        <x:v>0.00009842678526911187</x:v>
      </x:c>
      <x:c r="Q290" s="75" t="n">
        <x:v>0.006858363247054513</x:v>
      </x:c>
      <x:c r="R290" s="75" t="n">
        <x:v>0.38297029919298076</x:v>
      </x:c>
      <x:c r="S290" s="75" t="n">
        <x:v>0.014025239544309443</x:v>
      </x:c>
      <x:c r="T290" s="75" t="n">
        <x:v>0.004735500656155637</x:v>
      </x:c>
      <x:c r="U290" s="75" t="n">
        <x:v>0.0099098476152285</x:v>
      </x:c>
      <x:c r="V290" s="75" t="n">
        <x:v>0.028713933722930962</x:v>
      </x:c>
      <x:c r="W290" s="75" t="n">
        <x:v>0.009024398094500067</x:v>
      </x:c>
      <x:c r="X290" s="75" t="n">
        <x:v>0.026197847097502086</x:v>
      </x:c>
      <x:c r="Y290" s="75" t="n">
        <x:v>0.015666128610000014</x:v>
      </x:c>
      <x:c r="Z290" s="75" t="n">
        <x:v>0.00574312703445903</x:v>
      </x:c>
      <x:c r="AA290" s="75" t="n">
        <x:v>0.006033776303661288</x:v>
      </x:c>
      <x:c r="AB290" s="75" t="n">
        <x:v>0.005695035262941382</x:v>
      </x:c>
      <x:c r="AC290" s="75" t="n">
        <x:v>0.02294245702016924</x:v>
      </x:c>
      <x:c r="AD290" s="75" t="n">
        <x:v>0.09008345844572978</x:v>
      </x:c>
      <x:c r="AE290" s="75" t="n">
        <x:v>0.07168348637672897</x:v>
      </x:c>
      <x:c r="AF290" s="74" t="n">
        <x:v>9</x:v>
      </x:c>
    </x:row>
    <x:row r="291">
      <x:c r="A291" t="str">
        <x:v>2025 S2</x:v>
      </x:c>
      <x:c r="B291" t="str">
        <x:v>CNCT0073</x:v>
      </x:c>
      <x:c r="C291" s="74" t="n">
        <x:v>2091</x:v>
      </x:c>
      <x:c r="D291" s="74" t="n">
        <x:v>1041.623</x:v>
      </x:c>
      <x:c r="E291" s="75" t="n">
        <x:v>0.9727796696915466</x:v>
      </x:c>
      <x:c r="F291" s="75" t="n">
        <x:v>0.15711201196117325</x:v>
      </x:c>
      <x:c r="G291" s="75" t="n">
        <x:v>0.020782131160696736</x:v>
      </x:c>
      <x:c r="H291" s="75" t="n">
        <x:v>0.011945610352544463</x:v>
      </x:c>
      <x:c r="I291" s="75" t="n">
        <x:v>0.007418989830446663</x:v>
      </x:c>
      <x:c r="J291" s="75" t="n">
        <x:v>0.016085939836339096</x:v>
      </x:c>
      <x:c r="K291" s="75" t="n">
        <x:v>0.008618259502713044</x:v>
      </x:c>
      <x:c r="L291" s="75" t="n">
        <x:v>0.008438195326143613</x:v>
      </x:c>
      <x:c r="M291" s="75" t="n">
        <x:v>0.007172630262532948</x:v>
      </x:c>
      <x:c r="N291" s="75" t="n">
        <x:v>0.0062296387074165975</x:v>
      </x:c>
      <x:c r="O291" s="75" t="n">
        <x:v>0.007734775213662942</x:v>
      </x:c>
      <x:c r="P291" s="75" t="n">
        <x:v>0.00009842678526911187</x:v>
      </x:c>
      <x:c r="Q291" s="75" t="n">
        <x:v>0.006858363247054513</x:v>
      </x:c>
      <x:c r="R291" s="75" t="n">
        <x:v>0.37176355057610544</x:v>
      </x:c>
      <x:c r="S291" s="75" t="n">
        <x:v>0.014025239544309443</x:v>
      </x:c>
      <x:c r="T291" s="75" t="n">
        <x:v>0.004735500656155637</x:v>
      </x:c>
      <x:c r="U291" s="75" t="n">
        <x:v>0.0099098476152285</x:v>
      </x:c>
      <x:c r="V291" s="75" t="n">
        <x:v>0.028713933722930962</x:v>
      </x:c>
      <x:c r="W291" s="75" t="n">
        <x:v>0.009024398094500067</x:v>
      </x:c>
      <x:c r="X291" s="75" t="n">
        <x:v>0.026197847097502086</x:v>
      </x:c>
      <x:c r="Y291" s="75" t="n">
        <x:v>0.015666128610000014</x:v>
      </x:c>
      <x:c r="Z291" s="75" t="n">
        <x:v>0.00574312703445903</x:v>
      </x:c>
      <x:c r="AA291" s="75" t="n">
        <x:v>0.006033776303661288</x:v>
      </x:c>
      <x:c r="AB291" s="75" t="n">
        <x:v>0.005695035262941382</x:v>
      </x:c>
      <x:c r="AC291" s="75" t="n">
        <x:v>0.02294245702016924</x:v>
      </x:c>
      <x:c r="AD291" s="75" t="n">
        <x:v>0.09008345844572978</x:v>
      </x:c>
      <x:c r="AE291" s="75" t="n">
        <x:v>0.07986586758280564</x:v>
      </x:c>
      <x:c r="AF291" s="74" t="n">
        <x:v>9</x:v>
      </x:c>
    </x:row>
    <x:row r="292">
      <x:c r="A292" t="str">
        <x:v>2026 S1</x:v>
      </x:c>
      <x:c r="B292" t="str">
        <x:v>CNCT0073</x:v>
      </x:c>
      <x:c r="C292" s="74" t="n">
        <x:v>2153</x:v>
      </x:c>
      <x:c r="D292" s="74" t="n">
        <x:v>1074.341</x:v>
      </x:c>
      <x:c r="E292" s="75" t="n">
        <x:v>0.9685234541583922</x:v>
      </x:c>
      <x:c r="F292" s="75" t="n">
        <x:v>0.15761794555392405</x:v>
      </x:c>
      <x:c r="G292" s="75" t="n">
        <x:v>0.02054881096549434</x:v>
      </x:c>
      <x:c r="H292" s="75" t="n">
        <x:v>0.011945610352544463</x:v>
      </x:c>
      <x:c r="I292" s="75" t="n">
        <x:v>0.007418989830446663</x:v>
      </x:c>
      <x:c r="J292" s="75" t="n">
        <x:v>0.016085939836339096</x:v>
      </x:c>
      <x:c r="K292" s="75" t="n">
        <x:v>0.008618259502713044</x:v>
      </x:c>
      <x:c r="L292" s="75" t="n">
        <x:v>0.008438195326143613</x:v>
      </x:c>
      <x:c r="M292" s="75" t="n">
        <x:v>0.007172630262532948</x:v>
      </x:c>
      <x:c r="N292" s="75" t="n">
        <x:v>0.0062296387074165975</x:v>
      </x:c>
      <x:c r="O292" s="75" t="n">
        <x:v>0.006051728818412811</x:v>
      </x:c>
      <x:c r="P292" s="75" t="n">
        <x:v>0.00009842678526911187</x:v>
      </x:c>
      <x:c r="Q292" s="75" t="n">
        <x:v>0.006858363247054513</x:v>
      </x:c>
      <x:c r="R292" s="75" t="n">
        <x:v>0.3592006848847389</x:v>
      </x:c>
      <x:c r="S292" s="75" t="n">
        <x:v>0.014025239544309443</x:v>
      </x:c>
      <x:c r="T292" s="75" t="n">
        <x:v>0.004735500656155637</x:v>
      </x:c>
      <x:c r="U292" s="75" t="n">
        <x:v>0.0099098476152285</x:v>
      </x:c>
      <x:c r="V292" s="75" t="n">
        <x:v>0.028713933722930962</x:v>
      </x:c>
      <x:c r="W292" s="75" t="n">
        <x:v>0.007941470323160059</x:v>
      </x:c>
      <x:c r="X292" s="75" t="n">
        <x:v>0.023054105445801835</x:v>
      </x:c>
      <x:c r="Y292" s="75" t="n">
        <x:v>0.013786193176800013</x:v>
      </x:c>
      <x:c r="Z292" s="75" t="n">
        <x:v>0.005053951790323946</x:v>
      </x:c>
      <x:c r="AA292" s="75" t="n">
        <x:v>0.005309723147221934</x:v>
      </x:c>
      <x:c r="AB292" s="75" t="n">
        <x:v>0.005011631031388417</x:v>
      </x:c>
      <x:c r="AC292" s="75" t="n">
        <x:v>0.020189362177748933</x:v>
      </x:c>
      <x:c r="AD292" s="75" t="n">
        <x:v>0.08287678177007139</x:v>
      </x:c>
      <x:c r="AE292" s="75" t="n">
        <x:v>0.11589257635177577</x:v>
      </x:c>
      <x:c r="AF292" s="74" t="n">
        <x:v>9</x:v>
      </x:c>
    </x:row>
    <x:row r="293">
      <x:c r="A293" t="str">
        <x:v>2026 S2</x:v>
      </x:c>
      <x:c r="B293" t="str">
        <x:v>CNCT0073</x:v>
      </x:c>
      <x:c r="C293" s="74" t="n">
        <x:v>2389</x:v>
      </x:c>
      <x:c r="D293" s="74" t="n">
        <x:v>1064.879</x:v>
      </x:c>
      <x:c r="E293" s="75" t="n">
        <x:v>0.9727796696915466</x:v>
      </x:c>
      <x:c r="F293" s="75" t="n">
        <x:v>0.15912612402505327</x:v>
      </x:c>
      <x:c r="G293" s="75" t="n">
        <x:v>0.020348820603889182</x:v>
      </x:c>
      <x:c r="H293" s="75" t="n">
        <x:v>0.011945610352544463</x:v>
      </x:c>
      <x:c r="I293" s="75" t="n">
        <x:v>0.007418989830446663</x:v>
      </x:c>
      <x:c r="J293" s="75" t="n">
        <x:v>0.016085939836339096</x:v>
      </x:c>
      <x:c r="K293" s="75" t="n">
        <x:v>0.008618259502713044</x:v>
      </x:c>
      <x:c r="L293" s="75" t="n">
        <x:v>0.008438195326143613</x:v>
      </x:c>
      <x:c r="M293" s="75" t="n">
        <x:v>0.007172630262532948</x:v>
      </x:c>
      <x:c r="N293" s="75" t="n">
        <x:v>0.0062296387074165975</x:v>
      </x:c>
      <x:c r="O293" s="75" t="n">
        <x:v>0.007734775213662942</x:v>
      </x:c>
      <x:c r="P293" s="75" t="n">
        <x:v>0.00009842678526911187</x:v>
      </x:c>
      <x:c r="Q293" s="75" t="n">
        <x:v>0.006858363247054513</x:v>
      </x:c>
      <x:c r="R293" s="75" t="n">
        <x:v>0.34871249132959287</x:v>
      </x:c>
      <x:c r="S293" s="75" t="n">
        <x:v>0.014025239544309443</x:v>
      </x:c>
      <x:c r="T293" s="75" t="n">
        <x:v>0.004735500656155637</x:v>
      </x:c>
      <x:c r="U293" s="75" t="n">
        <x:v>0.0099098476152285</x:v>
      </x:c>
      <x:c r="V293" s="75" t="n">
        <x:v>0.028713933722930962</x:v>
      </x:c>
      <x:c r="W293" s="75" t="n">
        <x:v>0.008226641302946262</x:v>
      </x:c>
      <x:c r="X293" s="75" t="n">
        <x:v>0.023881957414082902</x:v>
      </x:c>
      <x:c r="Y293" s="75" t="n">
        <x:v>0.014281242840876012</x:v>
      </x:c>
      <x:c r="Z293" s="75" t="n">
        <x:v>0.005235434604612852</x:v>
      </x:c>
      <x:c r="AA293" s="75" t="n">
        <x:v>0.00550039047841763</x:v>
      </x:c>
      <x:c r="AB293" s="75" t="n">
        <x:v>0.005191594145697365</x:v>
      </x:c>
      <x:c r="AC293" s="75" t="n">
        <x:v>0.02091434381958628</x:v>
      </x:c>
      <x:c r="AD293" s="75" t="n">
        <x:v>0.0810751126011568</x:v>
      </x:c>
      <x:c r="AE293" s="75" t="n">
        <x:v>0.1270271879943994</x:v>
      </x:c>
      <x:c r="AF293" s="74" t="n">
        <x:v>9</x:v>
      </x:c>
    </x:row>
    <x:row r="294">
      <x:c r="A294" t="str">
        <x:v>2025 S1</x:v>
      </x:c>
      <x:c r="B294" t="str">
        <x:v>CNCT0074</x:v>
      </x:c>
      <x:c r="C294" s="74" t="n">
        <x:v>2544</x:v>
      </x:c>
      <x:c r="D294" s="74" t="n">
        <x:v>1062.176</x:v>
      </x:c>
      <x:c r="E294" s="75" t="n">
        <x:v>0.9775522082269981</x:v>
      </x:c>
      <x:c r="F294" s="75" t="n">
        <x:v>0.15742254251264967</x:v>
      </x:c>
      <x:c r="G294" s="75" t="n">
        <x:v>0.02047842806519475</x:v>
      </x:c>
      <x:c r="H294" s="75" t="n">
        <x:v>0.011677074824096053</x:v>
      </x:c>
      <x:c r="I294" s="75" t="n">
        <x:v>0.008484949625570153</x:v>
      </x:c>
      <x:c r="J294" s="75" t="n">
        <x:v>0.014597257632820401</x:v>
      </x:c>
      <x:c r="K294" s="75" t="n">
        <x:v>0.010779164409905206</x:v>
      </x:c>
      <x:c r="L294" s="75" t="n">
        <x:v>0.011122445043460175</x:v>
      </x:c>
      <x:c r="M294" s="75" t="n">
        <x:v>0.00612408005403995</x:v>
      </x:c>
      <x:c r="N294" s="75" t="n">
        <x:v>0.006949886586637149</x:v>
      </x:c>
      <x:c r="O294" s="75" t="n">
        <x:v>0.007746816476661478</x:v>
      </x:c>
      <x:c r="P294" s="75" t="n">
        <x:v>0.0001201014617290639</x:v>
      </x:c>
      <x:c r="Q294" s="75" t="n">
        <x:v>0.0024260771586559716</x:v>
      </x:c>
      <x:c r="R294" s="75" t="n">
        <x:v>0.38530191508937756</x:v>
      </x:c>
      <x:c r="S294" s="75" t="n">
        <x:v>0.013678634914322174</x:v>
      </x:c>
      <x:c r="T294" s="75" t="n">
        <x:v>0.005730094921425916</x:v>
      </x:c>
      <x:c r="U294" s="75" t="n">
        <x:v>0.006913980788725894</x:v>
      </x:c>
      <x:c r="V294" s="75" t="n">
        <x:v>0.036328200508170996</x:v>
      </x:c>
      <x:c r="W294" s="75" t="n">
        <x:v>0.013697012752133015</x:v>
      </x:c>
      <x:c r="X294" s="75" t="n">
        <x:v>0.02314266346889897</x:v>
      </x:c>
      <x:c r="Y294" s="75" t="n">
        <x:v>0.019773607534910552</x:v>
      </x:c>
      <x:c r="Z294" s="75" t="n">
        <x:v>0.00653938393292483</x:v>
      </x:c>
      <x:c r="AA294" s="75" t="n">
        <x:v>0.005160795385682723</x:v>
      </x:c>
      <x:c r="AB294" s="75" t="n">
        <x:v>0.005765129127982073</x:v>
      </x:c>
      <x:c r="AC294" s="75" t="n">
        <x:v>0.022796182851775666</x:v>
      </x:c>
      <x:c r="AD294" s="75" t="n">
        <x:v>0.10675759217332234</x:v>
      </x:c>
      <x:c r="AE294" s="75" t="n">
        <x:v>0.09130280902223603</x:v>
      </x:c>
      <x:c r="AF294" s="74" t="n">
        <x:v>12</x:v>
      </x:c>
    </x:row>
    <x:row r="295">
      <x:c r="A295" t="str">
        <x:v>2025 S2</x:v>
      </x:c>
      <x:c r="B295" t="str">
        <x:v>CNCT0074</x:v>
      </x:c>
      <x:c r="C295" s="74" t="n">
        <x:v>2765</x:v>
      </x:c>
      <x:c r="D295" s="74" t="n">
        <x:v>1074.922</x:v>
      </x:c>
      <x:c r="E295" s="75" t="n">
        <x:v>0.9719228494864801</x:v>
      </x:c>
      <x:c r="F295" s="75" t="n">
        <x:v>0.15742254251264967</x:v>
      </x:c>
      <x:c r="G295" s="75" t="n">
        <x:v>0.02047842806519475</x:v>
      </x:c>
      <x:c r="H295" s="75" t="n">
        <x:v>0.011677074824096053</x:v>
      </x:c>
      <x:c r="I295" s="75" t="n">
        <x:v>0.008484949625570153</x:v>
      </x:c>
      <x:c r="J295" s="75" t="n">
        <x:v>0.014597257632820401</x:v>
      </x:c>
      <x:c r="K295" s="75" t="n">
        <x:v>0.010779164409905206</x:v>
      </x:c>
      <x:c r="L295" s="75" t="n">
        <x:v>0.011122445043460175</x:v>
      </x:c>
      <x:c r="M295" s="75" t="n">
        <x:v>0.00612408005403995</x:v>
      </x:c>
      <x:c r="N295" s="75" t="n">
        <x:v>0.006949886586637149</x:v>
      </x:c>
      <x:c r="O295" s="75" t="n">
        <x:v>0.007746816476661478</x:v>
      </x:c>
      <x:c r="P295" s="75" t="n">
        <x:v>0.0001201014617290639</x:v>
      </x:c>
      <x:c r="Q295" s="75" t="n">
        <x:v>0.0024260771586559716</x:v>
      </x:c>
      <x:c r="R295" s="75" t="n">
        <x:v>0.38777144009149567</x:v>
      </x:c>
      <x:c r="S295" s="75" t="n">
        <x:v>0.013678634914322174</x:v>
      </x:c>
      <x:c r="T295" s="75" t="n">
        <x:v>0.005730094921425916</x:v>
      </x:c>
      <x:c r="U295" s="75" t="n">
        <x:v>0.006913980788725894</x:v>
      </x:c>
      <x:c r="V295" s="75" t="n">
        <x:v>0.036328200508170996</x:v>
      </x:c>
      <x:c r="W295" s="75" t="n">
        <x:v>0.013697012752133015</x:v>
      </x:c>
      <x:c r="X295" s="75" t="n">
        <x:v>0.02314266346889897</x:v>
      </x:c>
      <x:c r="Y295" s="75" t="n">
        <x:v>0.019773607534910552</x:v>
      </x:c>
      <x:c r="Z295" s="75" t="n">
        <x:v>0.00653938393292483</x:v>
      </x:c>
      <x:c r="AA295" s="75" t="n">
        <x:v>0.005160795385682723</x:v>
      </x:c>
      <x:c r="AB295" s="75" t="n">
        <x:v>0.005765129127982073</x:v>
      </x:c>
      <x:c r="AC295" s="75" t="n">
        <x:v>0.022796182851775666</x:v>
      </x:c>
      <x:c r="AD295" s="75" t="n">
        <x:v>0.10675759217332234</x:v>
      </x:c>
      <x:c r="AE295" s="75" t="n">
        <x:v>0.09130280902223603</x:v>
      </x:c>
      <x:c r="AF295" s="74" t="n">
        <x:v>12</x:v>
      </x:c>
    </x:row>
    <x:row r="296">
      <x:c r="A296" t="str">
        <x:v>2026 S1</x:v>
      </x:c>
      <x:c r="B296" t="str">
        <x:v>CNCT0074</x:v>
      </x:c>
      <x:c r="C296" s="74" t="n">
        <x:v>2767</x:v>
      </x:c>
      <x:c r="D296" s="74" t="n">
        <x:v>1120.469</x:v>
      </x:c>
      <x:c r="E296" s="75" t="n">
        <x:v>0.9782444112347529</x:v>
      </x:c>
      <x:c r="F296" s="75" t="n">
        <x:v>0.15299120057505206</x:v>
      </x:c>
      <x:c r="G296" s="75" t="n">
        <x:v>0.020187513215736544</x:v>
      </x:c>
      <x:c r="H296" s="75" t="n">
        <x:v>0.011677074824096053</x:v>
      </x:c>
      <x:c r="I296" s="75" t="n">
        <x:v>0.008484949625570153</x:v>
      </x:c>
      <x:c r="J296" s="75" t="n">
        <x:v>0.014597257632820401</x:v>
      </x:c>
      <x:c r="K296" s="75" t="n">
        <x:v>0.010779164409905206</x:v>
      </x:c>
      <x:c r="L296" s="75" t="n">
        <x:v>0.011122445043460175</x:v>
      </x:c>
      <x:c r="M296" s="75" t="n">
        <x:v>0.00612408005403995</x:v>
      </x:c>
      <x:c r="N296" s="75" t="n">
        <x:v>0.006949886586637149</x:v>
      </x:c>
      <x:c r="O296" s="75" t="n">
        <x:v>0.00873213977904379</x:v>
      </x:c>
      <x:c r="P296" s="75" t="n">
        <x:v>0.0001201014617290639</x:v>
      </x:c>
      <x:c r="Q296" s="75" t="n">
        <x:v>0.0024260771586559716</x:v>
      </x:c>
      <x:c r="R296" s="75" t="n">
        <x:v>0.36126246241308757</x:v>
      </x:c>
      <x:c r="S296" s="75" t="n">
        <x:v>0.013678634914322174</x:v>
      </x:c>
      <x:c r="T296" s="75" t="n">
        <x:v>0.005730094921425916</x:v>
      </x:c>
      <x:c r="U296" s="75" t="n">
        <x:v>0.006913980788725894</x:v>
      </x:c>
      <x:c r="V296" s="75" t="n">
        <x:v>0.036328200508170996</x:v>
      </x:c>
      <x:c r="W296" s="75" t="n">
        <x:v>0.012053371221877053</x:v>
      </x:c>
      <x:c r="X296" s="75" t="n">
        <x:v>0.020365543852631094</x:v>
      </x:c>
      <x:c r="Y296" s="75" t="n">
        <x:v>0.017400774630721285</x:v>
      </x:c>
      <x:c r="Z296" s="75" t="n">
        <x:v>0.00575465786097385</x:v>
      </x:c>
      <x:c r="AA296" s="75" t="n">
        <x:v>0.004541499939400796</x:v>
      </x:c>
      <x:c r="AB296" s="75" t="n">
        <x:v>0.005073313632624224</x:v>
      </x:c>
      <x:c r="AC296" s="75" t="n">
        <x:v>0.020060640909562586</x:v>
      </x:c>
      <x:c r="AD296" s="75" t="n">
        <x:v>0.09821698479945656</x:v>
      </x:c>
      <x:c r="AE296" s="75" t="n">
        <x:v>0.09130280902223603</x:v>
      </x:c>
      <x:c r="AF296" s="74" t="n">
        <x:v>12</x:v>
      </x:c>
    </x:row>
    <x:row r="297">
      <x:c r="A297" t="str">
        <x:v>2026 S2</x:v>
      </x:c>
      <x:c r="B297" t="str">
        <x:v>CNCT0074</x:v>
      </x:c>
      <x:c r="C297" s="74" t="n">
        <x:v>3084</x:v>
      </x:c>
      <x:c r="D297" s="74" t="n">
        <x:v>1097.012</x:v>
      </x:c>
      <x:c r="E297" s="75" t="n">
        <x:v>0.9719228494864801</x:v>
      </x:c>
      <x:c r="F297" s="75" t="n">
        <x:v>0.15563470015238273</x:v>
      </x:c>
      <x:c r="G297" s="75" t="n">
        <x:v>0.018499293958127966</x:v>
      </x:c>
      <x:c r="H297" s="75" t="n">
        <x:v>0.011677074824096053</x:v>
      </x:c>
      <x:c r="I297" s="75" t="n">
        <x:v>0.008484949625570153</x:v>
      </x:c>
      <x:c r="J297" s="75" t="n">
        <x:v>0.014597257632820401</x:v>
      </x:c>
      <x:c r="K297" s="75" t="n">
        <x:v>0.010779164409905206</x:v>
      </x:c>
      <x:c r="L297" s="75" t="n">
        <x:v>0.011122445043460175</x:v>
      </x:c>
      <x:c r="M297" s="75" t="n">
        <x:v>0.00612408005403995</x:v>
      </x:c>
      <x:c r="N297" s="75" t="n">
        <x:v>0.006949886586637149</x:v>
      </x:c>
      <x:c r="O297" s="75" t="n">
        <x:v>0.007746816476661478</x:v>
      </x:c>
      <x:c r="P297" s="75" t="n">
        <x:v>0.0001201014617290639</x:v>
      </x:c>
      <x:c r="Q297" s="75" t="n">
        <x:v>0.0024260771586559716</x:v>
      </x:c>
      <x:c r="R297" s="75" t="n">
        <x:v>0.3668918625558792</x:v>
      </x:c>
      <x:c r="S297" s="75" t="n">
        <x:v>0.013678634914322174</x:v>
      </x:c>
      <x:c r="T297" s="75" t="n">
        <x:v>0.005730094921425916</x:v>
      </x:c>
      <x:c r="U297" s="75" t="n">
        <x:v>0.006913980788725894</x:v>
      </x:c>
      <x:c r="V297" s="75" t="n">
        <x:v>0.036328200508170996</x:v>
      </x:c>
      <x:c r="W297" s="75" t="n">
        <x:v>0.012486196824844456</x:v>
      </x:c>
      <x:c r="X297" s="75" t="n">
        <x:v>0.0210968520182483</x:v>
      </x:c>
      <x:c r="Y297" s="75" t="n">
        <x:v>0.01802562062882446</x:v>
      </x:c>
      <x:c r="Z297" s="75" t="n">
        <x:v>0.005961302393254275</x:v>
      </x:c>
      <x:c r="AA297" s="75" t="n">
        <x:v>0.00470458107358837</x:v>
      </x:c>
      <x:c r="AB297" s="75" t="n">
        <x:v>0.005255491713068458</x:v>
      </x:c>
      <x:c r="AC297" s="75" t="n">
        <x:v>0.020781000287678698</x:v>
      </x:c>
      <x:c r="AD297" s="75" t="n">
        <x:v>0.09608183295599011</x:v>
      </x:c>
      <x:c r="AE297" s="75" t="n">
        <x:v>0.09130280902223603</x:v>
      </x:c>
      <x:c r="AF297" s="74" t="n">
        <x:v>12</x:v>
      </x:c>
    </x:row>
    <x:row r="298">
      <x:c r="A298" t="str">
        <x:v>2025 S1</x:v>
      </x:c>
      <x:c r="B298" t="str">
        <x:v>CNCT0075</x:v>
      </x:c>
      <x:c r="C298" s="74" t="n">
        <x:v>2544</x:v>
      </x:c>
      <x:c r="D298" s="74" t="n">
        <x:v>1213.906</x:v>
      </x:c>
      <x:c r="E298" s="75" t="n">
        <x:v>0.9788355475135322</x:v>
      </x:c>
      <x:c r="F298" s="75" t="n">
        <x:v>0.17972546652634627</x:v>
      </x:c>
      <x:c r="G298" s="75" t="n">
        <x:v>0.019388943803365692</x:v>
      </x:c>
      <x:c r="H298" s="75" t="n">
        <x:v>0.012096722413305543</x:v>
      </x:c>
      <x:c r="I298" s="75" t="n">
        <x:v>0.009680896814505104</x:v>
      </x:c>
      <x:c r="J298" s="75" t="n">
        <x:v>0.01666845926520182</x:v>
      </x:c>
      <x:c r="K298" s="75" t="n">
        <x:v>0.013356326537556015</x:v>
      </x:c>
      <x:c r="L298" s="75" t="n">
        <x:v>0.013883794998881057</x:v>
      </x:c>
      <x:c r="M298" s="75" t="n">
        <x:v>0.009653483163918281</x:v>
      </x:c>
      <x:c r="N298" s="75" t="n">
        <x:v>0.008585307557979831</x:v>
      </x:c>
      <x:c r="O298" s="75" t="n">
        <x:v>0.0072402287266377235</x:v>
      </x:c>
      <x:c r="P298" s="75" t="n">
        <x:v>0.002540830517024915</x:v>
      </x:c>
      <x:c r="Q298" s="75" t="n">
        <x:v>0.004692354692029767</x:v>
      </x:c>
      <x:c r="R298" s="75" t="n">
        <x:v>0.34886691359547484</x:v>
      </x:c>
      <x:c r="S298" s="75" t="n">
        <x:v>0.012703790230953018</x:v>
      </x:c>
      <x:c r="T298" s="75" t="n">
        <x:v>0.005379035065794596</x:v>
      </x:c>
      <x:c r="U298" s="75" t="n">
        <x:v>0.008659452282241544</x:v>
      </x:c>
      <x:c r="V298" s="75" t="n">
        <x:v>0.030402459487930175</x:v>
      </x:c>
      <x:c r="W298" s="75" t="n">
        <x:v>0.011118655277925792</x:v>
      </x:c>
      <x:c r="X298" s="75" t="n">
        <x:v>0.023892692592927485</x:v>
      </x:c>
      <x:c r="Y298" s="75" t="n">
        <x:v>0.018495426596987528</x:v>
      </x:c>
      <x:c r="Z298" s="75" t="n">
        <x:v>0.004158292689395602</x:v>
      </x:c>
      <x:c r="AA298" s="75" t="n">
        <x:v>0.00488512373278616</x:v>
      </x:c>
      <x:c r="AB298" s="75" t="n">
        <x:v>0.005347171656967839</x:v>
      </x:c>
      <x:c r="AC298" s="75" t="n">
        <x:v>0.01789636853726115</x:v>
      </x:c>
      <x:c r="AD298" s="75" t="n">
        <x:v>0.10728380942696822</x:v>
      </x:c>
      <x:c r="AE298" s="75" t="n">
        <x:v>0.07397752662318817</x:v>
      </x:c>
      <x:c r="AF298" s="74" t="n">
        <x:v>12</x:v>
      </x:c>
    </x:row>
    <x:row r="299">
      <x:c r="A299" t="str">
        <x:v>2025 S2</x:v>
      </x:c>
      <x:c r="B299" t="str">
        <x:v>CNCT0075</x:v>
      </x:c>
      <x:c r="C299" s="74" t="n">
        <x:v>2703</x:v>
      </x:c>
      <x:c r="D299" s="74" t="n">
        <x:v>1228.473</x:v>
      </x:c>
      <x:c r="E299" s="75" t="n">
        <x:v>0.9842520910860112</x:v>
      </x:c>
      <x:c r="F299" s="75" t="n">
        <x:v>0.17972546652634627</x:v>
      </x:c>
      <x:c r="G299" s="75" t="n">
        <x:v>0.019388943803365692</x:v>
      </x:c>
      <x:c r="H299" s="75" t="n">
        <x:v>0.012096722413305543</x:v>
      </x:c>
      <x:c r="I299" s="75" t="n">
        <x:v>0.009680896814505104</x:v>
      </x:c>
      <x:c r="J299" s="75" t="n">
        <x:v>0.01666845926520182</x:v>
      </x:c>
      <x:c r="K299" s="75" t="n">
        <x:v>0.013356326537556015</x:v>
      </x:c>
      <x:c r="L299" s="75" t="n">
        <x:v>0.013883794998881057</x:v>
      </x:c>
      <x:c r="M299" s="75" t="n">
        <x:v>0.009653483163918281</x:v>
      </x:c>
      <x:c r="N299" s="75" t="n">
        <x:v>0.008585307557979831</x:v>
      </x:c>
      <x:c r="O299" s="75" t="n">
        <x:v>0.0072402287266377235</x:v>
      </x:c>
      <x:c r="P299" s="75" t="n">
        <x:v>0.002540830517024915</x:v>
      </x:c>
      <x:c r="Q299" s="75" t="n">
        <x:v>0.004692354692029767</x:v>
      </x:c>
      <x:c r="R299" s="75" t="n">
        <x:v>0.36608131825160417</x:v>
      </x:c>
      <x:c r="S299" s="75" t="n">
        <x:v>0.012703790230953018</x:v>
      </x:c>
      <x:c r="T299" s="75" t="n">
        <x:v>0.005379035065794596</x:v>
      </x:c>
      <x:c r="U299" s="75" t="n">
        <x:v>0.008659452282241544</x:v>
      </x:c>
      <x:c r="V299" s="75" t="n">
        <x:v>0.030402459487930175</x:v>
      </x:c>
      <x:c r="W299" s="75" t="n">
        <x:v>0.011118655277925792</x:v>
      </x:c>
      <x:c r="X299" s="75" t="n">
        <x:v>0.023892692592927485</x:v>
      </x:c>
      <x:c r="Y299" s="75" t="n">
        <x:v>0.018495426596987528</x:v>
      </x:c>
      <x:c r="Z299" s="75" t="n">
        <x:v>0.004158292689395602</x:v>
      </x:c>
      <x:c r="AA299" s="75" t="n">
        <x:v>0.00488512373278616</x:v>
      </x:c>
      <x:c r="AB299" s="75" t="n">
        <x:v>0.005347171656967839</x:v>
      </x:c>
      <x:c r="AC299" s="75" t="n">
        <x:v>0.01789636853726115</x:v>
      </x:c>
      <x:c r="AD299" s="75" t="n">
        <x:v>0.10728380942696822</x:v>
      </x:c>
      <x:c r="AE299" s="75" t="n">
        <x:v>0.07397752662318817</x:v>
      </x:c>
      <x:c r="AF299" s="74" t="n">
        <x:v>12</x:v>
      </x:c>
    </x:row>
    <x:row r="300">
      <x:c r="A300" t="str">
        <x:v>2026 S1</x:v>
      </x:c>
      <x:c r="B300" t="str">
        <x:v>CNCT0075</x:v>
      </x:c>
      <x:c r="C300" s="74" t="n">
        <x:v>2804</x:v>
      </x:c>
      <x:c r="D300" s="74" t="n">
        <x:v>1264.976</x:v>
      </x:c>
      <x:c r="E300" s="75" t="n">
        <x:v>0.9814872856489091</x:v>
      </x:c>
      <x:c r="F300" s="75" t="n">
        <x:v>0.17926187950672465</x:v>
      </x:c>
      <x:c r="G300" s="75" t="n">
        <x:v>0.017681848574604375</x:v>
      </x:c>
      <x:c r="H300" s="75" t="n">
        <x:v>0.012096722413305543</x:v>
      </x:c>
      <x:c r="I300" s="75" t="n">
        <x:v>0.009680896814505104</x:v>
      </x:c>
      <x:c r="J300" s="75" t="n">
        <x:v>0.01666845926520182</x:v>
      </x:c>
      <x:c r="K300" s="75" t="n">
        <x:v>0.013356326537556015</x:v>
      </x:c>
      <x:c r="L300" s="75" t="n">
        <x:v>0.013883794998881057</x:v>
      </x:c>
      <x:c r="M300" s="75" t="n">
        <x:v>0.009653483163918281</x:v>
      </x:c>
      <x:c r="N300" s="75" t="n">
        <x:v>0.008585307557979831</x:v>
      </x:c>
      <x:c r="O300" s="75" t="n">
        <x:v>0.005685065348319767</x:v>
      </x:c>
      <x:c r="P300" s="75" t="n">
        <x:v>0.002540830517024915</x:v>
      </x:c>
      <x:c r="Q300" s="75" t="n">
        <x:v>0.004692354692029767</x:v>
      </x:c>
      <x:c r="R300" s="75" t="n">
        <x:v>0.33002952361693544</x:v>
      </x:c>
      <x:c r="S300" s="75" t="n">
        <x:v>0.012703790230953018</x:v>
      </x:c>
      <x:c r="T300" s="75" t="n">
        <x:v>0.005379035065794596</x:v>
      </x:c>
      <x:c r="U300" s="75" t="n">
        <x:v>0.008659452282241544</x:v>
      </x:c>
      <x:c r="V300" s="75" t="n">
        <x:v>0.030402459487930175</x:v>
      </x:c>
      <x:c r="W300" s="75" t="n">
        <x:v>0.009784416644574696</x:v>
      </x:c>
      <x:c r="X300" s="75" t="n">
        <x:v>0.021025569481776186</x:v>
      </x:c>
      <x:c r="Y300" s="75" t="n">
        <x:v>0.016275975405349023</x:v>
      </x:c>
      <x:c r="Z300" s="75" t="n">
        <x:v>0.00365929756666813</x:v>
      </x:c>
      <x:c r="AA300" s="75" t="n">
        <x:v>0.004298908884851821</x:v>
      </x:c>
      <x:c r="AB300" s="75" t="n">
        <x:v>0.004705511058131698</x:v>
      </x:c>
      <x:c r="AC300" s="75" t="n">
        <x:v>0.015748804312789813</x:v>
      </x:c>
      <x:c r="AD300" s="75" t="n">
        <x:v>0.09870110467281076</x:v>
      </x:c>
      <x:c r="AE300" s="75" t="n">
        <x:v>0.12133256371807301</x:v>
      </x:c>
      <x:c r="AF300" s="74" t="n">
        <x:v>12</x:v>
      </x:c>
    </x:row>
    <x:row r="301">
      <x:c r="A301" t="str">
        <x:v>2026 S2</x:v>
      </x:c>
      <x:c r="B301" t="str">
        <x:v>CNCT0075</x:v>
      </x:c>
      <x:c r="C301" s="74" t="n">
        <x:v>3038</x:v>
      </x:c>
      <x:c r="D301" s="74" t="n">
        <x:v>1283.602</x:v>
      </x:c>
      <x:c r="E301" s="75" t="n">
        <x:v>0.9842520910860112</x:v>
      </x:c>
      <x:c r="F301" s="75" t="n">
        <x:v>0.18440992508204362</x:v>
      </x:c>
      <x:c r="G301" s="75" t="n">
        <x:v>0.020763620450146847</x:v>
      </x:c>
      <x:c r="H301" s="75" t="n">
        <x:v>0.012096722413305543</x:v>
      </x:c>
      <x:c r="I301" s="75" t="n">
        <x:v>0.009680896814505104</x:v>
      </x:c>
      <x:c r="J301" s="75" t="n">
        <x:v>0.01666845926520182</x:v>
      </x:c>
      <x:c r="K301" s="75" t="n">
        <x:v>0.013356326537556015</x:v>
      </x:c>
      <x:c r="L301" s="75" t="n">
        <x:v>0.013883794998881057</x:v>
      </x:c>
      <x:c r="M301" s="75" t="n">
        <x:v>0.009653483163918281</x:v>
      </x:c>
      <x:c r="N301" s="75" t="n">
        <x:v>0.008585307557979831</x:v>
      </x:c>
      <x:c r="O301" s="75" t="n">
        <x:v>0.0072402287266377235</x:v>
      </x:c>
      <x:c r="P301" s="75" t="n">
        <x:v>0.002540830517024915</x:v>
      </x:c>
      <x:c r="Q301" s="75" t="n">
        <x:v>0.004692354692029767</x:v>
      </x:c>
      <x:c r="R301" s="75" t="n">
        <x:v>0.3417520714547483</x:v>
      </x:c>
      <x:c r="S301" s="75" t="n">
        <x:v>0.012703790230953018</x:v>
      </x:c>
      <x:c r="T301" s="75" t="n">
        <x:v>0.005379035065794596</x:v>
      </x:c>
      <x:c r="U301" s="75" t="n">
        <x:v>0.008659452282241544</x:v>
      </x:c>
      <x:c r="V301" s="75" t="n">
        <x:v>0.030402459487930175</x:v>
      </x:c>
      <x:c r="W301" s="75" t="n">
        <x:v>0.010135766151357152</x:v>
      </x:c>
      <x:c r="X301" s="75" t="n">
        <x:v>0.021780578567712698</x:v>
      </x:c>
      <x:c r="Y301" s="75" t="n">
        <x:v>0.01686043088581383</x:v>
      </x:c>
      <x:c r="Z301" s="75" t="n">
        <x:v>0.003790699615653031</x:v>
      </x:c>
      <x:c r="AA301" s="75" t="n">
        <x:v>0.004453278794807863</x:v>
      </x:c>
      <x:c r="AB301" s="75" t="n">
        <x:v>0.004874481682491882</x:v>
      </x:c>
      <x:c r="AC301" s="75" t="n">
        <x:v>0.016314329558567268</x:v>
      </x:c>
      <x:c r="AD301" s="75" t="n">
        <x:v>0.0965554284842714</x:v>
      </x:c>
      <x:c r="AE301" s="75" t="n">
        <x:v>0.09736898038716164</x:v>
      </x:c>
      <x:c r="AF301" s="74" t="n">
        <x:v>12</x:v>
      </x:c>
    </x:row>
    <x:row r="302">
      <x:c r="A302" t="str">
        <x:v>2025 S1</x:v>
      </x:c>
      <x:c r="B302" t="str">
        <x:v>CNCT0076</x:v>
      </x:c>
      <x:c r="C302" s="74" t="n">
        <x:v>1780</x:v>
      </x:c>
      <x:c r="D302" s="74" t="n">
        <x:v>1038.101</x:v>
      </x:c>
      <x:c r="E302" s="75" t="n">
        <x:v>0.9849581468961842</x:v>
      </x:c>
      <x:c r="F302" s="75" t="n">
        <x:v>0.17708077870588748</x:v>
      </x:c>
      <x:c r="G302" s="75" t="n">
        <x:v>0.011031682394976088</x:v>
      </x:c>
      <x:c r="H302" s="75" t="n">
        <x:v>0.008484050580307666</x:v>
      </x:c>
      <x:c r="I302" s="75" t="n">
        <x:v>0.009971683111005405</x:v>
      </x:c>
      <x:c r="J302" s="75" t="n">
        <x:v>0.01565945212682709</x:v>
      </x:c>
      <x:c r="K302" s="75" t="n">
        <x:v>0.013479980782154597</x:v>
      </x:c>
      <x:c r="L302" s="75" t="n">
        <x:v>0.008369391518150223</x:v>
      </x:c>
      <x:c r="M302" s="75" t="n">
        <x:v>0.009341478906178964</x:v>
      </x:c>
      <x:c r="N302" s="75" t="n">
        <x:v>0.007124345918768086</x:v>
      </x:c>
      <x:c r="O302" s="75" t="n">
        <x:v>0.014355378455853496</x:v>
      </x:c>
      <x:c r="P302" s="75" t="n">
        <x:v>0.0002434248926856525</x:v>
      </x:c>
      <x:c r="Q302" s="75" t="n">
        <x:v>0.005405018967076785</x:v>
      </x:c>
      <x:c r="R302" s="75" t="n">
        <x:v>0.35396097666526066</x:v>
      </x:c>
      <x:c r="S302" s="75" t="n">
        <x:v>0.015549997384649033</x:v>
      </x:c>
      <x:c r="T302" s="75" t="n">
        <x:v>0.006170795412224834</x:v>
      </x:c>
      <x:c r="U302" s="75" t="n">
        <x:v>0.01092570231569698</x:v>
      </x:c>
      <x:c r="V302" s="75" t="n">
        <x:v>0.02912563933062484</x:v>
      </x:c>
      <x:c r="W302" s="75" t="n">
        <x:v>0.013034984737036575</x:v>
      </x:c>
      <x:c r="X302" s="75" t="n">
        <x:v>0.021354103835225284</x:v>
      </x:c>
      <x:c r="Y302" s="75" t="n">
        <x:v>0.012890780690418324</x:v>
      </x:c>
      <x:c r="Z302" s="75" t="n">
        <x:v>0.0040221683077164925</x:v>
      </x:c>
      <x:c r="AA302" s="75" t="n">
        <x:v>0.008304839542014525</x:v>
      </x:c>
      <x:c r="AB302" s="75" t="n">
        <x:v>0.005500965716614155</x:v>
      </x:c>
      <x:c r="AC302" s="75" t="n">
        <x:v>0.020192683872347697</x:v>
      </x:c>
      <x:c r="AD302" s="75" t="n">
        <x:v>0.1043580221348675</x:v>
      </x:c>
      <x:c r="AE302" s="75" t="n">
        <x:v>0.07658272471556185</x:v>
      </x:c>
      <x:c r="AF302" s="74" t="n">
        <x:v>6</x:v>
      </x:c>
    </x:row>
    <x:row r="303">
      <x:c r="A303" t="str">
        <x:v>2025 S2</x:v>
      </x:c>
      <x:c r="B303" t="str">
        <x:v>CNCT0076</x:v>
      </x:c>
      <x:c r="C303" s="74" t="n">
        <x:v>1872</x:v>
      </x:c>
      <x:c r="D303" s="74" t="n">
        <x:v>1050.559</x:v>
      </x:c>
      <x:c r="E303" s="75" t="n">
        <x:v>0.9660265739599417</x:v>
      </x:c>
      <x:c r="F303" s="75" t="n">
        <x:v>0.17708077870588748</x:v>
      </x:c>
      <x:c r="G303" s="75" t="n">
        <x:v>0.011031682394976088</x:v>
      </x:c>
      <x:c r="H303" s="75" t="n">
        <x:v>0.008484050580307666</x:v>
      </x:c>
      <x:c r="I303" s="75" t="n">
        <x:v>0.009971683111005405</x:v>
      </x:c>
      <x:c r="J303" s="75" t="n">
        <x:v>0.01565945212682709</x:v>
      </x:c>
      <x:c r="K303" s="75" t="n">
        <x:v>0.013479980782154597</x:v>
      </x:c>
      <x:c r="L303" s="75" t="n">
        <x:v>0.008369391518150223</x:v>
      </x:c>
      <x:c r="M303" s="75" t="n">
        <x:v>0.009341478906178964</x:v>
      </x:c>
      <x:c r="N303" s="75" t="n">
        <x:v>0.007124345918768086</x:v>
      </x:c>
      <x:c r="O303" s="75" t="n">
        <x:v>0.014355378455853496</x:v>
      </x:c>
      <x:c r="P303" s="75" t="n">
        <x:v>0.0002434248926856525</x:v>
      </x:c>
      <x:c r="Q303" s="75" t="n">
        <x:v>0.005405018967076785</x:v>
      </x:c>
      <x:c r="R303" s="75" t="n">
        <x:v>0.36654709469078856</x:v>
      </x:c>
      <x:c r="S303" s="75" t="n">
        <x:v>0.015549997384649033</x:v>
      </x:c>
      <x:c r="T303" s="75" t="n">
        <x:v>0.006170795412224834</x:v>
      </x:c>
      <x:c r="U303" s="75" t="n">
        <x:v>0.01092570231569698</x:v>
      </x:c>
      <x:c r="V303" s="75" t="n">
        <x:v>0.02912563933062484</x:v>
      </x:c>
      <x:c r="W303" s="75" t="n">
        <x:v>0.013034984737036575</x:v>
      </x:c>
      <x:c r="X303" s="75" t="n">
        <x:v>0.021354103835225284</x:v>
      </x:c>
      <x:c r="Y303" s="75" t="n">
        <x:v>0.012890780690418324</x:v>
      </x:c>
      <x:c r="Z303" s="75" t="n">
        <x:v>0.0040221683077164925</x:v>
      </x:c>
      <x:c r="AA303" s="75" t="n">
        <x:v>0.008304839542014525</x:v>
      </x:c>
      <x:c r="AB303" s="75" t="n">
        <x:v>0.005500965716614155</x:v>
      </x:c>
      <x:c r="AC303" s="75" t="n">
        <x:v>0.020192683872347697</x:v>
      </x:c>
      <x:c r="AD303" s="75" t="n">
        <x:v>0.1043580221348675</x:v>
      </x:c>
      <x:c r="AE303" s="75" t="n">
        <x:v>0.06867018613941037</x:v>
      </x:c>
      <x:c r="AF303" s="74" t="n">
        <x:v>6</x:v>
      </x:c>
    </x:row>
    <x:row r="304">
      <x:c r="A304" t="str">
        <x:v>2026 S1</x:v>
      </x:c>
      <x:c r="B304" t="str">
        <x:v>CNCT0076</x:v>
      </x:c>
      <x:c r="C304" s="74" t="n">
        <x:v>1702</x:v>
      </x:c>
      <x:c r="D304" s="74" t="n">
        <x:v>1076.81</x:v>
      </x:c>
      <x:c r="E304" s="75" t="n">
        <x:v>0.9848820197473106</x:v>
      </x:c>
      <x:c r="F304" s="75" t="n">
        <x:v>0.1808761841775267</x:v>
      </x:c>
      <x:c r="G304" s="75" t="n">
        <x:v>0.01248282754742104</x:v>
      </x:c>
      <x:c r="H304" s="75" t="n">
        <x:v>0.008484050580307666</x:v>
      </x:c>
      <x:c r="I304" s="75" t="n">
        <x:v>0.009971683111005405</x:v>
      </x:c>
      <x:c r="J304" s="75" t="n">
        <x:v>0.01565945212682709</x:v>
      </x:c>
      <x:c r="K304" s="75" t="n">
        <x:v>0.013479980782154597</x:v>
      </x:c>
      <x:c r="L304" s="75" t="n">
        <x:v>0.008369391518150223</x:v>
      </x:c>
      <x:c r="M304" s="75" t="n">
        <x:v>0.009341478906178964</x:v>
      </x:c>
      <x:c r="N304" s="75" t="n">
        <x:v>0.007124345918768086</x:v>
      </x:c>
      <x:c r="O304" s="75" t="n">
        <x:v>0.014439463512702786</x:v>
      </x:c>
      <x:c r="P304" s="75" t="n">
        <x:v>0.0002434248926856525</x:v>
      </x:c>
      <x:c r="Q304" s="75" t="n">
        <x:v>0.005405018967076785</x:v>
      </x:c>
      <x:c r="R304" s="75" t="n">
        <x:v>0.3487287791732675</x:v>
      </x:c>
      <x:c r="S304" s="75" t="n">
        <x:v>0.015549997384649033</x:v>
      </x:c>
      <x:c r="T304" s="75" t="n">
        <x:v>0.006170795412224834</x:v>
      </x:c>
      <x:c r="U304" s="75" t="n">
        <x:v>0.01092570231569698</x:v>
      </x:c>
      <x:c r="V304" s="75" t="n">
        <x:v>0.02912563933062484</x:v>
      </x:c>
      <x:c r="W304" s="75" t="n">
        <x:v>0.01603891004083407</x:v>
      </x:c>
      <x:c r="X304" s="75" t="n">
        <x:v>0.02627517847739902</x:v>
      </x:c>
      <x:c r="Y304" s="75" t="n">
        <x:v>0.015861474027068535</x:v>
      </x:c>
      <x:c r="Z304" s="75" t="n">
        <x:v>0.004949081027556681</x:v>
      </x:c>
      <x:c r="AA304" s="75" t="n">
        <x:v>0.010218698142351252</x:v>
      </x:c>
      <x:c r="AB304" s="75" t="n">
        <x:v>0.006768668782234815</x:v>
      </x:c>
      <x:c r="AC304" s="75" t="n">
        <x:v>0.024846108119434225</x:v>
      </x:c>
      <x:c r="AD304" s="75" t="n">
        <x:v>0.1043580221348675</x:v>
      </x:c>
      <x:c r="AE304" s="75" t="n">
        <x:v>0.07658272471556185</x:v>
      </x:c>
      <x:c r="AF304" s="74" t="n">
        <x:v>6</x:v>
      </x:c>
    </x:row>
    <x:row r="305">
      <x:c r="A305" t="str">
        <x:v>2026 S2</x:v>
      </x:c>
      <x:c r="B305" t="str">
        <x:v>CNCT0076</x:v>
      </x:c>
      <x:c r="C305" s="74" t="n">
        <x:v>1855</x:v>
      </x:c>
      <x:c r="D305" s="74" t="n">
        <x:v>1077.114</x:v>
      </x:c>
      <x:c r="E305" s="75" t="n">
        <x:v>0.9660265739599417</x:v>
      </x:c>
      <x:c r="F305" s="75" t="n">
        <x:v>0.17527913577771687</x:v>
      </x:c>
      <x:c r="G305" s="75" t="n">
        <x:v>0.010621981572920049</x:v>
      </x:c>
      <x:c r="H305" s="75" t="n">
        <x:v>0.008484050580307666</x:v>
      </x:c>
      <x:c r="I305" s="75" t="n">
        <x:v>0.009971683111005405</x:v>
      </x:c>
      <x:c r="J305" s="75" t="n">
        <x:v>0.01565945212682709</x:v>
      </x:c>
      <x:c r="K305" s="75" t="n">
        <x:v>0.013479980782154597</x:v>
      </x:c>
      <x:c r="L305" s="75" t="n">
        <x:v>0.008369391518150223</x:v>
      </x:c>
      <x:c r="M305" s="75" t="n">
        <x:v>0.009341478906178964</x:v>
      </x:c>
      <x:c r="N305" s="75" t="n">
        <x:v>0.007124345918768086</x:v>
      </x:c>
      <x:c r="O305" s="75" t="n">
        <x:v>0.014355378455853496</x:v>
      </x:c>
      <x:c r="P305" s="75" t="n">
        <x:v>0.0002434248926856525</x:v>
      </x:c>
      <x:c r="Q305" s="75" t="n">
        <x:v>0.005405018967076785</x:v>
      </x:c>
      <x:c r="R305" s="75" t="n">
        <x:v>0.3696963359079581</x:v>
      </x:c>
      <x:c r="S305" s="75" t="n">
        <x:v>0.015549997384649033</x:v>
      </x:c>
      <x:c r="T305" s="75" t="n">
        <x:v>0.006170795412224834</x:v>
      </x:c>
      <x:c r="U305" s="75" t="n">
        <x:v>0.01092570231569698</x:v>
      </x:c>
      <x:c r="V305" s="75" t="n">
        <x:v>0.02912563933062484</x:v>
      </x:c>
      <x:c r="W305" s="75" t="n">
        <x:v>0.01381708382125877</x:v>
      </x:c>
      <x:c r="X305" s="75" t="n">
        <x:v>0.022635350065338802</x:v>
      </x:c>
      <x:c r="Y305" s="75" t="n">
        <x:v>0.013664227531843424</x:v>
      </x:c>
      <x:c r="Z305" s="75" t="n">
        <x:v>0.0042634984061794825</x:v>
      </x:c>
      <x:c r="AA305" s="75" t="n">
        <x:v>0.008803129914535397</x:v>
      </x:c>
      <x:c r="AB305" s="75" t="n">
        <x:v>0.005831023659611005</x:v>
      </x:c>
      <x:c r="AC305" s="75" t="n">
        <x:v>0.02140424490468856</x:v>
      </x:c>
      <x:c r="AD305" s="75" t="n">
        <x:v>0.1043580221348675</x:v>
      </x:c>
      <x:c r="AE305" s="75" t="n">
        <x:v>0.06867018613941037</x:v>
      </x:c>
      <x:c r="AF305" s="74" t="n">
        <x:v>6</x:v>
      </x:c>
    </x:row>
    <x:row r="306">
      <x:c r="A306" t="str">
        <x:v>2025 S1</x:v>
      </x:c>
      <x:c r="B306" t="str">
        <x:v>CNCT0077</x:v>
      </x:c>
      <x:c r="C306" s="74" t="n">
        <x:v>1878</x:v>
      </x:c>
      <x:c r="D306" s="74" t="n">
        <x:v>1144.326</x:v>
      </x:c>
      <x:c r="E306" s="75" t="n">
        <x:v>0.9613401761577697</x:v>
      </x:c>
      <x:c r="F306" s="75" t="n">
        <x:v>0.2166113520236686</x:v>
      </x:c>
      <x:c r="G306" s="75" t="n">
        <x:v>0.02047466255413019</x:v>
      </x:c>
      <x:c r="H306" s="75" t="n">
        <x:v>0.00924249719959971</x:v>
      </x:c>
      <x:c r="I306" s="75" t="n">
        <x:v>0.006188111385134107</x:v>
      </x:c>
      <x:c r="J306" s="75" t="n">
        <x:v>0.012378918930771761</x:v>
      </x:c>
      <x:c r="K306" s="75" t="n">
        <x:v>0.012730734997283433</x:v>
      </x:c>
      <x:c r="L306" s="75" t="n">
        <x:v>0.008734629564482019</x:v>
      </x:c>
      <x:c r="M306" s="75" t="n">
        <x:v>0.00923687630344648</x:v>
      </x:c>
      <x:c r="N306" s="75" t="n">
        <x:v>0.007524867900210666</x:v>
      </x:c>
      <x:c r="O306" s="75" t="n">
        <x:v>0.01543624534360424</x:v>
      </x:c>
      <x:c r="P306" s="75" t="n">
        <x:v>0.0014818450610837317</x:v>
      </x:c>
      <x:c r="Q306" s="75" t="n">
        <x:v>0.002145945520787791</x:v>
      </x:c>
      <x:c r="R306" s="75" t="n">
        <x:v>0.338242057552882</x:v>
      </x:c>
      <x:c r="S306" s="75" t="n">
        <x:v>0.016789823112829255</x:v>
      </x:c>
      <x:c r="T306" s="75" t="n">
        <x:v>0.004293254311291093</x:v>
      </x:c>
      <x:c r="U306" s="75" t="n">
        <x:v>0.010625210799858904</x:v>
      </x:c>
      <x:c r="V306" s="75" t="n">
        <x:v>0.036319918624503775</x:v>
      </x:c>
      <x:c r="W306" s="75" t="n">
        <x:v>0.013488109558302677</x:v>
      </x:c>
      <x:c r="X306" s="75" t="n">
        <x:v>0.023520616423594473</x:v>
      </x:c>
      <x:c r="Y306" s="75" t="n">
        <x:v>0.013207238945587306</x:v>
      </x:c>
      <x:c r="Z306" s="75" t="n">
        <x:v>0.007330599348626856</x:v>
      </x:c>
      <x:c r="AA306" s="75" t="n">
        <x:v>0.004927187899996061</x:v>
      </x:c>
      <x:c r="AB306" s="75" t="n">
        <x:v>0.0032114980826212555</x:v>
      </x:c>
      <x:c r="AC306" s="75" t="n">
        <x:v>0.01694143006873783</x:v>
      </x:c>
      <x:c r="AD306" s="75" t="n">
        <x:v>0.11362853964482202</x:v>
      </x:c>
      <x:c r="AE306" s="75" t="n">
        <x:v>0.08070042616178398</x:v>
      </x:c>
      <x:c r="AF306" s="74" t="n">
        <x:v>10</x:v>
      </x:c>
    </x:row>
    <x:row r="307">
      <x:c r="A307" t="str">
        <x:v>2025 S2</x:v>
      </x:c>
      <x:c r="B307" t="str">
        <x:v>CNCT0077</x:v>
      </x:c>
      <x:c r="C307" s="74" t="n">
        <x:v>2046</x:v>
      </x:c>
      <x:c r="D307" s="74" t="n">
        <x:v>1158.058</x:v>
      </x:c>
      <x:c r="E307" s="75" t="n">
        <x:v>0.9696028581496211</x:v>
      </x:c>
      <x:c r="F307" s="75" t="n">
        <x:v>0.2166113520236686</x:v>
      </x:c>
      <x:c r="G307" s="75" t="n">
        <x:v>0.02047466255413019</x:v>
      </x:c>
      <x:c r="H307" s="75" t="n">
        <x:v>0.00924249719959971</x:v>
      </x:c>
      <x:c r="I307" s="75" t="n">
        <x:v>0.006188111385134107</x:v>
      </x:c>
      <x:c r="J307" s="75" t="n">
        <x:v>0.012378918930771761</x:v>
      </x:c>
      <x:c r="K307" s="75" t="n">
        <x:v>0.012730734997283433</x:v>
      </x:c>
      <x:c r="L307" s="75" t="n">
        <x:v>0.008734629564482019</x:v>
      </x:c>
      <x:c r="M307" s="75" t="n">
        <x:v>0.00923687630344648</x:v>
      </x:c>
      <x:c r="N307" s="75" t="n">
        <x:v>0.007524867900210666</x:v>
      </x:c>
      <x:c r="O307" s="75" t="n">
        <x:v>0.01543624534360424</x:v>
      </x:c>
      <x:c r="P307" s="75" t="n">
        <x:v>0.0014818450610837317</x:v>
      </x:c>
      <x:c r="Q307" s="75" t="n">
        <x:v>0.002145945520787791</x:v>
      </x:c>
      <x:c r="R307" s="75" t="n">
        <x:v>0.3570092715158154</x:v>
      </x:c>
      <x:c r="S307" s="75" t="n">
        <x:v>0.016789823112829255</x:v>
      </x:c>
      <x:c r="T307" s="75" t="n">
        <x:v>0.004293254311291093</x:v>
      </x:c>
      <x:c r="U307" s="75" t="n">
        <x:v>0.010625210799858904</x:v>
      </x:c>
      <x:c r="V307" s="75" t="n">
        <x:v>0.036319918624503775</x:v>
      </x:c>
      <x:c r="W307" s="75" t="n">
        <x:v>0.013488109558302677</x:v>
      </x:c>
      <x:c r="X307" s="75" t="n">
        <x:v>0.023520616423594473</x:v>
      </x:c>
      <x:c r="Y307" s="75" t="n">
        <x:v>0.013207238945587306</x:v>
      </x:c>
      <x:c r="Z307" s="75" t="n">
        <x:v>0.007330599348626856</x:v>
      </x:c>
      <x:c r="AA307" s="75" t="n">
        <x:v>0.004927187899996061</x:v>
      </x:c>
      <x:c r="AB307" s="75" t="n">
        <x:v>0.0032114980826212555</x:v>
      </x:c>
      <x:c r="AC307" s="75" t="n">
        <x:v>0.01694143006873783</x:v>
      </x:c>
      <x:c r="AD307" s="75" t="n">
        <x:v>0.11362853964482202</x:v>
      </x:c>
      <x:c r="AE307" s="75" t="n">
        <x:v>0.08070042616178398</x:v>
      </x:c>
      <x:c r="AF307" s="74" t="n">
        <x:v>10</x:v>
      </x:c>
    </x:row>
    <x:row r="308">
      <x:c r="A308" t="str">
        <x:v>2026 S1</x:v>
      </x:c>
      <x:c r="B308" t="str">
        <x:v>CNCT0077</x:v>
      </x:c>
      <x:c r="C308" s="74" t="n">
        <x:v>1852</x:v>
      </x:c>
      <x:c r="D308" s="74" t="n">
        <x:v>1187.04</x:v>
      </x:c>
      <x:c r="E308" s="75" t="n">
        <x:v>0.9636521604764274</x:v>
      </x:c>
      <x:c r="F308" s="75" t="n">
        <x:v>0.22157872108495213</x:v>
      </x:c>
      <x:c r="G308" s="75" t="n">
        <x:v>0.01918896283992217</x:v>
      </x:c>
      <x:c r="H308" s="75" t="n">
        <x:v>0.00924249719959971</x:v>
      </x:c>
      <x:c r="I308" s="75" t="n">
        <x:v>0.006188111385134107</x:v>
      </x:c>
      <x:c r="J308" s="75" t="n">
        <x:v>0.012378918930771761</x:v>
      </x:c>
      <x:c r="K308" s="75" t="n">
        <x:v>0.012730734997283433</x:v>
      </x:c>
      <x:c r="L308" s="75" t="n">
        <x:v>0.008734629564482019</x:v>
      </x:c>
      <x:c r="M308" s="75" t="n">
        <x:v>0.00923687630344648</x:v>
      </x:c>
      <x:c r="N308" s="75" t="n">
        <x:v>0.007524867900210666</x:v>
      </x:c>
      <x:c r="O308" s="75" t="n">
        <x:v>0.01715378334019624</x:v>
      </x:c>
      <x:c r="P308" s="75" t="n">
        <x:v>0.0014818450610837317</x:v>
      </x:c>
      <x:c r="Q308" s="75" t="n">
        <x:v>0.002145945520787791</x:v>
      </x:c>
      <x:c r="R308" s="75" t="n">
        <x:v>0.33500315288792104</x:v>
      </x:c>
      <x:c r="S308" s="75" t="n">
        <x:v>0.016789823112829255</x:v>
      </x:c>
      <x:c r="T308" s="75" t="n">
        <x:v>0.004293254311291093</x:v>
      </x:c>
      <x:c r="U308" s="75" t="n">
        <x:v>0.010625210799858904</x:v>
      </x:c>
      <x:c r="V308" s="75" t="n">
        <x:v>0.036319918624503775</x:v>
      </x:c>
      <x:c r="W308" s="75" t="n">
        <x:v>0.01659645793154286</x:v>
      </x:c>
      <x:c r="X308" s="75" t="n">
        <x:v>0.028940966064280985</x:v>
      </x:c>
      <x:c r="Y308" s="75" t="n">
        <x:v>0.016250860404477405</x:v>
      </x:c>
      <x:c r="Z308" s="75" t="n">
        <x:v>0.009019943319454387</x:v>
      </x:c>
      <x:c r="AA308" s="75" t="n">
        <x:v>0.006062663292407445</x:v>
      </x:c>
      <x:c r="AB308" s="75" t="n">
        <x:v>0.003951591036168997</x:v>
      </x:c>
      <x:c r="AC308" s="75" t="n">
        <x:v>0.020845599616508774</x:v>
      </x:c>
      <x:c r="AD308" s="75" t="n">
        <x:v>0.11362853964482202</x:v>
      </x:c>
      <x:c r="AE308" s="75" t="n">
        <x:v>0.08070042616178398</x:v>
      </x:c>
      <x:c r="AF308" s="74" t="n">
        <x:v>10</x:v>
      </x:c>
    </x:row>
    <x:row r="309">
      <x:c r="A309" t="str">
        <x:v>2026 S2</x:v>
      </x:c>
      <x:c r="B309" t="str">
        <x:v>CNCT0077</x:v>
      </x:c>
      <x:c r="C309" s="74" t="n">
        <x:v>2036</x:v>
      </x:c>
      <x:c r="D309" s="74" t="n">
        <x:v>1184.29</x:v>
      </x:c>
      <x:c r="E309" s="75" t="n">
        <x:v>0.9696028581496211</x:v>
      </x:c>
      <x:c r="F309" s="75" t="n">
        <x:v>0.22291133949264624</x:v>
      </x:c>
      <x:c r="G309" s="75" t="n">
        <x:v>0.02242815673275618</x:v>
      </x:c>
      <x:c r="H309" s="75" t="n">
        <x:v>0.00924249719959971</x:v>
      </x:c>
      <x:c r="I309" s="75" t="n">
        <x:v>0.006188111385134107</x:v>
      </x:c>
      <x:c r="J309" s="75" t="n">
        <x:v>0.012378918930771761</x:v>
      </x:c>
      <x:c r="K309" s="75" t="n">
        <x:v>0.012730734997283433</x:v>
      </x:c>
      <x:c r="L309" s="75" t="n">
        <x:v>0.008734629564482019</x:v>
      </x:c>
      <x:c r="M309" s="75" t="n">
        <x:v>0.00923687630344648</x:v>
      </x:c>
      <x:c r="N309" s="75" t="n">
        <x:v>0.007524867900210666</x:v>
      </x:c>
      <x:c r="O309" s="75" t="n">
        <x:v>0.01543624534360424</x:v>
      </x:c>
      <x:c r="P309" s="75" t="n">
        <x:v>0.0014818450610837317</x:v>
      </x:c>
      <x:c r="Q309" s="75" t="n">
        <x:v>0.002145945520787791</x:v>
      </x:c>
      <x:c r="R309" s="75" t="n">
        <x:v>0.3489691778834743</x:v>
      </x:c>
      <x:c r="S309" s="75" t="n">
        <x:v>0.016789823112829255</x:v>
      </x:c>
      <x:c r="T309" s="75" t="n">
        <x:v>0.004293254311291093</x:v>
      </x:c>
      <x:c r="U309" s="75" t="n">
        <x:v>0.010625210799858904</x:v>
      </x:c>
      <x:c r="V309" s="75" t="n">
        <x:v>0.036319918624503775</x:v>
      </x:c>
      <x:c r="W309" s="75" t="n">
        <x:v>0.014297396131800838</x:v>
      </x:c>
      <x:c r="X309" s="75" t="n">
        <x:v>0.024931853409010142</x:v>
      </x:c>
      <x:c r="Y309" s="75" t="n">
        <x:v>0.013999673282322544</x:v>
      </x:c>
      <x:c r="Z309" s="75" t="n">
        <x:v>0.007770435309544467</x:v>
      </x:c>
      <x:c r="AA309" s="75" t="n">
        <x:v>0.005222819173995825</x:v>
      </x:c>
      <x:c r="AB309" s="75" t="n">
        <x:v>0.003404187967578531</x:v>
      </x:c>
      <x:c r="AC309" s="75" t="n">
        <x:v>0.0179579158728621</x:v>
      </x:c>
      <x:c r="AD309" s="75" t="n">
        <x:v>0.11362853964482202</x:v>
      </x:c>
      <x:c r="AE309" s="75" t="n">
        <x:v>0.08070042616178398</x:v>
      </x:c>
      <x:c r="AF309" s="74" t="n">
        <x:v>10</x:v>
      </x:c>
    </x:row>
    <x:row r="310">
      <x:c r="A310" t="str">
        <x:v>2025 S1</x:v>
      </x:c>
      <x:c r="B310" t="str">
        <x:v>CNCT0078</x:v>
      </x:c>
      <x:c r="C310" s="74" t="n">
        <x:v>2112</x:v>
      </x:c>
      <x:c r="D310" s="74" t="n">
        <x:v>1127.072</x:v>
      </x:c>
      <x:c r="E310" s="75" t="n">
        <x:v>0.9724890391906956</x:v>
      </x:c>
      <x:c r="F310" s="75" t="n">
        <x:v>0.1786055961283855</x:v>
      </x:c>
      <x:c r="G310" s="75" t="n">
        <x:v>0.009843946910201337</x:v>
      </x:c>
      <x:c r="H310" s="75" t="n">
        <x:v>0.010330922965978971</x:v>
      </x:c>
      <x:c r="I310" s="75" t="n">
        <x:v>0.008999443328209964</x:v>
      </x:c>
      <x:c r="J310" s="75" t="n">
        <x:v>0.01397089428104664</x:v>
      </x:c>
      <x:c r="K310" s="75" t="n">
        <x:v>0.013484570038417586</x:v>
      </x:c>
      <x:c r="L310" s="75" t="n">
        <x:v>0.009698462048414512</x:v>
      </x:c>
      <x:c r="M310" s="75" t="n">
        <x:v>0.006996690128115006</x:v>
      </x:c>
      <x:c r="N310" s="75" t="n">
        <x:v>0.007243080481566722</x:v>
      </x:c>
      <x:c r="O310" s="75" t="n">
        <x:v>0.015022244446678087</x:v>
      </x:c>
      <x:c r="P310" s="75" t="n">
        <x:v>0.0017330149932095083</x:v>
      </x:c>
      <x:c r="Q310" s="75" t="n">
        <x:v>0.005263407904865744</x:v>
      </x:c>
      <x:c r="R310" s="75" t="n">
        <x:v>0.3639128701478018</x:v>
      </x:c>
      <x:c r="S310" s="75" t="n">
        <x:v>0.01181349976650381</x:v>
      </x:c>
      <x:c r="T310" s="75" t="n">
        <x:v>0.003977463786075532</x:v>
      </x:c>
      <x:c r="U310" s="75" t="n">
        <x:v>0.006187505945152224</x:v>
      </x:c>
      <x:c r="V310" s="75" t="n">
        <x:v>0.037182703948172274</x:v>
      </x:c>
      <x:c r="W310" s="75" t="n">
        <x:v>0.010102615617963603</x:v>
      </x:c>
      <x:c r="X310" s="75" t="n">
        <x:v>0.01893653364284662</x:v>
      </x:c>
      <x:c r="Y310" s="75" t="n">
        <x:v>0.0178296159507893</x:v>
      </x:c>
      <x:c r="Z310" s="75" t="n">
        <x:v>0.005286248473805608</x:v>
      </x:c>
      <x:c r="AA310" s="75" t="n">
        <x:v>0.007994617029782039</x:v>
      </x:c>
      <x:c r="AB310" s="75" t="n">
        <x:v>0.0031475968355502114</x:v>
      </x:c>
      <x:c r="AC310" s="75" t="n">
        <x:v>0.02163761013222684</x:v>
      </x:c>
      <x:c r="AD310" s="75" t="n">
        <x:v>0.09892875022313093</x:v>
      </x:c>
      <x:c r="AE310" s="75" t="n">
        <x:v>0.07465282260414097</x:v>
      </x:c>
      <x:c r="AF310" s="74" t="n">
        <x:v>9</x:v>
      </x:c>
    </x:row>
    <x:row r="311">
      <x:c r="A311" t="str">
        <x:v>2025 S2</x:v>
      </x:c>
      <x:c r="B311" t="str">
        <x:v>CNCT0078</x:v>
      </x:c>
      <x:c r="C311" s="74" t="n">
        <x:v>2296</x:v>
      </x:c>
      <x:c r="D311" s="74" t="n">
        <x:v>1140.597</x:v>
      </x:c>
      <x:c r="E311" s="75" t="n">
        <x:v>0.9680809798547416</x:v>
      </x:c>
      <x:c r="F311" s="75" t="n">
        <x:v>0.1786055961283855</x:v>
      </x:c>
      <x:c r="G311" s="75" t="n">
        <x:v>0.009843946910201337</x:v>
      </x:c>
      <x:c r="H311" s="75" t="n">
        <x:v>0.010330922965978971</x:v>
      </x:c>
      <x:c r="I311" s="75" t="n">
        <x:v>0.008999443328209964</x:v>
      </x:c>
      <x:c r="J311" s="75" t="n">
        <x:v>0.01397089428104664</x:v>
      </x:c>
      <x:c r="K311" s="75" t="n">
        <x:v>0.013484570038417586</x:v>
      </x:c>
      <x:c r="L311" s="75" t="n">
        <x:v>0.009698462048414512</x:v>
      </x:c>
      <x:c r="M311" s="75" t="n">
        <x:v>0.006996690128115006</x:v>
      </x:c>
      <x:c r="N311" s="75" t="n">
        <x:v>0.007243080481566722</x:v>
      </x:c>
      <x:c r="O311" s="75" t="n">
        <x:v>0.015022244446678087</x:v>
      </x:c>
      <x:c r="P311" s="75" t="n">
        <x:v>0.0017330149932095083</x:v>
      </x:c>
      <x:c r="Q311" s="75" t="n">
        <x:v>0.005263407904865744</x:v>
      </x:c>
      <x:c r="R311" s="75" t="n">
        <x:v>0.37788681800863155</x:v>
      </x:c>
      <x:c r="S311" s="75" t="n">
        <x:v>0.01181349976650381</x:v>
      </x:c>
      <x:c r="T311" s="75" t="n">
        <x:v>0.003977463786075532</x:v>
      </x:c>
      <x:c r="U311" s="75" t="n">
        <x:v>0.006187505945152224</x:v>
      </x:c>
      <x:c r="V311" s="75" t="n">
        <x:v>0.037182703948172274</x:v>
      </x:c>
      <x:c r="W311" s="75" t="n">
        <x:v>0.010102615617963603</x:v>
      </x:c>
      <x:c r="X311" s="75" t="n">
        <x:v>0.01893653364284662</x:v>
      </x:c>
      <x:c r="Y311" s="75" t="n">
        <x:v>0.0178296159507893</x:v>
      </x:c>
      <x:c r="Z311" s="75" t="n">
        <x:v>0.005286248473805608</x:v>
      </x:c>
      <x:c r="AA311" s="75" t="n">
        <x:v>0.007994617029782039</x:v>
      </x:c>
      <x:c r="AB311" s="75" t="n">
        <x:v>0.0031475968355502114</x:v>
      </x:c>
      <x:c r="AC311" s="75" t="n">
        <x:v>0.02163761013222684</x:v>
      </x:c>
      <x:c r="AD311" s="75" t="n">
        <x:v>0.09892875022313093</x:v>
      </x:c>
      <x:c r="AE311" s="75" t="n">
        <x:v>0.07465282260414097</x:v>
      </x:c>
      <x:c r="AF311" s="74" t="n">
        <x:v>9</x:v>
      </x:c>
    </x:row>
    <x:row r="312">
      <x:c r="A312" t="str">
        <x:v>2026 S1</x:v>
      </x:c>
      <x:c r="B312" t="str">
        <x:v>CNCT0078</x:v>
      </x:c>
      <x:c r="C312" s="74" t="n">
        <x:v>2115</x:v>
      </x:c>
      <x:c r="D312" s="74" t="n">
        <x:v>1190.533</x:v>
      </x:c>
      <x:c r="E312" s="75" t="n">
        <x:v>0.9710888867905887</x:v>
      </x:c>
      <x:c r="F312" s="75" t="n">
        <x:v>0.1803380700680427</x:v>
      </x:c>
      <x:c r="G312" s="75" t="n">
        <x:v>0.009441007641173199</x:v>
      </x:c>
      <x:c r="H312" s="75" t="n">
        <x:v>0.010330922965978971</x:v>
      </x:c>
      <x:c r="I312" s="75" t="n">
        <x:v>0.008999443328209964</x:v>
      </x:c>
      <x:c r="J312" s="75" t="n">
        <x:v>0.01397089428104664</x:v>
      </x:c>
      <x:c r="K312" s="75" t="n">
        <x:v>0.013484570038417586</x:v>
      </x:c>
      <x:c r="L312" s="75" t="n">
        <x:v>0.009698462048414512</x:v>
      </x:c>
      <x:c r="M312" s="75" t="n">
        <x:v>0.006996690128115006</x:v>
      </x:c>
      <x:c r="N312" s="75" t="n">
        <x:v>0.007243080481566722</x:v>
      </x:c>
      <x:c r="O312" s="75" t="n">
        <x:v>0.01386645528418012</x:v>
      </x:c>
      <x:c r="P312" s="75" t="n">
        <x:v>0.0017330149932095083</x:v>
      </x:c>
      <x:c r="Q312" s="75" t="n">
        <x:v>0.005263407904865744</x:v>
      </x:c>
      <x:c r="R312" s="75" t="n">
        <x:v>0.3684973121744464</x:v>
      </x:c>
      <x:c r="S312" s="75" t="n">
        <x:v>0.01181349976650381</x:v>
      </x:c>
      <x:c r="T312" s="75" t="n">
        <x:v>0.003977463786075532</x:v>
      </x:c>
      <x:c r="U312" s="75" t="n">
        <x:v>0.006187505945152224</x:v>
      </x:c>
      <x:c r="V312" s="75" t="n">
        <x:v>0.037182703948172274</x:v>
      </x:c>
      <x:c r="W312" s="75" t="n">
        <x:v>0.012430773517766404</x:v>
      </x:c>
      <x:c r="X312" s="75" t="n">
        <x:v>0.023300476809909487</x:v>
      </x:c>
      <x:c r="Y312" s="75" t="n">
        <x:v>0.021938468825728967</x:v>
      </x:c>
      <x:c r="Z312" s="75" t="n">
        <x:v>0.00650446973550811</x:v>
      </x:c>
      <x:c r="AA312" s="75" t="n">
        <x:v>0.009836984541091633</x:v>
      </x:c>
      <x:c r="AB312" s="75" t="n">
        <x:v>0.0038729636826319034</x:v>
      </x:c>
      <x:c r="AC312" s="75" t="n">
        <x:v>0.026624019084837403</x:v>
      </x:c>
      <x:c r="AD312" s="75" t="n">
        <x:v>0.09892875022313093</x:v>
      </x:c>
      <x:c r="AE312" s="75" t="n">
        <x:v>0.07465282260414097</x:v>
      </x:c>
      <x:c r="AF312" s="74" t="n">
        <x:v>9</x:v>
      </x:c>
    </x:row>
    <x:row r="313">
      <x:c r="A313" t="str">
        <x:v>2026 S2</x:v>
      </x:c>
      <x:c r="B313" t="str">
        <x:v>CNCT0078</x:v>
      </x:c>
      <x:c r="C313" s="74" t="n">
        <x:v>2347</x:v>
      </x:c>
      <x:c r="D313" s="74" t="n">
        <x:v>1164.531</x:v>
      </x:c>
      <x:c r="E313" s="75" t="n">
        <x:v>0.9680809798547416</x:v>
      </x:c>
      <x:c r="F313" s="75" t="n">
        <x:v>0.1800940132218093</x:v>
      </x:c>
      <x:c r="G313" s="75" t="n">
        <x:v>0.008083107586571712</x:v>
      </x:c>
      <x:c r="H313" s="75" t="n">
        <x:v>0.010330922965978971</x:v>
      </x:c>
      <x:c r="I313" s="75" t="n">
        <x:v>0.008999443328209964</x:v>
      </x:c>
      <x:c r="J313" s="75" t="n">
        <x:v>0.01397089428104664</x:v>
      </x:c>
      <x:c r="K313" s="75" t="n">
        <x:v>0.013484570038417586</x:v>
      </x:c>
      <x:c r="L313" s="75" t="n">
        <x:v>0.009698462048414512</x:v>
      </x:c>
      <x:c r="M313" s="75" t="n">
        <x:v>0.006996690128115006</x:v>
      </x:c>
      <x:c r="N313" s="75" t="n">
        <x:v>0.007243080481566722</x:v>
      </x:c>
      <x:c r="O313" s="75" t="n">
        <x:v>0.015022244446678087</x:v>
      </x:c>
      <x:c r="P313" s="75" t="n">
        <x:v>0.0017330149932095083</x:v>
      </x:c>
      <x:c r="Q313" s="75" t="n">
        <x:v>0.005263407904865744</x:v>
      </x:c>
      <x:c r="R313" s="75" t="n">
        <x:v>0.3711447910492766</x:v>
      </x:c>
      <x:c r="S313" s="75" t="n">
        <x:v>0.01181349976650381</x:v>
      </x:c>
      <x:c r="T313" s="75" t="n">
        <x:v>0.003977463786075532</x:v>
      </x:c>
      <x:c r="U313" s="75" t="n">
        <x:v>0.006187505945152224</x:v>
      </x:c>
      <x:c r="V313" s="75" t="n">
        <x:v>0.037182703948172274</x:v>
      </x:c>
      <x:c r="W313" s="75" t="n">
        <x:v>0.01070877255504142</x:v>
      </x:c>
      <x:c r="X313" s="75" t="n">
        <x:v>0.02007272566141742</x:v>
      </x:c>
      <x:c r="Y313" s="75" t="n">
        <x:v>0.01889939290783666</x:v>
      </x:c>
      <x:c r="Z313" s="75" t="n">
        <x:v>0.005603423382233945</x:v>
      </x:c>
      <x:c r="AA313" s="75" t="n">
        <x:v>0.008474294051568961</x:v>
      </x:c>
      <x:c r="AB313" s="75" t="n">
        <x:v>0.003336452645683224</x:v>
      </x:c>
      <x:c r="AC313" s="75" t="n">
        <x:v>0.02293586674016045</x:v>
      </x:c>
      <x:c r="AD313" s="75" t="n">
        <x:v>0.09892875022313093</x:v>
      </x:c>
      <x:c r="AE313" s="75" t="n">
        <x:v>0.07465282260414097</x:v>
      </x:c>
      <x:c r="AF313" s="74" t="n">
        <x:v>9</x:v>
      </x:c>
    </x:row>
    <x:row r="314">
      <x:c r="A314" t="str">
        <x:v>2025 S1</x:v>
      </x:c>
      <x:c r="B314" t="str">
        <x:v>CNCT0079</x:v>
      </x:c>
      <x:c r="C314" s="74" t="n">
        <x:v>1366</x:v>
      </x:c>
      <x:c r="D314" s="74" t="n">
        <x:v>1013.168</x:v>
      </x:c>
      <x:c r="E314" s="75" t="n">
        <x:v>0.9766817327552708</x:v>
      </x:c>
      <x:c r="F314" s="75" t="n">
        <x:v>0.2032130100610666</x:v>
      </x:c>
      <x:c r="G314" s="75" t="n">
        <x:v>0.009741475257149431</x:v>
      </x:c>
      <x:c r="H314" s="75" t="n">
        <x:v>0.00880885963975743</x:v>
      </x:c>
      <x:c r="I314" s="75" t="n">
        <x:v>0.00684551666695188</x:v>
      </x:c>
      <x:c r="J314" s="75" t="n">
        <x:v>0.014690118698505103</x:v>
      </x:c>
      <x:c r="K314" s="75" t="n">
        <x:v>0.008963913896924167</x:v>
      </x:c>
      <x:c r="L314" s="75" t="n">
        <x:v>0.01131587882977692</x:v>
      </x:c>
      <x:c r="M314" s="75" t="n">
        <x:v>0.006584520341555617</x:v>
      </x:c>
      <x:c r="N314" s="75" t="n">
        <x:v>0.005341125505685341</x:v>
      </x:c>
      <x:c r="O314" s="75" t="n">
        <x:v>0.006804390593621064</x:v>
      </x:c>
      <x:c r="P314" s="75" t="n">
        <x:v>0.0012004897188962788</x:v>
      </x:c>
      <x:c r="Q314" s="75" t="n">
        <x:v>0.0019517254645761567</x:v>
      </x:c>
      <x:c r="R314" s="75" t="n">
        <x:v>0.3568462262885414</x:v>
      </x:c>
      <x:c r="S314" s="75" t="n">
        <x:v>0.012724564130592626</x:v>
      </x:c>
      <x:c r="T314" s="75" t="n">
        <x:v>0.005445185715216212</x:v>
      </x:c>
      <x:c r="U314" s="75" t="n">
        <x:v>0.007537373792278231</x:v>
      </x:c>
      <x:c r="V314" s="75" t="n">
        <x:v>0.032972713101084086</x:v>
      </x:c>
      <x:c r="W314" s="75" t="n">
        <x:v>0.01038847618054424</x:v>
      </x:c>
      <x:c r="X314" s="75" t="n">
        <x:v>0.026628491826851383</x:v>
      </x:c>
      <x:c r="Y314" s="75" t="n">
        <x:v>0.01743508066827897</x:v>
      </x:c>
      <x:c r="Z314" s="75" t="n">
        <x:v>0.004714435932101332</x:v>
      </x:c>
      <x:c r="AA314" s="75" t="n">
        <x:v>0.0074371634064544926</x:v>
      </x:c>
      <x:c r="AB314" s="75" t="n">
        <x:v>0.0067439279352678565</x:v>
      </x:c>
      <x:c r="AC314" s="75" t="n">
        <x:v>0.0181958092233137</x:v>
      </x:c>
      <x:c r="AD314" s="75" t="n">
        <x:v>0.10647985162572877</x:v>
      </x:c>
      <x:c r="AE314" s="75" t="n">
        <x:v>0.07930952860467369</x:v>
      </x:c>
      <x:c r="AF314" s="74" t="n">
        <x:v>8</x:v>
      </x:c>
    </x:row>
    <x:row r="315">
      <x:c r="A315" t="str">
        <x:v>2025 S2</x:v>
      </x:c>
      <x:c r="B315" t="str">
        <x:v>CNCT0079</x:v>
      </x:c>
      <x:c r="C315" s="74" t="n">
        <x:v>1483</x:v>
      </x:c>
      <x:c r="D315" s="74" t="n">
        <x:v>1025.326</x:v>
      </x:c>
      <x:c r="E315" s="75" t="n">
        <x:v>0.9637680665799416</x:v>
      </x:c>
      <x:c r="F315" s="75" t="n">
        <x:v>0.2032130100610666</x:v>
      </x:c>
      <x:c r="G315" s="75" t="n">
        <x:v>0.009741475257149431</x:v>
      </x:c>
      <x:c r="H315" s="75" t="n">
        <x:v>0.00880885963975743</x:v>
      </x:c>
      <x:c r="I315" s="75" t="n">
        <x:v>0.00684551666695188</x:v>
      </x:c>
      <x:c r="J315" s="75" t="n">
        <x:v>0.014690118698505103</x:v>
      </x:c>
      <x:c r="K315" s="75" t="n">
        <x:v>0.008963913896924167</x:v>
      </x:c>
      <x:c r="L315" s="75" t="n">
        <x:v>0.01131587882977692</x:v>
      </x:c>
      <x:c r="M315" s="75" t="n">
        <x:v>0.006584520341555617</x:v>
      </x:c>
      <x:c r="N315" s="75" t="n">
        <x:v>0.005341125505685341</x:v>
      </x:c>
      <x:c r="O315" s="75" t="n">
        <x:v>0.006804390593621064</x:v>
      </x:c>
      <x:c r="P315" s="75" t="n">
        <x:v>0.0012004897188962788</x:v>
      </x:c>
      <x:c r="Q315" s="75" t="n">
        <x:v>0.0019517254645761567</x:v>
      </x:c>
      <x:c r="R315" s="75" t="n">
        <x:v>0.3785778772187099</x:v>
      </x:c>
      <x:c r="S315" s="75" t="n">
        <x:v>0.012724564130592626</x:v>
      </x:c>
      <x:c r="T315" s="75" t="n">
        <x:v>0.005445185715216212</x:v>
      </x:c>
      <x:c r="U315" s="75" t="n">
        <x:v>0.007537373792278231</x:v>
      </x:c>
      <x:c r="V315" s="75" t="n">
        <x:v>0.032972713101084086</x:v>
      </x:c>
      <x:c r="W315" s="75" t="n">
        <x:v>0.01038847618054424</x:v>
      </x:c>
      <x:c r="X315" s="75" t="n">
        <x:v>0.026628491826851383</x:v>
      </x:c>
      <x:c r="Y315" s="75" t="n">
        <x:v>0.01743508066827897</x:v>
      </x:c>
      <x:c r="Z315" s="75" t="n">
        <x:v>0.004714435932101332</x:v>
      </x:c>
      <x:c r="AA315" s="75" t="n">
        <x:v>0.0074371634064544926</x:v>
      </x:c>
      <x:c r="AB315" s="75" t="n">
        <x:v>0.0067439279352678565</x:v>
      </x:c>
      <x:c r="AC315" s="75" t="n">
        <x:v>0.0181958092233137</x:v>
      </x:c>
      <x:c r="AD315" s="75" t="n">
        <x:v>0.10647985162572877</x:v>
      </x:c>
      <x:c r="AE315" s="75" t="n">
        <x:v>0.07930952860467369</x:v>
      </x:c>
      <x:c r="AF315" s="74" t="n">
        <x:v>8</x:v>
      </x:c>
    </x:row>
    <x:row r="316">
      <x:c r="A316" t="str">
        <x:v>2026 S1</x:v>
      </x:c>
      <x:c r="B316" t="str">
        <x:v>CNCT0079</x:v>
      </x:c>
      <x:c r="C316" s="74" t="n">
        <x:v>1503</x:v>
      </x:c>
      <x:c r="D316" s="74" t="n">
        <x:v>1064.399</x:v>
      </x:c>
      <x:c r="E316" s="75" t="n">
        <x:v>0.9762025191103785</x:v>
      </x:c>
      <x:c r="F316" s="75" t="n">
        <x:v>0.20345521301689587</x:v>
      </x:c>
      <x:c r="G316" s="75" t="n">
        <x:v>0.010918388859921833</x:v>
      </x:c>
      <x:c r="H316" s="75" t="n">
        <x:v>0.00880885963975743</x:v>
      </x:c>
      <x:c r="I316" s="75" t="n">
        <x:v>0.00684551666695188</x:v>
      </x:c>
      <x:c r="J316" s="75" t="n">
        <x:v>0.014690118698505103</x:v>
      </x:c>
      <x:c r="K316" s="75" t="n">
        <x:v>0.008963913896924167</x:v>
      </x:c>
      <x:c r="L316" s="75" t="n">
        <x:v>0.01131587882977692</x:v>
      </x:c>
      <x:c r="M316" s="75" t="n">
        <x:v>0.006584520341555617</x:v>
      </x:c>
      <x:c r="N316" s="75" t="n">
        <x:v>0.005341125505685341</x:v>
      </x:c>
      <x:c r="O316" s="75" t="n">
        <x:v>0.0053280434998014235</x:v>
      </x:c>
      <x:c r="P316" s="75" t="n">
        <x:v>0.0012004897188962788</x:v>
      </x:c>
      <x:c r="Q316" s="75" t="n">
        <x:v>0.0019517254645761567</x:v>
      </x:c>
      <x:c r="R316" s="75" t="n">
        <x:v>0.3329551553246434</x:v>
      </x:c>
      <x:c r="S316" s="75" t="n">
        <x:v>0.012724564130592626</x:v>
      </x:c>
      <x:c r="T316" s="75" t="n">
        <x:v>0.005445185715216212</x:v>
      </x:c>
      <x:c r="U316" s="75" t="n">
        <x:v>0.007537373792278231</x:v>
      </x:c>
      <x:c r="V316" s="75" t="n">
        <x:v>0.032972713101084086</x:v>
      </x:c>
      <x:c r="W316" s="75" t="n">
        <x:v>0.009141859038878932</x:v>
      </x:c>
      <x:c r="X316" s="75" t="n">
        <x:v>0.023433072807629216</x:v>
      </x:c>
      <x:c r="Y316" s="75" t="n">
        <x:v>0.015342870988085493</x:v>
      </x:c>
      <x:c r="Z316" s="75" t="n">
        <x:v>0.0041487036202491724</x:v>
      </x:c>
      <x:c r="AA316" s="75" t="n">
        <x:v>0.006544703797679953</x:v>
      </x:c>
      <x:c r="AB316" s="75" t="n">
        <x:v>0.005934656583035713</x:v>
      </x:c>
      <x:c r="AC316" s="75" t="n">
        <x:v>0.016012312116516058</x:v>
      </x:c>
      <x:c r="AD316" s="75" t="n">
        <x:v>0.09796146349567048</x:v>
      </x:c>
      <x:c r="AE316" s="75" t="n">
        <x:v>0.11686488921814986</x:v>
      </x:c>
      <x:c r="AF316" s="74" t="n">
        <x:v>8</x:v>
      </x:c>
    </x:row>
    <x:row r="317">
      <x:c r="A317" t="str">
        <x:v>2026 S2</x:v>
      </x:c>
      <x:c r="B317" t="str">
        <x:v>CNCT0079</x:v>
      </x:c>
      <x:c r="C317" s="74" t="n">
        <x:v>1650</x:v>
      </x:c>
      <x:c r="D317" s="74" t="n">
        <x:v>1049.384</x:v>
      </x:c>
      <x:c r="E317" s="75" t="n">
        <x:v>0.9637680665799416</x:v>
      </x:c>
      <x:c r="F317" s="75" t="n">
        <x:v>0.2006885433345378</x:v>
      </x:c>
      <x:c r="G317" s="75" t="n">
        <x:v>0.010396930561866611</x:v>
      </x:c>
      <x:c r="H317" s="75" t="n">
        <x:v>0.00880885963975743</x:v>
      </x:c>
      <x:c r="I317" s="75" t="n">
        <x:v>0.00684551666695188</x:v>
      </x:c>
      <x:c r="J317" s="75" t="n">
        <x:v>0.014690118698505103</x:v>
      </x:c>
      <x:c r="K317" s="75" t="n">
        <x:v>0.008963913896924167</x:v>
      </x:c>
      <x:c r="L317" s="75" t="n">
        <x:v>0.01131587882977692</x:v>
      </x:c>
      <x:c r="M317" s="75" t="n">
        <x:v>0.006584520341555617</x:v>
      </x:c>
      <x:c r="N317" s="75" t="n">
        <x:v>0.005341125505685341</x:v>
      </x:c>
      <x:c r="O317" s="75" t="n">
        <x:v>0.006804390593621064</x:v>
      </x:c>
      <x:c r="P317" s="75" t="n">
        <x:v>0.0012004897188962788</x:v>
      </x:c>
      <x:c r="Q317" s="75" t="n">
        <x:v>0.0019517254645761567</x:v>
      </x:c>
      <x:c r="R317" s="75" t="n">
        <x:v>0.3585128986844308</x:v>
      </x:c>
      <x:c r="S317" s="75" t="n">
        <x:v>0.012724564130592626</x:v>
      </x:c>
      <x:c r="T317" s="75" t="n">
        <x:v>0.005445185715216212</x:v>
      </x:c>
      <x:c r="U317" s="75" t="n">
        <x:v>0.007537373792278231</x:v>
      </x:c>
      <x:c r="V317" s="75" t="n">
        <x:v>0.032972713101084086</x:v>
      </x:c>
      <x:c r="W317" s="75" t="n">
        <x:v>0.00947013488618413</x:v>
      </x:c>
      <x:c r="X317" s="75" t="n">
        <x:v>0.02427453314935772</x:v>
      </x:c>
      <x:c r="Y317" s="75" t="n">
        <x:v>0.01589381953720311</x:v>
      </x:c>
      <x:c r="Z317" s="75" t="n">
        <x:v>0.004297679795703575</x:v>
      </x:c>
      <x:c r="AA317" s="75" t="n">
        <x:v>0.006779718161323917</x:v>
      </x:c>
      <x:c r="AB317" s="75" t="n">
        <x:v>0.006147764705790178</x:v>
      </x:c>
      <x:c r="AC317" s="75" t="n">
        <x:v>0.016587299687972772</x:v>
      </x:c>
      <x:c r="AD317" s="75" t="n">
        <x:v>0.0958318664631559</x:v>
      </x:c>
      <x:c r="AE317" s="75" t="n">
        <x:v>0.08160654952888563</x:v>
      </x:c>
      <x:c r="AF317" s="74" t="n">
        <x:v>8</x:v>
      </x:c>
    </x:row>
    <x:row r="318">
      <x:c r="A318" t="str">
        <x:v>2025 S1</x:v>
      </x:c>
      <x:c r="B318" t="str">
        <x:v>CNCT0080</x:v>
      </x:c>
      <x:c r="C318" s="74" t="n">
        <x:v>1753</x:v>
      </x:c>
      <x:c r="D318" s="74" t="n">
        <x:v>994.843</x:v>
      </x:c>
      <x:c r="E318" s="75" t="n">
        <x:v>0.9732973463669187</x:v>
      </x:c>
      <x:c r="F318" s="75" t="n">
        <x:v>0.21119570185011252</x:v>
      </x:c>
      <x:c r="G318" s="75" t="n">
        <x:v>0.014648700388002906</x:v>
      </x:c>
      <x:c r="H318" s="75" t="n">
        <x:v>0.011996890426700702</x:v>
      </x:c>
      <x:c r="I318" s="75" t="n">
        <x:v>0.009377940038255475</x:v>
      </x:c>
      <x:c r="J318" s="75" t="n">
        <x:v>0.016589532259124098</x:v>
      </x:c>
      <x:c r="K318" s="75" t="n">
        <x:v>0.008030573806194296</x:v>
      </x:c>
      <x:c r="L318" s="75" t="n">
        <x:v>0.013009977162596442</x:v>
      </x:c>
      <x:c r="M318" s="75" t="n">
        <x:v>0.008585644972388763</x:v>
      </x:c>
      <x:c r="N318" s="75" t="n">
        <x:v>0.005761164754163474</x:v>
      </x:c>
      <x:c r="O318" s="75" t="n">
        <x:v>0.00953120201416459</x:v>
      </x:c>
      <x:c r="P318" s="75" t="n">
        <x:v>0.000583371518754575</x:v>
      </x:c>
      <x:c r="Q318" s="75" t="n">
        <x:v>0.005059114866569871</x:v>
      </x:c>
      <x:c r="R318" s="75" t="n">
        <x:v>0.34918159517620695</x:v>
      </x:c>
      <x:c r="S318" s="75" t="n">
        <x:v>0.016675468673449358</x:v>
      </x:c>
      <x:c r="T318" s="75" t="n">
        <x:v>0.006098112758714706</x:v>
      </x:c>
      <x:c r="U318" s="75" t="n">
        <x:v>0.012885999463265761</x:v>
      </x:c>
      <x:c r="V318" s="75" t="n">
        <x:v>0.03849964959261706</x:v>
      </x:c>
      <x:c r="W318" s="75" t="n">
        <x:v>0.014640779028084945</x:v>
      </x:c>
      <x:c r="X318" s="75" t="n">
        <x:v>0.02552264916128595</x:v>
      </x:c>
      <x:c r="Y318" s="75" t="n">
        <x:v>0.018703655478691218</x:v>
      </x:c>
      <x:c r="Z318" s="75" t="n">
        <x:v>0.006564011565415422</x:v>
      </x:c>
      <x:c r="AA318" s="75" t="n">
        <x:v>0.0065748913728992915</x:v>
      </x:c>
      <x:c r="AB318" s="75" t="n">
        <x:v>0.0031446060925285563</x:v>
      </x:c>
      <x:c r="AC318" s="75" t="n">
        <x:v>0.01680266441627755</x:v>
      </x:c>
      <x:c r="AD318" s="75" t="n">
        <x:v>0.09159586915418914</x:v>
      </x:c>
      <x:c r="AE318" s="75" t="n">
        <x:v>0.07017642481067742</x:v>
      </x:c>
      <x:c r="AF318" s="74" t="n">
        <x:v>7</x:v>
      </x:c>
    </x:row>
    <x:row r="319">
      <x:c r="A319" t="str">
        <x:v>2025 S2</x:v>
      </x:c>
      <x:c r="B319" t="str">
        <x:v>CNCT0080</x:v>
      </x:c>
      <x:c r="C319" s="74" t="n">
        <x:v>1871</x:v>
      </x:c>
      <x:c r="D319" s="74" t="n">
        <x:v>1006.781</x:v>
      </x:c>
      <x:c r="E319" s="75" t="n">
        <x:v>0.9813535568925436</x:v>
      </x:c>
      <x:c r="F319" s="75" t="n">
        <x:v>0.21119570185011252</x:v>
      </x:c>
      <x:c r="G319" s="75" t="n">
        <x:v>0.014648700388002906</x:v>
      </x:c>
      <x:c r="H319" s="75" t="n">
        <x:v>0.011996890426700702</x:v>
      </x:c>
      <x:c r="I319" s="75" t="n">
        <x:v>0.009377940038255475</x:v>
      </x:c>
      <x:c r="J319" s="75" t="n">
        <x:v>0.016589532259124098</x:v>
      </x:c>
      <x:c r="K319" s="75" t="n">
        <x:v>0.008030573806194296</x:v>
      </x:c>
      <x:c r="L319" s="75" t="n">
        <x:v>0.013009977162596442</x:v>
      </x:c>
      <x:c r="M319" s="75" t="n">
        <x:v>0.008585644972388763</x:v>
      </x:c>
      <x:c r="N319" s="75" t="n">
        <x:v>0.005761164754163474</x:v>
      </x:c>
      <x:c r="O319" s="75" t="n">
        <x:v>0.00953120201416459</x:v>
      </x:c>
      <x:c r="P319" s="75" t="n">
        <x:v>0.000583371518754575</x:v>
      </x:c>
      <x:c r="Q319" s="75" t="n">
        <x:v>0.005059114866569871</x:v>
      </x:c>
      <x:c r="R319" s="75" t="n">
        <x:v>0.3494393482964471</x:v>
      </x:c>
      <x:c r="S319" s="75" t="n">
        <x:v>0.016675468673449358</x:v>
      </x:c>
      <x:c r="T319" s="75" t="n">
        <x:v>0.006098112758714706</x:v>
      </x:c>
      <x:c r="U319" s="75" t="n">
        <x:v>0.012885999463265761</x:v>
      </x:c>
      <x:c r="V319" s="75" t="n">
        <x:v>0.03849964959261706</x:v>
      </x:c>
      <x:c r="W319" s="75" t="n">
        <x:v>0.014640779028084945</x:v>
      </x:c>
      <x:c r="X319" s="75" t="n">
        <x:v>0.02552264916128595</x:v>
      </x:c>
      <x:c r="Y319" s="75" t="n">
        <x:v>0.018703655478691218</x:v>
      </x:c>
      <x:c r="Z319" s="75" t="n">
        <x:v>0.006564011565415422</x:v>
      </x:c>
      <x:c r="AA319" s="75" t="n">
        <x:v>0.0065748913728992915</x:v>
      </x:c>
      <x:c r="AB319" s="75" t="n">
        <x:v>0.0031446060925285563</x:v>
      </x:c>
      <x:c r="AC319" s="75" t="n">
        <x:v>0.01680266441627755</x:v>
      </x:c>
      <x:c r="AD319" s="75" t="n">
        <x:v>0.09159586915418914</x:v>
      </x:c>
      <x:c r="AE319" s="75" t="n">
        <x:v>0.07017642481067742</x:v>
      </x:c>
      <x:c r="AF319" s="74" t="n">
        <x:v>7</x:v>
      </x:c>
    </x:row>
    <x:row r="320">
      <x:c r="A320" t="str">
        <x:v>2026 S1</x:v>
      </x:c>
      <x:c r="B320" t="str">
        <x:v>CNCT0080</x:v>
      </x:c>
      <x:c r="C320" s="74" t="n">
        <x:v>1862</x:v>
      </x:c>
      <x:c r="D320" s="74" t="n">
        <x:v>1031.118</x:v>
      </x:c>
      <x:c r="E320" s="75" t="n">
        <x:v>0.9758501053588116</x:v>
      </x:c>
      <x:c r="F320" s="75" t="n">
        <x:v>0.20996052479846183</x:v>
      </x:c>
      <x:c r="G320" s="75" t="n">
        <x:v>0.015414152205434219</x:v>
      </x:c>
      <x:c r="H320" s="75" t="n">
        <x:v>0.011996890426700702</x:v>
      </x:c>
      <x:c r="I320" s="75" t="n">
        <x:v>0.009377940038255475</x:v>
      </x:c>
      <x:c r="J320" s="75" t="n">
        <x:v>0.016589532259124098</x:v>
      </x:c>
      <x:c r="K320" s="75" t="n">
        <x:v>0.008030573806194296</x:v>
      </x:c>
      <x:c r="L320" s="75" t="n">
        <x:v>0.013009977162596442</x:v>
      </x:c>
      <x:c r="M320" s="75" t="n">
        <x:v>0.008585644972388763</x:v>
      </x:c>
      <x:c r="N320" s="75" t="n">
        <x:v>0.005761164754163474</x:v>
      </x:c>
      <x:c r="O320" s="75" t="n">
        <x:v>0.007584540272822777</x:v>
      </x:c>
      <x:c r="P320" s="75" t="n">
        <x:v>0.000583371518754575</x:v>
      </x:c>
      <x:c r="Q320" s="75" t="n">
        <x:v>0.005059114866569871</x:v>
      </x:c>
      <x:c r="R320" s="75" t="n">
        <x:v>0.35226692197953946</x:v>
      </x:c>
      <x:c r="S320" s="75" t="n">
        <x:v>0.016675468673449358</x:v>
      </x:c>
      <x:c r="T320" s="75" t="n">
        <x:v>0.006098112758714706</x:v>
      </x:c>
      <x:c r="U320" s="75" t="n">
        <x:v>0.012885999463265761</x:v>
      </x:c>
      <x:c r="V320" s="75" t="n">
        <x:v>0.03849964959261706</x:v>
      </x:c>
      <x:c r="W320" s="75" t="n">
        <x:v>0.018014761236503748</x:v>
      </x:c>
      <x:c r="X320" s="75" t="n">
        <x:v>0.031404369253960396</x:v>
      </x:c>
      <x:c r="Y320" s="75" t="n">
        <x:v>0.02301393163930024</x:v>
      </x:c>
      <x:c r="Z320" s="75" t="n">
        <x:v>0.008076694612887368</x:v>
      </x:c>
      <x:c r="AA320" s="75" t="n">
        <x:v>0.008090081682915886</x:v>
      </x:c>
      <x:c r="AB320" s="75" t="n">
        <x:v>0.003869283719881868</x:v>
      </x:c>
      <x:c r="AC320" s="75" t="n">
        <x:v>0.0206748552802884</x:v>
      </x:c>
      <x:c r="AD320" s="75" t="n">
        <x:v>0.09159586915418914</x:v>
      </x:c>
      <x:c r="AE320" s="75" t="n">
        <x:v>0.07017642481067742</x:v>
      </x:c>
      <x:c r="AF320" s="74" t="n">
        <x:v>7</x:v>
      </x:c>
    </x:row>
    <x:row r="321">
      <x:c r="A321" t="str">
        <x:v>2026 S2</x:v>
      </x:c>
      <x:c r="B321" t="str">
        <x:v>CNCT0080</x:v>
      </x:c>
      <x:c r="C321" s="74" t="n">
        <x:v>2040</x:v>
      </x:c>
      <x:c r="D321" s="74" t="n">
        <x:v>1033.41</x:v>
      </x:c>
      <x:c r="E321" s="75" t="n">
        <x:v>0.9813535568925436</x:v>
      </x:c>
      <x:c r="F321" s="75" t="n">
        <x:v>0.20564499637161499</x:v>
      </x:c>
      <x:c r="G321" s="75" t="n">
        <x:v>0.013470183290148268</x:v>
      </x:c>
      <x:c r="H321" s="75" t="n">
        <x:v>0.011996890426700702</x:v>
      </x:c>
      <x:c r="I321" s="75" t="n">
        <x:v>0.009377940038255475</x:v>
      </x:c>
      <x:c r="J321" s="75" t="n">
        <x:v>0.016589532259124098</x:v>
      </x:c>
      <x:c r="K321" s="75" t="n">
        <x:v>0.008030573806194296</x:v>
      </x:c>
      <x:c r="L321" s="75" t="n">
        <x:v>0.013009977162596442</x:v>
      </x:c>
      <x:c r="M321" s="75" t="n">
        <x:v>0.008585644972388763</x:v>
      </x:c>
      <x:c r="N321" s="75" t="n">
        <x:v>0.005761164754163474</x:v>
      </x:c>
      <x:c r="O321" s="75" t="n">
        <x:v>0.00953120201416459</x:v>
      </x:c>
      <x:c r="P321" s="75" t="n">
        <x:v>0.000583371518754575</x:v>
      </x:c>
      <x:c r="Q321" s="75" t="n">
        <x:v>0.005059114866569871</x:v>
      </x:c>
      <x:c r="R321" s="75" t="n">
        <x:v>0.3481867614078735</x:v>
      </x:c>
      <x:c r="S321" s="75" t="n">
        <x:v>0.016675468673449358</x:v>
      </x:c>
      <x:c r="T321" s="75" t="n">
        <x:v>0.006098112758714706</x:v>
      </x:c>
      <x:c r="U321" s="75" t="n">
        <x:v>0.012885999463265761</x:v>
      </x:c>
      <x:c r="V321" s="75" t="n">
        <x:v>0.03849964959261706</x:v>
      </x:c>
      <x:c r="W321" s="75" t="n">
        <x:v>0.015519225769770042</x:v>
      </x:c>
      <x:c r="X321" s="75" t="n">
        <x:v>0.02705400811096311</x:v>
      </x:c>
      <x:c r="Y321" s="75" t="n">
        <x:v>0.019825874807412693</x:v>
      </x:c>
      <x:c r="Z321" s="75" t="n">
        <x:v>0.006957852259340347</x:v>
      </x:c>
      <x:c r="AA321" s="75" t="n">
        <x:v>0.006969384855273249</x:v>
      </x:c>
      <x:c r="AB321" s="75" t="n">
        <x:v>0.00333328245808027</x:v>
      </x:c>
      <x:c r="AC321" s="75" t="n">
        <x:v>0.017810824281254203</x:v>
      </x:c>
      <x:c r="AD321" s="75" t="n">
        <x:v>0.09159586915418914</x:v>
      </x:c>
      <x:c r="AE321" s="75" t="n">
        <x:v>0.07017642481067742</x:v>
      </x:c>
      <x:c r="AF321" s="74" t="n">
        <x:v>7</x:v>
      </x:c>
    </x:row>
    <x:row r="322">
      <x:c r="A322" t="str">
        <x:v>2025 S1</x:v>
      </x:c>
      <x:c r="B322" t="str">
        <x:v>CNCT0081</x:v>
      </x:c>
      <x:c r="C322" s="74" t="n">
        <x:v>992</x:v>
      </x:c>
      <x:c r="D322" s="74" t="n">
        <x:v>913.162</x:v>
      </x:c>
      <x:c r="E322" s="75" t="n">
        <x:v>0.9716012536791604</x:v>
      </x:c>
      <x:c r="F322" s="75" t="n">
        <x:v>0.1720611165089067</x:v>
      </x:c>
      <x:c r="G322" s="75" t="n">
        <x:v>0.011371976314228958</x:v>
      </x:c>
      <x:c r="H322" s="75" t="n">
        <x:v>0.007990030021057463</x:v>
      </x:c>
      <x:c r="I322" s="75" t="n">
        <x:v>0.00964192444717628</x:v>
      </x:c>
      <x:c r="J322" s="75" t="n">
        <x:v>0.014679630878265015</x:v>
      </x:c>
      <x:c r="K322" s="75" t="n">
        <x:v>0.009800139973434851</x:v>
      </x:c>
      <x:c r="L322" s="75" t="n">
        <x:v>0.008926989682906422</x:v>
      </x:c>
      <x:c r="M322" s="75" t="n">
        <x:v>0.006779502264442272</x:v>
      </x:c>
      <x:c r="N322" s="75" t="n">
        <x:v>0.0050029165844352975</x:v>
      </x:c>
      <x:c r="O322" s="75" t="n">
        <x:v>0.007118512788489169</x:v>
      </x:c>
      <x:c r="P322" s="75" t="n">
        <x:v>0.0011059640798303009</x:v>
      </x:c>
      <x:c r="Q322" s="75" t="n">
        <x:v>0.0012776056469883772</x:v>
      </x:c>
      <x:c r="R322" s="75" t="n">
        <x:v>0.3919949058670955</x:v>
      </x:c>
      <x:c r="S322" s="75" t="n">
        <x:v>0.015358391563306213</x:v>
      </x:c>
      <x:c r="T322" s="75" t="n">
        <x:v>0.004280258562299423</x:v>
      </x:c>
      <x:c r="U322" s="75" t="n">
        <x:v>0.008438151079521047</x:v>
      </x:c>
      <x:c r="V322" s="75" t="n">
        <x:v>0.037410408026393276</x:v>
      </x:c>
      <x:c r="W322" s="75" t="n">
        <x:v>0.01704921998403501</x:v>
      </x:c>
      <x:c r="X322" s="75" t="n">
        <x:v>0.024362595659107433</x:v>
      </x:c>
      <x:c r="Y322" s="75" t="n">
        <x:v>0.0277353377288034</x:v>
      </x:c>
      <x:c r="Z322" s="75" t="n">
        <x:v>0.005425807741243625</x:v>
      </x:c>
      <x:c r="AA322" s="75" t="n">
        <x:v>0.0060965924808359705</x:v>
      </x:c>
      <x:c r="AB322" s="75" t="n">
        <x:v>0.005078574276355211</x:v>
      </x:c>
      <x:c r="AC322" s="75" t="n">
        <x:v>0.02457296742060382</x:v>
      </x:c>
      <x:c r="AD322" s="75" t="n">
        <x:v>0.12476657083533357</x:v>
      </x:c>
      <x:c r="AE322" s="75" t="n">
        <x:v>0.0763826890154778</x:v>
      </x:c>
      <x:c r="AF322" s="74" t="n">
        <x:v>7</x:v>
      </x:c>
    </x:row>
    <x:row r="323">
      <x:c r="A323" t="str">
        <x:v>2025 S2</x:v>
      </x:c>
      <x:c r="B323" t="str">
        <x:v>CNCT0081</x:v>
      </x:c>
      <x:c r="C323" s="74" t="n">
        <x:v>1460</x:v>
      </x:c>
      <x:c r="D323" s="74" t="n">
        <x:v>924.12</x:v>
      </x:c>
      <x:c r="E323" s="75" t="n">
        <x:v>0.9729625975579838</x:v>
      </x:c>
      <x:c r="F323" s="75" t="n">
        <x:v>0.1720611165089067</x:v>
      </x:c>
      <x:c r="G323" s="75" t="n">
        <x:v>0.011371976314228958</x:v>
      </x:c>
      <x:c r="H323" s="75" t="n">
        <x:v>0.007990030021057463</x:v>
      </x:c>
      <x:c r="I323" s="75" t="n">
        <x:v>0.00964192444717628</x:v>
      </x:c>
      <x:c r="J323" s="75" t="n">
        <x:v>0.014679630878265015</x:v>
      </x:c>
      <x:c r="K323" s="75" t="n">
        <x:v>0.009800139973434851</x:v>
      </x:c>
      <x:c r="L323" s="75" t="n">
        <x:v>0.008926989682906422</x:v>
      </x:c>
      <x:c r="M323" s="75" t="n">
        <x:v>0.006779502264442272</x:v>
      </x:c>
      <x:c r="N323" s="75" t="n">
        <x:v>0.0050029165844352975</x:v>
      </x:c>
      <x:c r="O323" s="75" t="n">
        <x:v>0.007118512788489169</x:v>
      </x:c>
      <x:c r="P323" s="75" t="n">
        <x:v>0.0011059640798303009</x:v>
      </x:c>
      <x:c r="Q323" s="75" t="n">
        <x:v>0.0012776056469883772</x:v>
      </x:c>
      <x:c r="R323" s="75" t="n">
        <x:v>0.3660137331948223</x:v>
      </x:c>
      <x:c r="S323" s="75" t="n">
        <x:v>0.015358391563306213</x:v>
      </x:c>
      <x:c r="T323" s="75" t="n">
        <x:v>0.004280258562299423</x:v>
      </x:c>
      <x:c r="U323" s="75" t="n">
        <x:v>0.008438151079521047</x:v>
      </x:c>
      <x:c r="V323" s="75" t="n">
        <x:v>0.037410408026393276</x:v>
      </x:c>
      <x:c r="W323" s="75" t="n">
        <x:v>0.012629051840025933</x:v>
      </x:c>
      <x:c r="X323" s="75" t="n">
        <x:v>0.018046367154894393</x:v>
      </x:c>
      <x:c r="Y323" s="75" t="n">
        <x:v>0.02054469461392844</x:v>
      </x:c>
      <x:c r="Z323" s="75" t="n">
        <x:v>0.005425807741243625</x:v>
      </x:c>
      <x:c r="AA323" s="75" t="n">
        <x:v>0.0060965924808359705</x:v>
      </x:c>
      <x:c r="AB323" s="75" t="n">
        <x:v>0.0037619068713742303</x:v>
      </x:c>
      <x:c r="AC323" s="75" t="n">
        <x:v>0.018202198089336163</x:v>
      </x:c>
      <x:c r="AD323" s="75" t="n">
        <x:v>0.11139872396011925</x:v>
      </x:c>
      <x:c r="AE323" s="75" t="n">
        <x:v>0.0763826890154778</x:v>
      </x:c>
      <x:c r="AF323" s="74" t="n">
        <x:v>7</x:v>
      </x:c>
    </x:row>
    <x:row r="324">
      <x:c r="A324" t="str">
        <x:v>2026 S1</x:v>
      </x:c>
      <x:c r="B324" t="str">
        <x:v>CNCT0081</x:v>
      </x:c>
      <x:c r="C324" s="74" t="n">
        <x:v>1233</x:v>
      </x:c>
      <x:c r="D324" s="74" t="n">
        <x:v>954.786</x:v>
      </x:c>
      <x:c r="E324" s="75" t="n">
        <x:v>0.9726819720877611</x:v>
      </x:c>
      <x:c r="F324" s="75" t="n">
        <x:v>0.16879634900076781</x:v>
      </x:c>
      <x:c r="G324" s="75" t="n">
        <x:v>0.013023102944207492</x:v>
      </x:c>
      <x:c r="H324" s="75" t="n">
        <x:v>0.007990030021057463</x:v>
      </x:c>
      <x:c r="I324" s="75" t="n">
        <x:v>0.00964192444717628</x:v>
      </x:c>
      <x:c r="J324" s="75" t="n">
        <x:v>0.014679630878265015</x:v>
      </x:c>
      <x:c r="K324" s="75" t="n">
        <x:v>0.009800139973434851</x:v>
      </x:c>
      <x:c r="L324" s="75" t="n">
        <x:v>0.008926989682906422</x:v>
      </x:c>
      <x:c r="M324" s="75" t="n">
        <x:v>0.006779502264442272</x:v>
      </x:c>
      <x:c r="N324" s="75" t="n">
        <x:v>0.0050029165844352975</x:v>
      </x:c>
      <x:c r="O324" s="75" t="n">
        <x:v>0.008636469351415144</x:v>
      </x:c>
      <x:c r="P324" s="75" t="n">
        <x:v>0.0011059640798303009</x:v>
      </x:c>
      <x:c r="Q324" s="75" t="n">
        <x:v>0.0012776056469883772</x:v>
      </x:c>
      <x:c r="R324" s="75" t="n">
        <x:v>0.39417195466743765</x:v>
      </x:c>
      <x:c r="S324" s="75" t="n">
        <x:v>0.015358391563306213</x:v>
      </x:c>
      <x:c r="T324" s="75" t="n">
        <x:v>0.004280258562299423</x:v>
      </x:c>
      <x:c r="U324" s="75" t="n">
        <x:v>0.008438151079521047</x:v>
      </x:c>
      <x:c r="V324" s="75" t="n">
        <x:v>0.037410408026393276</x:v>
      </x:c>
      <x:c r="W324" s="75" t="n">
        <x:v>0.020978229825875147</x:v>
      </x:c>
      <x:c r="X324" s="75" t="n">
        <x:v>0.029976980258933025</x:v>
      </x:c>
      <x:c r="Y324" s="75" t="n">
        <x:v>0.03412697412068942</x:v>
      </x:c>
      <x:c r="Z324" s="75" t="n">
        <x:v>0.006676190576073661</x:v>
      </x:c>
      <x:c r="AA324" s="75" t="n">
        <x:v>0.007501558331550746</x:v>
      </x:c>
      <x:c r="AB324" s="75" t="n">
        <x:v>0.006248936811004926</x:v>
      </x:c>
      <x:c r="AC324" s="75" t="n">
        <x:v>0.030235832403821647</x:v>
      </x:c>
      <x:c r="AD324" s="75" t="n">
        <x:v>0.12476657083533357</x:v>
      </x:c>
      <x:c r="AE324" s="75" t="n">
        <x:v>0.0763826890154778</x:v>
      </x:c>
      <x:c r="AF324" s="74" t="n">
        <x:v>7</x:v>
      </x:c>
    </x:row>
    <x:row r="325">
      <x:c r="A325" t="str">
        <x:v>2026 S2</x:v>
      </x:c>
      <x:c r="B325" t="str">
        <x:v>CNCT0081</x:v>
      </x:c>
      <x:c r="C325" s="74" t="n">
        <x:v>1434</x:v>
      </x:c>
      <x:c r="D325" s="74" t="n">
        <x:v>955.115</x:v>
      </x:c>
      <x:c r="E325" s="75" t="n">
        <x:v>0.9729625975579838</x:v>
      </x:c>
      <x:c r="F325" s="75" t="n">
        <x:v>0.16780292870901758</x:v>
      </x:c>
      <x:c r="G325" s="75" t="n">
        <x:v>0.010854132939668488</x:v>
      </x:c>
      <x:c r="H325" s="75" t="n">
        <x:v>0.007990030021057463</x:v>
      </x:c>
      <x:c r="I325" s="75" t="n">
        <x:v>0.00964192444717628</x:v>
      </x:c>
      <x:c r="J325" s="75" t="n">
        <x:v>0.014679630878265015</x:v>
      </x:c>
      <x:c r="K325" s="75" t="n">
        <x:v>0.009800139973434851</x:v>
      </x:c>
      <x:c r="L325" s="75" t="n">
        <x:v>0.008926989682906422</x:v>
      </x:c>
      <x:c r="M325" s="75" t="n">
        <x:v>0.006779502264442272</x:v>
      </x:c>
      <x:c r="N325" s="75" t="n">
        <x:v>0.0050029165844352975</x:v>
      </x:c>
      <x:c r="O325" s="75" t="n">
        <x:v>0.007118512788489169</x:v>
      </x:c>
      <x:c r="P325" s="75" t="n">
        <x:v>0.0011059640798303009</x:v>
      </x:c>
      <x:c r="Q325" s="75" t="n">
        <x:v>0.0012776056469883772</x:v>
      </x:c>
      <x:c r="R325" s="75" t="n">
        <x:v>0.3664606816631744</x:v>
      </x:c>
      <x:c r="S325" s="75" t="n">
        <x:v>0.015358391563306213</x:v>
      </x:c>
      <x:c r="T325" s="75" t="n">
        <x:v>0.004280258562299423</x:v>
      </x:c>
      <x:c r="U325" s="75" t="n">
        <x:v>0.008438151079521047</x:v>
      </x:c>
      <x:c r="V325" s="75" t="n">
        <x:v>0.037410408026393276</x:v>
      </x:c>
      <x:c r="W325" s="75" t="n">
        <x:v>0.013386794950427489</x:v>
      </x:c>
      <x:c r="X325" s="75" t="n">
        <x:v>0.01912914918418806</x:v>
      </x:c>
      <x:c r="Y325" s="75" t="n">
        <x:v>0.02177737629076415</x:v>
      </x:c>
      <x:c r="Z325" s="75" t="n">
        <x:v>0.005751356205718243</x:v>
      </x:c>
      <x:c r="AA325" s="75" t="n">
        <x:v>0.006462388029686129</x:v>
      </x:c>
      <x:c r="AB325" s="75" t="n">
        <x:v>0.003987621283656684</x:v>
      </x:c>
      <x:c r="AC325" s="75" t="n">
        <x:v>0.019294329974696333</x:v>
      </x:c>
      <x:c r="AD325" s="75" t="n">
        <x:v>0.11139872396011925</x:v>
      </x:c>
      <x:c r="AE325" s="75" t="n">
        <x:v>0.0763826890154778</x:v>
      </x:c>
      <x:c r="AF325" s="74" t="n">
        <x:v>7</x:v>
      </x:c>
    </x:row>
    <x:row r="326">
      <x:c r="A326" t="str">
        <x:v>2025 S1</x:v>
      </x:c>
      <x:c r="B326" t="str">
        <x:v>CNCT0082</x:v>
      </x:c>
      <x:c r="C326" s="74" t="n">
        <x:v>1905</x:v>
      </x:c>
      <x:c r="D326" s="74" t="n">
        <x:v>1165.476</x:v>
      </x:c>
      <x:c r="E326" s="75" t="n">
        <x:v>0.9622592576493189</x:v>
      </x:c>
      <x:c r="F326" s="75" t="n">
        <x:v>0.20803283078945242</x:v>
      </x:c>
      <x:c r="G326" s="75" t="n">
        <x:v>0.011367338066615048</x:v>
      </x:c>
      <x:c r="H326" s="75" t="n">
        <x:v>0.008333314930190681</x:v>
      </x:c>
      <x:c r="I326" s="75" t="n">
        <x:v>0.006246080518947565</x:v>
      </x:c>
      <x:c r="J326" s="75" t="n">
        <x:v>0.012024939128081315</x:v>
      </x:c>
      <x:c r="K326" s="75" t="n">
        <x:v>0.011086290025850758</x:v>
      </x:c>
      <x:c r="L326" s="75" t="n">
        <x:v>0.00848659182486881</x:v>
      </x:c>
      <x:c r="M326" s="75" t="n">
        <x:v>0.007160778492714599</x:v>
      </x:c>
      <x:c r="N326" s="75" t="n">
        <x:v>0.0058151939493182</x:v>
      </x:c>
      <x:c r="O326" s="75" t="n">
        <x:v>0.009330118830240564</x:v>
      </x:c>
      <x:c r="P326" s="75" t="n">
        <x:v>0.0011564969876726536</x:v>
      </x:c>
      <x:c r="Q326" s="75" t="n">
        <x:v>0.005424590265152802</x:v>
      </x:c>
      <x:c r="R326" s="75" t="n">
        <x:v>0.35884374570091687</x:v>
      </x:c>
      <x:c r="S326" s="75" t="n">
        <x:v>0.011808547445485602</x:v>
      </x:c>
      <x:c r="T326" s="75" t="n">
        <x:v>0.005045028311316855</x:v>
      </x:c>
      <x:c r="U326" s="75" t="n">
        <x:v>0.01104924249119358</x:v>
      </x:c>
      <x:c r="V326" s="75" t="n">
        <x:v>0.03623997395212064</x:v>
      </x:c>
      <x:c r="W326" s="75" t="n">
        <x:v>0.013643152465026651</x:v>
      </x:c>
      <x:c r="X326" s="75" t="n">
        <x:v>0.019676841419516422</x:v>
      </x:c>
      <x:c r="Y326" s="75" t="n">
        <x:v>0.018562764633562184</x:v>
      </x:c>
      <x:c r="Z326" s="75" t="n">
        <x:v>0.004388033196353354</x:v>
      </x:c>
      <x:c r="AA326" s="75" t="n">
        <x:v>0.008621820414472604</x:v>
      </x:c>
      <x:c r="AB326" s="75" t="n">
        <x:v>0.005482675708911848</x:v>
      </x:c>
      <x:c r="AC326" s="75" t="n">
        <x:v>0.01834957358309184</x:v>
      </x:c>
      <x:c r="AD326" s="75" t="n">
        <x:v>0.1124138966974424</x:v>
      </x:c>
      <x:c r="AE326" s="75" t="n">
        <x:v>0.0670303968799417</x:v>
      </x:c>
      <x:c r="AF326" s="74" t="n">
        <x:v>8</x:v>
      </x:c>
    </x:row>
    <x:row r="327">
      <x:c r="A327" t="str">
        <x:v>2025 S2</x:v>
      </x:c>
      <x:c r="B327" t="str">
        <x:v>CNCT0082</x:v>
      </x:c>
      <x:c r="C327" s="74" t="n">
        <x:v>2082</x:v>
      </x:c>
      <x:c r="D327" s="74" t="n">
        <x:v>1179.462</x:v>
      </x:c>
      <x:c r="E327" s="75" t="n">
        <x:v>0.969531769705598</x:v>
      </x:c>
      <x:c r="F327" s="75" t="n">
        <x:v>0.20803283078945242</x:v>
      </x:c>
      <x:c r="G327" s="75" t="n">
        <x:v>0.011367338066615048</x:v>
      </x:c>
      <x:c r="H327" s="75" t="n">
        <x:v>0.008333314930190681</x:v>
      </x:c>
      <x:c r="I327" s="75" t="n">
        <x:v>0.006246080518947565</x:v>
      </x:c>
      <x:c r="J327" s="75" t="n">
        <x:v>0.012024939128081315</x:v>
      </x:c>
      <x:c r="K327" s="75" t="n">
        <x:v>0.011086290025850758</x:v>
      </x:c>
      <x:c r="L327" s="75" t="n">
        <x:v>0.00848659182486881</x:v>
      </x:c>
      <x:c r="M327" s="75" t="n">
        <x:v>0.007160778492714599</x:v>
      </x:c>
      <x:c r="N327" s="75" t="n">
        <x:v>0.0058151939493182</x:v>
      </x:c>
      <x:c r="O327" s="75" t="n">
        <x:v>0.009330118830240564</x:v>
      </x:c>
      <x:c r="P327" s="75" t="n">
        <x:v>0.0011564969876726536</x:v>
      </x:c>
      <x:c r="Q327" s="75" t="n">
        <x:v>0.005424590265152802</x:v>
      </x:c>
      <x:c r="R327" s="75" t="n">
        <x:v>0.3621798615070071</x:v>
      </x:c>
      <x:c r="S327" s="75" t="n">
        <x:v>0.011808547445485602</x:v>
      </x:c>
      <x:c r="T327" s="75" t="n">
        <x:v>0.005045028311316855</x:v>
      </x:c>
      <x:c r="U327" s="75" t="n">
        <x:v>0.01104924249119358</x:v>
      </x:c>
      <x:c r="V327" s="75" t="n">
        <x:v>0.03623997395212064</x:v>
      </x:c>
      <x:c r="W327" s="75" t="n">
        <x:v>0.013643152465026651</x:v>
      </x:c>
      <x:c r="X327" s="75" t="n">
        <x:v>0.019676841419516422</x:v>
      </x:c>
      <x:c r="Y327" s="75" t="n">
        <x:v>0.018562764633562184</x:v>
      </x:c>
      <x:c r="Z327" s="75" t="n">
        <x:v>0.004388033196353354</x:v>
      </x:c>
      <x:c r="AA327" s="75" t="n">
        <x:v>0.008621820414472604</x:v>
      </x:c>
      <x:c r="AB327" s="75" t="n">
        <x:v>0.005482675708911848</x:v>
      </x:c>
      <x:c r="AC327" s="75" t="n">
        <x:v>0.01834957358309184</x:v>
      </x:c>
      <x:c r="AD327" s="75" t="n">
        <x:v>0.1124138966974424</x:v>
      </x:c>
      <x:c r="AE327" s="75" t="n">
        <x:v>0.0670303968799417</x:v>
      </x:c>
      <x:c r="AF327" s="74" t="n">
        <x:v>8</x:v>
      </x:c>
    </x:row>
    <x:row r="328">
      <x:c r="A328" t="str">
        <x:v>2026 S1</x:v>
      </x:c>
      <x:c r="B328" t="str">
        <x:v>CNCT0082</x:v>
      </x:c>
      <x:c r="C328" s="74" t="n">
        <x:v>2084</x:v>
      </x:c>
      <x:c r="D328" s="74" t="n">
        <x:v>1208.897</x:v>
      </x:c>
      <x:c r="E328" s="75" t="n">
        <x:v>0.958802532393267</x:v>
      </x:c>
      <x:c r="F328" s="75" t="n">
        <x:v>0.2534439364737716</x:v>
      </x:c>
      <x:c r="G328" s="75" t="n">
        <x:v>0.010265194751293165</x:v>
      </x:c>
      <x:c r="H328" s="75" t="n">
        <x:v>0.008333314930190681</x:v>
      </x:c>
      <x:c r="I328" s="75" t="n">
        <x:v>0.006246080518947565</x:v>
      </x:c>
      <x:c r="J328" s="75" t="n">
        <x:v>0.012024939128081315</x:v>
      </x:c>
      <x:c r="K328" s="75" t="n">
        <x:v>0.011086290025850758</x:v>
      </x:c>
      <x:c r="L328" s="75" t="n">
        <x:v>0.00848659182486881</x:v>
      </x:c>
      <x:c r="M328" s="75" t="n">
        <x:v>0.007160778492714599</x:v>
      </x:c>
      <x:c r="N328" s="75" t="n">
        <x:v>0.0058151939493182</x:v>
      </x:c>
      <x:c r="O328" s="75" t="n">
        <x:v>0.010835738915569266</x:v>
      </x:c>
      <x:c r="P328" s="75" t="n">
        <x:v>0.0011564969876726536</x:v>
      </x:c>
      <x:c r="Q328" s="75" t="n">
        <x:v>0.005424590265152802</x:v>
      </x:c>
      <x:c r="R328" s="75" t="n">
        <x:v>0.3559636430011081</x:v>
      </x:c>
      <x:c r="S328" s="75" t="n">
        <x:v>0.011808547445485602</x:v>
      </x:c>
      <x:c r="T328" s="75" t="n">
        <x:v>0.005045028311316855</x:v>
      </x:c>
      <x:c r="U328" s="75" t="n">
        <x:v>0.01104924249119358</x:v>
      </x:c>
      <x:c r="V328" s="75" t="n">
        <x:v>0.03623997395212064</x:v>
      </x:c>
      <x:c r="W328" s="75" t="n">
        <x:v>0.016787230631594412</x:v>
      </x:c>
      <x:c r="X328" s="75" t="n">
        <x:v>0.02421138925607444</x:v>
      </x:c>
      <x:c r="Y328" s="75" t="n">
        <x:v>0.022840572357629502</x:v>
      </x:c>
      <x:c r="Z328" s="75" t="n">
        <x:v>0.005399259846659807</x:v>
      </x:c>
      <x:c r="AA328" s="75" t="n">
        <x:v>0.010608727574727563</x:v>
      </x:c>
      <x:c r="AB328" s="75" t="n">
        <x:v>0.0067461638239167615</x:v>
      </x:c>
      <x:c r="AC328" s="75" t="n">
        <x:v>0.022578251215795767</x:v>
      </x:c>
      <x:c r="AD328" s="75" t="n">
        <x:v>0.1124138966974424</x:v>
      </x:c>
      <x:c r="AE328" s="75" t="n">
        <x:v>0.0670303968799417</x:v>
      </x:c>
      <x:c r="AF328" s="74" t="n">
        <x:v>8</x:v>
      </x:c>
    </x:row>
    <x:row r="329">
      <x:c r="A329" t="str">
        <x:v>2026 S2</x:v>
      </x:c>
      <x:c r="B329" t="str">
        <x:v>CNCT0082</x:v>
      </x:c>
      <x:c r="C329" s="74" t="n">
        <x:v>2204</x:v>
      </x:c>
      <x:c r="D329" s="74" t="n">
        <x:v>1219.698</x:v>
      </x:c>
      <x:c r="E329" s="75" t="n">
        <x:v>0.969531769705598</x:v>
      </x:c>
      <x:c r="F329" s="75" t="n">
        <x:v>0.24298323211070966</x:v>
      </x:c>
      <x:c r="G329" s="75" t="n">
        <x:v>0.012868830813982641</x:v>
      </x:c>
      <x:c r="H329" s="75" t="n">
        <x:v>0.008333314930190681</x:v>
      </x:c>
      <x:c r="I329" s="75" t="n">
        <x:v>0.006246080518947565</x:v>
      </x:c>
      <x:c r="J329" s="75" t="n">
        <x:v>0.012024939128081315</x:v>
      </x:c>
      <x:c r="K329" s="75" t="n">
        <x:v>0.011086290025850758</x:v>
      </x:c>
      <x:c r="L329" s="75" t="n">
        <x:v>0.00848659182486881</x:v>
      </x:c>
      <x:c r="M329" s="75" t="n">
        <x:v>0.007160778492714599</x:v>
      </x:c>
      <x:c r="N329" s="75" t="n">
        <x:v>0.0058151939493182</x:v>
      </x:c>
      <x:c r="O329" s="75" t="n">
        <x:v>0.009330118830240564</x:v>
      </x:c>
      <x:c r="P329" s="75" t="n">
        <x:v>0.0011564969876726536</x:v>
      </x:c>
      <x:c r="Q329" s="75" t="n">
        <x:v>0.005424590265152802</x:v>
      </x:c>
      <x:c r="R329" s="75" t="n">
        <x:v>0.3621798615070071</x:v>
      </x:c>
      <x:c r="S329" s="75" t="n">
        <x:v>0.011808547445485602</x:v>
      </x:c>
      <x:c r="T329" s="75" t="n">
        <x:v>0.005045028311316855</x:v>
      </x:c>
      <x:c r="U329" s="75" t="n">
        <x:v>0.01104924249119358</x:v>
      </x:c>
      <x:c r="V329" s="75" t="n">
        <x:v>0.03623997395212064</x:v>
      </x:c>
      <x:c r="W329" s="75" t="n">
        <x:v>0.014461741612928252</x:v>
      </x:c>
      <x:c r="X329" s="75" t="n">
        <x:v>0.020857451904687407</x:v>
      </x:c>
      <x:c r="Y329" s="75" t="n">
        <x:v>0.019676530511575915</x:v>
      </x:c>
      <x:c r="Z329" s="75" t="n">
        <x:v>0.004651315188134555</x:v>
      </x:c>
      <x:c r="AA329" s="75" t="n">
        <x:v>0.009139129639340961</x:v>
      </x:c>
      <x:c r="AB329" s="75" t="n">
        <x:v>0.005811636251446559</x:v>
      </x:c>
      <x:c r="AC329" s="75" t="n">
        <x:v>0.019450547998077352</x:v>
      </x:c>
      <x:c r="AD329" s="75" t="n">
        <x:v>0.1124138966974424</x:v>
      </x:c>
      <x:c r="AE329" s="75" t="n">
        <x:v>0.0670303968799417</x:v>
      </x:c>
      <x:c r="AF329" s="74" t="n">
        <x:v>8</x:v>
      </x:c>
    </x:row>
    <x:row r="330">
      <x:c r="A330" t="str">
        <x:v>2025 S1</x:v>
      </x:c>
      <x:c r="B330" t="str">
        <x:v>CNCT0083</x:v>
      </x:c>
      <x:c r="C330" s="74" t="n">
        <x:v>2066</x:v>
      </x:c>
      <x:c r="D330" s="74" t="n">
        <x:v>1097.546</x:v>
      </x:c>
      <x:c r="E330" s="75" t="n">
        <x:v>0.9628819680786691</x:v>
      </x:c>
      <x:c r="F330" s="75" t="n">
        <x:v>0.16836878172887373</x:v>
      </x:c>
      <x:c r="G330" s="75" t="n">
        <x:v>0.011877430945278319</x:v>
      </x:c>
      <x:c r="H330" s="75" t="n">
        <x:v>0.010521540285786614</x:v>
      </x:c>
      <x:c r="I330" s="75" t="n">
        <x:v>0.007462015047902242</x:v>
      </x:c>
      <x:c r="J330" s="75" t="n">
        <x:v>0.016172874785086607</x:v>
      </x:c>
      <x:c r="K330" s="75" t="n">
        <x:v>0.011645584917088853</x:v>
      </x:c>
      <x:c r="L330" s="75" t="n">
        <x:v>0.012690438154968432</x:v>
      </x:c>
      <x:c r="M330" s="75" t="n">
        <x:v>0.006228228632797254</x:v>
      </x:c>
      <x:c r="N330" s="75" t="n">
        <x:v>0.006046893318271032</x:v>
      </x:c>
      <x:c r="O330" s="75" t="n">
        <x:v>0.013047298899742599</x:v>
      </x:c>
      <x:c r="P330" s="75" t="n">
        <x:v>0.001655495698516461</x:v>
      </x:c>
      <x:c r="Q330" s="75" t="n">
        <x:v>0.004113818786796401</x:v>
      </x:c>
      <x:c r="R330" s="75" t="n">
        <x:v>0.3935312530682767</x:v>
      </x:c>
      <x:c r="S330" s="75" t="n">
        <x:v>0.015221650042520195</x:v>
      </x:c>
      <x:c r="T330" s="75" t="n">
        <x:v>0.004559235086591798</x:v>
      </x:c>
      <x:c r="U330" s="75" t="n">
        <x:v>0.007801044275751337</x:v>
      </x:c>
      <x:c r="V330" s="75" t="n">
        <x:v>0.02875042172026588</x:v>
      </x:c>
      <x:c r="W330" s="75" t="n">
        <x:v>0.0111585391817076</x:v>
      </x:c>
      <x:c r="X330" s="75" t="n">
        <x:v>0.017225981505992166</x:v>
      </x:c>
      <x:c r="Y330" s="75" t="n">
        <x:v>0.018649699150321542</x:v>
      </x:c>
      <x:c r="Z330" s="75" t="n">
        <x:v>0.0066368303188879514</x:v>
      </x:c>
      <x:c r="AA330" s="75" t="n">
        <x:v>0.006880415754164569</x:v>
      </x:c>
      <x:c r="AB330" s="75" t="n">
        <x:v>0.0044454278512508615</x:v>
      </x:c>
      <x:c r="AC330" s="75" t="n">
        <x:v>0.026830182328133376</x:v>
      </x:c>
      <x:c r="AD330" s="75" t="n">
        <x:v>0.10868106286181137</x:v>
      </x:c>
      <x:c r="AE330" s="75" t="n">
        <x:v>0.06964078415275435</x:v>
      </x:c>
      <x:c r="AF330" s="74" t="n">
        <x:v>10</x:v>
      </x:c>
    </x:row>
    <x:row r="331">
      <x:c r="A331" t="str">
        <x:v>2025 S2</x:v>
      </x:c>
      <x:c r="B331" t="str">
        <x:v>CNCT0083</x:v>
      </x:c>
      <x:c r="C331" s="74" t="n">
        <x:v>2204</x:v>
      </x:c>
      <x:c r="D331" s="74" t="n">
        <x:v>1110.716</x:v>
      </x:c>
      <x:c r="E331" s="75" t="n">
        <x:v>0.9840254588134266</x:v>
      </x:c>
      <x:c r="F331" s="75" t="n">
        <x:v>0.16836878172887373</x:v>
      </x:c>
      <x:c r="G331" s="75" t="n">
        <x:v>0.011877430945278319</x:v>
      </x:c>
      <x:c r="H331" s="75" t="n">
        <x:v>0.010521540285786614</x:v>
      </x:c>
      <x:c r="I331" s="75" t="n">
        <x:v>0.007462015047902242</x:v>
      </x:c>
      <x:c r="J331" s="75" t="n">
        <x:v>0.016172874785086607</x:v>
      </x:c>
      <x:c r="K331" s="75" t="n">
        <x:v>0.011645584917088853</x:v>
      </x:c>
      <x:c r="L331" s="75" t="n">
        <x:v>0.012690438154968432</x:v>
      </x:c>
      <x:c r="M331" s="75" t="n">
        <x:v>0.006228228632797254</x:v>
      </x:c>
      <x:c r="N331" s="75" t="n">
        <x:v>0.006046893318271032</x:v>
      </x:c>
      <x:c r="O331" s="75" t="n">
        <x:v>0.013047298899742599</x:v>
      </x:c>
      <x:c r="P331" s="75" t="n">
        <x:v>0.001655495698516461</x:v>
      </x:c>
      <x:c r="Q331" s="75" t="n">
        <x:v>0.004113818786796401</x:v>
      </x:c>
      <x:c r="R331" s="75" t="n">
        <x:v>0.3965232164456437</x:v>
      </x:c>
      <x:c r="S331" s="75" t="n">
        <x:v>0.015221650042520195</x:v>
      </x:c>
      <x:c r="T331" s="75" t="n">
        <x:v>0.004559235086591798</x:v>
      </x:c>
      <x:c r="U331" s="75" t="n">
        <x:v>0.007801044275751337</x:v>
      </x:c>
      <x:c r="V331" s="75" t="n">
        <x:v>0.02875042172026588</x:v>
      </x:c>
      <x:c r="W331" s="75" t="n">
        <x:v>0.0111585391817076</x:v>
      </x:c>
      <x:c r="X331" s="75" t="n">
        <x:v>0.017225981505992166</x:v>
      </x:c>
      <x:c r="Y331" s="75" t="n">
        <x:v>0.018649699150321542</x:v>
      </x:c>
      <x:c r="Z331" s="75" t="n">
        <x:v>0.0066368303188879514</x:v>
      </x:c>
      <x:c r="AA331" s="75" t="n">
        <x:v>0.006880415754164569</x:v>
      </x:c>
      <x:c r="AB331" s="75" t="n">
        <x:v>0.0044454278512508615</x:v>
      </x:c>
      <x:c r="AC331" s="75" t="n">
        <x:v>0.026830182328133376</x:v>
      </x:c>
      <x:c r="AD331" s="75" t="n">
        <x:v>0.10868106286181137</x:v>
      </x:c>
      <x:c r="AE331" s="75" t="n">
        <x:v>0.06964078415275435</x:v>
      </x:c>
      <x:c r="AF331" s="74" t="n">
        <x:v>10</x:v>
      </x:c>
    </x:row>
    <x:row r="332">
      <x:c r="A332" t="str">
        <x:v>2026 S1</x:v>
      </x:c>
      <x:c r="B332" t="str">
        <x:v>CNCT0083</x:v>
      </x:c>
      <x:c r="C332" s="74" t="n">
        <x:v>2015</x:v>
      </x:c>
      <x:c r="D332" s="74" t="n">
        <x:v>1161.184</x:v>
      </x:c>
      <x:c r="E332" s="75" t="n">
        <x:v>0.9609050200339988</x:v>
      </x:c>
      <x:c r="F332" s="75" t="n">
        <x:v>0.1706344474143989</x:v>
      </x:c>
      <x:c r="G332" s="75" t="n">
        <x:v>0.013322709047373791</x:v>
      </x:c>
      <x:c r="H332" s="75" t="n">
        <x:v>0.010521540285786614</x:v>
      </x:c>
      <x:c r="I332" s="75" t="n">
        <x:v>0.007462015047902242</x:v>
      </x:c>
      <x:c r="J332" s="75" t="n">
        <x:v>0.016172874785086607</x:v>
      </x:c>
      <x:c r="K332" s="75" t="n">
        <x:v>0.011645584917088853</x:v>
      </x:c>
      <x:c r="L332" s="75" t="n">
        <x:v>0.012690438154968432</x:v>
      </x:c>
      <x:c r="M332" s="75" t="n">
        <x:v>0.006228228632797254</x:v>
      </x:c>
      <x:c r="N332" s="75" t="n">
        <x:v>0.006046893318271032</x:v>
      </x:c>
      <x:c r="O332" s="75" t="n">
        <x:v>0.013530034040530152</x:v>
      </x:c>
      <x:c r="P332" s="75" t="n">
        <x:v>0.001655495698516461</x:v>
      </x:c>
      <x:c r="Q332" s="75" t="n">
        <x:v>0.004113818786796401</x:v>
      </x:c>
      <x:c r="R332" s="75" t="n">
        <x:v>0.3945235918446712</x:v>
      </x:c>
      <x:c r="S332" s="75" t="n">
        <x:v>0.015221650042520195</x:v>
      </x:c>
      <x:c r="T332" s="75" t="n">
        <x:v>0.004559235086591798</x:v>
      </x:c>
      <x:c r="U332" s="75" t="n">
        <x:v>0.007801044275751337</x:v>
      </x:c>
      <x:c r="V332" s="75" t="n">
        <x:v>0.02875042172026588</x:v>
      </x:c>
      <x:c r="W332" s="75" t="n">
        <x:v>0.013730035725628194</x:v>
      </x:c>
      <x:c r="X332" s="75" t="n">
        <x:v>0.021195726217819236</x:v>
      </x:c>
      <x:c r="Y332" s="75" t="n">
        <x:v>0.022947541020951753</x:v>
      </x:c>
      <x:c r="Z332" s="75" t="n">
        <x:v>0.008166294521118415</x:v>
      </x:c>
      <x:c r="AA332" s="75" t="n">
        <x:v>0.008466014464215738</x:v>
      </x:c>
      <x:c r="AB332" s="75" t="n">
        <x:v>0.005469881157332329</x:v>
      </x:c>
      <x:c r="AC332" s="75" t="n">
        <x:v>0.03301322475026844</x:v>
      </x:c>
      <x:c r="AD332" s="75" t="n">
        <x:v>0.10868106286181137</x:v>
      </x:c>
      <x:c r="AE332" s="75" t="n">
        <x:v>0.06964078415275435</x:v>
      </x:c>
      <x:c r="AF332" s="74" t="n">
        <x:v>10</x:v>
      </x:c>
    </x:row>
    <x:row r="333">
      <x:c r="A333" t="str">
        <x:v>2026 S2</x:v>
      </x:c>
      <x:c r="B333" t="str">
        <x:v>CNCT0083</x:v>
      </x:c>
      <x:c r="C333" s="74" t="n">
        <x:v>2200</x:v>
      </x:c>
      <x:c r="D333" s="74" t="n">
        <x:v>1154.609</x:v>
      </x:c>
      <x:c r="E333" s="75" t="n">
        <x:v>0.9840254588134266</x:v>
      </x:c>
      <x:c r="F333" s="75" t="n">
        <x:v>0.16656073768671195</x:v>
      </x:c>
      <x:c r="G333" s="75" t="n">
        <x:v>0.012648049141243973</x:v>
      </x:c>
      <x:c r="H333" s="75" t="n">
        <x:v>0.010521540285786614</x:v>
      </x:c>
      <x:c r="I333" s="75" t="n">
        <x:v>0.007462015047902242</x:v>
      </x:c>
      <x:c r="J333" s="75" t="n">
        <x:v>0.016172874785086607</x:v>
      </x:c>
      <x:c r="K333" s="75" t="n">
        <x:v>0.011645584917088853</x:v>
      </x:c>
      <x:c r="L333" s="75" t="n">
        <x:v>0.012690438154968432</x:v>
      </x:c>
      <x:c r="M333" s="75" t="n">
        <x:v>0.006228228632797254</x:v>
      </x:c>
      <x:c r="N333" s="75" t="n">
        <x:v>0.006046893318271032</x:v>
      </x:c>
      <x:c r="O333" s="75" t="n">
        <x:v>0.013047298899742599</x:v>
      </x:c>
      <x:c r="P333" s="75" t="n">
        <x:v>0.001655495698516461</x:v>
      </x:c>
      <x:c r="Q333" s="75" t="n">
        <x:v>0.004113818786796401</x:v>
      </x:c>
      <x:c r="R333" s="75" t="n">
        <x:v>0.38850146633927185</x:v>
      </x:c>
      <x:c r="S333" s="75" t="n">
        <x:v>0.015221650042520195</x:v>
      </x:c>
      <x:c r="T333" s="75" t="n">
        <x:v>0.004559235086591798</x:v>
      </x:c>
      <x:c r="U333" s="75" t="n">
        <x:v>0.007801044275751337</x:v>
      </x:c>
      <x:c r="V333" s="75" t="n">
        <x:v>0.02875042172026588</x:v>
      </x:c>
      <x:c r="W333" s="75" t="n">
        <x:v>0.011828051532610058</x:v>
      </x:c>
      <x:c r="X333" s="75" t="n">
        <x:v>0.018259540396351696</x:v>
      </x:c>
      <x:c r="Y333" s="75" t="n">
        <x:v>0.019768681099340837</x:v>
      </x:c>
      <x:c r="Z333" s="75" t="n">
        <x:v>0.007035040138021229</x:v>
      </x:c>
      <x:c r="AA333" s="75" t="n">
        <x:v>0.007293240699414444</x:v>
      </x:c>
      <x:c r="AB333" s="75" t="n">
        <x:v>0.004712153522325914</x:v>
      </x:c>
      <x:c r="AC333" s="75" t="n">
        <x:v>0.02843999326782138</x:v>
      </x:c>
      <x:c r="AD333" s="75" t="n">
        <x:v>0.10868106286181137</x:v>
      </x:c>
      <x:c r="AE333" s="75" t="n">
        <x:v>0.06964078415275435</x:v>
      </x:c>
      <x:c r="AF333" s="74" t="n">
        <x:v>10</x:v>
      </x:c>
    </x:row>
    <x:row r="334">
      <x:c r="A334" t="str">
        <x:v>2025 S1</x:v>
      </x:c>
      <x:c r="B334" t="str">
        <x:v>CNCT0084</x:v>
      </x:c>
      <x:c r="C334" s="74" t="n">
        <x:v>1770</x:v>
      </x:c>
      <x:c r="D334" s="74" t="n">
        <x:v>1040.566</x:v>
      </x:c>
      <x:c r="E334" s="75" t="n">
        <x:v>0.9835439028062973</x:v>
      </x:c>
      <x:c r="F334" s="75" t="n">
        <x:v>0.16157960183406248</x:v>
      </x:c>
      <x:c r="G334" s="75" t="n">
        <x:v>0.00948266343557043</x:v>
      </x:c>
      <x:c r="H334" s="75" t="n">
        <x:v>0.009441239684396351</x:v>
      </x:c>
      <x:c r="I334" s="75" t="n">
        <x:v>0.00813373210964346</x:v>
      </x:c>
      <x:c r="J334" s="75" t="n">
        <x:v>0.015173801106662723</x:v>
      </x:c>
      <x:c r="K334" s="75" t="n">
        <x:v>0.011961821764940395</x:v>
      </x:c>
      <x:c r="L334" s="75" t="n">
        <x:v>0.01301207498522126</x:v>
      </x:c>
      <x:c r="M334" s="75" t="n">
        <x:v>0.006916554650495527</x:v>
      </x:c>
      <x:c r="N334" s="75" t="n">
        <x:v>0.0068531098894600295</x:v>
      </x:c>
      <x:c r="O334" s="75" t="n">
        <x:v>0.006107982830522814</x:v>
      </x:c>
      <x:c r="P334" s="75" t="n">
        <x:v>0.0018976528942512233</x:v>
      </x:c>
      <x:c r="Q334" s="75" t="n">
        <x:v>0.0022281450819136807</x:v>
      </x:c>
      <x:c r="R334" s="75" t="n">
        <x:v>0.38319555062846244</x:v>
      </x:c>
      <x:c r="S334" s="75" t="n">
        <x:v>0.01329868922269634</x:v>
      </x:c>
      <x:c r="T334" s="75" t="n">
        <x:v>0.004235192672458652</x:v>
      </x:c>
      <x:c r="U334" s="75" t="n">
        <x:v>0.010279686789173865</x:v>
      </x:c>
      <x:c r="V334" s="75" t="n">
        <x:v>0.03229790555496584</x:v>
      </x:c>
      <x:c r="W334" s="75" t="n">
        <x:v>0.012624869847322407</x:v>
      </x:c>
      <x:c r="X334" s="75" t="n">
        <x:v>0.026337595637326305</x:v>
      </x:c>
      <x:c r="Y334" s="75" t="n">
        <x:v>0.015526331253729925</x:v>
      </x:c>
      <x:c r="Z334" s="75" t="n">
        <x:v>0.004536004820214294</x:v>
      </x:c>
      <x:c r="AA334" s="75" t="n">
        <x:v>0.008972494392471272</x:v>
      </x:c>
      <x:c r="AB334" s="75" t="n">
        <x:v>0.004782203569216654</x:v>
      </x:c>
      <x:c r="AC334" s="75" t="n">
        <x:v>0.017921273166645546</x:v>
      </x:c>
      <x:c r="AD334" s="75" t="n">
        <x:v>0.08145628525497159</x:v>
      </x:c>
      <x:c r="AE334" s="75" t="n">
        <x:v>0.07949789061828051</x:v>
      </x:c>
      <x:c r="AF334" s="74" t="n">
        <x:v>7</x:v>
      </x:c>
    </x:row>
    <x:row r="335">
      <x:c r="A335" t="str">
        <x:v>2025 S2</x:v>
      </x:c>
      <x:c r="B335" t="str">
        <x:v>CNCT0084</x:v>
      </x:c>
      <x:c r="C335" s="74" t="n">
        <x:v>1888</x:v>
      </x:c>
      <x:c r="D335" s="74" t="n">
        <x:v>1053.053</x:v>
      </x:c>
      <x:c r="E335" s="75" t="n">
        <x:v>0.9831224024074326</x:v>
      </x:c>
      <x:c r="F335" s="75" t="n">
        <x:v>0.16157960183406248</x:v>
      </x:c>
      <x:c r="G335" s="75" t="n">
        <x:v>0.00948266343557043</x:v>
      </x:c>
      <x:c r="H335" s="75" t="n">
        <x:v>0.009441239684396351</x:v>
      </x:c>
      <x:c r="I335" s="75" t="n">
        <x:v>0.00813373210964346</x:v>
      </x:c>
      <x:c r="J335" s="75" t="n">
        <x:v>0.015173801106662723</x:v>
      </x:c>
      <x:c r="K335" s="75" t="n">
        <x:v>0.011961821764940395</x:v>
      </x:c>
      <x:c r="L335" s="75" t="n">
        <x:v>0.01301207498522126</x:v>
      </x:c>
      <x:c r="M335" s="75" t="n">
        <x:v>0.006916554650495527</x:v>
      </x:c>
      <x:c r="N335" s="75" t="n">
        <x:v>0.0068531098894600295</x:v>
      </x:c>
      <x:c r="O335" s="75" t="n">
        <x:v>0.006107982830522814</x:v>
      </x:c>
      <x:c r="P335" s="75" t="n">
        <x:v>0.0018976528942512233</x:v>
      </x:c>
      <x:c r="Q335" s="75" t="n">
        <x:v>0.0022281450819136807</x:v>
      </x:c>
      <x:c r="R335" s="75" t="n">
        <x:v>0.3746972721420349</x:v>
      </x:c>
      <x:c r="S335" s="75" t="n">
        <x:v>0.01329868922269634</x:v>
      </x:c>
      <x:c r="T335" s="75" t="n">
        <x:v>0.004235192672458652</x:v>
      </x:c>
      <x:c r="U335" s="75" t="n">
        <x:v>0.010279686789173865</x:v>
      </x:c>
      <x:c r="V335" s="75" t="n">
        <x:v>0.03229790555496584</x:v>
      </x:c>
      <x:c r="W335" s="75" t="n">
        <x:v>0.012624869847322407</x:v>
      </x:c>
      <x:c r="X335" s="75" t="n">
        <x:v>0.026337595637326305</x:v>
      </x:c>
      <x:c r="Y335" s="75" t="n">
        <x:v>0.015526331253729925</x:v>
      </x:c>
      <x:c r="Z335" s="75" t="n">
        <x:v>0.004536004820214294</x:v>
      </x:c>
      <x:c r="AA335" s="75" t="n">
        <x:v>0.008972494392471272</x:v>
      </x:c>
      <x:c r="AB335" s="75" t="n">
        <x:v>0.004782203569216654</x:v>
      </x:c>
      <x:c r="AC335" s="75" t="n">
        <x:v>0.017921273166645546</x:v>
      </x:c>
      <x:c r="AD335" s="75" t="n">
        <x:v>0.08145628525497159</x:v>
      </x:c>
      <x:c r="AE335" s="75" t="n">
        <x:v>0.08627083095539655</x:v>
      </x:c>
      <x:c r="AF335" s="74" t="n">
        <x:v>7</x:v>
      </x:c>
    </x:row>
    <x:row r="336">
      <x:c r="A336" t="str">
        <x:v>2026 S1</x:v>
      </x:c>
      <x:c r="B336" t="str">
        <x:v>CNCT0084</x:v>
      </x:c>
      <x:c r="C336" s="74" t="n">
        <x:v>1803</x:v>
      </x:c>
      <x:c r="D336" s="74" t="n">
        <x:v>1088.941</x:v>
      </x:c>
      <x:c r="E336" s="75" t="n">
        <x:v>0.9817415727078331</x:v>
      </x:c>
      <x:c r="F336" s="75" t="n">
        <x:v>0.16155454156154883</x:v>
      </x:c>
      <x:c r="G336" s="75" t="n">
        <x:v>0.00916386397264432</x:v>
      </x:c>
      <x:c r="H336" s="75" t="n">
        <x:v>0.009441239684396351</x:v>
      </x:c>
      <x:c r="I336" s="75" t="n">
        <x:v>0.00813373210964346</x:v>
      </x:c>
      <x:c r="J336" s="75" t="n">
        <x:v>0.015173801106662723</x:v>
      </x:c>
      <x:c r="K336" s="75" t="n">
        <x:v>0.011961821764940395</x:v>
      </x:c>
      <x:c r="L336" s="75" t="n">
        <x:v>0.01301207498522126</x:v>
      </x:c>
      <x:c r="M336" s="75" t="n">
        <x:v>0.006916554650495527</x:v>
      </x:c>
      <x:c r="N336" s="75" t="n">
        <x:v>0.0068531098894600295</x:v>
      </x:c>
      <x:c r="O336" s="75" t="n">
        <x:v>0.0074662520769052205</x:v>
      </x:c>
      <x:c r="P336" s="75" t="n">
        <x:v>0.0018976528942512233</x:v>
      </x:c>
      <x:c r="Q336" s="75" t="n">
        <x:v>0.0022281450819136807</x:v>
      </x:c>
      <x:c r="R336" s="75" t="n">
        <x:v>0.38486808126477895</x:v>
      </x:c>
      <x:c r="S336" s="75" t="n">
        <x:v>0.01329868922269634</x:v>
      </x:c>
      <x:c r="T336" s="75" t="n">
        <x:v>0.004235192672458652</x:v>
      </x:c>
      <x:c r="U336" s="75" t="n">
        <x:v>0.010279686789173865</x:v>
      </x:c>
      <x:c r="V336" s="75" t="n">
        <x:v>0.03229790555496584</x:v>
      </x:c>
      <x:c r="W336" s="75" t="n">
        <x:v>0.015534283763532608</x:v>
      </x:c>
      <x:c r="X336" s="75" t="n">
        <x:v>0.03240712096261161</x:v>
      </x:c>
      <x:c r="Y336" s="75" t="n">
        <x:v>0.019104389860557607</x:v>
      </x:c>
      <x:c r="Z336" s="75" t="n">
        <x:v>0.005581331679621639</x:v>
      </x:c>
      <x:c r="AA336" s="75" t="n">
        <x:v>0.011040214722602868</x:v>
      </x:c>
      <x:c r="AB336" s="75" t="n">
        <x:v>0.005884267177213367</x:v>
      </x:c>
      <x:c r="AC336" s="75" t="n">
        <x:v>0.02205124853889078</x:v>
      </x:c>
      <x:c r="AD336" s="75" t="n">
        <x:v>0.08145628525497159</x:v>
      </x:c>
      <x:c r="AE336" s="75" t="n">
        <x:v>0.07949789061828051</x:v>
      </x:c>
      <x:c r="AF336" s="74" t="n">
        <x:v>7</x:v>
      </x:c>
    </x:row>
    <x:row r="337">
      <x:c r="A337" t="str">
        <x:v>2026 S2</x:v>
      </x:c>
      <x:c r="B337" t="str">
        <x:v>CNCT0084</x:v>
      </x:c>
      <x:c r="C337" s="74" t="n">
        <x:v>1970</x:v>
      </x:c>
      <x:c r="D337" s="74" t="n">
        <x:v>1093.831</x:v>
      </x:c>
      <x:c r="E337" s="75" t="n">
        <x:v>0.9831224024074326</x:v>
      </x:c>
      <x:c r="F337" s="75" t="n">
        <x:v>0.16699073338648304</x:v>
      </x:c>
      <x:c r="G337" s="75" t="n">
        <x:v>0.008843677738128462</x:v>
      </x:c>
      <x:c r="H337" s="75" t="n">
        <x:v>0.009441239684396351</x:v>
      </x:c>
      <x:c r="I337" s="75" t="n">
        <x:v>0.00813373210964346</x:v>
      </x:c>
      <x:c r="J337" s="75" t="n">
        <x:v>0.015173801106662723</x:v>
      </x:c>
      <x:c r="K337" s="75" t="n">
        <x:v>0.011961821764940395</x:v>
      </x:c>
      <x:c r="L337" s="75" t="n">
        <x:v>0.01301207498522126</x:v>
      </x:c>
      <x:c r="M337" s="75" t="n">
        <x:v>0.006916554650495527</x:v>
      </x:c>
      <x:c r="N337" s="75" t="n">
        <x:v>0.0068531098894600295</x:v>
      </x:c>
      <x:c r="O337" s="75" t="n">
        <x:v>0.006107982830522814</x:v>
      </x:c>
      <x:c r="P337" s="75" t="n">
        <x:v>0.0018976528942512233</x:v>
      </x:c>
      <x:c r="Q337" s="75" t="n">
        <x:v>0.0022281450819136807</x:v>
      </x:c>
      <x:c r="R337" s="75" t="n">
        <x:v>0.37425662653479475</x:v>
      </x:c>
      <x:c r="S337" s="75" t="n">
        <x:v>0.01329868922269634</x:v>
      </x:c>
      <x:c r="T337" s="75" t="n">
        <x:v>0.004235192672458652</x:v>
      </x:c>
      <x:c r="U337" s="75" t="n">
        <x:v>0.010279686789173865</x:v>
      </x:c>
      <x:c r="V337" s="75" t="n">
        <x:v>0.03229790555496584</x:v>
      </x:c>
      <x:c r="W337" s="75" t="n">
        <x:v>0.013382362038161752</x:v>
      </x:c>
      <x:c r="X337" s="75" t="n">
        <x:v>0.027917851375565884</x:v>
      </x:c>
      <x:c r="Y337" s="75" t="n">
        <x:v>0.01645791112895372</x:v>
      </x:c>
      <x:c r="Z337" s="75" t="n">
        <x:v>0.004808165109427152</x:v>
      </x:c>
      <x:c r="AA337" s="75" t="n">
        <x:v>0.00951084405601955</x:v>
      </x:c>
      <x:c r="AB337" s="75" t="n">
        <x:v>0.005069135783369654</x:v>
      </x:c>
      <x:c r="AC337" s="75" t="n">
        <x:v>0.01899654955664428</x:v>
      </x:c>
      <x:c r="AD337" s="75" t="n">
        <x:v>0.08145628525497159</x:v>
      </x:c>
      <x:c r="AE337" s="75" t="n">
        <x:v>0.08627083095539655</x:v>
      </x:c>
      <x:c r="AF337" s="74" t="n">
        <x:v>7</x:v>
      </x:c>
    </x:row>
    <x:row r="338">
      <x:c r="A338" t="str">
        <x:v>2025 S1</x:v>
      </x:c>
      <x:c r="B338" t="str">
        <x:v>CNCT0085</x:v>
      </x:c>
      <x:c r="C338" s="74" t="n">
        <x:v>1978</x:v>
      </x:c>
      <x:c r="D338" s="74" t="n">
        <x:v>1147.373</x:v>
      </x:c>
      <x:c r="E338" s="75" t="n">
        <x:v>0.9768793342020362</x:v>
      </x:c>
      <x:c r="F338" s="75" t="n">
        <x:v>0.1698278419971466</x:v>
      </x:c>
      <x:c r="G338" s="75" t="n">
        <x:v>0.010712872306583448</x:v>
      </x:c>
      <x:c r="H338" s="75" t="n">
        <x:v>0.012479521018198284</x:v>
      </x:c>
      <x:c r="I338" s="75" t="n">
        <x:v>0.005852908992180119</x:v>
      </x:c>
      <x:c r="J338" s="75" t="n">
        <x:v>0.01760082847130252</x:v>
      </x:c>
      <x:c r="K338" s="75" t="n">
        <x:v>0.008968254907187657</x:v>
      </x:c>
      <x:c r="L338" s="75" t="n">
        <x:v>0.011007750364748062</x:v>
      </x:c>
      <x:c r="M338" s="75" t="n">
        <x:v>0.006587779613772</x:v>
      </x:c>
      <x:c r="N338" s="75" t="n">
        <x:v>0.007641951453260845</x:v>
      </x:c>
      <x:c r="O338" s="75" t="n">
        <x:v>0.0121454692879488</x:v>
      </x:c>
      <x:c r="P338" s="75" t="n">
        <x:v>0.0014862535678039422</x:v>
      </x:c>
      <x:c r="Q338" s="75" t="n">
        <x:v>0.004090769801841816</x:v>
      </x:c>
      <x:c r="R338" s="75" t="n">
        <x:v>0.3721033558501532</x:v>
      </x:c>
      <x:c r="S338" s="75" t="n">
        <x:v>0.014409139044899348</x:v>
      </x:c>
      <x:c r="T338" s="75" t="n">
        <x:v>0.003812380163637499</x:v>
      </x:c>
      <x:c r="U338" s="75" t="n">
        <x:v>0.005382512186159146</x:v>
      </x:c>
      <x:c r="V338" s="75" t="n">
        <x:v>0.03572535899559444</x:v>
      </x:c>
      <x:c r="W338" s="75" t="n">
        <x:v>0.012602689332599401</x:v>
      </x:c>
      <x:c r="X338" s="75" t="n">
        <x:v>0.022149520758305445</x:v>
      </x:c>
      <x:c r="Y338" s="75" t="n">
        <x:v>0.01556187118857517</x:v>
      </x:c>
      <x:c r="Z338" s="75" t="n">
        <x:v>0.0062828560218127685</x:v>
      </x:c>
      <x:c r="AA338" s="75" t="n">
        <x:v>0.007505723583473009</x:v>
      </x:c>
      <x:c r="AB338" s="75" t="n">
        <x:v>0.00673295234690304</x:v>
      </x:c>
      <x:c r="AC338" s="75" t="n">
        <x:v>0.02234121530927659</x:v>
      </x:c>
      <x:c r="AD338" s="75" t="n">
        <x:v>0.0980569548002386</x:v>
      </x:c>
      <x:c r="AE338" s="75" t="n">
        <x:v>0.0946026770370081</x:v>
      </x:c>
      <x:c r="AF338" s="74" t="n">
        <x:v>10</x:v>
      </x:c>
    </x:row>
    <x:row r="339">
      <x:c r="A339" t="str">
        <x:v>2025 S2</x:v>
      </x:c>
      <x:c r="B339" t="str">
        <x:v>CNCT0085</x:v>
      </x:c>
      <x:c r="C339" s="74" t="n">
        <x:v>2111</x:v>
      </x:c>
      <x:c r="D339" s="74" t="n">
        <x:v>1161.142</x:v>
      </x:c>
      <x:c r="E339" s="75" t="n">
        <x:v>0.9838839705912978</x:v>
      </x:c>
      <x:c r="F339" s="75" t="n">
        <x:v>0.1698278419971466</x:v>
      </x:c>
      <x:c r="G339" s="75" t="n">
        <x:v>0.010712872306583448</x:v>
      </x:c>
      <x:c r="H339" s="75" t="n">
        <x:v>0.012479521018198284</x:v>
      </x:c>
      <x:c r="I339" s="75" t="n">
        <x:v>0.005852908992180119</x:v>
      </x:c>
      <x:c r="J339" s="75" t="n">
        <x:v>0.01760082847130252</x:v>
      </x:c>
      <x:c r="K339" s="75" t="n">
        <x:v>0.008968254907187657</x:v>
      </x:c>
      <x:c r="L339" s="75" t="n">
        <x:v>0.011007750364748062</x:v>
      </x:c>
      <x:c r="M339" s="75" t="n">
        <x:v>0.006587779613772</x:v>
      </x:c>
      <x:c r="N339" s="75" t="n">
        <x:v>0.007641951453260845</x:v>
      </x:c>
      <x:c r="O339" s="75" t="n">
        <x:v>0.0121454692879488</x:v>
      </x:c>
      <x:c r="P339" s="75" t="n">
        <x:v>0.0014862535678039422</x:v>
      </x:c>
      <x:c r="Q339" s="75" t="n">
        <x:v>0.004090769801841816</x:v>
      </x:c>
      <x:c r="R339" s="75" t="n">
        <x:v>0.37975764444818827</x:v>
      </x:c>
      <x:c r="S339" s="75" t="n">
        <x:v>0.014409139044899348</x:v>
      </x:c>
      <x:c r="T339" s="75" t="n">
        <x:v>0.003812380163637499</x:v>
      </x:c>
      <x:c r="U339" s="75" t="n">
        <x:v>0.005382512186159146</x:v>
      </x:c>
      <x:c r="V339" s="75" t="n">
        <x:v>0.03572535899559444</x:v>
      </x:c>
      <x:c r="W339" s="75" t="n">
        <x:v>0.012602689332599401</x:v>
      </x:c>
      <x:c r="X339" s="75" t="n">
        <x:v>0.022149520758305445</x:v>
      </x:c>
      <x:c r="Y339" s="75" t="n">
        <x:v>0.01556187118857517</x:v>
      </x:c>
      <x:c r="Z339" s="75" t="n">
        <x:v>0.0062828560218127685</x:v>
      </x:c>
      <x:c r="AA339" s="75" t="n">
        <x:v>0.007505723583473009</x:v>
      </x:c>
      <x:c r="AB339" s="75" t="n">
        <x:v>0.00673295234690304</x:v>
      </x:c>
      <x:c r="AC339" s="75" t="n">
        <x:v>0.02234121530927659</x:v>
      </x:c>
      <x:c r="AD339" s="75" t="n">
        <x:v>0.0980569548002386</x:v>
      </x:c>
      <x:c r="AE339" s="75" t="n">
        <x:v>0.0946026770370081</x:v>
      </x:c>
      <x:c r="AF339" s="74" t="n">
        <x:v>10</x:v>
      </x:c>
    </x:row>
    <x:row r="340">
      <x:c r="A340" t="str">
        <x:v>2026 S1</x:v>
      </x:c>
      <x:c r="B340" t="str">
        <x:v>CNCT0085</x:v>
      </x:c>
      <x:c r="C340" s="74" t="n">
        <x:v>2122</x:v>
      </x:c>
      <x:c r="D340" s="74" t="n">
        <x:v>1199.933</x:v>
      </x:c>
      <x:c r="E340" s="75" t="n">
        <x:v>0.9763416174317826</x:v>
      </x:c>
      <x:c r="F340" s="75" t="n">
        <x:v>0.16630656484156497</x:v>
      </x:c>
      <x:c r="G340" s="75" t="n">
        <x:v>0.011729387391271301</x:v>
      </x:c>
      <x:c r="H340" s="75" t="n">
        <x:v>0.012479521018198284</x:v>
      </x:c>
      <x:c r="I340" s="75" t="n">
        <x:v>0.005852908992180119</x:v>
      </x:c>
      <x:c r="J340" s="75" t="n">
        <x:v>0.01760082847130252</x:v>
      </x:c>
      <x:c r="K340" s="75" t="n">
        <x:v>0.008968254907187657</x:v>
      </x:c>
      <x:c r="L340" s="75" t="n">
        <x:v>0.011007750364748062</x:v>
      </x:c>
      <x:c r="M340" s="75" t="n">
        <x:v>0.006587779613772</x:v>
      </x:c>
      <x:c r="N340" s="75" t="n">
        <x:v>0.007641951453260845</x:v>
      </x:c>
      <x:c r="O340" s="75" t="n">
        <x:v>0.011507976849199622</x:v>
      </x:c>
      <x:c r="P340" s="75" t="n">
        <x:v>0.0014862535678039422</x:v>
      </x:c>
      <x:c r="Q340" s="75" t="n">
        <x:v>0.004090769801841816</x:v>
      </x:c>
      <x:c r="R340" s="75" t="n">
        <x:v>0.3732720598182149</x:v>
      </x:c>
      <x:c r="S340" s="75" t="n">
        <x:v>0.014409139044899348</x:v>
      </x:c>
      <x:c r="T340" s="75" t="n">
        <x:v>0.003812380163637499</x:v>
      </x:c>
      <x:c r="U340" s="75" t="n">
        <x:v>0.005382512186159146</x:v>
      </x:c>
      <x:c r="V340" s="75" t="n">
        <x:v>0.03572535899559444</x:v>
      </x:c>
      <x:c r="W340" s="75" t="n">
        <x:v>0.015506991726949637</x:v>
      </x:c>
      <x:c r="X340" s="75" t="n">
        <x:v>0.027253900028026634</x:v>
      </x:c>
      <x:c r="Y340" s="75" t="n">
        <x:v>0.01914812000902647</x:v>
      </x:c>
      <x:c r="Z340" s="75" t="n">
        <x:v>0.007730746492325935</x:v>
      </x:c>
      <x:c r="AA340" s="75" t="n">
        <x:v>0.009235425109830915</x:v>
      </x:c>
      <x:c r="AB340" s="75" t="n">
        <x:v>0.008284567966878277</x:v>
      </x:c>
      <x:c r="AC340" s="75" t="n">
        <x:v>0.027489770780495446</x:v>
      </x:c>
      <x:c r="AD340" s="75" t="n">
        <x:v>0.0980569548002386</x:v>
      </x:c>
      <x:c r="AE340" s="75" t="n">
        <x:v>0.0946026770370081</x:v>
      </x:c>
      <x:c r="AF340" s="74" t="n">
        <x:v>10</x:v>
      </x:c>
    </x:row>
    <x:row r="341">
      <x:c r="A341" t="str">
        <x:v>2026 S2</x:v>
      </x:c>
      <x:c r="B341" t="str">
        <x:v>CNCT0085</x:v>
      </x:c>
      <x:c r="C341" s="74" t="n">
        <x:v>2226</x:v>
      </x:c>
      <x:c r="D341" s="74" t="n">
        <x:v>1215.27</x:v>
      </x:c>
      <x:c r="E341" s="75" t="n">
        <x:v>0.9838839705912978</x:v>
      </x:c>
      <x:c r="F341" s="75" t="n">
        <x:v>0.16364366554015577</x:v>
      </x:c>
      <x:c r="G341" s="75" t="n">
        <x:v>0.008955195709029792</x:v>
      </x:c>
      <x:c r="H341" s="75" t="n">
        <x:v>0.012479521018198284</x:v>
      </x:c>
      <x:c r="I341" s="75" t="n">
        <x:v>0.005852908992180119</x:v>
      </x:c>
      <x:c r="J341" s="75" t="n">
        <x:v>0.01760082847130252</x:v>
      </x:c>
      <x:c r="K341" s="75" t="n">
        <x:v>0.008968254907187657</x:v>
      </x:c>
      <x:c r="L341" s="75" t="n">
        <x:v>0.011007750364748062</x:v>
      </x:c>
      <x:c r="M341" s="75" t="n">
        <x:v>0.006587779613772</x:v>
      </x:c>
      <x:c r="N341" s="75" t="n">
        <x:v>0.007641951453260845</x:v>
      </x:c>
      <x:c r="O341" s="75" t="n">
        <x:v>0.0121454692879488</x:v>
      </x:c>
      <x:c r="P341" s="75" t="n">
        <x:v>0.0014862535678039422</x:v>
      </x:c>
      <x:c r="Q341" s="75" t="n">
        <x:v>0.004090769801841816</x:v>
      </x:c>
      <x:c r="R341" s="75" t="n">
        <x:v>0.38629173812495127</x:v>
      </x:c>
      <x:c r="S341" s="75" t="n">
        <x:v>0.014409139044899348</x:v>
      </x:c>
      <x:c r="T341" s="75" t="n">
        <x:v>0.003812380163637499</x:v>
      </x:c>
      <x:c r="U341" s="75" t="n">
        <x:v>0.005382512186159146</x:v>
      </x:c>
      <x:c r="V341" s="75" t="n">
        <x:v>0.03572535899559444</x:v>
      </x:c>
      <x:c r="W341" s="75" t="n">
        <x:v>0.013358850692555366</x:v>
      </x:c>
      <x:c r="X341" s="75" t="n">
        <x:v>0.023478492003803773</x:v>
      </x:c>
      <x:c r="Y341" s="75" t="n">
        <x:v>0.016495583459889683</x:v>
      </x:c>
      <x:c r="Z341" s="75" t="n">
        <x:v>0.006659827383121535</x:v>
      </x:c>
      <x:c r="AA341" s="75" t="n">
        <x:v>0.00795606699848139</x:v>
      </x:c>
      <x:c r="AB341" s="75" t="n">
        <x:v>0.007136929487717223</x:v>
      </x:c>
      <x:c r="AC341" s="75" t="n">
        <x:v>0.02368168822783319</x:v>
      </x:c>
      <x:c r="AD341" s="75" t="n">
        <x:v>0.0980569548002386</x:v>
      </x:c>
      <x:c r="AE341" s="75" t="n">
        <x:v>0.0946026770370081</x:v>
      </x:c>
      <x:c r="AF341" s="74" t="n">
        <x:v>10</x:v>
      </x:c>
    </x:row>
    <x:row r="342">
      <x:c r="A342" t="str">
        <x:v>2025 S1</x:v>
      </x:c>
      <x:c r="B342" t="str">
        <x:v>CNCT0086</x:v>
      </x:c>
      <x:c r="C342" s="74" t="n">
        <x:v>1686</x:v>
      </x:c>
      <x:c r="D342" s="74" t="n">
        <x:v>1013.894</x:v>
      </x:c>
      <x:c r="E342" s="75" t="n">
        <x:v>0.9814712880499428</x:v>
      </x:c>
      <x:c r="F342" s="75" t="n">
        <x:v>0.15556061801407486</x:v>
      </x:c>
      <x:c r="G342" s="75" t="n">
        <x:v>0.019057354612334165</x:v>
      </x:c>
      <x:c r="H342" s="75" t="n">
        <x:v>0.009361414221071755</x:v>
      </x:c>
      <x:c r="I342" s="75" t="n">
        <x:v>0.007876105023158744</x:v>
      </x:c>
      <x:c r="J342" s="75" t="n">
        <x:v>0.012436123372106523</x:v>
      </x:c>
      <x:c r="K342" s="75" t="n">
        <x:v>0.00803973216022132</x:v>
      </x:c>
      <x:c r="L342" s="75" t="n">
        <x:v>0.008829765727459743</x:v>
      </x:c>
      <x:c r="M342" s="75" t="n">
        <x:v>0.009775500302701403</x:v>
      </x:c>
      <x:c r="N342" s="75" t="n">
        <x:v>0.007087695729976986</x:v>
      </x:c>
      <x:c r="O342" s="75" t="n">
        <x:v>0.006446335095330141</x:v>
      </x:c>
      <x:c r="P342" s="75" t="n">
        <x:v>0.0021148514991582486</x:v>
      </x:c>
      <x:c r="Q342" s="75" t="n">
        <x:v>0.004859047123070923</x:v>
      </x:c>
      <x:c r="R342" s="75" t="n">
        <x:v>0.37584686439326653</x:v>
      </x:c>
      <x:c r="S342" s="75" t="n">
        <x:v>0.016666549348447007</x:v>
      </x:c>
      <x:c r="T342" s="75" t="n">
        <x:v>0.006416046457525226</x:v>
      </x:c>
      <x:c r="U342" s="75" t="n">
        <x:v>0.012928770224345498</x:v>
      </x:c>
      <x:c r="V342" s="75" t="n">
        <x:v>0.03321258054623468</x:v>
      </x:c>
      <x:c r="W342" s="75" t="n">
        <x:v>0.012300343492702813</x:v>
      </x:c>
      <x:c r="X342" s="75" t="n">
        <x:v>0.02015784109671833</x:v>
      </x:c>
      <x:c r="Y342" s="75" t="n">
        <x:v>0.016132599900329954</x:v>
      </x:c>
      <x:c r="Z342" s="75" t="n">
        <x:v>0.006745945806987584</x:v>
      </x:c>
      <x:c r="AA342" s="75" t="n">
        <x:v>0.006546585623441497</x:v>
      </x:c>
      <x:c r="AB342" s="75" t="n">
        <x:v>0.004742640647847657</x:v>
      </x:c>
      <x:c r="AC342" s="75" t="n">
        <x:v>0.025647506349382454</x:v>
      </x:c>
      <x:c r="AD342" s="75" t="n">
        <x:v>0.08438938189929468</x:v>
      </x:c>
      <x:c r="AE342" s="75" t="n">
        <x:v>0.07782168583813473</x:v>
      </x:c>
      <x:c r="AF342" s="74" t="n">
        <x:v>11</x:v>
      </x:c>
    </x:row>
    <x:row r="343">
      <x:c r="A343" t="str">
        <x:v>2025 S2</x:v>
      </x:c>
      <x:c r="B343" t="str">
        <x:v>CNCT0086</x:v>
      </x:c>
      <x:c r="C343" s="74" t="n">
        <x:v>1807</x:v>
      </x:c>
      <x:c r="D343" s="74" t="n">
        <x:v>1026.06</x:v>
      </x:c>
      <x:c r="E343" s="75" t="n">
        <x:v>0.9711006894259481</x:v>
      </x:c>
      <x:c r="F343" s="75" t="n">
        <x:v>0.15556061801407486</x:v>
      </x:c>
      <x:c r="G343" s="75" t="n">
        <x:v>0.019057354612334165</x:v>
      </x:c>
      <x:c r="H343" s="75" t="n">
        <x:v>0.009361414221071755</x:v>
      </x:c>
      <x:c r="I343" s="75" t="n">
        <x:v>0.007876105023158744</x:v>
      </x:c>
      <x:c r="J343" s="75" t="n">
        <x:v>0.012436123372106523</x:v>
      </x:c>
      <x:c r="K343" s="75" t="n">
        <x:v>0.00803973216022132</x:v>
      </x:c>
      <x:c r="L343" s="75" t="n">
        <x:v>0.008829765727459743</x:v>
      </x:c>
      <x:c r="M343" s="75" t="n">
        <x:v>0.009775500302701403</x:v>
      </x:c>
      <x:c r="N343" s="75" t="n">
        <x:v>0.007087695729976986</x:v>
      </x:c>
      <x:c r="O343" s="75" t="n">
        <x:v>0.006446335095330141</x:v>
      </x:c>
      <x:c r="P343" s="75" t="n">
        <x:v>0.0021148514991582486</x:v>
      </x:c>
      <x:c r="Q343" s="75" t="n">
        <x:v>0.004859047123070923</x:v>
      </x:c>
      <x:c r="R343" s="75" t="n">
        <x:v>0.37267679589600605</x:v>
      </x:c>
      <x:c r="S343" s="75" t="n">
        <x:v>0.016666549348447007</x:v>
      </x:c>
      <x:c r="T343" s="75" t="n">
        <x:v>0.006416046457525226</x:v>
      </x:c>
      <x:c r="U343" s="75" t="n">
        <x:v>0.012928770224345498</x:v>
      </x:c>
      <x:c r="V343" s="75" t="n">
        <x:v>0.03321258054623468</x:v>
      </x:c>
      <x:c r="W343" s="75" t="n">
        <x:v>0.012300343492702813</x:v>
      </x:c>
      <x:c r="X343" s="75" t="n">
        <x:v>0.02015784109671833</x:v>
      </x:c>
      <x:c r="Y343" s="75" t="n">
        <x:v>0.016132599900329954</x:v>
      </x:c>
      <x:c r="Z343" s="75" t="n">
        <x:v>0.006745945806987584</x:v>
      </x:c>
      <x:c r="AA343" s="75" t="n">
        <x:v>0.006546585623441497</x:v>
      </x:c>
      <x:c r="AB343" s="75" t="n">
        <x:v>0.004742640647847657</x:v>
      </x:c>
      <x:c r="AC343" s="75" t="n">
        <x:v>0.025647506349382454</x:v>
      </x:c>
      <x:c r="AD343" s="75" t="n">
        <x:v>0.08438938189929468</x:v>
      </x:c>
      <x:c r="AE343" s="75" t="n">
        <x:v>0.07782168583813473</x:v>
      </x:c>
      <x:c r="AF343" s="74" t="n">
        <x:v>11</x:v>
      </x:c>
    </x:row>
    <x:row r="344">
      <x:c r="A344" t="str">
        <x:v>2026 S1</x:v>
      </x:c>
      <x:c r="B344" t="str">
        <x:v>CNCT0086</x:v>
      </x:c>
      <x:c r="C344" s="74" t="n">
        <x:v>1581</x:v>
      </x:c>
      <x:c r="D344" s="74" t="n">
        <x:v>1072.485</x:v>
      </x:c>
      <x:c r="E344" s="75" t="n">
        <x:v>0.9777760317193751</x:v>
      </x:c>
      <x:c r="F344" s="75" t="n">
        <x:v>0.15381738857609162</x:v>
      </x:c>
      <x:c r="G344" s="75" t="n">
        <x:v>0.018256704685642035</x:v>
      </x:c>
      <x:c r="H344" s="75" t="n">
        <x:v>0.009361414221071755</x:v>
      </x:c>
      <x:c r="I344" s="75" t="n">
        <x:v>0.007876105023158744</x:v>
      </x:c>
      <x:c r="J344" s="75" t="n">
        <x:v>0.012436123372106523</x:v>
      </x:c>
      <x:c r="K344" s="75" t="n">
        <x:v>0.00803973216022132</x:v>
      </x:c>
      <x:c r="L344" s="75" t="n">
        <x:v>0.008829765727459743</x:v>
      </x:c>
      <x:c r="M344" s="75" t="n">
        <x:v>0.009775500302701403</x:v>
      </x:c>
      <x:c r="N344" s="75" t="n">
        <x:v>0.007087695729976986</x:v>
      </x:c>
      <x:c r="O344" s="75" t="n">
        <x:v>0.007742353894223924</x:v>
      </x:c>
      <x:c r="P344" s="75" t="n">
        <x:v>0.0021148514991582486</x:v>
      </x:c>
      <x:c r="Q344" s="75" t="n">
        <x:v>0.004859047123070923</x:v>
      </x:c>
      <x:c r="R344" s="75" t="n">
        <x:v>0.3724245217641318</x:v>
      </x:c>
      <x:c r="S344" s="75" t="n">
        <x:v>0.016666549348447007</x:v>
      </x:c>
      <x:c r="T344" s="75" t="n">
        <x:v>0.006416046457525226</x:v>
      </x:c>
      <x:c r="U344" s="75" t="n">
        <x:v>0.012928770224345498</x:v>
      </x:c>
      <x:c r="V344" s="75" t="n">
        <x:v>0.03321258054623468</x:v>
      </x:c>
      <x:c r="W344" s="75" t="n">
        <x:v>0.015134969985064247</x:v>
      </x:c>
      <x:c r="X344" s="75" t="n">
        <x:v>0.024803235791221633</x:v>
      </x:c>
      <x:c r="Y344" s="75" t="n">
        <x:v>0.019850373724717218</x:v>
      </x:c>
      <x:c r="Z344" s="75" t="n">
        <x:v>0.008300555782868813</x:v>
      </x:c>
      <x:c r="AA344" s="75" t="n">
        <x:v>0.008055252845111265</x:v>
      </x:c>
      <x:c r="AB344" s="75" t="n">
        <x:v>0.005835586940942204</x:v>
      </x:c>
      <x:c r="AC344" s="75" t="n">
        <x:v>0.031557999906257315</x:v>
      </x:c>
      <x:c r="AD344" s="75" t="n">
        <x:v>0.08438938189929468</x:v>
      </x:c>
      <x:c r="AE344" s="75" t="n">
        <x:v>0.07782168583813473</x:v>
      </x:c>
      <x:c r="AF344" s="74" t="n">
        <x:v>11</x:v>
      </x:c>
    </x:row>
    <x:row r="345">
      <x:c r="A345" t="str">
        <x:v>2026 S2</x:v>
      </x:c>
      <x:c r="B345" t="str">
        <x:v>CNCT0086</x:v>
      </x:c>
      <x:c r="C345" s="74" t="n">
        <x:v>1745</x:v>
      </x:c>
      <x:c r="D345" s="74" t="n">
        <x:v>1066.987</x:v>
      </x:c>
      <x:c r="E345" s="75" t="n">
        <x:v>0.9711006894259481</x:v>
      </x:c>
      <x:c r="F345" s="75" t="n">
        <x:v>0.1494832161811646</x:v>
      </x:c>
      <x:c r="G345" s="75" t="n">
        <x:v>0.020387168451808973</x:v>
      </x:c>
      <x:c r="H345" s="75" t="n">
        <x:v>0.009361414221071755</x:v>
      </x:c>
      <x:c r="I345" s="75" t="n">
        <x:v>0.007876105023158744</x:v>
      </x:c>
      <x:c r="J345" s="75" t="n">
        <x:v>0.012436123372106523</x:v>
      </x:c>
      <x:c r="K345" s="75" t="n">
        <x:v>0.00803973216022132</x:v>
      </x:c>
      <x:c r="L345" s="75" t="n">
        <x:v>0.008829765727459743</x:v>
      </x:c>
      <x:c r="M345" s="75" t="n">
        <x:v>0.009775500302701403</x:v>
      </x:c>
      <x:c r="N345" s="75" t="n">
        <x:v>0.007087695729976986</x:v>
      </x:c>
      <x:c r="O345" s="75" t="n">
        <x:v>0.006446335095330141</x:v>
      </x:c>
      <x:c r="P345" s="75" t="n">
        <x:v>0.0021148514991582486</x:v>
      </x:c>
      <x:c r="Q345" s="75" t="n">
        <x:v>0.004859047123070923</x:v>
      </x:c>
      <x:c r="R345" s="75" t="n">
        <x:v>0.3727284421850386</x:v>
      </x:c>
      <x:c r="S345" s="75" t="n">
        <x:v>0.016666549348447007</x:v>
      </x:c>
      <x:c r="T345" s="75" t="n">
        <x:v>0.006416046457525226</x:v>
      </x:c>
      <x:c r="U345" s="75" t="n">
        <x:v>0.012928770224345498</x:v>
      </x:c>
      <x:c r="V345" s="75" t="n">
        <x:v>0.03321258054623468</x:v>
      </x:c>
      <x:c r="W345" s="75" t="n">
        <x:v>0.013038364102264981</x:v>
      </x:c>
      <x:c r="X345" s="75" t="n">
        <x:v>0.021367311562521432</x:v>
      </x:c>
      <x:c r="Y345" s="75" t="n">
        <x:v>0.01710055589434975</x:v>
      </x:c>
      <x:c r="Z345" s="75" t="n">
        <x:v>0.0071507025554068395</x:v>
      </x:c>
      <x:c r="AA345" s="75" t="n">
        <x:v>0.006939380760847987</x:v>
      </x:c>
      <x:c r="AB345" s="75" t="n">
        <x:v>0.0050271990867185165</x:v>
      </x:c>
      <x:c r="AC345" s="75" t="n">
        <x:v>0.027186356730345404</x:v>
      </x:c>
      <x:c r="AD345" s="75" t="n">
        <x:v>0.08438938189929468</x:v>
      </x:c>
      <x:c r="AE345" s="75" t="n">
        <x:v>0.07782168583813473</x:v>
      </x:c>
      <x:c r="AF345" s="74" t="n">
        <x:v>11</x:v>
      </x:c>
    </x:row>
    <x:row r="346">
      <x:c r="A346" t="str">
        <x:v>2025 S1</x:v>
      </x:c>
      <x:c r="B346" t="str">
        <x:v>CNCT0087</x:v>
      </x:c>
      <x:c r="C346" s="74" t="n">
        <x:v>2007</x:v>
      </x:c>
      <x:c r="D346" s="74" t="n">
        <x:v>1207.922</x:v>
      </x:c>
      <x:c r="E346" s="75" t="n">
        <x:v>0.9744099815791997</x:v>
      </x:c>
      <x:c r="F346" s="75" t="n">
        <x:v>0.21426682846294715</x:v>
      </x:c>
      <x:c r="G346" s="75" t="n">
        <x:v>0.01305316969467094</x:v>
      </x:c>
      <x:c r="H346" s="75" t="n">
        <x:v>0.010584151226852556</x:v>
      </x:c>
      <x:c r="I346" s="75" t="n">
        <x:v>0.008511286101282167</x:v>
      </x:c>
      <x:c r="J346" s="75" t="n">
        <x:v>0.013606876292906236</x:v>
      </x:c>
      <x:c r="K346" s="75" t="n">
        <x:v>0.012238981192658684</x:v>
      </x:c>
      <x:c r="L346" s="75" t="n">
        <x:v>0.01361688092316217</x:v>
      </x:c>
      <x:c r="M346" s="75" t="n">
        <x:v>0.007113820011880307</x:v>
      </x:c>
      <x:c r="N346" s="75" t="n">
        <x:v>0.0074215049544145584</x:v>
      </x:c>
      <x:c r="O346" s="75" t="n">
        <x:v>0.009296753521135542</x:v>
      </x:c>
      <x:c r="P346" s="75" t="n">
        <x:v>0.0026110986233470615</x:v>
      </x:c>
      <x:c r="Q346" s="75" t="n">
        <x:v>0.0022888892585469873</x:v>
      </x:c>
      <x:c r="R346" s="75" t="n">
        <x:v>0.35483149592275876</x:v>
      </x:c>
      <x:c r="S346" s="75" t="n">
        <x:v>0.014017215606334503</x:v>
      </x:c>
      <x:c r="T346" s="75" t="n">
        <x:v>0.0063965183396649085</x:v>
      </x:c>
      <x:c r="U346" s="75" t="n">
        <x:v>0.00506983878390747</x:v>
      </x:c>
      <x:c r="V346" s="75" t="n">
        <x:v>0.02971554553292663</x:v>
      </x:c>
      <x:c r="W346" s="75" t="n">
        <x:v>0.011572225060235359</x:v>
      </x:c>
      <x:c r="X346" s="75" t="n">
        <x:v>0.023123211703480338</x:v>
      </x:c>
      <x:c r="Y346" s="75" t="n">
        <x:v>0.01765076120776823</x:v>
      </x:c>
      <x:c r="Z346" s="75" t="n">
        <x:v>0.006078073328442406</x:v>
      </x:c>
      <x:c r="AA346" s="75" t="n">
        <x:v>0.00892458219978027</x:v>
      </x:c>
      <x:c r="AB346" s="75" t="n">
        <x:v>0.0038095130588932085</x:v>
      </x:c>
      <x:c r="AC346" s="75" t="n">
        <x:v>0.01854199866565868</x:v>
      </x:c>
      <x:c r="AD346" s="75" t="n">
        <x:v>0.1107998172994703</x:v>
      </x:c>
      <x:c r="AE346" s="75" t="n">
        <x:v>0.08524483826469804</x:v>
      </x:c>
      <x:c r="AF346" s="74" t="n">
        <x:v>10</x:v>
      </x:c>
    </x:row>
    <x:row r="347">
      <x:c r="A347" t="str">
        <x:v>2025 S2</x:v>
      </x:c>
      <x:c r="B347" t="str">
        <x:v>CNCT0087</x:v>
      </x:c>
      <x:c r="C347" s="74" t="n">
        <x:v>2146</x:v>
      </x:c>
      <x:c r="D347" s="74" t="n">
        <x:v>1222.417</x:v>
      </x:c>
      <x:c r="E347" s="75" t="n">
        <x:v>0.9849280180101632</x:v>
      </x:c>
      <x:c r="F347" s="75" t="n">
        <x:v>0.21426682846294715</x:v>
      </x:c>
      <x:c r="G347" s="75" t="n">
        <x:v>0.01305316969467094</x:v>
      </x:c>
      <x:c r="H347" s="75" t="n">
        <x:v>0.010584151226852556</x:v>
      </x:c>
      <x:c r="I347" s="75" t="n">
        <x:v>0.008511286101282167</x:v>
      </x:c>
      <x:c r="J347" s="75" t="n">
        <x:v>0.013606876292906236</x:v>
      </x:c>
      <x:c r="K347" s="75" t="n">
        <x:v>0.012238981192658684</x:v>
      </x:c>
      <x:c r="L347" s="75" t="n">
        <x:v>0.01361688092316217</x:v>
      </x:c>
      <x:c r="M347" s="75" t="n">
        <x:v>0.007113820011880307</x:v>
      </x:c>
      <x:c r="N347" s="75" t="n">
        <x:v>0.0074215049544145584</x:v>
      </x:c>
      <x:c r="O347" s="75" t="n">
        <x:v>0.009296753521135542</x:v>
      </x:c>
      <x:c r="P347" s="75" t="n">
        <x:v>0.0026110986233470615</x:v>
      </x:c>
      <x:c r="Q347" s="75" t="n">
        <x:v>0.0022888892585469873</x:v>
      </x:c>
      <x:c r="R347" s="75" t="n">
        <x:v>0.3436411446862799</x:v>
      </x:c>
      <x:c r="S347" s="75" t="n">
        <x:v>0.014017215606334503</x:v>
      </x:c>
      <x:c r="T347" s="75" t="n">
        <x:v>0.0063965183396649085</x:v>
      </x:c>
      <x:c r="U347" s="75" t="n">
        <x:v>0.00506983878390747</x:v>
      </x:c>
      <x:c r="V347" s="75" t="n">
        <x:v>0.02971554553292663</x:v>
      </x:c>
      <x:c r="W347" s="75" t="n">
        <x:v>0.011572225060235359</x:v>
      </x:c>
      <x:c r="X347" s="75" t="n">
        <x:v>0.023123211703480338</x:v>
      </x:c>
      <x:c r="Y347" s="75" t="n">
        <x:v>0.01765076120776823</x:v>
      </x:c>
      <x:c r="Z347" s="75" t="n">
        <x:v>0.006078073328442406</x:v>
      </x:c>
      <x:c r="AA347" s="75" t="n">
        <x:v>0.00892458219978027</x:v>
      </x:c>
      <x:c r="AB347" s="75" t="n">
        <x:v>0.0038095130588932085</x:v>
      </x:c>
      <x:c r="AC347" s="75" t="n">
        <x:v>0.01854199866565868</x:v>
      </x:c>
      <x:c r="AD347" s="75" t="n">
        <x:v>0.1107998172994703</x:v>
      </x:c>
      <x:c r="AE347" s="75" t="n">
        <x:v>0.08524483826469804</x:v>
      </x:c>
      <x:c r="AF347" s="74" t="n">
        <x:v>10</x:v>
      </x:c>
    </x:row>
    <x:row r="348">
      <x:c r="A348" t="str">
        <x:v>2026 S1</x:v>
      </x:c>
      <x:c r="B348" t="str">
        <x:v>CNCT0087</x:v>
      </x:c>
      <x:c r="C348" s="74" t="n">
        <x:v>1908</x:v>
      </x:c>
      <x:c r="D348" s="74" t="n">
        <x:v>1271.318</x:v>
      </x:c>
      <x:c r="E348" s="75" t="n">
        <x:v>0.9745444909647049</x:v>
      </x:c>
      <x:c r="F348" s="75" t="n">
        <x:v>0.22026625461080038</x:v>
      </x:c>
      <x:c r="G348" s="75" t="n">
        <x:v>0.014308456699000088</x:v>
      </x:c>
      <x:c r="H348" s="75" t="n">
        <x:v>0.010584151226852556</x:v>
      </x:c>
      <x:c r="I348" s="75" t="n">
        <x:v>0.008511286101282167</x:v>
      </x:c>
      <x:c r="J348" s="75" t="n">
        <x:v>0.013606876292906236</x:v>
      </x:c>
      <x:c r="K348" s="75" t="n">
        <x:v>0.012238981192658684</x:v>
      </x:c>
      <x:c r="L348" s="75" t="n">
        <x:v>0.01361688092316217</x:v>
      </x:c>
      <x:c r="M348" s="75" t="n">
        <x:v>0.007113820011880307</x:v>
      </x:c>
      <x:c r="N348" s="75" t="n">
        <x:v>0.0074215049544145584</x:v>
      </x:c>
      <x:c r="O348" s="75" t="n">
        <x:v>0.007948964145165518</x:v>
      </x:c>
      <x:c r="P348" s="75" t="n">
        <x:v>0.0026110986233470615</x:v>
      </x:c>
      <x:c r="Q348" s="75" t="n">
        <x:v>0.0022888892585469873</x:v>
      </x:c>
      <x:c r="R348" s="75" t="n">
        <x:v>0.3546260694841604</x:v>
      </x:c>
      <x:c r="S348" s="75" t="n">
        <x:v>0.014017215606334503</x:v>
      </x:c>
      <x:c r="T348" s="75" t="n">
        <x:v>0.0063965183396649085</x:v>
      </x:c>
      <x:c r="U348" s="75" t="n">
        <x:v>0.00506983878390747</x:v>
      </x:c>
      <x:c r="V348" s="75" t="n">
        <x:v>0.02971554553292663</x:v>
      </x:c>
      <x:c r="W348" s="75" t="n">
        <x:v>0.014239055929696234</x:v>
      </x:c>
      <x:c r="X348" s="75" t="n">
        <x:v>0.028451979027909316</x:v>
      </x:c>
      <x:c r="Y348" s="75" t="n">
        <x:v>0.021718396827827755</x:v>
      </x:c>
      <x:c r="Z348" s="75" t="n">
        <x:v>0.007478771421917555</x:v>
      </x:c>
      <x:c r="AA348" s="75" t="n">
        <x:v>0.010981261117061112</x:v>
      </x:c>
      <x:c r="AB348" s="75" t="n">
        <x:v>0.004687419163396858</x:v>
      </x:c>
      <x:c r="AC348" s="75" t="n">
        <x:v>0.02281502085159906</x:v>
      </x:c>
      <x:c r="AD348" s="75" t="n">
        <x:v>0.1107998172994703</x:v>
      </x:c>
      <x:c r="AE348" s="75" t="n">
        <x:v>0.08524483826469804</x:v>
      </x:c>
      <x:c r="AF348" s="74" t="n">
        <x:v>10</x:v>
      </x:c>
    </x:row>
    <x:row r="349">
      <x:c r="A349" t="str">
        <x:v>2026 S2</x:v>
      </x:c>
      <x:c r="B349" t="str">
        <x:v>CNCT0087</x:v>
      </x:c>
      <x:c r="C349" s="74" t="n">
        <x:v>2114</x:v>
      </x:c>
      <x:c r="D349" s="74" t="n">
        <x:v>1248.047</x:v>
      </x:c>
      <x:c r="E349" s="75" t="n">
        <x:v>0.9849280180101632</x:v>
      </x:c>
      <x:c r="F349" s="75" t="n">
        <x:v>0.21786735411064362</x:v>
      </x:c>
      <x:c r="G349" s="75" t="n">
        <x:v>0.013362573483304913</x:v>
      </x:c>
      <x:c r="H349" s="75" t="n">
        <x:v>0.010584151226852556</x:v>
      </x:c>
      <x:c r="I349" s="75" t="n">
        <x:v>0.008511286101282167</x:v>
      </x:c>
      <x:c r="J349" s="75" t="n">
        <x:v>0.013606876292906236</x:v>
      </x:c>
      <x:c r="K349" s="75" t="n">
        <x:v>0.012238981192658684</x:v>
      </x:c>
      <x:c r="L349" s="75" t="n">
        <x:v>0.01361688092316217</x:v>
      </x:c>
      <x:c r="M349" s="75" t="n">
        <x:v>0.007113820011880307</x:v>
      </x:c>
      <x:c r="N349" s="75" t="n">
        <x:v>0.0074215049544145584</x:v>
      </x:c>
      <x:c r="O349" s="75" t="n">
        <x:v>0.009296753521135542</x:v>
      </x:c>
      <x:c r="P349" s="75" t="n">
        <x:v>0.0026110986233470615</x:v>
      </x:c>
      <x:c r="Q349" s="75" t="n">
        <x:v>0.0022888892585469873</x:v>
      </x:c>
      <x:c r="R349" s="75" t="n">
        <x:v>0.3432778270944474</x:v>
      </x:c>
      <x:c r="S349" s="75" t="n">
        <x:v>0.014017215606334503</x:v>
      </x:c>
      <x:c r="T349" s="75" t="n">
        <x:v>0.0063965183396649085</x:v>
      </x:c>
      <x:c r="U349" s="75" t="n">
        <x:v>0.00506983878390747</x:v>
      </x:c>
      <x:c r="V349" s="75" t="n">
        <x:v>0.02971554553292663</x:v>
      </x:c>
      <x:c r="W349" s="75" t="n">
        <x:v>0.012266558563849481</x:v>
      </x:c>
      <x:c r="X349" s="75" t="n">
        <x:v>0.024510604405689158</x:v>
      </x:c>
      <x:c r="Y349" s="75" t="n">
        <x:v>0.018709806880234325</x:v>
      </x:c>
      <x:c r="Z349" s="75" t="n">
        <x:v>0.00644275772814895</x:v>
      </x:c>
      <x:c r="AA349" s="75" t="n">
        <x:v>0.009460057131767088</x:v>
      </x:c>
      <x:c r="AB349" s="75" t="n">
        <x:v>0.0040380838424268015</x:v>
      </x:c>
      <x:c r="AC349" s="75" t="n">
        <x:v>0.019654518585598205</x:v>
      </x:c>
      <x:c r="AD349" s="75" t="n">
        <x:v>0.1107998172994703</x:v>
      </x:c>
      <x:c r="AE349" s="75" t="n">
        <x:v>0.08524483826469804</x:v>
      </x:c>
      <x:c r="AF349" s="74" t="n">
        <x:v>10</x:v>
      </x:c>
    </x:row>
    <x:row r="350">
      <x:c r="A350" t="str">
        <x:v>2025 S1</x:v>
      </x:c>
      <x:c r="B350" t="str">
        <x:v>CNCT0088</x:v>
      </x:c>
      <x:c r="C350" s="74" t="n">
        <x:v>2069</x:v>
      </x:c>
      <x:c r="D350" s="74" t="n">
        <x:v>1271.879</x:v>
      </x:c>
      <x:c r="E350" s="75" t="n">
        <x:v>0.9723274041778204</x:v>
      </x:c>
      <x:c r="F350" s="75" t="n">
        <x:v>0.15457541144499554</x:v>
      </x:c>
      <x:c r="G350" s="75" t="n">
        <x:v>0.014925260243791854</x:v>
      </x:c>
      <x:c r="H350" s="75" t="n">
        <x:v>0.00982566353677248</x:v>
      </x:c>
      <x:c r="I350" s="75" t="n">
        <x:v>0.009348684286313073</x:v>
      </x:c>
      <x:c r="J350" s="75" t="n">
        <x:v>0.0159817582545802</x:v>
      </x:c>
      <x:c r="K350" s="75" t="n">
        <x:v>0.01119282099809061</x:v>
      </x:c>
      <x:c r="L350" s="75" t="n">
        <x:v>0.010297242196826118</x:v>
      </x:c>
      <x:c r="M350" s="75" t="n">
        <x:v>0.008629020341489196</x:v>
      </x:c>
      <x:c r="N350" s="75" t="n">
        <x:v>0.00719795835998957</x:v>
      </x:c>
      <x:c r="O350" s="75" t="n">
        <x:v>0.013429611425686744</x:v>
      </x:c>
      <x:c r="P350" s="75" t="n">
        <x:v>0.0015518596114925459</x:v>
      </x:c>
      <x:c r="Q350" s="75" t="n">
        <x:v>0.0030063961489940993</x:v>
      </x:c>
      <x:c r="R350" s="75" t="n">
        <x:v>0.3847127011414637</x:v>
      </x:c>
      <x:c r="S350" s="75" t="n">
        <x:v>0.011279903926551925</x:v>
      </x:c>
      <x:c r="T350" s="75" t="n">
        <x:v>0.004088208209344885</x:v>
      </x:c>
      <x:c r="U350" s="75" t="n">
        <x:v>0.009664896512578706</x:v>
      </x:c>
      <x:c r="V350" s="75" t="n">
        <x:v>0.028255739400527093</x:v>
      </x:c>
      <x:c r="W350" s="75" t="n">
        <x:v>0.01273823930567014</x:v>
      </x:c>
      <x:c r="X350" s="75" t="n">
        <x:v>0.022854774229765753</x:v>
      </x:c>
      <x:c r="Y350" s="75" t="n">
        <x:v>0.020691473245241218</x:v>
      </x:c>
      <x:c r="Z350" s="75" t="n">
        <x:v>0.007971425980440108</x:v>
      </x:c>
      <x:c r="AA350" s="75" t="n">
        <x:v>0.006504069695166545</x:v>
      </x:c>
      <x:c r="AB350" s="75" t="n">
        <x:v>0.006971512931102188</x:v>
      </x:c>
      <x:c r="AC350" s="75" t="n">
        <x:v>0.0234314375744987</x:v>
      </x:c>
      <x:c r="AD350" s="75" t="n">
        <x:v>0.11391758231640779</x:v>
      </x:c>
      <x:c r="AE350" s="75" t="n">
        <x:v>0.0766338819958728</x:v>
      </x:c>
      <x:c r="AF350" s="74" t="n">
        <x:v>6</x:v>
      </x:c>
    </x:row>
    <x:row r="351">
      <x:c r="A351" t="str">
        <x:v>2025 S2</x:v>
      </x:c>
      <x:c r="B351" t="str">
        <x:v>CNCT0088</x:v>
      </x:c>
      <x:c r="C351" s="74" t="n">
        <x:v>2177</x:v>
      </x:c>
      <x:c r="D351" s="74" t="n">
        <x:v>1287.141</x:v>
      </x:c>
      <x:c r="E351" s="75" t="n">
        <x:v>0.963608437607123</x:v>
      </x:c>
      <x:c r="F351" s="75" t="n">
        <x:v>0.15457541144499554</x:v>
      </x:c>
      <x:c r="G351" s="75" t="n">
        <x:v>0.014925260243791854</x:v>
      </x:c>
      <x:c r="H351" s="75" t="n">
        <x:v>0.00982566353677248</x:v>
      </x:c>
      <x:c r="I351" s="75" t="n">
        <x:v>0.009348684286313073</x:v>
      </x:c>
      <x:c r="J351" s="75" t="n">
        <x:v>0.0159817582545802</x:v>
      </x:c>
      <x:c r="K351" s="75" t="n">
        <x:v>0.01119282099809061</x:v>
      </x:c>
      <x:c r="L351" s="75" t="n">
        <x:v>0.010297242196826118</x:v>
      </x:c>
      <x:c r="M351" s="75" t="n">
        <x:v>0.008629020341489196</x:v>
      </x:c>
      <x:c r="N351" s="75" t="n">
        <x:v>0.00719795835998957</x:v>
      </x:c>
      <x:c r="O351" s="75" t="n">
        <x:v>0.013429611425686744</x:v>
      </x:c>
      <x:c r="P351" s="75" t="n">
        <x:v>0.0015518596114925459</x:v>
      </x:c>
      <x:c r="Q351" s="75" t="n">
        <x:v>0.0030063961489940993</x:v>
      </x:c>
      <x:c r="R351" s="75" t="n">
        <x:v>0.3816350283014416</x:v>
      </x:c>
      <x:c r="S351" s="75" t="n">
        <x:v>0.011279903926551925</x:v>
      </x:c>
      <x:c r="T351" s="75" t="n">
        <x:v>0.004088208209344885</x:v>
      </x:c>
      <x:c r="U351" s="75" t="n">
        <x:v>0.009664896512578706</x:v>
      </x:c>
      <x:c r="V351" s="75" t="n">
        <x:v>0.028255739400527093</x:v>
      </x:c>
      <x:c r="W351" s="75" t="n">
        <x:v>0.01273823930567014</x:v>
      </x:c>
      <x:c r="X351" s="75" t="n">
        <x:v>0.022854774229765753</x:v>
      </x:c>
      <x:c r="Y351" s="75" t="n">
        <x:v>0.020691473245241218</x:v>
      </x:c>
      <x:c r="Z351" s="75" t="n">
        <x:v>0.007971425980440108</x:v>
      </x:c>
      <x:c r="AA351" s="75" t="n">
        <x:v>0.006504069695166545</x:v>
      </x:c>
      <x:c r="AB351" s="75" t="n">
        <x:v>0.006971512931102188</x:v>
      </x:c>
      <x:c r="AC351" s="75" t="n">
        <x:v>0.0234314375744987</x:v>
      </x:c>
      <x:c r="AD351" s="75" t="n">
        <x:v>0.11391758231640779</x:v>
      </x:c>
      <x:c r="AE351" s="75" t="n">
        <x:v>0.0766338819958728</x:v>
      </x:c>
      <x:c r="AF351" s="74" t="n">
        <x:v>6</x:v>
      </x:c>
    </x:row>
    <x:row r="352">
      <x:c r="A352" t="str">
        <x:v>2026 S1</x:v>
      </x:c>
      <x:c r="B352" t="str">
        <x:v>CNCT0088</x:v>
      </x:c>
      <x:c r="C352" s="74" t="n">
        <x:v>2044</x:v>
      </x:c>
      <x:c r="D352" s="74" t="n">
        <x:v>1342.547</x:v>
      </x:c>
      <x:c r="E352" s="75" t="n">
        <x:v>0.9690966401648329</x:v>
      </x:c>
      <x:c r="F352" s="75" t="n">
        <x:v>0.15252006062810686</x:v>
      </x:c>
      <x:c r="G352" s="75" t="n">
        <x:v>0.013720614181704605</x:v>
      </x:c>
      <x:c r="H352" s="75" t="n">
        <x:v>0.00982566353677248</x:v>
      </x:c>
      <x:c r="I352" s="75" t="n">
        <x:v>0.009348684286313073</x:v>
      </x:c>
      <x:c r="J352" s="75" t="n">
        <x:v>0.0159817582545802</x:v>
      </x:c>
      <x:c r="K352" s="75" t="n">
        <x:v>0.01119282099809061</x:v>
      </x:c>
      <x:c r="L352" s="75" t="n">
        <x:v>0.010297242196826118</x:v>
      </x:c>
      <x:c r="M352" s="75" t="n">
        <x:v>0.008629020341489196</x:v>
      </x:c>
      <x:c r="N352" s="75" t="n">
        <x:v>0.00719795835998957</x:v>
      </x:c>
      <x:c r="O352" s="75" t="n">
        <x:v>0.013649569085238908</x:v>
      </x:c>
      <x:c r="P352" s="75" t="n">
        <x:v>0.0015518596114925459</x:v>
      </x:c>
      <x:c r="Q352" s="75" t="n">
        <x:v>0.0030063961489940993</x:v>
      </x:c>
      <x:c r="R352" s="75" t="n">
        <x:v>0.3892080652332477</x:v>
      </x:c>
      <x:c r="S352" s="75" t="n">
        <x:v>0.011279903926551925</x:v>
      </x:c>
      <x:c r="T352" s="75" t="n">
        <x:v>0.004088208209344885</x:v>
      </x:c>
      <x:c r="U352" s="75" t="n">
        <x:v>0.009664896512578706</x:v>
      </x:c>
      <x:c r="V352" s="75" t="n">
        <x:v>0.028255739400527093</x:v>
      </x:c>
      <x:c r="W352" s="75" t="n">
        <x:v>0.015673779327240553</x:v>
      </x:c>
      <x:c r="X352" s="75" t="n">
        <x:v>0.02812167986919501</x:v>
      </x:c>
      <x:c r="Y352" s="75" t="n">
        <x:v>0.025459844003484212</x:v>
      </x:c>
      <x:c r="Z352" s="75" t="n">
        <x:v>0.009808449091173468</x:v>
      </x:c>
      <x:c r="AA352" s="75" t="n">
        <x:v>0.008002939078531472</x:v>
      </x:c>
      <x:c r="AB352" s="75" t="n">
        <x:v>0.008578105076928537</x:v>
      </x:c>
      <x:c r="AC352" s="75" t="n">
        <x:v>0.028831235859984837</x:v>
      </x:c>
      <x:c r="AD352" s="75" t="n">
        <x:v>0.11391758231640779</x:v>
      </x:c>
      <x:c r="AE352" s="75" t="n">
        <x:v>0.0766338819958728</x:v>
      </x:c>
      <x:c r="AF352" s="74" t="n">
        <x:v>6</x:v>
      </x:c>
    </x:row>
    <x:row r="353">
      <x:c r="A353" t="str">
        <x:v>2026 S2</x:v>
      </x:c>
      <x:c r="B353" t="str">
        <x:v>CNCT0088</x:v>
      </x:c>
      <x:c r="C353" s="74" t="n">
        <x:v>2259</x:v>
      </x:c>
      <x:c r="D353" s="74" t="n">
        <x:v>1321.632</x:v>
      </x:c>
      <x:c r="E353" s="75" t="n">
        <x:v>0.963608437607123</x:v>
      </x:c>
      <x:c r="F353" s="75" t="n">
        <x:v>0.1565296146692708</x:v>
      </x:c>
      <x:c r="G353" s="75" t="n">
        <x:v>0.013562249823749881</x:v>
      </x:c>
      <x:c r="H353" s="75" t="n">
        <x:v>0.00982566353677248</x:v>
      </x:c>
      <x:c r="I353" s="75" t="n">
        <x:v>0.009348684286313073</x:v>
      </x:c>
      <x:c r="J353" s="75" t="n">
        <x:v>0.0159817582545802</x:v>
      </x:c>
      <x:c r="K353" s="75" t="n">
        <x:v>0.01119282099809061</x:v>
      </x:c>
      <x:c r="L353" s="75" t="n">
        <x:v>0.010297242196826118</x:v>
      </x:c>
      <x:c r="M353" s="75" t="n">
        <x:v>0.008629020341489196</x:v>
      </x:c>
      <x:c r="N353" s="75" t="n">
        <x:v>0.00719795835998957</x:v>
      </x:c>
      <x:c r="O353" s="75" t="n">
        <x:v>0.013429611425686744</x:v>
      </x:c>
      <x:c r="P353" s="75" t="n">
        <x:v>0.0015518596114925459</x:v>
      </x:c>
      <x:c r="Q353" s="75" t="n">
        <x:v>0.0030063961489940993</x:v>
      </x:c>
      <x:c r="R353" s="75" t="n">
        <x:v>0.37751871529401715</x:v>
      </x:c>
      <x:c r="S353" s="75" t="n">
        <x:v>0.011279903926551925</x:v>
      </x:c>
      <x:c r="T353" s="75" t="n">
        <x:v>0.004088208209344885</x:v>
      </x:c>
      <x:c r="U353" s="75" t="n">
        <x:v>0.009664896512578706</x:v>
      </x:c>
      <x:c r="V353" s="75" t="n">
        <x:v>0.028255739400527093</x:v>
      </x:c>
      <x:c r="W353" s="75" t="n">
        <x:v>0.013502533664010349</x:v>
      </x:c>
      <x:c r="X353" s="75" t="n">
        <x:v>0.0242260606835517</x:v>
      </x:c>
      <x:c r="Y353" s="75" t="n">
        <x:v>0.021932961639955693</x:v>
      </x:c>
      <x:c r="Z353" s="75" t="n">
        <x:v>0.008449711539266515</x:v>
      </x:c>
      <x:c r="AA353" s="75" t="n">
        <x:v>0.006894313876876538</x:v>
      </x:c>
      <x:c r="AB353" s="75" t="n">
        <x:v>0.00738980370696832</x:v>
      </x:c>
      <x:c r="AC353" s="75" t="n">
        <x:v>0.024837323828968624</x:v>
      </x:c>
      <x:c r="AD353" s="75" t="n">
        <x:v>0.11391758231640779</x:v>
      </x:c>
      <x:c r="AE353" s="75" t="n">
        <x:v>0.0766338819958728</x:v>
      </x:c>
      <x:c r="AF353" s="74" t="n">
        <x:v>6</x:v>
      </x:c>
    </x:row>
    <x:row r="354">
      <x:c r="A354" t="str">
        <x:v>2025 S1</x:v>
      </x:c>
      <x:c r="B354" t="str">
        <x:v>CNCT0089</x:v>
      </x:c>
      <x:c r="C354" s="74" t="n">
        <x:v>1622</x:v>
      </x:c>
      <x:c r="D354" s="74" t="n">
        <x:v>903.982</x:v>
      </x:c>
      <x:c r="E354" s="75" t="n">
        <x:v>0.9723431428099356</x:v>
      </x:c>
      <x:c r="F354" s="75" t="n">
        <x:v>0.2035281872735359</x:v>
      </x:c>
      <x:c r="G354" s="75" t="n">
        <x:v>0.01819386577318073</x:v>
      </x:c>
      <x:c r="H354" s="75" t="n">
        <x:v>0.012360975973570021</x:v>
      </x:c>
      <x:c r="I354" s="75" t="n">
        <x:v>0.01039065358429798</x:v>
      </x:c>
      <x:c r="J354" s="75" t="n">
        <x:v>0.010104088163003325</x:v>
      </x:c>
      <x:c r="K354" s="75" t="n">
        <x:v>0.012647404525880118</x:v>
      </x:c>
      <x:c r="L354" s="75" t="n">
        <x:v>0.009903303295242949</x:v>
      </x:c>
      <x:c r="M354" s="75" t="n">
        <x:v>0.006925468658799219</x:v>
      </x:c>
      <x:c r="N354" s="75" t="n">
        <x:v>0.0053806989297809195</x:v>
      </x:c>
      <x:c r="O354" s="75" t="n">
        <x:v>0.009474839313557823</x:v>
      </x:c>
      <x:c r="P354" s="75" t="n">
        <x:v>0.0005632339440853685</x:v>
      </x:c>
      <x:c r="Q354" s="75" t="n">
        <x:v>0.004180825242387073</x:v>
      </x:c>
      <x:c r="R354" s="75" t="n">
        <x:v>0.3575733406944854</x:v>
      </x:c>
      <x:c r="S354" s="75" t="n">
        <x:v>0.015591825516341487</x:v>
      </x:c>
      <x:c r="T354" s="75" t="n">
        <x:v>0.003589832274592482</x:v>
      </x:c>
      <x:c r="U354" s="75" t="n">
        <x:v>0.007402354636928066</x:v>
      </x:c>
      <x:c r="V354" s="75" t="n">
        <x:v>0.03486441659071716</x:v>
      </x:c>
      <x:c r="W354" s="75" t="n">
        <x:v>0.01384967970389116</x:v>
      </x:c>
      <x:c r="X354" s="75" t="n">
        <x:v>0.020031991011658392</x:v>
      </x:c>
      <x:c r="Y354" s="75" t="n">
        <x:v>0.013315213005959524</x:v>
      </x:c>
      <x:c r="Z354" s="75" t="n">
        <x:v>0.004796044607175282</x:v>
      </x:c>
      <x:c r="AA354" s="75" t="n">
        <x:v>0.008187435864038998</x:v>
      </x:c>
      <x:c r="AB354" s="75" t="n">
        <x:v>0.0033131880241795445</x:v>
      </x:c>
      <x:c r="AC354" s="75" t="n">
        <x:v>0.02176328298322623</x:v>
      </x:c>
      <x:c r="AD354" s="75" t="n">
        <x:v>0.1185125392641494</x:v>
      </x:c>
      <x:c r="AE354" s="75" t="n">
        <x:v>0.07340486438047082</x:v>
      </x:c>
      <x:c r="AF354" s="74" t="n">
        <x:v>7</x:v>
      </x:c>
    </x:row>
    <x:row r="355">
      <x:c r="A355" t="str">
        <x:v>2025 S2</x:v>
      </x:c>
      <x:c r="B355" t="str">
        <x:v>CNCT0089</x:v>
      </x:c>
      <x:c r="C355" s="74" t="n">
        <x:v>1778</x:v>
      </x:c>
      <x:c r="D355" s="74" t="n">
        <x:v>914.83</x:v>
      </x:c>
      <x:c r="E355" s="75" t="n">
        <x:v>0.9651450348405632</x:v>
      </x:c>
      <x:c r="F355" s="75" t="n">
        <x:v>0.2035281872735359</x:v>
      </x:c>
      <x:c r="G355" s="75" t="n">
        <x:v>0.01819386577318073</x:v>
      </x:c>
      <x:c r="H355" s="75" t="n">
        <x:v>0.012360975973570021</x:v>
      </x:c>
      <x:c r="I355" s="75" t="n">
        <x:v>0.01039065358429798</x:v>
      </x:c>
      <x:c r="J355" s="75" t="n">
        <x:v>0.010104088163003325</x:v>
      </x:c>
      <x:c r="K355" s="75" t="n">
        <x:v>0.012647404525880118</x:v>
      </x:c>
      <x:c r="L355" s="75" t="n">
        <x:v>0.009903303295242949</x:v>
      </x:c>
      <x:c r="M355" s="75" t="n">
        <x:v>0.006925468658799219</x:v>
      </x:c>
      <x:c r="N355" s="75" t="n">
        <x:v>0.0053806989297809195</x:v>
      </x:c>
      <x:c r="O355" s="75" t="n">
        <x:v>0.009474839313557823</x:v>
      </x:c>
      <x:c r="P355" s="75" t="n">
        <x:v>0.0005632339440853685</x:v>
      </x:c>
      <x:c r="Q355" s="75" t="n">
        <x:v>0.004180825242387073</x:v>
      </x:c>
      <x:c r="R355" s="75" t="n">
        <x:v>0.3630567220917801</x:v>
      </x:c>
      <x:c r="S355" s="75" t="n">
        <x:v>0.015591825516341487</x:v>
      </x:c>
      <x:c r="T355" s="75" t="n">
        <x:v>0.003589832274592482</x:v>
      </x:c>
      <x:c r="U355" s="75" t="n">
        <x:v>0.007402354636928066</x:v>
      </x:c>
      <x:c r="V355" s="75" t="n">
        <x:v>0.03486441659071716</x:v>
      </x:c>
      <x:c r="W355" s="75" t="n">
        <x:v>0.01384967970389116</x:v>
      </x:c>
      <x:c r="X355" s="75" t="n">
        <x:v>0.020031991011658392</x:v>
      </x:c>
      <x:c r="Y355" s="75" t="n">
        <x:v>0.013315213005959524</x:v>
      </x:c>
      <x:c r="Z355" s="75" t="n">
        <x:v>0.004796044607175282</x:v>
      </x:c>
      <x:c r="AA355" s="75" t="n">
        <x:v>0.008187435864038998</x:v>
      </x:c>
      <x:c r="AB355" s="75" t="n">
        <x:v>0.0033131880241795445</x:v>
      </x:c>
      <x:c r="AC355" s="75" t="n">
        <x:v>0.02176328298322623</x:v>
      </x:c>
      <x:c r="AD355" s="75" t="n">
        <x:v>0.1185125392641494</x:v>
      </x:c>
      <x:c r="AE355" s="75" t="n">
        <x:v>0.07340486438047082</x:v>
      </x:c>
      <x:c r="AF355" s="74" t="n">
        <x:v>7</x:v>
      </x:c>
    </x:row>
    <x:row r="356">
      <x:c r="A356" t="str">
        <x:v>2026 S1</x:v>
      </x:c>
      <x:c r="B356" t="str">
        <x:v>CNCT0089</x:v>
      </x:c>
      <x:c r="C356" s="74" t="n">
        <x:v>1683</x:v>
      </x:c>
      <x:c r="D356" s="74" t="n">
        <x:v>946.136</x:v>
      </x:c>
      <x:c r="E356" s="75" t="n">
        <x:v>0.9720000863929235</x:v>
      </x:c>
      <x:c r="F356" s="75" t="n">
        <x:v>0.2090204442946706</x:v>
      </x:c>
      <x:c r="G356" s="75" t="n">
        <x:v>0.018063197699055306</x:v>
      </x:c>
      <x:c r="H356" s="75" t="n">
        <x:v>0.012360975973570021</x:v>
      </x:c>
      <x:c r="I356" s="75" t="n">
        <x:v>0.01039065358429798</x:v>
      </x:c>
      <x:c r="J356" s="75" t="n">
        <x:v>0.010104088163003325</x:v>
      </x:c>
      <x:c r="K356" s="75" t="n">
        <x:v>0.012647404525880118</x:v>
      </x:c>
      <x:c r="L356" s="75" t="n">
        <x:v>0.009903303295242949</x:v>
      </x:c>
      <x:c r="M356" s="75" t="n">
        <x:v>0.006925468658799219</x:v>
      </x:c>
      <x:c r="N356" s="75" t="n">
        <x:v>0.0053806989297809195</x:v>
      </x:c>
      <x:c r="O356" s="75" t="n">
        <x:v>0.009610383211949739</x:v>
      </x:c>
      <x:c r="P356" s="75" t="n">
        <x:v>0.0005632339440853685</x:v>
      </x:c>
      <x:c r="Q356" s="75" t="n">
        <x:v>0.004180825242387073</x:v>
      </x:c>
      <x:c r="R356" s="75" t="n">
        <x:v>0.35185639003076685</x:v>
      </x:c>
      <x:c r="S356" s="75" t="n">
        <x:v>0.015591825516341487</x:v>
      </x:c>
      <x:c r="T356" s="75" t="n">
        <x:v>0.003589832274592482</x:v>
      </x:c>
      <x:c r="U356" s="75" t="n">
        <x:v>0.007402354636928066</x:v>
      </x:c>
      <x:c r="V356" s="75" t="n">
        <x:v>0.03486441659071716</x:v>
      </x:c>
      <x:c r="W356" s="75" t="n">
        <x:v>0.01704135227975545</x:v>
      </x:c>
      <x:c r="X356" s="75" t="n">
        <x:v>0.024648383427860403</x:v>
      </x:c>
      <x:c r="Y356" s="75" t="n">
        <x:v>0.01638371719533601</x:v>
      </x:c>
      <x:c r="Z356" s="75" t="n">
        <x:v>0.005901297896248996</x:v>
      </x:c>
      <x:c r="AA356" s="75" t="n">
        <x:v>0.010074238669056877</x:v>
      </x:c>
      <x:c r="AB356" s="75" t="n">
        <x:v>0.004076715526731451</x:v>
      </x:c>
      <x:c r="AC356" s="75" t="n">
        <x:v>0.02677865337037111</x:v>
      </x:c>
      <x:c r="AD356" s="75" t="n">
        <x:v>0.1185125392641494</x:v>
      </x:c>
      <x:c r="AE356" s="75" t="n">
        <x:v>0.07340486438047082</x:v>
      </x:c>
      <x:c r="AF356" s="74" t="n">
        <x:v>7</x:v>
      </x:c>
    </x:row>
    <x:row r="357">
      <x:c r="A357" t="str">
        <x:v>2026 S2</x:v>
      </x:c>
      <x:c r="B357" t="str">
        <x:v>CNCT0089</x:v>
      </x:c>
      <x:c r="C357" s="74" t="n">
        <x:v>1874</x:v>
      </x:c>
      <x:c r="D357" s="74" t="n">
        <x:v>944.58</x:v>
      </x:c>
      <x:c r="E357" s="75" t="n">
        <x:v>0.9651450348405632</x:v>
      </x:c>
      <x:c r="F357" s="75" t="n">
        <x:v>0.20900452301932093</x:v>
      </x:c>
      <x:c r="G357" s="75" t="n">
        <x:v>0.0190892428047664</x:v>
      </x:c>
      <x:c r="H357" s="75" t="n">
        <x:v>0.012360975973570021</x:v>
      </x:c>
      <x:c r="I357" s="75" t="n">
        <x:v>0.01039065358429798</x:v>
      </x:c>
      <x:c r="J357" s="75" t="n">
        <x:v>0.010104088163003325</x:v>
      </x:c>
      <x:c r="K357" s="75" t="n">
        <x:v>0.012647404525880118</x:v>
      </x:c>
      <x:c r="L357" s="75" t="n">
        <x:v>0.009903303295242949</x:v>
      </x:c>
      <x:c r="M357" s="75" t="n">
        <x:v>0.006925468658799219</x:v>
      </x:c>
      <x:c r="N357" s="75" t="n">
        <x:v>0.0053806989297809195</x:v>
      </x:c>
      <x:c r="O357" s="75" t="n">
        <x:v>0.009474839313557823</x:v>
      </x:c>
      <x:c r="P357" s="75" t="n">
        <x:v>0.0005632339440853685</x:v>
      </x:c>
      <x:c r="Q357" s="75" t="n">
        <x:v>0.004180825242387073</x:v>
      </x:c>
      <x:c r="R357" s="75" t="n">
        <x:v>0.3549545455305975</x:v>
      </x:c>
      <x:c r="S357" s="75" t="n">
        <x:v>0.015591825516341487</x:v>
      </x:c>
      <x:c r="T357" s="75" t="n">
        <x:v>0.003589832274592482</x:v>
      </x:c>
      <x:c r="U357" s="75" t="n">
        <x:v>0.007402354636928066</x:v>
      </x:c>
      <x:c r="V357" s="75" t="n">
        <x:v>0.03486441659071716</x:v>
      </x:c>
      <x:c r="W357" s="75" t="n">
        <x:v>0.014680660486124632</x:v>
      </x:c>
      <x:c r="X357" s="75" t="n">
        <x:v>0.021233910472357898</x:v>
      </x:c>
      <x:c r="Y357" s="75" t="n">
        <x:v>0.014114125786317096</x:v>
      </x:c>
      <x:c r="Z357" s="75" t="n">
        <x:v>0.005083807283605799</x:v>
      </x:c>
      <x:c r="AA357" s="75" t="n">
        <x:v>0.008678682015881338</x:v>
      </x:c>
      <x:c r="AB357" s="75" t="n">
        <x:v>0.003511979305630317</x:v>
      </x:c>
      <x:c r="AC357" s="75" t="n">
        <x:v>0.023069079962219807</x:v>
      </x:c>
      <x:c r="AD357" s="75" t="n">
        <x:v>0.1185125392641494</x:v>
      </x:c>
      <x:c r="AE357" s="75" t="n">
        <x:v>0.07340486438047082</x:v>
      </x:c>
      <x:c r="AF357" s="74" t="n">
        <x:v>7</x:v>
      </x:c>
    </x:row>
    <x:row r="358">
      <x:c r="A358" t="str">
        <x:v>2025 S1</x:v>
      </x:c>
      <x:c r="B358" t="str">
        <x:v>CNCT0090</x:v>
      </x:c>
      <x:c r="C358" s="74" t="n">
        <x:v>1643</x:v>
      </x:c>
      <x:c r="D358" s="74" t="n">
        <x:v>936.823</x:v>
      </x:c>
      <x:c r="E358" s="75" t="n">
        <x:v>0.9689980855393223</x:v>
      </x:c>
      <x:c r="F358" s="75" t="n">
        <x:v>0.1974994305568398</x:v>
      </x:c>
      <x:c r="G358" s="75" t="n">
        <x:v>0.00975136405097146</x:v>
      </x:c>
      <x:c r="H358" s="75" t="n">
        <x:v>0.01084407286473288</x:v>
      </x:c>
      <x:c r="I358" s="75" t="n">
        <x:v>0.007843637570629653</x:v>
      </x:c>
      <x:c r="J358" s="75" t="n">
        <x:v>0.017541354162502104</x:v>
      </x:c>
      <x:c r="K358" s="75" t="n">
        <x:v>0.010740091337458579</x:v>
      </x:c>
      <x:c r="L358" s="75" t="n">
        <x:v>0.008704586172214476</x:v>
      </x:c>
      <x:c r="M358" s="75" t="n">
        <x:v>0.008016270434716716</x:v>
      </x:c>
      <x:c r="N358" s="75" t="n">
        <x:v>0.008983234129860648</x:v>
      </x:c>
      <x:c r="O358" s="75" t="n">
        <x:v>0.015812782915178104</x:v>
      </x:c>
      <x:c r="P358" s="75" t="n">
        <x:v>0.001714493830466381</x:v>
      </x:c>
      <x:c r="Q358" s="75" t="n">
        <x:v>0.0013313709877620567</x:v>
      </x:c>
      <x:c r="R358" s="75" t="n">
        <x:v>0.37073180106080333</x:v>
      </x:c>
      <x:c r="S358" s="75" t="n">
        <x:v>0.014541899190480764</x:v>
      </x:c>
      <x:c r="T358" s="75" t="n">
        <x:v>0.006850731959275436</x:v>
      </x:c>
      <x:c r="U358" s="75" t="n">
        <x:v>0.009030572671326807</x:v>
      </x:c>
      <x:c r="V358" s="75" t="n">
        <x:v>0.0319229846142116</x:v>
      </x:c>
      <x:c r="W358" s="75" t="n">
        <x:v>0.013117835821822245</x:v>
      </x:c>
      <x:c r="X358" s="75" t="n">
        <x:v>0.025219890585851973</x:v>
      </x:c>
      <x:c r="Y358" s="75" t="n">
        <x:v>0.017761783317312367</x:v>
      </x:c>
      <x:c r="Z358" s="75" t="n">
        <x:v>0.004745187733549392</x:v>
      </x:c>
      <x:c r="AA358" s="75" t="n">
        <x:v>0.008379067542734556</x:v>
      </x:c>
      <x:c r="AB358" s="75" t="n">
        <x:v>0.005794287211779738</x:v>
      </x:c>
      <x:c r="AC358" s="75" t="n">
        <x:v>0.022585959524277128</x:v>
      </x:c>
      <x:c r="AD358" s="75" t="n">
        <x:v>0.0988465849607892</x:v>
      </x:c>
      <x:c r="AE358" s="75" t="n">
        <x:v>0.08333954224230547</x:v>
      </x:c>
      <x:c r="AF358" s="74" t="n">
        <x:v>9</x:v>
      </x:c>
    </x:row>
    <x:row r="359">
      <x:c r="A359" t="str">
        <x:v>2025 S2</x:v>
      </x:c>
      <x:c r="B359" t="str">
        <x:v>CNCT0090</x:v>
      </x:c>
      <x:c r="C359" s="74" t="n">
        <x:v>1782</x:v>
      </x:c>
      <x:c r="D359" s="74" t="n">
        <x:v>948.065</x:v>
      </x:c>
      <x:c r="E359" s="75" t="n">
        <x:v>0.963057936867619</x:v>
      </x:c>
      <x:c r="F359" s="75" t="n">
        <x:v>0.1974994305568398</x:v>
      </x:c>
      <x:c r="G359" s="75" t="n">
        <x:v>0.00975136405097146</x:v>
      </x:c>
      <x:c r="H359" s="75" t="n">
        <x:v>0.01084407286473288</x:v>
      </x:c>
      <x:c r="I359" s="75" t="n">
        <x:v>0.007843637570629653</x:v>
      </x:c>
      <x:c r="J359" s="75" t="n">
        <x:v>0.017541354162502104</x:v>
      </x:c>
      <x:c r="K359" s="75" t="n">
        <x:v>0.010740091337458579</x:v>
      </x:c>
      <x:c r="L359" s="75" t="n">
        <x:v>0.008704586172214476</x:v>
      </x:c>
      <x:c r="M359" s="75" t="n">
        <x:v>0.008016270434716716</x:v>
      </x:c>
      <x:c r="N359" s="75" t="n">
        <x:v>0.008983234129860648</x:v>
      </x:c>
      <x:c r="O359" s="75" t="n">
        <x:v>0.015812782915178104</x:v>
      </x:c>
      <x:c r="P359" s="75" t="n">
        <x:v>0.001714493830466381</x:v>
      </x:c>
      <x:c r="Q359" s="75" t="n">
        <x:v>0.0013313709877620567</x:v>
      </x:c>
      <x:c r="R359" s="75" t="n">
        <x:v>0.3554938303154883</x:v>
      </x:c>
      <x:c r="S359" s="75" t="n">
        <x:v>0.014541899190480764</x:v>
      </x:c>
      <x:c r="T359" s="75" t="n">
        <x:v>0.006850731959275436</x:v>
      </x:c>
      <x:c r="U359" s="75" t="n">
        <x:v>0.009030572671326807</x:v>
      </x:c>
      <x:c r="V359" s="75" t="n">
        <x:v>0.0319229846142116</x:v>
      </x:c>
      <x:c r="W359" s="75" t="n">
        <x:v>0.013117835821822245</x:v>
      </x:c>
      <x:c r="X359" s="75" t="n">
        <x:v>0.025219890585851973</x:v>
      </x:c>
      <x:c r="Y359" s="75" t="n">
        <x:v>0.017761783317312367</x:v>
      </x:c>
      <x:c r="Z359" s="75" t="n">
        <x:v>0.004745187733549392</x:v>
      </x:c>
      <x:c r="AA359" s="75" t="n">
        <x:v>0.008379067542734556</x:v>
      </x:c>
      <x:c r="AB359" s="75" t="n">
        <x:v>0.005794287211779738</x:v>
      </x:c>
      <x:c r="AC359" s="75" t="n">
        <x:v>0.022585959524277128</x:v>
      </x:c>
      <x:c r="AD359" s="75" t="n">
        <x:v>0.0988465849607892</x:v>
      </x:c>
      <x:c r="AE359" s="75" t="n">
        <x:v>0.08333954224230547</x:v>
      </x:c>
      <x:c r="AF359" s="74" t="n">
        <x:v>9</x:v>
      </x:c>
    </x:row>
    <x:row r="360">
      <x:c r="A360" t="str">
        <x:v>2026 S1</x:v>
      </x:c>
      <x:c r="B360" t="str">
        <x:v>CNCT0090</x:v>
      </x:c>
      <x:c r="C360" s="74" t="n">
        <x:v>1272</x:v>
      </x:c>
      <x:c r="D360" s="74" t="n">
        <x:v>984.576</x:v>
      </x:c>
      <x:c r="E360" s="75" t="n">
        <x:v>0.9652394200829439</x:v>
      </x:c>
      <x:c r="F360" s="75" t="n">
        <x:v>0.2094994305568398</x:v>
      </x:c>
      <x:c r="G360" s="75" t="n">
        <x:v>0.008023649531634872</x:v>
      </x:c>
      <x:c r="H360" s="75" t="n">
        <x:v>0.01084407286473288</x:v>
      </x:c>
      <x:c r="I360" s="75" t="n">
        <x:v>0.007843637570629653</x:v>
      </x:c>
      <x:c r="J360" s="75" t="n">
        <x:v>0.017541354162502104</x:v>
      </x:c>
      <x:c r="K360" s="75" t="n">
        <x:v>0.010740091337458579</x:v>
      </x:c>
      <x:c r="L360" s="75" t="n">
        <x:v>0.008704586172214476</x:v>
      </x:c>
      <x:c r="M360" s="75" t="n">
        <x:v>0.008016270434716716</x:v>
      </x:c>
      <x:c r="N360" s="75" t="n">
        <x:v>0.008983234129860648</x:v>
      </x:c>
      <x:c r="O360" s="75" t="n">
        <x:v>0.01669725135398039</x:v>
      </x:c>
      <x:c r="P360" s="75" t="n">
        <x:v>0.001714493830466381</x:v>
      </x:c>
      <x:c r="Q360" s="75" t="n">
        <x:v>0.0013313709877620567</x:v>
      </x:c>
      <x:c r="R360" s="75" t="n">
        <x:v>0.39051286442019</x:v>
      </x:c>
      <x:c r="S360" s="75" t="n">
        <x:v>0.014541899190480764</x:v>
      </x:c>
      <x:c r="T360" s="75" t="n">
        <x:v>0.006850731959275436</x:v>
      </x:c>
      <x:c r="U360" s="75" t="n">
        <x:v>0.009030572671326807</x:v>
      </x:c>
      <x:c r="V360" s="75" t="n">
        <x:v>0.0319229846142116</x:v>
      </x:c>
      <x:c r="W360" s="75" t="n">
        <x:v>0.016140854241189533</x:v>
      </x:c>
      <x:c r="X360" s="75" t="n">
        <x:v>0.031031839661219147</x:v>
      </x:c>
      <x:c r="Y360" s="75" t="n">
        <x:v>0.021855004093846452</x:v>
      </x:c>
      <x:c r="Z360" s="75" t="n">
        <x:v>0.0058387210050980555</x:v>
      </x:c>
      <x:c r="AA360" s="75" t="n">
        <x:v>0.010310032060271144</x:v>
      </x:c>
      <x:c r="AB360" s="75" t="n">
        <x:v>0.007129586510096557</x:v>
      </x:c>
      <x:c r="AC360" s="75" t="n">
        <x:v>0.04029682899063578</x:v>
      </x:c>
      <x:c r="AD360" s="75" t="n">
        <x:v>0.10873124345686813</x:v>
      </x:c>
      <x:c r="AE360" s="75" t="n">
        <x:v>0.12019842439867884</x:v>
      </x:c>
      <x:c r="AF360" s="74" t="n">
        <x:v>9</x:v>
      </x:c>
    </x:row>
    <x:row r="361">
      <x:c r="A361" t="str">
        <x:v>2026 S2</x:v>
      </x:c>
      <x:c r="B361" t="str">
        <x:v>CNCT0090</x:v>
      </x:c>
      <x:c r="C361" s="74" t="n">
        <x:v>1558</x:v>
      </x:c>
      <x:c r="D361" s="74" t="n">
        <x:v>991.855</x:v>
      </x:c>
      <x:c r="E361" s="75" t="n">
        <x:v>0.963057936867619</x:v>
      </x:c>
      <x:c r="F361" s="75" t="n">
        <x:v>0.20291104839599575</x:v>
      </x:c>
      <x:c r="G361" s="75" t="n">
        <x:v>0.008203376982666669</x:v>
      </x:c>
      <x:c r="H361" s="75" t="n">
        <x:v>0.01084407286473288</x:v>
      </x:c>
      <x:c r="I361" s="75" t="n">
        <x:v>0.007843637570629653</x:v>
      </x:c>
      <x:c r="J361" s="75" t="n">
        <x:v>0.017541354162502104</x:v>
      </x:c>
      <x:c r="K361" s="75" t="n">
        <x:v>0.010740091337458579</x:v>
      </x:c>
      <x:c r="L361" s="75" t="n">
        <x:v>0.008704586172214476</x:v>
      </x:c>
      <x:c r="M361" s="75" t="n">
        <x:v>0.008016270434716716</x:v>
      </x:c>
      <x:c r="N361" s="75" t="n">
        <x:v>0.008983234129860648</x:v>
      </x:c>
      <x:c r="O361" s="75" t="n">
        <x:v>0.015812782915178104</x:v>
      </x:c>
      <x:c r="P361" s="75" t="n">
        <x:v>0.001714493830466381</x:v>
      </x:c>
      <x:c r="Q361" s="75" t="n">
        <x:v>0.0013313709877620567</x:v>
      </x:c>
      <x:c r="R361" s="75" t="n">
        <x:v>0.3703528973111812</x:v>
      </x:c>
      <x:c r="S361" s="75" t="n">
        <x:v>0.014541899190480764</x:v>
      </x:c>
      <x:c r="T361" s="75" t="n">
        <x:v>0.006850731959275436</x:v>
      </x:c>
      <x:c r="U361" s="75" t="n">
        <x:v>0.009030572671326807</x:v>
      </x:c>
      <x:c r="V361" s="75" t="n">
        <x:v>0.0319229846142116</x:v>
      </x:c>
      <x:c r="W361" s="75" t="n">
        <x:v>0.01390490597113158</x:v>
      </x:c>
      <x:c r="X361" s="75" t="n">
        <x:v>0.026733084021003092</x:v>
      </x:c>
      <x:c r="Y361" s="75" t="n">
        <x:v>0.01882749031635111</x:v>
      </x:c>
      <x:c r="Z361" s="75" t="n">
        <x:v>0.005029898997562355</x:v>
      </x:c>
      <x:c r="AA361" s="75" t="n">
        <x:v>0.00888181159529863</x:v>
      </x:c>
      <x:c r="AB361" s="75" t="n">
        <x:v>0.006141944444486523</x:v>
      </x:c>
      <x:c r="AC361" s="75" t="n">
        <x:v>0.03471461978881395</x:v>
      </x:c>
      <x:c r="AD361" s="75" t="n">
        <x:v>0.10675431175765235</x:v>
      </x:c>
      <x:c r="AE361" s="75" t="n">
        <x:v>0.1655845573567739</x:v>
      </x:c>
      <x:c r="AF361" s="74" t="n">
        <x:v>9</x:v>
      </x:c>
    </x:row>
    <x:row r="362">
      <x:c r="A362" t="str">
        <x:v>2025 S1</x:v>
      </x:c>
      <x:c r="B362" t="str">
        <x:v>CNCT0091</x:v>
      </x:c>
      <x:c r="C362" s="74" t="n">
        <x:v>1812</x:v>
      </x:c>
      <x:c r="D362" s="74" t="n">
        <x:v>1076.569</x:v>
      </x:c>
      <x:c r="E362" s="75" t="n">
        <x:v>0.9754360849009245</x:v>
      </x:c>
      <x:c r="F362" s="75" t="n">
        <x:v>0.18583271784486716</x:v>
      </x:c>
      <x:c r="G362" s="75" t="n">
        <x:v>0.01960735937894424</x:v>
      </x:c>
      <x:c r="H362" s="75" t="n">
        <x:v>0.008603131216848851</x:v>
      </x:c>
      <x:c r="I362" s="75" t="n">
        <x:v>0.008607745804536535</x:v>
      </x:c>
      <x:c r="J362" s="75" t="n">
        <x:v>0.01206672262668144</x:v>
      </x:c>
      <x:c r="K362" s="75" t="n">
        <x:v>0.008616613223872263</x:v>
      </x:c>
      <x:c r="L362" s="75" t="n">
        <x:v>0.009885008564757299</x:v>
      </x:c>
      <x:c r="M362" s="75" t="n">
        <x:v>0.006864241125083936</x:v>
      </x:c>
      <x:c r="N362" s="75" t="n">
        <x:v>0.008949604808876757</x:v>
      </x:c>
      <x:c r="O362" s="75" t="n">
        <x:v>0.012309678825273295</x:v>
      </x:c>
      <x:c r="P362" s="75" t="n">
        <x:v>0.00040438928406911156</x:v>
      </x:c>
      <x:c r="Q362" s="75" t="n">
        <x:v>0.004029711803015743</x:v>
      </x:c>
      <x:c r="R362" s="75" t="n">
        <x:v>0.37910112025892423</x:v>
      </x:c>
      <x:c r="S362" s="75" t="n">
        <x:v>0.013054260123768473</x:v>
      </x:c>
      <x:c r="T362" s="75" t="n">
        <x:v>0.0061195769701298565</x:v>
      </x:c>
      <x:c r="U362" s="75" t="n">
        <x:v>0.006401673229236621</x:v>
      </x:c>
      <x:c r="V362" s="75" t="n">
        <x:v>0.03587442930816906</x:v>
      </x:c>
      <x:c r="W362" s="75" t="n">
        <x:v>0.012958591226553835</x:v>
      </x:c>
      <x:c r="X362" s="75" t="n">
        <x:v>0.018125122908970295</x:v>
      </x:c>
      <x:c r="Y362" s="75" t="n">
        <x:v>0.015287647516888684</x:v>
      </x:c>
      <x:c r="Z362" s="75" t="n">
        <x:v>0.007766068564960734</x:v>
      </x:c>
      <x:c r="AA362" s="75" t="n">
        <x:v>0.007002888895411161</x:v>
      </x:c>
      <x:c r="AB362" s="75" t="n">
        <x:v>0.005138462301256368</x:v>
      </x:c>
      <x:c r="AC362" s="75" t="n">
        <x:v>0.02003804883590783</x:v>
      </x:c>
      <x:c r="AD362" s="75" t="n">
        <x:v>0.08950212869988172</x:v>
      </x:c>
      <x:c r="AE362" s="75" t="n">
        <x:v>0.07964472080799169</x:v>
      </x:c>
      <x:c r="AF362" s="74" t="n">
        <x:v>6</x:v>
      </x:c>
    </x:row>
    <x:row r="363">
      <x:c r="A363" t="str">
        <x:v>2025 S2</x:v>
      </x:c>
      <x:c r="B363" t="str">
        <x:v>CNCT0091</x:v>
      </x:c>
      <x:c r="C363" s="74" t="n">
        <x:v>1916</x:v>
      </x:c>
      <x:c r="D363" s="74" t="n">
        <x:v>1089.488</x:v>
      </x:c>
      <x:c r="E363" s="75" t="n">
        <x:v>0.9751109853743691</x:v>
      </x:c>
      <x:c r="F363" s="75" t="n">
        <x:v>0.18583271784486716</x:v>
      </x:c>
      <x:c r="G363" s="75" t="n">
        <x:v>0.01960735937894424</x:v>
      </x:c>
      <x:c r="H363" s="75" t="n">
        <x:v>0.008603131216848851</x:v>
      </x:c>
      <x:c r="I363" s="75" t="n">
        <x:v>0.008607745804536535</x:v>
      </x:c>
      <x:c r="J363" s="75" t="n">
        <x:v>0.01206672262668144</x:v>
      </x:c>
      <x:c r="K363" s="75" t="n">
        <x:v>0.008616613223872263</x:v>
      </x:c>
      <x:c r="L363" s="75" t="n">
        <x:v>0.009885008564757299</x:v>
      </x:c>
      <x:c r="M363" s="75" t="n">
        <x:v>0.006864241125083936</x:v>
      </x:c>
      <x:c r="N363" s="75" t="n">
        <x:v>0.008949604808876757</x:v>
      </x:c>
      <x:c r="O363" s="75" t="n">
        <x:v>0.012309678825273295</x:v>
      </x:c>
      <x:c r="P363" s="75" t="n">
        <x:v>0.00040438928406911156</x:v>
      </x:c>
      <x:c r="Q363" s="75" t="n">
        <x:v>0.004029711803015743</x:v>
      </x:c>
      <x:c r="R363" s="75" t="n">
        <x:v>0.36902629983158874</x:v>
      </x:c>
      <x:c r="S363" s="75" t="n">
        <x:v>0.013054260123768473</x:v>
      </x:c>
      <x:c r="T363" s="75" t="n">
        <x:v>0.0061195769701298565</x:v>
      </x:c>
      <x:c r="U363" s="75" t="n">
        <x:v>0.006401673229236621</x:v>
      </x:c>
      <x:c r="V363" s="75" t="n">
        <x:v>0.03587442930816906</x:v>
      </x:c>
      <x:c r="W363" s="75" t="n">
        <x:v>0.012958591226553835</x:v>
      </x:c>
      <x:c r="X363" s="75" t="n">
        <x:v>0.018125122908970295</x:v>
      </x:c>
      <x:c r="Y363" s="75" t="n">
        <x:v>0.015287647516888684</x:v>
      </x:c>
      <x:c r="Z363" s="75" t="n">
        <x:v>0.007766068564960734</x:v>
      </x:c>
      <x:c r="AA363" s="75" t="n">
        <x:v>0.007002888895411161</x:v>
      </x:c>
      <x:c r="AB363" s="75" t="n">
        <x:v>0.005138462301256368</x:v>
      </x:c>
      <x:c r="AC363" s="75" t="n">
        <x:v>0.02003804883590783</x:v>
      </x:c>
      <x:c r="AD363" s="75" t="n">
        <x:v>0.08950212869988172</x:v>
      </x:c>
      <x:c r="AE363" s="75" t="n">
        <x:v>0.07964472080799169</x:v>
      </x:c>
      <x:c r="AF363" s="74" t="n">
        <x:v>6</x:v>
      </x:c>
    </x:row>
    <x:row r="364">
      <x:c r="A364" t="str">
        <x:v>2026 S1</x:v>
      </x:c>
      <x:c r="B364" t="str">
        <x:v>CNCT0091</x:v>
      </x:c>
      <x:c r="C364" s="74" t="n">
        <x:v>1937</x:v>
      </x:c>
      <x:c r="D364" s="74" t="n">
        <x:v>1118.564</x:v>
      </x:c>
      <x:c r="E364" s="75" t="n">
        <x:v>0.9778182239696034</x:v>
      </x:c>
      <x:c r="F364" s="75" t="n">
        <x:v>0.23068583927449074</x:v>
      </x:c>
      <x:c r="G364" s="75" t="n">
        <x:v>0.0193241118235419</x:v>
      </x:c>
      <x:c r="H364" s="75" t="n">
        <x:v>0.008603131216848851</x:v>
      </x:c>
      <x:c r="I364" s="75" t="n">
        <x:v>0.008607745804536535</x:v>
      </x:c>
      <x:c r="J364" s="75" t="n">
        <x:v>0.01206672262668144</x:v>
      </x:c>
      <x:c r="K364" s="75" t="n">
        <x:v>0.008616613223872263</x:v>
      </x:c>
      <x:c r="L364" s="75" t="n">
        <x:v>0.009885008564757299</x:v>
      </x:c>
      <x:c r="M364" s="75" t="n">
        <x:v>0.006864241125083936</x:v>
      </x:c>
      <x:c r="N364" s="75" t="n">
        <x:v>0.008949604808876757</x:v>
      </x:c>
      <x:c r="O364" s="75" t="n">
        <x:v>0.012291759190600715</x:v>
      </x:c>
      <x:c r="P364" s="75" t="n">
        <x:v>0.00040438928406911156</x:v>
      </x:c>
      <x:c r="Q364" s="75" t="n">
        <x:v>0.004029711803015743</x:v>
      </x:c>
      <x:c r="R364" s="75" t="n">
        <x:v>0.3788747800983868</x:v>
      </x:c>
      <x:c r="S364" s="75" t="n">
        <x:v>0.013054260123768473</x:v>
      </x:c>
      <x:c r="T364" s="75" t="n">
        <x:v>0.0061195769701298565</x:v>
      </x:c>
      <x:c r="U364" s="75" t="n">
        <x:v>0.006401673229236621</x:v>
      </x:c>
      <x:c r="V364" s="75" t="n">
        <x:v>0.03587442930816906</x:v>
      </x:c>
      <x:c r="W364" s="75" t="n">
        <x:v>0.015944911569255135</x:v>
      </x:c>
      <x:c r="X364" s="75" t="n">
        <x:v>0.02230207565874955</x:v>
      </x:c>
      <x:c r="Y364" s="75" t="n">
        <x:v>0.01881070121721539</x:v>
      </x:c>
      <x:c r="Z364" s="75" t="n">
        <x:v>0.009555766853369738</x:v>
      </x:c>
      <x:c r="AA364" s="75" t="n">
        <x:v>0.008616711663675522</x:v>
      </x:c>
      <x:c r="AB364" s="75" t="n">
        <x:v>0.006322626091298725</x:v>
      </x:c>
      <x:c r="AC364" s="75" t="n">
        <x:v>0.02465583728378275</x:v>
      </x:c>
      <x:c r="AD364" s="75" t="n">
        <x:v>0.08950212869988172</x:v>
      </x:c>
      <x:c r="AE364" s="75" t="n">
        <x:v>0.07964472080799169</x:v>
      </x:c>
      <x:c r="AF364" s="74" t="n">
        <x:v>6</x:v>
      </x:c>
    </x:row>
    <x:row r="365">
      <x:c r="A365" t="str">
        <x:v>2026 S2</x:v>
      </x:c>
      <x:c r="B365" t="str">
        <x:v>CNCT0091</x:v>
      </x:c>
      <x:c r="C365" s="74" t="n">
        <x:v>1971</x:v>
      </x:c>
      <x:c r="D365" s="74" t="n">
        <x:v>1134.464</x:v>
      </x:c>
      <x:c r="E365" s="75" t="n">
        <x:v>0.9751109853743691</x:v>
      </x:c>
      <x:c r="F365" s="75" t="n">
        <x:v>0.22147957750214847</x:v>
      </x:c>
      <x:c r="G365" s="75" t="n">
        <x:v>0.020262790932811185</x:v>
      </x:c>
      <x:c r="H365" s="75" t="n">
        <x:v>0.008603131216848851</x:v>
      </x:c>
      <x:c r="I365" s="75" t="n">
        <x:v>0.008607745804536535</x:v>
      </x:c>
      <x:c r="J365" s="75" t="n">
        <x:v>0.01206672262668144</x:v>
      </x:c>
      <x:c r="K365" s="75" t="n">
        <x:v>0.008616613223872263</x:v>
      </x:c>
      <x:c r="L365" s="75" t="n">
        <x:v>0.009885008564757299</x:v>
      </x:c>
      <x:c r="M365" s="75" t="n">
        <x:v>0.006864241125083936</x:v>
      </x:c>
      <x:c r="N365" s="75" t="n">
        <x:v>0.008949604808876757</x:v>
      </x:c>
      <x:c r="O365" s="75" t="n">
        <x:v>0.012309678825273295</x:v>
      </x:c>
      <x:c r="P365" s="75" t="n">
        <x:v>0.00040438928406911156</x:v>
      </x:c>
      <x:c r="Q365" s="75" t="n">
        <x:v>0.004029711803015743</x:v>
      </x:c>
      <x:c r="R365" s="75" t="n">
        <x:v>0.36902629983158874</x:v>
      </x:c>
      <x:c r="S365" s="75" t="n">
        <x:v>0.013054260123768473</x:v>
      </x:c>
      <x:c r="T365" s="75" t="n">
        <x:v>0.0061195769701298565</x:v>
      </x:c>
      <x:c r="U365" s="75" t="n">
        <x:v>0.006401673229236621</x:v>
      </x:c>
      <x:c r="V365" s="75" t="n">
        <x:v>0.03587442930816906</x:v>
      </x:c>
      <x:c r="W365" s="75" t="n">
        <x:v>0.013736106700147065</x:v>
      </x:c>
      <x:c r="X365" s="75" t="n">
        <x:v>0.019212630283508513</x:v>
      </x:c>
      <x:c r="Y365" s="75" t="n">
        <x:v>0.016204906367902006</x:v>
      </x:c>
      <x:c r="Z365" s="75" t="n">
        <x:v>0.008232032678858378</x:v>
      </x:c>
      <x:c r="AA365" s="75" t="n">
        <x:v>0.00742306222913583</x:v>
      </x:c>
      <x:c r="AB365" s="75" t="n">
        <x:v>0.00544677003933175</x:v>
      </x:c>
      <x:c r="AC365" s="75" t="n">
        <x:v>0.021240331766062298</x:v>
      </x:c>
      <x:c r="AD365" s="75" t="n">
        <x:v>0.08950212869988172</x:v>
      </x:c>
      <x:c r="AE365" s="75" t="n">
        <x:v>0.07964472080799169</x:v>
      </x:c>
      <x:c r="AF365" s="74" t="n">
        <x:v>6</x:v>
      </x:c>
    </x:row>
    <x:row r="366">
      <x:c r="A366" t="str">
        <x:v>2025 S1</x:v>
      </x:c>
      <x:c r="B366" t="str">
        <x:v>CNCT0092</x:v>
      </x:c>
      <x:c r="C366" s="74" t="n">
        <x:v>2312</x:v>
      </x:c>
      <x:c r="D366" s="74" t="n">
        <x:v>1365.46</x:v>
      </x:c>
      <x:c r="E366" s="75" t="n">
        <x:v>0.9809068124645273</x:v>
      </x:c>
      <x:c r="F366" s="75" t="n">
        <x:v>0.2102911504576914</x:v>
      </x:c>
      <x:c r="G366" s="75" t="n">
        <x:v>0.013235696357296546</x:v>
      </x:c>
      <x:c r="H366" s="75" t="n">
        <x:v>0.008089355365375013</x:v>
      </x:c>
      <x:c r="I366" s="75" t="n">
        <x:v>0.00984185954086388</x:v>
      </x:c>
      <x:c r="J366" s="75" t="n">
        <x:v>0.010400215588801075</x:v>
      </x:c>
      <x:c r="K366" s="75" t="n">
        <x:v>0.008472799764145746</x:v>
      </x:c>
      <x:c r="L366" s="75" t="n">
        <x:v>0.010644933646544813</x:v>
      </x:c>
      <x:c r="M366" s="75" t="n">
        <x:v>0.006217343545620679</x:v>
      </x:c>
      <x:c r="N366" s="75" t="n">
        <x:v>0.00816750258769025</x:v>
      </x:c>
      <x:c r="O366" s="75" t="n">
        <x:v>0.006944850322048296</x:v>
      </x:c>
      <x:c r="P366" s="75" t="n">
        <x:v>0.0007256976210810535</x:v>
      </x:c>
      <x:c r="Q366" s="75" t="n">
        <x:v>0.004435157854255522</x:v>
      </x:c>
      <x:c r="R366" s="75" t="n">
        <x:v>0.35441231721191085</x:v>
      </x:c>
      <x:c r="S366" s="75" t="n">
        <x:v>0.01189933068060418</x:v>
      </x:c>
      <x:c r="T366" s="75" t="n">
        <x:v>0.005719754872236081</x:v>
      </x:c>
      <x:c r="U366" s="75" t="n">
        <x:v>0.010452544623927678</x:v>
      </x:c>
      <x:c r="V366" s="75" t="n">
        <x:v>0.037865734489532774</x:v>
      </x:c>
      <x:c r="W366" s="75" t="n">
        <x:v>0.009496837201877498</x:v>
      </x:c>
      <x:c r="X366" s="75" t="n">
        <x:v>0.01713328954923054</x:v>
      </x:c>
      <x:c r="Y366" s="75" t="n">
        <x:v>0.01946336881768366</x:v>
      </x:c>
      <x:c r="Z366" s="75" t="n">
        <x:v>0.006153204422604176</x:v>
      </x:c>
      <x:c r="AA366" s="75" t="n">
        <x:v>0.007552312019972305</x:v>
      </x:c>
      <x:c r="AB366" s="75" t="n">
        <x:v>0.003290612955373945</x:v>
      </x:c>
      <x:c r="AC366" s="75" t="n">
        <x:v>0.026797716747591037</x:v>
      </x:c>
      <x:c r="AD366" s="75" t="n">
        <x:v>0.09853854087827495</x:v>
      </x:c>
      <x:c r="AE366" s="75" t="n">
        <x:v>0.06654310567077482</x:v>
      </x:c>
      <x:c r="AF366" s="74" t="n">
        <x:v>8</x:v>
      </x:c>
    </x:row>
    <x:row r="367">
      <x:c r="A367" t="str">
        <x:v>2025 S2</x:v>
      </x:c>
      <x:c r="B367" t="str">
        <x:v>CNCT0092</x:v>
      </x:c>
      <x:c r="C367" s="74" t="n">
        <x:v>2471</x:v>
      </x:c>
      <x:c r="D367" s="74" t="n">
        <x:v>1381.846</x:v>
      </x:c>
      <x:c r="E367" s="75" t="n">
        <x:v>0.9765646593502606</x:v>
      </x:c>
      <x:c r="F367" s="75" t="n">
        <x:v>0.2102911504576914</x:v>
      </x:c>
      <x:c r="G367" s="75" t="n">
        <x:v>0.013235696357296546</x:v>
      </x:c>
      <x:c r="H367" s="75" t="n">
        <x:v>0.008089355365375013</x:v>
      </x:c>
      <x:c r="I367" s="75" t="n">
        <x:v>0.00984185954086388</x:v>
      </x:c>
      <x:c r="J367" s="75" t="n">
        <x:v>0.010400215588801075</x:v>
      </x:c>
      <x:c r="K367" s="75" t="n">
        <x:v>0.008472799764145746</x:v>
      </x:c>
      <x:c r="L367" s="75" t="n">
        <x:v>0.010644933646544813</x:v>
      </x:c>
      <x:c r="M367" s="75" t="n">
        <x:v>0.006217343545620679</x:v>
      </x:c>
      <x:c r="N367" s="75" t="n">
        <x:v>0.00816750258769025</x:v>
      </x:c>
      <x:c r="O367" s="75" t="n">
        <x:v>0.006944850322048296</x:v>
      </x:c>
      <x:c r="P367" s="75" t="n">
        <x:v>0.0007256976210810535</x:v>
      </x:c>
      <x:c r="Q367" s="75" t="n">
        <x:v>0.004435157854255522</x:v>
      </x:c>
      <x:c r="R367" s="75" t="n">
        <x:v>0.33837842315249994</x:v>
      </x:c>
      <x:c r="S367" s="75" t="n">
        <x:v>0.01189933068060418</x:v>
      </x:c>
      <x:c r="T367" s="75" t="n">
        <x:v>0.005719754872236081</x:v>
      </x:c>
      <x:c r="U367" s="75" t="n">
        <x:v>0.010452544623927678</x:v>
      </x:c>
      <x:c r="V367" s="75" t="n">
        <x:v>0.037865734489532774</x:v>
      </x:c>
      <x:c r="W367" s="75" t="n">
        <x:v>0.009496837201877498</x:v>
      </x:c>
      <x:c r="X367" s="75" t="n">
        <x:v>0.01713328954923054</x:v>
      </x:c>
      <x:c r="Y367" s="75" t="n">
        <x:v>0.01946336881768366</x:v>
      </x:c>
      <x:c r="Z367" s="75" t="n">
        <x:v>0.006153204422604176</x:v>
      </x:c>
      <x:c r="AA367" s="75" t="n">
        <x:v>0.007552312019972305</x:v>
      </x:c>
      <x:c r="AB367" s="75" t="n">
        <x:v>0.003290612955373945</x:v>
      </x:c>
      <x:c r="AC367" s="75" t="n">
        <x:v>0.026797716747591037</x:v>
      </x:c>
      <x:c r="AD367" s="75" t="n">
        <x:v>0.09853854087827495</x:v>
      </x:c>
      <x:c r="AE367" s="75" t="n">
        <x:v>0.08398143300652425</x:v>
      </x:c>
      <x:c r="AF367" s="74" t="n">
        <x:v>8</x:v>
      </x:c>
    </x:row>
    <x:row r="368">
      <x:c r="A368" t="str">
        <x:v>2026 S1</x:v>
      </x:c>
      <x:c r="B368" t="str">
        <x:v>CNCT0092</x:v>
      </x:c>
      <x:c r="C368" s="74" t="n">
        <x:v>2206</x:v>
      </x:c>
      <x:c r="D368" s="74" t="n">
        <x:v>1442.039</x:v>
      </x:c>
      <x:c r="E368" s="75" t="n">
        <x:v>0.9777580690060567</x:v>
      </x:c>
      <x:c r="F368" s="75" t="n">
        <x:v>0.21208722021954599</x:v>
      </x:c>
      <x:c r="G368" s="75" t="n">
        <x:v>0.01407233699466451</x:v>
      </x:c>
      <x:c r="H368" s="75" t="n">
        <x:v>0.008089355365375013</x:v>
      </x:c>
      <x:c r="I368" s="75" t="n">
        <x:v>0.00984185954086388</x:v>
      </x:c>
      <x:c r="J368" s="75" t="n">
        <x:v>0.010400215588801075</x:v>
      </x:c>
      <x:c r="K368" s="75" t="n">
        <x:v>0.008472799764145746</x:v>
      </x:c>
      <x:c r="L368" s="75" t="n">
        <x:v>0.010644933646544813</x:v>
      </x:c>
      <x:c r="M368" s="75" t="n">
        <x:v>0.006217343545620679</x:v>
      </x:c>
      <x:c r="N368" s="75" t="n">
        <x:v>0.00816750258769025</x:v>
      </x:c>
      <x:c r="O368" s="75" t="n">
        <x:v>0.006932913260025088</x:v>
      </x:c>
      <x:c r="P368" s="75" t="n">
        <x:v>0.0007256976210810535</x:v>
      </x:c>
      <x:c r="Q368" s="75" t="n">
        <x:v>0.004435157854255522</x:v>
      </x:c>
      <x:c r="R368" s="75" t="n">
        <x:v>0.35288968788028846</x:v>
      </x:c>
      <x:c r="S368" s="75" t="n">
        <x:v>0.01189933068060418</x:v>
      </x:c>
      <x:c r="T368" s="75" t="n">
        <x:v>0.005719754872236081</x:v>
      </x:c>
      <x:c r="U368" s="75" t="n">
        <x:v>0.010452544623927678</x:v>
      </x:c>
      <x:c r="V368" s="75" t="n">
        <x:v>0.037865734489532774</x:v>
      </x:c>
      <x:c r="W368" s="75" t="n">
        <x:v>0.011685392858234242</x:v>
      </x:c>
      <x:c r="X368" s="75" t="n">
        <x:v>0.021081673306672783</x:v>
      </x:c>
      <x:c r="Y368" s="75" t="n">
        <x:v>0.023948721679084482</x:v>
      </x:c>
      <x:c r="Z368" s="75" t="n">
        <x:v>0.007571216552068434</x:v>
      </x:c>
      <x:c r="AA368" s="75" t="n">
        <x:v>0.00929274989823916</x:v>
      </x:c>
      <x:c r="AB368" s="75" t="n">
        <x:v>0.004048938010681903</x:v>
      </x:c>
      <x:c r="AC368" s="75" t="n">
        <x:v>0.03297327744413447</x:v>
      </x:c>
      <x:c r="AD368" s="75" t="n">
        <x:v>0.09853854087827495</x:v>
      </x:c>
      <x:c r="AE368" s="75" t="n">
        <x:v>0.06654310567077482</x:v>
      </x:c>
      <x:c r="AF368" s="74" t="n">
        <x:v>8</x:v>
      </x:c>
    </x:row>
    <x:row r="369">
      <x:c r="A369" t="str">
        <x:v>2026 S2</x:v>
      </x:c>
      <x:c r="B369" t="str">
        <x:v>CNCT0092</x:v>
      </x:c>
      <x:c r="C369" s="74" t="n">
        <x:v>2450</x:v>
      </x:c>
      <x:c r="D369" s="74" t="n">
        <x:v>1411.688</x:v>
      </x:c>
      <x:c r="E369" s="75" t="n">
        <x:v>0.9765646593502606</x:v>
      </x:c>
      <x:c r="F369" s="75" t="n">
        <x:v>0.21034054105958055</x:v>
      </x:c>
      <x:c r="G369" s="75" t="n">
        <x:v>0.014881304719136096</x:v>
      </x:c>
      <x:c r="H369" s="75" t="n">
        <x:v>0.008089355365375013</x:v>
      </x:c>
      <x:c r="I369" s="75" t="n">
        <x:v>0.00984185954086388</x:v>
      </x:c>
      <x:c r="J369" s="75" t="n">
        <x:v>0.010400215588801075</x:v>
      </x:c>
      <x:c r="K369" s="75" t="n">
        <x:v>0.008472799764145746</x:v>
      </x:c>
      <x:c r="L369" s="75" t="n">
        <x:v>0.010644933646544813</x:v>
      </x:c>
      <x:c r="M369" s="75" t="n">
        <x:v>0.006217343545620679</x:v>
      </x:c>
      <x:c r="N369" s="75" t="n">
        <x:v>0.00816750258769025</x:v>
      </x:c>
      <x:c r="O369" s="75" t="n">
        <x:v>0.006944850322048296</x:v>
      </x:c>
      <x:c r="P369" s="75" t="n">
        <x:v>0.0007256976210810535</x:v>
      </x:c>
      <x:c r="Q369" s="75" t="n">
        <x:v>0.004435157854255522</x:v>
      </x:c>
      <x:c r="R369" s="75" t="n">
        <x:v>0.33684060106786184</x:v>
      </x:c>
      <x:c r="S369" s="75" t="n">
        <x:v>0.01189933068060418</x:v>
      </x:c>
      <x:c r="T369" s="75" t="n">
        <x:v>0.005719754872236081</x:v>
      </x:c>
      <x:c r="U369" s="75" t="n">
        <x:v>0.010452544623927678</x:v>
      </x:c>
      <x:c r="V369" s="75" t="n">
        <x:v>0.037865734489532774</x:v>
      </x:c>
      <x:c r="W369" s="75" t="n">
        <x:v>0.010066647433990149</x:v>
      </x:c>
      <x:c r="X369" s="75" t="n">
        <x:v>0.018161286922184373</x:v>
      </x:c>
      <x:c r="Y369" s="75" t="n">
        <x:v>0.02063117094674468</x:v>
      </x:c>
      <x:c r="Z369" s="75" t="n">
        <x:v>0.006522396687960427</x:v>
      </x:c>
      <x:c r="AA369" s="75" t="n">
        <x:v>0.008005450741170645</x:v>
      </x:c>
      <x:c r="AB369" s="75" t="n">
        <x:v>0.003488049732696382</x:v>
      </x:c>
      <x:c r="AC369" s="75" t="n">
        <x:v>0.0284055797524465</x:v>
      </x:c>
      <x:c r="AD369" s="75" t="n">
        <x:v>0.09853854087827495</x:v>
      </x:c>
      <x:c r="AE369" s="75" t="n">
        <x:v>0.08398143300652425</x:v>
      </x:c>
      <x:c r="AF369" s="74" t="n">
        <x:v>8</x:v>
      </x:c>
    </x:row>
    <x:row r="370">
      <x:c r="A370" t="str">
        <x:v>2025 S1</x:v>
      </x:c>
      <x:c r="B370" t="str">
        <x:v>CNCT0093</x:v>
      </x:c>
      <x:c r="C370" s="74" t="n">
        <x:v>1571</x:v>
      </x:c>
      <x:c r="D370" s="74" t="n">
        <x:v>1036.305</x:v>
      </x:c>
      <x:c r="E370" s="75" t="n">
        <x:v>0.9798457401021733</x:v>
      </x:c>
      <x:c r="F370" s="75" t="n">
        <x:v>0.18568224679585546</x:v>
      </x:c>
      <x:c r="G370" s="75" t="n">
        <x:v>0.013825448549352585</x:v>
      </x:c>
      <x:c r="H370" s="75" t="n">
        <x:v>0.009186495796544477</x:v>
      </x:c>
      <x:c r="I370" s="75" t="n">
        <x:v>0.010013341309457247</x:v>
      </x:c>
      <x:c r="J370" s="75" t="n">
        <x:v>0.013438422177205213</x:v>
      </x:c>
      <x:c r="K370" s="75" t="n">
        <x:v>0.008001745443194522</x:v>
      </x:c>
      <x:c r="L370" s="75" t="n">
        <x:v>0.013159961379424202</x:v>
      </x:c>
      <x:c r="M370" s="75" t="n">
        <x:v>0.006659747824895021</x:v>
      </x:c>
      <x:c r="N370" s="75" t="n">
        <x:v>0.0080916079217277</x:v>
      </x:c>
      <x:c r="O370" s="75" t="n">
        <x:v>0.008012900852641905</x:v>
      </x:c>
      <x:c r="P370" s="75" t="n">
        <x:v>0.0002151400904695038</x:v>
      </x:c>
      <x:c r="Q370" s="75" t="n">
        <x:v>0.006674127012942336</x:v>
      </x:c>
      <x:c r="R370" s="75" t="n">
        <x:v>0.3773728364088623</x:v>
      </x:c>
      <x:c r="S370" s="75" t="n">
        <x:v>0.01562990529462695</x:v>
      </x:c>
      <x:c r="T370" s="75" t="n">
        <x:v>0.004032787486183224</x:v>
      </x:c>
      <x:c r="U370" s="75" t="n">
        <x:v>0.011719065690904244</x:v>
      </x:c>
      <x:c r="V370" s="75" t="n">
        <x:v>0.03942656069965597</x:v>
      </x:c>
      <x:c r="W370" s="75" t="n">
        <x:v>0.010490379453185596</x:v>
      </x:c>
      <x:c r="X370" s="75" t="n">
        <x:v>0.0176178741210897</x:v>
      </x:c>
      <x:c r="Y370" s="75" t="n">
        <x:v>0.014119954945286737</x:v>
      </x:c>
      <x:c r="Z370" s="75" t="n">
        <x:v>0.006227603749663103</x:v>
      </x:c>
      <x:c r="AA370" s="75" t="n">
        <x:v>0.007149361123305426</x:v>
      </x:c>
      <x:c r="AB370" s="75" t="n">
        <x:v>0.0050492854948388415</x:v>
      </x:c>
      <x:c r="AC370" s="75" t="n">
        <x:v>0.02523626366551616</x:v>
      </x:c>
      <x:c r="AD370" s="75" t="n">
        <x:v>0.10106443220970687</x:v>
      </x:c>
      <x:c r="AE370" s="75" t="n">
        <x:v>0.07504316023585852</x:v>
      </x:c>
      <x:c r="AF370" s="74" t="n">
        <x:v>7</x:v>
      </x:c>
    </x:row>
    <x:row r="371">
      <x:c r="A371" t="str">
        <x:v>2025 S2</x:v>
      </x:c>
      <x:c r="B371" t="str">
        <x:v>CNCT0093</x:v>
      </x:c>
      <x:c r="C371" s="74" t="n">
        <x:v>1687</x:v>
      </x:c>
      <x:c r="D371" s="74" t="n">
        <x:v>1048.741</x:v>
      </x:c>
      <x:c r="E371" s="75" t="n">
        <x:v>0.9753108124544378</x:v>
      </x:c>
      <x:c r="F371" s="75" t="n">
        <x:v>0.18568224679585546</x:v>
      </x:c>
      <x:c r="G371" s="75" t="n">
        <x:v>0.013825448549352585</x:v>
      </x:c>
      <x:c r="H371" s="75" t="n">
        <x:v>0.009186495796544477</x:v>
      </x:c>
      <x:c r="I371" s="75" t="n">
        <x:v>0.010013341309457247</x:v>
      </x:c>
      <x:c r="J371" s="75" t="n">
        <x:v>0.013438422177205213</x:v>
      </x:c>
      <x:c r="K371" s="75" t="n">
        <x:v>0.008001745443194522</x:v>
      </x:c>
      <x:c r="L371" s="75" t="n">
        <x:v>0.013159961379424202</x:v>
      </x:c>
      <x:c r="M371" s="75" t="n">
        <x:v>0.006659747824895021</x:v>
      </x:c>
      <x:c r="N371" s="75" t="n">
        <x:v>0.0080916079217277</x:v>
      </x:c>
      <x:c r="O371" s="75" t="n">
        <x:v>0.008012900852641905</x:v>
      </x:c>
      <x:c r="P371" s="75" t="n">
        <x:v>0.0002151400904695038</x:v>
      </x:c>
      <x:c r="Q371" s="75" t="n">
        <x:v>0.006674127012942336</x:v>
      </x:c>
      <x:c r="R371" s="75" t="n">
        <x:v>0.3559353268906714</x:v>
      </x:c>
      <x:c r="S371" s="75" t="n">
        <x:v>0.01562990529462695</x:v>
      </x:c>
      <x:c r="T371" s="75" t="n">
        <x:v>0.004032787486183224</x:v>
      </x:c>
      <x:c r="U371" s="75" t="n">
        <x:v>0.011719065690904244</x:v>
      </x:c>
      <x:c r="V371" s="75" t="n">
        <x:v>0.03942656069965597</x:v>
      </x:c>
      <x:c r="W371" s="75" t="n">
        <x:v>0.010490379453185596</x:v>
      </x:c>
      <x:c r="X371" s="75" t="n">
        <x:v>0.0176178741210897</x:v>
      </x:c>
      <x:c r="Y371" s="75" t="n">
        <x:v>0.014119954945286737</x:v>
      </x:c>
      <x:c r="Z371" s="75" t="n">
        <x:v>0.006227603749663103</x:v>
      </x:c>
      <x:c r="AA371" s="75" t="n">
        <x:v>0.007149361123305426</x:v>
      </x:c>
      <x:c r="AB371" s="75" t="n">
        <x:v>0.0050492854948388415</x:v>
      </x:c>
      <x:c r="AC371" s="75" t="n">
        <x:v>0.02523626366551616</x:v>
      </x:c>
      <x:c r="AD371" s="75" t="n">
        <x:v>0.10106443220970687</x:v>
      </x:c>
      <x:c r="AE371" s="75" t="n">
        <x:v>0.07504316023585852</x:v>
      </x:c>
      <x:c r="AF371" s="74" t="n">
        <x:v>7</x:v>
      </x:c>
    </x:row>
    <x:row r="372">
      <x:c r="A372" t="str">
        <x:v>2026 S1</x:v>
      </x:c>
      <x:c r="B372" t="str">
        <x:v>CNCT0093</x:v>
      </x:c>
      <x:c r="C372" s="74" t="n">
        <x:v>1541</x:v>
      </x:c>
      <x:c r="D372" s="74" t="n">
        <x:v>1096.242</x:v>
      </x:c>
      <x:c r="E372" s="75" t="n">
        <x:v>0.9816694524584454</x:v>
      </x:c>
      <x:c r="F372" s="75" t="n">
        <x:v>0.18730312576913274</x:v>
      </x:c>
      <x:c r="G372" s="75" t="n">
        <x:v>0.013319261494732925</x:v>
      </x:c>
      <x:c r="H372" s="75" t="n">
        <x:v>0.009186495796544477</x:v>
      </x:c>
      <x:c r="I372" s="75" t="n">
        <x:v>0.010013341309457247</x:v>
      </x:c>
      <x:c r="J372" s="75" t="n">
        <x:v>0.013438422177205213</x:v>
      </x:c>
      <x:c r="K372" s="75" t="n">
        <x:v>0.008001745443194522</x:v>
      </x:c>
      <x:c r="L372" s="75" t="n">
        <x:v>0.013159961379424202</x:v>
      </x:c>
      <x:c r="M372" s="75" t="n">
        <x:v>0.006659747824895021</x:v>
      </x:c>
      <x:c r="N372" s="75" t="n">
        <x:v>0.0080916079217277</x:v>
      </x:c>
      <x:c r="O372" s="75" t="n">
        <x:v>0.009151314847797038</x:v>
      </x:c>
      <x:c r="P372" s="75" t="n">
        <x:v>0.0002151400904695038</x:v>
      </x:c>
      <x:c r="Q372" s="75" t="n">
        <x:v>0.006674127012942336</x:v>
      </x:c>
      <x:c r="R372" s="75" t="n">
        <x:v>0.3724110194046676</x:v>
      </x:c>
      <x:c r="S372" s="75" t="n">
        <x:v>0.01562990529462695</x:v>
      </x:c>
      <x:c r="T372" s="75" t="n">
        <x:v>0.004032787486183224</x:v>
      </x:c>
      <x:c r="U372" s="75" t="n">
        <x:v>0.011719065690904244</x:v>
      </x:c>
      <x:c r="V372" s="75" t="n">
        <x:v>0.03942656069965597</x:v>
      </x:c>
      <x:c r="W372" s="75" t="n">
        <x:v>0.012907897917654905</x:v>
      </x:c>
      <x:c r="X372" s="75" t="n">
        <x:v>0.02167793087904583</x:v>
      </x:c>
      <x:c r="Y372" s="75" t="n">
        <x:v>0.0173739127215557</x:v>
      </x:c>
      <x:c r="Z372" s="75" t="n">
        <x:v>0.007662761278653823</x:v>
      </x:c>
      <x:c r="AA372" s="75" t="n">
        <x:v>0.008796938563366604</x:v>
      </x:c>
      <x:c r="AB372" s="75" t="n">
        <x:v>0.006212898400418072</x:v>
      </x:c>
      <x:c r="AC372" s="75" t="n">
        <x:v>0.03105198593351045</x:v>
      </x:c>
      <x:c r="AD372" s="75" t="n">
        <x:v>0.10106443220970687</x:v>
      </x:c>
      <x:c r="AE372" s="75" t="n">
        <x:v>0.07504316023585852</x:v>
      </x:c>
      <x:c r="AF372" s="74" t="n">
        <x:v>7</x:v>
      </x:c>
    </x:row>
    <x:row r="373">
      <x:c r="A373" t="str">
        <x:v>2026 S2</x:v>
      </x:c>
      <x:c r="B373" t="str">
        <x:v>CNCT0093</x:v>
      </x:c>
      <x:c r="C373" s="74" t="n">
        <x:v>1704</x:v>
      </x:c>
      <x:c r="D373" s="74" t="n">
        <x:v>1069.686</x:v>
      </x:c>
      <x:c r="E373" s="75" t="n">
        <x:v>0.9753108124544378</x:v>
      </x:c>
      <x:c r="F373" s="75" t="n">
        <x:v>0.1825603627153432</x:v>
      </x:c>
      <x:c r="G373" s="75" t="n">
        <x:v>0.015334640766319352</x:v>
      </x:c>
      <x:c r="H373" s="75" t="n">
        <x:v>0.009186495796544477</x:v>
      </x:c>
      <x:c r="I373" s="75" t="n">
        <x:v>0.010013341309457247</x:v>
      </x:c>
      <x:c r="J373" s="75" t="n">
        <x:v>0.013438422177205213</x:v>
      </x:c>
      <x:c r="K373" s="75" t="n">
        <x:v>0.008001745443194522</x:v>
      </x:c>
      <x:c r="L373" s="75" t="n">
        <x:v>0.013159961379424202</x:v>
      </x:c>
      <x:c r="M373" s="75" t="n">
        <x:v>0.006659747824895021</x:v>
      </x:c>
      <x:c r="N373" s="75" t="n">
        <x:v>0.0080916079217277</x:v>
      </x:c>
      <x:c r="O373" s="75" t="n">
        <x:v>0.008012900852641905</x:v>
      </x:c>
      <x:c r="P373" s="75" t="n">
        <x:v>0.0002151400904695038</x:v>
      </x:c>
      <x:c r="Q373" s="75" t="n">
        <x:v>0.006674127012942336</x:v>
      </x:c>
      <x:c r="R373" s="75" t="n">
        <x:v>0.35280494793410316</x:v>
      </x:c>
      <x:c r="S373" s="75" t="n">
        <x:v>0.01562990529462695</x:v>
      </x:c>
      <x:c r="T373" s="75" t="n">
        <x:v>0.004032787486183224</x:v>
      </x:c>
      <x:c r="U373" s="75" t="n">
        <x:v>0.011719065690904244</x:v>
      </x:c>
      <x:c r="V373" s="75" t="n">
        <x:v>0.03942656069965597</x:v>
      </x:c>
      <x:c r="W373" s="75" t="n">
        <x:v>0.011119802220376732</x:v>
      </x:c>
      <x:c r="X373" s="75" t="n">
        <x:v>0.018674946568355083</x:v>
      </x:c>
      <x:c r="Y373" s="75" t="n">
        <x:v>0.014967152242003942</x:v>
      </x:c>
      <x:c r="Z373" s="75" t="n">
        <x:v>0.00660125997464289</x:v>
      </x:c>
      <x:c r="AA373" s="75" t="n">
        <x:v>0.007578322790703752</x:v>
      </x:c>
      <x:c r="AB373" s="75" t="n">
        <x:v>0.005352242624529172</x:v>
      </x:c>
      <x:c r="AC373" s="75" t="n">
        <x:v>0.02675043948544713</x:v>
      </x:c>
      <x:c r="AD373" s="75" t="n">
        <x:v>0.10106443220970687</x:v>
      </x:c>
      <x:c r="AE373" s="75" t="n">
        <x:v>0.07504316023585852</x:v>
      </x:c>
      <x:c r="AF373" s="74" t="n">
        <x:v>7</x:v>
      </x:c>
    </x:row>
    <x:row r="374">
      <x:c r="A374" t="str">
        <x:v>2025 S1</x:v>
      </x:c>
      <x:c r="B374" t="str">
        <x:v>CNCT0094</x:v>
      </x:c>
      <x:c r="C374" s="74" t="n">
        <x:v>1581</x:v>
      </x:c>
      <x:c r="D374" s="74" t="n">
        <x:v>1022.512</x:v>
      </x:c>
      <x:c r="E374" s="75" t="n">
        <x:v>0.9730815264240372</x:v>
      </x:c>
      <x:c r="F374" s="75" t="n">
        <x:v>0.2021900438014418</x:v>
      </x:c>
      <x:c r="G374" s="75" t="n">
        <x:v>0.013207009225763613</x:v>
      </x:c>
      <x:c r="H374" s="75" t="n">
        <x:v>0.007209742316699703</x:v>
      </x:c>
      <x:c r="I374" s="75" t="n">
        <x:v>0.008001274504356844</x:v>
      </x:c>
      <x:c r="J374" s="75" t="n">
        <x:v>0.01193872180726612</x:v>
      </x:c>
      <x:c r="K374" s="75" t="n">
        <x:v>0.009809083334097067</x:v>
      </x:c>
      <x:c r="L374" s="75" t="n">
        <x:v>0.011124396280058135</x:v>
      </x:c>
      <x:c r="M374" s="75" t="n">
        <x:v>0.00896888393873087</x:v>
      </x:c>
      <x:c r="N374" s="75" t="n">
        <x:v>0.006428228181554005</x:v>
      </x:c>
      <x:c r="O374" s="75" t="n">
        <x:v>0.009388013934309127</x:v>
      </x:c>
      <x:c r="P374" s="75" t="n">
        <x:v>0.000585908794644638</x:v>
      </x:c>
      <x:c r="Q374" s="75" t="n">
        <x:v>0.0040674093225388785</x:v>
      </x:c>
      <x:c r="R374" s="75" t="n">
        <x:v>0.35109951646142906</x:v>
      </x:c>
      <x:c r="S374" s="75" t="n">
        <x:v>0.016874627687677276</x:v>
      </x:c>
      <x:c r="T374" s="75" t="n">
        <x:v>0.0038380443055502835</x:v>
      </x:c>
      <x:c r="U374" s="75" t="n">
        <x:v>0.012120667999435682</x:v>
      </x:c>
      <x:c r="V374" s="75" t="n">
        <x:v>0.030272440261029262</x:v>
      </x:c>
      <x:c r="W374" s="75" t="n">
        <x:v>0.00999643803195795</x:v>
      </x:c>
      <x:c r="X374" s="75" t="n">
        <x:v>0.023165071944487862</x:v>
      </x:c>
      <x:c r="Y374" s="75" t="n">
        <x:v>0.015502704836719205</x:v>
      </x:c>
      <x:c r="Z374" s="75" t="n">
        <x:v>0.005124624195465003</x:v>
      </x:c>
      <x:c r="AA374" s="75" t="n">
        <x:v>0.008249302456810256</x:v>
      </x:c>
      <x:c r="AB374" s="75" t="n">
        <x:v>0.003855323955885979</x:v>
      </x:c>
      <x:c r="AC374" s="75" t="n">
        <x:v>0.02397310977807865</x:v>
      </x:c>
      <x:c r="AD374" s="75" t="n">
        <x:v>0.09083611337713957</x:v>
      </x:c>
      <x:c r="AE374" s="75" t="n">
        <x:v>0.07964361173945916</x:v>
      </x:c>
      <x:c r="AF374" s="74" t="n">
        <x:v>9</x:v>
      </x:c>
    </x:row>
    <x:row r="375">
      <x:c r="A375" t="str">
        <x:v>2025 S2</x:v>
      </x:c>
      <x:c r="B375" t="str">
        <x:v>CNCT0094</x:v>
      </x:c>
      <x:c r="C375" s="74" t="n">
        <x:v>1698</x:v>
      </x:c>
      <x:c r="D375" s="74" t="n">
        <x:v>1034.782</x:v>
      </x:c>
      <x:c r="E375" s="75" t="n">
        <x:v>0.9653680640573148</x:v>
      </x:c>
      <x:c r="F375" s="75" t="n">
        <x:v>0.2021900438014418</x:v>
      </x:c>
      <x:c r="G375" s="75" t="n">
        <x:v>0.013207009225763613</x:v>
      </x:c>
      <x:c r="H375" s="75" t="n">
        <x:v>0.007209742316699703</x:v>
      </x:c>
      <x:c r="I375" s="75" t="n">
        <x:v>0.008001274504356844</x:v>
      </x:c>
      <x:c r="J375" s="75" t="n">
        <x:v>0.01193872180726612</x:v>
      </x:c>
      <x:c r="K375" s="75" t="n">
        <x:v>0.009809083334097067</x:v>
      </x:c>
      <x:c r="L375" s="75" t="n">
        <x:v>0.011124396280058135</x:v>
      </x:c>
      <x:c r="M375" s="75" t="n">
        <x:v>0.00896888393873087</x:v>
      </x:c>
      <x:c r="N375" s="75" t="n">
        <x:v>0.006428228181554005</x:v>
      </x:c>
      <x:c r="O375" s="75" t="n">
        <x:v>0.009388013934309127</x:v>
      </x:c>
      <x:c r="P375" s="75" t="n">
        <x:v>0.000585908794644638</x:v>
      </x:c>
      <x:c r="Q375" s="75" t="n">
        <x:v>0.0040674093225388785</x:v>
      </x:c>
      <x:c r="R375" s="75" t="n">
        <x:v>0.3553361844983299</x:v>
      </x:c>
      <x:c r="S375" s="75" t="n">
        <x:v>0.016874627687677276</x:v>
      </x:c>
      <x:c r="T375" s="75" t="n">
        <x:v>0.0038380443055502835</x:v>
      </x:c>
      <x:c r="U375" s="75" t="n">
        <x:v>0.012120667999435682</x:v>
      </x:c>
      <x:c r="V375" s="75" t="n">
        <x:v>0.030272440261029262</x:v>
      </x:c>
      <x:c r="W375" s="75" t="n">
        <x:v>0.00999643803195795</x:v>
      </x:c>
      <x:c r="X375" s="75" t="n">
        <x:v>0.023165071944487862</x:v>
      </x:c>
      <x:c r="Y375" s="75" t="n">
        <x:v>0.015502704836719205</x:v>
      </x:c>
      <x:c r="Z375" s="75" t="n">
        <x:v>0.005124624195465003</x:v>
      </x:c>
      <x:c r="AA375" s="75" t="n">
        <x:v>0.008249302456810256</x:v>
      </x:c>
      <x:c r="AB375" s="75" t="n">
        <x:v>0.003855323955885979</x:v>
      </x:c>
      <x:c r="AC375" s="75" t="n">
        <x:v>0.02397310977807865</x:v>
      </x:c>
      <x:c r="AD375" s="75" t="n">
        <x:v>0.09083611337713957</x:v>
      </x:c>
      <x:c r="AE375" s="75" t="n">
        <x:v>0.07365335446510302</x:v>
      </x:c>
      <x:c r="AF375" s="74" t="n">
        <x:v>9</x:v>
      </x:c>
    </x:row>
    <x:row r="376">
      <x:c r="A376" t="str">
        <x:v>2026 S1</x:v>
      </x:c>
      <x:c r="B376" t="str">
        <x:v>CNCT0094</x:v>
      </x:c>
      <x:c r="C376" s="74" t="n">
        <x:v>1632</x:v>
      </x:c>
      <x:c r="D376" s="74" t="n">
        <x:v>1067.004</x:v>
      </x:c>
      <x:c r="E376" s="75" t="n">
        <x:v>0.9751404437683658</x:v>
      </x:c>
      <x:c r="F376" s="75" t="n">
        <x:v>0.19981360123158085</x:v>
      </x:c>
      <x:c r="G376" s="75" t="n">
        <x:v>0.01206833838307648</x:v>
      </x:c>
      <x:c r="H376" s="75" t="n">
        <x:v>0.007209742316699703</x:v>
      </x:c>
      <x:c r="I376" s="75" t="n">
        <x:v>0.008001274504356844</x:v>
      </x:c>
      <x:c r="J376" s="75" t="n">
        <x:v>0.01193872180726612</x:v>
      </x:c>
      <x:c r="K376" s="75" t="n">
        <x:v>0.009809083334097067</x:v>
      </x:c>
      <x:c r="L376" s="75" t="n">
        <x:v>0.011124396280058135</x:v>
      </x:c>
      <x:c r="M376" s="75" t="n">
        <x:v>0.00896888393873087</x:v>
      </x:c>
      <x:c r="N376" s="75" t="n">
        <x:v>0.006428228181554005</x:v>
      </x:c>
      <x:c r="O376" s="75" t="n">
        <x:v>0.00919598226060043</x:v>
      </x:c>
      <x:c r="P376" s="75" t="n">
        <x:v>0.000585908794644638</x:v>
      </x:c>
      <x:c r="Q376" s="75" t="n">
        <x:v>0.0040674093225388785</x:v>
      </x:c>
      <x:c r="R376" s="75" t="n">
        <x:v>0.34838984643841525</x:v>
      </x:c>
      <x:c r="S376" s="75" t="n">
        <x:v>0.016874627687677276</x:v>
      </x:c>
      <x:c r="T376" s="75" t="n">
        <x:v>0.0038380443055502835</x:v>
      </x:c>
      <x:c r="U376" s="75" t="n">
        <x:v>0.012120667999435682</x:v>
      </x:c>
      <x:c r="V376" s="75" t="n">
        <x:v>0.030272440261029262</x:v>
      </x:c>
      <x:c r="W376" s="75" t="n">
        <x:v>0.012300127200593595</x:v>
      </x:c>
      <x:c r="X376" s="75" t="n">
        <x:v>0.028503486003433397</x:v>
      </x:c>
      <x:c r="Y376" s="75" t="n">
        <x:v>0.019075318712054805</x:v>
      </x:c>
      <x:c r="Z376" s="75" t="n">
        <x:v>0.006305598980151243</x:v>
      </x:c>
      <x:c r="AA376" s="75" t="n">
        <x:v>0.0101503624801705</x:v>
      </x:c>
      <x:c r="AB376" s="75" t="n">
        <x:v>0.004743787227539601</x:v>
      </x:c>
      <x:c r="AC376" s="75" t="n">
        <x:v>0.029497736966054736</x:v>
      </x:c>
      <x:c r="AD376" s="75" t="n">
        <x:v>0.09083611337713957</x:v>
      </x:c>
      <x:c r="AE376" s="75" t="n">
        <x:v>0.07964361173945916</x:v>
      </x:c>
      <x:c r="AF376" s="74" t="n">
        <x:v>9</x:v>
      </x:c>
    </x:row>
    <x:row r="377">
      <x:c r="A377" t="str">
        <x:v>2026 S2</x:v>
      </x:c>
      <x:c r="B377" t="str">
        <x:v>CNCT0094</x:v>
      </x:c>
      <x:c r="C377" s="74" t="n">
        <x:v>1768</x:v>
      </x:c>
      <x:c r="D377" s="74" t="n">
        <x:v>1076.347</x:v>
      </x:c>
      <x:c r="E377" s="75" t="n">
        <x:v>0.9653680640573148</x:v>
      </x:c>
      <x:c r="F377" s="75" t="n">
        <x:v>0.20634015324682514</x:v>
      </x:c>
      <x:c r="G377" s="75" t="n">
        <x:v>0.013391163567019249</x:v>
      </x:c>
      <x:c r="H377" s="75" t="n">
        <x:v>0.007209742316699703</x:v>
      </x:c>
      <x:c r="I377" s="75" t="n">
        <x:v>0.008001274504356844</x:v>
      </x:c>
      <x:c r="J377" s="75" t="n">
        <x:v>0.01193872180726612</x:v>
      </x:c>
      <x:c r="K377" s="75" t="n">
        <x:v>0.009809083334097067</x:v>
      </x:c>
      <x:c r="L377" s="75" t="n">
        <x:v>0.011124396280058135</x:v>
      </x:c>
      <x:c r="M377" s="75" t="n">
        <x:v>0.00896888393873087</x:v>
      </x:c>
      <x:c r="N377" s="75" t="n">
        <x:v>0.006428228181554005</x:v>
      </x:c>
      <x:c r="O377" s="75" t="n">
        <x:v>0.009388013934309127</x:v>
      </x:c>
      <x:c r="P377" s="75" t="n">
        <x:v>0.000585908794644638</x:v>
      </x:c>
      <x:c r="Q377" s="75" t="n">
        <x:v>0.0040674093225388785</x:v>
      </x:c>
      <x:c r="R377" s="75" t="n">
        <x:v>0.3464914627896393</x:v>
      </x:c>
      <x:c r="S377" s="75" t="n">
        <x:v>0.016874627687677276</x:v>
      </x:c>
      <x:c r="T377" s="75" t="n">
        <x:v>0.0038380443055502835</x:v>
      </x:c>
      <x:c r="U377" s="75" t="n">
        <x:v>0.012120667999435682</x:v>
      </x:c>
      <x:c r="V377" s="75" t="n">
        <x:v>0.030272440261029262</x:v>
      </x:c>
      <x:c r="W377" s="75" t="n">
        <x:v>0.010596224313875427</x:v>
      </x:c>
      <x:c r="X377" s="75" t="n">
        <x:v>0.024554976261157133</x:v>
      </x:c>
      <x:c r="Y377" s="75" t="n">
        <x:v>0.01643286712692236</x:v>
      </x:c>
      <x:c r="Z377" s="75" t="n">
        <x:v>0.005432101647192903</x:v>
      </x:c>
      <x:c r="AA377" s="75" t="n">
        <x:v>0.008744260604218871</x:v>
      </x:c>
      <x:c r="AB377" s="75" t="n">
        <x:v>0.0040866433932391375</x:v>
      </x:c>
      <x:c r="AC377" s="75" t="n">
        <x:v>0.02541149636476337</x:v>
      </x:c>
      <x:c r="AD377" s="75" t="n">
        <x:v>0.09083611337713957</x:v>
      </x:c>
      <x:c r="AE377" s="75" t="n">
        <x:v>0.07774708025906119</x:v>
      </x:c>
      <x:c r="AF377" s="74" t="n">
        <x:v>9</x:v>
      </x:c>
    </x:row>
    <x:row r="378">
      <x:c r="A378" t="str">
        <x:v>2025 S1</x:v>
      </x:c>
      <x:c r="B378" t="str">
        <x:v>CNCT0095</x:v>
      </x:c>
      <x:c r="C378" s="74" t="n">
        <x:v>1252</x:v>
      </x:c>
      <x:c r="D378" s="74" t="n">
        <x:v>1074.403</x:v>
      </x:c>
      <x:c r="E378" s="75" t="n">
        <x:v>0.9729741905627597</x:v>
      </x:c>
      <x:c r="F378" s="75" t="n">
        <x:v>0.207290509944316</x:v>
      </x:c>
      <x:c r="G378" s="75" t="n">
        <x:v>0.01503999215157819</x:v>
      </x:c>
      <x:c r="H378" s="75" t="n">
        <x:v>0.0070206365984777225</x:v>
      </x:c>
      <x:c r="I378" s="75" t="n">
        <x:v>0.006758962130959844</x:v>
      </x:c>
      <x:c r="J378" s="75" t="n">
        <x:v>0.016672834649303695</x:v>
      </x:c>
      <x:c r="K378" s="75" t="n">
        <x:v>0.01255875479811948</x:v>
      </x:c>
      <x:c r="L378" s="75" t="n">
        <x:v>0.009087070610732552</x:v>
      </x:c>
      <x:c r="M378" s="75" t="n">
        <x:v>0.01045437395695717</x:v>
      </x:c>
      <x:c r="N378" s="75" t="n">
        <x:v>0.00780178924385109</x:v>
      </x:c>
      <x:c r="O378" s="75" t="n">
        <x:v>0.010852229559037368</x:v>
      </x:c>
      <x:c r="P378" s="75" t="n">
        <x:v>0.002790181622855016</x:v>
      </x:c>
      <x:c r="Q378" s="75" t="n">
        <x:v>0.004045424369513057</x:v>
      </x:c>
      <x:c r="R378" s="75" t="n">
        <x:v>0.3506065247494084</x:v>
      </x:c>
      <x:c r="S378" s="75" t="n">
        <x:v>0.015331241652864265</x:v>
      </x:c>
      <x:c r="T378" s="75" t="n">
        <x:v>0.00482191609160509</x:v>
      </x:c>
      <x:c r="U378" s="75" t="n">
        <x:v>0.010295516264595789</x:v>
      </x:c>
      <x:c r="V378" s="75" t="n">
        <x:v>0.033486711577264947</x:v>
      </x:c>
      <x:c r="W378" s="75" t="n">
        <x:v>0.011845480844771373</x:v>
      </x:c>
      <x:c r="X378" s="75" t="n">
        <x:v>0.02255383705177519</x:v>
      </x:c>
      <x:c r="Y378" s="75" t="n">
        <x:v>0.01748410705884453</x:v>
      </x:c>
      <x:c r="Z378" s="75" t="n">
        <x:v>0.006417346159985755</x:v>
      </x:c>
      <x:c r="AA378" s="75" t="n">
        <x:v>0.0061630597242328805</x:v>
      </x:c>
      <x:c r="AB378" s="75" t="n">
        <x:v>0.00681881686662382</x:v>
      </x:c>
      <x:c r="AC378" s="75" t="n">
        <x:v>0.016044515939851407</x:v>
      </x:c>
      <x:c r="AD378" s="75" t="n">
        <x:v>0.10865009359469287</x:v>
      </x:c>
      <x:c r="AE378" s="75" t="n">
        <x:v>0.08292769323410903</x:v>
      </x:c>
      <x:c r="AF378" s="74" t="n">
        <x:v>5</x:v>
      </x:c>
    </x:row>
    <x:row r="379">
      <x:c r="A379" t="str">
        <x:v>2025 S2</x:v>
      </x:c>
      <x:c r="B379" t="str">
        <x:v>CNCT0095</x:v>
      </x:c>
      <x:c r="C379" s="74" t="n">
        <x:v>1329</x:v>
      </x:c>
      <x:c r="D379" s="74" t="n">
        <x:v>1087.296</x:v>
      </x:c>
      <x:c r="E379" s="75" t="n">
        <x:v>0.9800252222385024</x:v>
      </x:c>
      <x:c r="F379" s="75" t="n">
        <x:v>0.207290509944316</x:v>
      </x:c>
      <x:c r="G379" s="75" t="n">
        <x:v>0.01503999215157819</x:v>
      </x:c>
      <x:c r="H379" s="75" t="n">
        <x:v>0.0070206365984777225</x:v>
      </x:c>
      <x:c r="I379" s="75" t="n">
        <x:v>0.006758962130959844</x:v>
      </x:c>
      <x:c r="J379" s="75" t="n">
        <x:v>0.016672834649303695</x:v>
      </x:c>
      <x:c r="K379" s="75" t="n">
        <x:v>0.01255875479811948</x:v>
      </x:c>
      <x:c r="L379" s="75" t="n">
        <x:v>0.009087070610732552</x:v>
      </x:c>
      <x:c r="M379" s="75" t="n">
        <x:v>0.01045437395695717</x:v>
      </x:c>
      <x:c r="N379" s="75" t="n">
        <x:v>0.00780178924385109</x:v>
      </x:c>
      <x:c r="O379" s="75" t="n">
        <x:v>0.010852229559037368</x:v>
      </x:c>
      <x:c r="P379" s="75" t="n">
        <x:v>0.002790181622855016</x:v>
      </x:c>
      <x:c r="Q379" s="75" t="n">
        <x:v>0.004045424369513057</x:v>
      </x:c>
      <x:c r="R379" s="75" t="n">
        <x:v>0.35310748437793793</x:v>
      </x:c>
      <x:c r="S379" s="75" t="n">
        <x:v>0.015331241652864265</x:v>
      </x:c>
      <x:c r="T379" s="75" t="n">
        <x:v>0.00482191609160509</x:v>
      </x:c>
      <x:c r="U379" s="75" t="n">
        <x:v>0.010295516264595789</x:v>
      </x:c>
      <x:c r="V379" s="75" t="n">
        <x:v>0.033486711577264947</x:v>
      </x:c>
      <x:c r="W379" s="75" t="n">
        <x:v>0.011845480844771373</x:v>
      </x:c>
      <x:c r="X379" s="75" t="n">
        <x:v>0.02255383705177519</x:v>
      </x:c>
      <x:c r="Y379" s="75" t="n">
        <x:v>0.01748410705884453</x:v>
      </x:c>
      <x:c r="Z379" s="75" t="n">
        <x:v>0.006417346159985755</x:v>
      </x:c>
      <x:c r="AA379" s="75" t="n">
        <x:v>0.0061630597242328805</x:v>
      </x:c>
      <x:c r="AB379" s="75" t="n">
        <x:v>0.00681881686662382</x:v>
      </x:c>
      <x:c r="AC379" s="75" t="n">
        <x:v>0.016044515939851407</x:v>
      </x:c>
      <x:c r="AD379" s="75" t="n">
        <x:v>0.10865009359469287</x:v>
      </x:c>
      <x:c r="AE379" s="75" t="n">
        <x:v>0.08292769323410903</x:v>
      </x:c>
      <x:c r="AF379" s="74" t="n">
        <x:v>5</x:v>
      </x:c>
    </x:row>
    <x:row r="380">
      <x:c r="A380" t="str">
        <x:v>2026 S1</x:v>
      </x:c>
      <x:c r="B380" t="str">
        <x:v>CNCT0095</x:v>
      </x:c>
      <x:c r="C380" s="74" t="n">
        <x:v>1320</x:v>
      </x:c>
      <x:c r="D380" s="74" t="n">
        <x:v>1133.629</x:v>
      </x:c>
      <x:c r="E380" s="75" t="n">
        <x:v>0.9722586390589713</x:v>
      </x:c>
      <x:c r="F380" s="75" t="n">
        <x:v>0.20305135403880922</x:v>
      </x:c>
      <x:c r="G380" s="75" t="n">
        <x:v>0.013689234877576381</x:v>
      </x:c>
      <x:c r="H380" s="75" t="n">
        <x:v>0.0070206365984777225</x:v>
      </x:c>
      <x:c r="I380" s="75" t="n">
        <x:v>0.006758962130959844</x:v>
      </x:c>
      <x:c r="J380" s="75" t="n">
        <x:v>0.016672834649303695</x:v>
      </x:c>
      <x:c r="K380" s="75" t="n">
        <x:v>0.01255875479811948</x:v>
      </x:c>
      <x:c r="L380" s="75" t="n">
        <x:v>0.009087070610732552</x:v>
      </x:c>
      <x:c r="M380" s="75" t="n">
        <x:v>0.01045437395695717</x:v>
      </x:c>
      <x:c r="N380" s="75" t="n">
        <x:v>0.00780178924385109</x:v>
      </x:c>
      <x:c r="O380" s="75" t="n">
        <x:v>0.01065477347644628</x:v>
      </x:c>
      <x:c r="P380" s="75" t="n">
        <x:v>0.002790181622855016</x:v>
      </x:c>
      <x:c r="Q380" s="75" t="n">
        <x:v>0.004045424369513057</x:v>
      </x:c>
      <x:c r="R380" s="75" t="n">
        <x:v>0.3536616690167234</x:v>
      </x:c>
      <x:c r="S380" s="75" t="n">
        <x:v>0.015331241652864265</x:v>
      </x:c>
      <x:c r="T380" s="75" t="n">
        <x:v>0.00482191609160509</x:v>
      </x:c>
      <x:c r="U380" s="75" t="n">
        <x:v>0.010295516264595789</x:v>
      </x:c>
      <x:c r="V380" s="75" t="n">
        <x:v>0.033486711577264947</x:v>
      </x:c>
      <x:c r="W380" s="75" t="n">
        <x:v>0.014575283783792444</x:v>
      </x:c>
      <x:c r="X380" s="75" t="n">
        <x:v>0.02775139141676446</x:v>
      </x:c>
      <x:c r="Y380" s="75" t="n">
        <x:v>0.021513337063168093</x:v>
      </x:c>
      <x:c r="Z380" s="75" t="n">
        <x:v>0.007896230017704137</x:v>
      </x:c>
      <x:c r="AA380" s="75" t="n">
        <x:v>0.007583343017840117</x:v>
      </x:c>
      <x:c r="AB380" s="75" t="n">
        <x:v>0.008390220051271442</x:v>
      </x:c>
      <x:c r="AC380" s="75" t="n">
        <x:v>0.01974199072721806</x:v>
      </x:c>
      <x:c r="AD380" s="75" t="n">
        <x:v>0.10865009359469287</x:v>
      </x:c>
      <x:c r="AE380" s="75" t="n">
        <x:v>0.08292769323410903</x:v>
      </x:c>
      <x:c r="AF380" s="74" t="n">
        <x:v>5</x:v>
      </x:c>
    </x:row>
    <x:row r="381">
      <x:c r="A381" t="str">
        <x:v>2026 S2</x:v>
      </x:c>
      <x:c r="B381" t="str">
        <x:v>CNCT0095</x:v>
      </x:c>
      <x:c r="C381" s="74" t="n">
        <x:v>1453</x:v>
      </x:c>
      <x:c r="D381" s="74" t="n">
        <x:v>1113.267</x:v>
      </x:c>
      <x:c r="E381" s="75" t="n">
        <x:v>0.9800252222385024</x:v>
      </x:c>
      <x:c r="F381" s="75" t="n">
        <x:v>0.20699609099335795</x:v>
      </x:c>
      <x:c r="G381" s="75" t="n">
        <x:v>0.01327464918224723</x:v>
      </x:c>
      <x:c r="H381" s="75" t="n">
        <x:v>0.0070206365984777225</x:v>
      </x:c>
      <x:c r="I381" s="75" t="n">
        <x:v>0.006758962130959844</x:v>
      </x:c>
      <x:c r="J381" s="75" t="n">
        <x:v>0.016672834649303695</x:v>
      </x:c>
      <x:c r="K381" s="75" t="n">
        <x:v>0.01255875479811948</x:v>
      </x:c>
      <x:c r="L381" s="75" t="n">
        <x:v>0.009087070610732552</x:v>
      </x:c>
      <x:c r="M381" s="75" t="n">
        <x:v>0.01045437395695717</x:v>
      </x:c>
      <x:c r="N381" s="75" t="n">
        <x:v>0.00780178924385109</x:v>
      </x:c>
      <x:c r="O381" s="75" t="n">
        <x:v>0.010852229559037368</x:v>
      </x:c>
      <x:c r="P381" s="75" t="n">
        <x:v>0.002790181622855016</x:v>
      </x:c>
      <x:c r="Q381" s="75" t="n">
        <x:v>0.004045424369513057</x:v>
      </x:c>
      <x:c r="R381" s="75" t="n">
        <x:v>0.3465115471091403</x:v>
      </x:c>
      <x:c r="S381" s="75" t="n">
        <x:v>0.015331241652864265</x:v>
      </x:c>
      <x:c r="T381" s="75" t="n">
        <x:v>0.00482191609160509</x:v>
      </x:c>
      <x:c r="U381" s="75" t="n">
        <x:v>0.010295516264595789</x:v>
      </x:c>
      <x:c r="V381" s="75" t="n">
        <x:v>0.033486711577264947</x:v>
      </x:c>
      <x:c r="W381" s="75" t="n">
        <x:v>0.012556209695457655</x:v>
      </x:c>
      <x:c r="X381" s="75" t="n">
        <x:v>0.0239070672748817</x:v>
      </x:c>
      <x:c r="Y381" s="75" t="n">
        <x:v>0.018533153482375202</x:v>
      </x:c>
      <x:c r="Z381" s="75" t="n">
        <x:v>0.0068023869295849</x:v>
      </x:c>
      <x:c r="AA381" s="75" t="n">
        <x:v>0.006532843307686853</x:v>
      </x:c>
      <x:c r="AB381" s="75" t="n">
        <x:v>0.007227945878621249</x:v>
      </x:c>
      <x:c r="AC381" s="75" t="n">
        <x:v>0.017007186896242494</x:v>
      </x:c>
      <x:c r="AD381" s="75" t="n">
        <x:v>0.10865009359469287</x:v>
      </x:c>
      <x:c r="AE381" s="75" t="n">
        <x:v>0.08292769323410903</x:v>
      </x:c>
      <x:c r="AF381" s="74" t="n">
        <x:v>5</x:v>
      </x:c>
    </x:row>
    <x:row r="382">
      <x:c r="A382" t="str">
        <x:v>2025 S1</x:v>
      </x:c>
      <x:c r="B382" t="str">
        <x:v>CNCT0096</x:v>
      </x:c>
      <x:c r="C382" s="74" t="n">
        <x:v>1658</x:v>
      </x:c>
      <x:c r="D382" s="74" t="n">
        <x:v>1078.834</x:v>
      </x:c>
      <x:c r="E382" s="75" t="n">
        <x:v>0.9636413892175842</x:v>
      </x:c>
      <x:c r="F382" s="75" t="n">
        <x:v>0.20358894361951388</x:v>
      </x:c>
      <x:c r="G382" s="75" t="n">
        <x:v>0.013280690089071867</x:v>
      </x:c>
      <x:c r="H382" s="75" t="n">
        <x:v>0.007522978154695011</x:v>
      </x:c>
      <x:c r="I382" s="75" t="n">
        <x:v>0.009845006827679754</x:v>
      </x:c>
      <x:c r="J382" s="75" t="n">
        <x:v>0.01571995425922796</x:v>
      </x:c>
      <x:c r="K382" s="75" t="n">
        <x:v>0.012138423305092147</x:v>
      </x:c>
      <x:c r="L382" s="75" t="n">
        <x:v>0.008325488646391021</x:v>
      </x:c>
      <x:c r="M382" s="75" t="n">
        <x:v>0.006062205428850575</x:v>
      </x:c>
      <x:c r="N382" s="75" t="n">
        <x:v>0.005301675099082786</x:v>
      </x:c>
      <x:c r="O382" s="75" t="n">
        <x:v>0.0066078010745841305</x:v>
      </x:c>
      <x:c r="P382" s="75" t="n">
        <x:v>0.0024883248110636486</x:v>
      </x:c>
      <x:c r="Q382" s="75" t="n">
        <x:v>0.003951698392309482</x:v>
      </x:c>
      <x:c r="R382" s="75" t="n">
        <x:v>0.37393978043999626</x:v>
      </x:c>
      <x:c r="S382" s="75" t="n">
        <x:v>0.012542310604723753</x:v>
      </x:c>
      <x:c r="T382" s="75" t="n">
        <x:v>0.006295013059978373</x:v>
      </x:c>
      <x:c r="U382" s="75" t="n">
        <x:v>0.006362953514093533</x:v>
      </x:c>
      <x:c r="V382" s="75" t="n">
        <x:v>0.02963914882470272</x:v>
      </x:c>
      <x:c r="W382" s="75" t="n">
        <x:v>0.013916930801024137</x:v>
      </x:c>
      <x:c r="X382" s="75" t="n">
        <x:v>0.024825499378159293</x:v>
      </x:c>
      <x:c r="Y382" s="75" t="n">
        <x:v>0.019203563559916804</x:v>
      </x:c>
      <x:c r="Z382" s="75" t="n">
        <x:v>0.006628416784369619</x:v>
      </x:c>
      <x:c r="AA382" s="75" t="n">
        <x:v>0.005776482362300158</x:v>
      </x:c>
      <x:c r="AB382" s="75" t="n">
        <x:v>0.004234854616544908</x:v>
      </x:c>
      <x:c r="AC382" s="75" t="n">
        <x:v>0.022295108495032762</x:v>
      </x:c>
      <x:c r="AD382" s="75" t="n">
        <x:v>0.09536267684196355</x:v>
      </x:c>
      <x:c r="AE382" s="75" t="n">
        <x:v>0.06710268349209582</x:v>
      </x:c>
      <x:c r="AF382" s="74" t="n">
        <x:v>6</x:v>
      </x:c>
    </x:row>
    <x:row r="383">
      <x:c r="A383" t="str">
        <x:v>2025 S2</x:v>
      </x:c>
      <x:c r="B383" t="str">
        <x:v>CNCT0096</x:v>
      </x:c>
      <x:c r="C383" s="74" t="n">
        <x:v>1766</x:v>
      </x:c>
      <x:c r="D383" s="74" t="n">
        <x:v>1091.78</x:v>
      </x:c>
      <x:c r="E383" s="75" t="n">
        <x:v>0.9705324416889926</x:v>
      </x:c>
      <x:c r="F383" s="75" t="n">
        <x:v>0.20358894361951388</x:v>
      </x:c>
      <x:c r="G383" s="75" t="n">
        <x:v>0.013280690089071867</x:v>
      </x:c>
      <x:c r="H383" s="75" t="n">
        <x:v>0.007522978154695011</x:v>
      </x:c>
      <x:c r="I383" s="75" t="n">
        <x:v>0.009845006827679754</x:v>
      </x:c>
      <x:c r="J383" s="75" t="n">
        <x:v>0.01571995425922796</x:v>
      </x:c>
      <x:c r="K383" s="75" t="n">
        <x:v>0.012138423305092147</x:v>
      </x:c>
      <x:c r="L383" s="75" t="n">
        <x:v>0.008325488646391021</x:v>
      </x:c>
      <x:c r="M383" s="75" t="n">
        <x:v>0.006062205428850575</x:v>
      </x:c>
      <x:c r="N383" s="75" t="n">
        <x:v>0.005301675099082786</x:v>
      </x:c>
      <x:c r="O383" s="75" t="n">
        <x:v>0.0066078010745841305</x:v>
      </x:c>
      <x:c r="P383" s="75" t="n">
        <x:v>0.0024883248110636486</x:v>
      </x:c>
      <x:c r="Q383" s="75" t="n">
        <x:v>0.003951698392309482</x:v>
      </x:c>
      <x:c r="R383" s="75" t="n">
        <x:v>0.37057232306009114</x:v>
      </x:c>
      <x:c r="S383" s="75" t="n">
        <x:v>0.012542310604723753</x:v>
      </x:c>
      <x:c r="T383" s="75" t="n">
        <x:v>0.006295013059978373</x:v>
      </x:c>
      <x:c r="U383" s="75" t="n">
        <x:v>0.006362953514093533</x:v>
      </x:c>
      <x:c r="V383" s="75" t="n">
        <x:v>0.02963914882470272</x:v>
      </x:c>
      <x:c r="W383" s="75" t="n">
        <x:v>0.013916930801024137</x:v>
      </x:c>
      <x:c r="X383" s="75" t="n">
        <x:v>0.024825499378159293</x:v>
      </x:c>
      <x:c r="Y383" s="75" t="n">
        <x:v>0.019203563559916804</x:v>
      </x:c>
      <x:c r="Z383" s="75" t="n">
        <x:v>0.006628416784369619</x:v>
      </x:c>
      <x:c r="AA383" s="75" t="n">
        <x:v>0.005776482362300158</x:v>
      </x:c>
      <x:c r="AB383" s="75" t="n">
        <x:v>0.004234854616544908</x:v>
      </x:c>
      <x:c r="AC383" s="75" t="n">
        <x:v>0.022295108495032762</x:v>
      </x:c>
      <x:c r="AD383" s="75" t="n">
        <x:v>0.09536267684196355</x:v>
      </x:c>
      <x:c r="AE383" s="75" t="n">
        <x:v>0.06710268349209582</x:v>
      </x:c>
      <x:c r="AF383" s="74" t="n">
        <x:v>6</x:v>
      </x:c>
    </x:row>
    <x:row r="384">
      <x:c r="A384" t="str">
        <x:v>2026 S1</x:v>
      </x:c>
      <x:c r="B384" t="str">
        <x:v>CNCT0096</x:v>
      </x:c>
      <x:c r="C384" s="74" t="n">
        <x:v>1532</x:v>
      </x:c>
      <x:c r="D384" s="74" t="n">
        <x:v>1140.117</x:v>
      </x:c>
      <x:c r="E384" s="75" t="n">
        <x:v>0.9615973538646431</x:v>
      </x:c>
      <x:c r="F384" s="75" t="n">
        <x:v>0.19814782562269828</x:v>
      </x:c>
      <x:c r="G384" s="75" t="n">
        <x:v>0.01312887543493707</x:v>
      </x:c>
      <x:c r="H384" s="75" t="n">
        <x:v>0.007522978154695011</x:v>
      </x:c>
      <x:c r="I384" s="75" t="n">
        <x:v>0.009845006827679754</x:v>
      </x:c>
      <x:c r="J384" s="75" t="n">
        <x:v>0.01571995425922796</x:v>
      </x:c>
      <x:c r="K384" s="75" t="n">
        <x:v>0.012138423305092147</x:v>
      </x:c>
      <x:c r="L384" s="75" t="n">
        <x:v>0.008325488646391021</x:v>
      </x:c>
      <x:c r="M384" s="75" t="n">
        <x:v>0.006062205428850575</x:v>
      </x:c>
      <x:c r="N384" s="75" t="n">
        <x:v>0.005301675099082786</x:v>
      </x:c>
      <x:c r="O384" s="75" t="n">
        <x:v>0.006496212566729809</x:v>
      </x:c>
      <x:c r="P384" s="75" t="n">
        <x:v>0.0024883248110636486</x:v>
      </x:c>
      <x:c r="Q384" s="75" t="n">
        <x:v>0.003951698392309482</x:v>
      </x:c>
      <x:c r="R384" s="75" t="n">
        <x:v>0.3725517313246142</x:v>
      </x:c>
      <x:c r="S384" s="75" t="n">
        <x:v>0.012542310604723753</x:v>
      </x:c>
      <x:c r="T384" s="75" t="n">
        <x:v>0.006295013059978373</x:v>
      </x:c>
      <x:c r="U384" s="75" t="n">
        <x:v>0.006362953514093533</x:v>
      </x:c>
      <x:c r="V384" s="75" t="n">
        <x:v>0.02963914882470272</x:v>
      </x:c>
      <x:c r="W384" s="75" t="n">
        <x:v>0.017124101459660392</x:v>
      </x:c>
      <x:c r="X384" s="75" t="n">
        <x:v>0.03054656060422833</x:v>
      </x:c>
      <x:c r="Y384" s="75" t="n">
        <x:v>0.023629044039139225</x:v>
      </x:c>
      <x:c r="Z384" s="75" t="n">
        <x:v>0.008155942079133458</x:v>
      </x:c>
      <x:c r="AA384" s="75" t="n">
        <x:v>0.007107678515200163</x:v>
      </x:c>
      <x:c r="AB384" s="75" t="n">
        <x:v>0.005210781109530964</x:v>
      </x:c>
      <x:c r="AC384" s="75" t="n">
        <x:v>0.027433038604674397</x:v>
      </x:c>
      <x:c r="AD384" s="75" t="n">
        <x:v>0.09536267684196355</x:v>
      </x:c>
      <x:c r="AE384" s="75" t="n">
        <x:v>0.06710268349209582</x:v>
      </x:c>
      <x:c r="AF384" s="74" t="n">
        <x:v>6</x:v>
      </x:c>
    </x:row>
    <x:row r="385">
      <x:c r="A385" t="str">
        <x:v>2026 S2</x:v>
      </x:c>
      <x:c r="B385" t="str">
        <x:v>CNCT0096</x:v>
      </x:c>
      <x:c r="C385" s="74" t="n">
        <x:v>1741</x:v>
      </x:c>
      <x:c r="D385" s="74" t="n">
        <x:v>1117.995</x:v>
      </x:c>
      <x:c r="E385" s="75" t="n">
        <x:v>0.9705324416889926</x:v>
      </x:c>
      <x:c r="F385" s="75" t="n">
        <x:v>0.20460693237083613</x:v>
      </x:c>
      <x:c r="G385" s="75" t="n">
        <x:v>0.013380479891042341</x:v>
      </x:c>
      <x:c r="H385" s="75" t="n">
        <x:v>0.007522978154695011</x:v>
      </x:c>
      <x:c r="I385" s="75" t="n">
        <x:v>0.009845006827679754</x:v>
      </x:c>
      <x:c r="J385" s="75" t="n">
        <x:v>0.01571995425922796</x:v>
      </x:c>
      <x:c r="K385" s="75" t="n">
        <x:v>0.012138423305092147</x:v>
      </x:c>
      <x:c r="L385" s="75" t="n">
        <x:v>0.008325488646391021</x:v>
      </x:c>
      <x:c r="M385" s="75" t="n">
        <x:v>0.006062205428850575</x:v>
      </x:c>
      <x:c r="N385" s="75" t="n">
        <x:v>0.005301675099082786</x:v>
      </x:c>
      <x:c r="O385" s="75" t="n">
        <x:v>0.0066078010745841305</x:v>
      </x:c>
      <x:c r="P385" s="75" t="n">
        <x:v>0.0024883248110636486</x:v>
      </x:c>
      <x:c r="Q385" s="75" t="n">
        <x:v>0.003951698392309482</x:v>
      </x:c>
      <x:c r="R385" s="75" t="n">
        <x:v>0.3655652893449242</x:v>
      </x:c>
      <x:c r="S385" s="75" t="n">
        <x:v>0.012542310604723753</x:v>
      </x:c>
      <x:c r="T385" s="75" t="n">
        <x:v>0.006295013059978373</x:v>
      </x:c>
      <x:c r="U385" s="75" t="n">
        <x:v>0.006362953514093533</x:v>
      </x:c>
      <x:c r="V385" s="75" t="n">
        <x:v>0.02963914882470272</x:v>
      </x:c>
      <x:c r="W385" s="75" t="n">
        <x:v>0.014751946649085586</x:v>
      </x:c>
      <x:c r="X385" s="75" t="n">
        <x:v>0.026315029340848853</x:v>
      </x:c>
      <x:c r="Y385" s="75" t="n">
        <x:v>0.020355777373511814</x:v>
      </x:c>
      <x:c r="Z385" s="75" t="n">
        <x:v>0.007026121791431797</x:v>
      </x:c>
      <x:c r="AA385" s="75" t="n">
        <x:v>0.006123071304038168</x:v>
      </x:c>
      <x:c r="AB385" s="75" t="n">
        <x:v>0.004488945893537603</x:v>
      </x:c>
      <x:c r="AC385" s="75" t="n">
        <x:v>0.023632815004734728</x:v>
      </x:c>
      <x:c r="AD385" s="75" t="n">
        <x:v>0.09536267684196355</x:v>
      </x:c>
      <x:c r="AE385" s="75" t="n">
        <x:v>0.06710268349209582</x:v>
      </x:c>
      <x:c r="AF385" s="74" t="n">
        <x:v>6</x:v>
      </x:c>
    </x:row>
    <x:row r="386">
      <x:c r="A386" t="str">
        <x:v>2025 S1</x:v>
      </x:c>
      <x:c r="B386" t="str">
        <x:v>CNCT0097</x:v>
      </x:c>
      <x:c r="C386" s="74" t="n">
        <x:v>1478</x:v>
      </x:c>
      <x:c r="D386" s="74" t="n">
        <x:v>908.971</x:v>
      </x:c>
      <x:c r="E386" s="75" t="n">
        <x:v>0.9622155725044577</x:v>
      </x:c>
      <x:c r="F386" s="75" t="n">
        <x:v>0.19858501679904292</x:v>
      </x:c>
      <x:c r="G386" s="75" t="n">
        <x:v>0.015061405450382153</x:v>
      </x:c>
      <x:c r="H386" s="75" t="n">
        <x:v>0.010504323842484155</x:v>
      </x:c>
      <x:c r="I386" s="75" t="n">
        <x:v>0.010432461283860904</x:v>
      </x:c>
      <x:c r="J386" s="75" t="n">
        <x:v>0.015395458598388359</x:v>
      </x:c>
      <x:c r="K386" s="75" t="n">
        <x:v>0.00892416100864648</x:v>
      </x:c>
      <x:c r="L386" s="75" t="n">
        <x:v>0.009881210238978382</x:v>
      </x:c>
      <x:c r="M386" s="75" t="n">
        <x:v>0.009906792663630768</x:v>
      </x:c>
      <x:c r="N386" s="75" t="n">
        <x:v>0.007624452089017723</x:v>
      </x:c>
      <x:c r="O386" s="75" t="n">
        <x:v>0.009737171227976432</x:v>
      </x:c>
      <x:c r="P386" s="75" t="n">
        <x:v>0.0016845118328292301</x:v>
      </x:c>
      <x:c r="Q386" s="75" t="n">
        <x:v>0.0037734333696134853</x:v>
      </x:c>
      <x:c r="R386" s="75" t="n">
        <x:v>0.3653092621323062</x:v>
      </x:c>
      <x:c r="S386" s="75" t="n">
        <x:v>0.013704265731634224</x:v>
      </x:c>
      <x:c r="T386" s="75" t="n">
        <x:v>0.003016181123297429</x:v>
      </x:c>
      <x:c r="U386" s="75" t="n">
        <x:v>0.007145395976956933</x:v>
      </x:c>
      <x:c r="V386" s="75" t="n">
        <x:v>0.03267323262878927</x:v>
      </x:c>
      <x:c r="W386" s="75" t="n">
        <x:v>0.009225444084473566</x:v>
      </x:c>
      <x:c r="X386" s="75" t="n">
        <x:v>0.026872783842365605</x:v>
      </x:c>
      <x:c r="Y386" s="75" t="n">
        <x:v>0.016616418243997032</x:v>
      </x:c>
      <x:c r="Z386" s="75" t="n">
        <x:v>0.004957888495991938</x:v>
      </x:c>
      <x:c r="AA386" s="75" t="n">
        <x:v>0.00592407055865624</x:v>
      </x:c>
      <x:c r="AB386" s="75" t="n">
        <x:v>0.0063853519888944</x:v>
      </x:c>
      <x:c r="AC386" s="75" t="n">
        <x:v>0.02081593840412097</x:v>
      </x:c>
      <x:c r="AD386" s="75" t="n">
        <x:v>0.12015309879511188</x:v>
      </x:c>
      <x:c r="AE386" s="75" t="n">
        <x:v>0.07982178801127884</x:v>
      </x:c>
      <x:c r="AF386" s="74" t="n">
        <x:v>7</x:v>
      </x:c>
    </x:row>
    <x:row r="387">
      <x:c r="A387" t="str">
        <x:v>2025 S2</x:v>
      </x:c>
      <x:c r="B387" t="str">
        <x:v>CNCT0097</x:v>
      </x:c>
      <x:c r="C387" s="74" t="n">
        <x:v>1563</x:v>
      </x:c>
      <x:c r="D387" s="74" t="n">
        <x:v>919.879</x:v>
      </x:c>
      <x:c r="E387" s="75" t="n">
        <x:v>0.9625268080100587</x:v>
      </x:c>
      <x:c r="F387" s="75" t="n">
        <x:v>0.19858501679904292</x:v>
      </x:c>
      <x:c r="G387" s="75" t="n">
        <x:v>0.015061405450382153</x:v>
      </x:c>
      <x:c r="H387" s="75" t="n">
        <x:v>0.010504323842484155</x:v>
      </x:c>
      <x:c r="I387" s="75" t="n">
        <x:v>0.010432461283860904</x:v>
      </x:c>
      <x:c r="J387" s="75" t="n">
        <x:v>0.015395458598388359</x:v>
      </x:c>
      <x:c r="K387" s="75" t="n">
        <x:v>0.00892416100864648</x:v>
      </x:c>
      <x:c r="L387" s="75" t="n">
        <x:v>0.009881210238978382</x:v>
      </x:c>
      <x:c r="M387" s="75" t="n">
        <x:v>0.009906792663630768</x:v>
      </x:c>
      <x:c r="N387" s="75" t="n">
        <x:v>0.007624452089017723</x:v>
      </x:c>
      <x:c r="O387" s="75" t="n">
        <x:v>0.009737171227976432</x:v>
      </x:c>
      <x:c r="P387" s="75" t="n">
        <x:v>0.0016845118328292301</x:v>
      </x:c>
      <x:c r="Q387" s="75" t="n">
        <x:v>0.0037734333696134853</x:v>
      </x:c>
      <x:c r="R387" s="75" t="n">
        <x:v>0.3490633099174388</x:v>
      </x:c>
      <x:c r="S387" s="75" t="n">
        <x:v>0.013704265731634224</x:v>
      </x:c>
      <x:c r="T387" s="75" t="n">
        <x:v>0.003016181123297429</x:v>
      </x:c>
      <x:c r="U387" s="75" t="n">
        <x:v>0.007145395976956933</x:v>
      </x:c>
      <x:c r="V387" s="75" t="n">
        <x:v>0.03267323262878927</x:v>
      </x:c>
      <x:c r="W387" s="75" t="n">
        <x:v>0.009225444084473566</x:v>
      </x:c>
      <x:c r="X387" s="75" t="n">
        <x:v>0.026872783842365605</x:v>
      </x:c>
      <x:c r="Y387" s="75" t="n">
        <x:v>0.016616418243997032</x:v>
      </x:c>
      <x:c r="Z387" s="75" t="n">
        <x:v>0.004957888495991938</x:v>
      </x:c>
      <x:c r="AA387" s="75" t="n">
        <x:v>0.00592407055865624</x:v>
      </x:c>
      <x:c r="AB387" s="75" t="n">
        <x:v>0.0063853519888944</x:v>
      </x:c>
      <x:c r="AC387" s="75" t="n">
        <x:v>0.02081593840412097</x:v>
      </x:c>
      <x:c r="AD387" s="75" t="n">
        <x:v>0.12015309879511188</x:v>
      </x:c>
      <x:c r="AE387" s="75" t="n">
        <x:v>0.07982178801127884</x:v>
      </x:c>
      <x:c r="AF387" s="74" t="n">
        <x:v>7</x:v>
      </x:c>
    </x:row>
    <x:row r="388">
      <x:c r="A388" t="str">
        <x:v>2026 S1</x:v>
      </x:c>
      <x:c r="B388" t="str">
        <x:v>CNCT0097</x:v>
      </x:c>
      <x:c r="C388" s="74" t="n">
        <x:v>1403</x:v>
      </x:c>
      <x:c r="D388" s="74" t="n">
        <x:v>958.776</x:v>
      </x:c>
      <x:c r="E388" s="75" t="n">
        <x:v>0.9598376451069053</x:v>
      </x:c>
      <x:c r="F388" s="75" t="n">
        <x:v>0.1950778350374021</x:v>
      </x:c>
      <x:c r="G388" s="75" t="n">
        <x:v>0.01370207578058762</x:v>
      </x:c>
      <x:c r="H388" s="75" t="n">
        <x:v>0.010504323842484155</x:v>
      </x:c>
      <x:c r="I388" s="75" t="n">
        <x:v>0.010432461283860904</x:v>
      </x:c>
      <x:c r="J388" s="75" t="n">
        <x:v>0.015395458598388359</x:v>
      </x:c>
      <x:c r="K388" s="75" t="n">
        <x:v>0.00892416100864648</x:v>
      </x:c>
      <x:c r="L388" s="75" t="n">
        <x:v>0.009881210238978382</x:v>
      </x:c>
      <x:c r="M388" s="75" t="n">
        <x:v>0.009906792663630768</x:v>
      </x:c>
      <x:c r="N388" s="75" t="n">
        <x:v>0.007624452089017723</x:v>
      </x:c>
      <x:c r="O388" s="75" t="n">
        <x:v>0.009336740969023594</x:v>
      </x:c>
      <x:c r="P388" s="75" t="n">
        <x:v>0.0016845118328292301</x:v>
      </x:c>
      <x:c r="Q388" s="75" t="n">
        <x:v>0.0037734333696134853</x:v>
      </x:c>
      <x:c r="R388" s="75" t="n">
        <x:v>0.3631306972443719</x:v>
      </x:c>
      <x:c r="S388" s="75" t="n">
        <x:v>0.013704265731634224</x:v>
      </x:c>
      <x:c r="T388" s="75" t="n">
        <x:v>0.003016181123297429</x:v>
      </x:c>
      <x:c r="U388" s="75" t="n">
        <x:v>0.007145395976956933</x:v>
      </x:c>
      <x:c r="V388" s="75" t="n">
        <x:v>0.03267323262878927</x:v>
      </x:c>
      <x:c r="W388" s="75" t="n">
        <x:v>0.011351456924778536</x:v>
      </x:c>
      <x:c r="X388" s="75" t="n">
        <x:v>0.03306564382617519</x:v>
      </x:c>
      <x:c r="Y388" s="75" t="n">
        <x:v>0.020445688490842964</x:v>
      </x:c>
      <x:c r="Z388" s="75" t="n">
        <x:v>0.00610043887153634</x:v>
      </x:c>
      <x:c r="AA388" s="75" t="n">
        <x:v>0.007289278559404151</x:v>
      </x:c>
      <x:c r="AB388" s="75" t="n">
        <x:v>0.007856862757801848</x:v>
      </x:c>
      <x:c r="AC388" s="75" t="n">
        <x:v>0.02561299228303826</x:v>
      </x:c>
      <x:c r="AD388" s="75" t="n">
        <x:v>0.12015309879511188</x:v>
      </x:c>
      <x:c r="AE388" s="75" t="n">
        <x:v>0.07982178801127884</x:v>
      </x:c>
      <x:c r="AF388" s="74" t="n">
        <x:v>7</x:v>
      </x:c>
    </x:row>
    <x:row r="389">
      <x:c r="A389" t="str">
        <x:v>2026 S2</x:v>
      </x:c>
      <x:c r="B389" t="str">
        <x:v>CNCT0097</x:v>
      </x:c>
      <x:c r="C389" s="74" t="n">
        <x:v>1538</x:v>
      </x:c>
      <x:c r="D389" s="74" t="n">
        <x:v>961.464</x:v>
      </x:c>
      <x:c r="E389" s="75" t="n">
        <x:v>0.9625268080100587</x:v>
      </x:c>
      <x:c r="F389" s="75" t="n">
        <x:v>0.19384811466492827</x:v>
      </x:c>
      <x:c r="G389" s="75" t="n">
        <x:v>0.014903398106616806</x:v>
      </x:c>
      <x:c r="H389" s="75" t="n">
        <x:v>0.010504323842484155</x:v>
      </x:c>
      <x:c r="I389" s="75" t="n">
        <x:v>0.010432461283860904</x:v>
      </x:c>
      <x:c r="J389" s="75" t="n">
        <x:v>0.015395458598388359</x:v>
      </x:c>
      <x:c r="K389" s="75" t="n">
        <x:v>0.00892416100864648</x:v>
      </x:c>
      <x:c r="L389" s="75" t="n">
        <x:v>0.009881210238978382</x:v>
      </x:c>
      <x:c r="M389" s="75" t="n">
        <x:v>0.009906792663630768</x:v>
      </x:c>
      <x:c r="N389" s="75" t="n">
        <x:v>0.007624452089017723</x:v>
      </x:c>
      <x:c r="O389" s="75" t="n">
        <x:v>0.009737171227976432</x:v>
      </x:c>
      <x:c r="P389" s="75" t="n">
        <x:v>0.0016845118328292301</x:v>
      </x:c>
      <x:c r="Q389" s="75" t="n">
        <x:v>0.0037734333696134853</x:v>
      </x:c>
      <x:c r="R389" s="75" t="n">
        <x:v>0.3442988586305355</x:v>
      </x:c>
      <x:c r="S389" s="75" t="n">
        <x:v>0.013704265731634224</x:v>
      </x:c>
      <x:c r="T389" s="75" t="n">
        <x:v>0.003016181123297429</x:v>
      </x:c>
      <x:c r="U389" s="75" t="n">
        <x:v>0.007145395976956933</x:v>
      </x:c>
      <x:c r="V389" s="75" t="n">
        <x:v>0.03267323262878927</x:v>
      </x:c>
      <x:c r="W389" s="75" t="n">
        <x:v>0.00977897072954198</x:v>
      </x:c>
      <x:c r="X389" s="75" t="n">
        <x:v>0.028485150872907542</x:v>
      </x:c>
      <x:c r="Y389" s="75" t="n">
        <x:v>0.017613403338636854</x:v>
      </x:c>
      <x:c r="Z389" s="75" t="n">
        <x:v>0.005255361805751454</x:v>
      </x:c>
      <x:c r="AA389" s="75" t="n">
        <x:v>0.006279514792175615</x:v>
      </x:c>
      <x:c r="AB389" s="75" t="n">
        <x:v>0.006768473108228064</x:v>
      </x:c>
      <x:c r="AC389" s="75" t="n">
        <x:v>0.022064894708368227</x:v>
      </x:c>
      <x:c r="AD389" s="75" t="n">
        <x:v>0.12015309879511188</x:v>
      </x:c>
      <x:c r="AE389" s="75" t="n">
        <x:v>0.07982178801127884</x:v>
      </x:c>
      <x:c r="AF389" s="74" t="n">
        <x:v>7</x:v>
      </x:c>
    </x:row>
    <x:row r="390">
      <x:c r="A390" t="str">
        <x:v>2025 S1</x:v>
      </x:c>
      <x:c r="B390" t="str">
        <x:v>CNCT0098</x:v>
      </x:c>
      <x:c r="C390" s="74" t="n">
        <x:v>1313</x:v>
      </x:c>
      <x:c r="D390" s="74" t="n">
        <x:v>974.286</x:v>
      </x:c>
      <x:c r="E390" s="75" t="n">
        <x:v>0.9668423786386265</x:v>
      </x:c>
      <x:c r="F390" s="75" t="n">
        <x:v>0.19263608274032595</x:v>
      </x:c>
      <x:c r="G390" s="75" t="n">
        <x:v>0.019125851774108013</x:v>
      </x:c>
      <x:c r="H390" s="75" t="n">
        <x:v>0.008010241205272906</x:v>
      </x:c>
      <x:c r="I390" s="75" t="n">
        <x:v>0.010024289663568197</x:v>
      </x:c>
      <x:c r="J390" s="75" t="n">
        <x:v>0.017039146703493317</x:v>
      </x:c>
      <x:c r="K390" s="75" t="n">
        <x:v>0.012624941262736684</x:v>
      </x:c>
      <x:c r="L390" s="75" t="n">
        <x:v>0.011472861935777472</x:v>
      </x:c>
      <x:c r="M390" s="75" t="n">
        <x:v>0.010359315516805509</x:v>
      </x:c>
      <x:c r="N390" s="75" t="n">
        <x:v>0.007070171466548345</x:v>
      </x:c>
      <x:c r="O390" s="75" t="n">
        <x:v>0.013673308222583728</x:v>
      </x:c>
      <x:c r="P390" s="75" t="n">
        <x:v>0.00278565426678324</x:v>
      </x:c>
      <x:c r="Q390" s="75" t="n">
        <x:v>0.0016863460278636923</x:v>
      </x:c>
      <x:c r="R390" s="75" t="n">
        <x:v>0.3524967648275603</x:v>
      </x:c>
      <x:c r="S390" s="75" t="n">
        <x:v>0.015892299517021456</x:v>
      </x:c>
      <x:c r="T390" s="75" t="n">
        <x:v>0.005196732697877451</x:v>
      </x:c>
      <x:c r="U390" s="75" t="n">
        <x:v>0.012452232187381014</x:v>
      </x:c>
      <x:c r="V390" s="75" t="n">
        <x:v>0.03415251475208789</x:v>
      </x:c>
      <x:c r="W390" s="75" t="n">
        <x:v>0.01084971924144702</x:v>
      </x:c>
      <x:c r="X390" s="75" t="n">
        <x:v>0.018131476458449466</x:v>
      </x:c>
      <x:c r="Y390" s="75" t="n">
        <x:v>0.01657441248954274</x:v>
      </x:c>
      <x:c r="Z390" s="75" t="n">
        <x:v>0.00560769400690333</x:v>
      </x:c>
      <x:c r="AA390" s="75" t="n">
        <x:v>0.006925739571539452</x:v>
      </x:c>
      <x:c r="AB390" s="75" t="n">
        <x:v>0.004324067996873055</x:v>
      </x:c>
      <x:c r="AC390" s="75" t="n">
        <x:v>0.026560554519790457</x:v>
      </x:c>
      <x:c r="AD390" s="75" t="n">
        <x:v>0.12260673005192076</x:v>
      </x:c>
      <x:c r="AE390" s="75" t="n">
        <x:v>0.06860963256825926</x:v>
      </x:c>
      <x:c r="AF390" s="74" t="n">
        <x:v>8</x:v>
      </x:c>
    </x:row>
    <x:row r="391">
      <x:c r="A391" t="str">
        <x:v>2025 S2</x:v>
      </x:c>
      <x:c r="B391" t="str">
        <x:v>CNCT0098</x:v>
      </x:c>
      <x:c r="C391" s="74" t="n">
        <x:v>1443</x:v>
      </x:c>
      <x:c r="D391" s="74" t="n">
        <x:v>985.977</x:v>
      </x:c>
      <x:c r="E391" s="75" t="n">
        <x:v>0.9751875576233724</x:v>
      </x:c>
      <x:c r="F391" s="75" t="n">
        <x:v>0.19263608274032595</x:v>
      </x:c>
      <x:c r="G391" s="75" t="n">
        <x:v>0.019125851774108013</x:v>
      </x:c>
      <x:c r="H391" s="75" t="n">
        <x:v>0.008010241205272906</x:v>
      </x:c>
      <x:c r="I391" s="75" t="n">
        <x:v>0.010024289663568197</x:v>
      </x:c>
      <x:c r="J391" s="75" t="n">
        <x:v>0.017039146703493317</x:v>
      </x:c>
      <x:c r="K391" s="75" t="n">
        <x:v>0.012624941262736684</x:v>
      </x:c>
      <x:c r="L391" s="75" t="n">
        <x:v>0.011472861935777472</x:v>
      </x:c>
      <x:c r="M391" s="75" t="n">
        <x:v>0.010359315516805509</x:v>
      </x:c>
      <x:c r="N391" s="75" t="n">
        <x:v>0.007070171466548345</x:v>
      </x:c>
      <x:c r="O391" s="75" t="n">
        <x:v>0.013673308222583728</x:v>
      </x:c>
      <x:c r="P391" s="75" t="n">
        <x:v>0.00278565426678324</x:v>
      </x:c>
      <x:c r="Q391" s="75" t="n">
        <x:v>0.0016863460278636923</x:v>
      </x:c>
      <x:c r="R391" s="75" t="n">
        <x:v>0.36250370581410724</x:v>
      </x:c>
      <x:c r="S391" s="75" t="n">
        <x:v>0.015892299517021456</x:v>
      </x:c>
      <x:c r="T391" s="75" t="n">
        <x:v>0.005196732697877451</x:v>
      </x:c>
      <x:c r="U391" s="75" t="n">
        <x:v>0.012452232187381014</x:v>
      </x:c>
      <x:c r="V391" s="75" t="n">
        <x:v>0.03415251475208789</x:v>
      </x:c>
      <x:c r="W391" s="75" t="n">
        <x:v>0.01084971924144702</x:v>
      </x:c>
      <x:c r="X391" s="75" t="n">
        <x:v>0.018131476458449466</x:v>
      </x:c>
      <x:c r="Y391" s="75" t="n">
        <x:v>0.01657441248954274</x:v>
      </x:c>
      <x:c r="Z391" s="75" t="n">
        <x:v>0.00560769400690333</x:v>
      </x:c>
      <x:c r="AA391" s="75" t="n">
        <x:v>0.006925739571539452</x:v>
      </x:c>
      <x:c r="AB391" s="75" t="n">
        <x:v>0.004324067996873055</x:v>
      </x:c>
      <x:c r="AC391" s="75" t="n">
        <x:v>0.026560554519790457</x:v>
      </x:c>
      <x:c r="AD391" s="75" t="n">
        <x:v>0.12260673005192076</x:v>
      </x:c>
      <x:c r="AE391" s="75" t="n">
        <x:v>0.06860963256825926</x:v>
      </x:c>
      <x:c r="AF391" s="74" t="n">
        <x:v>8</x:v>
      </x:c>
    </x:row>
    <x:row r="392">
      <x:c r="A392" t="str">
        <x:v>2026 S1</x:v>
      </x:c>
      <x:c r="B392" t="str">
        <x:v>CNCT0098</x:v>
      </x:c>
      <x:c r="C392" s="74" t="n">
        <x:v>1058</x:v>
      </x:c>
      <x:c r="D392" s="74" t="n">
        <x:v>1021.927</x:v>
      </x:c>
      <x:c r="E392" s="75" t="n">
        <x:v>0.9645595882540802</x:v>
      </x:c>
      <x:c r="F392" s="75" t="n">
        <x:v>0.20463608274032596</x:v>
      </x:c>
      <x:c r="G392" s="75" t="n">
        <x:v>0.020136134496933664</x:v>
      </x:c>
      <x:c r="H392" s="75" t="n">
        <x:v>0.008010241205272906</x:v>
      </x:c>
      <x:c r="I392" s="75" t="n">
        <x:v>0.010024289663568197</x:v>
      </x:c>
      <x:c r="J392" s="75" t="n">
        <x:v>0.017039146703493317</x:v>
      </x:c>
      <x:c r="K392" s="75" t="n">
        <x:v>0.012624941262736684</x:v>
      </x:c>
      <x:c r="L392" s="75" t="n">
        <x:v>0.011472861935777472</x:v>
      </x:c>
      <x:c r="M392" s="75" t="n">
        <x:v>0.010359315516805509</x:v>
      </x:c>
      <x:c r="N392" s="75" t="n">
        <x:v>0.007070171466548345</x:v>
      </x:c>
      <x:c r="O392" s="75" t="n">
        <x:v>0.013102325110201492</x:v>
      </x:c>
      <x:c r="P392" s="75" t="n">
        <x:v>0.00278565426678324</x:v>
      </x:c>
      <x:c r="Q392" s="75" t="n">
        <x:v>0.0016863460278636923</x:v>
      </x:c>
      <x:c r="R392" s="75" t="n">
        <x:v>0.37127837994914786</x:v>
      </x:c>
      <x:c r="S392" s="75" t="n">
        <x:v>0.015892299517021456</x:v>
      </x:c>
      <x:c r="T392" s="75" t="n">
        <x:v>0.005196732697877451</x:v>
      </x:c>
      <x:c r="U392" s="75" t="n">
        <x:v>0.012452232187381014</x:v>
      </x:c>
      <x:c r="V392" s="75" t="n">
        <x:v>0.03415251475208789</x:v>
      </x:c>
      <x:c r="W392" s="75" t="n">
        <x:v>0.01335004792045787</x:v>
      </x:c>
      <x:c r="X392" s="75" t="n">
        <x:v>0.02230989339007737</x:v>
      </x:c>
      <x:c r="Y392" s="75" t="n">
        <x:v>0.02039400246815239</x:v>
      </x:c>
      <x:c r="Z392" s="75" t="n">
        <x:v>0.006899992714045514</x:v>
      </x:c>
      <x:c r="AA392" s="75" t="n">
        <x:v>0.008521783200754222</x:v>
      </x:c>
      <x:c r="AB392" s="75" t="n">
        <x:v>0.005320553802816616</x:v>
      </x:c>
      <x:c r="AC392" s="75" t="n">
        <x:v>0.047388118367519744</x:v>
      </x:c>
      <x:c r="AD392" s="75" t="n">
        <x:v>0.13486740305711284</x:v>
      </x:c>
      <x:c r="AE392" s="75" t="n">
        <x:v>0.10258894682424846</x:v>
      </x:c>
      <x:c r="AF392" s="74" t="n">
        <x:v>8</x:v>
      </x:c>
    </x:row>
    <x:row r="393">
      <x:c r="A393" t="str">
        <x:v>2026 S2</x:v>
      </x:c>
      <x:c r="B393" t="str">
        <x:v>CNCT0098</x:v>
      </x:c>
      <x:c r="C393" s="74" t="n">
        <x:v>1266</x:v>
      </x:c>
      <x:c r="D393" s="74" t="n">
        <x:v>1024.898</x:v>
      </x:c>
      <x:c r="E393" s="75" t="n">
        <x:v>0.9751875576233724</x:v>
      </x:c>
      <x:c r="F393" s="75" t="n">
        <x:v>0.19340470452018782</x:v>
      </x:c>
      <x:c r="G393" s="75" t="n">
        <x:v>0.020083700409639277</x:v>
      </x:c>
      <x:c r="H393" s="75" t="n">
        <x:v>0.008010241205272906</x:v>
      </x:c>
      <x:c r="I393" s="75" t="n">
        <x:v>0.010024289663568197</x:v>
      </x:c>
      <x:c r="J393" s="75" t="n">
        <x:v>0.017039146703493317</x:v>
      </x:c>
      <x:c r="K393" s="75" t="n">
        <x:v>0.012624941262736684</x:v>
      </x:c>
      <x:c r="L393" s="75" t="n">
        <x:v>0.011472861935777472</x:v>
      </x:c>
      <x:c r="M393" s="75" t="n">
        <x:v>0.010359315516805509</x:v>
      </x:c>
      <x:c r="N393" s="75" t="n">
        <x:v>0.007070171466548345</x:v>
      </x:c>
      <x:c r="O393" s="75" t="n">
        <x:v>0.013673308222583728</x:v>
      </x:c>
      <x:c r="P393" s="75" t="n">
        <x:v>0.00278565426678324</x:v>
      </x:c>
      <x:c r="Q393" s="75" t="n">
        <x:v>0.0016863460278636923</x:v>
      </x:c>
      <x:c r="R393" s="75" t="n">
        <x:v>0.37545726181087263</x:v>
      </x:c>
      <x:c r="S393" s="75" t="n">
        <x:v>0.015892299517021456</x:v>
      </x:c>
      <x:c r="T393" s="75" t="n">
        <x:v>0.005196732697877451</x:v>
      </x:c>
      <x:c r="U393" s="75" t="n">
        <x:v>0.012452232187381014</x:v>
      </x:c>
      <x:c r="V393" s="75" t="n">
        <x:v>0.03415251475208789</x:v>
      </x:c>
      <x:c r="W393" s="75" t="n">
        <x:v>0.011500702395933841</x:v>
      </x:c>
      <x:c r="X393" s="75" t="n">
        <x:v>0.019219365045956435</x:v>
      </x:c>
      <x:c r="Y393" s="75" t="n">
        <x:v>0.017568877238915304</x:v>
      </x:c>
      <x:c r="Z393" s="75" t="n">
        <x:v>0.005944155647317531</x:v>
      </x:c>
      <x:c r="AA393" s="75" t="n">
        <x:v>0.00734128394583182</x:v>
      </x:c>
      <x:c r="AB393" s="75" t="n">
        <x:v>0.004583512076685438</x:v>
      </x:c>
      <x:c r="AC393" s="75" t="n">
        <x:v>0.04082357229691793</x:v>
      </x:c>
      <x:c r="AD393" s="75" t="n">
        <x:v>0.13241526845607443</x:v>
      </x:c>
      <x:c r="AE393" s="75" t="n">
        <x:v>0.12121894378580224</x:v>
      </x:c>
      <x:c r="AF393" s="74" t="n">
        <x:v>8</x:v>
      </x:c>
    </x:row>
    <x:row r="394">
      <x:c r="A394" t="str">
        <x:v>2025 S1</x:v>
      </x:c>
      <x:c r="B394" t="str">
        <x:v>CNCT0099</x:v>
      </x:c>
      <x:c r="C394" s="74" t="n">
        <x:v>1269</x:v>
      </x:c>
      <x:c r="D394" s="74" t="n">
        <x:v>1000.617</x:v>
      </x:c>
      <x:c r="E394" s="75" t="n">
        <x:v>0.9622902793817338</x:v>
      </x:c>
      <x:c r="F394" s="75" t="n">
        <x:v>0.17369782210956328</x:v>
      </x:c>
      <x:c r="G394" s="75" t="n">
        <x:v>0.009029924767710326</x:v>
      </x:c>
      <x:c r="H394" s="75" t="n">
        <x:v>0.011883620741775304</x:v>
      </x:c>
      <x:c r="I394" s="75" t="n">
        <x:v>0.010499468655087186</x:v>
      </x:c>
      <x:c r="J394" s="75" t="n">
        <x:v>0.011347669235459762</x:v>
      </x:c>
      <x:c r="K394" s="75" t="n">
        <x:v>0.00989159269638185</x:v>
      </x:c>
      <x:c r="L394" s="75" t="n">
        <x:v>0.009932557765190721</x:v>
      </x:c>
      <x:c r="M394" s="75" t="n">
        <x:v>0.007632966338213009</x:v>
      </x:c>
      <x:c r="N394" s="75" t="n">
        <x:v>0.008511088009516244</x:v>
      </x:c>
      <x:c r="O394" s="75" t="n">
        <x:v>0.013767191293969517</x:v>
      </x:c>
      <x:c r="P394" s="75" t="n">
        <x:v>0.0011320792658807478</x:v>
      </x:c>
      <x:c r="Q394" s="75" t="n">
        <x:v>0.0029898552990598546</x:v>
      </x:c>
      <x:c r="R394" s="75" t="n">
        <x:v>0.39395271437144036</x:v>
      </x:c>
      <x:c r="S394" s="75" t="n">
        <x:v>0.01165025793079127</x:v>
      </x:c>
      <x:c r="T394" s="75" t="n">
        <x:v>0.006998939529425116</x:v>
      </x:c>
      <x:c r="U394" s="75" t="n">
        <x:v>0.0070677495657873795</x:v>
      </x:c>
      <x:c r="V394" s="75" t="n">
        <x:v>0.031926945985993375</x:v>
      </x:c>
      <x:c r="W394" s="75" t="n">
        <x:v>0.011568991285319498</x:v>
      </x:c>
      <x:c r="X394" s="75" t="n">
        <x:v>0.019016685393246007</x:v>
      </x:c>
      <x:c r="Y394" s="75" t="n">
        <x:v>0.015777239938273853</x:v>
      </x:c>
      <x:c r="Z394" s="75" t="n">
        <x:v>0.005651163976755924</x:v>
      </x:c>
      <x:c r="AA394" s="75" t="n">
        <x:v>0.006704551625734894</x:v>
      </x:c>
      <x:c r="AB394" s="75" t="n">
        <x:v>0.00343141362289316</x:v>
      </x:c>
      <x:c r="AC394" s="75" t="n">
        <x:v>0.017930067824112484</x:v>
      </x:c>
      <x:c r="AD394" s="75" t="n">
        <x:v>0.08814799893044983</x:v>
      </x:c>
      <x:c r="AE394" s="75" t="n">
        <x:v>0.08795560693813605</x:v>
      </x:c>
      <x:c r="AF394" s="74" t="n">
        <x:v>5</x:v>
      </x:c>
    </x:row>
    <x:row r="395">
      <x:c r="A395" t="str">
        <x:v>2025 S2</x:v>
      </x:c>
      <x:c r="B395" t="str">
        <x:v>CNCT0099</x:v>
      </x:c>
      <x:c r="C395" s="74" t="n">
        <x:v>1343</x:v>
      </x:c>
      <x:c r="D395" s="74" t="n">
        <x:v>1012.624</x:v>
      </x:c>
      <x:c r="E395" s="75" t="n">
        <x:v>0.9789129535593383</x:v>
      </x:c>
      <x:c r="F395" s="75" t="n">
        <x:v>0.17369782210956328</x:v>
      </x:c>
      <x:c r="G395" s="75" t="n">
        <x:v>0.009029924767710326</x:v>
      </x:c>
      <x:c r="H395" s="75" t="n">
        <x:v>0.011883620741775304</x:v>
      </x:c>
      <x:c r="I395" s="75" t="n">
        <x:v>0.010499468655087186</x:v>
      </x:c>
      <x:c r="J395" s="75" t="n">
        <x:v>0.011347669235459762</x:v>
      </x:c>
      <x:c r="K395" s="75" t="n">
        <x:v>0.00989159269638185</x:v>
      </x:c>
      <x:c r="L395" s="75" t="n">
        <x:v>0.009932557765190721</x:v>
      </x:c>
      <x:c r="M395" s="75" t="n">
        <x:v>0.007632966338213009</x:v>
      </x:c>
      <x:c r="N395" s="75" t="n">
        <x:v>0.008511088009516244</x:v>
      </x:c>
      <x:c r="O395" s="75" t="n">
        <x:v>0.013767191293969517</x:v>
      </x:c>
      <x:c r="P395" s="75" t="n">
        <x:v>0.0011320792658807478</x:v>
      </x:c>
      <x:c r="Q395" s="75" t="n">
        <x:v>0.0029898552990598546</x:v>
      </x:c>
      <x:c r="R395" s="75" t="n">
        <x:v>0.39296734101301556</x:v>
      </x:c>
      <x:c r="S395" s="75" t="n">
        <x:v>0.01165025793079127</x:v>
      </x:c>
      <x:c r="T395" s="75" t="n">
        <x:v>0.006998939529425116</x:v>
      </x:c>
      <x:c r="U395" s="75" t="n">
        <x:v>0.0070677495657873795</x:v>
      </x:c>
      <x:c r="V395" s="75" t="n">
        <x:v>0.031926945985993375</x:v>
      </x:c>
      <x:c r="W395" s="75" t="n">
        <x:v>0.011568991285319498</x:v>
      </x:c>
      <x:c r="X395" s="75" t="n">
        <x:v>0.019016685393246007</x:v>
      </x:c>
      <x:c r="Y395" s="75" t="n">
        <x:v>0.015777239938273853</x:v>
      </x:c>
      <x:c r="Z395" s="75" t="n">
        <x:v>0.005651163976755924</x:v>
      </x:c>
      <x:c r="AA395" s="75" t="n">
        <x:v>0.006704551625734894</x:v>
      </x:c>
      <x:c r="AB395" s="75" t="n">
        <x:v>0.00343141362289316</x:v>
      </x:c>
      <x:c r="AC395" s="75" t="n">
        <x:v>0.017930067824112484</x:v>
      </x:c>
      <x:c r="AD395" s="75" t="n">
        <x:v>0.08814799893044983</x:v>
      </x:c>
      <x:c r="AE395" s="75" t="n">
        <x:v>0.08795560693813605</x:v>
      </x:c>
      <x:c r="AF395" s="74" t="n">
        <x:v>5</x:v>
      </x:c>
    </x:row>
    <x:row r="396">
      <x:c r="A396" t="str">
        <x:v>2026 S1</x:v>
      </x:c>
      <x:c r="B396" t="str">
        <x:v>CNCT0099</x:v>
      </x:c>
      <x:c r="C396" s="74" t="n">
        <x:v>1339</x:v>
      </x:c>
      <x:c r="D396" s="74" t="n">
        <x:v>1035.636</x:v>
      </x:c>
      <x:c r="E396" s="75" t="n">
        <x:v>0.9659840356641798</x:v>
      </x:c>
      <x:c r="F396" s="75" t="n">
        <x:v>0.16910248575283912</x:v>
      </x:c>
      <x:c r="G396" s="75" t="n">
        <x:v>0.008159356673895671</x:v>
      </x:c>
      <x:c r="H396" s="75" t="n">
        <x:v>0.011883620741775304</x:v>
      </x:c>
      <x:c r="I396" s="75" t="n">
        <x:v>0.010499468655087186</x:v>
      </x:c>
      <x:c r="J396" s="75" t="n">
        <x:v>0.011347669235459762</x:v>
      </x:c>
      <x:c r="K396" s="75" t="n">
        <x:v>0.00989159269638185</x:v>
      </x:c>
      <x:c r="L396" s="75" t="n">
        <x:v>0.009932557765190721</x:v>
      </x:c>
      <x:c r="M396" s="75" t="n">
        <x:v>0.007632966338213009</x:v>
      </x:c>
      <x:c r="N396" s="75" t="n">
        <x:v>0.008511088009516244</x:v>
      </x:c>
      <x:c r="O396" s="75" t="n">
        <x:v>0.01443277576455148</x:v>
      </x:c>
      <x:c r="P396" s="75" t="n">
        <x:v>0.0011320792658807478</x:v>
      </x:c>
      <x:c r="Q396" s="75" t="n">
        <x:v>0.0029898552990598546</x:v>
      </x:c>
      <x:c r="R396" s="75" t="n">
        <x:v>0.4023606816063362</x:v>
      </x:c>
      <x:c r="S396" s="75" t="n">
        <x:v>0.01165025793079127</x:v>
      </x:c>
      <x:c r="T396" s="75" t="n">
        <x:v>0.006998939529425116</x:v>
      </x:c>
      <x:c r="U396" s="75" t="n">
        <x:v>0.0070677495657873795</x:v>
      </x:c>
      <x:c r="V396" s="75" t="n">
        <x:v>0.031926945985993375</x:v>
      </x:c>
      <x:c r="W396" s="75" t="n">
        <x:v>0.014235076928108267</x:v>
      </x:c>
      <x:c r="X396" s="75" t="n">
        <x:v>0.023399099611562526</x:v>
      </x:c>
      <x:c r="Y396" s="75" t="n">
        <x:v>0.01941312070305946</x:v>
      </x:c>
      <x:c r="Z396" s="75" t="n">
        <x:v>0.0069534803820412066</x:v>
      </x:c>
      <x:c r="AA396" s="75" t="n">
        <x:v>0.00824962227103742</x:v>
      </x:c>
      <x:c r="AB396" s="75" t="n">
        <x:v>0.004222186333222209</x:v>
      </x:c>
      <x:c r="AC396" s="75" t="n">
        <x:v>0.02206206993399003</x:v>
      </x:c>
      <x:c r="AD396" s="75" t="n">
        <x:v>0.08814799893044983</x:v>
      </x:c>
      <x:c r="AE396" s="75" t="n">
        <x:v>0.08795560693813605</x:v>
      </x:c>
      <x:c r="AF396" s="74" t="n">
        <x:v>5</x:v>
      </x:c>
    </x:row>
    <x:row r="397">
      <x:c r="A397" t="str">
        <x:v>2026 S2</x:v>
      </x:c>
      <x:c r="B397" t="str">
        <x:v>CNCT0099</x:v>
      </x:c>
      <x:c r="C397" s="74" t="n">
        <x:v>1408</x:v>
      </x:c>
      <x:c r="D397" s="74" t="n">
        <x:v>1053.506</x:v>
      </x:c>
      <x:c r="E397" s="75" t="n">
        <x:v>0.9789129535593383</x:v>
      </x:c>
      <x:c r="F397" s="75" t="n">
        <x:v>0.17817821491288488</x:v>
      </x:c>
      <x:c r="G397" s="75" t="n">
        <x:v>0.009816301461753028</x:v>
      </x:c>
      <x:c r="H397" s="75" t="n">
        <x:v>0.011883620741775304</x:v>
      </x:c>
      <x:c r="I397" s="75" t="n">
        <x:v>0.010499468655087186</x:v>
      </x:c>
      <x:c r="J397" s="75" t="n">
        <x:v>0.011347669235459762</x:v>
      </x:c>
      <x:c r="K397" s="75" t="n">
        <x:v>0.00989159269638185</x:v>
      </x:c>
      <x:c r="L397" s="75" t="n">
        <x:v>0.009932557765190721</x:v>
      </x:c>
      <x:c r="M397" s="75" t="n">
        <x:v>0.007632966338213009</x:v>
      </x:c>
      <x:c r="N397" s="75" t="n">
        <x:v>0.008511088009516244</x:v>
      </x:c>
      <x:c r="O397" s="75" t="n">
        <x:v>0.013767191293969517</x:v>
      </x:c>
      <x:c r="P397" s="75" t="n">
        <x:v>0.0011320792658807478</x:v>
      </x:c>
      <x:c r="Q397" s="75" t="n">
        <x:v>0.0029898552990598546</x:v>
      </x:c>
      <x:c r="R397" s="75" t="n">
        <x:v>0.38777584495659473</x:v>
      </x:c>
      <x:c r="S397" s="75" t="n">
        <x:v>0.01165025793079127</x:v>
      </x:c>
      <x:c r="T397" s="75" t="n">
        <x:v>0.006998939529425116</x:v>
      </x:c>
      <x:c r="U397" s="75" t="n">
        <x:v>0.0070677495657873795</x:v>
      </x:c>
      <x:c r="V397" s="75" t="n">
        <x:v>0.031926945985993375</x:v>
      </x:c>
      <x:c r="W397" s="75" t="n">
        <x:v>0.012263130762438668</x:v>
      </x:c>
      <x:c r="X397" s="75" t="n">
        <x:v>0.02015768651684077</x:v>
      </x:c>
      <x:c r="Y397" s="75" t="n">
        <x:v>0.016723874334570284</x:v>
      </x:c>
      <x:c r="Z397" s="75" t="n">
        <x:v>0.00599023381536128</x:v>
      </x:c>
      <x:c r="AA397" s="75" t="n">
        <x:v>0.007106824723278988</x:v>
      </x:c>
      <x:c r="AB397" s="75" t="n">
        <x:v>0.00363729844026675</x:v>
      </x:c>
      <x:c r="AC397" s="75" t="n">
        <x:v>0.019005871893559234</x:v>
      </x:c>
      <x:c r="AD397" s="75" t="n">
        <x:v>0.08814799893044983</x:v>
      </x:c>
      <x:c r="AE397" s="75" t="n">
        <x:v>0.08795560693813605</x:v>
      </x:c>
      <x:c r="AF397" s="74" t="n">
        <x:v>5</x:v>
      </x:c>
    </x:row>
    <x:row r="398">
      <x:c r="A398" t="str">
        <x:v>2025 S1</x:v>
      </x:c>
      <x:c r="B398" t="str">
        <x:v>CNCT0100</x:v>
      </x:c>
      <x:c r="C398" s="74" t="n">
        <x:v>1828</x:v>
      </x:c>
      <x:c r="D398" s="74" t="n">
        <x:v>1231.946</x:v>
      </x:c>
      <x:c r="E398" s="75" t="n">
        <x:v>0.961648775358044</x:v>
      </x:c>
      <x:c r="F398" s="75" t="n">
        <x:v>0.18623297071736306</x:v>
      </x:c>
      <x:c r="G398" s="75" t="n">
        <x:v>0.016696149154391604</x:v>
      </x:c>
      <x:c r="H398" s="75" t="n">
        <x:v>0.012024480310334184</x:v>
      </x:c>
      <x:c r="I398" s="75" t="n">
        <x:v>0.01036442195498512</x:v>
      </x:c>
      <x:c r="J398" s="75" t="n">
        <x:v>0.012555881721753395</x:v>
      </x:c>
      <x:c r="K398" s="75" t="n">
        <x:v>0.0081519434114889</x:v>
      </x:c>
      <x:c r="L398" s="75" t="n">
        <x:v>0.009124621057388139</x:v>
      </x:c>
      <x:c r="M398" s="75" t="n">
        <x:v>0.00800302147200273</x:v>
      </x:c>
      <x:c r="N398" s="75" t="n">
        <x:v>0.007051079343742458</x:v>
      </x:c>
      <x:c r="O398" s="75" t="n">
        <x:v>0.015419522527023218</x:v>
      </x:c>
      <x:c r="P398" s="75" t="n">
        <x:v>0.0012119704222786822</x:v>
      </x:c>
      <x:c r="Q398" s="75" t="n">
        <x:v>0.006927172089875967</x:v>
      </x:c>
      <x:c r="R398" s="75" t="n">
        <x:v>0.36891568905214955</x:v>
      </x:c>
      <x:c r="S398" s="75" t="n">
        <x:v>0.011108934325857262</x:v>
      </x:c>
      <x:c r="T398" s="75" t="n">
        <x:v>0.005484609755309066</x:v>
      </x:c>
      <x:c r="U398" s="75" t="n">
        <x:v>0.011076057456913986</x:v>
      </x:c>
      <x:c r="V398" s="75" t="n">
        <x:v>0.039773060291627194</x:v>
      </x:c>
      <x:c r="W398" s="75" t="n">
        <x:v>0.014196957756826306</x:v>
      </x:c>
      <x:c r="X398" s="75" t="n">
        <x:v>0.0215878625469972</x:v>
      </x:c>
      <x:c r="Y398" s="75" t="n">
        <x:v>0.017994271349596094</x:v>
      </x:c>
      <x:c r="Z398" s="75" t="n">
        <x:v>0.007594014316159883</x:v>
      </x:c>
      <x:c r="AA398" s="75" t="n">
        <x:v>0.005715431547718471</x:v>
      </x:c>
      <x:c r="AB398" s="75" t="n">
        <x:v>0.004132455076559563</x:v>
      </x:c>
      <x:c r="AC398" s="75" t="n">
        <x:v>0.020804064122706765</x:v>
      </x:c>
      <x:c r="AD398" s="75" t="n">
        <x:v>0.09819283561580233</x:v>
      </x:c>
      <x:c r="AE398" s="75" t="n">
        <x:v>0.0938170169601508</x:v>
      </x:c>
      <x:c r="AF398" s="74" t="n">
        <x:v>8</x:v>
      </x:c>
    </x:row>
    <x:row r="399">
      <x:c r="A399" t="str">
        <x:v>2025 S2</x:v>
      </x:c>
      <x:c r="B399" t="str">
        <x:v>CNCT0100</x:v>
      </x:c>
      <x:c r="C399" s="74" t="n">
        <x:v>1980</x:v>
      </x:c>
      <x:c r="D399" s="74" t="n">
        <x:v>1246.73</x:v>
      </x:c>
      <x:c r="E399" s="75" t="n">
        <x:v>0.9646568840288091</x:v>
      </x:c>
      <x:c r="F399" s="75" t="n">
        <x:v>0.18623297071736306</x:v>
      </x:c>
      <x:c r="G399" s="75" t="n">
        <x:v>0.016696149154391604</x:v>
      </x:c>
      <x:c r="H399" s="75" t="n">
        <x:v>0.012024480310334184</x:v>
      </x:c>
      <x:c r="I399" s="75" t="n">
        <x:v>0.01036442195498512</x:v>
      </x:c>
      <x:c r="J399" s="75" t="n">
        <x:v>0.012555881721753395</x:v>
      </x:c>
      <x:c r="K399" s="75" t="n">
        <x:v>0.0081519434114889</x:v>
      </x:c>
      <x:c r="L399" s="75" t="n">
        <x:v>0.009124621057388139</x:v>
      </x:c>
      <x:c r="M399" s="75" t="n">
        <x:v>0.00800302147200273</x:v>
      </x:c>
      <x:c r="N399" s="75" t="n">
        <x:v>0.007051079343742458</x:v>
      </x:c>
      <x:c r="O399" s="75" t="n">
        <x:v>0.015419522527023218</x:v>
      </x:c>
      <x:c r="P399" s="75" t="n">
        <x:v>0.0012119704222786822</x:v>
      </x:c>
      <x:c r="Q399" s="75" t="n">
        <x:v>0.006927172089875967</x:v>
      </x:c>
      <x:c r="R399" s="75" t="n">
        <x:v>0.34977961901618276</x:v>
      </x:c>
      <x:c r="S399" s="75" t="n">
        <x:v>0.011108934325857262</x:v>
      </x:c>
      <x:c r="T399" s="75" t="n">
        <x:v>0.005484609755309066</x:v>
      </x:c>
      <x:c r="U399" s="75" t="n">
        <x:v>0.011076057456913986</x:v>
      </x:c>
      <x:c r="V399" s="75" t="n">
        <x:v>0.039773060291627194</x:v>
      </x:c>
      <x:c r="W399" s="75" t="n">
        <x:v>0.014196957756826306</x:v>
      </x:c>
      <x:c r="X399" s="75" t="n">
        <x:v>0.0215878625469972</x:v>
      </x:c>
      <x:c r="Y399" s="75" t="n">
        <x:v>0.017994271349596094</x:v>
      </x:c>
      <x:c r="Z399" s="75" t="n">
        <x:v>0.007594014316159883</x:v>
      </x:c>
      <x:c r="AA399" s="75" t="n">
        <x:v>0.005715431547718471</x:v>
      </x:c>
      <x:c r="AB399" s="75" t="n">
        <x:v>0.004132455076559563</x:v>
      </x:c>
      <x:c r="AC399" s="75" t="n">
        <x:v>0.020804064122706765</x:v>
      </x:c>
      <x:c r="AD399" s="75" t="n">
        <x:v>0.09819283561580233</x:v>
      </x:c>
      <x:c r="AE399" s="75" t="n">
        <x:v>0.0938170169601508</x:v>
      </x:c>
      <x:c r="AF399" s="74" t="n">
        <x:v>8</x:v>
      </x:c>
    </x:row>
    <x:row r="400">
      <x:c r="A400" t="str">
        <x:v>2026 S1</x:v>
      </x:c>
      <x:c r="B400" t="str">
        <x:v>CNCT0100</x:v>
      </x:c>
      <x:c r="C400" s="74" t="n">
        <x:v>1907</x:v>
      </x:c>
      <x:c r="D400" s="74" t="n">
        <x:v>1301.164</x:v>
      </x:c>
      <x:c r="E400" s="75" t="n">
        <x:v>0.9582310979259783</x:v>
      </x:c>
      <x:c r="F400" s="75" t="n">
        <x:v>0.18780362841949683</x:v>
      </x:c>
      <x:c r="G400" s="75" t="n">
        <x:v>0.017303760987881105</x:v>
      </x:c>
      <x:c r="H400" s="75" t="n">
        <x:v>0.012024480310334184</x:v>
      </x:c>
      <x:c r="I400" s="75" t="n">
        <x:v>0.01036442195498512</x:v>
      </x:c>
      <x:c r="J400" s="75" t="n">
        <x:v>0.012555881721753395</x:v>
      </x:c>
      <x:c r="K400" s="75" t="n">
        <x:v>0.0081519434114889</x:v>
      </x:c>
      <x:c r="L400" s="75" t="n">
        <x:v>0.009124621057388139</x:v>
      </x:c>
      <x:c r="M400" s="75" t="n">
        <x:v>0.00800302147200273</x:v>
      </x:c>
      <x:c r="N400" s="75" t="n">
        <x:v>0.007051079343742458</x:v>
      </x:c>
      <x:c r="O400" s="75" t="n">
        <x:v>0.01572876876182272</x:v>
      </x:c>
      <x:c r="P400" s="75" t="n">
        <x:v>0.0012119704222786822</x:v>
      </x:c>
      <x:c r="Q400" s="75" t="n">
        <x:v>0.006927172089875967</x:v>
      </x:c>
      <x:c r="R400" s="75" t="n">
        <x:v>0.37084299958761247</x:v>
      </x:c>
      <x:c r="S400" s="75" t="n">
        <x:v>0.011108934325857262</x:v>
      </x:c>
      <x:c r="T400" s="75" t="n">
        <x:v>0.005484609755309066</x:v>
      </x:c>
      <x:c r="U400" s="75" t="n">
        <x:v>0.011076057456913986</x:v>
      </x:c>
      <x:c r="V400" s="75" t="n">
        <x:v>0.039773060291627194</x:v>
      </x:c>
      <x:c r="W400" s="75" t="n">
        <x:v>0.017468660908231</x:v>
      </x:c>
      <x:c r="X400" s="75" t="n">
        <x:v>0.026562807118705997</x:v>
      </x:c>
      <x:c r="Y400" s="75" t="n">
        <x:v>0.022141069226302986</x:v>
      </x:c>
      <x:c r="Z400" s="75" t="n">
        <x:v>0.009344062530401155</x:v>
      </x:c>
      <x:c r="AA400" s="75" t="n">
        <x:v>0.00703255847917794</x:v>
      </x:c>
      <x:c r="AB400" s="75" t="n">
        <x:v>0.005084783492872372</x:v>
      </x:c>
      <x:c r="AC400" s="75" t="n">
        <x:v>0.02559838156156493</x:v>
      </x:c>
      <x:c r="AD400" s="75" t="n">
        <x:v>0.09819283561580233</x:v>
      </x:c>
      <x:c r="AE400" s="75" t="n">
        <x:v>0.0938170169601508</x:v>
      </x:c>
      <x:c r="AF400" s="74" t="n">
        <x:v>8</x:v>
      </x:c>
    </x:row>
    <x:row r="401">
      <x:c r="A401" t="str">
        <x:v>2026 S2</x:v>
      </x:c>
      <x:c r="B401" t="str">
        <x:v>CNCT0100</x:v>
      </x:c>
      <x:c r="C401" s="74" t="n">
        <x:v>2114</x:v>
      </x:c>
      <x:c r="D401" s="74" t="n">
        <x:v>1292.637</x:v>
      </x:c>
      <x:c r="E401" s="75" t="n">
        <x:v>0.9646568840288091</x:v>
      </x:c>
      <x:c r="F401" s="75" t="n">
        <x:v>0.1815036867587769</x:v>
      </x:c>
      <x:c r="G401" s="75" t="n">
        <x:v>0.016857434632547665</x:v>
      </x:c>
      <x:c r="H401" s="75" t="n">
        <x:v>0.012024480310334184</x:v>
      </x:c>
      <x:c r="I401" s="75" t="n">
        <x:v>0.01036442195498512</x:v>
      </x:c>
      <x:c r="J401" s="75" t="n">
        <x:v>0.012555881721753395</x:v>
      </x:c>
      <x:c r="K401" s="75" t="n">
        <x:v>0.0081519434114889</x:v>
      </x:c>
      <x:c r="L401" s="75" t="n">
        <x:v>0.009124621057388139</x:v>
      </x:c>
      <x:c r="M401" s="75" t="n">
        <x:v>0.00800302147200273</x:v>
      </x:c>
      <x:c r="N401" s="75" t="n">
        <x:v>0.007051079343742458</x:v>
      </x:c>
      <x:c r="O401" s="75" t="n">
        <x:v>0.015419522527023218</x:v>
      </x:c>
      <x:c r="P401" s="75" t="n">
        <x:v>0.0012119704222786822</x:v>
      </x:c>
      <x:c r="Q401" s="75" t="n">
        <x:v>0.006927172089875967</x:v>
      </x:c>
      <x:c r="R401" s="75" t="n">
        <x:v>0.35076218958763383</x:v>
      </x:c>
      <x:c r="S401" s="75" t="n">
        <x:v>0.011108934325857262</x:v>
      </x:c>
      <x:c r="T401" s="75" t="n">
        <x:v>0.005484609755309066</x:v>
      </x:c>
      <x:c r="U401" s="75" t="n">
        <x:v>0.011076057456913986</x:v>
      </x:c>
      <x:c r="V401" s="75" t="n">
        <x:v>0.039773060291627194</x:v>
      </x:c>
      <x:c r="W401" s="75" t="n">
        <x:v>0.015048775222235885</x:v>
      </x:c>
      <x:c r="X401" s="75" t="n">
        <x:v>0.022883134299817035</x:v>
      </x:c>
      <x:c r="Y401" s="75" t="n">
        <x:v>0.01907392763057186</x:v>
      </x:c>
      <x:c r="Z401" s="75" t="n">
        <x:v>0.008049655175129476</x:v>
      </x:c>
      <x:c r="AA401" s="75" t="n">
        <x:v>0.00605835744058158</x:v>
      </x:c>
      <x:c r="AB401" s="75" t="n">
        <x:v>0.004380402381153136</x:v>
      </x:c>
      <x:c r="AC401" s="75" t="n">
        <x:v>0.02205230797006917</x:v>
      </x:c>
      <x:c r="AD401" s="75" t="n">
        <x:v>0.09819283561580233</x:v>
      </x:c>
      <x:c r="AE401" s="75" t="n">
        <x:v>0.0938170169601508</x:v>
      </x:c>
      <x:c r="AF401" s="74" t="n">
        <x:v>8</x:v>
      </x:c>
    </x:row>
    <x:row r="402">
      <x:c r="A402" t="str">
        <x:v>2025 S1</x:v>
      </x:c>
      <x:c r="B402" t="str">
        <x:v>CNCT0101</x:v>
      </x:c>
      <x:c r="C402" s="74" t="n">
        <x:v>1547</x:v>
      </x:c>
      <x:c r="D402" s="74" t="n">
        <x:v>1208.133</x:v>
      </x:c>
      <x:c r="E402" s="75" t="n">
        <x:v>0.9619122710374067</x:v>
      </x:c>
      <x:c r="F402" s="75" t="n">
        <x:v>0.1626694094785489</x:v>
      </x:c>
      <x:c r="G402" s="75" t="n">
        <x:v>0.01881905766343698</x:v>
      </x:c>
      <x:c r="H402" s="75" t="n">
        <x:v>0.008321143916487927</x:v>
      </x:c>
      <x:c r="I402" s="75" t="n">
        <x:v>0.0066994263950873574</x:v>
      </x:c>
      <x:c r="J402" s="75" t="n">
        <x:v>0.014256692490744172</x:v>
      </x:c>
      <x:c r="K402" s="75" t="n">
        <x:v>0.011315578423693295</x:v>
      </x:c>
      <x:c r="L402" s="75" t="n">
        <x:v>0.011321873340581077</x:v>
      </x:c>
      <x:c r="M402" s="75" t="n">
        <x:v>0.008632533677180618</x:v>
      </x:c>
      <x:c r="N402" s="75" t="n">
        <x:v>0.007091916387696983</x:v>
      </x:c>
      <x:c r="O402" s="75" t="n">
        <x:v>0.015877630528062583</x:v>
      </x:c>
      <x:c r="P402" s="75" t="n">
        <x:v>0.0005012159869802416</x:v>
      </x:c>
      <x:c r="Q402" s="75" t="n">
        <x:v>0.0021394981358753284</x:v>
      </x:c>
      <x:c r="R402" s="75" t="n">
        <x:v>0.37871639894154274</x:v>
      </x:c>
      <x:c r="S402" s="75" t="n">
        <x:v>0.013522574309703488</x:v>
      </x:c>
      <x:c r="T402" s="75" t="n">
        <x:v>0.004102776500672917</x:v>
      </x:c>
      <x:c r="U402" s="75" t="n">
        <x:v>0.011871997734415343</x:v>
      </x:c>
      <x:c r="V402" s="75" t="n">
        <x:v>0.037468390915011696</x:v>
      </x:c>
      <x:c r="W402" s="75" t="n">
        <x:v>0.010136958560880158</x:v>
      </x:c>
      <x:c r="X402" s="75" t="n">
        <x:v>0.02005705178891134</x:v>
      </x:c>
      <x:c r="Y402" s="75" t="n">
        <x:v>0.01745556723745307</x:v>
      </x:c>
      <x:c r="Z402" s="75" t="n">
        <x:v>0.004774834956103586</x:v>
      </x:c>
      <x:c r="AA402" s="75" t="n">
        <x:v>0.007689181668802339</x:v>
      </x:c>
      <x:c r="AB402" s="75" t="n">
        <x:v>0.0038125352247382806</x:v>
      </x:c>
      <x:c r="AC402" s="75" t="n">
        <x:v>0.020550577810275715</x:v>
      </x:c>
      <x:c r="AD402" s="75" t="n">
        <x:v>0.08040196504224151</x:v>
      </x:c>
      <x:c r="AE402" s="75" t="n">
        <x:v>0.07103223930519344</x:v>
      </x:c>
      <x:c r="AF402" s="74" t="n">
        <x:v>8</x:v>
      </x:c>
    </x:row>
    <x:row r="403">
      <x:c r="A403" t="str">
        <x:v>2025 S2</x:v>
      </x:c>
      <x:c r="B403" t="str">
        <x:v>CNCT0101</x:v>
      </x:c>
      <x:c r="C403" s="74" t="n">
        <x:v>1660</x:v>
      </x:c>
      <x:c r="D403" s="74" t="n">
        <x:v>1222.63</x:v>
      </x:c>
      <x:c r="E403" s="75" t="n">
        <x:v>0.9835363903939142</x:v>
      </x:c>
      <x:c r="F403" s="75" t="n">
        <x:v>0.1626694094785489</x:v>
      </x:c>
      <x:c r="G403" s="75" t="n">
        <x:v>0.01881905766343698</x:v>
      </x:c>
      <x:c r="H403" s="75" t="n">
        <x:v>0.008321143916487927</x:v>
      </x:c>
      <x:c r="I403" s="75" t="n">
        <x:v>0.0066994263950873574</x:v>
      </x:c>
      <x:c r="J403" s="75" t="n">
        <x:v>0.014256692490744172</x:v>
      </x:c>
      <x:c r="K403" s="75" t="n">
        <x:v>0.011315578423693295</x:v>
      </x:c>
      <x:c r="L403" s="75" t="n">
        <x:v>0.011321873340581077</x:v>
      </x:c>
      <x:c r="M403" s="75" t="n">
        <x:v>0.008632533677180618</x:v>
      </x:c>
      <x:c r="N403" s="75" t="n">
        <x:v>0.007091916387696983</x:v>
      </x:c>
      <x:c r="O403" s="75" t="n">
        <x:v>0.015877630528062583</x:v>
      </x:c>
      <x:c r="P403" s="75" t="n">
        <x:v>0.0005012159869802416</x:v>
      </x:c>
      <x:c r="Q403" s="75" t="n">
        <x:v>0.0021394981358753284</x:v>
      </x:c>
      <x:c r="R403" s="75" t="n">
        <x:v>0.37249836618380616</x:v>
      </x:c>
      <x:c r="S403" s="75" t="n">
        <x:v>0.013522574309703488</x:v>
      </x:c>
      <x:c r="T403" s="75" t="n">
        <x:v>0.004102776500672917</x:v>
      </x:c>
      <x:c r="U403" s="75" t="n">
        <x:v>0.011871997734415343</x:v>
      </x:c>
      <x:c r="V403" s="75" t="n">
        <x:v>0.037468390915011696</x:v>
      </x:c>
      <x:c r="W403" s="75" t="n">
        <x:v>0.010136958560880158</x:v>
      </x:c>
      <x:c r="X403" s="75" t="n">
        <x:v>0.02005705178891134</x:v>
      </x:c>
      <x:c r="Y403" s="75" t="n">
        <x:v>0.01745556723745307</x:v>
      </x:c>
      <x:c r="Z403" s="75" t="n">
        <x:v>0.004774834956103586</x:v>
      </x:c>
      <x:c r="AA403" s="75" t="n">
        <x:v>0.007689181668802339</x:v>
      </x:c>
      <x:c r="AB403" s="75" t="n">
        <x:v>0.0038125352247382806</x:v>
      </x:c>
      <x:c r="AC403" s="75" t="n">
        <x:v>0.020550577810275715</x:v>
      </x:c>
      <x:c r="AD403" s="75" t="n">
        <x:v>0.08040196504224151</x:v>
      </x:c>
      <x:c r="AE403" s="75" t="n">
        <x:v>0.07952316414362816</x:v>
      </x:c>
      <x:c r="AF403" s="74" t="n">
        <x:v>8</x:v>
      </x:c>
    </x:row>
    <x:row r="404">
      <x:c r="A404" t="str">
        <x:v>2026 S1</x:v>
      </x:c>
      <x:c r="B404" t="str">
        <x:v>CNCT0101</x:v>
      </x:c>
      <x:c r="C404" s="74" t="n">
        <x:v>1483</x:v>
      </x:c>
      <x:c r="D404" s="74" t="n">
        <x:v>1253.129</x:v>
      </x:c>
      <x:c r="E404" s="75" t="n">
        <x:v>0.958964426478844</x:v>
      </x:c>
      <x:c r="F404" s="75" t="n">
        <x:v>0.16338226802764985</x:v>
      </x:c>
      <x:c r="G404" s="75" t="n">
        <x:v>0.018371425206714774</x:v>
      </x:c>
      <x:c r="H404" s="75" t="n">
        <x:v>0.008321143916487927</x:v>
      </x:c>
      <x:c r="I404" s="75" t="n">
        <x:v>0.0066994263950873574</x:v>
      </x:c>
      <x:c r="J404" s="75" t="n">
        <x:v>0.014256692490744172</x:v>
      </x:c>
      <x:c r="K404" s="75" t="n">
        <x:v>0.011315578423693295</x:v>
      </x:c>
      <x:c r="L404" s="75" t="n">
        <x:v>0.011321873340581077</x:v>
      </x:c>
      <x:c r="M404" s="75" t="n">
        <x:v>0.008632533677180618</x:v>
      </x:c>
      <x:c r="N404" s="75" t="n">
        <x:v>0.007091916387696983</x:v>
      </x:c>
      <x:c r="O404" s="75" t="n">
        <x:v>0.017298796243558172</x:v>
      </x:c>
      <x:c r="P404" s="75" t="n">
        <x:v>0.0005012159869802416</x:v>
      </x:c>
      <x:c r="Q404" s="75" t="n">
        <x:v>0.0021394981358753284</x:v>
      </x:c>
      <x:c r="R404" s="75" t="n">
        <x:v>0.3750495589746946</x:v>
      </x:c>
      <x:c r="S404" s="75" t="n">
        <x:v>0.013522574309703488</x:v>
      </x:c>
      <x:c r="T404" s="75" t="n">
        <x:v>0.004102776500672917</x:v>
      </x:c>
      <x:c r="U404" s="75" t="n">
        <x:v>0.011871997734415343</x:v>
      </x:c>
      <x:c r="V404" s="75" t="n">
        <x:v>0.037468390915011696</x:v>
      </x:c>
      <x:c r="W404" s="75" t="n">
        <x:v>0.012473030826316298</x:v>
      </x:c>
      <x:c r="X404" s="75" t="n">
        <x:v>0.024679219486361592</x:v>
      </x:c>
      <x:c r="Y404" s="75" t="n">
        <x:v>0.021478220211317973</x:v>
      </x:c>
      <x:c r="Z404" s="75" t="n">
        <x:v>0.005875200459819336</x:v>
      </x:c>
      <x:c r="AA404" s="75" t="n">
        <x:v>0.009461161294891439</x:v>
      </x:c>
      <x:c r="AB404" s="75" t="n">
        <x:v>0.004691137790391477</x:v>
      </x:c>
      <x:c r="AC404" s="75" t="n">
        <x:v>0.02528647907424459</x:v>
      </x:c>
      <x:c r="AD404" s="75" t="n">
        <x:v>0.08040196504224151</x:v>
      </x:c>
      <x:c r="AE404" s="75" t="n">
        <x:v>0.07103223930519344</x:v>
      </x:c>
      <x:c r="AF404" s="74" t="n">
        <x:v>8</x:v>
      </x:c>
    </x:row>
    <x:row r="405">
      <x:c r="A405" t="str">
        <x:v>2026 S2</x:v>
      </x:c>
      <x:c r="B405" t="str">
        <x:v>CNCT0101</x:v>
      </x:c>
      <x:c r="C405" s="74" t="n">
        <x:v>1616</x:v>
      </x:c>
      <x:c r="D405" s="74" t="n">
        <x:v>1253.926</x:v>
      </x:c>
      <x:c r="E405" s="75" t="n">
        <x:v>0.9835363903939142</x:v>
      </x:c>
      <x:c r="F405" s="75" t="n">
        <x:v>0.16496250639363505</x:v>
      </x:c>
      <x:c r="G405" s="75" t="n">
        <x:v>0.019573986958093884</x:v>
      </x:c>
      <x:c r="H405" s="75" t="n">
        <x:v>0.008321143916487927</x:v>
      </x:c>
      <x:c r="I405" s="75" t="n">
        <x:v>0.0066994263950873574</x:v>
      </x:c>
      <x:c r="J405" s="75" t="n">
        <x:v>0.014256692490744172</x:v>
      </x:c>
      <x:c r="K405" s="75" t="n">
        <x:v>0.011315578423693295</x:v>
      </x:c>
      <x:c r="L405" s="75" t="n">
        <x:v>0.011321873340581077</x:v>
      </x:c>
      <x:c r="M405" s="75" t="n">
        <x:v>0.008632533677180618</x:v>
      </x:c>
      <x:c r="N405" s="75" t="n">
        <x:v>0.007091916387696983</x:v>
      </x:c>
      <x:c r="O405" s="75" t="n">
        <x:v>0.015877630528062583</x:v>
      </x:c>
      <x:c r="P405" s="75" t="n">
        <x:v>0.0005012159869802416</x:v>
      </x:c>
      <x:c r="Q405" s="75" t="n">
        <x:v>0.0021394981358753284</x:v>
      </x:c>
      <x:c r="R405" s="75" t="n">
        <x:v>0.3727220906503173</x:v>
      </x:c>
      <x:c r="S405" s="75" t="n">
        <x:v>0.013522574309703488</x:v>
      </x:c>
      <x:c r="T405" s="75" t="n">
        <x:v>0.004102776500672917</x:v>
      </x:c>
      <x:c r="U405" s="75" t="n">
        <x:v>0.011871997734415343</x:v>
      </x:c>
      <x:c r="V405" s="75" t="n">
        <x:v>0.037468390915011696</x:v>
      </x:c>
      <x:c r="W405" s="75" t="n">
        <x:v>0.010745176074532969</x:v>
      </x:c>
      <x:c r="X405" s="75" t="n">
        <x:v>0.02126047489624602</x:v>
      </x:c>
      <x:c r="Y405" s="75" t="n">
        <x:v>0.018502901271700255</x:v>
      </x:c>
      <x:c r="Z405" s="75" t="n">
        <x:v>0.005061325053469802</x:v>
      </x:c>
      <x:c r="AA405" s="75" t="n">
        <x:v>0.00815053256893048</x:v>
      </x:c>
      <x:c r="AB405" s="75" t="n">
        <x:v>0.004041287338222578</x:v>
      </x:c>
      <x:c r="AC405" s="75" t="n">
        <x:v>0.02178361247889226</x:v>
      </x:c>
      <x:c r="AD405" s="75" t="n">
        <x:v>0.08040196504224151</x:v>
      </x:c>
      <x:c r="AE405" s="75" t="n">
        <x:v>0.07952316414362816</x:v>
      </x:c>
      <x:c r="AF405" s="74" t="n">
        <x:v>8</x:v>
      </x:c>
    </x:row>
    <x:row r="406">
      <x:c r="A406" t="str">
        <x:v>2025 S1</x:v>
      </x:c>
      <x:c r="B406" t="str">
        <x:v>CNCT0102</x:v>
      </x:c>
      <x:c r="C406" s="74" t="n">
        <x:v>1745</x:v>
      </x:c>
      <x:c r="D406" s="74" t="n">
        <x:v>1087.244</x:v>
      </x:c>
      <x:c r="E406" s="75" t="n">
        <x:v>0.9639973995154141</x:v>
      </x:c>
      <x:c r="F406" s="75" t="n">
        <x:v>0.1590327937300317</x:v>
      </x:c>
      <x:c r="G406" s="75" t="n">
        <x:v>0.0179679755945981</x:v>
      </x:c>
      <x:c r="H406" s="75" t="n">
        <x:v>0.0070340552543639205</x:v>
      </x:c>
      <x:c r="I406" s="75" t="n">
        <x:v>0.007834615062718512</x:v>
      </x:c>
      <x:c r="J406" s="75" t="n">
        <x:v>0.011143638248671778</x:v>
      </x:c>
      <x:c r="K406" s="75" t="n">
        <x:v>0.011594975583659106</x:v>
      </x:c>
      <x:c r="L406" s="75" t="n">
        <x:v>0.011530257258331402</x:v>
      </x:c>
      <x:c r="M406" s="75" t="n">
        <x:v>0.00762742663960853</x:v>
      </x:c>
      <x:c r="N406" s="75" t="n">
        <x:v>0.005046370386742638</x:v>
      </x:c>
      <x:c r="O406" s="75" t="n">
        <x:v>0.009275172462745103</x:v>
      </x:c>
      <x:c r="P406" s="75" t="n">
        <x:v>0.0019148502229727456</x:v>
      </x:c>
      <x:c r="Q406" s="75" t="n">
        <x:v>0.0013645117792184464</x:v>
      </x:c>
      <x:c r="R406" s="75" t="n">
        <x:v>0.38991670832420744</x:v>
      </x:c>
      <x:c r="S406" s="75" t="n">
        <x:v>0.012487388424255187</x:v>
      </x:c>
      <x:c r="T406" s="75" t="n">
        <x:v>0.0049608489663514775</x:v>
      </x:c>
      <x:c r="U406" s="75" t="n">
        <x:v>0.0068208778040134335</x:v>
      </x:c>
      <x:c r="V406" s="75" t="n">
        <x:v>0.030588352647711876</x:v>
      </x:c>
      <x:c r="W406" s="75" t="n">
        <x:v>0.010079243840798155</x:v>
      </x:c>
      <x:c r="X406" s="75" t="n">
        <x:v>0.02706319665806717</x:v>
      </x:c>
      <x:c r="Y406" s="75" t="n">
        <x:v>0.016204033126470167</x:v>
      </x:c>
      <x:c r="Z406" s="75" t="n">
        <x:v>0.00819291242196341</x:v>
      </x:c>
      <x:c r="AA406" s="75" t="n">
        <x:v>0.008166145673976862</x:v>
      </x:c>
      <x:c r="AB406" s="75" t="n">
        <x:v>0.004982510242293937</x:v>
      </x:c>
      <x:c r="AC406" s="75" t="n">
        <x:v>0.024574331191635428</x:v>
      </x:c>
      <x:c r="AD406" s="75" t="n">
        <x:v>0.10429917841872521</x:v>
      </x:c>
      <x:c r="AE406" s="75" t="n">
        <x:v>0.08859643977193628</x:v>
      </x:c>
      <x:c r="AF406" s="74" t="n">
        <x:v>9</x:v>
      </x:c>
    </x:row>
    <x:row r="407">
      <x:c r="A407" t="str">
        <x:v>2025 S2</x:v>
      </x:c>
      <x:c r="B407" t="str">
        <x:v>CNCT0102</x:v>
      </x:c>
      <x:c r="C407" s="74" t="n">
        <x:v>1892</x:v>
      </x:c>
      <x:c r="D407" s="74" t="n">
        <x:v>1100.291</x:v>
      </x:c>
      <x:c r="E407" s="75" t="n">
        <x:v>0.9806613639501156</x:v>
      </x:c>
      <x:c r="F407" s="75" t="n">
        <x:v>0.1590327937300317</x:v>
      </x:c>
      <x:c r="G407" s="75" t="n">
        <x:v>0.0179679755945981</x:v>
      </x:c>
      <x:c r="H407" s="75" t="n">
        <x:v>0.0070340552543639205</x:v>
      </x:c>
      <x:c r="I407" s="75" t="n">
        <x:v>0.007834615062718512</x:v>
      </x:c>
      <x:c r="J407" s="75" t="n">
        <x:v>0.011143638248671778</x:v>
      </x:c>
      <x:c r="K407" s="75" t="n">
        <x:v>0.011594975583659106</x:v>
      </x:c>
      <x:c r="L407" s="75" t="n">
        <x:v>0.011530257258331402</x:v>
      </x:c>
      <x:c r="M407" s="75" t="n">
        <x:v>0.00762742663960853</x:v>
      </x:c>
      <x:c r="N407" s="75" t="n">
        <x:v>0.005046370386742638</x:v>
      </x:c>
      <x:c r="O407" s="75" t="n">
        <x:v>0.009275172462745103</x:v>
      </x:c>
      <x:c r="P407" s="75" t="n">
        <x:v>0.0019148502229727456</x:v>
      </x:c>
      <x:c r="Q407" s="75" t="n">
        <x:v>0.0013645117792184464</x:v>
      </x:c>
      <x:c r="R407" s="75" t="n">
        <x:v>0.38144856634025476</x:v>
      </x:c>
      <x:c r="S407" s="75" t="n">
        <x:v>0.012487388424255187</x:v>
      </x:c>
      <x:c r="T407" s="75" t="n">
        <x:v>0.0049608489663514775</x:v>
      </x:c>
      <x:c r="U407" s="75" t="n">
        <x:v>0.0068208778040134335</x:v>
      </x:c>
      <x:c r="V407" s="75" t="n">
        <x:v>0.030588352647711876</x:v>
      </x:c>
      <x:c r="W407" s="75" t="n">
        <x:v>0.010079243840798155</x:v>
      </x:c>
      <x:c r="X407" s="75" t="n">
        <x:v>0.02706319665806717</x:v>
      </x:c>
      <x:c r="Y407" s="75" t="n">
        <x:v>0.016204033126470167</x:v>
      </x:c>
      <x:c r="Z407" s="75" t="n">
        <x:v>0.00819291242196341</x:v>
      </x:c>
      <x:c r="AA407" s="75" t="n">
        <x:v>0.008166145673976862</x:v>
      </x:c>
      <x:c r="AB407" s="75" t="n">
        <x:v>0.004982510242293937</x:v>
      </x:c>
      <x:c r="AC407" s="75" t="n">
        <x:v>0.024574331191635428</x:v>
      </x:c>
      <x:c r="AD407" s="75" t="n">
        <x:v>0.10429917841872521</x:v>
      </x:c>
      <x:c r="AE407" s="75" t="n">
        <x:v>0.08859643977193628</x:v>
      </x:c>
      <x:c r="AF407" s="74" t="n">
        <x:v>9</x:v>
      </x:c>
    </x:row>
    <x:row r="408">
      <x:c r="A408" t="str">
        <x:v>2026 S1</x:v>
      </x:c>
      <x:c r="B408" t="str">
        <x:v>CNCT0102</x:v>
      </x:c>
      <x:c r="C408" s="74" t="n">
        <x:v>1685</x:v>
      </x:c>
      <x:c r="D408" s="74" t="n">
        <x:v>1148.832</x:v>
      </x:c>
      <x:c r="E408" s="75" t="n">
        <x:v>0.9655901694964413</x:v>
      </x:c>
      <x:c r="F408" s="75" t="n">
        <x:v>0.15529422822487415</x:v>
      </x:c>
      <x:c r="G408" s="75" t="n">
        <x:v>0.01684804140374035</x:v>
      </x:c>
      <x:c r="H408" s="75" t="n">
        <x:v>0.0070340552543639205</x:v>
      </x:c>
      <x:c r="I408" s="75" t="n">
        <x:v>0.007834615062718512</x:v>
      </x:c>
      <x:c r="J408" s="75" t="n">
        <x:v>0.011143638248671778</x:v>
      </x:c>
      <x:c r="K408" s="75" t="n">
        <x:v>0.011594975583659106</x:v>
      </x:c>
      <x:c r="L408" s="75" t="n">
        <x:v>0.011530257258331402</x:v>
      </x:c>
      <x:c r="M408" s="75" t="n">
        <x:v>0.00762742663960853</x:v>
      </x:c>
      <x:c r="N408" s="75" t="n">
        <x:v>0.005046370386742638</x:v>
      </x:c>
      <x:c r="O408" s="75" t="n">
        <x:v>0.00945439369221276</x:v>
      </x:c>
      <x:c r="P408" s="75" t="n">
        <x:v>0.0019148502229727456</x:v>
      </x:c>
      <x:c r="Q408" s="75" t="n">
        <x:v>0.0013645117792184464</x:v>
      </x:c>
      <x:c r="R408" s="75" t="n">
        <x:v>0.39299188305489025</x:v>
      </x:c>
      <x:c r="S408" s="75" t="n">
        <x:v>0.012487388424255187</x:v>
      </x:c>
      <x:c r="T408" s="75" t="n">
        <x:v>0.0049608489663514775</x:v>
      </x:c>
      <x:c r="U408" s="75" t="n">
        <x:v>0.0068208778040134335</x:v>
      </x:c>
      <x:c r="V408" s="75" t="n">
        <x:v>0.030588352647711876</x:v>
      </x:c>
      <x:c r="W408" s="75" t="n">
        <x:v>0.01240201569111656</x:v>
      </x:c>
      <x:c r="X408" s="75" t="n">
        <x:v>0.03329993746619626</x:v>
      </x:c>
      <x:c r="Y408" s="75" t="n">
        <x:v>0.019938268809452844</x:v>
      </x:c>
      <x:c r="Z408" s="75" t="n">
        <x:v>0.010080977305246722</x:v>
      </x:c>
      <x:c r="AA408" s="75" t="n">
        <x:v>0.010048042133345666</x:v>
      </x:c>
      <x:c r="AB408" s="75" t="n">
        <x:v>0.006130734723963689</x:v>
      </x:c>
      <x:c r="AC408" s="75" t="n">
        <x:v>0.030237510457255045</x:v>
      </x:c>
      <x:c r="AD408" s="75" t="n">
        <x:v>0.10429917841872521</x:v>
      </x:c>
      <x:c r="AE408" s="75" t="n">
        <x:v>0.08859643977193628</x:v>
      </x:c>
      <x:c r="AF408" s="74" t="n">
        <x:v>9</x:v>
      </x:c>
    </x:row>
    <x:row r="409">
      <x:c r="A409" t="str">
        <x:v>2026 S2</x:v>
      </x:c>
      <x:c r="B409" t="str">
        <x:v>CNCT0102</x:v>
      </x:c>
      <x:c r="C409" s="74" t="n">
        <x:v>1884</x:v>
      </x:c>
      <x:c r="D409" s="74" t="n">
        <x:v>1136.104</x:v>
      </x:c>
      <x:c r="E409" s="75" t="n">
        <x:v>0.9806613639501156</x:v>
      </x:c>
      <x:c r="F409" s="75" t="n">
        <x:v>0.152508902274094</x:v>
      </x:c>
      <x:c r="G409" s="75" t="n">
        <x:v>0.016855058319648376</x:v>
      </x:c>
      <x:c r="H409" s="75" t="n">
        <x:v>0.0070340552543639205</x:v>
      </x:c>
      <x:c r="I409" s="75" t="n">
        <x:v>0.007834615062718512</x:v>
      </x:c>
      <x:c r="J409" s="75" t="n">
        <x:v>0.011143638248671778</x:v>
      </x:c>
      <x:c r="K409" s="75" t="n">
        <x:v>0.011594975583659106</x:v>
      </x:c>
      <x:c r="L409" s="75" t="n">
        <x:v>0.011530257258331402</x:v>
      </x:c>
      <x:c r="M409" s="75" t="n">
        <x:v>0.00762742663960853</x:v>
      </x:c>
      <x:c r="N409" s="75" t="n">
        <x:v>0.005046370386742638</x:v>
      </x:c>
      <x:c r="O409" s="75" t="n">
        <x:v>0.009275172462745103</x:v>
      </x:c>
      <x:c r="P409" s="75" t="n">
        <x:v>0.0019148502229727456</x:v>
      </x:c>
      <x:c r="Q409" s="75" t="n">
        <x:v>0.0013645117792184464</x:v>
      </x:c>
      <x:c r="R409" s="75" t="n">
        <x:v>0.3808025282806128</x:v>
      </x:c>
      <x:c r="S409" s="75" t="n">
        <x:v>0.012487388424255187</x:v>
      </x:c>
      <x:c r="T409" s="75" t="n">
        <x:v>0.0049608489663514775</x:v>
      </x:c>
      <x:c r="U409" s="75" t="n">
        <x:v>0.0068208778040134335</x:v>
      </x:c>
      <x:c r="V409" s="75" t="n">
        <x:v>0.030588352647711876</x:v>
      </x:c>
      <x:c r="W409" s="75" t="n">
        <x:v>0.010683998471246044</x:v>
      </x:c>
      <x:c r="X409" s="75" t="n">
        <x:v>0.028686988457551202</x:v>
      </x:c>
      <x:c r="Y409" s="75" t="n">
        <x:v>0.01717627511405838</x:v>
      </x:c>
      <x:c r="Z409" s="75" t="n">
        <x:v>0.008684487167281216</x:v>
      </x:c>
      <x:c r="AA409" s="75" t="n">
        <x:v>0.008656114414415474</x:v>
      </x:c>
      <x:c r="AB409" s="75" t="n">
        <x:v>0.0052814608568315735</x:v>
      </x:c>
      <x:c r="AC409" s="75" t="n">
        <x:v>0.026048791063133556</x:v>
      </x:c>
      <x:c r="AD409" s="75" t="n">
        <x:v>0.10429917841872521</x:v>
      </x:c>
      <x:c r="AE409" s="75" t="n">
        <x:v>0.08859643977193628</x:v>
      </x:c>
      <x:c r="AF409" s="74" t="n">
        <x:v>9</x:v>
      </x:c>
    </x:row>
    <x:row r="410">
      <x:c r="A410" t="str">
        <x:v>2025 S1</x:v>
      </x:c>
      <x:c r="B410" t="str">
        <x:v>CNCT0103</x:v>
      </x:c>
      <x:c r="C410" s="74" t="n">
        <x:v>1715</x:v>
      </x:c>
      <x:c r="D410" s="74" t="n">
        <x:v>1143.12</x:v>
      </x:c>
      <x:c r="E410" s="75" t="n">
        <x:v>0.9656822571972298</x:v>
      </x:c>
      <x:c r="F410" s="75" t="n">
        <x:v>0.154547874242533</x:v>
      </x:c>
      <x:c r="G410" s="75" t="n">
        <x:v>0.014828471418411936</x:v>
      </x:c>
      <x:c r="H410" s="75" t="n">
        <x:v>0.009257534704753198</x:v>
      </x:c>
      <x:c r="I410" s="75" t="n">
        <x:v>0.006144652365845105</x:v>
      </x:c>
      <x:c r="J410" s="75" t="n">
        <x:v>0.014426196211366914</x:v>
      </x:c>
      <x:c r="K410" s="75" t="n">
        <x:v>0.0080975474638617</x:v>
      </x:c>
      <x:c r="L410" s="75" t="n">
        <x:v>0.013863411029349662</x:v>
      </x:c>
      <x:c r="M410" s="75" t="n">
        <x:v>0.0067429050068317335</x:v>
      </x:c>
      <x:c r="N410" s="75" t="n">
        <x:v>0.005620854905129818</x:v>
      </x:c>
      <x:c r="O410" s="75" t="n">
        <x:v>0.0130482819188328</x:v>
      </x:c>
      <x:c r="P410" s="75" t="n">
        <x:v>0.0004469671769293201</x:v>
      </x:c>
      <x:c r="Q410" s="75" t="n">
        <x:v>0.006780040064535569</x:v>
      </x:c>
      <x:c r="R410" s="75" t="n">
        <x:v>0.4007194194228941</x:v>
      </x:c>
      <x:c r="S410" s="75" t="n">
        <x:v>0.01151530313055264</x:v>
      </x:c>
      <x:c r="T410" s="75" t="n">
        <x:v>0.006409351901849732</x:v>
      </x:c>
      <x:c r="U410" s="75" t="n">
        <x:v>0.0061806180075509465</x:v>
      </x:c>
      <x:c r="V410" s="75" t="n">
        <x:v>0.030055016742539013</x:v>
      </x:c>
      <x:c r="W410" s="75" t="n">
        <x:v>0.013528773811153952</x:v>
      </x:c>
      <x:c r="X410" s="75" t="n">
        <x:v>0.01879371366995969</x:v>
      </x:c>
      <x:c r="Y410" s="75" t="n">
        <x:v>0.016252960209615995</x:v>
      </x:c>
      <x:c r="Z410" s="75" t="n">
        <x:v>0.008017400680301944</x:v>
      </x:c>
      <x:c r="AA410" s="75" t="n">
        <x:v>0.00654013960719225</x:v>
      </x:c>
      <x:c r="AB410" s="75" t="n">
        <x:v>0.003581334170946502</x:v>
      </x:c>
      <x:c r="AC410" s="75" t="n">
        <x:v>0.01982883849183563</x:v>
      </x:c>
      <x:c r="AD410" s="75" t="n">
        <x:v>0.10576757803671354</x:v>
      </x:c>
      <x:c r="AE410" s="75" t="n">
        <x:v>0.08751168820802922</x:v>
      </x:c>
      <x:c r="AF410" s="74" t="n">
        <x:v>8</x:v>
      </x:c>
    </x:row>
    <x:row r="411">
      <x:c r="A411" t="str">
        <x:v>2025 S2</x:v>
      </x:c>
      <x:c r="B411" t="str">
        <x:v>CNCT0103</x:v>
      </x:c>
      <x:c r="C411" s="74" t="n">
        <x:v>1820</x:v>
      </x:c>
      <x:c r="D411" s="74" t="n">
        <x:v>1156.838</x:v>
      </x:c>
      <x:c r="E411" s="75" t="n">
        <x:v>0.9702922780897352</x:v>
      </x:c>
      <x:c r="F411" s="75" t="n">
        <x:v>0.154547874242533</x:v>
      </x:c>
      <x:c r="G411" s="75" t="n">
        <x:v>0.014828471418411936</x:v>
      </x:c>
      <x:c r="H411" s="75" t="n">
        <x:v>0.009257534704753198</x:v>
      </x:c>
      <x:c r="I411" s="75" t="n">
        <x:v>0.006144652365845105</x:v>
      </x:c>
      <x:c r="J411" s="75" t="n">
        <x:v>0.014426196211366914</x:v>
      </x:c>
      <x:c r="K411" s="75" t="n">
        <x:v>0.0080975474638617</x:v>
      </x:c>
      <x:c r="L411" s="75" t="n">
        <x:v>0.013863411029349662</x:v>
      </x:c>
      <x:c r="M411" s="75" t="n">
        <x:v>0.0067429050068317335</x:v>
      </x:c>
      <x:c r="N411" s="75" t="n">
        <x:v>0.005620854905129818</x:v>
      </x:c>
      <x:c r="O411" s="75" t="n">
        <x:v>0.0130482819188328</x:v>
      </x:c>
      <x:c r="P411" s="75" t="n">
        <x:v>0.0004469671769293201</x:v>
      </x:c>
      <x:c r="Q411" s="75" t="n">
        <x:v>0.006780040064535569</x:v>
      </x:c>
      <x:c r="R411" s="75" t="n">
        <x:v>0.3781292817667897</x:v>
      </x:c>
      <x:c r="S411" s="75" t="n">
        <x:v>0.01151530313055264</x:v>
      </x:c>
      <x:c r="T411" s="75" t="n">
        <x:v>0.006409351901849732</x:v>
      </x:c>
      <x:c r="U411" s="75" t="n">
        <x:v>0.0061806180075509465</x:v>
      </x:c>
      <x:c r="V411" s="75" t="n">
        <x:v>0.030055016742539013</x:v>
      </x:c>
      <x:c r="W411" s="75" t="n">
        <x:v>0.013528773811153952</x:v>
      </x:c>
      <x:c r="X411" s="75" t="n">
        <x:v>0.01879371366995969</x:v>
      </x:c>
      <x:c r="Y411" s="75" t="n">
        <x:v>0.016252960209615995</x:v>
      </x:c>
      <x:c r="Z411" s="75" t="n">
        <x:v>0.008017400680301944</x:v>
      </x:c>
      <x:c r="AA411" s="75" t="n">
        <x:v>0.00654013960719225</x:v>
      </x:c>
      <x:c r="AB411" s="75" t="n">
        <x:v>0.003581334170946502</x:v>
      </x:c>
      <x:c r="AC411" s="75" t="n">
        <x:v>0.01982883849183563</x:v>
      </x:c>
      <x:c r="AD411" s="75" t="n">
        <x:v>0.10576757803671354</x:v>
      </x:c>
      <x:c r="AE411" s="75" t="n">
        <x:v>0.08751168820802922</x:v>
      </x:c>
      <x:c r="AF411" s="74" t="n">
        <x:v>8</x:v>
      </x:c>
    </x:row>
    <x:row r="412">
      <x:c r="A412" t="str">
        <x:v>2026 S1</x:v>
      </x:c>
      <x:c r="B412" t="str">
        <x:v>CNCT0103</x:v>
      </x:c>
      <x:c r="C412" s="74" t="n">
        <x:v>1678</x:v>
      </x:c>
      <x:c r="D412" s="74" t="n">
        <x:v>1208.15</x:v>
      </x:c>
      <x:c r="E412" s="75" t="n">
        <x:v>0.9658392561515938</x:v>
      </x:c>
      <x:c r="F412" s="75" t="n">
        <x:v>0.15207632009602093</x:v>
      </x:c>
      <x:c r="G412" s="75" t="n">
        <x:v>0.01400361867758147</x:v>
      </x:c>
      <x:c r="H412" s="75" t="n">
        <x:v>0.009257534704753198</x:v>
      </x:c>
      <x:c r="I412" s="75" t="n">
        <x:v>0.006144652365845105</x:v>
      </x:c>
      <x:c r="J412" s="75" t="n">
        <x:v>0.014426196211366914</x:v>
      </x:c>
      <x:c r="K412" s="75" t="n">
        <x:v>0.0080975474638617</x:v>
      </x:c>
      <x:c r="L412" s="75" t="n">
        <x:v>0.013863411029349662</x:v>
      </x:c>
      <x:c r="M412" s="75" t="n">
        <x:v>0.0067429050068317335</x:v>
      </x:c>
      <x:c r="N412" s="75" t="n">
        <x:v>0.005620854905129818</x:v>
      </x:c>
      <x:c r="O412" s="75" t="n">
        <x:v>0.011506572471167601</x:v>
      </x:c>
      <x:c r="P412" s="75" t="n">
        <x:v>0.0004469671769293201</x:v>
      </x:c>
      <x:c r="Q412" s="75" t="n">
        <x:v>0.006780040064535569</x:v>
      </x:c>
      <x:c r="R412" s="75" t="n">
        <x:v>0.4026674162249237</x:v>
      </x:c>
      <x:c r="S412" s="75" t="n">
        <x:v>0.01151530313055264</x:v>
      </x:c>
      <x:c r="T412" s="75" t="n">
        <x:v>0.006409351901849732</x:v>
      </x:c>
      <x:c r="U412" s="75" t="n">
        <x:v>0.0061806180075509465</x:v>
      </x:c>
      <x:c r="V412" s="75" t="n">
        <x:v>0.030055016742539013</x:v>
      </x:c>
      <x:c r="W412" s="75" t="n">
        <x:v>0.01664649330224078</x:v>
      </x:c>
      <x:c r="X412" s="75" t="n">
        <x:v>0.023124743831054565</x:v>
      </x:c>
      <x:c r="Y412" s="75" t="n">
        <x:v>0.01999847118797245</x:v>
      </x:c>
      <x:c r="Z412" s="75" t="n">
        <x:v>0.00986501870672071</x:v>
      </x:c>
      <x:c r="AA412" s="75" t="n">
        <x:v>0.00804732133795348</x:v>
      </x:c>
      <x:c r="AB412" s="75" t="n">
        <x:v>0.0044066562219109125</x:v>
      </x:c>
      <x:c r="AC412" s="75" t="n">
        <x:v>0.024398414206128365</x:v>
      </x:c>
      <x:c r="AD412" s="75" t="n">
        <x:v>0.10576757803671354</x:v>
      </x:c>
      <x:c r="AE412" s="75" t="n">
        <x:v>0.08751168820802922</x:v>
      </x:c>
      <x:c r="AF412" s="74" t="n">
        <x:v>8</x:v>
      </x:c>
    </x:row>
    <x:row r="413">
      <x:c r="A413" t="str">
        <x:v>2026 S2</x:v>
      </x:c>
      <x:c r="B413" t="str">
        <x:v>CNCT0103</x:v>
      </x:c>
      <x:c r="C413" s="74" t="n">
        <x:v>1829</x:v>
      </x:c>
      <x:c r="D413" s="74" t="n">
        <x:v>1186.548</x:v>
      </x:c>
      <x:c r="E413" s="75" t="n">
        <x:v>0.9702922780897352</x:v>
      </x:c>
      <x:c r="F413" s="75" t="n">
        <x:v>0.15724744688251666</x:v>
      </x:c>
      <x:c r="G413" s="75" t="n">
        <x:v>0.016165099302088492</x:v>
      </x:c>
      <x:c r="H413" s="75" t="n">
        <x:v>0.009257534704753198</x:v>
      </x:c>
      <x:c r="I413" s="75" t="n">
        <x:v>0.006144652365845105</x:v>
      </x:c>
      <x:c r="J413" s="75" t="n">
        <x:v>0.014426196211366914</x:v>
      </x:c>
      <x:c r="K413" s="75" t="n">
        <x:v>0.0080975474638617</x:v>
      </x:c>
      <x:c r="L413" s="75" t="n">
        <x:v>0.013863411029349662</x:v>
      </x:c>
      <x:c r="M413" s="75" t="n">
        <x:v>0.0067429050068317335</x:v>
      </x:c>
      <x:c r="N413" s="75" t="n">
        <x:v>0.005620854905129818</x:v>
      </x:c>
      <x:c r="O413" s="75" t="n">
        <x:v>0.0130482819188328</x:v>
      </x:c>
      <x:c r="P413" s="75" t="n">
        <x:v>0.0004469671769293201</x:v>
      </x:c>
      <x:c r="Q413" s="75" t="n">
        <x:v>0.006780040064535569</x:v>
      </x:c>
      <x:c r="R413" s="75" t="n">
        <x:v>0.3699982600129117</x:v>
      </x:c>
      <x:c r="S413" s="75" t="n">
        <x:v>0.01151530313055264</x:v>
      </x:c>
      <x:c r="T413" s="75" t="n">
        <x:v>0.006409351901849732</x:v>
      </x:c>
      <x:c r="U413" s="75" t="n">
        <x:v>0.0061806180075509465</x:v>
      </x:c>
      <x:c r="V413" s="75" t="n">
        <x:v>0.030055016742539013</x:v>
      </x:c>
      <x:c r="W413" s="75" t="n">
        <x:v>0.01434050023982319</x:v>
      </x:c>
      <x:c r="X413" s="75" t="n">
        <x:v>0.01992133649015727</x:v>
      </x:c>
      <x:c r="Y413" s="75" t="n">
        <x:v>0.017228137822192957</x:v>
      </x:c>
      <x:c r="Z413" s="75" t="n">
        <x:v>0.008498444721120062</x:v>
      </x:c>
      <x:c r="AA413" s="75" t="n">
        <x:v>0.0069325479836237856</x:v>
      </x:c>
      <x:c r="AB413" s="75" t="n">
        <x:v>0.0037962142212032922</x:v>
      </x:c>
      <x:c r="AC413" s="75" t="n">
        <x:v>0.02101856880134577</x:v>
      </x:c>
      <x:c r="AD413" s="75" t="n">
        <x:v>0.10576757803671354</x:v>
      </x:c>
      <x:c r="AE413" s="75" t="n">
        <x:v>0.08751168820802922</x:v>
      </x:c>
      <x:c r="AF413" s="74" t="n">
        <x:v>8</x:v>
      </x:c>
    </x:row>
    <x:row r="414">
      <x:c r="A414" t="str">
        <x:v>2025 S1</x:v>
      </x:c>
      <x:c r="B414" t="str">
        <x:v>CNCT0104</x:v>
      </x:c>
      <x:c r="C414" s="74" t="n">
        <x:v>2295</x:v>
      </x:c>
      <x:c r="D414" s="74" t="n">
        <x:v>1158.386</x:v>
      </x:c>
      <x:c r="E414" s="75" t="n">
        <x:v>0.9701252345655229</x:v>
      </x:c>
      <x:c r="F414" s="75" t="n">
        <x:v>0.17113876153039745</x:v>
      </x:c>
      <x:c r="G414" s="75" t="n">
        <x:v>0.010601269074075388</x:v>
      </x:c>
      <x:c r="H414" s="75" t="n">
        <x:v>0.010326041318287026</x:v>
      </x:c>
      <x:c r="I414" s="75" t="n">
        <x:v>0.0064987124813415</x:v>
      </x:c>
      <x:c r="J414" s="75" t="n">
        <x:v>0.011351075665967074</x:v>
      </x:c>
      <x:c r="K414" s="75" t="n">
        <x:v>0.009184549872297793</x:v>
      </x:c>
      <x:c r="L414" s="75" t="n">
        <x:v>0.012294626059825531</x:v>
      </x:c>
      <x:c r="M414" s="75" t="n">
        <x:v>0.006519933830993978</x:v>
      </x:c>
      <x:c r="N414" s="75" t="n">
        <x:v>0.007748669340275228</x:v>
      </x:c>
      <x:c r="O414" s="75" t="n">
        <x:v>0.008698215768132286</x:v>
      </x:c>
      <x:c r="P414" s="75" t="n">
        <x:v>0.0016790939449092548</x:v>
      </x:c>
      <x:c r="Q414" s="75" t="n">
        <x:v>0.0035507788196773617</x:v>
      </x:c>
      <x:c r="R414" s="75" t="n">
        <x:v>0.37186164584387826</x:v>
      </x:c>
      <x:c r="S414" s="75" t="n">
        <x:v>0.012008715193034732</x:v>
      </x:c>
      <x:c r="T414" s="75" t="n">
        <x:v>0.006020877220405964</x:v>
      </x:c>
      <x:c r="U414" s="75" t="n">
        <x:v>0.006853242881363257</x:v>
      </x:c>
      <x:c r="V414" s="75" t="n">
        <x:v>0.033055681263271255</x:v>
      </x:c>
      <x:c r="W414" s="75" t="n">
        <x:v>0.00961724122620508</x:v>
      </x:c>
      <x:c r="X414" s="75" t="n">
        <x:v>0.021291790650005568</x:v>
      </x:c>
      <x:c r="Y414" s="75" t="n">
        <x:v>0.016726254475882742</x:v>
      </x:c>
      <x:c r="Z414" s="75" t="n">
        <x:v>0.0061181806882843375</x:v>
      </x:c>
      <x:c r="AA414" s="75" t="n">
        <x:v>0.005613349931149278</x:v>
      </x:c>
      <x:c r="AB414" s="75" t="n">
        <x:v>0.004578035058063688</x:v>
      </x:c>
      <x:c r="AC414" s="75" t="n">
        <x:v>0.022622748182353096</x:v>
      </x:c>
      <x:c r="AD414" s="75" t="n">
        <x:v>0.10932432610269462</x:v>
      </x:c>
      <x:c r="AE414" s="75" t="n">
        <x:v>0.08136930135515286</x:v>
      </x:c>
      <x:c r="AF414" s="74" t="n">
        <x:v>8</x:v>
      </x:c>
    </x:row>
    <x:row r="415">
      <x:c r="A415" t="str">
        <x:v>2025 S2</x:v>
      </x:c>
      <x:c r="B415" t="str">
        <x:v>CNCT0104</x:v>
      </x:c>
      <x:c r="C415" s="74" t="n">
        <x:v>2472</x:v>
      </x:c>
      <x:c r="D415" s="74" t="n">
        <x:v>1172.286</x:v>
      </x:c>
      <x:c r="E415" s="75" t="n">
        <x:v>0.979495419801904</x:v>
      </x:c>
      <x:c r="F415" s="75" t="n">
        <x:v>0.17113876153039745</x:v>
      </x:c>
      <x:c r="G415" s="75" t="n">
        <x:v>0.010601269074075388</x:v>
      </x:c>
      <x:c r="H415" s="75" t="n">
        <x:v>0.010326041318287026</x:v>
      </x:c>
      <x:c r="I415" s="75" t="n">
        <x:v>0.0064987124813415</x:v>
      </x:c>
      <x:c r="J415" s="75" t="n">
        <x:v>0.011351075665967074</x:v>
      </x:c>
      <x:c r="K415" s="75" t="n">
        <x:v>0.009184549872297793</x:v>
      </x:c>
      <x:c r="L415" s="75" t="n">
        <x:v>0.012294626059825531</x:v>
      </x:c>
      <x:c r="M415" s="75" t="n">
        <x:v>0.006519933830993978</x:v>
      </x:c>
      <x:c r="N415" s="75" t="n">
        <x:v>0.007748669340275228</x:v>
      </x:c>
      <x:c r="O415" s="75" t="n">
        <x:v>0.008698215768132286</x:v>
      </x:c>
      <x:c r="P415" s="75" t="n">
        <x:v>0.0016790939449092548</x:v>
      </x:c>
      <x:c r="Q415" s="75" t="n">
        <x:v>0.0035507788196773617</x:v>
      </x:c>
      <x:c r="R415" s="75" t="n">
        <x:v>0.36706551986742997</x:v>
      </x:c>
      <x:c r="S415" s="75" t="n">
        <x:v>0.012008715193034732</x:v>
      </x:c>
      <x:c r="T415" s="75" t="n">
        <x:v>0.006020877220405964</x:v>
      </x:c>
      <x:c r="U415" s="75" t="n">
        <x:v>0.006853242881363257</x:v>
      </x:c>
      <x:c r="V415" s="75" t="n">
        <x:v>0.033055681263271255</x:v>
      </x:c>
      <x:c r="W415" s="75" t="n">
        <x:v>0.00961724122620508</x:v>
      </x:c>
      <x:c r="X415" s="75" t="n">
        <x:v>0.021291790650005568</x:v>
      </x:c>
      <x:c r="Y415" s="75" t="n">
        <x:v>0.016726254475882742</x:v>
      </x:c>
      <x:c r="Z415" s="75" t="n">
        <x:v>0.0061181806882843375</x:v>
      </x:c>
      <x:c r="AA415" s="75" t="n">
        <x:v>0.005613349931149278</x:v>
      </x:c>
      <x:c r="AB415" s="75" t="n">
        <x:v>0.004578035058063688</x:v>
      </x:c>
      <x:c r="AC415" s="75" t="n">
        <x:v>0.022622748182353096</x:v>
      </x:c>
      <x:c r="AD415" s="75" t="n">
        <x:v>0.10932432610269462</x:v>
      </x:c>
      <x:c r="AE415" s="75" t="n">
        <x:v>0.08136930135515286</x:v>
      </x:c>
      <x:c r="AF415" s="74" t="n">
        <x:v>8</x:v>
      </x:c>
    </x:row>
    <x:row r="416">
      <x:c r="A416" t="str">
        <x:v>2026 S1</x:v>
      </x:c>
      <x:c r="B416" t="str">
        <x:v>CNCT0104</x:v>
      </x:c>
      <x:c r="C416" s="74" t="n">
        <x:v>2366</x:v>
      </x:c>
      <x:c r="D416" s="74" t="n">
        <x:v>1223.531</x:v>
      </x:c>
      <x:c r="E416" s="75" t="n">
        <x:v>0.9705388895639916</x:v>
      </x:c>
      <x:c r="F416" s="75" t="n">
        <x:v>0.1676793846592336</x:v>
      </x:c>
      <x:c r="G416" s="75" t="n">
        <x:v>0.009287562006618826</x:v>
      </x:c>
      <x:c r="H416" s="75" t="n">
        <x:v>0.010326041318287026</x:v>
      </x:c>
      <x:c r="I416" s="75" t="n">
        <x:v>0.0064987124813415</x:v>
      </x:c>
      <x:c r="J416" s="75" t="n">
        <x:v>0.011351075665967074</x:v>
      </x:c>
      <x:c r="K416" s="75" t="n">
        <x:v>0.009184549872297793</x:v>
      </x:c>
      <x:c r="L416" s="75" t="n">
        <x:v>0.012294626059825531</x:v>
      </x:c>
      <x:c r="M416" s="75" t="n">
        <x:v>0.006519933830993978</x:v>
      </x:c>
      <x:c r="N416" s="75" t="n">
        <x:v>0.007748669340275228</x:v>
      </x:c>
      <x:c r="O416" s="75" t="n">
        <x:v>0.009454396102084501</x:v>
      </x:c>
      <x:c r="P416" s="75" t="n">
        <x:v>0.0016790939449092548</x:v>
      </x:c>
      <x:c r="Q416" s="75" t="n">
        <x:v>0.0035507788196773617</x:v>
      </x:c>
      <x:c r="R416" s="75" t="n">
        <x:v>0.3703537823661538</x:v>
      </x:c>
      <x:c r="S416" s="75" t="n">
        <x:v>0.012008715193034732</x:v>
      </x:c>
      <x:c r="T416" s="75" t="n">
        <x:v>0.006020877220405964</x:v>
      </x:c>
      <x:c r="U416" s="75" t="n">
        <x:v>0.006853242881363257</x:v>
      </x:c>
      <x:c r="V416" s="75" t="n">
        <x:v>0.033055681263271255</x:v>
      </x:c>
      <x:c r="W416" s="75" t="n">
        <x:v>0.011833544110706171</x:v>
      </x:c>
      <x:c r="X416" s="75" t="n">
        <x:v>0.02619850515615936</x:v>
      </x:c>
      <x:c r="Y416" s="75" t="n">
        <x:v>0.020580836592507683</x:v>
      </x:c>
      <x:c r="Z416" s="75" t="n">
        <x:v>0.007528121563053688</x:v>
      </x:c>
      <x:c r="AA416" s="75" t="n">
        <x:v>0.006906952051705556</x:v>
      </x:c>
      <x:c r="AB416" s="75" t="n">
        <x:v>0.005633047827930267</x:v>
      </x:c>
      <x:c r="AC416" s="75" t="n">
        <x:v>0.027836183186486355</x:v>
      </x:c>
      <x:c r="AD416" s="75" t="n">
        <x:v>0.10932432610269462</x:v>
      </x:c>
      <x:c r="AE416" s="75" t="n">
        <x:v>0.08136930135515286</x:v>
      </x:c>
      <x:c r="AF416" s="74" t="n">
        <x:v>8</x:v>
      </x:c>
    </x:row>
    <x:row r="417">
      <x:c r="A417" t="str">
        <x:v>2026 S2</x:v>
      </x:c>
      <x:c r="B417" t="str">
        <x:v>CNCT0104</x:v>
      </x:c>
      <x:c r="C417" s="74" t="n">
        <x:v>2630</x:v>
      </x:c>
      <x:c r="D417" s="74" t="n">
        <x:v>1195.746</x:v>
      </x:c>
      <x:c r="E417" s="75" t="n">
        <x:v>0.979495419801904</x:v>
      </x:c>
      <x:c r="F417" s="75" t="n">
        <x:v>0.17028092097934858</x:v>
      </x:c>
      <x:c r="G417" s="75" t="n">
        <x:v>0.010810748465708455</x:v>
      </x:c>
      <x:c r="H417" s="75" t="n">
        <x:v>0.010326041318287026</x:v>
      </x:c>
      <x:c r="I417" s="75" t="n">
        <x:v>0.0064987124813415</x:v>
      </x:c>
      <x:c r="J417" s="75" t="n">
        <x:v>0.011351075665967074</x:v>
      </x:c>
      <x:c r="K417" s="75" t="n">
        <x:v>0.009184549872297793</x:v>
      </x:c>
      <x:c r="L417" s="75" t="n">
        <x:v>0.012294626059825531</x:v>
      </x:c>
      <x:c r="M417" s="75" t="n">
        <x:v>0.006519933830993978</x:v>
      </x:c>
      <x:c r="N417" s="75" t="n">
        <x:v>0.007748669340275228</x:v>
      </x:c>
      <x:c r="O417" s="75" t="n">
        <x:v>0.008698215768132286</x:v>
      </x:c>
      <x:c r="P417" s="75" t="n">
        <x:v>0.0016790939449092548</x:v>
      </x:c>
      <x:c r="Q417" s="75" t="n">
        <x:v>0.0035507788196773617</x:v>
      </x:c>
      <x:c r="R417" s="75" t="n">
        <x:v>0.3657304226798003</x:v>
      </x:c>
      <x:c r="S417" s="75" t="n">
        <x:v>0.012008715193034732</x:v>
      </x:c>
      <x:c r="T417" s="75" t="n">
        <x:v>0.006020877220405964</x:v>
      </x:c>
      <x:c r="U417" s="75" t="n">
        <x:v>0.006853242881363257</x:v>
      </x:c>
      <x:c r="V417" s="75" t="n">
        <x:v>0.033055681263271255</x:v>
      </x:c>
      <x:c r="W417" s="75" t="n">
        <x:v>0.010194275699777385</x:v>
      </x:c>
      <x:c r="X417" s="75" t="n">
        <x:v>0.022569298089005905</x:v>
      </x:c>
      <x:c r="Y417" s="75" t="n">
        <x:v>0.017729829744435707</x:v>
      </x:c>
      <x:c r="Z417" s="75" t="n">
        <x:v>0.006485271529581398</x:v>
      </x:c>
      <x:c r="AA417" s="75" t="n">
        <x:v>0.005950150927018234</x:v>
      </x:c>
      <x:c r="AB417" s="75" t="n">
        <x:v>0.004852717161547509</x:v>
      </x:c>
      <x:c r="AC417" s="75" t="n">
        <x:v>0.023980113073294285</x:v>
      </x:c>
      <x:c r="AD417" s="75" t="n">
        <x:v>0.10932432610269462</x:v>
      </x:c>
      <x:c r="AE417" s="75" t="n">
        <x:v>0.08136930135515286</x:v>
      </x:c>
      <x:c r="AF417" s="74" t="n">
        <x:v>8</x:v>
      </x:c>
    </x:row>
    <x:row r="418">
      <x:c r="A418" t="str">
        <x:v>2025 S1</x:v>
      </x:c>
      <x:c r="B418" t="str">
        <x:v>CNCT0105</x:v>
      </x:c>
      <x:c r="C418" s="74" t="n">
        <x:v>1802</x:v>
      </x:c>
      <x:c r="D418" s="74" t="n">
        <x:v>1072.606</x:v>
      </x:c>
      <x:c r="E418" s="75" t="n">
        <x:v>0.9744735366861278</x:v>
      </x:c>
      <x:c r="F418" s="75" t="n">
        <x:v>0.17989386645151534</x:v>
      </x:c>
      <x:c r="G418" s="75" t="n">
        <x:v>0.016144155415800922</x:v>
      </x:c>
      <x:c r="H418" s="75" t="n">
        <x:v>0.009260558365895122</x:v>
      </x:c>
      <x:c r="I418" s="75" t="n">
        <x:v>0.01040667029589531</x:v>
      </x:c>
      <x:c r="J418" s="75" t="n">
        <x:v>0.016939403006341308</x:v>
      </x:c>
      <x:c r="K418" s="75" t="n">
        <x:v>0.013432730484360944</x:v>
      </x:c>
      <x:c r="L418" s="75" t="n">
        <x:v>0.011710545985290081</x:v>
      </x:c>
      <x:c r="M418" s="75" t="n">
        <x:v>0.005687023839898757</x:v>
      </x:c>
      <x:c r="N418" s="75" t="n">
        <x:v>0.006887994995864574</x:v>
      </x:c>
      <x:c r="O418" s="75" t="n">
        <x:v>0.007714960582976345</x:v>
      </x:c>
      <x:c r="P418" s="75" t="n">
        <x:v>0.002863569987879032</x:v>
      </x:c>
      <x:c r="Q418" s="75" t="n">
        <x:v>0.00660437651562097</x:v>
      </x:c>
      <x:c r="R418" s="75" t="n">
        <x:v>0.3676459441102469</x:v>
      </x:c>
      <x:c r="S418" s="75" t="n">
        <x:v>0.01449797069264605</x:v>
      </x:c>
      <x:c r="T418" s="75" t="n">
        <x:v>0.0044058869863802105</x:v>
      </x:c>
      <x:c r="U418" s="75" t="n">
        <x:v>0.005315885397314559</x:v>
      </x:c>
      <x:c r="V418" s="75" t="n">
        <x:v>0.03655519460191135</x:v>
      </x:c>
      <x:c r="W418" s="75" t="n">
        <x:v>0.010809190950387529</x:v>
      </x:c>
      <x:c r="X418" s="75" t="n">
        <x:v>0.020277854975387016</x:v>
      </x:c>
      <x:c r="Y418" s="75" t="n">
        <x:v>0.019730200055431343</x:v>
      </x:c>
      <x:c r="Z418" s="75" t="n">
        <x:v>0.005902125888565206</x:v>
      </x:c>
      <x:c r="AA418" s="75" t="n">
        <x:v>0.008790547747436213</x:v>
      </x:c>
      <x:c r="AB418" s="75" t="n">
        <x:v>0.004135509029921377</x:v>
      </x:c>
      <x:c r="AC418" s="75" t="n">
        <x:v>0.023729720816243208</x:v>
      </x:c>
      <x:c r="AD418" s="75" t="n">
        <x:v>0.09720436964172405</x:v>
      </x:c>
      <x:c r="AE418" s="75" t="n">
        <x:v>0.06437476537073962</x:v>
      </x:c>
      <x:c r="AF418" s="74" t="n">
        <x:v>10</x:v>
      </x:c>
    </x:row>
    <x:row r="419">
      <x:c r="A419" t="str">
        <x:v>2025 S2</x:v>
      </x:c>
      <x:c r="B419" t="str">
        <x:v>CNCT0105</x:v>
      </x:c>
      <x:c r="C419" s="74" t="n">
        <x:v>1935</x:v>
      </x:c>
      <x:c r="D419" s="74" t="n">
        <x:v>1085.478</x:v>
      </x:c>
      <x:c r="E419" s="75" t="n">
        <x:v>0.9728168489010859</x:v>
      </x:c>
      <x:c r="F419" s="75" t="n">
        <x:v>0.17989386645151534</x:v>
      </x:c>
      <x:c r="G419" s="75" t="n">
        <x:v>0.016144155415800922</x:v>
      </x:c>
      <x:c r="H419" s="75" t="n">
        <x:v>0.009260558365895122</x:v>
      </x:c>
      <x:c r="I419" s="75" t="n">
        <x:v>0.01040667029589531</x:v>
      </x:c>
      <x:c r="J419" s="75" t="n">
        <x:v>0.016939403006341308</x:v>
      </x:c>
      <x:c r="K419" s="75" t="n">
        <x:v>0.013432730484360944</x:v>
      </x:c>
      <x:c r="L419" s="75" t="n">
        <x:v>0.011710545985290081</x:v>
      </x:c>
      <x:c r="M419" s="75" t="n">
        <x:v>0.005687023839898757</x:v>
      </x:c>
      <x:c r="N419" s="75" t="n">
        <x:v>0.006887994995864574</x:v>
      </x:c>
      <x:c r="O419" s="75" t="n">
        <x:v>0.007714960582976345</x:v>
      </x:c>
      <x:c r="P419" s="75" t="n">
        <x:v>0.002863569987879032</x:v>
      </x:c>
      <x:c r="Q419" s="75" t="n">
        <x:v>0.00660437651562097</x:v>
      </x:c>
      <x:c r="R419" s="75" t="n">
        <x:v>0.3717734566070189</x:v>
      </x:c>
      <x:c r="S419" s="75" t="n">
        <x:v>0.01449797069264605</x:v>
      </x:c>
      <x:c r="T419" s="75" t="n">
        <x:v>0.0044058869863802105</x:v>
      </x:c>
      <x:c r="U419" s="75" t="n">
        <x:v>0.005315885397314559</x:v>
      </x:c>
      <x:c r="V419" s="75" t="n">
        <x:v>0.03655519460191135</x:v>
      </x:c>
      <x:c r="W419" s="75" t="n">
        <x:v>0.010809190950387529</x:v>
      </x:c>
      <x:c r="X419" s="75" t="n">
        <x:v>0.020277854975387016</x:v>
      </x:c>
      <x:c r="Y419" s="75" t="n">
        <x:v>0.019730200055431343</x:v>
      </x:c>
      <x:c r="Z419" s="75" t="n">
        <x:v>0.005902125888565206</x:v>
      </x:c>
      <x:c r="AA419" s="75" t="n">
        <x:v>0.008790547747436213</x:v>
      </x:c>
      <x:c r="AB419" s="75" t="n">
        <x:v>0.004135509029921377</x:v>
      </x:c>
      <x:c r="AC419" s="75" t="n">
        <x:v>0.023729720816243208</x:v>
      </x:c>
      <x:c r="AD419" s="75" t="n">
        <x:v>0.09720436964172405</x:v>
      </x:c>
      <x:c r="AE419" s="75" t="n">
        <x:v>0.06437476537073962</x:v>
      </x:c>
      <x:c r="AF419" s="74" t="n">
        <x:v>10</x:v>
      </x:c>
    </x:row>
    <x:row r="420">
      <x:c r="A420" t="str">
        <x:v>2026 S1</x:v>
      </x:c>
      <x:c r="B420" t="str">
        <x:v>CNCT0105</x:v>
      </x:c>
      <x:c r="C420" s="74" t="n">
        <x:v>1909</x:v>
      </x:c>
      <x:c r="D420" s="74" t="n">
        <x:v>1129.55</x:v>
      </x:c>
      <x:c r="E420" s="75" t="n">
        <x:v>0.9753686792540539</x:v>
      </x:c>
      <x:c r="F420" s="75" t="n">
        <x:v>0.17428714357127317</x:v>
      </x:c>
      <x:c r="G420" s="75" t="n">
        <x:v>0.017942936546874986</x:v>
      </x:c>
      <x:c r="H420" s="75" t="n">
        <x:v>0.009260558365895122</x:v>
      </x:c>
      <x:c r="I420" s="75" t="n">
        <x:v>0.01040667029589531</x:v>
      </x:c>
      <x:c r="J420" s="75" t="n">
        <x:v>0.016939403006341308</x:v>
      </x:c>
      <x:c r="K420" s="75" t="n">
        <x:v>0.013432730484360944</x:v>
      </x:c>
      <x:c r="L420" s="75" t="n">
        <x:v>0.011710545985290081</x:v>
      </x:c>
      <x:c r="M420" s="75" t="n">
        <x:v>0.005687023839898757</x:v>
      </x:c>
      <x:c r="N420" s="75" t="n">
        <x:v>0.006887994995864574</x:v>
      </x:c>
      <x:c r="O420" s="75" t="n">
        <x:v>0.008428404263075208</x:v>
      </x:c>
      <x:c r="P420" s="75" t="n">
        <x:v>0.002863569987879032</x:v>
      </x:c>
      <x:c r="Q420" s="75" t="n">
        <x:v>0.00660437651562097</x:v>
      </x:c>
      <x:c r="R420" s="75" t="n">
        <x:v>0.3685302699978447</x:v>
      </x:c>
      <x:c r="S420" s="75" t="n">
        <x:v>0.01449797069264605</x:v>
      </x:c>
      <x:c r="T420" s="75" t="n">
        <x:v>0.0044058869863802105</x:v>
      </x:c>
      <x:c r="U420" s="75" t="n">
        <x:v>0.005315885397314559</x:v>
      </x:c>
      <x:c r="V420" s="75" t="n">
        <x:v>0.03655519460191135</x:v>
      </x:c>
      <x:c r="W420" s="75" t="n">
        <x:v>0.013300179844082992</x:v>
      </x:c>
      <x:c r="X420" s="75" t="n">
        <x:v>0.024950906988576348</x:v>
      </x:c>
      <x:c r="Y420" s="75" t="n">
        <x:v>0.02427704444314262</x:v>
      </x:c>
      <x:c r="Z420" s="75" t="n">
        <x:v>0.007262276718085088</x:v>
      </x:c>
      <x:c r="AA420" s="75" t="n">
        <x:v>0.010816338290768064</x:v>
      </x:c>
      <x:c r="AB420" s="75" t="n">
        <x:v>0.005088541232848842</x:v>
      </x:c>
      <x:c r="AC420" s="75" t="n">
        <x:v>0.029198258773900126</x:v>
      </x:c>
      <x:c r="AD420" s="75" t="n">
        <x:v>0.09720436964172405</x:v>
      </x:c>
      <x:c r="AE420" s="75" t="n">
        <x:v>0.06437476537073962</x:v>
      </x:c>
      <x:c r="AF420" s="74" t="n">
        <x:v>10</x:v>
      </x:c>
    </x:row>
    <x:row r="421">
      <x:c r="A421" t="str">
        <x:v>2026 S2</x:v>
      </x:c>
      <x:c r="B421" t="str">
        <x:v>CNCT0105</x:v>
      </x:c>
      <x:c r="C421" s="74" t="n">
        <x:v>2074</x:v>
      </x:c>
      <x:c r="D421" s="74" t="n">
        <x:v>1126.113</x:v>
      </x:c>
      <x:c r="E421" s="75" t="n">
        <x:v>0.9728168489010859</x:v>
      </x:c>
      <x:c r="F421" s="75" t="n">
        <x:v>0.17732160454372933</x:v>
      </x:c>
      <x:c r="G421" s="75" t="n">
        <x:v>0.017922322666803665</x:v>
      </x:c>
      <x:c r="H421" s="75" t="n">
        <x:v>0.009260558365895122</x:v>
      </x:c>
      <x:c r="I421" s="75" t="n">
        <x:v>0.01040667029589531</x:v>
      </x:c>
      <x:c r="J421" s="75" t="n">
        <x:v>0.016939403006341308</x:v>
      </x:c>
      <x:c r="K421" s="75" t="n">
        <x:v>0.013432730484360944</x:v>
      </x:c>
      <x:c r="L421" s="75" t="n">
        <x:v>0.011710545985290081</x:v>
      </x:c>
      <x:c r="M421" s="75" t="n">
        <x:v>0.005687023839898757</x:v>
      </x:c>
      <x:c r="N421" s="75" t="n">
        <x:v>0.006887994995864574</x:v>
      </x:c>
      <x:c r="O421" s="75" t="n">
        <x:v>0.007714960582976345</x:v>
      </x:c>
      <x:c r="P421" s="75" t="n">
        <x:v>0.002863569987879032</x:v>
      </x:c>
      <x:c r="Q421" s="75" t="n">
        <x:v>0.00660437651562097</x:v>
      </x:c>
      <x:c r="R421" s="75" t="n">
        <x:v>0.37464805043038635</x:v>
      </x:c>
      <x:c r="S421" s="75" t="n">
        <x:v>0.01449797069264605</x:v>
      </x:c>
      <x:c r="T421" s="75" t="n">
        <x:v>0.0044058869863802105</x:v>
      </x:c>
      <x:c r="U421" s="75" t="n">
        <x:v>0.005315885397314559</x:v>
      </x:c>
      <x:c r="V421" s="75" t="n">
        <x:v>0.03655519460191135</x:v>
      </x:c>
      <x:c r="W421" s="75" t="n">
        <x:v>0.01145774240741078</x:v>
      </x:c>
      <x:c r="X421" s="75" t="n">
        <x:v>0.021494526273910238</x:v>
      </x:c>
      <x:c r="Y421" s="75" t="n">
        <x:v>0.020914012058757224</x:v>
      </x:c>
      <x:c r="Z421" s="75" t="n">
        <x:v>0.006256253441879119</x:v>
      </x:c>
      <x:c r="AA421" s="75" t="n">
        <x:v>0.009317980612282386</x:v>
      </x:c>
      <x:c r="AB421" s="75" t="n">
        <x:v>0.00438363957171666</x:v>
      </x:c>
      <x:c r="AC421" s="75" t="n">
        <x:v>0.0251535040652178</x:v>
      </x:c>
      <x:c r="AD421" s="75" t="n">
        <x:v>0.09720436964172405</x:v>
      </x:c>
      <x:c r="AE421" s="75" t="n">
        <x:v>0.06437476537073962</x:v>
      </x:c>
      <x:c r="AF421" s="74" t="n">
        <x:v>10</x:v>
      </x:c>
    </x:row>
    <x:row r="422">
      <x:c r="A422" t="str">
        <x:v>2025 S1</x:v>
      </x:c>
      <x:c r="B422" t="str">
        <x:v>CNCT0106</x:v>
      </x:c>
      <x:c r="C422" s="74" t="n">
        <x:v>1438</x:v>
      </x:c>
      <x:c r="D422" s="74" t="n">
        <x:v>920.249</x:v>
      </x:c>
      <x:c r="E422" s="75" t="n">
        <x:v>0.9763676262569497</x:v>
      </x:c>
      <x:c r="F422" s="75" t="n">
        <x:v>0.18248137721524108</x:v>
      </x:c>
      <x:c r="G422" s="75" t="n">
        <x:v>0.014558194724993881</x:v>
      </x:c>
      <x:c r="H422" s="75" t="n">
        <x:v>0.007087057526776334</x:v>
      </x:c>
      <x:c r="I422" s="75" t="n">
        <x:v>0.005630778212933365</x:v>
      </x:c>
      <x:c r="J422" s="75" t="n">
        <x:v>0.01723894972598646</x:v>
      </x:c>
      <x:c r="K422" s="75" t="n">
        <x:v>0.008689324120685342</x:v>
      </x:c>
      <x:c r="L422" s="75" t="n">
        <x:v>0.013012708253372692</x:v>
      </x:c>
      <x:c r="M422" s="75" t="n">
        <x:v>0.007444162057370704</x:v>
      </x:c>
      <x:c r="N422" s="75" t="n">
        <x:v>0.005889204924576916</x:v>
      </x:c>
      <x:c r="O422" s="75" t="n">
        <x:v>0.010524968110781628</x:v>
      </x:c>
      <x:c r="P422" s="75" t="n">
        <x:v>0.0006657591852854239</x:v>
      </x:c>
      <x:c r="Q422" s="75" t="n">
        <x:v>0.0032056967435364642</x:v>
      </x:c>
      <x:c r="R422" s="75" t="n">
        <x:v>0.37853340956208664</x:v>
      </x:c>
      <x:c r="S422" s="75" t="n">
        <x:v>0.01603142594795827</x:v>
      </x:c>
      <x:c r="T422" s="75" t="n">
        <x:v>0.005050827569648391</x:v>
      </x:c>
      <x:c r="U422" s="75" t="n">
        <x:v>0.00650999485180364</x:v>
      </x:c>
      <x:c r="V422" s="75" t="n">
        <x:v>0.03703115653057466</x:v>
      </x:c>
      <x:c r="W422" s="75" t="n">
        <x:v>0.011355768458986133</x:v>
      </x:c>
      <x:c r="X422" s="75" t="n">
        <x:v>0.02528421966609443</x:v>
      </x:c>
      <x:c r="Y422" s="75" t="n">
        <x:v>0.01564229758059577</x:v>
      </x:c>
      <x:c r="Z422" s="75" t="n">
        <x:v>0.004623293549174559</x:v>
      </x:c>
      <x:c r="AA422" s="75" t="n">
        <x:v>0.008138483097960707</x:v>
      </x:c>
      <x:c r="AB422" s="75" t="n">
        <x:v>0.005271939560613828</x:v>
      </x:c>
      <x:c r="AC422" s="75" t="n">
        <x:v>0.02208088800991536</x:v>
      </x:c>
      <x:c r="AD422" s="75" t="n">
        <x:v>0.11281599166413071</x:v>
      </x:c>
      <x:c r="AE422" s="75" t="n">
        <x:v>0.09009177473903401</x:v>
      </x:c>
      <x:c r="AF422" s="74" t="n">
        <x:v>8</x:v>
      </x:c>
    </x:row>
    <x:row r="423">
      <x:c r="A423" t="str">
        <x:v>2025 S2</x:v>
      </x:c>
      <x:c r="B423" t="str">
        <x:v>CNCT0106</x:v>
      </x:c>
      <x:c r="C423" s="74" t="n">
        <x:v>1573</x:v>
      </x:c>
      <x:c r="D423" s="74" t="n">
        <x:v>931.292</x:v>
      </x:c>
      <x:c r="E423" s="75" t="n">
        <x:v>0.9843531763398204</x:v>
      </x:c>
      <x:c r="F423" s="75" t="n">
        <x:v>0.18248137721524108</x:v>
      </x:c>
      <x:c r="G423" s="75" t="n">
        <x:v>0.014558194724993881</x:v>
      </x:c>
      <x:c r="H423" s="75" t="n">
        <x:v>0.007087057526776334</x:v>
      </x:c>
      <x:c r="I423" s="75" t="n">
        <x:v>0.005630778212933365</x:v>
      </x:c>
      <x:c r="J423" s="75" t="n">
        <x:v>0.01723894972598646</x:v>
      </x:c>
      <x:c r="K423" s="75" t="n">
        <x:v>0.008689324120685342</x:v>
      </x:c>
      <x:c r="L423" s="75" t="n">
        <x:v>0.013012708253372692</x:v>
      </x:c>
      <x:c r="M423" s="75" t="n">
        <x:v>0.007444162057370704</x:v>
      </x:c>
      <x:c r="N423" s="75" t="n">
        <x:v>0.005889204924576916</x:v>
      </x:c>
      <x:c r="O423" s="75" t="n">
        <x:v>0.010524968110781628</x:v>
      </x:c>
      <x:c r="P423" s="75" t="n">
        <x:v>0.0006657591852854239</x:v>
      </x:c>
      <x:c r="Q423" s="75" t="n">
        <x:v>0.0032056967435364642</x:v>
      </x:c>
      <x:c r="R423" s="75" t="n">
        <x:v>0.38516338026169883</x:v>
      </x:c>
      <x:c r="S423" s="75" t="n">
        <x:v>0.01603142594795827</x:v>
      </x:c>
      <x:c r="T423" s="75" t="n">
        <x:v>0.005050827569648391</x:v>
      </x:c>
      <x:c r="U423" s="75" t="n">
        <x:v>0.00650999485180364</x:v>
      </x:c>
      <x:c r="V423" s="75" t="n">
        <x:v>0.03703115653057466</x:v>
      </x:c>
      <x:c r="W423" s="75" t="n">
        <x:v>0.011355768458986133</x:v>
      </x:c>
      <x:c r="X423" s="75" t="n">
        <x:v>0.02528421966609443</x:v>
      </x:c>
      <x:c r="Y423" s="75" t="n">
        <x:v>0.01564229758059577</x:v>
      </x:c>
      <x:c r="Z423" s="75" t="n">
        <x:v>0.004623293549174559</x:v>
      </x:c>
      <x:c r="AA423" s="75" t="n">
        <x:v>0.008138483097960707</x:v>
      </x:c>
      <x:c r="AB423" s="75" t="n">
        <x:v>0.005271939560613828</x:v>
      </x:c>
      <x:c r="AC423" s="75" t="n">
        <x:v>0.02208088800991536</x:v>
      </x:c>
      <x:c r="AD423" s="75" t="n">
        <x:v>0.11281599166413071</x:v>
      </x:c>
      <x:c r="AE423" s="75" t="n">
        <x:v>0.09009177473903401</x:v>
      </x:c>
      <x:c r="AF423" s="74" t="n">
        <x:v>8</x:v>
      </x:c>
    </x:row>
    <x:row r="424">
      <x:c r="A424" t="str">
        <x:v>2026 S1</x:v>
      </x:c>
      <x:c r="B424" t="str">
        <x:v>CNCT0106</x:v>
      </x:c>
      <x:c r="C424" s="74" t="n">
        <x:v>1342</x:v>
      </x:c>
      <x:c r="D424" s="74" t="n">
        <x:v>968.798</x:v>
      </x:c>
      <x:c r="E424" s="75" t="n">
        <x:v>0.9758497047869023</x:v>
      </x:c>
      <x:c r="F424" s="75" t="n">
        <x:v>0.18685911411733833</x:v>
      </x:c>
      <x:c r="G424" s="75" t="n">
        <x:v>0.01315537109264369</x:v>
      </x:c>
      <x:c r="H424" s="75" t="n">
        <x:v>0.007087057526776334</x:v>
      </x:c>
      <x:c r="I424" s="75" t="n">
        <x:v>0.005630778212933365</x:v>
      </x:c>
      <x:c r="J424" s="75" t="n">
        <x:v>0.01723894972598646</x:v>
      </x:c>
      <x:c r="K424" s="75" t="n">
        <x:v>0.008689324120685342</x:v>
      </x:c>
      <x:c r="L424" s="75" t="n">
        <x:v>0.013012708253372692</x:v>
      </x:c>
      <x:c r="M424" s="75" t="n">
        <x:v>0.007444162057370704</x:v>
      </x:c>
      <x:c r="N424" s="75" t="n">
        <x:v>0.005889204924576916</x:v>
      </x:c>
      <x:c r="O424" s="75" t="n">
        <x:v>0.009283488466986454</x:v>
      </x:c>
      <x:c r="P424" s="75" t="n">
        <x:v>0.0006657591852854239</x:v>
      </x:c>
      <x:c r="Q424" s="75" t="n">
        <x:v>0.0032056967435364642</x:v>
      </x:c>
      <x:c r="R424" s="75" t="n">
        <x:v>0.3785219473797663</x:v>
      </x:c>
      <x:c r="S424" s="75" t="n">
        <x:v>0.01603142594795827</x:v>
      </x:c>
      <x:c r="T424" s="75" t="n">
        <x:v>0.005050827569648391</x:v>
      </x:c>
      <x:c r="U424" s="75" t="n">
        <x:v>0.00650999485180364</x:v>
      </x:c>
      <x:c r="V424" s="75" t="n">
        <x:v>0.03703115653057466</x:v>
      </x:c>
      <x:c r="W424" s="75" t="n">
        <x:v>0.01397271668763201</x:v>
      </x:c>
      <x:c r="X424" s="75" t="n">
        <x:v>0.031110993442511024</x:v>
      </x:c>
      <x:c r="Y424" s="75" t="n">
        <x:v>0.019247080743737734</x:v>
      </x:c>
      <x:c r="Z424" s="75" t="n">
        <x:v>0.005688736183701689</x:v>
      </x:c>
      <x:c r="AA424" s="75" t="n">
        <x:v>0.010014004688947269</x:v>
      </x:c>
      <x:c r="AB424" s="75" t="n">
        <x:v>0.006486863318922674</x:v>
      </x:c>
      <x:c r="AC424" s="75" t="n">
        <x:v>0.0271694507939469</x:v>
      </x:c>
      <x:c r="AD424" s="75" t="n">
        <x:v>0.11281599166413071</x:v>
      </x:c>
      <x:c r="AE424" s="75" t="n">
        <x:v>0.09009177473903401</x:v>
      </x:c>
      <x:c r="AF424" s="74" t="n">
        <x:v>8</x:v>
      </x:c>
    </x:row>
    <x:row r="425">
      <x:c r="A425" t="str">
        <x:v>2026 S2</x:v>
      </x:c>
      <x:c r="B425" t="str">
        <x:v>CNCT0106</x:v>
      </x:c>
      <x:c r="C425" s="74" t="n">
        <x:v>1550</x:v>
      </x:c>
      <x:c r="D425" s="74" t="n">
        <x:v>964.879</x:v>
      </x:c>
      <x:c r="E425" s="75" t="n">
        <x:v>0.9843531763398204</x:v>
      </x:c>
      <x:c r="F425" s="75" t="n">
        <x:v>0.17857501623818825</x:v>
      </x:c>
      <x:c r="G425" s="75" t="n">
        <x:v>0.013461998502933056</x:v>
      </x:c>
      <x:c r="H425" s="75" t="n">
        <x:v>0.007087057526776334</x:v>
      </x:c>
      <x:c r="I425" s="75" t="n">
        <x:v>0.005630778212933365</x:v>
      </x:c>
      <x:c r="J425" s="75" t="n">
        <x:v>0.01723894972598646</x:v>
      </x:c>
      <x:c r="K425" s="75" t="n">
        <x:v>0.008689324120685342</x:v>
      </x:c>
      <x:c r="L425" s="75" t="n">
        <x:v>0.013012708253372692</x:v>
      </x:c>
      <x:c r="M425" s="75" t="n">
        <x:v>0.007444162057370704</x:v>
      </x:c>
      <x:c r="N425" s="75" t="n">
        <x:v>0.005889204924576916</x:v>
      </x:c>
      <x:c r="O425" s="75" t="n">
        <x:v>0.010524968110781628</x:v>
      </x:c>
      <x:c r="P425" s="75" t="n">
        <x:v>0.0006657591852854239</x:v>
      </x:c>
      <x:c r="Q425" s="75" t="n">
        <x:v>0.0032056967435364642</x:v>
      </x:c>
      <x:c r="R425" s="75" t="n">
        <x:v>0.38216386268599173</x:v>
      </x:c>
      <x:c r="S425" s="75" t="n">
        <x:v>0.01603142594795827</x:v>
      </x:c>
      <x:c r="T425" s="75" t="n">
        <x:v>0.005050827569648391</x:v>
      </x:c>
      <x:c r="U425" s="75" t="n">
        <x:v>0.00650999485180364</x:v>
      </x:c>
      <x:c r="V425" s="75" t="n">
        <x:v>0.03703115653057466</x:v>
      </x:c>
      <x:c r="W425" s="75" t="n">
        <x:v>0.0120371145665253</x:v>
      </x:c>
      <x:c r="X425" s="75" t="n">
        <x:v>0.026801272846060098</x:v>
      </x:c>
      <x:c r="Y425" s="75" t="n">
        <x:v>0.016580835435431516</x:v>
      </x:c>
      <x:c r="Z425" s="75" t="n">
        <x:v>0.004900691162125033</x:v>
      </x:c>
      <x:c r="AA425" s="75" t="n">
        <x:v>0.00862679208383835</x:v>
      </x:c>
      <x:c r="AB425" s="75" t="n">
        <x:v>0.005588255934250658</x:v>
      </x:c>
      <x:c r="AC425" s="75" t="n">
        <x:v>0.023405741290510283</x:v>
      </x:c>
      <x:c r="AD425" s="75" t="n">
        <x:v>0.11281599166413071</x:v>
      </x:c>
      <x:c r="AE425" s="75" t="n">
        <x:v>0.09009177473903401</x:v>
      </x:c>
      <x:c r="AF425" s="74" t="n">
        <x:v>8</x:v>
      </x:c>
    </x:row>
    <x:row r="426">
      <x:c r="A426" t="str">
        <x:v>2025 S1</x:v>
      </x:c>
      <x:c r="B426" t="str">
        <x:v>CNCT0107</x:v>
      </x:c>
      <x:c r="C426" s="74" t="n">
        <x:v>1029</x:v>
      </x:c>
      <x:c r="D426" s="74" t="n">
        <x:v>976.912</x:v>
      </x:c>
      <x:c r="E426" s="75" t="n">
        <x:v>0.9739637088697636</x:v>
      </x:c>
      <x:c r="F426" s="75" t="n">
        <x:v>0.19032839323859663</x:v>
      </x:c>
      <x:c r="G426" s="75" t="n">
        <x:v>0.016645006461592858</x:v>
      </x:c>
      <x:c r="H426" s="75" t="n">
        <x:v>0.0121113480083186</x:v>
      </x:c>
      <x:c r="I426" s="75" t="n">
        <x:v>0.010176411354917037</x:v>
      </x:c>
      <x:c r="J426" s="75" t="n">
        <x:v>0.01102917719873949</x:v>
      </x:c>
      <x:c r="K426" s="75" t="n">
        <x:v>0.008429003931341867</x:v>
      </x:c>
      <x:c r="L426" s="75" t="n">
        <x:v>0.013504108773471671</x:v>
      </x:c>
      <x:c r="M426" s="75" t="n">
        <x:v>0.007250328869675286</x:v>
      </x:c>
      <x:c r="N426" s="75" t="n">
        <x:v>0.005090020573028596</x:v>
      </x:c>
      <x:c r="O426" s="75" t="n">
        <x:v>0.011280134540880681</x:v>
      </x:c>
      <x:c r="P426" s="75" t="n">
        <x:v>0.0008590935173415346</x:v>
      </x:c>
      <x:c r="Q426" s="75" t="n">
        <x:v>0.004378260642646637</x:v>
      </x:c>
      <x:c r="R426" s="75" t="n">
        <x:v>0.3520799598966556</x:v>
      </x:c>
      <x:c r="S426" s="75" t="n">
        <x:v>0.014940906653642743</x:v>
      </x:c>
      <x:c r="T426" s="75" t="n">
        <x:v>0.004804925014252149</x:v>
      </x:c>
      <x:c r="U426" s="75" t="n">
        <x:v>0.005204524702654452</x:v>
      </x:c>
      <x:c r="V426" s="75" t="n">
        <x:v>0.038460259499173845</x:v>
      </x:c>
      <x:c r="W426" s="75" t="n">
        <x:v>0.010647162384181867</x:v>
      </x:c>
      <x:c r="X426" s="75" t="n">
        <x:v>0.025011652765655014</x:v>
      </x:c>
      <x:c r="Y426" s="75" t="n">
        <x:v>0.02034886382071767</x:v>
      </x:c>
      <x:c r="Z426" s="75" t="n">
        <x:v>0.007840707808656089</x:v>
      </x:c>
      <x:c r="AA426" s="75" t="n">
        <x:v>0.007930803597986815</x:v>
      </x:c>
      <x:c r="AB426" s="75" t="n">
        <x:v>0.006317819195234915</x:v>
      </x:c>
      <x:c r="AC426" s="75" t="n">
        <x:v>0.025234355233371024</x:v>
      </x:c>
      <x:c r="AD426" s="75" t="n">
        <x:v>0.10839584431142431</x:v>
      </x:c>
      <x:c r="AE426" s="75" t="n">
        <x:v>0.061745176484197146</x:v>
      </x:c>
      <x:c r="AF426" s="74" t="n">
        <x:v>6</x:v>
      </x:c>
    </x:row>
    <x:row r="427">
      <x:c r="A427" t="str">
        <x:v>2025 S2</x:v>
      </x:c>
      <x:c r="B427" t="str">
        <x:v>CNCT0107</x:v>
      </x:c>
      <x:c r="C427" s="74" t="n">
        <x:v>1097</x:v>
      </x:c>
      <x:c r="D427" s="74" t="n">
        <x:v>988.635</x:v>
      </x:c>
      <x:c r="E427" s="75" t="n">
        <x:v>0.984358748000057</x:v>
      </x:c>
      <x:c r="F427" s="75" t="n">
        <x:v>0.19032839323859663</x:v>
      </x:c>
      <x:c r="G427" s="75" t="n">
        <x:v>0.016645006461592858</x:v>
      </x:c>
      <x:c r="H427" s="75" t="n">
        <x:v>0.0121113480083186</x:v>
      </x:c>
      <x:c r="I427" s="75" t="n">
        <x:v>0.010176411354917037</x:v>
      </x:c>
      <x:c r="J427" s="75" t="n">
        <x:v>0.01102917719873949</x:v>
      </x:c>
      <x:c r="K427" s="75" t="n">
        <x:v>0.008429003931341867</x:v>
      </x:c>
      <x:c r="L427" s="75" t="n">
        <x:v>0.013504108773471671</x:v>
      </x:c>
      <x:c r="M427" s="75" t="n">
        <x:v>0.007250328869675286</x:v>
      </x:c>
      <x:c r="N427" s="75" t="n">
        <x:v>0.005090020573028596</x:v>
      </x:c>
      <x:c r="O427" s="75" t="n">
        <x:v>0.011280134540880681</x:v>
      </x:c>
      <x:c r="P427" s="75" t="n">
        <x:v>0.0008590935173415346</x:v>
      </x:c>
      <x:c r="Q427" s="75" t="n">
        <x:v>0.004378260642646637</x:v>
      </x:c>
      <x:c r="R427" s="75" t="n">
        <x:v>0.3579687987113144</x:v>
      </x:c>
      <x:c r="S427" s="75" t="n">
        <x:v>0.014940906653642743</x:v>
      </x:c>
      <x:c r="T427" s="75" t="n">
        <x:v>0.004804925014252149</x:v>
      </x:c>
      <x:c r="U427" s="75" t="n">
        <x:v>0.005204524702654452</x:v>
      </x:c>
      <x:c r="V427" s="75" t="n">
        <x:v>0.038460259499173845</x:v>
      </x:c>
      <x:c r="W427" s="75" t="n">
        <x:v>0.010647162384181867</x:v>
      </x:c>
      <x:c r="X427" s="75" t="n">
        <x:v>0.025011652765655014</x:v>
      </x:c>
      <x:c r="Y427" s="75" t="n">
        <x:v>0.02034886382071767</x:v>
      </x:c>
      <x:c r="Z427" s="75" t="n">
        <x:v>0.007840707808656089</x:v>
      </x:c>
      <x:c r="AA427" s="75" t="n">
        <x:v>0.007930803597986815</x:v>
      </x:c>
      <x:c r="AB427" s="75" t="n">
        <x:v>0.006317819195234915</x:v>
      </x:c>
      <x:c r="AC427" s="75" t="n">
        <x:v>0.025234355233371024</x:v>
      </x:c>
      <x:c r="AD427" s="75" t="n">
        <x:v>0.10839584431142431</x:v>
      </x:c>
      <x:c r="AE427" s="75" t="n">
        <x:v>0.061745176484197146</x:v>
      </x:c>
      <x:c r="AF427" s="74" t="n">
        <x:v>6</x:v>
      </x:c>
    </x:row>
    <x:row r="428">
      <x:c r="A428" t="str">
        <x:v>2026 S1</x:v>
      </x:c>
      <x:c r="B428" t="str">
        <x:v>CNCT0107</x:v>
      </x:c>
      <x:c r="C428" s="74" t="n">
        <x:v>991</x:v>
      </x:c>
      <x:c r="D428" s="74" t="n">
        <x:v>1025.211</x:v>
      </x:c>
      <x:c r="E428" s="75" t="n">
        <x:v>0.9772358954126248</x:v>
      </x:c>
      <x:c r="F428" s="75" t="n">
        <x:v>0.18868606555685985</x:v>
      </x:c>
      <x:c r="G428" s="75" t="n">
        <x:v>0.014948989687865835</x:v>
      </x:c>
      <x:c r="H428" s="75" t="n">
        <x:v>0.0121113480083186</x:v>
      </x:c>
      <x:c r="I428" s="75" t="n">
        <x:v>0.010176411354917037</x:v>
      </x:c>
      <x:c r="J428" s="75" t="n">
        <x:v>0.01102917719873949</x:v>
      </x:c>
      <x:c r="K428" s="75" t="n">
        <x:v>0.008429003931341867</x:v>
      </x:c>
      <x:c r="L428" s="75" t="n">
        <x:v>0.013504108773471671</x:v>
      </x:c>
      <x:c r="M428" s="75" t="n">
        <x:v>0.007250328869675286</x:v>
      </x:c>
      <x:c r="N428" s="75" t="n">
        <x:v>0.005090020573028596</x:v>
      </x:c>
      <x:c r="O428" s="75" t="n">
        <x:v>0.011409284958281205</x:v>
      </x:c>
      <x:c r="P428" s="75" t="n">
        <x:v>0.0008590935173415346</x:v>
      </x:c>
      <x:c r="Q428" s="75" t="n">
        <x:v>0.004378260642646637</x:v>
      </x:c>
      <x:c r="R428" s="75" t="n">
        <x:v>0.35122532045733595</x:v>
      </x:c>
      <x:c r="S428" s="75" t="n">
        <x:v>0.014940906653642743</x:v>
      </x:c>
      <x:c r="T428" s="75" t="n">
        <x:v>0.004804925014252149</x:v>
      </x:c>
      <x:c r="U428" s="75" t="n">
        <x:v>0.005204524702654452</x:v>
      </x:c>
      <x:c r="V428" s="75" t="n">
        <x:v>0.038460259499173845</x:v>
      </x:c>
      <x:c r="W428" s="75" t="n">
        <x:v>0.013100811632317156</x:v>
      </x:c>
      <x:c r="X428" s="75" t="n">
        <x:v>0.030775613226542268</x:v>
      </x:c>
      <x:c r="Y428" s="75" t="n">
        <x:v>0.025038279893519293</x:v>
      </x:c>
      <x:c r="Z428" s="75" t="n">
        <x:v>0.009647606785621</x:v>
      </x:c>
      <x:c r="AA428" s="75" t="n">
        <x:v>0.009758465239948732</x:v>
      </x:c>
      <x:c r="AB428" s="75" t="n">
        <x:v>0.007773766964123387</x:v>
      </x:c>
      <x:c r="AC428" s="75" t="n">
        <x:v>0.03104963770126374</x:v>
      </x:c>
      <x:c r="AD428" s="75" t="n">
        <x:v>0.10839584431142431</x:v>
      </x:c>
      <x:c r="AE428" s="75" t="n">
        <x:v>0.061745176484197146</x:v>
      </x:c>
      <x:c r="AF428" s="74" t="n">
        <x:v>6</x:v>
      </x:c>
    </x:row>
    <x:row r="429">
      <x:c r="A429" t="str">
        <x:v>2026 S2</x:v>
      </x:c>
      <x:c r="B429" t="str">
        <x:v>CNCT0107</x:v>
      </x:c>
      <x:c r="C429" s="74" t="n">
        <x:v>1113</x:v>
      </x:c>
      <x:c r="D429" s="74" t="n">
        <x:v>1011.301</x:v>
      </x:c>
      <x:c r="E429" s="75" t="n">
        <x:v>0.984358748000057</x:v>
      </x:c>
      <x:c r="F429" s="75" t="n">
        <x:v>0.187042982257939</x:v>
      </x:c>
      <x:c r="G429" s="75" t="n">
        <x:v>0.015881206730933628</x:v>
      </x:c>
      <x:c r="H429" s="75" t="n">
        <x:v>0.0121113480083186</x:v>
      </x:c>
      <x:c r="I429" s="75" t="n">
        <x:v>0.010176411354917037</x:v>
      </x:c>
      <x:c r="J429" s="75" t="n">
        <x:v>0.01102917719873949</x:v>
      </x:c>
      <x:c r="K429" s="75" t="n">
        <x:v>0.008429003931341867</x:v>
      </x:c>
      <x:c r="L429" s="75" t="n">
        <x:v>0.013504108773471671</x:v>
      </x:c>
      <x:c r="M429" s="75" t="n">
        <x:v>0.007250328869675286</x:v>
      </x:c>
      <x:c r="N429" s="75" t="n">
        <x:v>0.005090020573028596</x:v>
      </x:c>
      <x:c r="O429" s="75" t="n">
        <x:v>0.011280134540880681</x:v>
      </x:c>
      <x:c r="P429" s="75" t="n">
        <x:v>0.0008590935173415346</x:v>
      </x:c>
      <x:c r="Q429" s="75" t="n">
        <x:v>0.004378260642646637</x:v>
      </x:c>
      <x:c r="R429" s="75" t="n">
        <x:v>0.35624249676986364</x:v>
      </x:c>
      <x:c r="S429" s="75" t="n">
        <x:v>0.014940906653642743</x:v>
      </x:c>
      <x:c r="T429" s="75" t="n">
        <x:v>0.004804925014252149</x:v>
      </x:c>
      <x:c r="U429" s="75" t="n">
        <x:v>0.005204524702654452</x:v>
      </x:c>
      <x:c r="V429" s="75" t="n">
        <x:v>0.038460259499173845</x:v>
      </x:c>
      <x:c r="W429" s="75" t="n">
        <x:v>0.01128599212723278</x:v>
      </x:c>
      <x:c r="X429" s="75" t="n">
        <x:v>0.026512351931594316</x:v>
      </x:c>
      <x:c r="Y429" s="75" t="n">
        <x:v>0.02156979564996073</x:v>
      </x:c>
      <x:c r="Z429" s="75" t="n">
        <x:v>0.008311150277175454</x:v>
      </x:c>
      <x:c r="AA429" s="75" t="n">
        <x:v>0.008406651813866024</x:v>
      </x:c>
      <x:c r="AB429" s="75" t="n">
        <x:v>0.00669688834694901</x:v>
      </x:c>
      <x:c r="AC429" s="75" t="n">
        <x:v>0.026748416547373286</x:v>
      </x:c>
      <x:c r="AD429" s="75" t="n">
        <x:v>0.10839584431142431</x:v>
      </x:c>
      <x:c r="AE429" s="75" t="n">
        <x:v>0.061745176484197146</x:v>
      </x:c>
      <x:c r="AF429" s="74" t="n">
        <x:v>6</x:v>
      </x:c>
    </x:row>
    <x:row r="430">
      <x:c r="A430" t="str">
        <x:v>2025 S1</x:v>
      </x:c>
      <x:c r="B430" t="str">
        <x:v>CNCT0108</x:v>
      </x:c>
      <x:c r="C430" s="74" t="n">
        <x:v>1508</x:v>
      </x:c>
      <x:c r="D430" s="74" t="n">
        <x:v>910.76</x:v>
      </x:c>
      <x:c r="E430" s="75" t="n">
        <x:v>0.9728288494230364</x:v>
      </x:c>
      <x:c r="F430" s="75" t="n">
        <x:v>0.2012113939966075</x:v>
      </x:c>
      <x:c r="G430" s="75" t="n">
        <x:v>0.020651058210380144</x:v>
      </x:c>
      <x:c r="H430" s="75" t="n">
        <x:v>0.009917859470937401</x:v>
      </x:c>
      <x:c r="I430" s="75" t="n">
        <x:v>0.009495931413037397</x:v>
      </x:c>
      <x:c r="J430" s="75" t="n">
        <x:v>0.014199403228003575</x:v>
      </x:c>
      <x:c r="K430" s="75" t="n">
        <x:v>0.010419705426484143</x:v>
      </x:c>
      <x:c r="L430" s="75" t="n">
        <x:v>0.01373858666606975</x:v>
      </x:c>
      <x:c r="M430" s="75" t="n">
        <x:v>0.008142152380103653</x:v>
      </x:c>
      <x:c r="N430" s="75" t="n">
        <x:v>0.00834631384574459</x:v>
      </x:c>
      <x:c r="O430" s="75" t="n">
        <x:v>0.006197097176278475</x:v>
      </x:c>
      <x:c r="P430" s="75" t="n">
        <x:v>0.0020526974819367752</x:v>
      </x:c>
      <x:c r="Q430" s="75" t="n">
        <x:v>0.004576861754932907</x:v>
      </x:c>
      <x:c r="R430" s="75" t="n">
        <x:v>0.3685271713006896</x:v>
      </x:c>
      <x:c r="S430" s="75" t="n">
        <x:v>0.013648275121013284</x:v>
      </x:c>
      <x:c r="T430" s="75" t="n">
        <x:v>0.0032060069090584873</x:v>
      </x:c>
      <x:c r="U430" s="75" t="n">
        <x:v>0.008429831404009746</x:v>
      </x:c>
      <x:c r="V430" s="75" t="n">
        <x:v>0.03802652272679552</x:v>
      </x:c>
      <x:c r="W430" s="75" t="n">
        <x:v>0.014591532951500268</x:v>
      </x:c>
      <x:c r="X430" s="75" t="n">
        <x:v>0.02448788356713834</x:v>
      </x:c>
      <x:c r="Y430" s="75" t="n">
        <x:v>0.01863384057293064</x:v>
      </x:c>
      <x:c r="Z430" s="75" t="n">
        <x:v>0.007525366270742961</x:v>
      </x:c>
      <x:c r="AA430" s="75" t="n">
        <x:v>0.006660634065765626</x:v>
      </x:c>
      <x:c r="AB430" s="75" t="n">
        <x:v>0.006826806529613531</x:v>
      </x:c>
      <x:c r="AC430" s="75" t="n">
        <x:v>0.02599759052635054</x:v>
      </x:c>
      <x:c r="AD430" s="75" t="n">
        <x:v>0.0958152297094348</x:v>
      </x:c>
      <x:c r="AE430" s="75" t="n">
        <x:v>0.0941943111702567</x:v>
      </x:c>
      <x:c r="AF430" s="74" t="n">
        <x:v>10</x:v>
      </x:c>
    </x:row>
    <x:row r="431">
      <x:c r="A431" t="str">
        <x:v>2025 S2</x:v>
      </x:c>
      <x:c r="B431" t="str">
        <x:v>CNCT0108</x:v>
      </x:c>
      <x:c r="C431" s="74" t="n">
        <x:v>1619</x:v>
      </x:c>
      <x:c r="D431" s="74" t="n">
        <x:v>921.689</x:v>
      </x:c>
      <x:c r="E431" s="75" t="n">
        <x:v>0.9775055939257145</x:v>
      </x:c>
      <x:c r="F431" s="75" t="n">
        <x:v>0.2012113939966075</x:v>
      </x:c>
      <x:c r="G431" s="75" t="n">
        <x:v>0.020651058210380144</x:v>
      </x:c>
      <x:c r="H431" s="75" t="n">
        <x:v>0.009917859470937401</x:v>
      </x:c>
      <x:c r="I431" s="75" t="n">
        <x:v>0.009495931413037397</x:v>
      </x:c>
      <x:c r="J431" s="75" t="n">
        <x:v>0.014199403228003575</x:v>
      </x:c>
      <x:c r="K431" s="75" t="n">
        <x:v>0.010419705426484143</x:v>
      </x:c>
      <x:c r="L431" s="75" t="n">
        <x:v>0.01373858666606975</x:v>
      </x:c>
      <x:c r="M431" s="75" t="n">
        <x:v>0.008142152380103653</x:v>
      </x:c>
      <x:c r="N431" s="75" t="n">
        <x:v>0.00834631384574459</x:v>
      </x:c>
      <x:c r="O431" s="75" t="n">
        <x:v>0.006197097176278475</x:v>
      </x:c>
      <x:c r="P431" s="75" t="n">
        <x:v>0.0020526974819367752</x:v>
      </x:c>
      <x:c r="Q431" s="75" t="n">
        <x:v>0.004576861754932907</x:v>
      </x:c>
      <x:c r="R431" s="75" t="n">
        <x:v>0.364008122469904</x:v>
      </x:c>
      <x:c r="S431" s="75" t="n">
        <x:v>0.013648275121013284</x:v>
      </x:c>
      <x:c r="T431" s="75" t="n">
        <x:v>0.0032060069090584873</x:v>
      </x:c>
      <x:c r="U431" s="75" t="n">
        <x:v>0.008429831404009746</x:v>
      </x:c>
      <x:c r="V431" s="75" t="n">
        <x:v>0.03802652272679552</x:v>
      </x:c>
      <x:c r="W431" s="75" t="n">
        <x:v>0.014591532951500268</x:v>
      </x:c>
      <x:c r="X431" s="75" t="n">
        <x:v>0.02448788356713834</x:v>
      </x:c>
      <x:c r="Y431" s="75" t="n">
        <x:v>0.01863384057293064</x:v>
      </x:c>
      <x:c r="Z431" s="75" t="n">
        <x:v>0.007525366270742961</x:v>
      </x:c>
      <x:c r="AA431" s="75" t="n">
        <x:v>0.006660634065765626</x:v>
      </x:c>
      <x:c r="AB431" s="75" t="n">
        <x:v>0.006826806529613531</x:v>
      </x:c>
      <x:c r="AC431" s="75" t="n">
        <x:v>0.02599759052635054</x:v>
      </x:c>
      <x:c r="AD431" s="75" t="n">
        <x:v>0.0958152297094348</x:v>
      </x:c>
      <x:c r="AE431" s="75" t="n">
        <x:v>0.0941943111702567</x:v>
      </x:c>
      <x:c r="AF431" s="74" t="n">
        <x:v>10</x:v>
      </x:c>
    </x:row>
    <x:row r="432">
      <x:c r="A432" t="str">
        <x:v>2026 S1</x:v>
      </x:c>
      <x:c r="B432" t="str">
        <x:v>CNCT0108</x:v>
      </x:c>
      <x:c r="C432" s="74" t="n">
        <x:v>1211</x:v>
      </x:c>
      <x:c r="D432" s="74" t="n">
        <x:v>953.242</x:v>
      </x:c>
      <x:c r="E432" s="75" t="n">
        <x:v>0.9716809960455429</x:v>
      </x:c>
      <x:c r="F432" s="75" t="n">
        <x:v>0.21321139399660752</x:v>
      </x:c>
      <x:c r="G432" s="75" t="n">
        <x:v>0.020949210417049474</x:v>
      </x:c>
      <x:c r="H432" s="75" t="n">
        <x:v>0.009917859470937401</x:v>
      </x:c>
      <x:c r="I432" s="75" t="n">
        <x:v>0.009495931413037397</x:v>
      </x:c>
      <x:c r="J432" s="75" t="n">
        <x:v>0.014199403228003575</x:v>
      </x:c>
      <x:c r="K432" s="75" t="n">
        <x:v>0.010419705426484143</x:v>
      </x:c>
      <x:c r="L432" s="75" t="n">
        <x:v>0.01373858666606975</x:v>
      </x:c>
      <x:c r="M432" s="75" t="n">
        <x:v>0.008142152380103653</x:v>
      </x:c>
      <x:c r="N432" s="75" t="n">
        <x:v>0.00834631384574459</x:v>
      </x:c>
      <x:c r="O432" s="75" t="n">
        <x:v>0.004858327607478712</x:v>
      </x:c>
      <x:c r="P432" s="75" t="n">
        <x:v>0.0020526974819367752</x:v>
      </x:c>
      <x:c r="Q432" s="75" t="n">
        <x:v>0.004576861754932907</x:v>
      </x:c>
      <x:c r="R432" s="75" t="n">
        <x:v>0.3855099912553239</x:v>
      </x:c>
      <x:c r="S432" s="75" t="n">
        <x:v>0.013648275121013284</x:v>
      </x:c>
      <x:c r="T432" s="75" t="n">
        <x:v>0.0032060069090584873</x:v>
      </x:c>
      <x:c r="U432" s="75" t="n">
        <x:v>0.008429831404009746</x:v>
      </x:c>
      <x:c r="V432" s="75" t="n">
        <x:v>0.03802652272679552</x:v>
      </x:c>
      <x:c r="W432" s="75" t="n">
        <x:v>0.017954166352187433</x:v>
      </x:c>
      <x:c r="X432" s="75" t="n">
        <x:v>0.03013114089100515</x:v>
      </x:c>
      <x:c r="Y432" s="75" t="n">
        <x:v>0.022928027818498543</x:v>
      </x:c>
      <x:c r="Z432" s="75" t="n">
        <x:v>0.00925959447407941</x:v>
      </x:c>
      <x:c r="AA432" s="75" t="n">
        <x:v>0.008195583865333835</x:v>
      </x:c>
      <x:c r="AB432" s="75" t="n">
        <x:v>0.008400050940108962</x:v>
      </x:c>
      <x:c r="AC432" s="75" t="n">
        <x:v>0.046383703932651496</x:v>
      </x:c>
      <x:c r="AD432" s="75" t="n">
        <x:v>0.10539675268037829</x:v>
      </x:c>
      <x:c r="AE432" s="75" t="n">
        <x:v>0.11236764118783193</x:v>
      </x:c>
      <x:c r="AF432" s="74" t="n">
        <x:v>10</x:v>
      </x:c>
    </x:row>
    <x:row r="433">
      <x:c r="A433" t="str">
        <x:v>2026 S2</x:v>
      </x:c>
      <x:c r="B433" t="str">
        <x:v>CNCT0108</x:v>
      </x:c>
      <x:c r="C433" s="74" t="n">
        <x:v>1384</x:v>
      </x:c>
      <x:c r="D433" s="74" t="n">
        <x:v>955.909</x:v>
      </x:c>
      <x:c r="E433" s="75" t="n">
        <x:v>0.9775055939257145</x:v>
      </x:c>
      <x:c r="F433" s="75" t="n">
        <x:v>0.2000926272199722</x:v>
      </x:c>
      <x:c r="G433" s="75" t="n">
        <x:v>0.01960055016554543</x:v>
      </x:c>
      <x:c r="H433" s="75" t="n">
        <x:v>0.009917859470937401</x:v>
      </x:c>
      <x:c r="I433" s="75" t="n">
        <x:v>0.009495931413037397</x:v>
      </x:c>
      <x:c r="J433" s="75" t="n">
        <x:v>0.014199403228003575</x:v>
      </x:c>
      <x:c r="K433" s="75" t="n">
        <x:v>0.010419705426484143</x:v>
      </x:c>
      <x:c r="L433" s="75" t="n">
        <x:v>0.01373858666606975</x:v>
      </x:c>
      <x:c r="M433" s="75" t="n">
        <x:v>0.008142152380103653</x:v>
      </x:c>
      <x:c r="N433" s="75" t="n">
        <x:v>0.00834631384574459</x:v>
      </x:c>
      <x:c r="O433" s="75" t="n">
        <x:v>0.006197097176278475</x:v>
      </x:c>
      <x:c r="P433" s="75" t="n">
        <x:v>0.0020526974819367752</x:v>
      </x:c>
      <x:c r="Q433" s="75" t="n">
        <x:v>0.004576861754932907</x:v>
      </x:c>
      <x:c r="R433" s="75" t="n">
        <x:v>0.37973319259885374</x:v>
      </x:c>
      <x:c r="S433" s="75" t="n">
        <x:v>0.013648275121013284</x:v>
      </x:c>
      <x:c r="T433" s="75" t="n">
        <x:v>0.0032060069090584873</x:v>
      </x:c>
      <x:c r="U433" s="75" t="n">
        <x:v>0.008429831404009746</x:v>
      </x:c>
      <x:c r="V433" s="75" t="n">
        <x:v>0.03802652272679552</x:v>
      </x:c>
      <x:c r="W433" s="75" t="n">
        <x:v>0.015467024928590286</x:v>
      </x:c>
      <x:c r="X433" s="75" t="n">
        <x:v>0.025957156581166645</x:v>
      </x:c>
      <x:c r="Y433" s="75" t="n">
        <x:v>0.01975187100730648</x:v>
      </x:c>
      <x:c r="Z433" s="75" t="n">
        <x:v>0.00797688824698754</x:v>
      </x:c>
      <x:c r="AA433" s="75" t="n">
        <x:v>0.007060272109711564</x:v>
      </x:c>
      <x:c r="AB433" s="75" t="n">
        <x:v>0.007236414921390343</x:v>
      </x:c>
      <x:c r="AC433" s="75" t="n">
        <x:v>0.03995829663900078</x:v>
      </x:c>
      <x:c r="AD433" s="75" t="n">
        <x:v>0.1034804480861896</x:v>
      </x:c>
      <x:c r="AE433" s="75" t="n">
        <x:v>0.1537110578495086</x:v>
      </x:c>
      <x:c r="AF433" s="74" t="n">
        <x:v>10</x:v>
      </x:c>
    </x:row>
    <x:row r="434">
      <x:c r="A434" t="str">
        <x:v>2025 S1</x:v>
      </x:c>
      <x:c r="B434" t="str">
        <x:v>CNCT0109</x:v>
      </x:c>
      <x:c r="C434" s="74" t="n">
        <x:v>1220</x:v>
      </x:c>
      <x:c r="D434" s="74" t="n">
        <x:v>1140.57</x:v>
      </x:c>
      <x:c r="E434" s="75" t="n">
        <x:v>0.9817215455985279</x:v>
      </x:c>
      <x:c r="F434" s="75" t="n">
        <x:v>0.18692734329774977</x:v>
      </x:c>
      <x:c r="G434" s="75" t="n">
        <x:v>0.019262942766887135</x:v>
      </x:c>
      <x:c r="H434" s="75" t="n">
        <x:v>0.00975844429283461</x:v>
      </x:c>
      <x:c r="I434" s="75" t="n">
        <x:v>0.008542596609429893</x:v>
      </x:c>
      <x:c r="J434" s="75" t="n">
        <x:v>0.010372764584491961</x:v>
      </x:c>
      <x:c r="K434" s="75" t="n">
        <x:v>0.011243300522421121</x:v>
      </x:c>
      <x:c r="L434" s="75" t="n">
        <x:v>0.01155835187570483</x:v>
      </x:c>
      <x:c r="M434" s="75" t="n">
        <x:v>0.008716626807243302</x:v>
      </x:c>
      <x:c r="N434" s="75" t="n">
        <x:v>0.0053368064697424415</x:v>
      </x:c>
      <x:c r="O434" s="75" t="n">
        <x:v>0.010056641151037183</x:v>
      </x:c>
      <x:c r="P434" s="75" t="n">
        <x:v>0.0019386232928154641</x:v>
      </x:c>
      <x:c r="Q434" s="75" t="n">
        <x:v>0.005508665768284118</x:v>
      </x:c>
      <x:c r="R434" s="75" t="n">
        <x:v>0.3502370289076698</x:v>
      </x:c>
      <x:c r="S434" s="75" t="n">
        <x:v>0.015335294194039307</x:v>
      </x:c>
      <x:c r="T434" s="75" t="n">
        <x:v>0.0052792476630711465</x:v>
      </x:c>
      <x:c r="U434" s="75" t="n">
        <x:v>0.008043594565009698</x:v>
      </x:c>
      <x:c r="V434" s="75" t="n">
        <x:v>0.037530811727971014</x:v>
      </x:c>
      <x:c r="W434" s="75" t="n">
        <x:v>0.014494731982771191</x:v>
      </x:c>
      <x:c r="X434" s="75" t="n">
        <x:v>0.020456097189874272</x:v>
      </x:c>
      <x:c r="Y434" s="75" t="n">
        <x:v>0.015711769389831463</x:v>
      </x:c>
      <x:c r="Z434" s="75" t="n">
        <x:v>0.006813278999173781</x:v>
      </x:c>
      <x:c r="AA434" s="75" t="n">
        <x:v>0.0073811333836102866</x:v>
      </x:c>
      <x:c r="AB434" s="75" t="n">
        <x:v>0.006383970351105382</x:v>
      </x:c>
      <x:c r="AC434" s="75" t="n">
        <x:v>0.02233609855716786</x:v>
      </x:c>
      <x:c r="AD434" s="75" t="n">
        <x:v>0.09642299815278967</x:v>
      </x:c>
      <x:c r="AE434" s="75" t="n">
        <x:v>0.07317265354984556</x:v>
      </x:c>
      <x:c r="AF434" s="74" t="n">
        <x:v>4</x:v>
      </x:c>
    </x:row>
    <x:row r="435">
      <x:c r="A435" t="str">
        <x:v>2025 S2</x:v>
      </x:c>
      <x:c r="B435" t="str">
        <x:v>CNCT0109</x:v>
      </x:c>
      <x:c r="C435" s="74" t="n">
        <x:v>1304</x:v>
      </x:c>
      <x:c r="D435" s="74" t="n">
        <x:v>1154.257</x:v>
      </x:c>
      <x:c r="E435" s="75" t="n">
        <x:v>0.9732552539553144</x:v>
      </x:c>
      <x:c r="F435" s="75" t="n">
        <x:v>0.18692734329774977</x:v>
      </x:c>
      <x:c r="G435" s="75" t="n">
        <x:v>0.019262942766887135</x:v>
      </x:c>
      <x:c r="H435" s="75" t="n">
        <x:v>0.00975844429283461</x:v>
      </x:c>
      <x:c r="I435" s="75" t="n">
        <x:v>0.008542596609429893</x:v>
      </x:c>
      <x:c r="J435" s="75" t="n">
        <x:v>0.010372764584491961</x:v>
      </x:c>
      <x:c r="K435" s="75" t="n">
        <x:v>0.011243300522421121</x:v>
      </x:c>
      <x:c r="L435" s="75" t="n">
        <x:v>0.01155835187570483</x:v>
      </x:c>
      <x:c r="M435" s="75" t="n">
        <x:v>0.008716626807243302</x:v>
      </x:c>
      <x:c r="N435" s="75" t="n">
        <x:v>0.0053368064697424415</x:v>
      </x:c>
      <x:c r="O435" s="75" t="n">
        <x:v>0.010056641151037183</x:v>
      </x:c>
      <x:c r="P435" s="75" t="n">
        <x:v>0.0019386232928154641</x:v>
      </x:c>
      <x:c r="Q435" s="75" t="n">
        <x:v>0.005508665768284118</x:v>
      </x:c>
      <x:c r="R435" s="75" t="n">
        <x:v>0.36600757459587313</x:v>
      </x:c>
      <x:c r="S435" s="75" t="n">
        <x:v>0.015335294194039307</x:v>
      </x:c>
      <x:c r="T435" s="75" t="n">
        <x:v>0.0052792476630711465</x:v>
      </x:c>
      <x:c r="U435" s="75" t="n">
        <x:v>0.008043594565009698</x:v>
      </x:c>
      <x:c r="V435" s="75" t="n">
        <x:v>0.037530811727971014</x:v>
      </x:c>
      <x:c r="W435" s="75" t="n">
        <x:v>0.014494731982771191</x:v>
      </x:c>
      <x:c r="X435" s="75" t="n">
        <x:v>0.020456097189874272</x:v>
      </x:c>
      <x:c r="Y435" s="75" t="n">
        <x:v>0.015711769389831463</x:v>
      </x:c>
      <x:c r="Z435" s="75" t="n">
        <x:v>0.006813278999173781</x:v>
      </x:c>
      <x:c r="AA435" s="75" t="n">
        <x:v>0.0073811333836102866</x:v>
      </x:c>
      <x:c r="AB435" s="75" t="n">
        <x:v>0.006383970351105382</x:v>
      </x:c>
      <x:c r="AC435" s="75" t="n">
        <x:v>0.02233609855716786</x:v>
      </x:c>
      <x:c r="AD435" s="75" t="n">
        <x:v>0.09642299815278967</x:v>
      </x:c>
      <x:c r="AE435" s="75" t="n">
        <x:v>0.07317265354984556</x:v>
      </x:c>
      <x:c r="AF435" s="74" t="n">
        <x:v>4</x:v>
      </x:c>
    </x:row>
    <x:row r="436">
      <x:c r="A436" t="str">
        <x:v>2026 S1</x:v>
      </x:c>
      <x:c r="B436" t="str">
        <x:v>CNCT0109</x:v>
      </x:c>
      <x:c r="C436" s="74" t="n">
        <x:v>1274</x:v>
      </x:c>
      <x:c r="D436" s="74" t="n">
        <x:v>1193.033</x:v>
      </x:c>
      <x:c r="E436" s="75" t="n">
        <x:v>0.9801833077081646</x:v>
      </x:c>
      <x:c r="F436" s="75" t="n">
        <x:v>0.1874274986231394</x:v>
      </x:c>
      <x:c r="G436" s="75" t="n">
        <x:v>0.02105274593159265</x:v>
      </x:c>
      <x:c r="H436" s="75" t="n">
        <x:v>0.00975844429283461</x:v>
      </x:c>
      <x:c r="I436" s="75" t="n">
        <x:v>0.008542596609429893</x:v>
      </x:c>
      <x:c r="J436" s="75" t="n">
        <x:v>0.010372764584491961</x:v>
      </x:c>
      <x:c r="K436" s="75" t="n">
        <x:v>0.011243300522421121</x:v>
      </x:c>
      <x:c r="L436" s="75" t="n">
        <x:v>0.01155835187570483</x:v>
      </x:c>
      <x:c r="M436" s="75" t="n">
        <x:v>0.008716626807243302</x:v>
      </x:c>
      <x:c r="N436" s="75" t="n">
        <x:v>0.0053368064697424415</x:v>
      </x:c>
      <x:c r="O436" s="75" t="n">
        <x:v>0.011981204804469597</x:v>
      </x:c>
      <x:c r="P436" s="75" t="n">
        <x:v>0.0019386232928154641</x:v>
      </x:c>
      <x:c r="Q436" s="75" t="n">
        <x:v>0.005508665768284118</x:v>
      </x:c>
      <x:c r="R436" s="75" t="n">
        <x:v>0.3535891650438268</x:v>
      </x:c>
      <x:c r="S436" s="75" t="n">
        <x:v>0.015335294194039307</x:v>
      </x:c>
      <x:c r="T436" s="75" t="n">
        <x:v>0.0052792476630711465</x:v>
      </x:c>
      <x:c r="U436" s="75" t="n">
        <x:v>0.008043594565009698</x:v>
      </x:c>
      <x:c r="V436" s="75" t="n">
        <x:v>0.037530811727971014</x:v>
      </x:c>
      <x:c r="W436" s="75" t="n">
        <x:v>0.017835057503145218</x:v>
      </x:c>
      <x:c r="X436" s="75" t="n">
        <x:v>0.0251702253001289</x:v>
      </x:c>
      <x:c r="Y436" s="75" t="n">
        <x:v>0.019332562401076336</x:v>
      </x:c>
      <x:c r="Z436" s="75" t="n">
        <x:v>0.008383405976714312</x:v>
      </x:c>
      <x:c r="AA436" s="75" t="n">
        <x:v>0.00908212297347398</x:v>
      </x:c>
      <x:c r="AB436" s="75" t="n">
        <x:v>0.00785516272019888</x:v>
      </x:c>
      <x:c r="AC436" s="75" t="n">
        <x:v>0.027483474867732307</x:v>
      </x:c>
      <x:c r="AD436" s="75" t="n">
        <x:v>0.09642299815278967</x:v>
      </x:c>
      <x:c r="AE436" s="75" t="n">
        <x:v>0.07317265354984556</x:v>
      </x:c>
      <x:c r="AF436" s="74" t="n">
        <x:v>4</x:v>
      </x:c>
    </x:row>
    <x:row r="437">
      <x:c r="A437" t="str">
        <x:v>2026 S2</x:v>
      </x:c>
      <x:c r="B437" t="str">
        <x:v>CNCT0109</x:v>
      </x:c>
      <x:c r="C437" s="74" t="n">
        <x:v>1358</x:v>
      </x:c>
      <x:c r="D437" s="74" t="n">
        <x:v>1178.162</x:v>
      </x:c>
      <x:c r="E437" s="75" t="n">
        <x:v>0.9732552539553144</x:v>
      </x:c>
      <x:c r="F437" s="75" t="n">
        <x:v>0.18395409918302177</x:v>
      </x:c>
      <x:c r="G437" s="75" t="n">
        <x:v>0.020024020895118157</x:v>
      </x:c>
      <x:c r="H437" s="75" t="n">
        <x:v>0.00975844429283461</x:v>
      </x:c>
      <x:c r="I437" s="75" t="n">
        <x:v>0.008542596609429893</x:v>
      </x:c>
      <x:c r="J437" s="75" t="n">
        <x:v>0.010372764584491961</x:v>
      </x:c>
      <x:c r="K437" s="75" t="n">
        <x:v>0.011243300522421121</x:v>
      </x:c>
      <x:c r="L437" s="75" t="n">
        <x:v>0.01155835187570483</x:v>
      </x:c>
      <x:c r="M437" s="75" t="n">
        <x:v>0.008716626807243302</x:v>
      </x:c>
      <x:c r="N437" s="75" t="n">
        <x:v>0.0053368064697424415</x:v>
      </x:c>
      <x:c r="O437" s="75" t="n">
        <x:v>0.010056641151037183</x:v>
      </x:c>
      <x:c r="P437" s="75" t="n">
        <x:v>0.0019386232928154641</x:v>
      </x:c>
      <x:c r="Q437" s="75" t="n">
        <x:v>0.005508665768284118</x:v>
      </x:c>
      <x:c r="R437" s="75" t="n">
        <x:v>0.35868911163314227</x:v>
      </x:c>
      <x:c r="S437" s="75" t="n">
        <x:v>0.015335294194039307</x:v>
      </x:c>
      <x:c r="T437" s="75" t="n">
        <x:v>0.0052792476630711465</x:v>
      </x:c>
      <x:c r="U437" s="75" t="n">
        <x:v>0.008043594565009698</x:v>
      </x:c>
      <x:c r="V437" s="75" t="n">
        <x:v>0.037530811727971014</x:v>
      </x:c>
      <x:c r="W437" s="75" t="n">
        <x:v>0.015364415901737464</x:v>
      </x:c>
      <x:c r="X437" s="75" t="n">
        <x:v>0.021683463021266728</x:v>
      </x:c>
      <x:c r="Y437" s="75" t="n">
        <x:v>0.016654475553221353</x:v>
      </x:c>
      <x:c r="Z437" s="75" t="n">
        <x:v>0.007222075739124208</x:v>
      </x:c>
      <x:c r="AA437" s="75" t="n">
        <x:v>0.007824001386626905</x:v>
      </x:c>
      <x:c r="AB437" s="75" t="n">
        <x:v>0.006767008572171705</x:v>
      </x:c>
      <x:c r="AC437" s="75" t="n">
        <x:v>0.02367626447059793</x:v>
      </x:c>
      <x:c r="AD437" s="75" t="n">
        <x:v>0.09642299815278967</x:v>
      </x:c>
      <x:c r="AE437" s="75" t="n">
        <x:v>0.07317265354984556</x:v>
      </x:c>
      <x:c r="AF437" s="74" t="n">
        <x:v>4</x:v>
      </x:c>
    </x:row>
    <x:row r="438">
      <x:c r="A438" t="str">
        <x:v>2025 S1</x:v>
      </x:c>
      <x:c r="B438" t="str">
        <x:v>CNCT0110</x:v>
      </x:c>
      <x:c r="C438" s="74" t="n">
        <x:v>1086</x:v>
      </x:c>
      <x:c r="D438" s="74" t="n">
        <x:v>1117.366</x:v>
      </x:c>
      <x:c r="E438" s="75" t="n">
        <x:v>0.9734117011935741</x:v>
      </x:c>
      <x:c r="F438" s="75" t="n">
        <x:v>0.16689260818902402</x:v>
      </x:c>
      <x:c r="G438" s="75" t="n">
        <x:v>0.02050411522234208</x:v>
      </x:c>
      <x:c r="H438" s="75" t="n">
        <x:v>0.012868310634788941</x:v>
      </x:c>
      <x:c r="I438" s="75" t="n">
        <x:v>0.007294997061188042</x:v>
      </x:c>
      <x:c r="J438" s="75" t="n">
        <x:v>0.010950720305496361</x:v>
      </x:c>
      <x:c r="K438" s="75" t="n">
        <x:v>0.01061886830288131</x:v>
      </x:c>
      <x:c r="L438" s="75" t="n">
        <x:v>0.008534985262300324</x:v>
      </x:c>
      <x:c r="M438" s="75" t="n">
        <x:v>0.005900502435857106</x:v>
      </x:c>
      <x:c r="N438" s="75" t="n">
        <x:v>0.006093877943290863</x:v>
      </x:c>
      <x:c r="O438" s="75" t="n">
        <x:v>0.00789175261533819</x:v>
      </x:c>
      <x:c r="P438" s="75" t="n">
        <x:v>0.002325975585496053</x:v>
      </x:c>
      <x:c r="Q438" s="75" t="n">
        <x:v>0.005474036600033287</x:v>
      </x:c>
      <x:c r="R438" s="75" t="n">
        <x:v>0.4006045035802459</x:v>
      </x:c>
      <x:c r="S438" s="75" t="n">
        <x:v>0.01275268460753432</x:v>
      </x:c>
      <x:c r="T438" s="75" t="n">
        <x:v>0.004019144369231072</x:v>
      </x:c>
      <x:c r="U438" s="75" t="n">
        <x:v>0.009777705337794032</x:v>
      </x:c>
      <x:c r="V438" s="75" t="n">
        <x:v>0.031884864526218734</x:v>
      </x:c>
      <x:c r="W438" s="75" t="n">
        <x:v>0.011338396661865409</x:v>
      </x:c>
      <x:c r="X438" s="75" t="n">
        <x:v>0.01801746088311367</x:v>
      </x:c>
      <x:c r="Y438" s="75" t="n">
        <x:v>0.020406007363896354</x:v>
      </x:c>
      <x:c r="Z438" s="75" t="n">
        <x:v>0.006790552760206629</x:v>
      </x:c>
      <x:c r="AA438" s="75" t="n">
        <x:v>0.007331631696060067</x:v>
      </x:c>
      <x:c r="AB438" s="75" t="n">
        <x:v>0.0067360285674454646</x:v>
      </x:c>
      <x:c r="AC438" s="75" t="n">
        <x:v>0.0242630882516285</x:v>
      </x:c>
      <x:c r="AD438" s="75" t="n">
        <x:v>0.09419169323774805</x:v>
      </x:c>
      <x:c r="AE438" s="75" t="n">
        <x:v>0.08362657993308675</x:v>
      </x:c>
      <x:c r="AF438" s="74" t="n">
        <x:v>4</x:v>
      </x:c>
    </x:row>
    <x:row r="439">
      <x:c r="A439" t="str">
        <x:v>2025 S2</x:v>
      </x:c>
      <x:c r="B439" t="str">
        <x:v>CNCT0110</x:v>
      </x:c>
      <x:c r="C439" s="74" t="n">
        <x:v>1175</x:v>
      </x:c>
      <x:c r="D439" s="74" t="n">
        <x:v>1130.775</x:v>
      </x:c>
      <x:c r="E439" s="75" t="n">
        <x:v>0.9818222916767699</x:v>
      </x:c>
      <x:c r="F439" s="75" t="n">
        <x:v>0.16689260818902402</x:v>
      </x:c>
      <x:c r="G439" s="75" t="n">
        <x:v>0.02050411522234208</x:v>
      </x:c>
      <x:c r="H439" s="75" t="n">
        <x:v>0.012868310634788941</x:v>
      </x:c>
      <x:c r="I439" s="75" t="n">
        <x:v>0.007294997061188042</x:v>
      </x:c>
      <x:c r="J439" s="75" t="n">
        <x:v>0.010950720305496361</x:v>
      </x:c>
      <x:c r="K439" s="75" t="n">
        <x:v>0.01061886830288131</x:v>
      </x:c>
      <x:c r="L439" s="75" t="n">
        <x:v>0.008534985262300324</x:v>
      </x:c>
      <x:c r="M439" s="75" t="n">
        <x:v>0.005900502435857106</x:v>
      </x:c>
      <x:c r="N439" s="75" t="n">
        <x:v>0.006093877943290863</x:v>
      </x:c>
      <x:c r="O439" s="75" t="n">
        <x:v>0.00789175261533819</x:v>
      </x:c>
      <x:c r="P439" s="75" t="n">
        <x:v>0.002325975585496053</x:v>
      </x:c>
      <x:c r="Q439" s="75" t="n">
        <x:v>0.005474036600033287</x:v>
      </x:c>
      <x:c r="R439" s="75" t="n">
        <x:v>0.38020831418610146</x:v>
      </x:c>
      <x:c r="S439" s="75" t="n">
        <x:v>0.01275268460753432</x:v>
      </x:c>
      <x:c r="T439" s="75" t="n">
        <x:v>0.004019144369231072</x:v>
      </x:c>
      <x:c r="U439" s="75" t="n">
        <x:v>0.009777705337794032</x:v>
      </x:c>
      <x:c r="V439" s="75" t="n">
        <x:v>0.031884864526218734</x:v>
      </x:c>
      <x:c r="W439" s="75" t="n">
        <x:v>0.011338396661865409</x:v>
      </x:c>
      <x:c r="X439" s="75" t="n">
        <x:v>0.01801746088311367</x:v>
      </x:c>
      <x:c r="Y439" s="75" t="n">
        <x:v>0.020406007363896354</x:v>
      </x:c>
      <x:c r="Z439" s="75" t="n">
        <x:v>0.006790552760206629</x:v>
      </x:c>
      <x:c r="AA439" s="75" t="n">
        <x:v>0.007331631696060067</x:v>
      </x:c>
      <x:c r="AB439" s="75" t="n">
        <x:v>0.0067360285674454646</x:v>
      </x:c>
      <x:c r="AC439" s="75" t="n">
        <x:v>0.0242630882516285</x:v>
      </x:c>
      <x:c r="AD439" s="75" t="n">
        <x:v>0.09419169323774805</x:v>
      </x:c>
      <x:c r="AE439" s="75" t="n">
        <x:v>0.08362657993308675</x:v>
      </x:c>
      <x:c r="AF439" s="74" t="n">
        <x:v>4</x:v>
      </x:c>
    </x:row>
    <x:row r="440">
      <x:c r="A440" t="str">
        <x:v>2026 S1</x:v>
      </x:c>
      <x:c r="B440" t="str">
        <x:v>CNCT0110</x:v>
      </x:c>
      <x:c r="C440" s="74" t="n">
        <x:v>1172</x:v>
      </x:c>
      <x:c r="D440" s="74" t="n">
        <x:v>1162.415</x:v>
      </x:c>
      <x:c r="E440" s="75" t="n">
        <x:v>0.9747842231971736</x:v>
      </x:c>
      <x:c r="F440" s="75" t="n">
        <x:v>0.1726316303367421</x:v>
      </x:c>
      <x:c r="G440" s="75" t="n">
        <x:v>0.01964755156380852</x:v>
      </x:c>
      <x:c r="H440" s="75" t="n">
        <x:v>0.012868310634788941</x:v>
      </x:c>
      <x:c r="I440" s="75" t="n">
        <x:v>0.007294997061188042</x:v>
      </x:c>
      <x:c r="J440" s="75" t="n">
        <x:v>0.010950720305496361</x:v>
      </x:c>
      <x:c r="K440" s="75" t="n">
        <x:v>0.01061886830288131</x:v>
      </x:c>
      <x:c r="L440" s="75" t="n">
        <x:v>0.008534985262300324</x:v>
      </x:c>
      <x:c r="M440" s="75" t="n">
        <x:v>0.005900502435857106</x:v>
      </x:c>
      <x:c r="N440" s="75" t="n">
        <x:v>0.006093877943290863</x:v>
      </x:c>
      <x:c r="O440" s="75" t="n">
        <x:v>0.006689507209142902</x:v>
      </x:c>
      <x:c r="P440" s="75" t="n">
        <x:v>0.002325975585496053</x:v>
      </x:c>
      <x:c r="Q440" s="75" t="n">
        <x:v>0.005474036600033287</x:v>
      </x:c>
      <x:c r="R440" s="75" t="n">
        <x:v>0.39670510259395925</x:v>
      </x:c>
      <x:c r="S440" s="75" t="n">
        <x:v>0.01275268460753432</x:v>
      </x:c>
      <x:c r="T440" s="75" t="n">
        <x:v>0.004019144369231072</x:v>
      </x:c>
      <x:c r="U440" s="75" t="n">
        <x:v>0.009777705337794032</x:v>
      </x:c>
      <x:c r="V440" s="75" t="n">
        <x:v>0.031884864526218734</x:v>
      </x:c>
      <x:c r="W440" s="75" t="n">
        <x:v>0.013951341542444824</x:v>
      </x:c>
      <x:c r="X440" s="75" t="n">
        <x:v>0.022169602811073556</x:v>
      </x:c>
      <x:c r="Y440" s="75" t="n">
        <x:v>0.025108592223525582</x:v>
      </x:c>
      <x:c r="Z440" s="75" t="n">
        <x:v>0.008355442453187891</x:v>
      </x:c>
      <x:c r="AA440" s="75" t="n">
        <x:v>0.009021213572388794</x:v>
      </x:c>
      <x:c r="AB440" s="75" t="n">
        <x:v>0.008288353105529458</x:v>
      </x:c>
      <x:c r="AC440" s="75" t="n">
        <x:v>0.029854541269617105</x:v>
      </x:c>
      <x:c r="AD440" s="75" t="n">
        <x:v>0.09419169323774805</x:v>
      </x:c>
      <x:c r="AE440" s="75" t="n">
        <x:v>0.08362657993308675</x:v>
      </x:c>
      <x:c r="AF440" s="74" t="n">
        <x:v>4</x:v>
      </x:c>
    </x:row>
    <x:row r="441">
      <x:c r="A441" t="str">
        <x:v>2026 S2</x:v>
      </x:c>
      <x:c r="B441" t="str">
        <x:v>CNCT0110</x:v>
      </x:c>
      <x:c r="C441" s="74" t="n">
        <x:v>1256</x:v>
      </x:c>
      <x:c r="D441" s="74" t="n">
        <x:v>1163.868</x:v>
      </x:c>
      <x:c r="E441" s="75" t="n">
        <x:v>0.9818222916767699</x:v>
      </x:c>
      <x:c r="F441" s="75" t="n">
        <x:v>0.16800663603760038</x:v>
      </x:c>
      <x:c r="G441" s="75" t="n">
        <x:v>0.021403948113271325</x:v>
      </x:c>
      <x:c r="H441" s="75" t="n">
        <x:v>0.012868310634788941</x:v>
      </x:c>
      <x:c r="I441" s="75" t="n">
        <x:v>0.007294997061188042</x:v>
      </x:c>
      <x:c r="J441" s="75" t="n">
        <x:v>0.010950720305496361</x:v>
      </x:c>
      <x:c r="K441" s="75" t="n">
        <x:v>0.01061886830288131</x:v>
      </x:c>
      <x:c r="L441" s="75" t="n">
        <x:v>0.008534985262300324</x:v>
      </x:c>
      <x:c r="M441" s="75" t="n">
        <x:v>0.005900502435857106</x:v>
      </x:c>
      <x:c r="N441" s="75" t="n">
        <x:v>0.006093877943290863</x:v>
      </x:c>
      <x:c r="O441" s="75" t="n">
        <x:v>0.00789175261533819</x:v>
      </x:c>
      <x:c r="P441" s="75" t="n">
        <x:v>0.002325975585496053</x:v>
      </x:c>
      <x:c r="Q441" s="75" t="n">
        <x:v>0.005474036600033287</x:v>
      </x:c>
      <x:c r="R441" s="75" t="n">
        <x:v>0.37360230210813755</x:v>
      </x:c>
      <x:c r="S441" s="75" t="n">
        <x:v>0.01275268460753432</x:v>
      </x:c>
      <x:c r="T441" s="75" t="n">
        <x:v>0.004019144369231072</x:v>
      </x:c>
      <x:c r="U441" s="75" t="n">
        <x:v>0.009777705337794032</x:v>
      </x:c>
      <x:c r="V441" s="75" t="n">
        <x:v>0.031884864526218734</x:v>
      </x:c>
      <x:c r="W441" s="75" t="n">
        <x:v>0.012018700461577334</x:v>
      </x:c>
      <x:c r="X441" s="75" t="n">
        <x:v>0.019098508536100494</x:v>
      </x:c>
      <x:c r="Y441" s="75" t="n">
        <x:v>0.021630367805730136</x:v>
      </x:c>
      <x:c r="Z441" s="75" t="n">
        <x:v>0.007197985925819027</x:v>
      </x:c>
      <x:c r="AA441" s="75" t="n">
        <x:v>0.007771529597823672</x:v>
      </x:c>
      <x:c r="AB441" s="75" t="n">
        <x:v>0.007140190281492193</x:v>
      </x:c>
      <x:c r="AC441" s="75" t="n">
        <x:v>0.025718873546726213</x:v>
      </x:c>
      <x:c r="AD441" s="75" t="n">
        <x:v>0.09419169323774805</x:v>
      </x:c>
      <x:c r="AE441" s="75" t="n">
        <x:v>0.08362657993308675</x:v>
      </x:c>
      <x:c r="AF441" s="74" t="n">
        <x:v>4</x:v>
      </x:c>
    </x:row>
    <x:row r="442">
      <x:c r="A442" t="str">
        <x:v>2025 S1</x:v>
      </x:c>
      <x:c r="B442" t="str">
        <x:v>CNCT0111</x:v>
      </x:c>
      <x:c r="C442" s="74" t="n">
        <x:v>1652</x:v>
      </x:c>
      <x:c r="D442" s="74" t="n">
        <x:v>1020.939</x:v>
      </x:c>
      <x:c r="E442" s="75" t="n">
        <x:v>0.9797217144021415</x:v>
      </x:c>
      <x:c r="F442" s="75" t="n">
        <x:v>0.1809138683900237</x:v>
      </x:c>
      <x:c r="G442" s="75" t="n">
        <x:v>0.020118331247242167</x:v>
      </x:c>
      <x:c r="H442" s="75" t="n">
        <x:v>0.01080818603069929</x:v>
      </x:c>
      <x:c r="I442" s="75" t="n">
        <x:v>0.009498763303388842</x:v>
      </x:c>
      <x:c r="J442" s="75" t="n">
        <x:v>0.013751237744581885</x:v>
      </x:c>
      <x:c r="K442" s="75" t="n">
        <x:v>0.01135439884365769</x:v>
      </x:c>
      <x:c r="L442" s="75" t="n">
        <x:v>0.012511256246623815</x:v>
      </x:c>
      <x:c r="M442" s="75" t="n">
        <x:v>0.006243720060409032</x:v>
      </x:c>
      <x:c r="N442" s="75" t="n">
        <x:v>0.005237158884031487</x:v>
      </x:c>
      <x:c r="O442" s="75" t="n">
        <x:v>0.007625005436708306</x:v>
      </x:c>
      <x:c r="P442" s="75" t="n">
        <x:v>0.0018832272328290856</x:v>
      </x:c>
      <x:c r="Q442" s="75" t="n">
        <x:v>0.0037979353532427923</x:v>
      </x:c>
      <x:c r="R442" s="75" t="n">
        <x:v>0.3699823625078846</x:v>
      </x:c>
      <x:c r="S442" s="75" t="n">
        <x:v>0.01124004669371061</x:v>
      </x:c>
      <x:c r="T442" s="75" t="n">
        <x:v>0.003418756663479144</x:v>
      </x:c>
      <x:c r="U442" s="75" t="n">
        <x:v>0.006095915084879379</x:v>
      </x:c>
      <x:c r="V442" s="75" t="n">
        <x:v>0.02993431231012801</x:v>
      </x:c>
      <x:c r="W442" s="75" t="n">
        <x:v>0.012205004219469264</x:v>
      </x:c>
      <x:c r="X442" s="75" t="n">
        <x:v>0.025952225349704094</x:v>
      </x:c>
      <x:c r="Y442" s="75" t="n">
        <x:v>0.016425936147831385</x:v>
      </x:c>
      <x:c r="Z442" s="75" t="n">
        <x:v>0.006445483943092405</x:v>
      </x:c>
      <x:c r="AA442" s="75" t="n">
        <x:v>0.00897540520012728</x:v>
      </x:c>
      <x:c r="AB442" s="75" t="n">
        <x:v>0.004983243017364294</x:v>
      </x:c>
      <x:c r="AC442" s="75" t="n">
        <x:v>0.02323602508610638</x:v>
      </x:c>
      <x:c r="AD442" s="75" t="n">
        <x:v>0.08443856808057172</x:v>
      </x:c>
      <x:c r="AE442" s="75" t="n">
        <x:v>0.08652371749873783</x:v>
      </x:c>
      <x:c r="AF442" s="74" t="n">
        <x:v>11</x:v>
      </x:c>
    </x:row>
    <x:row r="443">
      <x:c r="A443" t="str">
        <x:v>2025 S2</x:v>
      </x:c>
      <x:c r="B443" t="str">
        <x:v>CNCT0111</x:v>
      </x:c>
      <x:c r="C443" s="74" t="n">
        <x:v>1775</x:v>
      </x:c>
      <x:c r="D443" s="74" t="n">
        <x:v>1033.19</x:v>
      </x:c>
      <x:c r="E443" s="75" t="n">
        <x:v>0.9680977109839295</x:v>
      </x:c>
      <x:c r="F443" s="75" t="n">
        <x:v>0.1809138683900237</x:v>
      </x:c>
      <x:c r="G443" s="75" t="n">
        <x:v>0.020118331247242167</x:v>
      </x:c>
      <x:c r="H443" s="75" t="n">
        <x:v>0.01080818603069929</x:v>
      </x:c>
      <x:c r="I443" s="75" t="n">
        <x:v>0.009498763303388842</x:v>
      </x:c>
      <x:c r="J443" s="75" t="n">
        <x:v>0.013751237744581885</x:v>
      </x:c>
      <x:c r="K443" s="75" t="n">
        <x:v>0.01135439884365769</x:v>
      </x:c>
      <x:c r="L443" s="75" t="n">
        <x:v>0.012511256246623815</x:v>
      </x:c>
      <x:c r="M443" s="75" t="n">
        <x:v>0.006243720060409032</x:v>
      </x:c>
      <x:c r="N443" s="75" t="n">
        <x:v>0.005237158884031487</x:v>
      </x:c>
      <x:c r="O443" s="75" t="n">
        <x:v>0.007625005436708306</x:v>
      </x:c>
      <x:c r="P443" s="75" t="n">
        <x:v>0.0018832272328290856</x:v>
      </x:c>
      <x:c r="Q443" s="75" t="n">
        <x:v>0.0037979353532427923</x:v>
      </x:c>
      <x:c r="R443" s="75" t="n">
        <x:v>0.373064417581413</x:v>
      </x:c>
      <x:c r="S443" s="75" t="n">
        <x:v>0.01124004669371061</x:v>
      </x:c>
      <x:c r="T443" s="75" t="n">
        <x:v>0.003418756663479144</x:v>
      </x:c>
      <x:c r="U443" s="75" t="n">
        <x:v>0.006095915084879379</x:v>
      </x:c>
      <x:c r="V443" s="75" t="n">
        <x:v>0.02993431231012801</x:v>
      </x:c>
      <x:c r="W443" s="75" t="n">
        <x:v>0.012205004219469264</x:v>
      </x:c>
      <x:c r="X443" s="75" t="n">
        <x:v>0.025952225349704094</x:v>
      </x:c>
      <x:c r="Y443" s="75" t="n">
        <x:v>0.016425936147831385</x:v>
      </x:c>
      <x:c r="Z443" s="75" t="n">
        <x:v>0.006445483943092405</x:v>
      </x:c>
      <x:c r="AA443" s="75" t="n">
        <x:v>0.00897540520012728</x:v>
      </x:c>
      <x:c r="AB443" s="75" t="n">
        <x:v>0.004983243017364294</x:v>
      </x:c>
      <x:c r="AC443" s="75" t="n">
        <x:v>0.02323602508610638</x:v>
      </x:c>
      <x:c r="AD443" s="75" t="n">
        <x:v>0.08443856808057172</x:v>
      </x:c>
      <x:c r="AE443" s="75" t="n">
        <x:v>0.08652371749873783</x:v>
      </x:c>
      <x:c r="AF443" s="74" t="n">
        <x:v>11</x:v>
      </x:c>
    </x:row>
    <x:row r="444">
      <x:c r="A444" t="str">
        <x:v>2026 S1</x:v>
      </x:c>
      <x:c r="B444" t="str">
        <x:v>CNCT0111</x:v>
      </x:c>
      <x:c r="C444" s="74" t="n">
        <x:v>1572</x:v>
      </x:c>
      <x:c r="D444" s="74" t="n">
        <x:v>1074.998</x:v>
      </x:c>
      <x:c r="E444" s="75" t="n">
        <x:v>0.9809337275330327</x:v>
      </x:c>
      <x:c r="F444" s="75" t="n">
        <x:v>0.17881997800779936</x:v>
      </x:c>
      <x:c r="G444" s="75" t="n">
        <x:v>0.019113908886778518</x:v>
      </x:c>
      <x:c r="H444" s="75" t="n">
        <x:v>0.01080818603069929</x:v>
      </x:c>
      <x:c r="I444" s="75" t="n">
        <x:v>0.009498763303388842</x:v>
      </x:c>
      <x:c r="J444" s="75" t="n">
        <x:v>0.013751237744581885</x:v>
      </x:c>
      <x:c r="K444" s="75" t="n">
        <x:v>0.01135439884365769</x:v>
      </x:c>
      <x:c r="L444" s="75" t="n">
        <x:v>0.012511256246623815</x:v>
      </x:c>
      <x:c r="M444" s="75" t="n">
        <x:v>0.006243720060409032</x:v>
      </x:c>
      <x:c r="N444" s="75" t="n">
        <x:v>0.005237158884031487</x:v>
      </x:c>
      <x:c r="O444" s="75" t="n">
        <x:v>0.008910795251911166</x:v>
      </x:c>
      <x:c r="P444" s="75" t="n">
        <x:v>0.0018832272328290856</x:v>
      </x:c>
      <x:c r="Q444" s="75" t="n">
        <x:v>0.0037979353532427923</x:v>
      </x:c>
      <x:c r="R444" s="75" t="n">
        <x:v>0.3684345819712832</x:v>
      </x:c>
      <x:c r="S444" s="75" t="n">
        <x:v>0.01124004669371061</x:v>
      </x:c>
      <x:c r="T444" s="75" t="n">
        <x:v>0.003418756663479144</x:v>
      </x:c>
      <x:c r="U444" s="75" t="n">
        <x:v>0.006095915084879379</x:v>
      </x:c>
      <x:c r="V444" s="75" t="n">
        <x:v>0.02993431231012801</x:v>
      </x:c>
      <x:c r="W444" s="75" t="n">
        <x:v>0.015017659680710256</x:v>
      </x:c>
      <x:c r="X444" s="75" t="n">
        <x:v>0.03193294170576746</x:v>
      </x:c>
      <x:c r="Y444" s="75" t="n">
        <x:v>0.020211309604605397</x:v>
      </x:c>
      <x:c r="Z444" s="75" t="n">
        <x:v>0.00793085218114356</x:v>
      </x:c>
      <x:c r="AA444" s="75" t="n">
        <x:v>0.011043796328802086</x:v>
      </x:c>
      <x:c r="AB444" s="75" t="n">
        <x:v>0.0061316363677838175</x:v>
      </x:c>
      <x:c r="AC444" s="75" t="n">
        <x:v>0.028590790367687885</x:v>
      </x:c>
      <x:c r="AD444" s="75" t="n">
        <x:v>0.08443856808057172</x:v>
      </x:c>
      <x:c r="AE444" s="75" t="n">
        <x:v>0.08652371749873783</x:v>
      </x:c>
      <x:c r="AF444" s="74" t="n">
        <x:v>11</x:v>
      </x:c>
    </x:row>
    <x:row r="445">
      <x:c r="A445" t="str">
        <x:v>2026 S2</x:v>
      </x:c>
      <x:c r="B445" t="str">
        <x:v>CNCT0111</x:v>
      </x:c>
      <x:c r="C445" s="74" t="n">
        <x:v>1745</x:v>
      </x:c>
      <x:c r="D445" s="74" t="n">
        <x:v>1072.138</x:v>
      </x:c>
      <x:c r="E445" s="75" t="n">
        <x:v>0.9680977109839295</x:v>
      </x:c>
      <x:c r="F445" s="75" t="n">
        <x:v>0.1805619187932607</x:v>
      </x:c>
      <x:c r="G445" s="75" t="n">
        <x:v>0.021988679019283155</x:v>
      </x:c>
      <x:c r="H445" s="75" t="n">
        <x:v>0.01080818603069929</x:v>
      </x:c>
      <x:c r="I445" s="75" t="n">
        <x:v>0.009498763303388842</x:v>
      </x:c>
      <x:c r="J445" s="75" t="n">
        <x:v>0.013751237744581885</x:v>
      </x:c>
      <x:c r="K445" s="75" t="n">
        <x:v>0.01135439884365769</x:v>
      </x:c>
      <x:c r="L445" s="75" t="n">
        <x:v>0.012511256246623815</x:v>
      </x:c>
      <x:c r="M445" s="75" t="n">
        <x:v>0.006243720060409032</x:v>
      </x:c>
      <x:c r="N445" s="75" t="n">
        <x:v>0.005237158884031487</x:v>
      </x:c>
      <x:c r="O445" s="75" t="n">
        <x:v>0.007625005436708306</x:v>
      </x:c>
      <x:c r="P445" s="75" t="n">
        <x:v>0.0018832272328290856</x:v>
      </x:c>
      <x:c r="Q445" s="75" t="n">
        <x:v>0.0037979353532427923</x:v>
      </x:c>
      <x:c r="R445" s="75" t="n">
        <x:v>0.36453709658810884</x:v>
      </x:c>
      <x:c r="S445" s="75" t="n">
        <x:v>0.01124004669371061</x:v>
      </x:c>
      <x:c r="T445" s="75" t="n">
        <x:v>0.003418756663479144</x:v>
      </x:c>
      <x:c r="U445" s="75" t="n">
        <x:v>0.006095915084879379</x:v>
      </x:c>
      <x:c r="V445" s="75" t="n">
        <x:v>0.02993431231012801</x:v>
      </x:c>
      <x:c r="W445" s="75" t="n">
        <x:v>0.01293730447263742</x:v>
      </x:c>
      <x:c r="X445" s="75" t="n">
        <x:v>0.02750935887068634</x:v>
      </x:c>
      <x:c r="Y445" s="75" t="n">
        <x:v>0.01741149231670127</x:v>
      </x:c>
      <x:c r="Z445" s="75" t="n">
        <x:v>0.006832212979677949</x:v>
      </x:c>
      <x:c r="AA445" s="75" t="n">
        <x:v>0.009513929512134917</x:v>
      </x:c>
      <x:c r="AB445" s="75" t="n">
        <x:v>0.005282237598406152</x:v>
      </x:c>
      <x:c r="AC445" s="75" t="n">
        <x:v>0.024630186591272762</x:v>
      </x:c>
      <x:c r="AD445" s="75" t="n">
        <x:v>0.08443856808057172</x:v>
      </x:c>
      <x:c r="AE445" s="75" t="n">
        <x:v>0.08652371749873783</x:v>
      </x:c>
      <x:c r="AF445" s="74" t="n">
        <x:v>11</x:v>
      </x:c>
    </x:row>
    <x:row r="446">
      <x:c r="A446" t="str">
        <x:v>2025 S1</x:v>
      </x:c>
      <x:c r="B446" t="str">
        <x:v>CNCT0112</x:v>
      </x:c>
      <x:c r="C446" s="74" t="n">
        <x:v>1260</x:v>
      </x:c>
      <x:c r="D446" s="74" t="n">
        <x:v>1098.025</x:v>
      </x:c>
      <x:c r="E446" s="75" t="n">
        <x:v>0.9797458596878131</x:v>
      </x:c>
      <x:c r="F446" s="75" t="n">
        <x:v>0.17810971543798224</x:v>
      </x:c>
      <x:c r="G446" s="75" t="n">
        <x:v>0.011711592256455333</x:v>
      </x:c>
      <x:c r="H446" s="75" t="n">
        <x:v>0.008857213594877976</x:v>
      </x:c>
      <x:c r="I446" s="75" t="n">
        <x:v>0.009741236567067973</x:v>
      </x:c>
      <x:c r="J446" s="75" t="n">
        <x:v>0.016020863036683295</x:v>
      </x:c>
      <x:c r="K446" s="75" t="n">
        <x:v>0.010862270248748244</x:v>
      </x:c>
      <x:c r="L446" s="75" t="n">
        <x:v>0.009118221218843245</x:v>
      </x:c>
      <x:c r="M446" s="75" t="n">
        <x:v>0.007521114060935361</x:v>
      </x:c>
      <x:c r="N446" s="75" t="n">
        <x:v>0.006878526868997142</x:v>
      </x:c>
      <x:c r="O446" s="75" t="n">
        <x:v>0.013570973876327115</x:v>
      </x:c>
      <x:c r="P446" s="75" t="n">
        <x:v>0.0009658768088420402</x:v>
      </x:c>
      <x:c r="Q446" s="75" t="n">
        <x:v>0.0024811204232464664</x:v>
      </x:c>
      <x:c r="R446" s="75" t="n">
        <x:v>0.36917707566604185</x:v>
      </x:c>
      <x:c r="S446" s="75" t="n">
        <x:v>0.016251181389394333</x:v>
      </x:c>
      <x:c r="T446" s="75" t="n">
        <x:v>0.006759522165928502</x:v>
      </x:c>
      <x:c r="U446" s="75" t="n">
        <x:v>0.006594942008669022</x:v>
      </x:c>
      <x:c r="V446" s="75" t="n">
        <x:v>0.038676891876442826</x:v>
      </x:c>
      <x:c r="W446" s="75" t="n">
        <x:v>0.009494904536465218</x:v>
      </x:c>
      <x:c r="X446" s="75" t="n">
        <x:v>0.02484460895519325</x:v>
      </x:c>
      <x:c r="Y446" s="75" t="n">
        <x:v>0.019872384020504546</x:v>
      </x:c>
      <x:c r="Z446" s="75" t="n">
        <x:v>0.006104741240118165</x:v>
      </x:c>
      <x:c r="AA446" s="75" t="n">
        <x:v>0.009118302180931206</x:v>
      </x:c>
      <x:c r="AB446" s="75" t="n">
        <x:v>0.006681451069330797</x:v>
      </x:c>
      <x:c r="AC446" s="75" t="n">
        <x:v>0.025637952360598133</x:v>
      </x:c>
      <x:c r="AD446" s="75" t="n">
        <x:v>0.08801416747897747</x:v>
      </x:c>
      <x:c r="AE446" s="75" t="n">
        <x:v>0.0658248850209784</x:v>
      </x:c>
      <x:c r="AF446" s="74" t="n">
        <x:v>6</x:v>
      </x:c>
    </x:row>
    <x:row r="447">
      <x:c r="A447" t="str">
        <x:v>2025 S2</x:v>
      </x:c>
      <x:c r="B447" t="str">
        <x:v>CNCT0112</x:v>
      </x:c>
      <x:c r="C447" s="74" t="n">
        <x:v>1384</x:v>
      </x:c>
      <x:c r="D447" s="74" t="n">
        <x:v>1111.201</x:v>
      </x:c>
      <x:c r="E447" s="75" t="n">
        <x:v>0.9724733490508042</x:v>
      </x:c>
      <x:c r="F447" s="75" t="n">
        <x:v>0.17810971543798224</x:v>
      </x:c>
      <x:c r="G447" s="75" t="n">
        <x:v>0.011711592256455333</x:v>
      </x:c>
      <x:c r="H447" s="75" t="n">
        <x:v>0.008857213594877976</x:v>
      </x:c>
      <x:c r="I447" s="75" t="n">
        <x:v>0.009741236567067973</x:v>
      </x:c>
      <x:c r="J447" s="75" t="n">
        <x:v>0.016020863036683295</x:v>
      </x:c>
      <x:c r="K447" s="75" t="n">
        <x:v>0.010862270248748244</x:v>
      </x:c>
      <x:c r="L447" s="75" t="n">
        <x:v>0.009118221218843245</x:v>
      </x:c>
      <x:c r="M447" s="75" t="n">
        <x:v>0.007521114060935361</x:v>
      </x:c>
      <x:c r="N447" s="75" t="n">
        <x:v>0.006878526868997142</x:v>
      </x:c>
      <x:c r="O447" s="75" t="n">
        <x:v>0.013570973876327115</x:v>
      </x:c>
      <x:c r="P447" s="75" t="n">
        <x:v>0.0009658768088420402</x:v>
      </x:c>
      <x:c r="Q447" s="75" t="n">
        <x:v>0.0024811204232464664</x:v>
      </x:c>
      <x:c r="R447" s="75" t="n">
        <x:v>0.3868381576261267</x:v>
      </x:c>
      <x:c r="S447" s="75" t="n">
        <x:v>0.016251181389394333</x:v>
      </x:c>
      <x:c r="T447" s="75" t="n">
        <x:v>0.006759522165928502</x:v>
      </x:c>
      <x:c r="U447" s="75" t="n">
        <x:v>0.006594942008669022</x:v>
      </x:c>
      <x:c r="V447" s="75" t="n">
        <x:v>0.038676891876442826</x:v>
      </x:c>
      <x:c r="W447" s="75" t="n">
        <x:v>0.009494904536465218</x:v>
      </x:c>
      <x:c r="X447" s="75" t="n">
        <x:v>0.02484460895519325</x:v>
      </x:c>
      <x:c r="Y447" s="75" t="n">
        <x:v>0.019872384020504546</x:v>
      </x:c>
      <x:c r="Z447" s="75" t="n">
        <x:v>0.006104741240118165</x:v>
      </x:c>
      <x:c r="AA447" s="75" t="n">
        <x:v>0.009118302180931206</x:v>
      </x:c>
      <x:c r="AB447" s="75" t="n">
        <x:v>0.006681451069330797</x:v>
      </x:c>
      <x:c r="AC447" s="75" t="n">
        <x:v>0.025637952360598133</x:v>
      </x:c>
      <x:c r="AD447" s="75" t="n">
        <x:v>0.08801416747897747</x:v>
      </x:c>
      <x:c r="AE447" s="75" t="n">
        <x:v>0.0658248850209784</x:v>
      </x:c>
      <x:c r="AF447" s="74" t="n">
        <x:v>6</x:v>
      </x:c>
    </x:row>
    <x:row r="448">
      <x:c r="A448" t="str">
        <x:v>2026 S1</x:v>
      </x:c>
      <x:c r="B448" t="str">
        <x:v>CNCT0112</x:v>
      </x:c>
      <x:c r="C448" s="74" t="n">
        <x:v>1208</x:v>
      </x:c>
      <x:c r="D448" s="74" t="n">
        <x:v>1157.114</x:v>
      </x:c>
      <x:c r="E448" s="75" t="n">
        <x:v>0.9831172593025402</x:v>
      </x:c>
      <x:c r="F448" s="75" t="n">
        <x:v>0.18011149389043568</x:v>
      </x:c>
      <x:c r="G448" s="75" t="n">
        <x:v>0.00989156587375328</x:v>
      </x:c>
      <x:c r="H448" s="75" t="n">
        <x:v>0.008857213594877976</x:v>
      </x:c>
      <x:c r="I448" s="75" t="n">
        <x:v>0.009741236567067973</x:v>
      </x:c>
      <x:c r="J448" s="75" t="n">
        <x:v>0.016020863036683295</x:v>
      </x:c>
      <x:c r="K448" s="75" t="n">
        <x:v>0.010862270248748244</x:v>
      </x:c>
      <x:c r="L448" s="75" t="n">
        <x:v>0.009118221218843245</x:v>
      </x:c>
      <x:c r="M448" s="75" t="n">
        <x:v>0.007521114060935361</x:v>
      </x:c>
      <x:c r="N448" s="75" t="n">
        <x:v>0.006878526868997142</x:v>
      </x:c>
      <x:c r="O448" s="75" t="n">
        <x:v>0.011765989069275746</x:v>
      </x:c>
      <x:c r="P448" s="75" t="n">
        <x:v>0.0009658768088420402</x:v>
      </x:c>
      <x:c r="Q448" s="75" t="n">
        <x:v>0.0024811204232464664</x:v>
      </x:c>
      <x:c r="R448" s="75" t="n">
        <x:v>0.37184793567714636</x:v>
      </x:c>
      <x:c r="S448" s="75" t="n">
        <x:v>0.016251181389394333</x:v>
      </x:c>
      <x:c r="T448" s="75" t="n">
        <x:v>0.006759522165928502</x:v>
      </x:c>
      <x:c r="U448" s="75" t="n">
        <x:v>0.006594942008669022</x:v>
      </x:c>
      <x:c r="V448" s="75" t="n">
        <x:v>0.038676891876442826</x:v>
      </x:c>
      <x:c r="W448" s="75" t="n">
        <x:v>0.011683014808139673</x:v>
      </x:c>
      <x:c r="X448" s="75" t="n">
        <x:v>0.030570074002452357</x:v>
      </x:c>
      <x:c r="Y448" s="75" t="n">
        <x:v>0.024451994845545368</x:v>
      </x:c>
      <x:c r="Z448" s="75" t="n">
        <x:v>0.007511584980580889</x:v>
      </x:c>
      <x:c r="AA448" s="75" t="n">
        <x:v>0.011219624062125693</x:v>
      </x:c>
      <x:c r="AB448" s="75" t="n">
        <x:v>0.008221198168245354</x:v>
      </x:c>
      <x:c r="AC448" s="75" t="n">
        <x:v>0.03154624419117715</x:v>
      </x:c>
      <x:c r="AD448" s="75" t="n">
        <x:v>0.08801416747897747</x:v>
      </x:c>
      <x:c r="AE448" s="75" t="n">
        <x:v>0.0658248850209784</x:v>
      </x:c>
      <x:c r="AF448" s="74" t="n">
        <x:v>6</x:v>
      </x:c>
    </x:row>
    <x:row r="449">
      <x:c r="A449" t="str">
        <x:v>2026 S2</x:v>
      </x:c>
      <x:c r="B449" t="str">
        <x:v>CNCT0112</x:v>
      </x:c>
      <x:c r="C449" s="74" t="n">
        <x:v>1369</x:v>
      </x:c>
      <x:c r="D449" s="74" t="n">
        <x:v>1144.498</x:v>
      </x:c>
      <x:c r="E449" s="75" t="n">
        <x:v>0.9724733490508042</x:v>
      </x:c>
      <x:c r="F449" s="75" t="n">
        <x:v>0.17363344045462145</x:v>
      </x:c>
      <x:c r="G449" s="75" t="n">
        <x:v>0.010004714728842373</x:v>
      </x:c>
      <x:c r="H449" s="75" t="n">
        <x:v>0.008857213594877976</x:v>
      </x:c>
      <x:c r="I449" s="75" t="n">
        <x:v>0.009741236567067973</x:v>
      </x:c>
      <x:c r="J449" s="75" t="n">
        <x:v>0.016020863036683295</x:v>
      </x:c>
      <x:c r="K449" s="75" t="n">
        <x:v>0.010862270248748244</x:v>
      </x:c>
      <x:c r="L449" s="75" t="n">
        <x:v>0.009118221218843245</x:v>
      </x:c>
      <x:c r="M449" s="75" t="n">
        <x:v>0.007521114060935361</x:v>
      </x:c>
      <x:c r="N449" s="75" t="n">
        <x:v>0.006878526868997142</x:v>
      </x:c>
      <x:c r="O449" s="75" t="n">
        <x:v>0.013570973876327115</x:v>
      </x:c>
      <x:c r="P449" s="75" t="n">
        <x:v>0.0009658768088420402</x:v>
      </x:c>
      <x:c r="Q449" s="75" t="n">
        <x:v>0.0024811204232464664</x:v>
      </x:c>
      <x:c r="R449" s="75" t="n">
        <x:v>0.388585747429489</x:v>
      </x:c>
      <x:c r="S449" s="75" t="n">
        <x:v>0.016251181389394333</x:v>
      </x:c>
      <x:c r="T449" s="75" t="n">
        <x:v>0.006759522165928502</x:v>
      </x:c>
      <x:c r="U449" s="75" t="n">
        <x:v>0.006594942008669022</x:v>
      </x:c>
      <x:c r="V449" s="75" t="n">
        <x:v>0.038676891876442826</x:v>
      </x:c>
      <x:c r="W449" s="75" t="n">
        <x:v>0.010064598808653132</x:v>
      </x:c>
      <x:c r="X449" s="75" t="n">
        <x:v>0.02633528549250485</x:v>
      </x:c>
      <x:c r="Y449" s="75" t="n">
        <x:v>0.02106472706173482</x:v>
      </x:c>
      <x:c r="Z449" s="75" t="n">
        <x:v>0.006471025714525256</x:v>
      </x:c>
      <x:c r="AA449" s="75" t="n">
        <x:v>0.009665400311787078</x:v>
      </x:c>
      <x:c r="AB449" s="75" t="n">
        <x:v>0.007082338133490645</x:v>
      </x:c>
      <x:c r="AC449" s="75" t="n">
        <x:v>0.02717622950223402</x:v>
      </x:c>
      <x:c r="AD449" s="75" t="n">
        <x:v>0.08801416747897747</x:v>
      </x:c>
      <x:c r="AE449" s="75" t="n">
        <x:v>0.0658248850209784</x:v>
      </x:c>
      <x:c r="AF449" s="74" t="n">
        <x:v>6</x:v>
      </x:c>
    </x:row>
    <x:row r="450">
      <x:c r="A450" t="str">
        <x:v>2025 S1</x:v>
      </x:c>
      <x:c r="B450" t="str">
        <x:v>CNCT0113</x:v>
      </x:c>
      <x:c r="C450" s="74" t="n">
        <x:v>1633</x:v>
      </x:c>
      <x:c r="D450" s="74" t="n">
        <x:v>1234.568</x:v>
      </x:c>
      <x:c r="E450" s="75" t="n">
        <x:v>0.9776312861792102</x:v>
      </x:c>
      <x:c r="F450" s="75" t="n">
        <x:v>0.19013288390386152</x:v>
      </x:c>
      <x:c r="G450" s="75" t="n">
        <x:v>0.016589683606573088</x:v>
      </x:c>
      <x:c r="H450" s="75" t="n">
        <x:v>0.008041099629030213</x:v>
      </x:c>
      <x:c r="I450" s="75" t="n">
        <x:v>0.007923465264000697</x:v>
      </x:c>
      <x:c r="J450" s="75" t="n">
        <x:v>0.01564960928930668</x:v>
      </x:c>
      <x:c r="K450" s="75" t="n">
        <x:v>0.010979031623050105</x:v>
      </x:c>
      <x:c r="L450" s="75" t="n">
        <x:v>0.012311942042550072</x:v>
      </x:c>
      <x:c r="M450" s="75" t="n">
        <x:v>0.0072775506084581144</x:v>
      </x:c>
      <x:c r="N450" s="75" t="n">
        <x:v>0.006102283690153854</x:v>
      </x:c>
      <x:c r="O450" s="75" t="n">
        <x:v>0.0155140746933248</x:v>
      </x:c>
      <x:c r="P450" s="75" t="n">
        <x:v>0.0015349385744357277</x:v>
      </x:c>
      <x:c r="Q450" s="75" t="n">
        <x:v>0.005464393796076365</x:v>
      </x:c>
      <x:c r="R450" s="75" t="n">
        <x:v>0.36708564098349633</x:v>
      </x:c>
      <x:c r="S450" s="75" t="n">
        <x:v>0.0163824679206773</x:v>
      </x:c>
      <x:c r="T450" s="75" t="n">
        <x:v>0.006544183282545419</x:v>
      </x:c>
      <x:c r="U450" s="75" t="n">
        <x:v>0.012256188707717228</x:v>
      </x:c>
      <x:c r="V450" s="75" t="n">
        <x:v>0.03514711405939307</x:v>
      </x:c>
      <x:c r="W450" s="75" t="n">
        <x:v>0.012009594820375787</x:v>
      </x:c>
      <x:c r="X450" s="75" t="n">
        <x:v>0.018241037229565993</x:v>
      </x:c>
      <x:c r="Y450" s="75" t="n">
        <x:v>0.016407869168017643</x:v>
      </x:c>
      <x:c r="Z450" s="75" t="n">
        <x:v>0.006024809050018667</x:v>
      </x:c>
      <x:c r="AA450" s="75" t="n">
        <x:v>0.005400534089222784</x:v>
      </x:c>
      <x:c r="AB450" s="75" t="n">
        <x:v>0.005373285697068787</x:v>
      </x:c>
      <x:c r="AC450" s="75" t="n">
        <x:v>0.02471474815274705</x:v>
      </x:c>
      <x:c r="AD450" s="75" t="n">
        <x:v>0.09503481195538188</x:v>
      </x:c>
      <x:c r="AE450" s="75" t="n">
        <x:v>0.0910899458170461</x:v>
      </x:c>
      <x:c r="AF450" s="74" t="n">
        <x:v>8</x:v>
      </x:c>
    </x:row>
    <x:row r="451">
      <x:c r="A451" t="str">
        <x:v>2025 S2</x:v>
      </x:c>
      <x:c r="B451" t="str">
        <x:v>CNCT0113</x:v>
      </x:c>
      <x:c r="C451" s="74" t="n">
        <x:v>1749</x:v>
      </x:c>
      <x:c r="D451" s="74" t="n">
        <x:v>1249.382</x:v>
      </x:c>
      <x:c r="E451" s="75" t="n">
        <x:v>0.9775022103444498</x:v>
      </x:c>
      <x:c r="F451" s="75" t="n">
        <x:v>0.19013288390386152</x:v>
      </x:c>
      <x:c r="G451" s="75" t="n">
        <x:v>0.016589683606573088</x:v>
      </x:c>
      <x:c r="H451" s="75" t="n">
        <x:v>0.008041099629030213</x:v>
      </x:c>
      <x:c r="I451" s="75" t="n">
        <x:v>0.007923465264000697</x:v>
      </x:c>
      <x:c r="J451" s="75" t="n">
        <x:v>0.01564960928930668</x:v>
      </x:c>
      <x:c r="K451" s="75" t="n">
        <x:v>0.010979031623050105</x:v>
      </x:c>
      <x:c r="L451" s="75" t="n">
        <x:v>0.012311942042550072</x:v>
      </x:c>
      <x:c r="M451" s="75" t="n">
        <x:v>0.0072775506084581144</x:v>
      </x:c>
      <x:c r="N451" s="75" t="n">
        <x:v>0.006102283690153854</x:v>
      </x:c>
      <x:c r="O451" s="75" t="n">
        <x:v>0.0155140746933248</x:v>
      </x:c>
      <x:c r="P451" s="75" t="n">
        <x:v>0.0015349385744357277</x:v>
      </x:c>
      <x:c r="Q451" s="75" t="n">
        <x:v>0.005464393796076365</x:v>
      </x:c>
      <x:c r="R451" s="75" t="n">
        <x:v>0.3511743885540872</x:v>
      </x:c>
      <x:c r="S451" s="75" t="n">
        <x:v>0.0163824679206773</x:v>
      </x:c>
      <x:c r="T451" s="75" t="n">
        <x:v>0.006544183282545419</x:v>
      </x:c>
      <x:c r="U451" s="75" t="n">
        <x:v>0.012256188707717228</x:v>
      </x:c>
      <x:c r="V451" s="75" t="n">
        <x:v>0.03514711405939307</x:v>
      </x:c>
      <x:c r="W451" s="75" t="n">
        <x:v>0.012009594820375787</x:v>
      </x:c>
      <x:c r="X451" s="75" t="n">
        <x:v>0.018241037229565993</x:v>
      </x:c>
      <x:c r="Y451" s="75" t="n">
        <x:v>0.016407869168017643</x:v>
      </x:c>
      <x:c r="Z451" s="75" t="n">
        <x:v>0.006024809050018667</x:v>
      </x:c>
      <x:c r="AA451" s="75" t="n">
        <x:v>0.005400534089222784</x:v>
      </x:c>
      <x:c r="AB451" s="75" t="n">
        <x:v>0.005373285697068787</x:v>
      </x:c>
      <x:c r="AC451" s="75" t="n">
        <x:v>0.02471474815274705</x:v>
      </x:c>
      <x:c r="AD451" s="75" t="n">
        <x:v>0.09503481195538188</x:v>
      </x:c>
      <x:c r="AE451" s="75" t="n">
        <x:v>0.0910899458170461</x:v>
      </x:c>
      <x:c r="AF451" s="74" t="n">
        <x:v>8</x:v>
      </x:c>
    </x:row>
    <x:row r="452">
      <x:c r="A452" t="str">
        <x:v>2026 S1</x:v>
      </x:c>
      <x:c r="B452" t="str">
        <x:v>CNCT0113</x:v>
      </x:c>
      <x:c r="C452" s="74" t="n">
        <x:v>1621</x:v>
      </x:c>
      <x:c r="D452" s="74" t="n">
        <x:v>1287.327</x:v>
      </x:c>
      <x:c r="E452" s="75" t="n">
        <x:v>0.9736357984309143</x:v>
      </x:c>
      <x:c r="F452" s="75" t="n">
        <x:v>0.19520208282468957</x:v>
      </x:c>
      <x:c r="G452" s="75" t="n">
        <x:v>0.018115731758465696</x:v>
      </x:c>
      <x:c r="H452" s="75" t="n">
        <x:v>0.008041099629030213</x:v>
      </x:c>
      <x:c r="I452" s="75" t="n">
        <x:v>0.007923465264000697</x:v>
      </x:c>
      <x:c r="J452" s="75" t="n">
        <x:v>0.01564960928930668</x:v>
      </x:c>
      <x:c r="K452" s="75" t="n">
        <x:v>0.010979031623050105</x:v>
      </x:c>
      <x:c r="L452" s="75" t="n">
        <x:v>0.012311942042550072</x:v>
      </x:c>
      <x:c r="M452" s="75" t="n">
        <x:v>0.0072775506084581144</x:v>
      </x:c>
      <x:c r="N452" s="75" t="n">
        <x:v>0.006102283690153854</x:v>
      </x:c>
      <x:c r="O452" s="75" t="n">
        <x:v>0.015352702381707784</x:v>
      </x:c>
      <x:c r="P452" s="75" t="n">
        <x:v>0.0015349385744357277</x:v>
      </x:c>
      <x:c r="Q452" s="75" t="n">
        <x:v>0.005464393796076365</x:v>
      </x:c>
      <x:c r="R452" s="75" t="n">
        <x:v>0.36536944075172667</x:v>
      </x:c>
      <x:c r="S452" s="75" t="n">
        <x:v>0.0163824679206773</x:v>
      </x:c>
      <x:c r="T452" s="75" t="n">
        <x:v>0.006544183282545419</x:v>
      </x:c>
      <x:c r="U452" s="75" t="n">
        <x:v>0.012256188707717228</x:v>
      </x:c>
      <x:c r="V452" s="75" t="n">
        <x:v>0.03514711405939307</x:v>
      </x:c>
      <x:c r="W452" s="75" t="n">
        <x:v>0.014777217989644167</x:v>
      </x:c>
      <x:c r="X452" s="75" t="n">
        <x:v>0.022444702550762422</x:v>
      </x:c>
      <x:c r="Y452" s="75" t="n">
        <x:v>0.020189079071176477</x:v>
      </x:c>
      <x:c r="Z452" s="75" t="n">
        <x:v>0.007413232337119017</x:v>
      </x:c>
      <x:c r="AA452" s="75" t="n">
        <x:v>0.00664509258560085</x:v>
      </x:c>
      <x:c r="AB452" s="75" t="n">
        <x:v>0.006611564774150977</x:v>
      </x:c>
      <x:c r="AC452" s="75" t="n">
        <x:v>0.030410286647861356</x:v>
      </x:c>
      <x:c r="AD452" s="75" t="n">
        <x:v>0.09503481195538188</x:v>
      </x:c>
      <x:c r="AE452" s="75" t="n">
        <x:v>0.0910899458170461</x:v>
      </x:c>
      <x:c r="AF452" s="74" t="n">
        <x:v>8</x:v>
      </x:c>
    </x:row>
    <x:row r="453">
      <x:c r="A453" t="str">
        <x:v>2026 S2</x:v>
      </x:c>
      <x:c r="B453" t="str">
        <x:v>CNCT0113</x:v>
      </x:c>
      <x:c r="C453" s="74" t="n">
        <x:v>1761</x:v>
      </x:c>
      <x:c r="D453" s="74" t="n">
        <x:v>1296.685</x:v>
      </x:c>
      <x:c r="E453" s="75" t="n">
        <x:v>0.9775022103444498</x:v>
      </x:c>
      <x:c r="F453" s="75" t="n">
        <x:v>0.18684626204075175</x:v>
      </x:c>
      <x:c r="G453" s="75" t="n">
        <x:v>0.014782934058683165</x:v>
      </x:c>
      <x:c r="H453" s="75" t="n">
        <x:v>0.008041099629030213</x:v>
      </x:c>
      <x:c r="I453" s="75" t="n">
        <x:v>0.007923465264000697</x:v>
      </x:c>
      <x:c r="J453" s="75" t="n">
        <x:v>0.01564960928930668</x:v>
      </x:c>
      <x:c r="K453" s="75" t="n">
        <x:v>0.010979031623050105</x:v>
      </x:c>
      <x:c r="L453" s="75" t="n">
        <x:v>0.012311942042550072</x:v>
      </x:c>
      <x:c r="M453" s="75" t="n">
        <x:v>0.0072775506084581144</x:v>
      </x:c>
      <x:c r="N453" s="75" t="n">
        <x:v>0.006102283690153854</x:v>
      </x:c>
      <x:c r="O453" s="75" t="n">
        <x:v>0.0155140746933248</x:v>
      </x:c>
      <x:c r="P453" s="75" t="n">
        <x:v>0.0015349385744357277</x:v>
      </x:c>
      <x:c r="Q453" s="75" t="n">
        <x:v>0.005464393796076365</x:v>
      </x:c>
      <x:c r="R453" s="75" t="n">
        <x:v>0.3518858286378969</x:v>
      </x:c>
      <x:c r="S453" s="75" t="n">
        <x:v>0.0163824679206773</x:v>
      </x:c>
      <x:c r="T453" s="75" t="n">
        <x:v>0.006544183282545419</x:v>
      </x:c>
      <x:c r="U453" s="75" t="n">
        <x:v>0.012256188707717228</x:v>
      </x:c>
      <x:c r="V453" s="75" t="n">
        <x:v>0.03514711405939307</x:v>
      </x:c>
      <x:c r="W453" s="75" t="n">
        <x:v>0.012730170509598335</x:v>
      </x:c>
      <x:c r="X453" s="75" t="n">
        <x:v>0.019335499463339952</x:v>
      </x:c>
      <x:c r="Y453" s="75" t="n">
        <x:v>0.017392341318098702</x:v>
      </x:c>
      <x:c r="Z453" s="75" t="n">
        <x:v>0.006386297593019788</x:v>
      </x:c>
      <x:c r="AA453" s="75" t="n">
        <x:v>0.005724566134576151</x:v>
      </x:c>
      <x:c r="AB453" s="75" t="n">
        <x:v>0.005695682838892914</x:v>
      </x:c>
      <x:c r="AC453" s="75" t="n">
        <x:v>0.026197633041911875</x:v>
      </x:c>
      <x:c r="AD453" s="75" t="n">
        <x:v>0.09503481195538188</x:v>
      </x:c>
      <x:c r="AE453" s="75" t="n">
        <x:v>0.0910899458170461</x:v>
      </x:c>
      <x:c r="AF453" s="74" t="n">
        <x:v>8</x:v>
      </x:c>
    </x:row>
    <x:row r="454">
      <x:c r="A454" t="str">
        <x:v>2025 S1</x:v>
      </x:c>
      <x:c r="B454" t="str">
        <x:v>CNCT0114</x:v>
      </x:c>
      <x:c r="C454" s="74" t="n">
        <x:v>1571</x:v>
      </x:c>
      <x:c r="D454" s="74" t="n">
        <x:v>1023.737</x:v>
      </x:c>
      <x:c r="E454" s="75" t="n">
        <x:v>0.9844325396798085</x:v>
      </x:c>
      <x:c r="F454" s="75" t="n">
        <x:v>0.21602974901604466</x:v>
      </x:c>
      <x:c r="G454" s="75" t="n">
        <x:v>0.018323227913017034</x:v>
      </x:c>
      <x:c r="H454" s="75" t="n">
        <x:v>0.009980995872055474</x:v>
      </x:c>
      <x:c r="I454" s="75" t="n">
        <x:v>0.00817985318801948</x:v>
      </x:c>
      <x:c r="J454" s="75" t="n">
        <x:v>0.011567759155790554</x:v>
      </x:c>
      <x:c r="K454" s="75" t="n">
        <x:v>0.013949576333397998</x:v>
      </x:c>
      <x:c r="L454" s="75" t="n">
        <x:v>0.009745411029100069</x:v>
      </x:c>
      <x:c r="M454" s="75" t="n">
        <x:v>0.010179147591014043</x:v>
      </x:c>
      <x:c r="N454" s="75" t="n">
        <x:v>0.005235418682277669</x:v>
      </x:c>
      <x:c r="O454" s="75" t="n">
        <x:v>0.011545301784222828</x:v>
      </x:c>
      <x:c r="P454" s="75" t="n">
        <x:v>0.0006062781700711639</x:v>
      </x:c>
      <x:c r="Q454" s="75" t="n">
        <x:v>0.0023328010277837165</x:v>
      </x:c>
      <x:c r="R454" s="75" t="n">
        <x:v>0.35058765018803045</x:v>
      </x:c>
      <x:c r="S454" s="75" t="n">
        <x:v>0.014042857404458119</x:v>
      </x:c>
      <x:c r="T454" s="75" t="n">
        <x:v>0.005198509500849468</x:v>
      </x:c>
      <x:c r="U454" s="75" t="n">
        <x:v>0.006945545132912229</x:v>
      </x:c>
      <x:c r="V454" s="75" t="n">
        <x:v>0.03615763554142905</x:v>
      </x:c>
      <x:c r="W454" s="75" t="n">
        <x:v>0.010707454483302717</x:v>
      </x:c>
      <x:c r="X454" s="75" t="n">
        <x:v>0.02544299011353607</x:v>
      </x:c>
      <x:c r="Y454" s="75" t="n">
        <x:v>0.019471330838422292</x:v>
      </x:c>
      <x:c r="Z454" s="75" t="n">
        <x:v>0.005176497329606355</x:v>
      </x:c>
      <x:c r="AA454" s="75" t="n">
        <x:v>0.00902827855435782</x:v>
      </x:c>
      <x:c r="AB454" s="75" t="n">
        <x:v>0.006628002023522277</x:v>
      </x:c>
      <x:c r="AC454" s="75" t="n">
        <x:v>0.024514316974510435</x:v>
      </x:c>
      <x:c r="AD454" s="75" t="n">
        <x:v>0.09580194061924704</x:v>
      </x:c>
      <x:c r="AE454" s="75" t="n">
        <x:v>0.08889197307269206</x:v>
      </x:c>
      <x:c r="AF454" s="74" t="n">
        <x:v>7</x:v>
      </x:c>
    </x:row>
    <x:row r="455">
      <x:c r="A455" t="str">
        <x:v>2025 S2</x:v>
      </x:c>
      <x:c r="B455" t="str">
        <x:v>CNCT0114</x:v>
      </x:c>
      <x:c r="C455" s="74" t="n">
        <x:v>1699</x:v>
      </x:c>
      <x:c r="D455" s="74" t="n">
        <x:v>1036.022</x:v>
      </x:c>
      <x:c r="E455" s="75" t="n">
        <x:v>0.9622411001296713</x:v>
      </x:c>
      <x:c r="F455" s="75" t="n">
        <x:v>0.21602974901604466</x:v>
      </x:c>
      <x:c r="G455" s="75" t="n">
        <x:v>0.018323227913017034</x:v>
      </x:c>
      <x:c r="H455" s="75" t="n">
        <x:v>0.009980995872055474</x:v>
      </x:c>
      <x:c r="I455" s="75" t="n">
        <x:v>0.00817985318801948</x:v>
      </x:c>
      <x:c r="J455" s="75" t="n">
        <x:v>0.011567759155790554</x:v>
      </x:c>
      <x:c r="K455" s="75" t="n">
        <x:v>0.013949576333397998</x:v>
      </x:c>
      <x:c r="L455" s="75" t="n">
        <x:v>0.009745411029100069</x:v>
      </x:c>
      <x:c r="M455" s="75" t="n">
        <x:v>0.010179147591014043</x:v>
      </x:c>
      <x:c r="N455" s="75" t="n">
        <x:v>0.005235418682277669</x:v>
      </x:c>
      <x:c r="O455" s="75" t="n">
        <x:v>0.011545301784222828</x:v>
      </x:c>
      <x:c r="P455" s="75" t="n">
        <x:v>0.0006062781700711639</x:v>
      </x:c>
      <x:c r="Q455" s="75" t="n">
        <x:v>0.0023328010277837165</x:v>
      </x:c>
      <x:c r="R455" s="75" t="n">
        <x:v>0.363880014503742</x:v>
      </x:c>
      <x:c r="S455" s="75" t="n">
        <x:v>0.014042857404458119</x:v>
      </x:c>
      <x:c r="T455" s="75" t="n">
        <x:v>0.005198509500849468</x:v>
      </x:c>
      <x:c r="U455" s="75" t="n">
        <x:v>0.006945545132912229</x:v>
      </x:c>
      <x:c r="V455" s="75" t="n">
        <x:v>0.03615763554142905</x:v>
      </x:c>
      <x:c r="W455" s="75" t="n">
        <x:v>0.010707454483302717</x:v>
      </x:c>
      <x:c r="X455" s="75" t="n">
        <x:v>0.02544299011353607</x:v>
      </x:c>
      <x:c r="Y455" s="75" t="n">
        <x:v>0.019471330838422292</x:v>
      </x:c>
      <x:c r="Z455" s="75" t="n">
        <x:v>0.005176497329606355</x:v>
      </x:c>
      <x:c r="AA455" s="75" t="n">
        <x:v>0.00902827855435782</x:v>
      </x:c>
      <x:c r="AB455" s="75" t="n">
        <x:v>0.006628002023522277</x:v>
      </x:c>
      <x:c r="AC455" s="75" t="n">
        <x:v>0.024514316974510435</x:v>
      </x:c>
      <x:c r="AD455" s="75" t="n">
        <x:v>0.09580194061924704</x:v>
      </x:c>
      <x:c r="AE455" s="75" t="n">
        <x:v>0.08889197307269206</x:v>
      </x:c>
      <x:c r="AF455" s="74" t="n">
        <x:v>7</x:v>
      </x:c>
    </x:row>
    <x:row r="456">
      <x:c r="A456" t="str">
        <x:v>2026 S1</x:v>
      </x:c>
      <x:c r="B456" t="str">
        <x:v>CNCT0114</x:v>
      </x:c>
      <x:c r="C456" s="74" t="n">
        <x:v>1594</x:v>
      </x:c>
      <x:c r="D456" s="74" t="n">
        <x:v>1085.125</x:v>
      </x:c>
      <x:c r="E456" s="75" t="n">
        <x:v>0.9809532209213939</x:v>
      </x:c>
      <x:c r="F456" s="75" t="n">
        <x:v>0.2167840193376178</x:v>
      </x:c>
      <x:c r="G456" s="75" t="n">
        <x:v>0.01895816902462684</x:v>
      </x:c>
      <x:c r="H456" s="75" t="n">
        <x:v>0.009980995872055474</x:v>
      </x:c>
      <x:c r="I456" s="75" t="n">
        <x:v>0.00817985318801948</x:v>
      </x:c>
      <x:c r="J456" s="75" t="n">
        <x:v>0.011567759155790554</x:v>
      </x:c>
      <x:c r="K456" s="75" t="n">
        <x:v>0.013949576333397998</x:v>
      </x:c>
      <x:c r="L456" s="75" t="n">
        <x:v>0.009745411029100069</x:v>
      </x:c>
      <x:c r="M456" s="75" t="n">
        <x:v>0.010179147591014043</x:v>
      </x:c>
      <x:c r="N456" s="75" t="n">
        <x:v>0.005235418682277669</x:v>
      </x:c>
      <x:c r="O456" s="75" t="n">
        <x:v>0.012130057473739724</x:v>
      </x:c>
      <x:c r="P456" s="75" t="n">
        <x:v>0.0006062781700711639</x:v>
      </x:c>
      <x:c r="Q456" s="75" t="n">
        <x:v>0.0023328010277837165</x:v>
      </x:c>
      <x:c r="R456" s="75" t="n">
        <x:v>0.35178337906828516</x:v>
      </x:c>
      <x:c r="S456" s="75" t="n">
        <x:v>0.014042857404458119</x:v>
      </x:c>
      <x:c r="T456" s="75" t="n">
        <x:v>0.005198509500849468</x:v>
      </x:c>
      <x:c r="U456" s="75" t="n">
        <x:v>0.006945545132912229</x:v>
      </x:c>
      <x:c r="V456" s="75" t="n">
        <x:v>0.03615763554142905</x:v>
      </x:c>
      <x:c r="W456" s="75" t="n">
        <x:v>0.013174998106139773</x:v>
      </x:c>
      <x:c r="X456" s="75" t="n">
        <x:v>0.03130635269877651</x:v>
      </x:c>
      <x:c r="Y456" s="75" t="n">
        <x:v>0.023958518555486443</x:v>
      </x:c>
      <x:c r="Z456" s="75" t="n">
        <x:v>0.0063694263300725145</x:v>
      </x:c>
      <x:c r="AA456" s="75" t="n">
        <x:v>0.011108854400535094</x:v>
      </x:c>
      <x:c r="AB456" s="75" t="n">
        <x:v>0.008155431736232933</x:v>
      </x:c>
      <x:c r="AC456" s="75" t="n">
        <x:v>0.030163665903612885</x:v>
      </x:c>
      <x:c r="AD456" s="75" t="n">
        <x:v>0.09580194061924704</x:v>
      </x:c>
      <x:c r="AE456" s="75" t="n">
        <x:v>0.08889197307269206</x:v>
      </x:c>
      <x:c r="AF456" s="74" t="n">
        <x:v>7</x:v>
      </x:c>
    </x:row>
    <x:row r="457">
      <x:c r="A457" t="str">
        <x:v>2026 S2</x:v>
      </x:c>
      <x:c r="B457" t="str">
        <x:v>CNCT0114</x:v>
      </x:c>
      <x:c r="C457" s="74" t="n">
        <x:v>1761</x:v>
      </x:c>
      <x:c r="D457" s="74" t="n">
        <x:v>1068.2</x:v>
      </x:c>
      <x:c r="E457" s="75" t="n">
        <x:v>0.9622411001296713</x:v>
      </x:c>
      <x:c r="F457" s="75" t="n">
        <x:v>0.21488273800115712</x:v>
      </x:c>
      <x:c r="G457" s="75" t="n">
        <x:v>0.01846528564694745</x:v>
      </x:c>
      <x:c r="H457" s="75" t="n">
        <x:v>0.009980995872055474</x:v>
      </x:c>
      <x:c r="I457" s="75" t="n">
        <x:v>0.00817985318801948</x:v>
      </x:c>
      <x:c r="J457" s="75" t="n">
        <x:v>0.011567759155790554</x:v>
      </x:c>
      <x:c r="K457" s="75" t="n">
        <x:v>0.013949576333397998</x:v>
      </x:c>
      <x:c r="L457" s="75" t="n">
        <x:v>0.009745411029100069</x:v>
      </x:c>
      <x:c r="M457" s="75" t="n">
        <x:v>0.010179147591014043</x:v>
      </x:c>
      <x:c r="N457" s="75" t="n">
        <x:v>0.005235418682277669</x:v>
      </x:c>
      <x:c r="O457" s="75" t="n">
        <x:v>0.011545301784222828</x:v>
      </x:c>
      <x:c r="P457" s="75" t="n">
        <x:v>0.0006062781700711639</x:v>
      </x:c>
      <x:c r="Q457" s="75" t="n">
        <x:v>0.0023328010277837165</x:v>
      </x:c>
      <x:c r="R457" s="75" t="n">
        <x:v>0.36121602273536757</x:v>
      </x:c>
      <x:c r="S457" s="75" t="n">
        <x:v>0.014042857404458119</x:v>
      </x:c>
      <x:c r="T457" s="75" t="n">
        <x:v>0.005198509500849468</x:v>
      </x:c>
      <x:c r="U457" s="75" t="n">
        <x:v>0.006945545132912229</x:v>
      </x:c>
      <x:c r="V457" s="75" t="n">
        <x:v>0.03615763554142905</x:v>
      </x:c>
      <x:c r="W457" s="75" t="n">
        <x:v>0.01134990175230088</x:v>
      </x:c>
      <x:c r="X457" s="75" t="n">
        <x:v>0.026969569520348236</x:v>
      </x:c>
      <x:c r="Y457" s="75" t="n">
        <x:v>0.02063961068872763</x:v>
      </x:c>
      <x:c r="Z457" s="75" t="n">
        <x:v>0.005487087169382736</x:v>
      </x:c>
      <x:c r="AA457" s="75" t="n">
        <x:v>0.009569975267619291</x:v>
      </x:c>
      <x:c r="AB457" s="75" t="n">
        <x:v>0.007025682144933614</x:v>
      </x:c>
      <x:c r="AC457" s="75" t="n">
        <x:v>0.02598517599298106</x:v>
      </x:c>
      <x:c r="AD457" s="75" t="n">
        <x:v>0.09580194061924704</x:v>
      </x:c>
      <x:c r="AE457" s="75" t="n">
        <x:v>0.08889197307269206</x:v>
      </x:c>
      <x:c r="AF457" s="74" t="n">
        <x:v>7</x:v>
      </x:c>
    </x:row>
    <x:row r="458">
      <x:c r="A458" t="str">
        <x:v>2025 S1</x:v>
      </x:c>
      <x:c r="B458" t="str">
        <x:v>CNCT0115</x:v>
      </x:c>
      <x:c r="C458" s="74" t="n">
        <x:v>1106</x:v>
      </x:c>
      <x:c r="D458" s="74" t="n">
        <x:v>990.225</x:v>
      </x:c>
      <x:c r="E458" s="75" t="n">
        <x:v>0.9756691912064561</x:v>
      </x:c>
      <x:c r="F458" s="75" t="n">
        <x:v>0.1914502093042247</x:v>
      </x:c>
      <x:c r="G458" s="75" t="n">
        <x:v>0.012735127695923438</x:v>
      </x:c>
      <x:c r="H458" s="75" t="n">
        <x:v>0.00814828585460782</x:v>
      </x:c>
      <x:c r="I458" s="75" t="n">
        <x:v>0.007231997511992631</x:v>
      </x:c>
      <x:c r="J458" s="75" t="n">
        <x:v>0.010862770756371902</x:v>
      </x:c>
      <x:c r="K458" s="75" t="n">
        <x:v>0.011416634486537076</x:v>
      </x:c>
      <x:c r="L458" s="75" t="n">
        <x:v>0.01274230243758211</x:v>
      </x:c>
      <x:c r="M458" s="75" t="n">
        <x:v>0.010129642651270842</x:v>
      </x:c>
      <x:c r="N458" s="75" t="n">
        <x:v>0.007097464398626471</x:v>
      </x:c>
      <x:c r="O458" s="75" t="n">
        <x:v>0.013835554192206473</x:v>
      </x:c>
      <x:c r="P458" s="75" t="n">
        <x:v>0.0017587701044758433</x:v>
      </x:c>
      <x:c r="Q458" s="75" t="n">
        <x:v>0.0056175500055251175</x:v>
      </x:c>
      <x:c r="R458" s="75" t="n">
        <x:v>0.35069289100822726</x:v>
      </x:c>
      <x:c r="S458" s="75" t="n">
        <x:v>0.01641728467844223</x:v>
      </x:c>
      <x:c r="T458" s="75" t="n">
        <x:v>0.005614044866011682</x:v>
      </x:c>
      <x:c r="U458" s="75" t="n">
        <x:v>0.00998889233569207</x:v>
      </x:c>
      <x:c r="V458" s="75" t="n">
        <x:v>0.03725084718949802</x:v>
      </x:c>
      <x:c r="W458" s="75" t="n">
        <x:v>0.01302351507587591</x:v>
      </x:c>
      <x:c r="X458" s="75" t="n">
        <x:v>0.025380224812745582</x:v>
      </x:c>
      <x:c r="Y458" s="75" t="n">
        <x:v>0.02118939161766204</x:v>
      </x:c>
      <x:c r="Z458" s="75" t="n">
        <x:v>0.005401768755547528</x:v>
      </x:c>
      <x:c r="AA458" s="75" t="n">
        <x:v>0.007952465880772362</x:v>
      </x:c>
      <x:c r="AB458" s="75" t="n">
        <x:v>0.005092087632868789</x:v>
      </x:c>
      <x:c r="AC458" s="75" t="n">
        <x:v>0.020589632339292434</x:v>
      </x:c>
      <x:c r="AD458" s="75" t="n">
        <x:v>0.11891701601597016</x:v>
      </x:c>
      <x:c r="AE458" s="75" t="n">
        <x:v>0.08007265053861193</x:v>
      </x:c>
      <x:c r="AF458" s="74" t="n">
        <x:v>6</x:v>
      </x:c>
    </x:row>
    <x:row r="459">
      <x:c r="A459" t="str">
        <x:v>2025 S2</x:v>
      </x:c>
      <x:c r="B459" t="str">
        <x:v>CNCT0115</x:v>
      </x:c>
      <x:c r="C459" s="74" t="n">
        <x:v>1180</x:v>
      </x:c>
      <x:c r="D459" s="74" t="n">
        <x:v>1002.108</x:v>
      </x:c>
      <x:c r="E459" s="75" t="n">
        <x:v>0.9829698151345947</x:v>
      </x:c>
      <x:c r="F459" s="75" t="n">
        <x:v>0.1914502093042247</x:v>
      </x:c>
      <x:c r="G459" s="75" t="n">
        <x:v>0.012735127695923438</x:v>
      </x:c>
      <x:c r="H459" s="75" t="n">
        <x:v>0.00814828585460782</x:v>
      </x:c>
      <x:c r="I459" s="75" t="n">
        <x:v>0.007231997511992631</x:v>
      </x:c>
      <x:c r="J459" s="75" t="n">
        <x:v>0.010862770756371902</x:v>
      </x:c>
      <x:c r="K459" s="75" t="n">
        <x:v>0.011416634486537076</x:v>
      </x:c>
      <x:c r="L459" s="75" t="n">
        <x:v>0.01274230243758211</x:v>
      </x:c>
      <x:c r="M459" s="75" t="n">
        <x:v>0.010129642651270842</x:v>
      </x:c>
      <x:c r="N459" s="75" t="n">
        <x:v>0.007097464398626471</x:v>
      </x:c>
      <x:c r="O459" s="75" t="n">
        <x:v>0.013835554192206473</x:v>
      </x:c>
      <x:c r="P459" s="75" t="n">
        <x:v>0.0017587701044758433</x:v>
      </x:c>
      <x:c r="Q459" s="75" t="n">
        <x:v>0.0056175500055251175</x:v>
      </x:c>
      <x:c r="R459" s="75" t="n">
        <x:v>0.36960460568879494</x:v>
      </x:c>
      <x:c r="S459" s="75" t="n">
        <x:v>0.01641728467844223</x:v>
      </x:c>
      <x:c r="T459" s="75" t="n">
        <x:v>0.005614044866011682</x:v>
      </x:c>
      <x:c r="U459" s="75" t="n">
        <x:v>0.00998889233569207</x:v>
      </x:c>
      <x:c r="V459" s="75" t="n">
        <x:v>0.03725084718949802</x:v>
      </x:c>
      <x:c r="W459" s="75" t="n">
        <x:v>0.01302351507587591</x:v>
      </x:c>
      <x:c r="X459" s="75" t="n">
        <x:v>0.025380224812745582</x:v>
      </x:c>
      <x:c r="Y459" s="75" t="n">
        <x:v>0.02118939161766204</x:v>
      </x:c>
      <x:c r="Z459" s="75" t="n">
        <x:v>0.005401768755547528</x:v>
      </x:c>
      <x:c r="AA459" s="75" t="n">
        <x:v>0.007952465880772362</x:v>
      </x:c>
      <x:c r="AB459" s="75" t="n">
        <x:v>0.005092087632868789</x:v>
      </x:c>
      <x:c r="AC459" s="75" t="n">
        <x:v>0.020589632339292434</x:v>
      </x:c>
      <x:c r="AD459" s="75" t="n">
        <x:v>0.11891701601597016</x:v>
      </x:c>
      <x:c r="AE459" s="75" t="n">
        <x:v>0.08007265053861193</x:v>
      </x:c>
      <x:c r="AF459" s="74" t="n">
        <x:v>6</x:v>
      </x:c>
    </x:row>
    <x:row r="460">
      <x:c r="A460" t="str">
        <x:v>2026 S1</x:v>
      </x:c>
      <x:c r="B460" t="str">
        <x:v>CNCT0115</x:v>
      </x:c>
      <x:c r="C460" s="74" t="n">
        <x:v>1158</x:v>
      </x:c>
      <x:c r="D460" s="74" t="n">
        <x:v>1031.383</x:v>
      </x:c>
      <x:c r="E460" s="75" t="n">
        <x:v>0.9738094474153185</x:v>
      </x:c>
      <x:c r="F460" s="75" t="n">
        <x:v>0.19083543377857132</x:v>
      </x:c>
      <x:c r="G460" s="75" t="n">
        <x:v>0.012311029369418974</x:v>
      </x:c>
      <x:c r="H460" s="75" t="n">
        <x:v>0.00814828585460782</x:v>
      </x:c>
      <x:c r="I460" s="75" t="n">
        <x:v>0.007231997511992631</x:v>
      </x:c>
      <x:c r="J460" s="75" t="n">
        <x:v>0.010862770756371902</x:v>
      </x:c>
      <x:c r="K460" s="75" t="n">
        <x:v>0.011416634486537076</x:v>
      </x:c>
      <x:c r="L460" s="75" t="n">
        <x:v>0.01274230243758211</x:v>
      </x:c>
      <x:c r="M460" s="75" t="n">
        <x:v>0.010129642651270842</x:v>
      </x:c>
      <x:c r="N460" s="75" t="n">
        <x:v>0.007097464398626471</x:v>
      </x:c>
      <x:c r="O460" s="75" t="n">
        <x:v>0.013688855607659206</x:v>
      </x:c>
      <x:c r="P460" s="75" t="n">
        <x:v>0.0017587701044758433</x:v>
      </x:c>
      <x:c r="Q460" s="75" t="n">
        <x:v>0.0056175500055251175</x:v>
      </x:c>
      <x:c r="R460" s="75" t="n">
        <x:v>0.3498938538401011</x:v>
      </x:c>
      <x:c r="S460" s="75" t="n">
        <x:v>0.01641728467844223</x:v>
      </x:c>
      <x:c r="T460" s="75" t="n">
        <x:v>0.005614044866011682</x:v>
      </x:c>
      <x:c r="U460" s="75" t="n">
        <x:v>0.00998889233569207</x:v>
      </x:c>
      <x:c r="V460" s="75" t="n">
        <x:v>0.03725084718949802</x:v>
      </x:c>
      <x:c r="W460" s="75" t="n">
        <x:v>0.01602479718475745</x:v>
      </x:c>
      <x:c r="X460" s="75" t="n">
        <x:v>0.031229123071479428</x:v>
      </x:c>
      <x:c r="Y460" s="75" t="n">
        <x:v>0.026072508164129152</x:v>
      </x:c>
      <x:c r="Z460" s="75" t="n">
        <x:v>0.006646611782018222</x:v>
      </x:c>
      <x:c r="AA460" s="75" t="n">
        <x:v>0.009785119617524589</x:v>
      </x:c>
      <x:c r="AB460" s="75" t="n">
        <x:v>0.006265564334077904</x:v>
      </x:c>
      <x:c r="AC460" s="75" t="n">
        <x:v>0.02533453375863609</x:v>
      </x:c>
      <x:c r="AD460" s="75" t="n">
        <x:v>0.11891701601597016</x:v>
      </x:c>
      <x:c r="AE460" s="75" t="n">
        <x:v>0.08007265053861193</x:v>
      </x:c>
      <x:c r="AF460" s="74" t="n">
        <x:v>6</x:v>
      </x:c>
    </x:row>
    <x:row r="461">
      <x:c r="A461" t="str">
        <x:v>2026 S2</x:v>
      </x:c>
      <x:c r="B461" t="str">
        <x:v>CNCT0115</x:v>
      </x:c>
      <x:c r="C461" s="74" t="n">
        <x:v>1269</x:v>
      </x:c>
      <x:c r="D461" s="74" t="n">
        <x:v>1037.735</x:v>
      </x:c>
      <x:c r="E461" s="75" t="n">
        <x:v>0.9829698151345947</x:v>
      </x:c>
      <x:c r="F461" s="75" t="n">
        <x:v>0.19495776108622886</x:v>
      </x:c>
      <x:c r="G461" s="75" t="n">
        <x:v>0.014112340062667499</x:v>
      </x:c>
      <x:c r="H461" s="75" t="n">
        <x:v>0.00814828585460782</x:v>
      </x:c>
      <x:c r="I461" s="75" t="n">
        <x:v>0.007231997511992631</x:v>
      </x:c>
      <x:c r="J461" s="75" t="n">
        <x:v>0.010862770756371902</x:v>
      </x:c>
      <x:c r="K461" s="75" t="n">
        <x:v>0.011416634486537076</x:v>
      </x:c>
      <x:c r="L461" s="75" t="n">
        <x:v>0.01274230243758211</x:v>
      </x:c>
      <x:c r="M461" s="75" t="n">
        <x:v>0.010129642651270842</x:v>
      </x:c>
      <x:c r="N461" s="75" t="n">
        <x:v>0.007097464398626471</x:v>
      </x:c>
      <x:c r="O461" s="75" t="n">
        <x:v>0.013835554192206473</x:v>
      </x:c>
      <x:c r="P461" s="75" t="n">
        <x:v>0.0017587701044758433</x:v>
      </x:c>
      <x:c r="Q461" s="75" t="n">
        <x:v>0.0056175500055251175</x:v>
      </x:c>
      <x:c r="R461" s="75" t="n">
        <x:v>0.36865527797846126</x:v>
      </x:c>
      <x:c r="S461" s="75" t="n">
        <x:v>0.01641728467844223</x:v>
      </x:c>
      <x:c r="T461" s="75" t="n">
        <x:v>0.005614044866011682</x:v>
      </x:c>
      <x:c r="U461" s="75" t="n">
        <x:v>0.00998889233569207</x:v>
      </x:c>
      <x:c r="V461" s="75" t="n">
        <x:v>0.03725084718949802</x:v>
      </x:c>
      <x:c r="W461" s="75" t="n">
        <x:v>0.013804925980428467</x:v>
      </x:c>
      <x:c r="X461" s="75" t="n">
        <x:v>0.026903038301510317</x:v>
      </x:c>
      <x:c r="Y461" s="75" t="n">
        <x:v>0.022460755114721766</x:v>
      </x:c>
      <x:c r="Z461" s="75" t="n">
        <x:v>0.00572587488088038</x:v>
      </x:c>
      <x:c r="AA461" s="75" t="n">
        <x:v>0.008429613833618704</x:v>
      </x:c>
      <x:c r="AB461" s="75" t="n">
        <x:v>0.005397612890840916</x:v>
      </x:c>
      <x:c r="AC461" s="75" t="n">
        <x:v>0.021825010279649983</x:v>
      </x:c>
      <x:c r="AD461" s="75" t="n">
        <x:v>0.11891701601597016</x:v>
      </x:c>
      <x:c r="AE461" s="75" t="n">
        <x:v>0.08007265053861193</x:v>
      </x:c>
      <x:c r="AF461" s="74" t="n">
        <x:v>6</x:v>
      </x:c>
    </x:row>
    <x:row r="462">
      <x:c r="A462" t="str">
        <x:v>2025 S1</x:v>
      </x:c>
      <x:c r="B462" t="str">
        <x:v>CNCT0116</x:v>
      </x:c>
      <x:c r="C462" s="74" t="n">
        <x:v>839</x:v>
      </x:c>
      <x:c r="D462" s="74" t="n">
        <x:v>902.247</x:v>
      </x:c>
      <x:c r="E462" s="75" t="n">
        <x:v>0.9813103057991247</x:v>
      </x:c>
      <x:c r="F462" s="75" t="n">
        <x:v>0.2149818635820411</x:v>
      </x:c>
      <x:c r="G462" s="75" t="n">
        <x:v>0.013758197092451154</x:v>
      </x:c>
      <x:c r="H462" s="75" t="n">
        <x:v>0.012512498650343332</x:v>
      </x:c>
      <x:c r="I462" s="75" t="n">
        <x:v>0.007438890807141434</x:v>
      </x:c>
      <x:c r="J462" s="75" t="n">
        <x:v>0.015251732678196277</x:v>
      </x:c>
      <x:c r="K462" s="75" t="n">
        <x:v>0.013539697185438853</x:v>
      </x:c>
      <x:c r="L462" s="75" t="n">
        <x:v>0.011626331413397565</x:v>
      </x:c>
      <x:c r="M462" s="75" t="n">
        <x:v>0.008871866327343015</x:v>
      </x:c>
      <x:c r="N462" s="75" t="n">
        <x:v>0.005768514786439482</x:v>
      </x:c>
      <x:c r="O462" s="75" t="n">
        <x:v>0.006058635479435906</x:v>
      </x:c>
      <x:c r="P462" s="75" t="n">
        <x:v>0.00041441234855301443</x:v>
      </x:c>
      <x:c r="Q462" s="75" t="n">
        <x:v>0.004348941689604544</x:v>
      </x:c>
      <x:c r="R462" s="75" t="n">
        <x:v>0.3649533637322475</x:v>
      </x:c>
      <x:c r="S462" s="75" t="n">
        <x:v>0.0131323956035194</x:v>
      </x:c>
      <x:c r="T462" s="75" t="n">
        <x:v>0.0037905199452652597</x:v>
      </x:c>
      <x:c r="U462" s="75" t="n">
        <x:v>0.00905714052116673</x:v>
      </x:c>
      <x:c r="V462" s="75" t="n">
        <x:v>0.03342676908719705</x:v>
      </x:c>
      <x:c r="W462" s="75" t="n">
        <x:v>0.00997685356666043</x:v>
      </x:c>
      <x:c r="X462" s="75" t="n">
        <x:v>0.027071124052365777</x:v>
      </x:c>
      <x:c r="Y462" s="75" t="n">
        <x:v>0.018592917207772848</x:v>
      </x:c>
      <x:c r="Z462" s="75" t="n">
        <x:v>0.00681600522560766</x:v>
      </x:c>
      <x:c r="AA462" s="75" t="n">
        <x:v>0.007771102771131264</x:v>
      </x:c>
      <x:c r="AB462" s="75" t="n">
        <x:v>0.005245220678523402</x:v>
      </x:c>
      <x:c r="AC462" s="75" t="n">
        <x:v>0.025036222368534068</x:v>
      </x:c>
      <x:c r="AD462" s="75" t="n">
        <x:v>0.09635389366299206</x:v>
      </x:c>
      <x:c r="AE462" s="75" t="n">
        <x:v>0.06183330806455342</x:v>
      </x:c>
      <x:c r="AF462" s="74" t="n">
        <x:v>3</x:v>
      </x:c>
    </x:row>
    <x:row r="463">
      <x:c r="A463" t="str">
        <x:v>2025 S2</x:v>
      </x:c>
      <x:c r="B463" t="str">
        <x:v>CNCT0116</x:v>
      </x:c>
      <x:c r="C463" s="74" t="n">
        <x:v>921</x:v>
      </x:c>
      <x:c r="D463" s="74" t="n">
        <x:v>913.074</x:v>
      </x:c>
      <x:c r="E463" s="75" t="n">
        <x:v>0.9787356017230777</x:v>
      </x:c>
      <x:c r="F463" s="75" t="n">
        <x:v>0.2149818635820411</x:v>
      </x:c>
      <x:c r="G463" s="75" t="n">
        <x:v>0.013758197092451154</x:v>
      </x:c>
      <x:c r="H463" s="75" t="n">
        <x:v>0.012512498650343332</x:v>
      </x:c>
      <x:c r="I463" s="75" t="n">
        <x:v>0.007438890807141434</x:v>
      </x:c>
      <x:c r="J463" s="75" t="n">
        <x:v>0.015251732678196277</x:v>
      </x:c>
      <x:c r="K463" s="75" t="n">
        <x:v>0.013539697185438853</x:v>
      </x:c>
      <x:c r="L463" s="75" t="n">
        <x:v>0.011626331413397565</x:v>
      </x:c>
      <x:c r="M463" s="75" t="n">
        <x:v>0.008871866327343015</x:v>
      </x:c>
      <x:c r="N463" s="75" t="n">
        <x:v>0.005768514786439482</x:v>
      </x:c>
      <x:c r="O463" s="75" t="n">
        <x:v>0.006058635479435906</x:v>
      </x:c>
      <x:c r="P463" s="75" t="n">
        <x:v>0.00041441234855301443</x:v>
      </x:c>
      <x:c r="Q463" s="75" t="n">
        <x:v>0.004348941689604544</x:v>
      </x:c>
      <x:c r="R463" s="75" t="n">
        <x:v>0.354955734490922</x:v>
      </x:c>
      <x:c r="S463" s="75" t="n">
        <x:v>0.0131323956035194</x:v>
      </x:c>
      <x:c r="T463" s="75" t="n">
        <x:v>0.0037905199452652597</x:v>
      </x:c>
      <x:c r="U463" s="75" t="n">
        <x:v>0.00905714052116673</x:v>
      </x:c>
      <x:c r="V463" s="75" t="n">
        <x:v>0.03342676908719705</x:v>
      </x:c>
      <x:c r="W463" s="75" t="n">
        <x:v>0.00997685356666043</x:v>
      </x:c>
      <x:c r="X463" s="75" t="n">
        <x:v>0.027071124052365777</x:v>
      </x:c>
      <x:c r="Y463" s="75" t="n">
        <x:v>0.018592917207772848</x:v>
      </x:c>
      <x:c r="Z463" s="75" t="n">
        <x:v>0.00681600522560766</x:v>
      </x:c>
      <x:c r="AA463" s="75" t="n">
        <x:v>0.007771102771131264</x:v>
      </x:c>
      <x:c r="AB463" s="75" t="n">
        <x:v>0.005245220678523402</x:v>
      </x:c>
      <x:c r="AC463" s="75" t="n">
        <x:v>0.025036222368534068</x:v>
      </x:c>
      <x:c r="AD463" s="75" t="n">
        <x:v>0.09635389366299206</x:v>
      </x:c>
      <x:c r="AE463" s="75" t="n">
        <x:v>0.06183330806455342</x:v>
      </x:c>
      <x:c r="AF463" s="74" t="n">
        <x:v>3</x:v>
      </x:c>
    </x:row>
    <x:row r="464">
      <x:c r="A464" t="str">
        <x:v>2026 S1</x:v>
      </x:c>
      <x:c r="B464" t="str">
        <x:v>CNCT0116</x:v>
      </x:c>
      <x:c r="C464" s="74" t="n">
        <x:v>628</x:v>
      </x:c>
      <x:c r="D464" s="74" t="n">
        <x:v>950.666</x:v>
      </x:c>
      <x:c r="E464" s="75" t="n">
        <x:v>0.9776108489524049</x:v>
      </x:c>
      <x:c r="F464" s="75" t="n">
        <x:v>0.22698186358204112</x:v>
      </x:c>
      <x:c r="G464" s="75" t="n">
        <x:v>0.012232209714275084</x:v>
      </x:c>
      <x:c r="H464" s="75" t="n">
        <x:v>0.012512498650343332</x:v>
      </x:c>
      <x:c r="I464" s="75" t="n">
        <x:v>0.007438890807141434</x:v>
      </x:c>
      <x:c r="J464" s="75" t="n">
        <x:v>0.015251732678196277</x:v>
      </x:c>
      <x:c r="K464" s="75" t="n">
        <x:v>0.013539697185438853</x:v>
      </x:c>
      <x:c r="L464" s="75" t="n">
        <x:v>0.011626331413397565</x:v>
      </x:c>
      <x:c r="M464" s="75" t="n">
        <x:v>0.008871866327343015</x:v>
      </x:c>
      <x:c r="N464" s="75" t="n">
        <x:v>0.005768514786439482</x:v>
      </x:c>
      <x:c r="O464" s="75" t="n">
        <x:v>0.00785870602710929</x:v>
      </x:c>
      <x:c r="P464" s="75" t="n">
        <x:v>0.00041441234855301443</x:v>
      </x:c>
      <x:c r="Q464" s="75" t="n">
        <x:v>0.004348941689604544</x:v>
      </x:c>
      <x:c r="R464" s="75" t="n">
        <x:v>0.3844829542195713</x:v>
      </x:c>
      <x:c r="S464" s="75" t="n">
        <x:v>0.0131323956035194</x:v>
      </x:c>
      <x:c r="T464" s="75" t="n">
        <x:v>0.0037905199452652597</x:v>
      </x:c>
      <x:c r="U464" s="75" t="n">
        <x:v>0.00905714052116673</x:v>
      </x:c>
      <x:c r="V464" s="75" t="n">
        <x:v>0.03342676908719705</x:v>
      </x:c>
      <x:c r="W464" s="75" t="n">
        <x:v>0.012276029475629464</x:v>
      </x:c>
      <x:c r="X464" s="75" t="n">
        <x:v>0.03330969173646036</x:v>
      </x:c>
      <x:c r="Y464" s="75" t="n">
        <x:v>0.02287767362280324</x:v>
      </x:c>
      <x:c r="Z464" s="75" t="n">
        <x:v>0.008386760464763669</x:v>
      </x:c>
      <x:c r="AA464" s="75" t="n">
        <x:v>0.009561961197400439</x:v>
      </x:c>
      <x:c r="AB464" s="75" t="n">
        <x:v>0.006453987043661501</x:v>
      </x:c>
      <x:c r="AC464" s="75" t="n">
        <x:v>0.04466847513261172</x:v>
      </x:c>
      <x:c r="AD464" s="75" t="n">
        <x:v>0.10598928302929128</x:v>
      </x:c>
      <x:c r="AE464" s="75" t="n">
        <x:v>0.1556924823152319</x:v>
      </x:c>
      <x:c r="AF464" s="74" t="n">
        <x:v>3</x:v>
      </x:c>
    </x:row>
    <x:row r="465">
      <x:c r="A465" t="str">
        <x:v>2026 S2</x:v>
      </x:c>
      <x:c r="B465" t="str">
        <x:v>CNCT0116</x:v>
      </x:c>
      <x:c r="C465" s="74" t="n">
        <x:v>749</x:v>
      </x:c>
      <x:c r="D465" s="74" t="n">
        <x:v>941.279</x:v>
      </x:c>
      <x:c r="E465" s="75" t="n">
        <x:v>0.9787356017230777</x:v>
      </x:c>
      <x:c r="F465" s="75" t="n">
        <x:v>0.21204609541753416</x:v>
      </x:c>
      <x:c r="G465" s="75" t="n">
        <x:v>0.012225562129788158</x:v>
      </x:c>
      <x:c r="H465" s="75" t="n">
        <x:v>0.012512498650343332</x:v>
      </x:c>
      <x:c r="I465" s="75" t="n">
        <x:v>0.007438890807141434</x:v>
      </x:c>
      <x:c r="J465" s="75" t="n">
        <x:v>0.015251732678196277</x:v>
      </x:c>
      <x:c r="K465" s="75" t="n">
        <x:v>0.013539697185438853</x:v>
      </x:c>
      <x:c r="L465" s="75" t="n">
        <x:v>0.011626331413397565</x:v>
      </x:c>
      <x:c r="M465" s="75" t="n">
        <x:v>0.008871866327343015</x:v>
      </x:c>
      <x:c r="N465" s="75" t="n">
        <x:v>0.005768514786439482</x:v>
      </x:c>
      <x:c r="O465" s="75" t="n">
        <x:v>0.006058635479435906</x:v>
      </x:c>
      <x:c r="P465" s="75" t="n">
        <x:v>0.00041441234855301443</x:v>
      </x:c>
      <x:c r="Q465" s="75" t="n">
        <x:v>0.004348941689604544</x:v>
      </x:c>
      <x:c r="R465" s="75" t="n">
        <x:v>0.37508441814065646</x:v>
      </x:c>
      <x:c r="S465" s="75" t="n">
        <x:v>0.0131323956035194</x:v>
      </x:c>
      <x:c r="T465" s="75" t="n">
        <x:v>0.0037905199452652597</x:v>
      </x:c>
      <x:c r="U465" s="75" t="n">
        <x:v>0.00905714052116673</x:v>
      </x:c>
      <x:c r="V465" s="75" t="n">
        <x:v>0.03342676908719705</x:v>
      </x:c>
      <x:c r="W465" s="75" t="n">
        <x:v>0.010575464780660055</x:v>
      </x:c>
      <x:c r="X465" s="75" t="n">
        <x:v>0.028695391495507726</x:v>
      </x:c>
      <x:c r="Y465" s="75" t="n">
        <x:v>0.01970849224023922</x:v>
      </x:c>
      <x:c r="Z465" s="75" t="n">
        <x:v>0.00722496553914412</x:v>
      </x:c>
      <x:c r="AA465" s="75" t="n">
        <x:v>0.008237368937399141</x:v>
      </x:c>
      <x:c r="AB465" s="75" t="n">
        <x:v>0.005559933919234806</x:v>
      </x:c>
      <x:c r="AC465" s="75" t="n">
        <x:v>0.03848067378043687</x:v>
      </x:c>
      <x:c r="AD465" s="75" t="n">
        <x:v>0.10406220515603143</x:v>
      </x:c>
      <x:c r="AE465" s="75" t="n">
        <x:v>0.2032384582650341</x:v>
      </x:c>
      <x:c r="AF465" s="74" t="n">
        <x:v>3</x:v>
      </x:c>
    </x:row>
    <x:row r="466">
      <x:c r="A466" t="str">
        <x:v>2025 S1</x:v>
      </x:c>
      <x:c r="B466" t="str">
        <x:v>CNCT0117</x:v>
      </x:c>
      <x:c r="C466" s="74" t="n">
        <x:v>952</x:v>
      </x:c>
      <x:c r="D466" s="74" t="n">
        <x:v>924.46</x:v>
      </x:c>
      <x:c r="E466" s="75" t="n">
        <x:v>0.972080569061276</x:v>
      </x:c>
      <x:c r="F466" s="75" t="n">
        <x:v>0.16557269255025311</x:v>
      </x:c>
      <x:c r="G466" s="75" t="n">
        <x:v>0.014513849443523213</x:v>
      </x:c>
      <x:c r="H466" s="75" t="n">
        <x:v>0.011992490089367494</x:v>
      </x:c>
      <x:c r="I466" s="75" t="n">
        <x:v>0.007929257390613202</x:v>
      </x:c>
      <x:c r="J466" s="75" t="n">
        <x:v>0.017040493673994205</x:v>
      </x:c>
      <x:c r="K466" s="75" t="n">
        <x:v>0.012745604469968384</x:v>
      </x:c>
      <x:c r="L466" s="75" t="n">
        <x:v>0.012573950067026088</x:v>
      </x:c>
      <x:c r="M466" s="75" t="n">
        <x:v>0.009473957043672272</x:v>
      </x:c>
      <x:c r="N466" s="75" t="n">
        <x:v>0.005146446464015754</x:v>
      </x:c>
      <x:c r="O466" s="75" t="n">
        <x:v>0.008737787440782994</x:v>
      </x:c>
      <x:c r="P466" s="75" t="n">
        <x:v>0.001143968668242451</x:v>
      </x:c>
      <x:c r="Q466" s="75" t="n">
        <x:v>0.001751935779102496</x:v>
      </x:c>
      <x:c r="R466" s="75" t="n">
        <x:v>0.37278592671734434</x:v>
      </x:c>
      <x:c r="S466" s="75" t="n">
        <x:v>0.014284012417934719</x:v>
      </x:c>
      <x:c r="T466" s="75" t="n">
        <x:v>0.006900989686109824</x:v>
      </x:c>
      <x:c r="U466" s="75" t="n">
        <x:v>0.009734262690530158</x:v>
      </x:c>
      <x:c r="V466" s="75" t="n">
        <x:v>0.03698890045881854</x:v>
      </x:c>
      <x:c r="W466" s="75" t="n">
        <x:v>0.009165985025154076</x:v>
      </x:c>
      <x:c r="X466" s="75" t="n">
        <x:v>0.02218195899977465</x:v>
      </x:c>
      <x:c r="Y466" s="75" t="n">
        <x:v>0.018490365079515618</x:v>
      </x:c>
      <x:c r="Z466" s="75" t="n">
        <x:v>0.0071355751288589096</x:v>
      </x:c>
      <x:c r="AA466" s="75" t="n">
        <x:v>0.008501607714720303</x:v>
      </x:c>
      <x:c r="AB466" s="75" t="n">
        <x:v>0.0035748131491651295</x:v>
      </x:c>
      <x:c r="AC466" s="75" t="n">
        <x:v>0.02526937318449272</x:v>
      </x:c>
      <x:c r="AD466" s="75" t="n">
        <x:v>0.10912594855423596</x:v>
      </x:c>
      <x:c r="AE466" s="75" t="n">
        <x:v>0.07327551953974762</x:v>
      </x:c>
      <x:c r="AF466" s="74" t="n">
        <x:v>6</x:v>
      </x:c>
    </x:row>
    <x:row r="467">
      <x:c r="A467" t="str">
        <x:v>2025 S2</x:v>
      </x:c>
      <x:c r="B467" t="str">
        <x:v>CNCT0117</x:v>
      </x:c>
      <x:c r="C467" s="74" t="n">
        <x:v>1044</x:v>
      </x:c>
      <x:c r="D467" s="74" t="n">
        <x:v>935.554</x:v>
      </x:c>
      <x:c r="E467" s="75" t="n">
        <x:v>0.9828868333881255</x:v>
      </x:c>
      <x:c r="F467" s="75" t="n">
        <x:v>0.16557269255025311</x:v>
      </x:c>
      <x:c r="G467" s="75" t="n">
        <x:v>0.014513849443523213</x:v>
      </x:c>
      <x:c r="H467" s="75" t="n">
        <x:v>0.011992490089367494</x:v>
      </x:c>
      <x:c r="I467" s="75" t="n">
        <x:v>0.007929257390613202</x:v>
      </x:c>
      <x:c r="J467" s="75" t="n">
        <x:v>0.017040493673994205</x:v>
      </x:c>
      <x:c r="K467" s="75" t="n">
        <x:v>0.012745604469968384</x:v>
      </x:c>
      <x:c r="L467" s="75" t="n">
        <x:v>0.012573950067026088</x:v>
      </x:c>
      <x:c r="M467" s="75" t="n">
        <x:v>0.009473957043672272</x:v>
      </x:c>
      <x:c r="N467" s="75" t="n">
        <x:v>0.005146446464015754</x:v>
      </x:c>
      <x:c r="O467" s="75" t="n">
        <x:v>0.008737787440782994</x:v>
      </x:c>
      <x:c r="P467" s="75" t="n">
        <x:v>0.001143968668242451</x:v>
      </x:c>
      <x:c r="Q467" s="75" t="n">
        <x:v>0.001751935779102496</x:v>
      </x:c>
      <x:c r="R467" s="75" t="n">
        <x:v>0.37444204490797917</x:v>
      </x:c>
      <x:c r="S467" s="75" t="n">
        <x:v>0.014284012417934719</x:v>
      </x:c>
      <x:c r="T467" s="75" t="n">
        <x:v>0.006900989686109824</x:v>
      </x:c>
      <x:c r="U467" s="75" t="n">
        <x:v>0.009734262690530158</x:v>
      </x:c>
      <x:c r="V467" s="75" t="n">
        <x:v>0.03698890045881854</x:v>
      </x:c>
      <x:c r="W467" s="75" t="n">
        <x:v>0.009165985025154076</x:v>
      </x:c>
      <x:c r="X467" s="75" t="n">
        <x:v>0.02218195899977465</x:v>
      </x:c>
      <x:c r="Y467" s="75" t="n">
        <x:v>0.018490365079515618</x:v>
      </x:c>
      <x:c r="Z467" s="75" t="n">
        <x:v>0.0071355751288589096</x:v>
      </x:c>
      <x:c r="AA467" s="75" t="n">
        <x:v>0.008501607714720303</x:v>
      </x:c>
      <x:c r="AB467" s="75" t="n">
        <x:v>0.0035748131491651295</x:v>
      </x:c>
      <x:c r="AC467" s="75" t="n">
        <x:v>0.02526937318449272</x:v>
      </x:c>
      <x:c r="AD467" s="75" t="n">
        <x:v>0.10912594855423596</x:v>
      </x:c>
      <x:c r="AE467" s="75" t="n">
        <x:v>0.07327551953974762</x:v>
      </x:c>
      <x:c r="AF467" s="74" t="n">
        <x:v>6</x:v>
      </x:c>
    </x:row>
    <x:row r="468">
      <x:c r="A468" t="str">
        <x:v>2026 S1</x:v>
      </x:c>
      <x:c r="B468" t="str">
        <x:v>CNCT0117</x:v>
      </x:c>
      <x:c r="C468" s="74" t="n">
        <x:v>904</x:v>
      </x:c>
      <x:c r="D468" s="74" t="n">
        <x:v>974.023</x:v>
      </x:c>
      <x:c r="E468" s="75" t="n">
        <x:v>0.9693302176991856</x:v>
      </x:c>
      <x:c r="F468" s="75" t="n">
        <x:v>0.1618264299566572</x:v>
      </x:c>
      <x:c r="G468" s="75" t="n">
        <x:v>0.01599945444650075</x:v>
      </x:c>
      <x:c r="H468" s="75" t="n">
        <x:v>0.011992490089367494</x:v>
      </x:c>
      <x:c r="I468" s="75" t="n">
        <x:v>0.007929257390613202</x:v>
      </x:c>
      <x:c r="J468" s="75" t="n">
        <x:v>0.017040493673994205</x:v>
      </x:c>
      <x:c r="K468" s="75" t="n">
        <x:v>0.012745604469968384</x:v>
      </x:c>
      <x:c r="L468" s="75" t="n">
        <x:v>0.012573950067026088</x:v>
      </x:c>
      <x:c r="M468" s="75" t="n">
        <x:v>0.009473957043672272</x:v>
      </x:c>
      <x:c r="N468" s="75" t="n">
        <x:v>0.005146446464015754</x:v>
      </x:c>
      <x:c r="O468" s="75" t="n">
        <x:v>0.007482700890075647</x:v>
      </x:c>
      <x:c r="P468" s="75" t="n">
        <x:v>0.001143968668242451</x:v>
      </x:c>
      <x:c r="Q468" s="75" t="n">
        <x:v>0.001751935779102496</x:v>
      </x:c>
      <x:c r="R468" s="75" t="n">
        <x:v>0.37726819493123304</x:v>
      </x:c>
      <x:c r="S468" s="75" t="n">
        <x:v>0.014284012417934719</x:v>
      </x:c>
      <x:c r="T468" s="75" t="n">
        <x:v>0.006900989686109824</x:v>
      </x:c>
      <x:c r="U468" s="75" t="n">
        <x:v>0.009734262690530158</x:v>
      </x:c>
      <x:c r="V468" s="75" t="n">
        <x:v>0.03698890045881854</x:v>
      </x:c>
      <x:c r="W468" s="75" t="n">
        <x:v>0.011278295465614855</x:v>
      </x:c>
      <x:c r="X468" s="75" t="n">
        <x:v>0.02729381369477065</x:v>
      </x:c>
      <x:c r="Y468" s="75" t="n">
        <x:v>0.022751488253752495</x:v>
      </x:c>
      <x:c r="Z468" s="75" t="n">
        <x:v>0.008779975572675647</x:v>
      </x:c>
      <x:c r="AA468" s="75" t="n">
        <x:v>0.01046081173777114</x:v>
      </x:c>
      <x:c r="AB468" s="75" t="n">
        <x:v>0.00439863242412091</x:v>
      </x:c>
      <x:c r="AC468" s="75" t="n">
        <x:v>0.03109272557433653</x:v>
      </x:c>
      <x:c r="AD468" s="75" t="n">
        <x:v>0.10912594855423596</x:v>
      </x:c>
      <x:c r="AE468" s="75" t="n">
        <x:v>0.07327551953974762</x:v>
      </x:c>
      <x:c r="AF468" s="74" t="n">
        <x:v>6</x:v>
      </x:c>
    </x:row>
    <x:row r="469">
      <x:c r="A469" t="str">
        <x:v>2026 S2</x:v>
      </x:c>
      <x:c r="B469" t="str">
        <x:v>CNCT0117</x:v>
      </x:c>
      <x:c r="C469" s="74" t="n">
        <x:v>1019</x:v>
      </x:c>
      <x:c r="D469" s="74" t="n">
        <x:v>967.399</x:v>
      </x:c>
      <x:c r="E469" s="75" t="n">
        <x:v>0.9828868333881255</x:v>
      </x:c>
      <x:c r="F469" s="75" t="n">
        <x:v>0.1634545057005962</x:v>
      </x:c>
      <x:c r="G469" s="75" t="n">
        <x:v>0.014775971448139899</x:v>
      </x:c>
      <x:c r="H469" s="75" t="n">
        <x:v>0.011992490089367494</x:v>
      </x:c>
      <x:c r="I469" s="75" t="n">
        <x:v>0.007929257390613202</x:v>
      </x:c>
      <x:c r="J469" s="75" t="n">
        <x:v>0.017040493673994205</x:v>
      </x:c>
      <x:c r="K469" s="75" t="n">
        <x:v>0.012745604469968384</x:v>
      </x:c>
      <x:c r="L469" s="75" t="n">
        <x:v>0.012573950067026088</x:v>
      </x:c>
      <x:c r="M469" s="75" t="n">
        <x:v>0.009473957043672272</x:v>
      </x:c>
      <x:c r="N469" s="75" t="n">
        <x:v>0.005146446464015754</x:v>
      </x:c>
      <x:c r="O469" s="75" t="n">
        <x:v>0.008737787440782994</x:v>
      </x:c>
      <x:c r="P469" s="75" t="n">
        <x:v>0.001143968668242451</x:v>
      </x:c>
      <x:c r="Q469" s="75" t="n">
        <x:v>0.001751935779102496</x:v>
      </x:c>
      <x:c r="R469" s="75" t="n">
        <x:v>0.3755816590315789</x:v>
      </x:c>
      <x:c r="S469" s="75" t="n">
        <x:v>0.014284012417934719</x:v>
      </x:c>
      <x:c r="T469" s="75" t="n">
        <x:v>0.006900989686109824</x:v>
      </x:c>
      <x:c r="U469" s="75" t="n">
        <x:v>0.009734262690530158</x:v>
      </x:c>
      <x:c r="V469" s="75" t="n">
        <x:v>0.03698890045881854</x:v>
      </x:c>
      <x:c r="W469" s="75" t="n">
        <x:v>0.009715944126663321</x:v>
      </x:c>
      <x:c r="X469" s="75" t="n">
        <x:v>0.02351287653976113</x:v>
      </x:c>
      <x:c r="Y469" s="75" t="n">
        <x:v>0.019599786984286556</x:v>
      </x:c>
      <x:c r="Z469" s="75" t="n">
        <x:v>0.0075637096365904445</x:v>
      </x:c>
      <x:c r="AA469" s="75" t="n">
        <x:v>0.009011704177603523</x:v>
      </x:c>
      <x:c r="AB469" s="75" t="n">
        <x:v>0.0037893019381150376</x:v>
      </x:c>
      <x:c r="AC469" s="75" t="n">
        <x:v>0.026785535575562285</x:v>
      </x:c>
      <x:c r="AD469" s="75" t="n">
        <x:v>0.10912594855423596</x:v>
      </x:c>
      <x:c r="AE469" s="75" t="n">
        <x:v>0.07327551953974762</x:v>
      </x:c>
      <x:c r="AF469" s="74" t="n">
        <x:v>6</x:v>
      </x:c>
    </x:row>
    <x:row r="470">
      <x:c r="A470" t="str">
        <x:v>2025 S1</x:v>
      </x:c>
      <x:c r="B470" t="str">
        <x:v>CNCT0118</x:v>
      </x:c>
      <x:c r="C470" s="74" t="n">
        <x:v>1967</x:v>
      </x:c>
      <x:c r="D470" s="74" t="n">
        <x:v>1182.525</x:v>
      </x:c>
      <x:c r="E470" s="75" t="n">
        <x:v>0.9740845305777038</x:v>
      </x:c>
      <x:c r="F470" s="75" t="n">
        <x:v>0.16750786927482114</x:v>
      </x:c>
      <x:c r="G470" s="75" t="n">
        <x:v>0.0159053515814594</x:v>
      </x:c>
      <x:c r="H470" s="75" t="n">
        <x:v>0.011389492065922241</x:v>
      </x:c>
      <x:c r="I470" s="75" t="n">
        <x:v>0.007893492903647712</x:v>
      </x:c>
      <x:c r="J470" s="75" t="n">
        <x:v>0.012612857970467304</x:v>
      </x:c>
      <x:c r="K470" s="75" t="n">
        <x:v>0.01103852040447964</x:v>
      </x:c>
      <x:c r="L470" s="75" t="n">
        <x:v>0.01296629067017784</x:v>
      </x:c>
      <x:c r="M470" s="75" t="n">
        <x:v>0.005958964109425324</x:v>
      </x:c>
      <x:c r="N470" s="75" t="n">
        <x:v>0.007689360370990471</x:v>
      </x:c>
      <x:c r="O470" s="75" t="n">
        <x:v>0.014181857421950553</x:v>
      </x:c>
      <x:c r="P470" s="75" t="n">
        <x:v>0.002880738700627262</x:v>
      </x:c>
      <x:c r="Q470" s="75" t="n">
        <x:v>0.0022112072018644537</x:v>
      </x:c>
      <x:c r="R470" s="75" t="n">
        <x:v>0.3651372951282835</x:v>
      </x:c>
      <x:c r="S470" s="75" t="n">
        <x:v>0.013465418159627006</x:v>
      </x:c>
      <x:c r="T470" s="75" t="n">
        <x:v>0.003579917549272068</x:v>
      </x:c>
      <x:c r="U470" s="75" t="n">
        <x:v>0.007357259738200809</x:v>
      </x:c>
      <x:c r="V470" s="75" t="n">
        <x:v>0.030599699349608274</x:v>
      </x:c>
      <x:c r="W470" s="75" t="n">
        <x:v>0.009535704053116205</x:v>
      </x:c>
      <x:c r="X470" s="75" t="n">
        <x:v>0.02091135841469804</x:v>
      </x:c>
      <x:c r="Y470" s="75" t="n">
        <x:v>0.019703402955492492</x:v>
      </x:c>
      <x:c r="Z470" s="75" t="n">
        <x:v>0.005784485791897168</x:v>
      </x:c>
      <x:c r="AA470" s="75" t="n">
        <x:v>0.005555571504024556</x:v>
      </x:c>
      <x:c r="AB470" s="75" t="n">
        <x:v>0.005639935535320547</x:v>
      </x:c>
      <x:c r="AC470" s="75" t="n">
        <x:v>0.020917282022695872</x:v>
      </x:c>
      <x:c r="AD470" s="75" t="n">
        <x:v>0.0885566407900551</x:v>
      </x:c>
      <x:c r="AE470" s="75" t="n">
        <x:v>0.0866669333061122</x:v>
      </x:c>
      <x:c r="AF470" s="74" t="n">
        <x:v>13</x:v>
      </x:c>
    </x:row>
    <x:row r="471">
      <x:c r="A471" t="str">
        <x:v>2025 S2</x:v>
      </x:c>
      <x:c r="B471" t="str">
        <x:v>CNCT0118</x:v>
      </x:c>
      <x:c r="C471" s="74" t="n">
        <x:v>2073</x:v>
      </x:c>
      <x:c r="D471" s="74" t="n">
        <x:v>1196.715</x:v>
      </x:c>
      <x:c r="E471" s="75" t="n">
        <x:v>0.9644449946322129</x:v>
      </x:c>
      <x:c r="F471" s="75" t="n">
        <x:v>0.16750786927482114</x:v>
      </x:c>
      <x:c r="G471" s="75" t="n">
        <x:v>0.0159053515814594</x:v>
      </x:c>
      <x:c r="H471" s="75" t="n">
        <x:v>0.011389492065922241</x:v>
      </x:c>
      <x:c r="I471" s="75" t="n">
        <x:v>0.007893492903647712</x:v>
      </x:c>
      <x:c r="J471" s="75" t="n">
        <x:v>0.012612857970467304</x:v>
      </x:c>
      <x:c r="K471" s="75" t="n">
        <x:v>0.01103852040447964</x:v>
      </x:c>
      <x:c r="L471" s="75" t="n">
        <x:v>0.01296629067017784</x:v>
      </x:c>
      <x:c r="M471" s="75" t="n">
        <x:v>0.005958964109425324</x:v>
      </x:c>
      <x:c r="N471" s="75" t="n">
        <x:v>0.007689360370990471</x:v>
      </x:c>
      <x:c r="O471" s="75" t="n">
        <x:v>0.014181857421950553</x:v>
      </x:c>
      <x:c r="P471" s="75" t="n">
        <x:v>0.002880738700627262</x:v>
      </x:c>
      <x:c r="Q471" s="75" t="n">
        <x:v>0.0022112072018644537</x:v>
      </x:c>
      <x:c r="R471" s="75" t="n">
        <x:v>0.3743974534888369</x:v>
      </x:c>
      <x:c r="S471" s="75" t="n">
        <x:v>0.013465418159627006</x:v>
      </x:c>
      <x:c r="T471" s="75" t="n">
        <x:v>0.003579917549272068</x:v>
      </x:c>
      <x:c r="U471" s="75" t="n">
        <x:v>0.007357259738200809</x:v>
      </x:c>
      <x:c r="V471" s="75" t="n">
        <x:v>0.030599699349608274</x:v>
      </x:c>
      <x:c r="W471" s="75" t="n">
        <x:v>0.009535704053116205</x:v>
      </x:c>
      <x:c r="X471" s="75" t="n">
        <x:v>0.02091135841469804</x:v>
      </x:c>
      <x:c r="Y471" s="75" t="n">
        <x:v>0.019703402955492492</x:v>
      </x:c>
      <x:c r="Z471" s="75" t="n">
        <x:v>0.005784485791897168</x:v>
      </x:c>
      <x:c r="AA471" s="75" t="n">
        <x:v>0.005555571504024556</x:v>
      </x:c>
      <x:c r="AB471" s="75" t="n">
        <x:v>0.005639935535320547</x:v>
      </x:c>
      <x:c r="AC471" s="75" t="n">
        <x:v>0.020917282022695872</x:v>
      </x:c>
      <x:c r="AD471" s="75" t="n">
        <x:v>0.0885566407900551</x:v>
      </x:c>
      <x:c r="AE471" s="75" t="n">
        <x:v>0.07467492395215618</x:v>
      </x:c>
      <x:c r="AF471" s="74" t="n">
        <x:v>13</x:v>
      </x:c>
    </x:row>
    <x:row r="472">
      <x:c r="A472" t="str">
        <x:v>2026 S1</x:v>
      </x:c>
      <x:c r="B472" t="str">
        <x:v>CNCT0118</x:v>
      </x:c>
      <x:c r="C472" s="74" t="n">
        <x:v>1966</x:v>
      </x:c>
      <x:c r="D472" s="74" t="n">
        <x:v>1239.025</x:v>
      </x:c>
      <x:c r="E472" s="75" t="n">
        <x:v>0.9780281567831407</x:v>
      </x:c>
      <x:c r="F472" s="75" t="n">
        <x:v>0.16785711577735493</x:v>
      </x:c>
      <x:c r="G472" s="75" t="n">
        <x:v>0.01722366919483102</x:v>
      </x:c>
      <x:c r="H472" s="75" t="n">
        <x:v>0.011389492065922241</x:v>
      </x:c>
      <x:c r="I472" s="75" t="n">
        <x:v>0.007893492903647712</x:v>
      </x:c>
      <x:c r="J472" s="75" t="n">
        <x:v>0.012612857970467304</x:v>
      </x:c>
      <x:c r="K472" s="75" t="n">
        <x:v>0.01103852040447964</x:v>
      </x:c>
      <x:c r="L472" s="75" t="n">
        <x:v>0.01296629067017784</x:v>
      </x:c>
      <x:c r="M472" s="75" t="n">
        <x:v>0.005958964109425324</x:v>
      </x:c>
      <x:c r="N472" s="75" t="n">
        <x:v>0.007689360370990471</x:v>
      </x:c>
      <x:c r="O472" s="75" t="n">
        <x:v>0.012833418486752634</x:v>
      </x:c>
      <x:c r="P472" s="75" t="n">
        <x:v>0.002880738700627262</x:v>
      </x:c>
      <x:c r="Q472" s="75" t="n">
        <x:v>0.0022112072018644537</x:v>
      </x:c>
      <x:c r="R472" s="75" t="n">
        <x:v>0.3634470349961555</x:v>
      </x:c>
      <x:c r="S472" s="75" t="n">
        <x:v>0.013465418159627006</x:v>
      </x:c>
      <x:c r="T472" s="75" t="n">
        <x:v>0.003579917549272068</x:v>
      </x:c>
      <x:c r="U472" s="75" t="n">
        <x:v>0.007357259738200809</x:v>
      </x:c>
      <x:c r="V472" s="75" t="n">
        <x:v>0.030599699349608274</x:v>
      </x:c>
      <x:c r="W472" s="75" t="n">
        <x:v>0.011733216614315587</x:v>
      </x:c>
      <x:c r="X472" s="75" t="n">
        <x:v>0.025730401930737553</x:v>
      </x:c>
      <x:c r="Y472" s="75" t="n">
        <x:v>0.02424407192465142</x:v>
      </x:c>
      <x:c r="Z472" s="75" t="n">
        <x:v>0.0071175263431734375</x:v>
      </x:c>
      <x:c r="AA472" s="75" t="n">
        <x:v>0.006835858528111222</x:v>
      </x:c>
      <x:c r="AB472" s="75" t="n">
        <x:v>0.006939664335017455</x:v>
      </x:c>
      <x:c r="AC472" s="75" t="n">
        <x:v>0.025737690640138526</x:v>
      </x:c>
      <x:c r="AD472" s="75" t="n">
        <x:v>0.0885566407900551</x:v>
      </x:c>
      <x:c r="AE472" s="75" t="n">
        <x:v>0.0866669333061122</x:v>
      </x:c>
      <x:c r="AF472" s="74" t="n">
        <x:v>13</x:v>
      </x:c>
    </x:row>
    <x:row r="473">
      <x:c r="A473" t="str">
        <x:v>2026 S2</x:v>
      </x:c>
      <x:c r="B473" t="str">
        <x:v>CNCT0118</x:v>
      </x:c>
      <x:c r="C473" s="74" t="n">
        <x:v>2127</x:v>
      </x:c>
      <x:c r="D473" s="74" t="n">
        <x:v>1228.391</x:v>
      </x:c>
      <x:c r="E473" s="75" t="n">
        <x:v>0.9644449946322129</x:v>
      </x:c>
      <x:c r="F473" s="75" t="n">
        <x:v>0.1618167359250656</x:v>
      </x:c>
      <x:c r="G473" s="75" t="n">
        <x:v>0.01662455465560197</x:v>
      </x:c>
      <x:c r="H473" s="75" t="n">
        <x:v>0.011389492065922241</x:v>
      </x:c>
      <x:c r="I473" s="75" t="n">
        <x:v>0.007893492903647712</x:v>
      </x:c>
      <x:c r="J473" s="75" t="n">
        <x:v>0.012612857970467304</x:v>
      </x:c>
      <x:c r="K473" s="75" t="n">
        <x:v>0.01103852040447964</x:v>
      </x:c>
      <x:c r="L473" s="75" t="n">
        <x:v>0.01296629067017784</x:v>
      </x:c>
      <x:c r="M473" s="75" t="n">
        <x:v>0.005958964109425324</x:v>
      </x:c>
      <x:c r="N473" s="75" t="n">
        <x:v>0.007689360370990471</x:v>
      </x:c>
      <x:c r="O473" s="75" t="n">
        <x:v>0.014181857421950553</x:v>
      </x:c>
      <x:c r="P473" s="75" t="n">
        <x:v>0.002880738700627262</x:v>
      </x:c>
      <x:c r="Q473" s="75" t="n">
        <x:v>0.0022112072018644537</x:v>
      </x:c>
      <x:c r="R473" s="75" t="n">
        <x:v>0.3758179527074638</x:v>
      </x:c>
      <x:c r="S473" s="75" t="n">
        <x:v>0.013465418159627006</x:v>
      </x:c>
      <x:c r="T473" s="75" t="n">
        <x:v>0.003579917549272068</x:v>
      </x:c>
      <x:c r="U473" s="75" t="n">
        <x:v>0.007357259738200809</x:v>
      </x:c>
      <x:c r="V473" s="75" t="n">
        <x:v>0.030599699349608274</x:v>
      </x:c>
      <x:c r="W473" s="75" t="n">
        <x:v>0.010107846296303178</x:v>
      </x:c>
      <x:c r="X473" s="75" t="n">
        <x:v>0.022166039919579925</x:v>
      </x:c>
      <x:c r="Y473" s="75" t="n">
        <x:v>0.020885607132822042</x:v>
      </x:c>
      <x:c r="Z473" s="75" t="n">
        <x:v>0.006131554939410999</x:v>
      </x:c>
      <x:c r="AA473" s="75" t="n">
        <x:v>0.0058889057942660295</x:v>
      </x:c>
      <x:c r="AB473" s="75" t="n">
        <x:v>0.0059783316674397805</x:v>
      </x:c>
      <x:c r="AC473" s="75" t="n">
        <x:v>0.022172318944057624</x:v>
      </x:c>
      <x:c r="AD473" s="75" t="n">
        <x:v>0.0885566407900551</x:v>
      </x:c>
      <x:c r="AE473" s="75" t="n">
        <x:v>0.07467492395215618</x:v>
      </x:c>
      <x:c r="AF473" s="74" t="n">
        <x:v>13</x:v>
      </x:c>
    </x:row>
    <x:row r="474">
      <x:c r="A474" t="str">
        <x:v>2025 S1</x:v>
      </x:c>
      <x:c r="B474" t="str">
        <x:v>CNCT0119</x:v>
      </x:c>
      <x:c r="C474" s="74" t="n">
        <x:v>2193</x:v>
      </x:c>
      <x:c r="D474" s="74" t="n">
        <x:v>1175.704</x:v>
      </x:c>
      <x:c r="E474" s="75" t="n">
        <x:v>0.967195203613548</x:v>
      </x:c>
      <x:c r="F474" s="75" t="n">
        <x:v>0.19264776354143395</x:v>
      </x:c>
      <x:c r="G474" s="75" t="n">
        <x:v>0.01668262145854533</x:v>
      </x:c>
      <x:c r="H474" s="75" t="n">
        <x:v>0.010900449045933784</x:v>
      </x:c>
      <x:c r="I474" s="75" t="n">
        <x:v>0.007769382645754376</x:v>
      </x:c>
      <x:c r="J474" s="75" t="n">
        <x:v>0.014810261506412644</x:v>
      </x:c>
      <x:c r="K474" s="75" t="n">
        <x:v>0.009162295642032404</x:v>
      </x:c>
      <x:c r="L474" s="75" t="n">
        <x:v>0.013020272328009013</x:v>
      </x:c>
      <x:c r="M474" s="75" t="n">
        <x:v>0.006777632759483822</x:v>
      </x:c>
      <x:c r="N474" s="75" t="n">
        <x:v>0.0072019172398722735</x:v>
      </x:c>
      <x:c r="O474" s="75" t="n">
        <x:v>0.013128104748187524</x:v>
      </x:c>
      <x:c r="P474" s="75" t="n">
        <x:v>0.0018385676502130082</x:v>
      </x:c>
      <x:c r="Q474" s="75" t="n">
        <x:v>0.0013965710834600033</x:v>
      </x:c>
      <x:c r="R474" s="75" t="n">
        <x:v>0.3598286791380075</x:v>
      </x:c>
      <x:c r="S474" s="75" t="n">
        <x:v>0.01615065491203859</x:v>
      </x:c>
      <x:c r="T474" s="75" t="n">
        <x:v>0.004281852672400418</x:v>
      </x:c>
      <x:c r="U474" s="75" t="n">
        <x:v>0.00870679908589227</x:v>
      </x:c>
      <x:c r="V474" s="75" t="n">
        <x:v>0.036408432591386375</x:v>
      </x:c>
      <x:c r="W474" s="75" t="n">
        <x:v>0.012498662918536865</x:v>
      </x:c>
      <x:c r="X474" s="75" t="n">
        <x:v>0.018341639245147232</x:v>
      </x:c>
      <x:c r="Y474" s="75" t="n">
        <x:v>0.018912526695756243</x:v>
      </x:c>
      <x:c r="Z474" s="75" t="n">
        <x:v>0.0070810188688919876</x:v>
      </x:c>
      <x:c r="AA474" s="75" t="n">
        <x:v>0.007553191319486359</x:v>
      </x:c>
      <x:c r="AB474" s="75" t="n">
        <x:v>0.003721460519853281</x:v>
      </x:c>
      <x:c r="AC474" s="75" t="n">
        <x:v>0.02018485520608374</x:v>
      </x:c>
      <x:c r="AD474" s="75" t="n">
        <x:v>0.11143000482287607</x:v>
      </x:c>
      <x:c r="AE474" s="75" t="n">
        <x:v>0.07102716987938038</x:v>
      </x:c>
      <x:c r="AF474" s="74" t="n">
        <x:v>8</x:v>
      </x:c>
    </x:row>
    <x:row r="475">
      <x:c r="A475" t="str">
        <x:v>2025 S2</x:v>
      </x:c>
      <x:c r="B475" t="str">
        <x:v>CNCT0119</x:v>
      </x:c>
      <x:c r="C475" s="74" t="n">
        <x:v>2382</x:v>
      </x:c>
      <x:c r="D475" s="74" t="n">
        <x:v>1189.812</x:v>
      </x:c>
      <x:c r="E475" s="75" t="n">
        <x:v>0.9767680272750221</x:v>
      </x:c>
      <x:c r="F475" s="75" t="n">
        <x:v>0.19264776354143395</x:v>
      </x:c>
      <x:c r="G475" s="75" t="n">
        <x:v>0.01668262145854533</x:v>
      </x:c>
      <x:c r="H475" s="75" t="n">
        <x:v>0.010900449045933784</x:v>
      </x:c>
      <x:c r="I475" s="75" t="n">
        <x:v>0.007769382645754376</x:v>
      </x:c>
      <x:c r="J475" s="75" t="n">
        <x:v>0.014810261506412644</x:v>
      </x:c>
      <x:c r="K475" s="75" t="n">
        <x:v>0.009162295642032404</x:v>
      </x:c>
      <x:c r="L475" s="75" t="n">
        <x:v>0.013020272328009013</x:v>
      </x:c>
      <x:c r="M475" s="75" t="n">
        <x:v>0.006777632759483822</x:v>
      </x:c>
      <x:c r="N475" s="75" t="n">
        <x:v>0.0072019172398722735</x:v>
      </x:c>
      <x:c r="O475" s="75" t="n">
        <x:v>0.013128104748187524</x:v>
      </x:c>
      <x:c r="P475" s="75" t="n">
        <x:v>0.0018385676502130082</x:v>
      </x:c>
      <x:c r="Q475" s="75" t="n">
        <x:v>0.0013965710834600033</x:v>
      </x:c>
      <x:c r="R475" s="75" t="n">
        <x:v>0.3407256173681152</x:v>
      </x:c>
      <x:c r="S475" s="75" t="n">
        <x:v>0.01615065491203859</x:v>
      </x:c>
      <x:c r="T475" s="75" t="n">
        <x:v>0.004281852672400418</x:v>
      </x:c>
      <x:c r="U475" s="75" t="n">
        <x:v>0.00870679908589227</x:v>
      </x:c>
      <x:c r="V475" s="75" t="n">
        <x:v>0.036408432591386375</x:v>
      </x:c>
      <x:c r="W475" s="75" t="n">
        <x:v>0.012498662918536865</x:v>
      </x:c>
      <x:c r="X475" s="75" t="n">
        <x:v>0.018341639245147232</x:v>
      </x:c>
      <x:c r="Y475" s="75" t="n">
        <x:v>0.018912526695756243</x:v>
      </x:c>
      <x:c r="Z475" s="75" t="n">
        <x:v>0.0070810188688919876</x:v>
      </x:c>
      <x:c r="AA475" s="75" t="n">
        <x:v>0.007553191319486359</x:v>
      </x:c>
      <x:c r="AB475" s="75" t="n">
        <x:v>0.003721460519853281</x:v>
      </x:c>
      <x:c r="AC475" s="75" t="n">
        <x:v>0.02018485520608374</x:v>
      </x:c>
      <x:c r="AD475" s="75" t="n">
        <x:v>0.11143000482287607</x:v>
      </x:c>
      <x:c r="AE475" s="75" t="n">
        <x:v>0.0712005934702176</x:v>
      </x:c>
      <x:c r="AF475" s="74" t="n">
        <x:v>8</x:v>
      </x:c>
    </x:row>
    <x:row r="476">
      <x:c r="A476" t="str">
        <x:v>2026 S1</x:v>
      </x:c>
      <x:c r="B476" t="str">
        <x:v>CNCT0119</x:v>
      </x:c>
      <x:c r="C476" s="74" t="n">
        <x:v>2315</x:v>
      </x:c>
      <x:c r="D476" s="74" t="n">
        <x:v>1233.161</x:v>
      </x:c>
      <x:c r="E476" s="75" t="n">
        <x:v>0.9651759647140862</x:v>
      </x:c>
      <x:c r="F476" s="75" t="n">
        <x:v>0.23528442901461494</x:v>
      </x:c>
      <x:c r="G476" s="75" t="n">
        <x:v>0.01501818009375711</x:v>
      </x:c>
      <x:c r="H476" s="75" t="n">
        <x:v>0.010900449045933784</x:v>
      </x:c>
      <x:c r="I476" s="75" t="n">
        <x:v>0.007769382645754376</x:v>
      </x:c>
      <x:c r="J476" s="75" t="n">
        <x:v>0.014810261506412644</x:v>
      </x:c>
      <x:c r="K476" s="75" t="n">
        <x:v>0.009162295642032404</x:v>
      </x:c>
      <x:c r="L476" s="75" t="n">
        <x:v>0.013020272328009013</x:v>
      </x:c>
      <x:c r="M476" s="75" t="n">
        <x:v>0.006777632759483822</x:v>
      </x:c>
      <x:c r="N476" s="75" t="n">
        <x:v>0.0072019172398722735</x:v>
      </x:c>
      <x:c r="O476" s="75" t="n">
        <x:v>0.014943695957544604</x:v>
      </x:c>
      <x:c r="P476" s="75" t="n">
        <x:v>0.0018385676502130082</x:v>
      </x:c>
      <x:c r="Q476" s="75" t="n">
        <x:v>0.0013965710834600033</x:v>
      </x:c>
      <x:c r="R476" s="75" t="n">
        <x:v>0.36229635746411426</x:v>
      </x:c>
      <x:c r="S476" s="75" t="n">
        <x:v>0.01615065491203859</x:v>
      </x:c>
      <x:c r="T476" s="75" t="n">
        <x:v>0.004281852672400418</x:v>
      </x:c>
      <x:c r="U476" s="75" t="n">
        <x:v>0.00870679908589227</x:v>
      </x:c>
      <x:c r="V476" s="75" t="n">
        <x:v>0.036408432591386375</x:v>
      </x:c>
      <x:c r="W476" s="75" t="n">
        <x:v>0.015378992321451377</x:v>
      </x:c>
      <x:c r="X476" s="75" t="n">
        <x:v>0.022568488401715475</x:v>
      </x:c>
      <x:c r="Y476" s="75" t="n">
        <x:v>0.02327093743778858</x:v>
      </x:c>
      <x:c r="Z476" s="75" t="n">
        <x:v>0.008712846767891734</x:v>
      </x:c>
      <x:c r="AA476" s="75" t="n">
        <x:v>0.009293831833207967</x:v>
      </x:c>
      <x:c r="AB476" s="75" t="n">
        <x:v>0.004579074828438358</x:v>
      </x:c>
      <x:c r="AC476" s="75" t="n">
        <x:v>0.024836475329179354</x:v>
      </x:c>
      <x:c r="AD476" s="75" t="n">
        <x:v>0.11143000482287607</x:v>
      </x:c>
      <x:c r="AE476" s="75" t="n">
        <x:v>0.07102716987938038</x:v>
      </x:c>
      <x:c r="AF476" s="74" t="n">
        <x:v>8</x:v>
      </x:c>
    </x:row>
    <x:row r="477">
      <x:c r="A477" t="str">
        <x:v>2026 S2</x:v>
      </x:c>
      <x:c r="B477" t="str">
        <x:v>CNCT0119</x:v>
      </x:c>
      <x:c r="C477" s="74" t="n">
        <x:v>2481</x:v>
      </x:c>
      <x:c r="D477" s="74" t="n">
        <x:v>1226.401</x:v>
      </x:c>
      <x:c r="E477" s="75" t="n">
        <x:v>0.9767680272750221</x:v>
      </x:c>
      <x:c r="F477" s="75" t="n">
        <x:v>0.23171237866635055</x:v>
      </x:c>
      <x:c r="G477" s="75" t="n">
        <x:v>0.018589217565429864</x:v>
      </x:c>
      <x:c r="H477" s="75" t="n">
        <x:v>0.010900449045933784</x:v>
      </x:c>
      <x:c r="I477" s="75" t="n">
        <x:v>0.007769382645754376</x:v>
      </x:c>
      <x:c r="J477" s="75" t="n">
        <x:v>0.014810261506412644</x:v>
      </x:c>
      <x:c r="K477" s="75" t="n">
        <x:v>0.009162295642032404</x:v>
      </x:c>
      <x:c r="L477" s="75" t="n">
        <x:v>0.013020272328009013</x:v>
      </x:c>
      <x:c r="M477" s="75" t="n">
        <x:v>0.006777632759483822</x:v>
      </x:c>
      <x:c r="N477" s="75" t="n">
        <x:v>0.0072019172398722735</x:v>
      </x:c>
      <x:c r="O477" s="75" t="n">
        <x:v>0.013128104748187524</x:v>
      </x:c>
      <x:c r="P477" s="75" t="n">
        <x:v>0.0018385676502130082</x:v>
      </x:c>
      <x:c r="Q477" s="75" t="n">
        <x:v>0.0013965710834600033</x:v>
      </x:c>
      <x:c r="R477" s="75" t="n">
        <x:v>0.3407256173681152</x:v>
      </x:c>
      <x:c r="S477" s="75" t="n">
        <x:v>0.01615065491203859</x:v>
      </x:c>
      <x:c r="T477" s="75" t="n">
        <x:v>0.004281852672400418</x:v>
      </x:c>
      <x:c r="U477" s="75" t="n">
        <x:v>0.00870679908589227</x:v>
      </x:c>
      <x:c r="V477" s="75" t="n">
        <x:v>0.036408432591386375</x:v>
      </x:c>
      <x:c r="W477" s="75" t="n">
        <x:v>0.013248582693649077</x:v>
      </x:c>
      <x:c r="X477" s="75" t="n">
        <x:v>0.019442137599856066</x:v>
      </x:c>
      <x:c r="Y477" s="75" t="n">
        <x:v>0.02004727829750162</x:v>
      </x:c>
      <x:c r="Z477" s="75" t="n">
        <x:v>0.007505880001025507</x:v>
      </x:c>
      <x:c r="AA477" s="75" t="n">
        <x:v>0.00800638279865554</x:v>
      </x:c>
      <x:c r="AB477" s="75" t="n">
        <x:v>0.003944748151044478</x:v>
      </x:c>
      <x:c r="AC477" s="75" t="n">
        <x:v>0.021395946518448762</x:v>
      </x:c>
      <x:c r="AD477" s="75" t="n">
        <x:v>0.11143000482287607</x:v>
      </x:c>
      <x:c r="AE477" s="75" t="n">
        <x:v>0.0712005934702176</x:v>
      </x:c>
      <x:c r="AF477" s="74" t="n">
        <x:v>8</x:v>
      </x:c>
    </x:row>
    <x:row r="478">
      <x:c r="A478" t="str">
        <x:v>2025 S1</x:v>
      </x:c>
      <x:c r="B478" t="str">
        <x:v>CNCT0120</x:v>
      </x:c>
      <x:c r="C478" s="74" t="n">
        <x:v>1583</x:v>
      </x:c>
      <x:c r="D478" s="74" t="n">
        <x:v>1019.52</x:v>
      </x:c>
      <x:c r="E478" s="75" t="n">
        <x:v>0.9733862392848823</x:v>
      </x:c>
      <x:c r="F478" s="75" t="n">
        <x:v>0.1807897575036186</x:v>
      </x:c>
      <x:c r="G478" s="75" t="n">
        <x:v>0.017080024087001218</x:v>
      </x:c>
      <x:c r="H478" s="75" t="n">
        <x:v>0.010614265487172815</x:v>
      </x:c>
      <x:c r="I478" s="75" t="n">
        <x:v>0.00580059514392633</x:v>
      </x:c>
      <x:c r="J478" s="75" t="n">
        <x:v>0.01006229940423509</x:v>
      </x:c>
      <x:c r="K478" s="75" t="n">
        <x:v>0.008423324250004952</x:v>
      </x:c>
      <x:c r="L478" s="75" t="n">
        <x:v>0.01098972425352258</x:v>
      </x:c>
      <x:c r="M478" s="75" t="n">
        <x:v>0.006033277243703197</x:v>
      </x:c>
      <x:c r="N478" s="75" t="n">
        <x:v>0.008093262244088692</x:v>
      </x:c>
      <x:c r="O478" s="75" t="n">
        <x:v>0.006454143865099467</x:v>
      </x:c>
      <x:c r="P478" s="75" t="n">
        <x:v>0.00027925693918541593</x:v>
      </x:c>
      <x:c r="Q478" s="75" t="n">
        <x:v>0.003450937026529573</x:v>
      </x:c>
      <x:c r="R478" s="75" t="n">
        <x:v>0.3637918574201687</x:v>
      </x:c>
      <x:c r="S478" s="75" t="n">
        <x:v>0.011483441709970066</x:v>
      </x:c>
      <x:c r="T478" s="75" t="n">
        <x:v>0.006692154112999561</x:v>
      </x:c>
      <x:c r="U478" s="75" t="n">
        <x:v>0.01047478046757169</x:v>
      </x:c>
      <x:c r="V478" s="75" t="n">
        <x:v>0.03456876213339274</x:v>
      </x:c>
      <x:c r="W478" s="75" t="n">
        <x:v>0.00932701329515112</x:v>
      </x:c>
      <x:c r="X478" s="75" t="n">
        <x:v>0.024109844391707155</x:v>
      </x:c>
      <x:c r="Y478" s="75" t="n">
        <x:v>0.014023970332811588</x:v>
      </x:c>
      <x:c r="Z478" s="75" t="n">
        <x:v>0.007565271149505861</x:v>
      </x:c>
      <x:c r="AA478" s="75" t="n">
        <x:v>0.007225903018610552</x:v>
      </x:c>
      <x:c r="AB478" s="75" t="n">
        <x:v>0.0033357459013932385</x:v>
      </x:c>
      <x:c r="AC478" s="75" t="n">
        <x:v>0.01984438950603362</x:v>
      </x:c>
      <x:c r="AD478" s="75" t="n">
        <x:v>0.08697795936654439</x:v>
      </x:c>
      <x:c r="AE478" s="75" t="n">
        <x:v>0.08733909599544115</x:v>
      </x:c>
      <x:c r="AF478" s="74" t="n">
        <x:v>7</x:v>
      </x:c>
    </x:row>
    <x:row r="479">
      <x:c r="A479" t="str">
        <x:v>2025 S2</x:v>
      </x:c>
      <x:c r="B479" t="str">
        <x:v>CNCT0120</x:v>
      </x:c>
      <x:c r="C479" s="74" t="n">
        <x:v>1703</x:v>
      </x:c>
      <x:c r="D479" s="74" t="n">
        <x:v>1031.754</x:v>
      </x:c>
      <x:c r="E479" s="75" t="n">
        <x:v>0.9751206955724483</x:v>
      </x:c>
      <x:c r="F479" s="75" t="n">
        <x:v>0.1807897575036186</x:v>
      </x:c>
      <x:c r="G479" s="75" t="n">
        <x:v>0.017080024087001218</x:v>
      </x:c>
      <x:c r="H479" s="75" t="n">
        <x:v>0.010614265487172815</x:v>
      </x:c>
      <x:c r="I479" s="75" t="n">
        <x:v>0.00580059514392633</x:v>
      </x:c>
      <x:c r="J479" s="75" t="n">
        <x:v>0.01006229940423509</x:v>
      </x:c>
      <x:c r="K479" s="75" t="n">
        <x:v>0.008423324250004952</x:v>
      </x:c>
      <x:c r="L479" s="75" t="n">
        <x:v>0.01098972425352258</x:v>
      </x:c>
      <x:c r="M479" s="75" t="n">
        <x:v>0.006033277243703197</x:v>
      </x:c>
      <x:c r="N479" s="75" t="n">
        <x:v>0.008093262244088692</x:v>
      </x:c>
      <x:c r="O479" s="75" t="n">
        <x:v>0.006454143865099467</x:v>
      </x:c>
      <x:c r="P479" s="75" t="n">
        <x:v>0.00027925693918541593</x:v>
      </x:c>
      <x:c r="Q479" s="75" t="n">
        <x:v>0.003450937026529573</x:v>
      </x:c>
      <x:c r="R479" s="75" t="n">
        <x:v>0.36247063042652644</x:v>
      </x:c>
      <x:c r="S479" s="75" t="n">
        <x:v>0.011483441709970066</x:v>
      </x:c>
      <x:c r="T479" s="75" t="n">
        <x:v>0.006692154112999561</x:v>
      </x:c>
      <x:c r="U479" s="75" t="n">
        <x:v>0.01047478046757169</x:v>
      </x:c>
      <x:c r="V479" s="75" t="n">
        <x:v>0.03456876213339274</x:v>
      </x:c>
      <x:c r="W479" s="75" t="n">
        <x:v>0.00932701329515112</x:v>
      </x:c>
      <x:c r="X479" s="75" t="n">
        <x:v>0.024109844391707155</x:v>
      </x:c>
      <x:c r="Y479" s="75" t="n">
        <x:v>0.014023970332811588</x:v>
      </x:c>
      <x:c r="Z479" s="75" t="n">
        <x:v>0.007565271149505861</x:v>
      </x:c>
      <x:c r="AA479" s="75" t="n">
        <x:v>0.007225903018610552</x:v>
      </x:c>
      <x:c r="AB479" s="75" t="n">
        <x:v>0.0033357459013932385</x:v>
      </x:c>
      <x:c r="AC479" s="75" t="n">
        <x:v>0.01984438950603362</x:v>
      </x:c>
      <x:c r="AD479" s="75" t="n">
        <x:v>0.08697795936654439</x:v>
      </x:c>
      <x:c r="AE479" s="75" t="n">
        <x:v>0.08914541080531047</x:v>
      </x:c>
      <x:c r="AF479" s="74" t="n">
        <x:v>7</x:v>
      </x:c>
    </x:row>
    <x:row r="480">
      <x:c r="A480" t="str">
        <x:v>2026 S1</x:v>
      </x:c>
      <x:c r="B480" t="str">
        <x:v>CNCT0120</x:v>
      </x:c>
      <x:c r="C480" s="74" t="n">
        <x:v>1704</x:v>
      </x:c>
      <x:c r="D480" s="74" t="n">
        <x:v>1063.146</x:v>
      </x:c>
      <x:c r="E480" s="75" t="n">
        <x:v>0.9738931736821541</x:v>
      </x:c>
      <x:c r="F480" s="75" t="n">
        <x:v>0.18488056401927314</x:v>
      </x:c>
      <x:c r="G480" s="75" t="n">
        <x:v>0.01869180362274346</x:v>
      </x:c>
      <x:c r="H480" s="75" t="n">
        <x:v>0.010614265487172815</x:v>
      </x:c>
      <x:c r="I480" s="75" t="n">
        <x:v>0.00580059514392633</x:v>
      </x:c>
      <x:c r="J480" s="75" t="n">
        <x:v>0.01006229940423509</x:v>
      </x:c>
      <x:c r="K480" s="75" t="n">
        <x:v>0.008423324250004952</x:v>
      </x:c>
      <x:c r="L480" s="75" t="n">
        <x:v>0.01098972425352258</x:v>
      </x:c>
      <x:c r="M480" s="75" t="n">
        <x:v>0.006033277243703197</x:v>
      </x:c>
      <x:c r="N480" s="75" t="n">
        <x:v>0.008093262244088692</x:v>
      </x:c>
      <x:c r="O480" s="75" t="n">
        <x:v>0.006993976256235327</x:v>
      </x:c>
      <x:c r="P480" s="75" t="n">
        <x:v>0.00027925693918541593</x:v>
      </x:c>
      <x:c r="Q480" s="75" t="n">
        <x:v>0.003450937026529573</x:v>
      </x:c>
      <x:c r="R480" s="75" t="n">
        <x:v>0.3572550536546099</x:v>
      </x:c>
      <x:c r="S480" s="75" t="n">
        <x:v>0.011483441709970066</x:v>
      </x:c>
      <x:c r="T480" s="75" t="n">
        <x:v>0.006692154112999561</x:v>
      </x:c>
      <x:c r="U480" s="75" t="n">
        <x:v>0.01047478046757169</x:v>
      </x:c>
      <x:c r="V480" s="75" t="n">
        <x:v>0.03456876213339274</x:v>
      </x:c>
      <x:c r="W480" s="75" t="n">
        <x:v>0.011476432861907722</x:v>
      </x:c>
      <x:c r="X480" s="75" t="n">
        <x:v>0.029665982208507885</x:v>
      </x:c>
      <x:c r="Y480" s="75" t="n">
        <x:v>0.01725580835888475</x:v>
      </x:c>
      <x:c r="Z480" s="75" t="n">
        <x:v>0.009308695472168806</x:v>
      </x:c>
      <x:c r="AA480" s="75" t="n">
        <x:v>0.00889111961519904</x:v>
      </x:c>
      <x:c r="AB480" s="75" t="n">
        <x:v>0.0041044718893695</x:v>
      </x:c>
      <x:c r="AC480" s="75" t="n">
        <x:v>0.02441754896714244</x:v>
      </x:c>
      <x:c r="AD480" s="75" t="n">
        <x:v>0.08697795936654439</x:v>
      </x:c>
      <x:c r="AE480" s="75" t="n">
        <x:v>0.08733909599544115</x:v>
      </x:c>
      <x:c r="AF480" s="74" t="n">
        <x:v>7</x:v>
      </x:c>
    </x:row>
    <x:row r="481">
      <x:c r="A481" t="str">
        <x:v>2026 S2</x:v>
      </x:c>
      <x:c r="B481" t="str">
        <x:v>CNCT0120</x:v>
      </x:c>
      <x:c r="C481" s="74" t="n">
        <x:v>1830</x:v>
      </x:c>
      <x:c r="D481" s="74" t="n">
        <x:v>1076.673</x:v>
      </x:c>
      <x:c r="E481" s="75" t="n">
        <x:v>0.9751206955724483</x:v>
      </x:c>
      <x:c r="F481" s="75" t="n">
        <x:v>0.17590332323116306</x:v>
      </x:c>
      <x:c r="G481" s="75" t="n">
        <x:v>0.017270998620879253</x:v>
      </x:c>
      <x:c r="H481" s="75" t="n">
        <x:v>0.010614265487172815</x:v>
      </x:c>
      <x:c r="I481" s="75" t="n">
        <x:v>0.00580059514392633</x:v>
      </x:c>
      <x:c r="J481" s="75" t="n">
        <x:v>0.01006229940423509</x:v>
      </x:c>
      <x:c r="K481" s="75" t="n">
        <x:v>0.008423324250004952</x:v>
      </x:c>
      <x:c r="L481" s="75" t="n">
        <x:v>0.01098972425352258</x:v>
      </x:c>
      <x:c r="M481" s="75" t="n">
        <x:v>0.006033277243703197</x:v>
      </x:c>
      <x:c r="N481" s="75" t="n">
        <x:v>0.008093262244088692</x:v>
      </x:c>
      <x:c r="O481" s="75" t="n">
        <x:v>0.006454143865099467</x:v>
      </x:c>
      <x:c r="P481" s="75" t="n">
        <x:v>0.00027925693918541593</x:v>
      </x:c>
      <x:c r="Q481" s="75" t="n">
        <x:v>0.003450937026529573</x:v>
      </x:c>
      <x:c r="R481" s="75" t="n">
        <x:v>0.3616859897539113</x:v>
      </x:c>
      <x:c r="S481" s="75" t="n">
        <x:v>0.011483441709970066</x:v>
      </x:c>
      <x:c r="T481" s="75" t="n">
        <x:v>0.006692154112999561</x:v>
      </x:c>
      <x:c r="U481" s="75" t="n">
        <x:v>0.01047478046757169</x:v>
      </x:c>
      <x:c r="V481" s="75" t="n">
        <x:v>0.03456876213339274</x:v>
      </x:c>
      <x:c r="W481" s="75" t="n">
        <x:v>0.009886634092860187</x:v>
      </x:c>
      <x:c r="X481" s="75" t="n">
        <x:v>0.025556435055209586</x:v>
      </x:c>
      <x:c r="Y481" s="75" t="n">
        <x:v>0.014865408552780283</x:v>
      </x:c>
      <x:c r="Z481" s="75" t="n">
        <x:v>0.008019187418476213</x:v>
      </x:c>
      <x:c r="AA481" s="75" t="n">
        <x:v>0.007659457199727186</x:v>
      </x:c>
      <x:c r="AB481" s="75" t="n">
        <x:v>0.003535890655476833</x:v>
      </x:c>
      <x:c r="AC481" s="75" t="n">
        <x:v>0.02103505287639564</x:v>
      </x:c>
      <x:c r="AD481" s="75" t="n">
        <x:v>0.08697795936654439</x:v>
      </x:c>
      <x:c r="AE481" s="75" t="n">
        <x:v>0.08914541080531047</x:v>
      </x:c>
      <x:c r="AF481" s="74" t="n">
        <x:v>7</x:v>
      </x:c>
    </x:row>
    <x:row r="482">
      <x:c r="A482" t="str">
        <x:v>2025 S1</x:v>
      </x:c>
      <x:c r="B482" t="str">
        <x:v>CNCT0121</x:v>
      </x:c>
      <x:c r="C482" s="74" t="n">
        <x:v>1482</x:v>
      </x:c>
      <x:c r="D482" s="74" t="n">
        <x:v>1086.98</x:v>
      </x:c>
      <x:c r="E482" s="75" t="n">
        <x:v>0.968460187985911</x:v>
      </x:c>
      <x:c r="F482" s="75" t="n">
        <x:v>0.17792242981214076</x:v>
      </x:c>
      <x:c r="G482" s="75" t="n">
        <x:v>0.00903801541717621</x:v>
      </x:c>
      <x:c r="H482" s="75" t="n">
        <x:v>0.011968808073546826</x:v>
      </x:c>
      <x:c r="I482" s="75" t="n">
        <x:v>0.008400962230432924</x:v>
      </x:c>
      <x:c r="J482" s="75" t="n">
        <x:v>0.012299208762386115</x:v>
      </x:c>
      <x:c r="K482" s="75" t="n">
        <x:v>0.008023359541621176</x:v>
      </x:c>
      <x:c r="L482" s="75" t="n">
        <x:v>0.010488066674006404</x:v>
      </x:c>
      <x:c r="M482" s="75" t="n">
        <x:v>0.008286162505217362</x:v>
      </x:c>
      <x:c r="N482" s="75" t="n">
        <x:v>0.008543775416503195</x:v>
      </x:c>
      <x:c r="O482" s="75" t="n">
        <x:v>0.014723498054641822</x:v>
      </x:c>
      <x:c r="P482" s="75" t="n">
        <x:v>0.0016060527323970746</x:v>
      </x:c>
      <x:c r="Q482" s="75" t="n">
        <x:v>0.002008408940415393</x:v>
      </x:c>
      <x:c r="R482" s="75" t="n">
        <x:v>0.3739507138956464</x:v>
      </x:c>
      <x:c r="S482" s="75" t="n">
        <x:v>0.014932843415603202</x:v>
      </x:c>
      <x:c r="T482" s="75" t="n">
        <x:v>0.0032346906689635947</x:v>
      </x:c>
      <x:c r="U482" s="75" t="n">
        <x:v>0.007918501960928552</x:v>
      </x:c>
      <x:c r="V482" s="75" t="n">
        <x:v>0.03122783710365184</x:v>
      </x:c>
      <x:c r="W482" s="75" t="n">
        <x:v>0.00997683451804187</x:v>
      </x:c>
      <x:c r="X482" s="75" t="n">
        <x:v>0.024597970928218273</x:v>
      </x:c>
      <x:c r="Y482" s="75" t="n">
        <x:v>0.019021162097358685</x:v>
      </x:c>
      <x:c r="Z482" s="75" t="n">
        <x:v>0.007925559552779305</x:v>
      </x:c>
      <x:c r="AA482" s="75" t="n">
        <x:v>0.007679250858956948</x:v>
      </x:c>
      <x:c r="AB482" s="75" t="n">
        <x:v>0.006223444909206592</x:v>
      </x:c>
      <x:c r="AC482" s="75" t="n">
        <x:v>0.021320759378984804</x:v>
      </x:c>
      <x:c r="AD482" s="75" t="n">
        <x:v>0.09686047282855725</x:v>
      </x:c>
      <x:c r="AE482" s="75" t="n">
        <x:v>0.08045674054670962</x:v>
      </x:c>
      <x:c r="AF482" s="74" t="n">
        <x:v>9</x:v>
      </x:c>
    </x:row>
    <x:row r="483">
      <x:c r="A483" t="str">
        <x:v>2025 S2</x:v>
      </x:c>
      <x:c r="B483" t="str">
        <x:v>CNCT0121</x:v>
      </x:c>
      <x:c r="C483" s="74" t="n">
        <x:v>1583</x:v>
      </x:c>
      <x:c r="D483" s="74" t="n">
        <x:v>1100.024</x:v>
      </x:c>
      <x:c r="E483" s="75" t="n">
        <x:v>0.9647961953324266</x:v>
      </x:c>
      <x:c r="F483" s="75" t="n">
        <x:v>0.17792242981214076</x:v>
      </x:c>
      <x:c r="G483" s="75" t="n">
        <x:v>0.00903801541717621</x:v>
      </x:c>
      <x:c r="H483" s="75" t="n">
        <x:v>0.011968808073546826</x:v>
      </x:c>
      <x:c r="I483" s="75" t="n">
        <x:v>0.008400962230432924</x:v>
      </x:c>
      <x:c r="J483" s="75" t="n">
        <x:v>0.012299208762386115</x:v>
      </x:c>
      <x:c r="K483" s="75" t="n">
        <x:v>0.008023359541621176</x:v>
      </x:c>
      <x:c r="L483" s="75" t="n">
        <x:v>0.010488066674006404</x:v>
      </x:c>
      <x:c r="M483" s="75" t="n">
        <x:v>0.008286162505217362</x:v>
      </x:c>
      <x:c r="N483" s="75" t="n">
        <x:v>0.008543775416503195</x:v>
      </x:c>
      <x:c r="O483" s="75" t="n">
        <x:v>0.014723498054641822</x:v>
      </x:c>
      <x:c r="P483" s="75" t="n">
        <x:v>0.0016060527323970746</x:v>
      </x:c>
      <x:c r="Q483" s="75" t="n">
        <x:v>0.002008408940415393</x:v>
      </x:c>
      <x:c r="R483" s="75" t="n">
        <x:v>0.39316674131633905</x:v>
      </x:c>
      <x:c r="S483" s="75" t="n">
        <x:v>0.014932843415603202</x:v>
      </x:c>
      <x:c r="T483" s="75" t="n">
        <x:v>0.0032346906689635947</x:v>
      </x:c>
      <x:c r="U483" s="75" t="n">
        <x:v>0.007918501960928552</x:v>
      </x:c>
      <x:c r="V483" s="75" t="n">
        <x:v>0.03122783710365184</x:v>
      </x:c>
      <x:c r="W483" s="75" t="n">
        <x:v>0.00997683451804187</x:v>
      </x:c>
      <x:c r="X483" s="75" t="n">
        <x:v>0.024597970928218273</x:v>
      </x:c>
      <x:c r="Y483" s="75" t="n">
        <x:v>0.019021162097358685</x:v>
      </x:c>
      <x:c r="Z483" s="75" t="n">
        <x:v>0.007925559552779305</x:v>
      </x:c>
      <x:c r="AA483" s="75" t="n">
        <x:v>0.007679250858956948</x:v>
      </x:c>
      <x:c r="AB483" s="75" t="n">
        <x:v>0.006223444909206592</x:v>
      </x:c>
      <x:c r="AC483" s="75" t="n">
        <x:v>0.021320759378984804</x:v>
      </x:c>
      <x:c r="AD483" s="75" t="n">
        <x:v>0.09686047282855725</x:v>
      </x:c>
      <x:c r="AE483" s="75" t="n">
        <x:v>0.08045674054670962</x:v>
      </x:c>
      <x:c r="AF483" s="74" t="n">
        <x:v>9</x:v>
      </x:c>
    </x:row>
    <x:row r="484">
      <x:c r="A484" t="str">
        <x:v>2026 S1</x:v>
      </x:c>
      <x:c r="B484" t="str">
        <x:v>CNCT0121</x:v>
      </x:c>
      <x:c r="C484" s="74" t="n">
        <x:v>1418</x:v>
      </x:c>
      <x:c r="D484" s="74" t="n">
        <x:v>1131.27</x:v>
      </x:c>
      <x:c r="E484" s="75" t="n">
        <x:v>0.9658847992523224</x:v>
      </x:c>
      <x:c r="F484" s="75" t="n">
        <x:v>0.1772410888231825</x:v>
      </x:c>
      <x:c r="G484" s="75" t="n">
        <x:v>0.008661684759110357</x:v>
      </x:c>
      <x:c r="H484" s="75" t="n">
        <x:v>0.011968808073546826</x:v>
      </x:c>
      <x:c r="I484" s="75" t="n">
        <x:v>0.008400962230432924</x:v>
      </x:c>
      <x:c r="J484" s="75" t="n">
        <x:v>0.012299208762386115</x:v>
      </x:c>
      <x:c r="K484" s="75" t="n">
        <x:v>0.008023359541621176</x:v>
      </x:c>
      <x:c r="L484" s="75" t="n">
        <x:v>0.010488066674006404</x:v>
      </x:c>
      <x:c r="M484" s="75" t="n">
        <x:v>0.008286162505217362</x:v>
      </x:c>
      <x:c r="N484" s="75" t="n">
        <x:v>0.008543775416503195</x:v>
      </x:c>
      <x:c r="O484" s="75" t="n">
        <x:v>0.013152320518631314</x:v>
      </x:c>
      <x:c r="P484" s="75" t="n">
        <x:v>0.0016060527323970746</x:v>
      </x:c>
      <x:c r="Q484" s="75" t="n">
        <x:v>0.002008408940415393</x:v>
      </x:c>
      <x:c r="R484" s="75" t="n">
        <x:v>0.3745333800797294</x:v>
      </x:c>
      <x:c r="S484" s="75" t="n">
        <x:v>0.014932843415603202</x:v>
      </x:c>
      <x:c r="T484" s="75" t="n">
        <x:v>0.0032346906689635947</x:v>
      </x:c>
      <x:c r="U484" s="75" t="n">
        <x:v>0.007918501960928552</x:v>
      </x:c>
      <x:c r="V484" s="75" t="n">
        <x:v>0.03122783710365184</x:v>
      </x:c>
      <x:c r="W484" s="75" t="n">
        <x:v>0.012276006037237655</x:v>
      </x:c>
      <x:c r="X484" s="75" t="n">
        <x:v>0.030266597994838725</x:v>
      </x:c>
      <x:c r="Y484" s="75" t="n">
        <x:v>0.023404607976627093</x:v>
      </x:c>
      <x:c r="Z484" s="75" t="n">
        <x:v>0.009752012699264559</x:v>
      </x:c>
      <x:c r="AA484" s="75" t="n">
        <x:v>0.009448941919958816</x:v>
      </x:c>
      <x:c r="AB484" s="75" t="n">
        <x:v>0.00765764402924373</x:v>
      </x:c>
      <x:c r="AC484" s="75" t="n">
        <x:v>0.026234149757780954</x:v>
      </x:c>
      <x:c r="AD484" s="75" t="n">
        <x:v>0.09686047282855725</x:v>
      </x:c>
      <x:c r="AE484" s="75" t="n">
        <x:v>0.08045674054670962</x:v>
      </x:c>
      <x:c r="AF484" s="74" t="n">
        <x:v>9</x:v>
      </x:c>
    </x:row>
    <x:row r="485">
      <x:c r="A485" t="str">
        <x:v>2026 S2</x:v>
      </x:c>
      <x:c r="B485" t="str">
        <x:v>CNCT0121</x:v>
      </x:c>
      <x:c r="C485" s="74" t="n">
        <x:v>1508</x:v>
      </x:c>
      <x:c r="D485" s="74" t="n">
        <x:v>1143.021</x:v>
      </x:c>
      <x:c r="E485" s="75" t="n">
        <x:v>0.9647961953324266</x:v>
      </x:c>
      <x:c r="F485" s="75" t="n">
        <x:v>0.1823975080614182</x:v>
      </x:c>
      <x:c r="G485" s="75" t="n">
        <x:v>0.008838136605398176</x:v>
      </x:c>
      <x:c r="H485" s="75" t="n">
        <x:v>0.011968808073546826</x:v>
      </x:c>
      <x:c r="I485" s="75" t="n">
        <x:v>0.008400962230432924</x:v>
      </x:c>
      <x:c r="J485" s="75" t="n">
        <x:v>0.012299208762386115</x:v>
      </x:c>
      <x:c r="K485" s="75" t="n">
        <x:v>0.008023359541621176</x:v>
      </x:c>
      <x:c r="L485" s="75" t="n">
        <x:v>0.010488066674006404</x:v>
      </x:c>
      <x:c r="M485" s="75" t="n">
        <x:v>0.008286162505217362</x:v>
      </x:c>
      <x:c r="N485" s="75" t="n">
        <x:v>0.008543775416503195</x:v>
      </x:c>
      <x:c r="O485" s="75" t="n">
        <x:v>0.014723498054641822</x:v>
      </x:c>
      <x:c r="P485" s="75" t="n">
        <x:v>0.0016060527323970746</x:v>
      </x:c>
      <x:c r="Q485" s="75" t="n">
        <x:v>0.002008408940415393</x:v>
      </x:c>
      <x:c r="R485" s="75" t="n">
        <x:v>0.3929262319309985</x:v>
      </x:c>
      <x:c r="S485" s="75" t="n">
        <x:v>0.014932843415603202</x:v>
      </x:c>
      <x:c r="T485" s="75" t="n">
        <x:v>0.0032346906689635947</x:v>
      </x:c>
      <x:c r="U485" s="75" t="n">
        <x:v>0.007918501960928552</x:v>
      </x:c>
      <x:c r="V485" s="75" t="n">
        <x:v>0.03122783710365184</x:v>
      </x:c>
      <x:c r="W485" s="75" t="n">
        <x:v>0.010575444589124383</x:v>
      </x:c>
      <x:c r="X485" s="75" t="n">
        <x:v>0.026073849183911372</x:v>
      </x:c>
      <x:c r="Y485" s="75" t="n">
        <x:v>0.020162431823200207</x:v>
      </x:c>
      <x:c r="Z485" s="75" t="n">
        <x:v>0.008401093125946064</x:v>
      </x:c>
      <x:c r="AA485" s="75" t="n">
        <x:v>0.008140005910494366</x:v>
      </x:c>
      <x:c r="AB485" s="75" t="n">
        <x:v>0.006596851603758988</x:v>
      </x:c>
      <x:c r="AC485" s="75" t="n">
        <x:v>0.022600004941723893</x:v>
      </x:c>
      <x:c r="AD485" s="75" t="n">
        <x:v>0.09686047282855725</x:v>
      </x:c>
      <x:c r="AE485" s="75" t="n">
        <x:v>0.08045674054670962</x:v>
      </x:c>
      <x:c r="AF485" s="74" t="n">
        <x:v>9</x:v>
      </x:c>
    </x:row>
    <x:row r="486">
      <x:c r="A486" t="str">
        <x:v>2025 S1</x:v>
      </x:c>
      <x:c r="B486" t="str">
        <x:v>CNCT0122</x:v>
      </x:c>
      <x:c r="C486" s="74" t="n">
        <x:v>1405</x:v>
      </x:c>
      <x:c r="D486" s="74" t="n">
        <x:v>1048.351</x:v>
      </x:c>
      <x:c r="E486" s="75" t="n">
        <x:v>0.9610570096204174</x:v>
      </x:c>
      <x:c r="F486" s="75" t="n">
        <x:v>0.16775312465708703</x:v>
      </x:c>
      <x:c r="G486" s="75" t="n">
        <x:v>0.011967510067450348</x:v>
      </x:c>
      <x:c r="H486" s="75" t="n">
        <x:v>0.007970154261594871</x:v>
      </x:c>
      <x:c r="I486" s="75" t="n">
        <x:v>0.008662427661400216</x:v>
      </x:c>
      <x:c r="J486" s="75" t="n">
        <x:v>0.017103079977328888</x:v>
      </x:c>
      <x:c r="K486" s="75" t="n">
        <x:v>0.013502199149945226</x:v>
      </x:c>
      <x:c r="L486" s="75" t="n">
        <x:v>0.01385881449196313</x:v>
      </x:c>
      <x:c r="M486" s="75" t="n">
        <x:v>0.010339242073467175</x:v>
      </x:c>
      <x:c r="N486" s="75" t="n">
        <x:v>0.0068928068572131455</x:v>
      </x:c>
      <x:c r="O486" s="75" t="n">
        <x:v>0.007705540987240965</x:v>
      </x:c>
      <x:c r="P486" s="75" t="n">
        <x:v>0.0005342418164436822</x:v>
      </x:c>
      <x:c r="Q486" s="75" t="n">
        <x:v>0.002512978235507035</x:v>
      </x:c>
      <x:c r="R486" s="75" t="n">
        <x:v>0.37156096476917666</x:v>
      </x:c>
      <x:c r="S486" s="75" t="n">
        <x:v>0.01630971526405483</x:v>
      </x:c>
      <x:c r="T486" s="75" t="n">
        <x:v>0.0049154622344155996</x:v>
      </x:c>
      <x:c r="U486" s="75" t="n">
        <x:v>0.012563320457964437</x:v>
      </x:c>
      <x:c r="V486" s="75" t="n">
        <x:v>0.03262214867283183</x:v>
      </x:c>
      <x:c r="W486" s="75" t="n">
        <x:v>0.014490625106715015</x:v>
      </x:c>
      <x:c r="X486" s="75" t="n">
        <x:v>0.020527421986909756</x:v>
      </x:c>
      <x:c r="Y486" s="75" t="n">
        <x:v>0.017574642052990384</x:v>
      </x:c>
      <x:c r="Z486" s="75" t="n">
        <x:v>0.004281580974651661</x:v>
      </x:c>
      <x:c r="AA486" s="75" t="n">
        <x:v>0.0060861375360836975</x:v>
      </x:c>
      <x:c r="AB486" s="75" t="n">
        <x:v>0.0030727336328272943</x:v>
      </x:c>
      <x:c r="AC486" s="75" t="n">
        <x:v>0.023422553721495203</x:v>
      </x:c>
      <x:c r="AD486" s="75" t="n">
        <x:v>0.1085942038547364</x:v>
      </x:c>
      <x:c r="AE486" s="75" t="n">
        <x:v>0.07303506524473778</x:v>
      </x:c>
      <x:c r="AF486" s="74" t="n">
        <x:v>6</x:v>
      </x:c>
    </x:row>
    <x:row r="487">
      <x:c r="A487" t="str">
        <x:v>2025 S2</x:v>
      </x:c>
      <x:c r="B487" t="str">
        <x:v>CNCT0122</x:v>
      </x:c>
      <x:c r="C487" s="74" t="n">
        <x:v>1521</x:v>
      </x:c>
      <x:c r="D487" s="74" t="n">
        <x:v>1060.931</x:v>
      </x:c>
      <x:c r="E487" s="75" t="n">
        <x:v>0.9729851091796882</x:v>
      </x:c>
      <x:c r="F487" s="75" t="n">
        <x:v>0.16775312465708703</x:v>
      </x:c>
      <x:c r="G487" s="75" t="n">
        <x:v>0.011967510067450348</x:v>
      </x:c>
      <x:c r="H487" s="75" t="n">
        <x:v>0.007970154261594871</x:v>
      </x:c>
      <x:c r="I487" s="75" t="n">
        <x:v>0.008662427661400216</x:v>
      </x:c>
      <x:c r="J487" s="75" t="n">
        <x:v>0.017103079977328888</x:v>
      </x:c>
      <x:c r="K487" s="75" t="n">
        <x:v>0.013502199149945226</x:v>
      </x:c>
      <x:c r="L487" s="75" t="n">
        <x:v>0.01385881449196313</x:v>
      </x:c>
      <x:c r="M487" s="75" t="n">
        <x:v>0.010339242073467175</x:v>
      </x:c>
      <x:c r="N487" s="75" t="n">
        <x:v>0.0068928068572131455</x:v>
      </x:c>
      <x:c r="O487" s="75" t="n">
        <x:v>0.007705540987240965</x:v>
      </x:c>
      <x:c r="P487" s="75" t="n">
        <x:v>0.0005342418164436822</x:v>
      </x:c>
      <x:c r="Q487" s="75" t="n">
        <x:v>0.002512978235507035</x:v>
      </x:c>
      <x:c r="R487" s="75" t="n">
        <x:v>0.36974175913624824</x:v>
      </x:c>
      <x:c r="S487" s="75" t="n">
        <x:v>0.01630971526405483</x:v>
      </x:c>
      <x:c r="T487" s="75" t="n">
        <x:v>0.0049154622344155996</x:v>
      </x:c>
      <x:c r="U487" s="75" t="n">
        <x:v>0.012563320457964437</x:v>
      </x:c>
      <x:c r="V487" s="75" t="n">
        <x:v>0.03262214867283183</x:v>
      </x:c>
      <x:c r="W487" s="75" t="n">
        <x:v>0.014490625106715015</x:v>
      </x:c>
      <x:c r="X487" s="75" t="n">
        <x:v>0.020527421986909756</x:v>
      </x:c>
      <x:c r="Y487" s="75" t="n">
        <x:v>0.017574642052990384</x:v>
      </x:c>
      <x:c r="Z487" s="75" t="n">
        <x:v>0.004281580974651661</x:v>
      </x:c>
      <x:c r="AA487" s="75" t="n">
        <x:v>0.0060861375360836975</x:v>
      </x:c>
      <x:c r="AB487" s="75" t="n">
        <x:v>0.0030727336328272943</x:v>
      </x:c>
      <x:c r="AC487" s="75" t="n">
        <x:v>0.023422553721495203</x:v>
      </x:c>
      <x:c r="AD487" s="75" t="n">
        <x:v>0.1085942038547364</x:v>
      </x:c>
      <x:c r="AE487" s="75" t="n">
        <x:v>0.07303506524473778</x:v>
      </x:c>
      <x:c r="AF487" s="74" t="n">
        <x:v>6</x:v>
      </x:c>
    </x:row>
    <x:row r="488">
      <x:c r="A488" t="str">
        <x:v>2026 S1</x:v>
      </x:c>
      <x:c r="B488" t="str">
        <x:v>CNCT0122</x:v>
      </x:c>
      <x:c r="C488" s="74" t="n">
        <x:v>1389</x:v>
      </x:c>
      <x:c r="D488" s="74" t="n">
        <x:v>1085.909</x:v>
      </x:c>
      <x:c r="E488" s="75" t="n">
        <x:v>0.9643924389993772</x:v>
      </x:c>
      <x:c r="F488" s="75" t="n">
        <x:v>0.17125730568350991</x:v>
      </x:c>
      <x:c r="G488" s="75" t="n">
        <x:v>0.011962564040703</x:v>
      </x:c>
      <x:c r="H488" s="75" t="n">
        <x:v>0.007970154261594871</x:v>
      </x:c>
      <x:c r="I488" s="75" t="n">
        <x:v>0.008662427661400216</x:v>
      </x:c>
      <x:c r="J488" s="75" t="n">
        <x:v>0.017103079977328888</x:v>
      </x:c>
      <x:c r="K488" s="75" t="n">
        <x:v>0.013502199149945226</x:v>
      </x:c>
      <x:c r="L488" s="75" t="n">
        <x:v>0.01385881449196313</x:v>
      </x:c>
      <x:c r="M488" s="75" t="n">
        <x:v>0.010339242073467175</x:v>
      </x:c>
      <x:c r="N488" s="75" t="n">
        <x:v>0.0068928068572131455</x:v>
      </x:c>
      <x:c r="O488" s="75" t="n">
        <x:v>0.005967495459059136</x:v>
      </x:c>
      <x:c r="P488" s="75" t="n">
        <x:v>0.0005342418164436822</x:v>
      </x:c>
      <x:c r="Q488" s="75" t="n">
        <x:v>0.002512978235507035</x:v>
      </x:c>
      <x:c r="R488" s="75" t="n">
        <x:v>0.37278511148177407</x:v>
      </x:c>
      <x:c r="S488" s="75" t="n">
        <x:v>0.01630971526405483</x:v>
      </x:c>
      <x:c r="T488" s="75" t="n">
        <x:v>0.0049154622344155996</x:v>
      </x:c>
      <x:c r="U488" s="75" t="n">
        <x:v>0.012563320457964437</x:v>
      </x:c>
      <x:c r="V488" s="75" t="n">
        <x:v>0.03262214867283183</x:v>
      </x:c>
      <x:c r="W488" s="75" t="n">
        <x:v>0.01783000419338363</x:v>
      </x:c>
      <x:c r="X488" s="75" t="n">
        <x:v>0.025257986968163882</x:v>
      </x:c>
      <x:c r="Y488" s="75" t="n">
        <x:v>0.021624735937501024</x:v>
      </x:c>
      <x:c r="Z488" s="75" t="n">
        <x:v>0.005268275603719409</x:v>
      </x:c>
      <x:c r="AA488" s="75" t="n">
        <x:v>0.007488694034296362</x:v>
      </x:c>
      <x:c r="AB488" s="75" t="n">
        <x:v>0.0037808481797705963</x:v>
      </x:c>
      <x:c r="AC488" s="75" t="n">
        <x:v>0.028820304714148183</x:v>
      </x:c>
      <x:c r="AD488" s="75" t="n">
        <x:v>0.1085942038547364</x:v>
      </x:c>
      <x:c r="AE488" s="75" t="n">
        <x:v>0.07303506524473778</x:v>
      </x:c>
      <x:c r="AF488" s="74" t="n">
        <x:v>6</x:v>
      </x:c>
    </x:row>
    <x:row r="489">
      <x:c r="A489" t="str">
        <x:v>2026 S2</x:v>
      </x:c>
      <x:c r="B489" t="str">
        <x:v>CNCT0122</x:v>
      </x:c>
      <x:c r="C489" s="74" t="n">
        <x:v>1549</x:v>
      </x:c>
      <x:c r="D489" s="74" t="n">
        <x:v>1086.158</x:v>
      </x:c>
      <x:c r="E489" s="75" t="n">
        <x:v>0.9729851091796882</x:v>
      </x:c>
      <x:c r="F489" s="75" t="n">
        <x:v>0.16503994201607566</x:v>
      </x:c>
      <x:c r="G489" s="75" t="n">
        <x:v>0.010645200498955091</x:v>
      </x:c>
      <x:c r="H489" s="75" t="n">
        <x:v>0.007970154261594871</x:v>
      </x:c>
      <x:c r="I489" s="75" t="n">
        <x:v>0.008662427661400216</x:v>
      </x:c>
      <x:c r="J489" s="75" t="n">
        <x:v>0.017103079977328888</x:v>
      </x:c>
      <x:c r="K489" s="75" t="n">
        <x:v>0.013502199149945226</x:v>
      </x:c>
      <x:c r="L489" s="75" t="n">
        <x:v>0.01385881449196313</x:v>
      </x:c>
      <x:c r="M489" s="75" t="n">
        <x:v>0.010339242073467175</x:v>
      </x:c>
      <x:c r="N489" s="75" t="n">
        <x:v>0.0068928068572131455</x:v>
      </x:c>
      <x:c r="O489" s="75" t="n">
        <x:v>0.007705540987240965</x:v>
      </x:c>
      <x:c r="P489" s="75" t="n">
        <x:v>0.0005342418164436822</x:v>
      </x:c>
      <x:c r="Q489" s="75" t="n">
        <x:v>0.002512978235507035</x:v>
      </x:c>
      <x:c r="R489" s="75" t="n">
        <x:v>0.3700479574417426</x:v>
      </x:c>
      <x:c r="S489" s="75" t="n">
        <x:v>0.01630971526405483</x:v>
      </x:c>
      <x:c r="T489" s="75" t="n">
        <x:v>0.0049154622344155996</x:v>
      </x:c>
      <x:c r="U489" s="75" t="n">
        <x:v>0.012563320457964437</x:v>
      </x:c>
      <x:c r="V489" s="75" t="n">
        <x:v>0.03262214867283183</x:v>
      </x:c>
      <x:c r="W489" s="75" t="n">
        <x:v>0.015360062613117917</x:v>
      </x:c>
      <x:c r="X489" s="75" t="n">
        <x:v>0.02175906730612434</x:v>
      </x:c>
      <x:c r="Y489" s="75" t="n">
        <x:v>0.01862912057616981</x:v>
      </x:c>
      <x:c r="Z489" s="75" t="n">
        <x:v>0.004538475833130761</x:v>
      </x:c>
      <x:c r="AA489" s="75" t="n">
        <x:v>0.00645130578824872</x:v>
      </x:c>
      <x:c r="AB489" s="75" t="n">
        <x:v>0.003257097650796932</x:v>
      </x:c>
      <x:c r="AC489" s="75" t="n">
        <x:v>0.024827906944784917</x:v>
      </x:c>
      <x:c r="AD489" s="75" t="n">
        <x:v>0.1085942038547364</x:v>
      </x:c>
      <x:c r="AE489" s="75" t="n">
        <x:v>0.07303506524473778</x:v>
      </x:c>
      <x:c r="AF489" s="74" t="n">
        <x:v>6</x:v>
      </x:c>
    </x:row>
    <x:row r="490">
      <x:c r="A490" t="str">
        <x:v>2025 S1</x:v>
      </x:c>
      <x:c r="B490" t="str">
        <x:v>CNCT0123</x:v>
      </x:c>
      <x:c r="C490" s="74" t="n">
        <x:v>1847</x:v>
      </x:c>
      <x:c r="D490" s="74" t="n">
        <x:v>1076.293</x:v>
      </x:c>
      <x:c r="E490" s="75" t="n">
        <x:v>0.9757159617415746</x:v>
      </x:c>
      <x:c r="F490" s="75" t="n">
        <x:v>0.185366290058475</x:v>
      </x:c>
      <x:c r="G490" s="75" t="n">
        <x:v>0.018321059783629606</x:v>
      </x:c>
      <x:c r="H490" s="75" t="n">
        <x:v>0.011214895019649703</x:v>
      </x:c>
      <x:c r="I490" s="75" t="n">
        <x:v>0.010132662710746445</x:v>
      </x:c>
      <x:c r="J490" s="75" t="n">
        <x:v>0.015347727635842603</x:v>
      </x:c>
      <x:c r="K490" s="75" t="n">
        <x:v>0.008657211738292972</x:v>
      </x:c>
      <x:c r="L490" s="75" t="n">
        <x:v>0.010983600264982669</x:v>
      </x:c>
      <x:c r="M490" s="75" t="n">
        <x:v>0.00736475532635086</x:v>
      </x:c>
      <x:c r="N490" s="75" t="n">
        <x:v>0.007914330107072601</x:v>
      </x:c>
      <x:c r="O490" s="75" t="n">
        <x:v>0.011911790480458876</x:v>
      </x:c>
      <x:c r="P490" s="75" t="n">
        <x:v>0.002978645642171614</x:v>
      </x:c>
      <x:c r="Q490" s="75" t="n">
        <x:v>0.0061593178618204545</x:v>
      </x:c>
      <x:c r="R490" s="75" t="n">
        <x:v>0.35997231681167324</x:v>
      </x:c>
      <x:c r="S490" s="75" t="n">
        <x:v>0.016621418019807606</x:v>
      </x:c>
      <x:c r="T490" s="75" t="n">
        <x:v>0.006180976334857405</x:v>
      </x:c>
      <x:c r="U490" s="75" t="n">
        <x:v>0.005088662906578974</x:v>
      </x:c>
      <x:c r="V490" s="75" t="n">
        <x:v>0.037040946654837176</x:v>
      </x:c>
      <x:c r="W490" s="75" t="n">
        <x:v>0.012564996256362065</x:v>
      </x:c>
      <x:c r="X490" s="75" t="n">
        <x:v>0.02492912959048408</x:v>
      </x:c>
      <x:c r="Y490" s="75" t="n">
        <x:v>0.018860709049418802</x:v>
      </x:c>
      <x:c r="Z490" s="75" t="n">
        <x:v>0.005447403980564559</x:v>
      </x:c>
      <x:c r="AA490" s="75" t="n">
        <x:v>0.005312894521899579</x:v>
      </x:c>
      <x:c r="AB490" s="75" t="n">
        <x:v>0.005616288825782249</x:v>
      </x:c>
      <x:c r="AC490" s="75" t="n">
        <x:v>0.021968666787070105</x:v>
      </x:c>
      <x:c r="AD490" s="75" t="n">
        <x:v>0.08324571543550702</x:v>
      </x:c>
      <x:c r="AE490" s="75" t="n">
        <x:v>0.09192929631689913</x:v>
      </x:c>
      <x:c r="AF490" s="74" t="n">
        <x:v>8</x:v>
      </x:c>
    </x:row>
    <x:row r="491">
      <x:c r="A491" t="str">
        <x:v>2025 S2</x:v>
      </x:c>
      <x:c r="B491" t="str">
        <x:v>CNCT0123</x:v>
      </x:c>
      <x:c r="C491" s="74" t="n">
        <x:v>1988</x:v>
      </x:c>
      <x:c r="D491" s="74" t="n">
        <x:v>1089.208</x:v>
      </x:c>
      <x:c r="E491" s="75" t="n">
        <x:v>0.9685894998246803</x:v>
      </x:c>
      <x:c r="F491" s="75" t="n">
        <x:v>0.185366290058475</x:v>
      </x:c>
      <x:c r="G491" s="75" t="n">
        <x:v>0.018321059783629606</x:v>
      </x:c>
      <x:c r="H491" s="75" t="n">
        <x:v>0.011214895019649703</x:v>
      </x:c>
      <x:c r="I491" s="75" t="n">
        <x:v>0.010132662710746445</x:v>
      </x:c>
      <x:c r="J491" s="75" t="n">
        <x:v>0.015347727635842603</x:v>
      </x:c>
      <x:c r="K491" s="75" t="n">
        <x:v>0.008657211738292972</x:v>
      </x:c>
      <x:c r="L491" s="75" t="n">
        <x:v>0.010983600264982669</x:v>
      </x:c>
      <x:c r="M491" s="75" t="n">
        <x:v>0.00736475532635086</x:v>
      </x:c>
      <x:c r="N491" s="75" t="n">
        <x:v>0.007914330107072601</x:v>
      </x:c>
      <x:c r="O491" s="75" t="n">
        <x:v>0.011911790480458876</x:v>
      </x:c>
      <x:c r="P491" s="75" t="n">
        <x:v>0.002978645642171614</x:v>
      </x:c>
      <x:c r="Q491" s="75" t="n">
        <x:v>0.0061593178618204545</x:v>
      </x:c>
      <x:c r="R491" s="75" t="n">
        <x:v>0.3637865218026275</x:v>
      </x:c>
      <x:c r="S491" s="75" t="n">
        <x:v>0.016621418019807606</x:v>
      </x:c>
      <x:c r="T491" s="75" t="n">
        <x:v>0.006180976334857405</x:v>
      </x:c>
      <x:c r="U491" s="75" t="n">
        <x:v>0.005088662906578974</x:v>
      </x:c>
      <x:c r="V491" s="75" t="n">
        <x:v>0.037040946654837176</x:v>
      </x:c>
      <x:c r="W491" s="75" t="n">
        <x:v>0.012564996256362065</x:v>
      </x:c>
      <x:c r="X491" s="75" t="n">
        <x:v>0.02492912959048408</x:v>
      </x:c>
      <x:c r="Y491" s="75" t="n">
        <x:v>0.018860709049418802</x:v>
      </x:c>
      <x:c r="Z491" s="75" t="n">
        <x:v>0.005447403980564559</x:v>
      </x:c>
      <x:c r="AA491" s="75" t="n">
        <x:v>0.005312894521899579</x:v>
      </x:c>
      <x:c r="AB491" s="75" t="n">
        <x:v>0.005616288825782249</x:v>
      </x:c>
      <x:c r="AC491" s="75" t="n">
        <x:v>0.021968666787070105</x:v>
      </x:c>
      <x:c r="AD491" s="75" t="n">
        <x:v>0.08324571543550702</x:v>
      </x:c>
      <x:c r="AE491" s="75" t="n">
        <x:v>0.09192929631689913</x:v>
      </x:c>
      <x:c r="AF491" s="74" t="n">
        <x:v>8</x:v>
      </x:c>
    </x:row>
    <x:row r="492">
      <x:c r="A492" t="str">
        <x:v>2026 S1</x:v>
      </x:c>
      <x:c r="B492" t="str">
        <x:v>CNCT0123</x:v>
      </x:c>
      <x:c r="C492" s="74" t="n">
        <x:v>1853</x:v>
      </x:c>
      <x:c r="D492" s="74" t="n">
        <x:v>1131.295</x:v>
      </x:c>
      <x:c r="E492" s="75" t="n">
        <x:v>0.9729866698318365</x:v>
      </x:c>
      <x:c r="F492" s="75" t="n">
        <x:v>0.18333980522933416</x:v>
      </x:c>
      <x:c r="G492" s="75" t="n">
        <x:v>0.018989092075848018</x:v>
      </x:c>
      <x:c r="H492" s="75" t="n">
        <x:v>0.011214895019649703</x:v>
      </x:c>
      <x:c r="I492" s="75" t="n">
        <x:v>0.010132662710746445</x:v>
      </x:c>
      <x:c r="J492" s="75" t="n">
        <x:v>0.015347727635842603</x:v>
      </x:c>
      <x:c r="K492" s="75" t="n">
        <x:v>0.008657211738292972</x:v>
      </x:c>
      <x:c r="L492" s="75" t="n">
        <x:v>0.010983600264982669</x:v>
      </x:c>
      <x:c r="M492" s="75" t="n">
        <x:v>0.00736475532635086</x:v>
      </x:c>
      <x:c r="N492" s="75" t="n">
        <x:v>0.007914330107072601</x:v>
      </x:c>
      <x:c r="O492" s="75" t="n">
        <x:v>0.01211690511429333</x:v>
      </x:c>
      <x:c r="P492" s="75" t="n">
        <x:v>0.002978645642171614</x:v>
      </x:c>
      <x:c r="Q492" s="75" t="n">
        <x:v>0.0061593178618204545</x:v>
      </x:c>
      <x:c r="R492" s="75" t="n">
        <x:v>0.3614708608663647</x:v>
      </x:c>
      <x:c r="S492" s="75" t="n">
        <x:v>0.016621418019807606</x:v>
      </x:c>
      <x:c r="T492" s="75" t="n">
        <x:v>0.006180976334857405</x:v>
      </x:c>
      <x:c r="U492" s="75" t="n">
        <x:v>0.005088662906578974</x:v>
      </x:c>
      <x:c r="V492" s="75" t="n">
        <x:v>0.037040946654837176</x:v>
      </x:c>
      <x:c r="W492" s="75" t="n">
        <x:v>0.015460612243495759</x:v>
      </x:c>
      <x:c r="X492" s="75" t="n">
        <x:v>0.030674072502901075</x:v>
      </x:c>
      <x:c r="Y492" s="75" t="n">
        <x:v>0.023207178362891275</x:v>
      </x:c>
      <x:c r="Z492" s="75" t="n">
        <x:v>0.006702763690402258</x:v>
      </x:c>
      <x:c r="AA492" s="75" t="n">
        <x:v>0.006537256392105308</x:v>
      </x:c>
      <x:c r="AB492" s="75" t="n">
        <x:v>0.006910568217553743</x:v>
      </x:c>
      <x:c r="AC492" s="75" t="n">
        <x:v>0.0270313680777644</x:v>
      </x:c>
      <x:c r="AD492" s="75" t="n">
        <x:v>0.08324571543550702</x:v>
      </x:c>
      <x:c r="AE492" s="75" t="n">
        <x:v>0.09192929631689913</x:v>
      </x:c>
      <x:c r="AF492" s="74" t="n">
        <x:v>8</x:v>
      </x:c>
    </x:row>
    <x:row r="493">
      <x:c r="A493" t="str">
        <x:v>2026 S2</x:v>
      </x:c>
      <x:c r="B493" t="str">
        <x:v>CNCT0123</x:v>
      </x:c>
      <x:c r="C493" s="74" t="n">
        <x:v>1982</x:v>
      </x:c>
      <x:c r="D493" s="74" t="n">
        <x:v>1140.006</x:v>
      </x:c>
      <x:c r="E493" s="75" t="n">
        <x:v>0.9685894998246803</x:v>
      </x:c>
      <x:c r="F493" s="75" t="n">
        <x:v>0.18658098216732652</x:v>
      </x:c>
      <x:c r="G493" s="75" t="n">
        <x:v>0.01698180611093994</x:v>
      </x:c>
      <x:c r="H493" s="75" t="n">
        <x:v>0.011214895019649703</x:v>
      </x:c>
      <x:c r="I493" s="75" t="n">
        <x:v>0.010132662710746445</x:v>
      </x:c>
      <x:c r="J493" s="75" t="n">
        <x:v>0.015347727635842603</x:v>
      </x:c>
      <x:c r="K493" s="75" t="n">
        <x:v>0.008657211738292972</x:v>
      </x:c>
      <x:c r="L493" s="75" t="n">
        <x:v>0.010983600264982669</x:v>
      </x:c>
      <x:c r="M493" s="75" t="n">
        <x:v>0.00736475532635086</x:v>
      </x:c>
      <x:c r="N493" s="75" t="n">
        <x:v>0.007914330107072601</x:v>
      </x:c>
      <x:c r="O493" s="75" t="n">
        <x:v>0.011911790480458876</x:v>
      </x:c>
      <x:c r="P493" s="75" t="n">
        <x:v>0.002978645642171614</x:v>
      </x:c>
      <x:c r="Q493" s="75" t="n">
        <x:v>0.0061593178618204545</x:v>
      </x:c>
      <x:c r="R493" s="75" t="n">
        <x:v>0.35786055644504317</x:v>
      </x:c>
      <x:c r="S493" s="75" t="n">
        <x:v>0.016621418019807606</x:v>
      </x:c>
      <x:c r="T493" s="75" t="n">
        <x:v>0.006180976334857405</x:v>
      </x:c>
      <x:c r="U493" s="75" t="n">
        <x:v>0.005088662906578974</x:v>
      </x:c>
      <x:c r="V493" s="75" t="n">
        <x:v>0.037040946654837176</x:v>
      </x:c>
      <x:c r="W493" s="75" t="n">
        <x:v>0.01331889603174379</x:v>
      </x:c>
      <x:c r="X493" s="75" t="n">
        <x:v>0.026424877365913126</x:v>
      </x:c>
      <x:c r="Y493" s="75" t="n">
        <x:v>0.019992351592383932</x:v>
      </x:c>
      <x:c r="Z493" s="75" t="n">
        <x:v>0.005774248219398433</x:v>
      </x:c>
      <x:c r="AA493" s="75" t="n">
        <x:v>0.005631668193213555</x:v>
      </x:c>
      <x:c r="AB493" s="75" t="n">
        <x:v>0.005953266155329184</x:v>
      </x:c>
      <x:c r="AC493" s="75" t="n">
        <x:v>0.02328678679429431</x:v>
      </x:c>
      <x:c r="AD493" s="75" t="n">
        <x:v>0.08324571543550702</x:v>
      </x:c>
      <x:c r="AE493" s="75" t="n">
        <x:v>0.09192929631689913</x:v>
      </x:c>
      <x:c r="AF493" s="74" t="n">
        <x:v>8</x:v>
      </x:c>
    </x:row>
    <x:row r="494">
      <x:c r="A494" t="str">
        <x:v>2025 S1</x:v>
      </x:c>
      <x:c r="B494" t="str">
        <x:v>CNCT0124</x:v>
      </x:c>
      <x:c r="C494" s="74" t="n">
        <x:v>1353</x:v>
      </x:c>
      <x:c r="D494" s="74" t="n">
        <x:v>928.416</x:v>
      </x:c>
      <x:c r="E494" s="75" t="n">
        <x:v>0.9712791333379281</x:v>
      </x:c>
      <x:c r="F494" s="75" t="n">
        <x:v>0.1979501861142926</x:v>
      </x:c>
      <x:c r="G494" s="75" t="n">
        <x:v>0.017720871919562342</x:v>
      </x:c>
      <x:c r="H494" s="75" t="n">
        <x:v>0.008687123789233737</x:v>
      </x:c>
      <x:c r="I494" s="75" t="n">
        <x:v>0.009259461512836424</x:v>
      </x:c>
      <x:c r="J494" s="75" t="n">
        <x:v>0.017720283283357275</x:v>
      </x:c>
      <x:c r="K494" s="75" t="n">
        <x:v>0.013992694523409226</x:v>
      </x:c>
      <x:c r="L494" s="75" t="n">
        <x:v>0.009591671361235057</x:v>
      </x:c>
      <x:c r="M494" s="75" t="n">
        <x:v>0.006568576262241549</x:v>
      </x:c>
      <x:c r="N494" s="75" t="n">
        <x:v>0.006471068919767276</x:v>
      </x:c>
      <x:c r="O494" s="75" t="n">
        <x:v>0.013807967432090663</x:v>
      </x:c>
      <x:c r="P494" s="75" t="n">
        <x:v>0.00041569321494171175</x:v>
      </x:c>
      <x:c r="Q494" s="75" t="n">
        <x:v>0.0054251774292351914</x:v>
      </x:c>
      <x:c r="R494" s="75" t="n">
        <x:v>0.3518019808946061</x:v>
      </x:c>
      <x:c r="S494" s="75" t="n">
        <x:v>0.015094860776996939</x:v>
      </x:c>
      <x:c r="T494" s="75" t="n">
        <x:v>0.006464279516541865</x:v>
      </x:c>
      <x:c r="U494" s="75" t="n">
        <x:v>0.006808414063765667</x:v>
      </x:c>
      <x:c r="V494" s="75" t="n">
        <x:v>0.028074844373186355</x:v>
      </x:c>
      <x:c r="W494" s="75" t="n">
        <x:v>0.009300681675755186</x:v>
      </x:c>
      <x:c r="X494" s="75" t="n">
        <x:v>0.01954034074838273</x:v>
      </x:c>
      <x:c r="Y494" s="75" t="n">
        <x:v>0.01704923129029339</x:v>
      </x:c>
      <x:c r="Z494" s="75" t="n">
        <x:v>0.007776775601378176</x:v>
      </x:c>
      <x:c r="AA494" s="75" t="n">
        <x:v>0.008955564547912218</x:v>
      </x:c>
      <x:c r="AB494" s="75" t="n">
        <x:v>0.0037247763829655013</x:v>
      </x:c>
      <x:c r="AC494" s="75" t="n">
        <x:v>0.022282271169697537</x:v>
      </x:c>
      <x:c r="AD494" s="75" t="n">
        <x:v>0.09484192211132178</x:v>
      </x:c>
      <x:c r="AE494" s="75" t="n">
        <x:v>0.07198404705284636</x:v>
      </x:c>
      <x:c r="AF494" s="74" t="n">
        <x:v>7</x:v>
      </x:c>
    </x:row>
    <x:row r="495">
      <x:c r="A495" t="str">
        <x:v>2025 S2</x:v>
      </x:c>
      <x:c r="B495" t="str">
        <x:v>CNCT0124</x:v>
      </x:c>
      <x:c r="C495" s="74" t="n">
        <x:v>1478</x:v>
      </x:c>
      <x:c r="D495" s="74" t="n">
        <x:v>939.557</x:v>
      </x:c>
      <x:c r="E495" s="75" t="n">
        <x:v>0.976590283401194</x:v>
      </x:c>
      <x:c r="F495" s="75" t="n">
        <x:v>0.1979501861142926</x:v>
      </x:c>
      <x:c r="G495" s="75" t="n">
        <x:v>0.017720871919562342</x:v>
      </x:c>
      <x:c r="H495" s="75" t="n">
        <x:v>0.008687123789233737</x:v>
      </x:c>
      <x:c r="I495" s="75" t="n">
        <x:v>0.009259461512836424</x:v>
      </x:c>
      <x:c r="J495" s="75" t="n">
        <x:v>0.017720283283357275</x:v>
      </x:c>
      <x:c r="K495" s="75" t="n">
        <x:v>0.013992694523409226</x:v>
      </x:c>
      <x:c r="L495" s="75" t="n">
        <x:v>0.009591671361235057</x:v>
      </x:c>
      <x:c r="M495" s="75" t="n">
        <x:v>0.006568576262241549</x:v>
      </x:c>
      <x:c r="N495" s="75" t="n">
        <x:v>0.006471068919767276</x:v>
      </x:c>
      <x:c r="O495" s="75" t="n">
        <x:v>0.013807967432090663</x:v>
      </x:c>
      <x:c r="P495" s="75" t="n">
        <x:v>0.00041569321494171175</x:v>
      </x:c>
      <x:c r="Q495" s="75" t="n">
        <x:v>0.0054251774292351914</x:v>
      </x:c>
      <x:c r="R495" s="75" t="n">
        <x:v>0.36262318813330846</x:v>
      </x:c>
      <x:c r="S495" s="75" t="n">
        <x:v>0.015094860776996939</x:v>
      </x:c>
      <x:c r="T495" s="75" t="n">
        <x:v>0.006464279516541865</x:v>
      </x:c>
      <x:c r="U495" s="75" t="n">
        <x:v>0.006808414063765667</x:v>
      </x:c>
      <x:c r="V495" s="75" t="n">
        <x:v>0.028074844373186355</x:v>
      </x:c>
      <x:c r="W495" s="75" t="n">
        <x:v>0.009300681675755186</x:v>
      </x:c>
      <x:c r="X495" s="75" t="n">
        <x:v>0.01954034074838273</x:v>
      </x:c>
      <x:c r="Y495" s="75" t="n">
        <x:v>0.01704923129029339</x:v>
      </x:c>
      <x:c r="Z495" s="75" t="n">
        <x:v>0.007776775601378176</x:v>
      </x:c>
      <x:c r="AA495" s="75" t="n">
        <x:v>0.008955564547912218</x:v>
      </x:c>
      <x:c r="AB495" s="75" t="n">
        <x:v>0.0037247763829655013</x:v>
      </x:c>
      <x:c r="AC495" s="75" t="n">
        <x:v>0.022282271169697537</x:v>
      </x:c>
      <x:c r="AD495" s="75" t="n">
        <x:v>0.09484192211132178</x:v>
      </x:c>
      <x:c r="AE495" s="75" t="n">
        <x:v>0.06602397782624758</x:v>
      </x:c>
      <x:c r="AF495" s="74" t="n">
        <x:v>7</x:v>
      </x:c>
    </x:row>
    <x:row r="496">
      <x:c r="A496" t="str">
        <x:v>2026 S1</x:v>
      </x:c>
      <x:c r="B496" t="str">
        <x:v>CNCT0124</x:v>
      </x:c>
      <x:c r="C496" s="74" t="n">
        <x:v>1397</x:v>
      </x:c>
      <x:c r="D496" s="74" t="n">
        <x:v>981.562</x:v>
      </x:c>
      <x:c r="E496" s="75" t="n">
        <x:v>0.9751226398790822</x:v>
      </x:c>
      <x:c r="F496" s="75" t="n">
        <x:v>0.20141573350446199</x:v>
      </x:c>
      <x:c r="G496" s="75" t="n">
        <x:v>0.018705287398086513</x:v>
      </x:c>
      <x:c r="H496" s="75" t="n">
        <x:v>0.008687123789233737</x:v>
      </x:c>
      <x:c r="I496" s="75" t="n">
        <x:v>0.009259461512836424</x:v>
      </x:c>
      <x:c r="J496" s="75" t="n">
        <x:v>0.017720283283357275</x:v>
      </x:c>
      <x:c r="K496" s="75" t="n">
        <x:v>0.013992694523409226</x:v>
      </x:c>
      <x:c r="L496" s="75" t="n">
        <x:v>0.009591671361235057</x:v>
      </x:c>
      <x:c r="M496" s="75" t="n">
        <x:v>0.006568576262241549</x:v>
      </x:c>
      <x:c r="N496" s="75" t="n">
        <x:v>0.006471068919767276</x:v>
      </x:c>
      <x:c r="O496" s="75" t="n">
        <x:v>0.01483126379121677</x:v>
      </x:c>
      <x:c r="P496" s="75" t="n">
        <x:v>0.00041569321494171175</x:v>
      </x:c>
      <x:c r="Q496" s="75" t="n">
        <x:v>0.0054251774292351914</x:v>
      </x:c>
      <x:c r="R496" s="75" t="n">
        <x:v>0.3533593758271727</x:v>
      </x:c>
      <x:c r="S496" s="75" t="n">
        <x:v>0.015094860776996939</x:v>
      </x:c>
      <x:c r="T496" s="75" t="n">
        <x:v>0.006464279516541865</x:v>
      </x:c>
      <x:c r="U496" s="75" t="n">
        <x:v>0.006808414063765667</x:v>
      </x:c>
      <x:c r="V496" s="75" t="n">
        <x:v>0.028074844373186355</x:v>
      </x:c>
      <x:c r="W496" s="75" t="n">
        <x:v>0.011444033094417326</x:v>
      </x:c>
      <x:c r="X496" s="75" t="n">
        <x:v>0.024043431868398628</x:v>
      </x:c>
      <x:c r="Y496" s="75" t="n">
        <x:v>0.02097824373767211</x:v>
      </x:c>
      <x:c r="Z496" s="75" t="n">
        <x:v>0.00956894133706632</x:v>
      </x:c>
      <x:c r="AA496" s="75" t="n">
        <x:v>0.011019383378388368</x:v>
      </x:c>
      <x:c r="AB496" s="75" t="n">
        <x:v>0.004583154835529851</x:v>
      </x:c>
      <x:c r="AC496" s="75" t="n">
        <x:v>0.02741724290484273</x:v>
      </x:c>
      <x:c r="AD496" s="75" t="n">
        <x:v>0.09484192211132178</x:v>
      </x:c>
      <x:c r="AE496" s="75" t="n">
        <x:v>0.07198404705284636</x:v>
      </x:c>
      <x:c r="AF496" s="74" t="n">
        <x:v>7</x:v>
      </x:c>
    </x:row>
    <x:row r="497">
      <x:c r="A497" t="str">
        <x:v>2026 S2</x:v>
      </x:c>
      <x:c r="B497" t="str">
        <x:v>CNCT0124</x:v>
      </x:c>
      <x:c r="C497" s="74" t="n">
        <x:v>1557</x:v>
      </x:c>
      <x:c r="D497" s="74" t="n">
        <x:v>957.982</x:v>
      </x:c>
      <x:c r="E497" s="75" t="n">
        <x:v>0.976590283401194</x:v>
      </x:c>
      <x:c r="F497" s="75" t="n">
        <x:v>0.196988648221115</x:v>
      </x:c>
      <x:c r="G497" s="75" t="n">
        <x:v>0.016816486980016636</x:v>
      </x:c>
      <x:c r="H497" s="75" t="n">
        <x:v>0.008687123789233737</x:v>
      </x:c>
      <x:c r="I497" s="75" t="n">
        <x:v>0.009259461512836424</x:v>
      </x:c>
      <x:c r="J497" s="75" t="n">
        <x:v>0.017720283283357275</x:v>
      </x:c>
      <x:c r="K497" s="75" t="n">
        <x:v>0.013992694523409226</x:v>
      </x:c>
      <x:c r="L497" s="75" t="n">
        <x:v>0.009591671361235057</x:v>
      </x:c>
      <x:c r="M497" s="75" t="n">
        <x:v>0.006568576262241549</x:v>
      </x:c>
      <x:c r="N497" s="75" t="n">
        <x:v>0.006471068919767276</x:v>
      </x:c>
      <x:c r="O497" s="75" t="n">
        <x:v>0.013807967432090663</x:v>
      </x:c>
      <x:c r="P497" s="75" t="n">
        <x:v>0.00041569321494171175</x:v>
      </x:c>
      <x:c r="Q497" s="75" t="n">
        <x:v>0.0054251774292351914</x:v>
      </x:c>
      <x:c r="R497" s="75" t="n">
        <x:v>0.35898538654487033</x:v>
      </x:c>
      <x:c r="S497" s="75" t="n">
        <x:v>0.015094860776996939</x:v>
      </x:c>
      <x:c r="T497" s="75" t="n">
        <x:v>0.006464279516541865</x:v>
      </x:c>
      <x:c r="U497" s="75" t="n">
        <x:v>0.006808414063765667</x:v>
      </x:c>
      <x:c r="V497" s="75" t="n">
        <x:v>0.028074844373186355</x:v>
      </x:c>
      <x:c r="W497" s="75" t="n">
        <x:v>0.009858722576300497</x:v>
      </x:c>
      <x:c r="X497" s="75" t="n">
        <x:v>0.020712761193285696</x:v>
      </x:c>
      <x:c r="Y497" s="75" t="n">
        <x:v>0.018072185167710995</x:v>
      </x:c>
      <x:c r="Z497" s="75" t="n">
        <x:v>0.008243382137460868</x:v>
      </x:c>
      <x:c r="AA497" s="75" t="n">
        <x:v>0.009492898420786952</x:v>
      </x:c>
      <x:c r="AB497" s="75" t="n">
        <x:v>0.003948262965943431</x:v>
      </x:c>
      <x:c r="AC497" s="75" t="n">
        <x:v>0.02361920743987939</x:v>
      </x:c>
      <x:c r="AD497" s="75" t="n">
        <x:v>0.09484192211132178</x:v>
      </x:c>
      <x:c r="AE497" s="75" t="n">
        <x:v>0.06602397782624758</x:v>
      </x:c>
      <x:c r="AF497" s="74" t="n">
        <x:v>7</x:v>
      </x:c>
    </x:row>
    <x:row r="498">
      <x:c r="A498" t="str">
        <x:v>2025 S1</x:v>
      </x:c>
      <x:c r="B498" t="str">
        <x:v>CNCT0125</x:v>
      </x:c>
      <x:c r="C498" s="74" t="n">
        <x:v>1162</x:v>
      </x:c>
      <x:c r="D498" s="74" t="n">
        <x:v>1001.606</x:v>
      </x:c>
      <x:c r="E498" s="75" t="n">
        <x:v>0.9708932506645215</x:v>
      </x:c>
      <x:c r="F498" s="75" t="n">
        <x:v>0.21502563154976814</x:v>
      </x:c>
      <x:c r="G498" s="75" t="n">
        <x:v>0.018822216203610877</x:v>
      </x:c>
      <x:c r="H498" s="75" t="n">
        <x:v>0.007148381030128803</x:v>
      </x:c>
      <x:c r="I498" s="75" t="n">
        <x:v>0.009455646487193008</x:v>
      </x:c>
      <x:c r="J498" s="75" t="n">
        <x:v>0.013463930916332174</x:v>
      </x:c>
      <x:c r="K498" s="75" t="n">
        <x:v>0.012453040532112936</x:v>
      </x:c>
      <x:c r="L498" s="75" t="n">
        <x:v>0.00944991916143408</x:v>
      </x:c>
      <x:c r="M498" s="75" t="n">
        <x:v>0.005951756752738674</x:v>
      </x:c>
      <x:c r="N498" s="75" t="n">
        <x:v>0.007108655865326</x:v>
      </x:c>
      <x:c r="O498" s="75" t="n">
        <x:v>0.008023238962246979</x:v>
      </x:c>
      <x:c r="P498" s="75" t="n">
        <x:v>0.002037655166888726</x:v>
      </x:c>
      <x:c r="Q498" s="75" t="n">
        <x:v>0.003427469748072326</x:v>
      </x:c>
      <x:c r="R498" s="75" t="n">
        <x:v>0.36760494536753346</x:v>
      </x:c>
      <x:c r="S498" s="75" t="n">
        <x:v>0.013407463058872963</x:v>
      </x:c>
      <x:c r="T498" s="75" t="n">
        <x:v>0.005208884306543041</x:v>
      </x:c>
      <x:c r="U498" s="75" t="n">
        <x:v>0.011319102626061067</x:v>
      </x:c>
      <x:c r="V498" s="75" t="n">
        <x:v>0.031088142228560177</x:v>
      </x:c>
      <x:c r="W498" s="75" t="n">
        <x:v>0.014035659783548909</x:v>
      </x:c>
      <x:c r="X498" s="75" t="n">
        <x:v>0.021219896252034232</x:v>
      </x:c>
      <x:c r="Y498" s="75" t="n">
        <x:v>0.02091683032398578</x:v>
      </x:c>
      <x:c r="Z498" s="75" t="n">
        <x:v>0.00578575237840414</x:v>
      </x:c>
      <x:c r="AA498" s="75" t="n">
        <x:v>0.006639644481794676</x:v>
      </x:c>
      <x:c r="AB498" s="75" t="n">
        <x:v>0.005859479506878415</x:v>
      </x:c>
      <x:c r="AC498" s="75" t="n">
        <x:v>0.018418564485458772</x:v>
      </x:c>
      <x:c r="AD498" s="75" t="n">
        <x:v>0.08767893992832615</x:v>
      </x:c>
      <x:c r="AE498" s="75" t="n">
        <x:v>0.08442533946624826</x:v>
      </x:c>
      <x:c r="AF498" s="74" t="n">
        <x:v>6</x:v>
      </x:c>
    </x:row>
    <x:row r="499">
      <x:c r="A499" t="str">
        <x:v>2025 S2</x:v>
      </x:c>
      <x:c r="B499" t="str">
        <x:v>CNCT0125</x:v>
      </x:c>
      <x:c r="C499" s="74" t="n">
        <x:v>1246</x:v>
      </x:c>
      <x:c r="D499" s="74" t="n">
        <x:v>1013.625</x:v>
      </x:c>
      <x:c r="E499" s="75" t="n">
        <x:v>0.9758608835348568</x:v>
      </x:c>
      <x:c r="F499" s="75" t="n">
        <x:v>0.21502563154976814</x:v>
      </x:c>
      <x:c r="G499" s="75" t="n">
        <x:v>0.018822216203610877</x:v>
      </x:c>
      <x:c r="H499" s="75" t="n">
        <x:v>0.007148381030128803</x:v>
      </x:c>
      <x:c r="I499" s="75" t="n">
        <x:v>0.009455646487193008</x:v>
      </x:c>
      <x:c r="J499" s="75" t="n">
        <x:v>0.013463930916332174</x:v>
      </x:c>
      <x:c r="K499" s="75" t="n">
        <x:v>0.012453040532112936</x:v>
      </x:c>
      <x:c r="L499" s="75" t="n">
        <x:v>0.00944991916143408</x:v>
      </x:c>
      <x:c r="M499" s="75" t="n">
        <x:v>0.005951756752738674</x:v>
      </x:c>
      <x:c r="N499" s="75" t="n">
        <x:v>0.007108655865326</x:v>
      </x:c>
      <x:c r="O499" s="75" t="n">
        <x:v>0.008023238962246979</x:v>
      </x:c>
      <x:c r="P499" s="75" t="n">
        <x:v>0.002037655166888726</x:v>
      </x:c>
      <x:c r="Q499" s="75" t="n">
        <x:v>0.003427469748072326</x:v>
      </x:c>
      <x:c r="R499" s="75" t="n">
        <x:v>0.35086956968931254</x:v>
      </x:c>
      <x:c r="S499" s="75" t="n">
        <x:v>0.013407463058872963</x:v>
      </x:c>
      <x:c r="T499" s="75" t="n">
        <x:v>0.005208884306543041</x:v>
      </x:c>
      <x:c r="U499" s="75" t="n">
        <x:v>0.011319102626061067</x:v>
      </x:c>
      <x:c r="V499" s="75" t="n">
        <x:v>0.031088142228560177</x:v>
      </x:c>
      <x:c r="W499" s="75" t="n">
        <x:v>0.014035659783548909</x:v>
      </x:c>
      <x:c r="X499" s="75" t="n">
        <x:v>0.021219896252034232</x:v>
      </x:c>
      <x:c r="Y499" s="75" t="n">
        <x:v>0.02091683032398578</x:v>
      </x:c>
      <x:c r="Z499" s="75" t="n">
        <x:v>0.00578575237840414</x:v>
      </x:c>
      <x:c r="AA499" s="75" t="n">
        <x:v>0.006639644481794676</x:v>
      </x:c>
      <x:c r="AB499" s="75" t="n">
        <x:v>0.005859479506878415</x:v>
      </x:c>
      <x:c r="AC499" s="75" t="n">
        <x:v>0.018418564485458772</x:v>
      </x:c>
      <x:c r="AD499" s="75" t="n">
        <x:v>0.08767893992832615</x:v>
      </x:c>
      <x:c r="AE499" s="75" t="n">
        <x:v>0.08442533946624826</x:v>
      </x:c>
      <x:c r="AF499" s="74" t="n">
        <x:v>6</x:v>
      </x:c>
    </x:row>
    <x:row r="500">
      <x:c r="A500" t="str">
        <x:v>2026 S1</x:v>
      </x:c>
      <x:c r="B500" t="str">
        <x:v>CNCT0125</x:v>
      </x:c>
      <x:c r="C500" s="74" t="n">
        <x:v>1235</x:v>
      </x:c>
      <x:c r="D500" s="74" t="n">
        <x:v>1047.127</x:v>
      </x:c>
      <x:c r="E500" s="75" t="n">
        <x:v>0.9747269914088538</x:v>
      </x:c>
      <x:c r="F500" s="75" t="n">
        <x:v>0.21115596215828553</x:v>
      </x:c>
      <x:c r="G500" s="75" t="n">
        <x:v>0.02015096419561996</x:v>
      </x:c>
      <x:c r="H500" s="75" t="n">
        <x:v>0.007148381030128803</x:v>
      </x:c>
      <x:c r="I500" s="75" t="n">
        <x:v>0.009455646487193008</x:v>
      </x:c>
      <x:c r="J500" s="75" t="n">
        <x:v>0.013463930916332174</x:v>
      </x:c>
      <x:c r="K500" s="75" t="n">
        <x:v>0.012453040532112936</x:v>
      </x:c>
      <x:c r="L500" s="75" t="n">
        <x:v>0.00944991916143408</x:v>
      </x:c>
      <x:c r="M500" s="75" t="n">
        <x:v>0.005951756752738674</x:v>
      </x:c>
      <x:c r="N500" s="75" t="n">
        <x:v>0.007108655865326</x:v>
      </x:c>
      <x:c r="O500" s="75" t="n">
        <x:v>0.008901665628014598</x:v>
      </x:c>
      <x:c r="P500" s="75" t="n">
        <x:v>0.002037655166888726</x:v>
      </x:c>
      <x:c r="Q500" s="75" t="n">
        <x:v>0.003427469748072326</x:v>
      </x:c>
      <x:c r="R500" s="75" t="n">
        <x:v>0.3706983820734845</x:v>
      </x:c>
      <x:c r="S500" s="75" t="n">
        <x:v>0.013407463058872963</x:v>
      </x:c>
      <x:c r="T500" s="75" t="n">
        <x:v>0.005208884306543041</x:v>
      </x:c>
      <x:c r="U500" s="75" t="n">
        <x:v>0.011319102626061067</x:v>
      </x:c>
      <x:c r="V500" s="75" t="n">
        <x:v>0.031088142228560177</x:v>
      </x:c>
      <x:c r="W500" s="75" t="n">
        <x:v>0.01727019165526637</x:v>
      </x:c>
      <x:c r="X500" s="75" t="n">
        <x:v>0.026110042622081674</x:v>
      </x:c>
      <x:c r="Y500" s="75" t="n">
        <x:v>0.02573713484700774</x:v>
      </x:c>
      <x:c r="Z500" s="75" t="n">
        <x:v>0.0071190848158110415</x:v>
      </x:c>
      <x:c r="AA500" s="75" t="n">
        <x:v>0.008169757210688964</x:v>
      </x:c>
      <x:c r="AB500" s="75" t="n">
        <x:v>0.007209802434973881</x:v>
      </x:c>
      <x:c r="AC500" s="75" t="n">
        <x:v>0.02266314114079546</x:v>
      </x:c>
      <x:c r="AD500" s="75" t="n">
        <x:v>0.08767893992832615</x:v>
      </x:c>
      <x:c r="AE500" s="75" t="n">
        <x:v>0.08442533946624826</x:v>
      </x:c>
      <x:c r="AF500" s="74" t="n">
        <x:v>6</x:v>
      </x:c>
    </x:row>
    <x:row r="501">
      <x:c r="A501" t="str">
        <x:v>2026 S2</x:v>
      </x:c>
      <x:c r="B501" t="str">
        <x:v>CNCT0125</x:v>
      </x:c>
      <x:c r="C501" s="74" t="n">
        <x:v>1337</x:v>
      </x:c>
      <x:c r="D501" s="74" t="n">
        <x:v>1046.285</x:v>
      </x:c>
      <x:c r="E501" s="75" t="n">
        <x:v>0.9758608835348568</x:v>
      </x:c>
      <x:c r="F501" s="75" t="n">
        <x:v>0.2181249071632337</x:v>
      </x:c>
      <x:c r="G501" s="75" t="n">
        <x:v>0.02072327498452796</x:v>
      </x:c>
      <x:c r="H501" s="75" t="n">
        <x:v>0.007148381030128803</x:v>
      </x:c>
      <x:c r="I501" s="75" t="n">
        <x:v>0.009455646487193008</x:v>
      </x:c>
      <x:c r="J501" s="75" t="n">
        <x:v>0.013463930916332174</x:v>
      </x:c>
      <x:c r="K501" s="75" t="n">
        <x:v>0.012453040532112936</x:v>
      </x:c>
      <x:c r="L501" s="75" t="n">
        <x:v>0.00944991916143408</x:v>
      </x:c>
      <x:c r="M501" s="75" t="n">
        <x:v>0.005951756752738674</x:v>
      </x:c>
      <x:c r="N501" s="75" t="n">
        <x:v>0.007108655865326</x:v>
      </x:c>
      <x:c r="O501" s="75" t="n">
        <x:v>0.008023238962246979</x:v>
      </x:c>
      <x:c r="P501" s="75" t="n">
        <x:v>0.002037655166888726</x:v>
      </x:c>
      <x:c r="Q501" s="75" t="n">
        <x:v>0.003427469748072326</x:v>
      </x:c>
      <x:c r="R501" s="75" t="n">
        <x:v>0.3452647183429961</x:v>
      </x:c>
      <x:c r="S501" s="75" t="n">
        <x:v>0.013407463058872963</x:v>
      </x:c>
      <x:c r="T501" s="75" t="n">
        <x:v>0.005208884306543041</x:v>
      </x:c>
      <x:c r="U501" s="75" t="n">
        <x:v>0.011319102626061067</x:v>
      </x:c>
      <x:c r="V501" s="75" t="n">
        <x:v>0.031088142228560177</x:v>
      </x:c>
      <x:c r="W501" s="75" t="n">
        <x:v>0.014877799370561844</x:v>
      </x:c>
      <x:c r="X501" s="75" t="n">
        <x:v>0.022493090027156288</x:v>
      </x:c>
      <x:c r="Y501" s="75" t="n">
        <x:v>0.022171840143424926</x:v>
      </x:c>
      <x:c r="Z501" s="75" t="n">
        <x:v>0.006132897521108389</x:v>
      </x:c>
      <x:c r="AA501" s="75" t="n">
        <x:v>0.007038023150702357</x:v>
      </x:c>
      <x:c r="AB501" s="75" t="n">
        <x:v>0.00621104827729112</x:v>
      </x:c>
      <x:c r="AC501" s="75" t="n">
        <x:v>0.0195236783545863</x:v>
      </x:c>
      <x:c r="AD501" s="75" t="n">
        <x:v>0.08767893992832615</x:v>
      </x:c>
      <x:c r="AE501" s="75" t="n">
        <x:v>0.08442533946624826</x:v>
      </x:c>
      <x:c r="AF501" s="74" t="n">
        <x:v>6</x:v>
      </x:c>
    </x:row>
    <x:row r="502">
      <x:c r="A502" t="str">
        <x:v>2025 S1</x:v>
      </x:c>
      <x:c r="B502" t="str">
        <x:v>CNCT0126</x:v>
      </x:c>
      <x:c r="C502" s="74" t="n">
        <x:v>1130</x:v>
      </x:c>
      <x:c r="D502" s="74" t="n">
        <x:v>982.98</x:v>
      </x:c>
      <x:c r="E502" s="75" t="n">
        <x:v>0.9752574176250282</x:v>
      </x:c>
      <x:c r="F502" s="75" t="n">
        <x:v>0.1899093557295855</x:v>
      </x:c>
      <x:c r="G502" s="75" t="n">
        <x:v>0.01343514305743156</x:v>
      </x:c>
      <x:c r="H502" s="75" t="n">
        <x:v>0.008426774271589239</x:v>
      </x:c>
      <x:c r="I502" s="75" t="n">
        <x:v>0.010321620071415964</x:v>
      </x:c>
      <x:c r="J502" s="75" t="n">
        <x:v>0.015342624205106403</x:v>
      </x:c>
      <x:c r="K502" s="75" t="n">
        <x:v>0.010234012250672093</x:v>
      </x:c>
      <x:c r="L502" s="75" t="n">
        <x:v>0.012202145602546807</x:v>
      </x:c>
      <x:c r="M502" s="75" t="n">
        <x:v>0.005821215456278879</x:v>
      </x:c>
      <x:c r="N502" s="75" t="n">
        <x:v>0.0084328973861102</x:v>
      </x:c>
      <x:c r="O502" s="75" t="n">
        <x:v>0.008046248884307714</x:v>
      </x:c>
      <x:c r="P502" s="75" t="n">
        <x:v>0.0001452350628751446</x:v>
      </x:c>
      <x:c r="Q502" s="75" t="n">
        <x:v>0.004996427576668794</x:v>
      </x:c>
      <x:c r="R502" s="75" t="n">
        <x:v>0.35098449640130464</x:v>
      </x:c>
      <x:c r="S502" s="75" t="n">
        <x:v>0.01472906687440991</x:v>
      </x:c>
      <x:c r="T502" s="75" t="n">
        <x:v>0.006193271564727184</x:v>
      </x:c>
      <x:c r="U502" s="75" t="n">
        <x:v>0.008827555760857649</x:v>
      </x:c>
      <x:c r="V502" s="75" t="n">
        <x:v>0.034782578815036685</x:v>
      </x:c>
      <x:c r="W502" s="75" t="n">
        <x:v>0.014189293291783542</x:v>
      </x:c>
      <x:c r="X502" s="75" t="n">
        <x:v>0.02198013693701068</x:v>
      </x:c>
      <x:c r="Y502" s="75" t="n">
        <x:v>0.015786419349489735</x:v>
      </x:c>
      <x:c r="Z502" s="75" t="n">
        <x:v>0.006210844971763436</x:v>
      </x:c>
      <x:c r="AA502" s="75" t="n">
        <x:v>0.006895246761094313</x:v>
      </x:c>
      <x:c r="AB502" s="75" t="n">
        <x:v>0.0064581382381147705</x:v>
      </x:c>
      <x:c r="AC502" s="75" t="n">
        <x:v>0.02202971329502179</x:v>
      </x:c>
      <x:c r="AD502" s="75" t="n">
        <x:v>0.09435200447725949</x:v>
      </x:c>
      <x:c r="AE502" s="75" t="n">
        <x:v>0.09063780251107528</x:v>
      </x:c>
      <x:c r="AF502" s="74" t="n">
        <x:v>5</x:v>
      </x:c>
    </x:row>
    <x:row r="503">
      <x:c r="A503" t="str">
        <x:v>2025 S2</x:v>
      </x:c>
      <x:c r="B503" t="str">
        <x:v>CNCT0126</x:v>
      </x:c>
      <x:c r="C503" s="74" t="n">
        <x:v>1200</x:v>
      </x:c>
      <x:c r="D503" s="74" t="n">
        <x:v>994.775</x:v>
      </x:c>
      <x:c r="E503" s="75" t="n">
        <x:v>0.9622613084651093</x:v>
      </x:c>
      <x:c r="F503" s="75" t="n">
        <x:v>0.1899093557295855</x:v>
      </x:c>
      <x:c r="G503" s="75" t="n">
        <x:v>0.01343514305743156</x:v>
      </x:c>
      <x:c r="H503" s="75" t="n">
        <x:v>0.008426774271589239</x:v>
      </x:c>
      <x:c r="I503" s="75" t="n">
        <x:v>0.010321620071415964</x:v>
      </x:c>
      <x:c r="J503" s="75" t="n">
        <x:v>0.015342624205106403</x:v>
      </x:c>
      <x:c r="K503" s="75" t="n">
        <x:v>0.010234012250672093</x:v>
      </x:c>
      <x:c r="L503" s="75" t="n">
        <x:v>0.012202145602546807</x:v>
      </x:c>
      <x:c r="M503" s="75" t="n">
        <x:v>0.005821215456278879</x:v>
      </x:c>
      <x:c r="N503" s="75" t="n">
        <x:v>0.0084328973861102</x:v>
      </x:c>
      <x:c r="O503" s="75" t="n">
        <x:v>0.008046248884307714</x:v>
      </x:c>
      <x:c r="P503" s="75" t="n">
        <x:v>0.0001452350628751446</x:v>
      </x:c>
      <x:c r="Q503" s="75" t="n">
        <x:v>0.004996427576668794</x:v>
      </x:c>
      <x:c r="R503" s="75" t="n">
        <x:v>0.3517555684405309</x:v>
      </x:c>
      <x:c r="S503" s="75" t="n">
        <x:v>0.01472906687440991</x:v>
      </x:c>
      <x:c r="T503" s="75" t="n">
        <x:v>0.006193271564727184</x:v>
      </x:c>
      <x:c r="U503" s="75" t="n">
        <x:v>0.008827555760857649</x:v>
      </x:c>
      <x:c r="V503" s="75" t="n">
        <x:v>0.034782578815036685</x:v>
      </x:c>
      <x:c r="W503" s="75" t="n">
        <x:v>0.014189293291783542</x:v>
      </x:c>
      <x:c r="X503" s="75" t="n">
        <x:v>0.02198013693701068</x:v>
      </x:c>
      <x:c r="Y503" s="75" t="n">
        <x:v>0.015786419349489735</x:v>
      </x:c>
      <x:c r="Z503" s="75" t="n">
        <x:v>0.006210844971763436</x:v>
      </x:c>
      <x:c r="AA503" s="75" t="n">
        <x:v>0.006895246761094313</x:v>
      </x:c>
      <x:c r="AB503" s="75" t="n">
        <x:v>0.0064581382381147705</x:v>
      </x:c>
      <x:c r="AC503" s="75" t="n">
        <x:v>0.02202971329502179</x:v>
      </x:c>
      <x:c r="AD503" s="75" t="n">
        <x:v>0.09435200447725949</x:v>
      </x:c>
      <x:c r="AE503" s="75" t="n">
        <x:v>0.09063780251107528</x:v>
      </x:c>
      <x:c r="AF503" s="74" t="n">
        <x:v>5</x:v>
      </x:c>
    </x:row>
    <x:row r="504">
      <x:c r="A504" t="str">
        <x:v>2026 S1</x:v>
      </x:c>
      <x:c r="B504" t="str">
        <x:v>CNCT0126</x:v>
      </x:c>
      <x:c r="C504" s="74" t="n">
        <x:v>814</x:v>
      </x:c>
      <x:c r="D504" s="74" t="n">
        <x:v>1041.437</x:v>
      </x:c>
      <x:c r="E504" s="75" t="n">
        <x:v>0.9755363280758983</x:v>
      </x:c>
      <x:c r="F504" s="75" t="n">
        <x:v>0.20190935572958552</x:v>
      </x:c>
      <x:c r="G504" s="75" t="n">
        <x:v>0.013938913170146406</x:v>
      </x:c>
      <x:c r="H504" s="75" t="n">
        <x:v>0.008426774271589239</x:v>
      </x:c>
      <x:c r="I504" s="75" t="n">
        <x:v>0.010321620071415964</x:v>
      </x:c>
      <x:c r="J504" s="75" t="n">
        <x:v>0.015342624205106403</x:v>
      </x:c>
      <x:c r="K504" s="75" t="n">
        <x:v>0.010234012250672093</x:v>
      </x:c>
      <x:c r="L504" s="75" t="n">
        <x:v>0.012202145602546807</x:v>
      </x:c>
      <x:c r="M504" s="75" t="n">
        <x:v>0.005821215456278879</x:v>
      </x:c>
      <x:c r="N504" s="75" t="n">
        <x:v>0.0084328973861102</x:v>
      </x:c>
      <x:c r="O504" s="75" t="n">
        <x:v>0.006145231993577908</x:v>
      </x:c>
      <x:c r="P504" s="75" t="n">
        <x:v>0.0001452350628751446</x:v>
      </x:c>
      <x:c r="Q504" s="75" t="n">
        <x:v>0.004996427576668794</x:v>
      </x:c>
      <x:c r="R504" s="75" t="n">
        <x:v>0.3654903717983753</x:v>
      </x:c>
      <x:c r="S504" s="75" t="n">
        <x:v>0.01472906687440991</x:v>
      </x:c>
      <x:c r="T504" s="75" t="n">
        <x:v>0.006193271564727184</x:v>
      </x:c>
      <x:c r="U504" s="75" t="n">
        <x:v>0.008827555760857649</x:v>
      </x:c>
      <x:c r="V504" s="75" t="n">
        <x:v>0.034782578815036685</x:v>
      </x:c>
      <x:c r="W504" s="75" t="n">
        <x:v>0.017459230159533403</x:v>
      </x:c>
      <x:c r="X504" s="75" t="n">
        <x:v>0.027045481535260752</x:v>
      </x:c>
      <x:c r="Y504" s="75" t="n">
        <x:v>0.019424415518794917</x:v>
      </x:c>
      <x:c r="Z504" s="75" t="n">
        <x:v>0.007642140423581906</x:v>
      </x:c>
      <x:c r="AA504" s="75" t="n">
        <x:v>0.008484263291564594</x:v>
      </x:c>
      <x:c r="AB504" s="75" t="n">
        <x:v>0.007946422671143231</x:v>
      </x:c>
      <x:c r="AC504" s="75" t="n">
        <x:v>0.03930440008129965</x:v>
      </x:c>
      <x:c r="AD504" s="75" t="n">
        <x:v>0.10378720492498544</x:v>
      </x:c>
      <x:c r="AE504" s="75" t="n">
        <x:v>0.21484226559428923</x:v>
      </x:c>
      <x:c r="AF504" s="74" t="n">
        <x:v>5</x:v>
      </x:c>
    </x:row>
    <x:row r="505">
      <x:c r="A505" t="str">
        <x:v>2026 S2</x:v>
      </x:c>
      <x:c r="B505" t="str">
        <x:v>CNCT0126</x:v>
      </x:c>
      <x:c r="C505" s="74" t="n">
        <x:v>961</x:v>
      </x:c>
      <x:c r="D505" s="74" t="n">
        <x:v>1038.043</x:v>
      </x:c>
      <x:c r="E505" s="75" t="n">
        <x:v>0.9622613084651093</x:v>
      </x:c>
      <x:c r="F505" s="75" t="n">
        <x:v>0.19547516537435877</x:v>
      </x:c>
      <x:c r="G505" s="75" t="n">
        <x:v>0.013034204672992928</x:v>
      </x:c>
      <x:c r="H505" s="75" t="n">
        <x:v>0.008426774271589239</x:v>
      </x:c>
      <x:c r="I505" s="75" t="n">
        <x:v>0.010321620071415964</x:v>
      </x:c>
      <x:c r="J505" s="75" t="n">
        <x:v>0.015342624205106403</x:v>
      </x:c>
      <x:c r="K505" s="75" t="n">
        <x:v>0.010234012250672093</x:v>
      </x:c>
      <x:c r="L505" s="75" t="n">
        <x:v>0.012202145602546807</x:v>
      </x:c>
      <x:c r="M505" s="75" t="n">
        <x:v>0.005821215456278879</x:v>
      </x:c>
      <x:c r="N505" s="75" t="n">
        <x:v>0.0084328973861102</x:v>
      </x:c>
      <x:c r="O505" s="75" t="n">
        <x:v>0.008046248884307714</x:v>
      </x:c>
      <x:c r="P505" s="75" t="n">
        <x:v>0.0001452350628751446</x:v>
      </x:c>
      <x:c r="Q505" s="75" t="n">
        <x:v>0.004996427576668794</x:v>
      </x:c>
      <x:c r="R505" s="75" t="n">
        <x:v>0.36363229270135466</x:v>
      </x:c>
      <x:c r="S505" s="75" t="n">
        <x:v>0.01472906687440991</x:v>
      </x:c>
      <x:c r="T505" s="75" t="n">
        <x:v>0.006193271564727184</x:v>
      </x:c>
      <x:c r="U505" s="75" t="n">
        <x:v>0.008827555760857649</x:v>
      </x:c>
      <x:c r="V505" s="75" t="n">
        <x:v>0.034782578815036685</x:v>
      </x:c>
      <x:c r="W505" s="75" t="n">
        <x:v>0.015040650889290555</x:v>
      </x:c>
      <x:c r="X505" s="75" t="n">
        <x:v>0.023298945153231325</x:v>
      </x:c>
      <x:c r="Y505" s="75" t="n">
        <x:v>0.01673360451045912</x:v>
      </x:c>
      <x:c r="Z505" s="75" t="n">
        <x:v>0.006583495670069243</x:v>
      </x:c>
      <x:c r="AA505" s="75" t="n">
        <x:v>0.007308961566759972</x:v>
      </x:c>
      <x:c r="AB505" s="75" t="n">
        <x:v>0.006845626532401657</x:v>
      </x:c>
      <x:c r="AC505" s="75" t="n">
        <x:v>0.03385966933444849</x:v>
      </x:c>
      <x:c r="AD505" s="75" t="n">
        <x:v>0.10190016483544025</x:v>
      </x:c>
      <x:c r="AE505" s="75" t="n">
        <x:v>0.19682950495748955</x:v>
      </x:c>
      <x:c r="AF505" s="74" t="n">
        <x:v>5</x:v>
      </x:c>
    </x:row>
    <x:row r="506">
      <x:c r="A506" t="str">
        <x:v>2025 S1</x:v>
      </x:c>
      <x:c r="B506" t="str">
        <x:v>CNCT0127</x:v>
      </x:c>
      <x:c r="C506" s="74" t="n">
        <x:v>1945</x:v>
      </x:c>
      <x:c r="D506" s="74" t="n">
        <x:v>1188.579</x:v>
      </x:c>
      <x:c r="E506" s="75" t="n">
        <x:v>0.964141440069885</x:v>
      </x:c>
      <x:c r="F506" s="75" t="n">
        <x:v>0.18581395315541885</x:v>
      </x:c>
      <x:c r="G506" s="75" t="n">
        <x:v>0.02082001540485362</x:v>
      </x:c>
      <x:c r="H506" s="75" t="n">
        <x:v>0.010728964836722298</x:v>
      </x:c>
      <x:c r="I506" s="75" t="n">
        <x:v>0.009719280090546817</x:v>
      </x:c>
      <x:c r="J506" s="75" t="n">
        <x:v>0.014186244973272552</x:v>
      </x:c>
      <x:c r="K506" s="75" t="n">
        <x:v>0.009276300468220143</x:v>
      </x:c>
      <x:c r="L506" s="75" t="n">
        <x:v>0.013399526382796467</x:v>
      </x:c>
      <x:c r="M506" s="75" t="n">
        <x:v>0.007716722973153083</x:v>
      </x:c>
      <x:c r="N506" s="75" t="n">
        <x:v>0.006528491363642388</x:v>
      </x:c>
      <x:c r="O506" s="75" t="n">
        <x:v>0.012547289971058488</x:v>
      </x:c>
      <x:c r="P506" s="75" t="n">
        <x:v>0.000883100206364361</x:v>
      </x:c>
      <x:c r="Q506" s="75" t="n">
        <x:v>0.006625021896543331</x:v>
      </x:c>
      <x:c r="R506" s="75" t="n">
        <x:v>0.3472553402738417</x:v>
      </x:c>
      <x:c r="S506" s="75" t="n">
        <x:v>0.016718555121296958</x:v>
      </x:c>
      <x:c r="T506" s="75" t="n">
        <x:v>0.004097093532327563</x:v>
      </x:c>
      <x:c r="U506" s="75" t="n">
        <x:v>0.009234250111912843</x:v>
      </x:c>
      <x:c r="V506" s="75" t="n">
        <x:v>0.033494395029410956</x:v>
      </x:c>
      <x:c r="W506" s="75" t="n">
        <x:v>0.009386509048120934</x:v>
      </x:c>
      <x:c r="X506" s="75" t="n">
        <x:v>0.019100964679585303</x:v>
      </x:c>
      <x:c r="Y506" s="75" t="n">
        <x:v>0.017581524252453823</x:v>
      </x:c>
      <x:c r="Z506" s="75" t="n">
        <x:v>0.0073167028031544765</x:v>
      </x:c>
      <x:c r="AA506" s="75" t="n">
        <x:v>0.005908274020247627</x:v>
      </x:c>
      <x:c r="AB506" s="75" t="n">
        <x:v>0.005040497834177223</x:v>
      </x:c>
      <x:c r="AC506" s="75" t="n">
        <x:v>0.0237476490150555</x:v>
      </x:c>
      <x:c r="AD506" s="75" t="n">
        <x:v>0.1088750843013404</x:v>
      </x:c>
      <x:c r="AE506" s="75" t="n">
        <x:v>0.08926459168708242</x:v>
      </x:c>
      <x:c r="AF506" s="74" t="n">
        <x:v>8</x:v>
      </x:c>
    </x:row>
    <x:row r="507">
      <x:c r="A507" t="str">
        <x:v>2025 S2</x:v>
      </x:c>
      <x:c r="B507" t="str">
        <x:v>CNCT0127</x:v>
      </x:c>
      <x:c r="C507" s="74" t="n">
        <x:v>2043</x:v>
      </x:c>
      <x:c r="D507" s="74" t="n">
        <x:v>1202.842</x:v>
      </x:c>
      <x:c r="E507" s="75" t="n">
        <x:v>0.9729526793612749</x:v>
      </x:c>
      <x:c r="F507" s="75" t="n">
        <x:v>0.18581395315541885</x:v>
      </x:c>
      <x:c r="G507" s="75" t="n">
        <x:v>0.02082001540485362</x:v>
      </x:c>
      <x:c r="H507" s="75" t="n">
        <x:v>0.010728964836722298</x:v>
      </x:c>
      <x:c r="I507" s="75" t="n">
        <x:v>0.009719280090546817</x:v>
      </x:c>
      <x:c r="J507" s="75" t="n">
        <x:v>0.014186244973272552</x:v>
      </x:c>
      <x:c r="K507" s="75" t="n">
        <x:v>0.009276300468220143</x:v>
      </x:c>
      <x:c r="L507" s="75" t="n">
        <x:v>0.013399526382796467</x:v>
      </x:c>
      <x:c r="M507" s="75" t="n">
        <x:v>0.007716722973153083</x:v>
      </x:c>
      <x:c r="N507" s="75" t="n">
        <x:v>0.006528491363642388</x:v>
      </x:c>
      <x:c r="O507" s="75" t="n">
        <x:v>0.012547289971058488</x:v>
      </x:c>
      <x:c r="P507" s="75" t="n">
        <x:v>0.000883100206364361</x:v>
      </x:c>
      <x:c r="Q507" s="75" t="n">
        <x:v>0.006625021896543331</x:v>
      </x:c>
      <x:c r="R507" s="75" t="n">
        <x:v>0.355116011643103</x:v>
      </x:c>
      <x:c r="S507" s="75" t="n">
        <x:v>0.016718555121296958</x:v>
      </x:c>
      <x:c r="T507" s="75" t="n">
        <x:v>0.004097093532327563</x:v>
      </x:c>
      <x:c r="U507" s="75" t="n">
        <x:v>0.009234250111912843</x:v>
      </x:c>
      <x:c r="V507" s="75" t="n">
        <x:v>0.033494395029410956</x:v>
      </x:c>
      <x:c r="W507" s="75" t="n">
        <x:v>0.009386509048120934</x:v>
      </x:c>
      <x:c r="X507" s="75" t="n">
        <x:v>0.019100964679585303</x:v>
      </x:c>
      <x:c r="Y507" s="75" t="n">
        <x:v>0.017581524252453823</x:v>
      </x:c>
      <x:c r="Z507" s="75" t="n">
        <x:v>0.0073167028031544765</x:v>
      </x:c>
      <x:c r="AA507" s="75" t="n">
        <x:v>0.005908274020247627</x:v>
      </x:c>
      <x:c r="AB507" s="75" t="n">
        <x:v>0.005040497834177223</x:v>
      </x:c>
      <x:c r="AC507" s="75" t="n">
        <x:v>0.0237476490150555</x:v>
      </x:c>
      <x:c r="AD507" s="75" t="n">
        <x:v>0.1088750843013404</x:v>
      </x:c>
      <x:c r="AE507" s="75" t="n">
        <x:v>0.08926459168708242</x:v>
      </x:c>
      <x:c r="AF507" s="74" t="n">
        <x:v>8</x:v>
      </x:c>
    </x:row>
    <x:row r="508">
      <x:c r="A508" t="str">
        <x:v>2026 S1</x:v>
      </x:c>
      <x:c r="B508" t="str">
        <x:v>CNCT0127</x:v>
      </x:c>
      <x:c r="C508" s="74" t="n">
        <x:v>2119</x:v>
      </x:c>
      <x:c r="D508" s="74" t="n">
        <x:v>1252.848</x:v>
      </x:c>
      <x:c r="E508" s="75" t="n">
        <x:v>0.9655126276132651</x:v>
      </x:c>
      <x:c r="F508" s="75" t="n">
        <x:v>0.23160430528145662</x:v>
      </x:c>
      <x:c r="G508" s="75" t="n">
        <x:v>0.020642131373329903</x:v>
      </x:c>
      <x:c r="H508" s="75" t="n">
        <x:v>0.010728964836722298</x:v>
      </x:c>
      <x:c r="I508" s="75" t="n">
        <x:v>0.009719280090546817</x:v>
      </x:c>
      <x:c r="J508" s="75" t="n">
        <x:v>0.014186244973272552</x:v>
      </x:c>
      <x:c r="K508" s="75" t="n">
        <x:v>0.009276300468220143</x:v>
      </x:c>
      <x:c r="L508" s="75" t="n">
        <x:v>0.013399526382796467</x:v>
      </x:c>
      <x:c r="M508" s="75" t="n">
        <x:v>0.007716722973153083</x:v>
      </x:c>
      <x:c r="N508" s="75" t="n">
        <x:v>0.006528491363642388</x:v>
      </x:c>
      <x:c r="O508" s="75" t="n">
        <x:v>0.010600140088863553</x:v>
      </x:c>
      <x:c r="P508" s="75" t="n">
        <x:v>0.000883100206364361</x:v>
      </x:c>
      <x:c r="Q508" s="75" t="n">
        <x:v>0.006625021896543331</x:v>
      </x:c>
      <x:c r="R508" s="75" t="n">
        <x:v>0.34755471968112855</x:v>
      </x:c>
      <x:c r="S508" s="75" t="n">
        <x:v>0.016718555121296958</x:v>
      </x:c>
      <x:c r="T508" s="75" t="n">
        <x:v>0.004097093532327563</x:v>
      </x:c>
      <x:c r="U508" s="75" t="n">
        <x:v>0.009234250111912843</x:v>
      </x:c>
      <x:c r="V508" s="75" t="n">
        <x:v>0.033494395029410956</x:v>
      </x:c>
      <x:c r="W508" s="75" t="n">
        <x:v>0.011549639470810242</x:v>
      </x:c>
      <x:c r="X508" s="75" t="n">
        <x:v>0.023502801143951813</x:v>
      </x:c>
      <x:c r="Y508" s="75" t="n">
        <x:v>0.021633204146732105</x:v>
      </x:c>
      <x:c r="Z508" s="75" t="n">
        <x:v>0.009002844301142801</x:v>
      </x:c>
      <x:c r="AA508" s="75" t="n">
        <x:v>0.007269841692878911</x:v>
      </x:c>
      <x:c r="AB508" s="75" t="n">
        <x:v>0.006202085614544943</x:v>
      </x:c>
      <x:c r="AC508" s="75" t="n">
        <x:v>0.02922031854410665</x:v>
      </x:c>
      <x:c r="AD508" s="75" t="n">
        <x:v>0.1088750843013404</x:v>
      </x:c>
      <x:c r="AE508" s="75" t="n">
        <x:v>0.08926459168708242</x:v>
      </x:c>
      <x:c r="AF508" s="74" t="n">
        <x:v>8</x:v>
      </x:c>
    </x:row>
    <x:row r="509">
      <x:c r="A509" t="str">
        <x:v>2026 S2</x:v>
      </x:c>
      <x:c r="B509" t="str">
        <x:v>CNCT0127</x:v>
      </x:c>
      <x:c r="C509" s="74" t="n">
        <x:v>2179</x:v>
      </x:c>
      <x:c r="D509" s="74" t="n">
        <x:v>1253.932</x:v>
      </x:c>
      <x:c r="E509" s="75" t="n">
        <x:v>0.9729526793612749</x:v>
      </x:c>
      <x:c r="F509" s="75" t="n">
        <x:v>0.22375636307446983</x:v>
      </x:c>
      <x:c r="G509" s="75" t="n">
        <x:v>0.01947752632565971</x:v>
      </x:c>
      <x:c r="H509" s="75" t="n">
        <x:v>0.010728964836722298</x:v>
      </x:c>
      <x:c r="I509" s="75" t="n">
        <x:v>0.009719280090546817</x:v>
      </x:c>
      <x:c r="J509" s="75" t="n">
        <x:v>0.014186244973272552</x:v>
      </x:c>
      <x:c r="K509" s="75" t="n">
        <x:v>0.009276300468220143</x:v>
      </x:c>
      <x:c r="L509" s="75" t="n">
        <x:v>0.013399526382796467</x:v>
      </x:c>
      <x:c r="M509" s="75" t="n">
        <x:v>0.007716722973153083</x:v>
      </x:c>
      <x:c r="N509" s="75" t="n">
        <x:v>0.006528491363642388</x:v>
      </x:c>
      <x:c r="O509" s="75" t="n">
        <x:v>0.012547289971058488</x:v>
      </x:c>
      <x:c r="P509" s="75" t="n">
        <x:v>0.000883100206364361</x:v>
      </x:c>
      <x:c r="Q509" s="75" t="n">
        <x:v>0.006625021896543331</x:v>
      </x:c>
      <x:c r="R509" s="75" t="n">
        <x:v>0.355116011643103</x:v>
      </x:c>
      <x:c r="S509" s="75" t="n">
        <x:v>0.016718555121296958</x:v>
      </x:c>
      <x:c r="T509" s="75" t="n">
        <x:v>0.004097093532327563</x:v>
      </x:c>
      <x:c r="U509" s="75" t="n">
        <x:v>0.009234250111912843</x:v>
      </x:c>
      <x:c r="V509" s="75" t="n">
        <x:v>0.033494395029410956</x:v>
      </x:c>
      <x:c r="W509" s="75" t="n">
        <x:v>0.00994969959100819</x:v>
      </x:c>
      <x:c r="X509" s="75" t="n">
        <x:v>0.02024702256036042</x:v>
      </x:c>
      <x:c r="Y509" s="75" t="n">
        <x:v>0.018636415707601054</x:v>
      </x:c>
      <x:c r="Z509" s="75" t="n">
        <x:v>0.0077557049713437454</x:v>
      </x:c>
      <x:c r="AA509" s="75" t="n">
        <x:v>0.006262770461462485</x:v>
      </x:c>
      <x:c r="AB509" s="75" t="n">
        <x:v>0.0053429277042278565</x:v>
      </x:c>
      <x:c r="AC509" s="75" t="n">
        <x:v>0.025172507955958833</x:v>
      </x:c>
      <x:c r="AD509" s="75" t="n">
        <x:v>0.1088750843013404</x:v>
      </x:c>
      <x:c r="AE509" s="75" t="n">
        <x:v>0.08926459168708242</x:v>
      </x:c>
      <x:c r="AF509" s="74" t="n">
        <x:v>8</x:v>
      </x:c>
    </x:row>
    <x:row r="510">
      <x:c r="A510" t="str">
        <x:v>2025 S1</x:v>
      </x:c>
      <x:c r="B510" t="str">
        <x:v>CNCT0128</x:v>
      </x:c>
      <x:c r="C510" s="74" t="n">
        <x:v>1867</x:v>
      </x:c>
      <x:c r="D510" s="74" t="n">
        <x:v>1170.811</x:v>
      </x:c>
      <x:c r="E510" s="75" t="n">
        <x:v>0.970003011700057</x:v>
      </x:c>
      <x:c r="F510" s="75" t="n">
        <x:v>0.17673476577934344</x:v>
      </x:c>
      <x:c r="G510" s="75" t="n">
        <x:v>0.013082715824890328</x:v>
      </x:c>
      <x:c r="H510" s="75" t="n">
        <x:v>0.008008803578086372</x:v>
      </x:c>
      <x:c r="I510" s="75" t="n">
        <x:v>0.0060225294297633816</x:v>
      </x:c>
      <x:c r="J510" s="75" t="n">
        <x:v>0.015367985539720394</x:v>
      </x:c>
      <x:c r="K510" s="75" t="n">
        <x:v>0.010139510833963868</x:v>
      </x:c>
      <x:c r="L510" s="75" t="n">
        <x:v>0.013262894676750875</x:v>
      </x:c>
      <x:c r="M510" s="75" t="n">
        <x:v>0.008147159771076986</x:v>
      </x:c>
      <x:c r="N510" s="75" t="n">
        <x:v>0.008422379667055793</x:v>
      </x:c>
      <x:c r="O510" s="75" t="n">
        <x:v>0.008550090037075278</x:v>
      </x:c>
      <x:c r="P510" s="75" t="n">
        <x:v>0.0025927407382223466</x:v>
      </x:c>
      <x:c r="Q510" s="75" t="n">
        <x:v>0.004302886222720645</x:v>
      </x:c>
      <x:c r="R510" s="75" t="n">
        <x:v>0.361802896694981</x:v>
      </x:c>
      <x:c r="S510" s="75" t="n">
        <x:v>0.0158377637721278</x:v>
      </x:c>
      <x:c r="T510" s="75" t="n">
        <x:v>0.005974431485883542</x:v>
      </x:c>
      <x:c r="U510" s="75" t="n">
        <x:v>0.010897961581300478</x:v>
      </x:c>
      <x:c r="V510" s="75" t="n">
        <x:v>0.036922427474230066</x:v>
      </x:c>
      <x:c r="W510" s="75" t="n">
        <x:v>0.012530847609393821</x:v>
      </x:c>
      <x:c r="X510" s="75" t="n">
        <x:v>0.025953251217640826</x:v>
      </x:c>
      <x:c r="Y510" s="75" t="n">
        <x:v>0.01579655726867961</x:v>
      </x:c>
      <x:c r="Z510" s="75" t="n">
        <x:v>0.004722359748260351</x:v>
      </x:c>
      <x:c r="AA510" s="75" t="n">
        <x:v>0.008738724508676679</x:v>
      </x:c>
      <x:c r="AB510" s="75" t="n">
        <x:v>0.005469595290307189</x:v>
      </x:c>
      <x:c r="AC510" s="75" t="n">
        <x:v>0.027294966905098406</x:v>
      </x:c>
      <x:c r="AD510" s="75" t="n">
        <x:v>0.08824520324051265</x:v>
      </x:c>
      <x:c r="AE510" s="75" t="n">
        <x:v>0.09060885062228771</x:v>
      </x:c>
      <x:c r="AF510" s="74" t="n">
        <x:v>8</x:v>
      </x:c>
    </x:row>
    <x:row r="511">
      <x:c r="A511" t="str">
        <x:v>2025 S2</x:v>
      </x:c>
      <x:c r="B511" t="str">
        <x:v>CNCT0128</x:v>
      </x:c>
      <x:c r="C511" s="74" t="n">
        <x:v>1966</x:v>
      </x:c>
      <x:c r="D511" s="74" t="n">
        <x:v>1184.861</x:v>
      </x:c>
      <x:c r="E511" s="75" t="n">
        <x:v>0.9786087600421742</x:v>
      </x:c>
      <x:c r="F511" s="75" t="n">
        <x:v>0.17673476577934344</x:v>
      </x:c>
      <x:c r="G511" s="75" t="n">
        <x:v>0.013082715824890328</x:v>
      </x:c>
      <x:c r="H511" s="75" t="n">
        <x:v>0.008008803578086372</x:v>
      </x:c>
      <x:c r="I511" s="75" t="n">
        <x:v>0.0060225294297633816</x:v>
      </x:c>
      <x:c r="J511" s="75" t="n">
        <x:v>0.015367985539720394</x:v>
      </x:c>
      <x:c r="K511" s="75" t="n">
        <x:v>0.010139510833963868</x:v>
      </x:c>
      <x:c r="L511" s="75" t="n">
        <x:v>0.013262894676750875</x:v>
      </x:c>
      <x:c r="M511" s="75" t="n">
        <x:v>0.008147159771076986</x:v>
      </x:c>
      <x:c r="N511" s="75" t="n">
        <x:v>0.008422379667055793</x:v>
      </x:c>
      <x:c r="O511" s="75" t="n">
        <x:v>0.008550090037075278</x:v>
      </x:c>
      <x:c r="P511" s="75" t="n">
        <x:v>0.0025927407382223466</x:v>
      </x:c>
      <x:c r="Q511" s="75" t="n">
        <x:v>0.004302886222720645</x:v>
      </x:c>
      <x:c r="R511" s="75" t="n">
        <x:v>0.3749478259371514</x:v>
      </x:c>
      <x:c r="S511" s="75" t="n">
        <x:v>0.0158377637721278</x:v>
      </x:c>
      <x:c r="T511" s="75" t="n">
        <x:v>0.005974431485883542</x:v>
      </x:c>
      <x:c r="U511" s="75" t="n">
        <x:v>0.010897961581300478</x:v>
      </x:c>
      <x:c r="V511" s="75" t="n">
        <x:v>0.036922427474230066</x:v>
      </x:c>
      <x:c r="W511" s="75" t="n">
        <x:v>0.012530847609393821</x:v>
      </x:c>
      <x:c r="X511" s="75" t="n">
        <x:v>0.025953251217640826</x:v>
      </x:c>
      <x:c r="Y511" s="75" t="n">
        <x:v>0.01579655726867961</x:v>
      </x:c>
      <x:c r="Z511" s="75" t="n">
        <x:v>0.004722359748260351</x:v>
      </x:c>
      <x:c r="AA511" s="75" t="n">
        <x:v>0.008738724508676679</x:v>
      </x:c>
      <x:c r="AB511" s="75" t="n">
        <x:v>0.005469595290307189</x:v>
      </x:c>
      <x:c r="AC511" s="75" t="n">
        <x:v>0.027294966905098406</x:v>
      </x:c>
      <x:c r="AD511" s="75" t="n">
        <x:v>0.08824520324051265</x:v>
      </x:c>
      <x:c r="AE511" s="75" t="n">
        <x:v>0.09060885062228771</x:v>
      </x:c>
      <x:c r="AF511" s="74" t="n">
        <x:v>8</x:v>
      </x:c>
    </x:row>
    <x:row r="512">
      <x:c r="A512" t="str">
        <x:v>2026 S1</x:v>
      </x:c>
      <x:c r="B512" t="str">
        <x:v>CNCT0128</x:v>
      </x:c>
      <x:c r="C512" s="74" t="n">
        <x:v>1829</x:v>
      </x:c>
      <x:c r="D512" s="74" t="n">
        <x:v>1229.416</x:v>
      </x:c>
      <x:c r="E512" s="75" t="n">
        <x:v>0.9677463564026985</x:v>
      </x:c>
      <x:c r="F512" s="75" t="n">
        <x:v>0.18048234186958872</x:v>
      </x:c>
      <x:c r="G512" s="75" t="n">
        <x:v>0.011804969265973339</x:v>
      </x:c>
      <x:c r="H512" s="75" t="n">
        <x:v>0.008008803578086372</x:v>
      </x:c>
      <x:c r="I512" s="75" t="n">
        <x:v>0.0060225294297633816</x:v>
      </x:c>
      <x:c r="J512" s="75" t="n">
        <x:v>0.015367985539720394</x:v>
      </x:c>
      <x:c r="K512" s="75" t="n">
        <x:v>0.010139510833963868</x:v>
      </x:c>
      <x:c r="L512" s="75" t="n">
        <x:v>0.013262894676750875</x:v>
      </x:c>
      <x:c r="M512" s="75" t="n">
        <x:v>0.008147159771076986</x:v>
      </x:c>
      <x:c r="N512" s="75" t="n">
        <x:v>0.008422379667055793</x:v>
      </x:c>
      <x:c r="O512" s="75" t="n">
        <x:v>0.008444895736865873</x:v>
      </x:c>
      <x:c r="P512" s="75" t="n">
        <x:v>0.0025927407382223466</x:v>
      </x:c>
      <x:c r="Q512" s="75" t="n">
        <x:v>0.004302886222720645</x:v>
      </x:c>
      <x:c r="R512" s="75" t="n">
        <x:v>0.3579666057361762</x:v>
      </x:c>
      <x:c r="S512" s="75" t="n">
        <x:v>0.0158377637721278</x:v>
      </x:c>
      <x:c r="T512" s="75" t="n">
        <x:v>0.005974431485883542</x:v>
      </x:c>
      <x:c r="U512" s="75" t="n">
        <x:v>0.010897961581300478</x:v>
      </x:c>
      <x:c r="V512" s="75" t="n">
        <x:v>0.036922427474230066</x:v>
      </x:c>
      <x:c r="W512" s="75" t="n">
        <x:v>0.015418594006590298</x:v>
      </x:c>
      <x:c r="X512" s="75" t="n">
        <x:v>0.03193420398599892</x:v>
      </x:c>
      <x:c r="Y512" s="75" t="n">
        <x:v>0.019436889731628142</x:v>
      </x:c>
      <x:c r="Z512" s="75" t="n">
        <x:v>0.005810632287707839</x:v>
      </x:c>
      <x:c r="AA512" s="75" t="n">
        <x:v>0.010752572334669384</x:v>
      </x:c>
      <x:c r="AB512" s="75" t="n">
        <x:v>0.006730069009727952</x:v>
      </x:c>
      <x:c r="AC512" s="75" t="n">
        <x:v>0.03358511939906908</x:v>
      </x:c>
      <x:c r="AD512" s="75" t="n">
        <x:v>0.08824520324051265</x:v>
      </x:c>
      <x:c r="AE512" s="75" t="n">
        <x:v>0.09060885062228771</x:v>
      </x:c>
      <x:c r="AF512" s="74" t="n">
        <x:v>8</x:v>
      </x:c>
    </x:row>
    <x:row r="513">
      <x:c r="A513" t="str">
        <x:v>2026 S2</x:v>
      </x:c>
      <x:c r="B513" t="str">
        <x:v>CNCT0128</x:v>
      </x:c>
      <x:c r="C513" s="74" t="n">
        <x:v>1955</x:v>
      </x:c>
      <x:c r="D513" s="74" t="n">
        <x:v>1231.436</x:v>
      </x:c>
      <x:c r="E513" s="75" t="n">
        <x:v>0.9786087600421742</x:v>
      </x:c>
      <x:c r="F513" s="75" t="n">
        <x:v>0.17155893103135167</x:v>
      </x:c>
      <x:c r="G513" s="75" t="n">
        <x:v>0.014280278460155386</x:v>
      </x:c>
      <x:c r="H513" s="75" t="n">
        <x:v>0.008008803578086372</x:v>
      </x:c>
      <x:c r="I513" s="75" t="n">
        <x:v>0.0060225294297633816</x:v>
      </x:c>
      <x:c r="J513" s="75" t="n">
        <x:v>0.015367985539720394</x:v>
      </x:c>
      <x:c r="K513" s="75" t="n">
        <x:v>0.010139510833963868</x:v>
      </x:c>
      <x:c r="L513" s="75" t="n">
        <x:v>0.013262894676750875</x:v>
      </x:c>
      <x:c r="M513" s="75" t="n">
        <x:v>0.008147159771076986</x:v>
      </x:c>
      <x:c r="N513" s="75" t="n">
        <x:v>0.008422379667055793</x:v>
      </x:c>
      <x:c r="O513" s="75" t="n">
        <x:v>0.008550090037075278</x:v>
      </x:c>
      <x:c r="P513" s="75" t="n">
        <x:v>0.0025927407382223466</x:v>
      </x:c>
      <x:c r="Q513" s="75" t="n">
        <x:v>0.004302886222720645</x:v>
      </x:c>
      <x:c r="R513" s="75" t="n">
        <x:v>0.3769579635479365</x:v>
      </x:c>
      <x:c r="S513" s="75" t="n">
        <x:v>0.0158377637721278</x:v>
      </x:c>
      <x:c r="T513" s="75" t="n">
        <x:v>0.005974431485883542</x:v>
      </x:c>
      <x:c r="U513" s="75" t="n">
        <x:v>0.010897961581300478</x:v>
      </x:c>
      <x:c r="V513" s="75" t="n">
        <x:v>0.036922427474230066</x:v>
      </x:c>
      <x:c r="W513" s="75" t="n">
        <x:v>0.01328269846595745</x:v>
      </x:c>
      <x:c r="X513" s="75" t="n">
        <x:v>0.027510446290699278</x:v>
      </x:c>
      <x:c r="Y513" s="75" t="n">
        <x:v>0.016744350704800386</x:v>
      </x:c>
      <x:c r="Z513" s="75" t="n">
        <x:v>0.005005701333155972</x:v>
      </x:c>
      <x:c r="AA513" s="75" t="n">
        <x:v>0.00926304797919728</x:v>
      </x:c>
      <x:c r="AB513" s="75" t="n">
        <x:v>0.005797771007725621</x:v>
      </x:c>
      <x:c r="AC513" s="75" t="n">
        <x:v>0.028932664919404313</x:v>
      </x:c>
      <x:c r="AD513" s="75" t="n">
        <x:v>0.08824520324051265</x:v>
      </x:c>
      <x:c r="AE513" s="75" t="n">
        <x:v>0.09060885062228771</x:v>
      </x:c>
      <x:c r="AF513" s="74" t="n">
        <x:v>8</x:v>
      </x:c>
    </x:row>
    <x:row r="514">
      <x:c r="A514" t="str">
        <x:v>2025 S1</x:v>
      </x:c>
      <x:c r="B514" t="str">
        <x:v>CNCT0129</x:v>
      </x:c>
      <x:c r="C514" s="74" t="n">
        <x:v>1609</x:v>
      </x:c>
      <x:c r="D514" s="74" t="n">
        <x:v>1048.195</x:v>
      </x:c>
      <x:c r="E514" s="75" t="n">
        <x:v>0.9727991274578962</x:v>
      </x:c>
      <x:c r="F514" s="75" t="n">
        <x:v>0.18057552473712712</x:v>
      </x:c>
      <x:c r="G514" s="75" t="n">
        <x:v>0.01837704411273444</x:v>
      </x:c>
      <x:c r="H514" s="75" t="n">
        <x:v>0.01036326541714152</x:v>
      </x:c>
      <x:c r="I514" s="75" t="n">
        <x:v>0.006546708108688108</x:v>
      </x:c>
      <x:c r="J514" s="75" t="n">
        <x:v>0.015573548595159081</x:v>
      </x:c>
      <x:c r="K514" s="75" t="n">
        <x:v>0.011897712888370732</x:v>
      </x:c>
      <x:c r="L514" s="75" t="n">
        <x:v>0.011583116720052203</x:v>
      </x:c>
      <x:c r="M514" s="75" t="n">
        <x:v>0.009263820730346197</x:v>
      </x:c>
      <x:c r="N514" s="75" t="n">
        <x:v>0.0060487272055179345</x:v>
      </x:c>
      <x:c r="O514" s="75" t="n">
        <x:v>0.008886531234908034</x:v>
      </x:c>
      <x:c r="P514" s="75" t="n">
        <x:v>0.0006295748350858048</x:v>
      </x:c>
      <x:c r="Q514" s="75" t="n">
        <x:v>0.005575340138595493</x:v>
      </x:c>
      <x:c r="R514" s="75" t="n">
        <x:v>0.3792710734367555</x:v>
      </x:c>
      <x:c r="S514" s="75" t="n">
        <x:v>0.013872247499959486</x:v>
      </x:c>
      <x:c r="T514" s="75" t="n">
        <x:v>0.005286766750959942</x:v>
      </x:c>
      <x:c r="U514" s="75" t="n">
        <x:v>0.006904653696081368</x:v>
      </x:c>
      <x:c r="V514" s="75" t="n">
        <x:v>0.03568477615292068</x:v>
      </x:c>
      <x:c r="W514" s="75" t="n">
        <x:v>0.012986981550771451</x:v>
      </x:c>
      <x:c r="X514" s="75" t="n">
        <x:v>0.022343175292064844</x:v>
      </x:c>
      <x:c r="Y514" s="75" t="n">
        <x:v>0.019319318408290858</x:v>
      </x:c>
      <x:c r="Z514" s="75" t="n">
        <x:v>0.005320230142334913</x:v>
      </x:c>
      <x:c r="AA514" s="75" t="n">
        <x:v>0.00697294214716123</x:v>
      </x:c>
      <x:c r="AB514" s="75" t="n">
        <x:v>0.0042449623069347586</x:v>
      </x:c>
      <x:c r="AC514" s="75" t="n">
        <x:v>0.02351434387619956</x:v>
      </x:c>
      <x:c r="AD514" s="75" t="n">
        <x:v>0.08860199439318968</x:v>
      </x:c>
      <x:c r="AE514" s="75" t="n">
        <x:v>0.09211683594400528</x:v>
      </x:c>
      <x:c r="AF514" s="74" t="n">
        <x:v>8</x:v>
      </x:c>
    </x:row>
    <x:row r="515">
      <x:c r="A515" t="str">
        <x:v>2025 S2</x:v>
      </x:c>
      <x:c r="B515" t="str">
        <x:v>CNCT0129</x:v>
      </x:c>
      <x:c r="C515" s="74" t="n">
        <x:v>1763</x:v>
      </x:c>
      <x:c r="D515" s="74" t="n">
        <x:v>1060.774</x:v>
      </x:c>
      <x:c r="E515" s="75" t="n">
        <x:v>0.9778790672505856</x:v>
      </x:c>
      <x:c r="F515" s="75" t="n">
        <x:v>0.18057552473712712</x:v>
      </x:c>
      <x:c r="G515" s="75" t="n">
        <x:v>0.01837704411273444</x:v>
      </x:c>
      <x:c r="H515" s="75" t="n">
        <x:v>0.01036326541714152</x:v>
      </x:c>
      <x:c r="I515" s="75" t="n">
        <x:v>0.006546708108688108</x:v>
      </x:c>
      <x:c r="J515" s="75" t="n">
        <x:v>0.015573548595159081</x:v>
      </x:c>
      <x:c r="K515" s="75" t="n">
        <x:v>0.011897712888370732</x:v>
      </x:c>
      <x:c r="L515" s="75" t="n">
        <x:v>0.011583116720052203</x:v>
      </x:c>
      <x:c r="M515" s="75" t="n">
        <x:v>0.009263820730346197</x:v>
      </x:c>
      <x:c r="N515" s="75" t="n">
        <x:v>0.0060487272055179345</x:v>
      </x:c>
      <x:c r="O515" s="75" t="n">
        <x:v>0.008886531234908034</x:v>
      </x:c>
      <x:c r="P515" s="75" t="n">
        <x:v>0.0006295748350858048</x:v>
      </x:c>
      <x:c r="Q515" s="75" t="n">
        <x:v>0.005575340138595493</x:v>
      </x:c>
      <x:c r="R515" s="75" t="n">
        <x:v>0.38604271976879184</x:v>
      </x:c>
      <x:c r="S515" s="75" t="n">
        <x:v>0.013872247499959486</x:v>
      </x:c>
      <x:c r="T515" s="75" t="n">
        <x:v>0.005286766750959942</x:v>
      </x:c>
      <x:c r="U515" s="75" t="n">
        <x:v>0.006904653696081368</x:v>
      </x:c>
      <x:c r="V515" s="75" t="n">
        <x:v>0.03568477615292068</x:v>
      </x:c>
      <x:c r="W515" s="75" t="n">
        <x:v>0.012986981550771451</x:v>
      </x:c>
      <x:c r="X515" s="75" t="n">
        <x:v>0.022343175292064844</x:v>
      </x:c>
      <x:c r="Y515" s="75" t="n">
        <x:v>0.019319318408290858</x:v>
      </x:c>
      <x:c r="Z515" s="75" t="n">
        <x:v>0.005320230142334913</x:v>
      </x:c>
      <x:c r="AA515" s="75" t="n">
        <x:v>0.00697294214716123</x:v>
      </x:c>
      <x:c r="AB515" s="75" t="n">
        <x:v>0.0042449623069347586</x:v>
      </x:c>
      <x:c r="AC515" s="75" t="n">
        <x:v>0.02351434387619956</x:v>
      </x:c>
      <x:c r="AD515" s="75" t="n">
        <x:v>0.08860199439318968</x:v>
      </x:c>
      <x:c r="AE515" s="75" t="n">
        <x:v>0.09211683594400528</x:v>
      </x:c>
      <x:c r="AF515" s="74" t="n">
        <x:v>8</x:v>
      </x:c>
    </x:row>
    <x:row r="516">
      <x:c r="A516" t="str">
        <x:v>2026 S1</x:v>
      </x:c>
      <x:c r="B516" t="str">
        <x:v>CNCT0129</x:v>
      </x:c>
      <x:c r="C516" s="74" t="n">
        <x:v>1662</x:v>
      </x:c>
      <x:c r="D516" s="74" t="n">
        <x:v>1093.962</x:v>
      </x:c>
      <x:c r="E516" s="75" t="n">
        <x:v>0.9749953858414082</x:v>
      </x:c>
      <x:c r="F516" s="75" t="n">
        <x:v>0.18424344122875483</x:v>
      </x:c>
      <x:c r="G516" s="75" t="n">
        <x:v>0.01953641746989888</x:v>
      </x:c>
      <x:c r="H516" s="75" t="n">
        <x:v>0.01036326541714152</x:v>
      </x:c>
      <x:c r="I516" s="75" t="n">
        <x:v>0.006546708108688108</x:v>
      </x:c>
      <x:c r="J516" s="75" t="n">
        <x:v>0.015573548595159081</x:v>
      </x:c>
      <x:c r="K516" s="75" t="n">
        <x:v>0.011897712888370732</x:v>
      </x:c>
      <x:c r="L516" s="75" t="n">
        <x:v>0.011583116720052203</x:v>
      </x:c>
      <x:c r="M516" s="75" t="n">
        <x:v>0.009263820730346197</x:v>
      </x:c>
      <x:c r="N516" s="75" t="n">
        <x:v>0.0060487272055179345</x:v>
      </x:c>
      <x:c r="O516" s="75" t="n">
        <x:v>0.008287455921803483</x:v>
      </x:c>
      <x:c r="P516" s="75" t="n">
        <x:v>0.0006295748350858048</x:v>
      </x:c>
      <x:c r="Q516" s="75" t="n">
        <x:v>0.005575340138595493</x:v>
      </x:c>
      <x:c r="R516" s="75" t="n">
        <x:v>0.3767090562460297</x:v>
      </x:c>
      <x:c r="S516" s="75" t="n">
        <x:v>0.013872247499959486</x:v>
      </x:c>
      <x:c r="T516" s="75" t="n">
        <x:v>0.005286766750959942</x:v>
      </x:c>
      <x:c r="U516" s="75" t="n">
        <x:v>0.006904653696081368</x:v>
      </x:c>
      <x:c r="V516" s="75" t="n">
        <x:v>0.03568477615292068</x:v>
      </x:c>
      <x:c r="W516" s="75" t="n">
        <x:v>0.015979844472157785</x:v>
      </x:c>
      <x:c r="X516" s="75" t="n">
        <x:v>0.02749218244328267</x:v>
      </x:c>
      <x:c r="Y516" s="75" t="n">
        <x:v>0.023771474708397064</x:v>
      </x:c>
      <x:c r="Z516" s="75" t="n">
        <x:v>0.0065462825136259365</x:v>
      </x:c>
      <x:c r="AA516" s="75" t="n">
        <x:v>0.008579863657261566</x:v>
      </x:c>
      <x:c r="AB516" s="75" t="n">
        <x:v>0.005223218127306888</x:v>
      </x:c>
      <x:c r="AC516" s="75" t="n">
        <x:v>0.028933248002048967</x:v>
      </x:c>
      <x:c r="AD516" s="75" t="n">
        <x:v>0.08860199439318968</x:v>
      </x:c>
      <x:c r="AE516" s="75" t="n">
        <x:v>0.09211683594400528</x:v>
      </x:c>
      <x:c r="AF516" s="74" t="n">
        <x:v>8</x:v>
      </x:c>
    </x:row>
    <x:row r="517">
      <x:c r="A517" t="str">
        <x:v>2026 S2</x:v>
      </x:c>
      <x:c r="B517" t="str">
        <x:v>CNCT0129</x:v>
      </x:c>
      <x:c r="C517" s="74" t="n">
        <x:v>1840</x:v>
      </x:c>
      <x:c r="D517" s="74" t="n">
        <x:v>1105.991</x:v>
      </x:c>
      <x:c r="E517" s="75" t="n">
        <x:v>0.9778790672505856</x:v>
      </x:c>
      <x:c r="F517" s="75" t="n">
        <x:v>0.17736544430512002</x:v>
      </x:c>
      <x:c r="G517" s="75" t="n">
        <x:v>0.01931664693578932</x:v>
      </x:c>
      <x:c r="H517" s="75" t="n">
        <x:v>0.01036326541714152</x:v>
      </x:c>
      <x:c r="I517" s="75" t="n">
        <x:v>0.006546708108688108</x:v>
      </x:c>
      <x:c r="J517" s="75" t="n">
        <x:v>0.015573548595159081</x:v>
      </x:c>
      <x:c r="K517" s="75" t="n">
        <x:v>0.011897712888370732</x:v>
      </x:c>
      <x:c r="L517" s="75" t="n">
        <x:v>0.011583116720052203</x:v>
      </x:c>
      <x:c r="M517" s="75" t="n">
        <x:v>0.009263820730346197</x:v>
      </x:c>
      <x:c r="N517" s="75" t="n">
        <x:v>0.0060487272055179345</x:v>
      </x:c>
      <x:c r="O517" s="75" t="n">
        <x:v>0.008886531234908034</x:v>
      </x:c>
      <x:c r="P517" s="75" t="n">
        <x:v>0.0006295748350858048</x:v>
      </x:c>
      <x:c r="Q517" s="75" t="n">
        <x:v>0.005575340138595493</x:v>
      </x:c>
      <x:c r="R517" s="75" t="n">
        <x:v>0.38477627004894044</x:v>
      </x:c>
      <x:c r="S517" s="75" t="n">
        <x:v>0.013872247499959486</x:v>
      </x:c>
      <x:c r="T517" s="75" t="n">
        <x:v>0.005286766750959942</x:v>
      </x:c>
      <x:c r="U517" s="75" t="n">
        <x:v>0.006904653696081368</x:v>
      </x:c>
      <x:c r="V517" s="75" t="n">
        <x:v>0.03568477615292068</x:v>
      </x:c>
      <x:c r="W517" s="75" t="n">
        <x:v>0.013766200443817739</x:v>
      </x:c>
      <x:c r="X517" s="75" t="n">
        <x:v>0.023683765809588735</x:v>
      </x:c>
      <x:c r="Y517" s="75" t="n">
        <x:v>0.02047847751278831</x:v>
      </x:c>
      <x:c r="Z517" s="75" t="n">
        <x:v>0.005639443950875008</x:v>
      </x:c>
      <x:c r="AA517" s="75" t="n">
        <x:v>0.007391318675990904</x:v>
      </x:c>
      <x:c r="AB517" s="75" t="n">
        <x:v>0.0044996600453508446</x:v>
      </x:c>
      <x:c r="AC517" s="75" t="n">
        <x:v>0.024925204508771535</x:v>
      </x:c>
      <x:c r="AD517" s="75" t="n">
        <x:v>0.08860199439318968</x:v>
      </x:c>
      <x:c r="AE517" s="75" t="n">
        <x:v>0.09211683594400528</x:v>
      </x:c>
      <x:c r="AF517" s="74" t="n">
        <x:v>8</x:v>
      </x:c>
    </x:row>
    <x:row r="518">
      <x:c r="A518" t="str">
        <x:v>2025 S1</x:v>
      </x:c>
      <x:c r="B518" t="str">
        <x:v>CNCT0130</x:v>
      </x:c>
      <x:c r="C518" s="74" t="n">
        <x:v>1330</x:v>
      </x:c>
      <x:c r="D518" s="74" t="n">
        <x:v>1088.717</x:v>
      </x:c>
      <x:c r="E518" s="75" t="n">
        <x:v>0.9839521496559609</x:v>
      </x:c>
      <x:c r="F518" s="75" t="n">
        <x:v>0.2137231723028235</x:v>
      </x:c>
      <x:c r="G518" s="75" t="n">
        <x:v>0.019605039212779958</x:v>
      </x:c>
      <x:c r="H518" s="75" t="n">
        <x:v>0.0074416777558799375</x:v>
      </x:c>
      <x:c r="I518" s="75" t="n">
        <x:v>0.005789694631746898</x:v>
      </x:c>
      <x:c r="J518" s="75" t="n">
        <x:v>0.01622614704944135</x:v>
      </x:c>
      <x:c r="K518" s="75" t="n">
        <x:v>0.012418381813025917</x:v>
      </x:c>
      <x:c r="L518" s="75" t="n">
        <x:v>0.008462881983476108</x:v>
      </x:c>
      <x:c r="M518" s="75" t="n">
        <x:v>0.0062723101912779385</x:v>
      </x:c>
      <x:c r="N518" s="75" t="n">
        <x:v>0.005540508230158593</x:v>
      </x:c>
      <x:c r="O518" s="75" t="n">
        <x:v>0.010530040589452255</x:v>
      </x:c>
      <x:c r="P518" s="75" t="n">
        <x:v>0.0021724988150308494</x:v>
      </x:c>
      <x:c r="Q518" s="75" t="n">
        <x:v>0.005841201424089377</x:v>
      </x:c>
      <x:c r="R518" s="75" t="n">
        <x:v>0.36477443608237703</x:v>
      </x:c>
      <x:c r="S518" s="75" t="n">
        <x:v>0.015249941503869196</x:v>
      </x:c>
      <x:c r="T518" s="75" t="n">
        <x:v>0.005191577876270457</x:v>
      </x:c>
      <x:c r="U518" s="75" t="n">
        <x:v>0.00799406569500934</x:v>
      </x:c>
      <x:c r="V518" s="75" t="n">
        <x:v>0.03496012867094396</x:v>
      </x:c>
      <x:c r="W518" s="75" t="n">
        <x:v>0.010767209109757096</x:v>
      </x:c>
      <x:c r="X518" s="75" t="n">
        <x:v>0.0174010975522676</x:v>
      </x:c>
      <x:c r="Y518" s="75" t="n">
        <x:v>0.017782579260033092</x:v>
      </x:c>
      <x:c r="Z518" s="75" t="n">
        <x:v>0.006260619560236228</x:v>
      </x:c>
      <x:c r="AA518" s="75" t="n">
        <x:v>0.007147528950707165</x:v>
      </x:c>
      <x:c r="AB518" s="75" t="n">
        <x:v>0.005338842724247662</x:v>
      </x:c>
      <x:c r="AC518" s="75" t="n">
        <x:v>0.02748371692424989</x:v>
      </x:c>
      <x:c r="AD518" s="75" t="n">
        <x:v>0.08374418771977071</x:v>
      </x:c>
      <x:c r="AE518" s="75" t="n">
        <x:v>0.06901210497980355</x:v>
      </x:c>
      <x:c r="AF518" s="74" t="n">
        <x:v>6</x:v>
      </x:c>
    </x:row>
    <x:row r="519">
      <x:c r="A519" t="str">
        <x:v>2025 S2</x:v>
      </x:c>
      <x:c r="B519" t="str">
        <x:v>CNCT0130</x:v>
      </x:c>
      <x:c r="C519" s="74" t="n">
        <x:v>1397</x:v>
      </x:c>
      <x:c r="D519" s="74" t="n">
        <x:v>1101.782</x:v>
      </x:c>
      <x:c r="E519" s="75" t="n">
        <x:v>0.9831460023433901</x:v>
      </x:c>
      <x:c r="F519" s="75" t="n">
        <x:v>0.2137231723028235</x:v>
      </x:c>
      <x:c r="G519" s="75" t="n">
        <x:v>0.019605039212779958</x:v>
      </x:c>
      <x:c r="H519" s="75" t="n">
        <x:v>0.0074416777558799375</x:v>
      </x:c>
      <x:c r="I519" s="75" t="n">
        <x:v>0.005789694631746898</x:v>
      </x:c>
      <x:c r="J519" s="75" t="n">
        <x:v>0.01622614704944135</x:v>
      </x:c>
      <x:c r="K519" s="75" t="n">
        <x:v>0.012418381813025917</x:v>
      </x:c>
      <x:c r="L519" s="75" t="n">
        <x:v>0.008462881983476108</x:v>
      </x:c>
      <x:c r="M519" s="75" t="n">
        <x:v>0.0062723101912779385</x:v>
      </x:c>
      <x:c r="N519" s="75" t="n">
        <x:v>0.005540508230158593</x:v>
      </x:c>
      <x:c r="O519" s="75" t="n">
        <x:v>0.010530040589452255</x:v>
      </x:c>
      <x:c r="P519" s="75" t="n">
        <x:v>0.0021724988150308494</x:v>
      </x:c>
      <x:c r="Q519" s="75" t="n">
        <x:v>0.005841201424089377</x:v>
      </x:c>
      <x:c r="R519" s="75" t="n">
        <x:v>0.34285182395687963</x:v>
      </x:c>
      <x:c r="S519" s="75" t="n">
        <x:v>0.015249941503869196</x:v>
      </x:c>
      <x:c r="T519" s="75" t="n">
        <x:v>0.005191577876270457</x:v>
      </x:c>
      <x:c r="U519" s="75" t="n">
        <x:v>0.00799406569500934</x:v>
      </x:c>
      <x:c r="V519" s="75" t="n">
        <x:v>0.03496012867094396</x:v>
      </x:c>
      <x:c r="W519" s="75" t="n">
        <x:v>0.010767209109757096</x:v>
      </x:c>
      <x:c r="X519" s="75" t="n">
        <x:v>0.0174010975522676</x:v>
      </x:c>
      <x:c r="Y519" s="75" t="n">
        <x:v>0.017782579260033092</x:v>
      </x:c>
      <x:c r="Z519" s="75" t="n">
        <x:v>0.006260619560236228</x:v>
      </x:c>
      <x:c r="AA519" s="75" t="n">
        <x:v>0.007147528950707165</x:v>
      </x:c>
      <x:c r="AB519" s="75" t="n">
        <x:v>0.005338842724247662</x:v>
      </x:c>
      <x:c r="AC519" s="75" t="n">
        <x:v>0.02748371692424989</x:v>
      </x:c>
      <x:c r="AD519" s="75" t="n">
        <x:v>0.08374418771977071</x:v>
      </x:c>
      <x:c r="AE519" s="75" t="n">
        <x:v>0.08087803090073435</x:v>
      </x:c>
      <x:c r="AF519" s="74" t="n">
        <x:v>6</x:v>
      </x:c>
    </x:row>
    <x:row r="520">
      <x:c r="A520" t="str">
        <x:v>2026 S1</x:v>
      </x:c>
      <x:c r="B520" t="str">
        <x:v>CNCT0130</x:v>
      </x:c>
      <x:c r="C520" s="74" t="n">
        <x:v>1417</x:v>
      </x:c>
      <x:c r="D520" s="74" t="n">
        <x:v>1131.889</x:v>
      </x:c>
      <x:c r="E520" s="75" t="n">
        <x:v>0.9813016787175438</x:v>
      </x:c>
      <x:c r="F520" s="75" t="n">
        <x:v>0.216797266262598</x:v>
      </x:c>
      <x:c r="G520" s="75" t="n">
        <x:v>0.01955018018184637</x:v>
      </x:c>
      <x:c r="H520" s="75" t="n">
        <x:v>0.0074416777558799375</x:v>
      </x:c>
      <x:c r="I520" s="75" t="n">
        <x:v>0.005789694631746898</x:v>
      </x:c>
      <x:c r="J520" s="75" t="n">
        <x:v>0.01622614704944135</x:v>
      </x:c>
      <x:c r="K520" s="75" t="n">
        <x:v>0.012418381813025917</x:v>
      </x:c>
      <x:c r="L520" s="75" t="n">
        <x:v>0.008462881983476108</x:v>
      </x:c>
      <x:c r="M520" s="75" t="n">
        <x:v>0.0062723101912779385</x:v>
      </x:c>
      <x:c r="N520" s="75" t="n">
        <x:v>0.005540508230158593</x:v>
      </x:c>
      <x:c r="O520" s="75" t="n">
        <x:v>0.010040727125800912</x:v>
      </x:c>
      <x:c r="P520" s="75" t="n">
        <x:v>0.0021724988150308494</x:v>
      </x:c>
      <x:c r="Q520" s="75" t="n">
        <x:v>0.005841201424089377</x:v>
      </x:c>
      <x:c r="R520" s="75" t="n">
        <x:v>0.36297627250353753</x:v>
      </x:c>
      <x:c r="S520" s="75" t="n">
        <x:v>0.015249941503869196</x:v>
      </x:c>
      <x:c r="T520" s="75" t="n">
        <x:v>0.005191577876270457</x:v>
      </x:c>
      <x:c r="U520" s="75" t="n">
        <x:v>0.00799406569500934</x:v>
      </x:c>
      <x:c r="V520" s="75" t="n">
        <x:v>0.03496012867094396</x:v>
      </x:c>
      <x:c r="W520" s="75" t="n">
        <x:v>0.013248523246180964</x:v>
      </x:c>
      <x:c r="X520" s="75" t="n">
        <x:v>0.021411197932560713</x:v>
      </x:c>
      <x:c r="Y520" s="75" t="n">
        <x:v>0.021880592482420805</x:v>
      </x:c>
      <x:c r="Z520" s="75" t="n">
        <x:v>0.00770338561588093</x:v>
      </x:c>
      <x:c r="AA520" s="75" t="n">
        <x:v>0.008794684164755819</x:v>
      </x:c>
      <x:c r="AB520" s="75" t="n">
        <x:v>0.006569184383704696</x:v>
      </x:c>
      <x:c r="AC520" s="75" t="n">
        <x:v>0.03381736704940769</x:v>
      </x:c>
      <x:c r="AD520" s="75" t="n">
        <x:v>0.08374418771977071</x:v>
      </x:c>
      <x:c r="AE520" s="75" t="n">
        <x:v>0.06901210497980355</x:v>
      </x:c>
      <x:c r="AF520" s="74" t="n">
        <x:v>6</x:v>
      </x:c>
    </x:row>
    <x:row r="521">
      <x:c r="A521" t="str">
        <x:v>2026 S2</x:v>
      </x:c>
      <x:c r="B521" t="str">
        <x:v>CNCT0130</x:v>
      </x:c>
      <x:c r="C521" s="74" t="n">
        <x:v>1483</x:v>
      </x:c>
      <x:c r="D521" s="74" t="n">
        <x:v>1143.69</x:v>
      </x:c>
      <x:c r="E521" s="75" t="n">
        <x:v>0.9831460023433901</x:v>
      </x:c>
      <x:c r="F521" s="75" t="n">
        <x:v>0.20724256653533665</x:v>
      </x:c>
      <x:c r="G521" s="75" t="n">
        <x:v>0.019644660629317516</x:v>
      </x:c>
      <x:c r="H521" s="75" t="n">
        <x:v>0.0074416777558799375</x:v>
      </x:c>
      <x:c r="I521" s="75" t="n">
        <x:v>0.005789694631746898</x:v>
      </x:c>
      <x:c r="J521" s="75" t="n">
        <x:v>0.01622614704944135</x:v>
      </x:c>
      <x:c r="K521" s="75" t="n">
        <x:v>0.012418381813025917</x:v>
      </x:c>
      <x:c r="L521" s="75" t="n">
        <x:v>0.008462881983476108</x:v>
      </x:c>
      <x:c r="M521" s="75" t="n">
        <x:v>0.0062723101912779385</x:v>
      </x:c>
      <x:c r="N521" s="75" t="n">
        <x:v>0.005540508230158593</x:v>
      </x:c>
      <x:c r="O521" s="75" t="n">
        <x:v>0.010530040589452255</x:v>
      </x:c>
      <x:c r="P521" s="75" t="n">
        <x:v>0.0021724988150308494</x:v>
      </x:c>
      <x:c r="Q521" s="75" t="n">
        <x:v>0.005841201424089377</x:v>
      </x:c>
      <x:c r="R521" s="75" t="n">
        <x:v>0.3456907577271493</x:v>
      </x:c>
      <x:c r="S521" s="75" t="n">
        <x:v>0.015249941503869196</x:v>
      </x:c>
      <x:c r="T521" s="75" t="n">
        <x:v>0.005191577876270457</x:v>
      </x:c>
      <x:c r="U521" s="75" t="n">
        <x:v>0.00799406569500934</x:v>
      </x:c>
      <x:c r="V521" s="75" t="n">
        <x:v>0.03496012867094396</x:v>
      </x:c>
      <x:c r="W521" s="75" t="n">
        <x:v>0.011413241656342521</x:v>
      </x:c>
      <x:c r="X521" s="75" t="n">
        <x:v>0.01844516340540366</x:v>
      </x:c>
      <x:c r="Y521" s="75" t="n">
        <x:v>0.018849534015635078</x:v>
      </x:c>
      <x:c r="Z521" s="75" t="n">
        <x:v>0.006636256733850402</x:v>
      </x:c>
      <x:c r="AA521" s="75" t="n">
        <x:v>0.007576380687749596</x:v>
      </x:c>
      <x:c r="AB521" s="75" t="n">
        <x:v>0.0056591732877025215</x:v>
      </x:c>
      <x:c r="AC521" s="75" t="n">
        <x:v>0.029132739939704885</x:v>
      </x:c>
      <x:c r="AD521" s="75" t="n">
        <x:v>0.08374418771977071</x:v>
      </x:c>
      <x:c r="AE521" s="75" t="n">
        <x:v>0.08087803090073435</x:v>
      </x:c>
      <x:c r="AF521" s="74" t="n">
        <x:v>6</x:v>
      </x:c>
    </x:row>
    <x:row r="522">
      <x:c r="A522" t="str">
        <x:v>2025 S1</x:v>
      </x:c>
      <x:c r="B522" t="str">
        <x:v>CNCT0131</x:v>
      </x:c>
      <x:c r="C522" s="74" t="n">
        <x:v>1335</x:v>
      </x:c>
      <x:c r="D522" s="74" t="n">
        <x:v>1057.82</x:v>
      </x:c>
      <x:c r="E522" s="75" t="n">
        <x:v>0.9725618558885181</x:v>
      </x:c>
      <x:c r="F522" s="75" t="n">
        <x:v>0.1784307583044283</x:v>
      </x:c>
      <x:c r="G522" s="75" t="n">
        <x:v>0.017665249262354337</x:v>
      </x:c>
      <x:c r="H522" s="75" t="n">
        <x:v>0.012159823402907933</x:v>
      </x:c>
      <x:c r="I522" s="75" t="n">
        <x:v>0.0061443478734036034</x:v>
      </x:c>
      <x:c r="J522" s="75" t="n">
        <x:v>0.010219232343355544</x:v>
      </x:c>
      <x:c r="K522" s="75" t="n">
        <x:v>0.01360567612898194</x:v>
      </x:c>
      <x:c r="L522" s="75" t="n">
        <x:v>0.011599743231061438</x:v>
      </x:c>
      <x:c r="M522" s="75" t="n">
        <x:v>0.0073946683516696796</x:v>
      </x:c>
      <x:c r="N522" s="75" t="n">
        <x:v>0.00671594315872062</x:v>
      </x:c>
      <x:c r="O522" s="75" t="n">
        <x:v>0.008562979042122606</x:v>
      </x:c>
      <x:c r="P522" s="75" t="n">
        <x:v>0.0020961180720187257</x:v>
      </x:c>
      <x:c r="Q522" s="75" t="n">
        <x:v>0.004182036533675273</x:v>
      </x:c>
      <x:c r="R522" s="75" t="n">
        <x:v>0.3853100580073005</x:v>
      </x:c>
      <x:c r="S522" s="75" t="n">
        <x:v>0.014699418440039153</x:v>
      </x:c>
      <x:c r="T522" s="75" t="n">
        <x:v>0.0067244331267284</x:v>
      </x:c>
      <x:c r="U522" s="75" t="n">
        <x:v>0.007831884356899535</x:v>
      </x:c>
      <x:c r="V522" s="75" t="n">
        <x:v>0.034348617247082075</x:v>
      </x:c>
      <x:c r="W522" s="75" t="n">
        <x:v>0.01175706226824841</x:v>
      </x:c>
      <x:c r="X522" s="75" t="n">
        <x:v>0.024437935085427596</x:v>
      </x:c>
      <x:c r="Y522" s="75" t="n">
        <x:v>0.019745424223917073</x:v>
      </x:c>
      <x:c r="Z522" s="75" t="n">
        <x:v>0.005587282009271439</x:v>
      </x:c>
      <x:c r="AA522" s="75" t="n">
        <x:v>0.006694940778489691</x:v>
      </x:c>
      <x:c r="AB522" s="75" t="n">
        <x:v>0.004938160278712167</x:v>
      </x:c>
      <x:c r="AC522" s="75" t="n">
        <x:v>0.024120312409709</x:v>
      </x:c>
      <x:c r="AD522" s="75" t="n">
        <x:v>0.09766302975168219</x:v>
      </x:c>
      <x:c r="AE522" s="75" t="n">
        <x:v>0.08376374223438324</x:v>
      </x:c>
      <x:c r="AF522" s="74" t="n">
        <x:v>5</x:v>
      </x:c>
    </x:row>
    <x:row r="523">
      <x:c r="A523" t="str">
        <x:v>2025 S2</x:v>
      </x:c>
      <x:c r="B523" t="str">
        <x:v>CNCT0131</x:v>
      </x:c>
      <x:c r="C523" s="74" t="n">
        <x:v>1456</x:v>
      </x:c>
      <x:c r="D523" s="74" t="n">
        <x:v>1070.514</x:v>
      </x:c>
      <x:c r="E523" s="75" t="n">
        <x:v>0.9769720769883715</x:v>
      </x:c>
      <x:c r="F523" s="75" t="n">
        <x:v>0.1784307583044283</x:v>
      </x:c>
      <x:c r="G523" s="75" t="n">
        <x:v>0.017665249262354337</x:v>
      </x:c>
      <x:c r="H523" s="75" t="n">
        <x:v>0.012159823402907933</x:v>
      </x:c>
      <x:c r="I523" s="75" t="n">
        <x:v>0.0061443478734036034</x:v>
      </x:c>
      <x:c r="J523" s="75" t="n">
        <x:v>0.010219232343355544</x:v>
      </x:c>
      <x:c r="K523" s="75" t="n">
        <x:v>0.01360567612898194</x:v>
      </x:c>
      <x:c r="L523" s="75" t="n">
        <x:v>0.011599743231061438</x:v>
      </x:c>
      <x:c r="M523" s="75" t="n">
        <x:v>0.0073946683516696796</x:v>
      </x:c>
      <x:c r="N523" s="75" t="n">
        <x:v>0.00671594315872062</x:v>
      </x:c>
      <x:c r="O523" s="75" t="n">
        <x:v>0.008562979042122606</x:v>
      </x:c>
      <x:c r="P523" s="75" t="n">
        <x:v>0.0020961180720187257</x:v>
      </x:c>
      <x:c r="Q523" s="75" t="n">
        <x:v>0.004182036533675273</x:v>
      </x:c>
      <x:c r="R523" s="75" t="n">
        <x:v>0.3790699496643169</x:v>
      </x:c>
      <x:c r="S523" s="75" t="n">
        <x:v>0.014699418440039153</x:v>
      </x:c>
      <x:c r="T523" s="75" t="n">
        <x:v>0.0067244331267284</x:v>
      </x:c>
      <x:c r="U523" s="75" t="n">
        <x:v>0.007831884356899535</x:v>
      </x:c>
      <x:c r="V523" s="75" t="n">
        <x:v>0.034348617247082075</x:v>
      </x:c>
      <x:c r="W523" s="75" t="n">
        <x:v>0.01175706226824841</x:v>
      </x:c>
      <x:c r="X523" s="75" t="n">
        <x:v>0.024437935085427596</x:v>
      </x:c>
      <x:c r="Y523" s="75" t="n">
        <x:v>0.019745424223917073</x:v>
      </x:c>
      <x:c r="Z523" s="75" t="n">
        <x:v>0.005587282009271439</x:v>
      </x:c>
      <x:c r="AA523" s="75" t="n">
        <x:v>0.006694940778489691</x:v>
      </x:c>
      <x:c r="AB523" s="75" t="n">
        <x:v>0.004938160278712167</x:v>
      </x:c>
      <x:c r="AC523" s="75" t="n">
        <x:v>0.024120312409709</x:v>
      </x:c>
      <x:c r="AD523" s="75" t="n">
        <x:v>0.09766302975168219</x:v>
      </x:c>
      <x:c r="AE523" s="75" t="n">
        <x:v>0.08376374223438324</x:v>
      </x:c>
      <x:c r="AF523" s="74" t="n">
        <x:v>5</x:v>
      </x:c>
    </x:row>
    <x:row r="524">
      <x:c r="A524" t="str">
        <x:v>2026 S1</x:v>
      </x:c>
      <x:c r="B524" t="str">
        <x:v>CNCT0131</x:v>
      </x:c>
      <x:c r="C524" s="74" t="n">
        <x:v>1059</x:v>
      </x:c>
      <x:c r="D524" s="74" t="n">
        <x:v>1109.218</x:v>
      </x:c>
      <x:c r="E524" s="75" t="n">
        <x:v>0.9762629493051281</x:v>
      </x:c>
      <x:c r="F524" s="75" t="n">
        <x:v>0.19043075830442832</x:v>
      </x:c>
      <x:c r="G524" s="75" t="n">
        <x:v>0.016597056993545266</x:v>
      </x:c>
      <x:c r="H524" s="75" t="n">
        <x:v>0.012159823402907933</x:v>
      </x:c>
      <x:c r="I524" s="75" t="n">
        <x:v>0.0061443478734036034</x:v>
      </x:c>
      <x:c r="J524" s="75" t="n">
        <x:v>0.010219232343355544</x:v>
      </x:c>
      <x:c r="K524" s="75" t="n">
        <x:v>0.01360567612898194</x:v>
      </x:c>
      <x:c r="L524" s="75" t="n">
        <x:v>0.011599743231061438</x:v>
      </x:c>
      <x:c r="M524" s="75" t="n">
        <x:v>0.0073946683516696796</x:v>
      </x:c>
      <x:c r="N524" s="75" t="n">
        <x:v>0.00671594315872062</x:v>
      </x:c>
      <x:c r="O524" s="75" t="n">
        <x:v>0.006768306246347492</x:v>
      </x:c>
      <x:c r="P524" s="75" t="n">
        <x:v>0.0020961180720187257</x:v>
      </x:c>
      <x:c r="Q524" s="75" t="n">
        <x:v>0.004182036533675273</x:v>
      </x:c>
      <x:c r="R524" s="75" t="n">
        <x:v>0.40732851366802725</x:v>
      </x:c>
      <x:c r="S524" s="75" t="n">
        <x:v>0.014699418440039153</x:v>
      </x:c>
      <x:c r="T524" s="75" t="n">
        <x:v>0.0067244331267284</x:v>
      </x:c>
      <x:c r="U524" s="75" t="n">
        <x:v>0.007831884356899535</x:v>
      </x:c>
      <x:c r="V524" s="75" t="n">
        <x:v>0.034348617247082075</x:v>
      </x:c>
      <x:c r="W524" s="75" t="n">
        <x:v>0.01446648905764589</x:v>
      </x:c>
      <x:c r="X524" s="75" t="n">
        <x:v>0.03006968173159711</x:v>
      </x:c>
      <x:c r="Y524" s="75" t="n">
        <x:v>0.024295777036522293</x:v>
      </x:c>
      <x:c r="Z524" s="75" t="n">
        <x:v>0.006874876751090728</x:v>
      </x:c>
      <x:c r="AA524" s="75" t="n">
        <x:v>0.00823779659440705</x:v>
      </x:c>
      <x:c r="AB524" s="75" t="n">
        <x:v>0.006076164266801496</x:v>
      </x:c>
      <x:c r="AC524" s="75" t="n">
        <x:v>0.04303435075804521</x:v>
      </x:c>
      <x:c r="AD524" s="75" t="n">
        <x:v>0.10742933272685042</x:v>
      </x:c>
      <x:c r="AE524" s="75" t="n">
        <x:v>0.14757447332152407</x:v>
      </x:c>
      <x:c r="AF524" s="74" t="n">
        <x:v>5</x:v>
      </x:c>
    </x:row>
    <x:row r="525">
      <x:c r="A525" t="str">
        <x:v>2026 S2</x:v>
      </x:c>
      <x:c r="B525" t="str">
        <x:v>CNCT0131</x:v>
      </x:c>
      <x:c r="C525" s="74" t="n">
        <x:v>1227</x:v>
      </x:c>
      <x:c r="D525" s="74" t="n">
        <x:v>1103.722</x:v>
      </x:c>
      <x:c r="E525" s="75" t="n">
        <x:v>0.9769720769883715</x:v>
      </x:c>
      <x:c r="F525" s="75" t="n">
        <x:v>0.17200981058345316</x:v>
      </x:c>
      <x:c r="G525" s="75" t="n">
        <x:v>0.01747500764607321</x:v>
      </x:c>
      <x:c r="H525" s="75" t="n">
        <x:v>0.012159823402907933</x:v>
      </x:c>
      <x:c r="I525" s="75" t="n">
        <x:v>0.0061443478734036034</x:v>
      </x:c>
      <x:c r="J525" s="75" t="n">
        <x:v>0.010219232343355544</x:v>
      </x:c>
      <x:c r="K525" s="75" t="n">
        <x:v>0.01360567612898194</x:v>
      </x:c>
      <x:c r="L525" s="75" t="n">
        <x:v>0.011599743231061438</x:v>
      </x:c>
      <x:c r="M525" s="75" t="n">
        <x:v>0.0073946683516696796</x:v>
      </x:c>
      <x:c r="N525" s="75" t="n">
        <x:v>0.00671594315872062</x:v>
      </x:c>
      <x:c r="O525" s="75" t="n">
        <x:v>0.008562979042122606</x:v>
      </x:c>
      <x:c r="P525" s="75" t="n">
        <x:v>0.0020961180720187257</x:v>
      </x:c>
      <x:c r="Q525" s="75" t="n">
        <x:v>0.004182036533675273</x:v>
      </x:c>
      <x:c r="R525" s="75" t="n">
        <x:v>0.3987636767471077</x:v>
      </x:c>
      <x:c r="S525" s="75" t="n">
        <x:v>0.014699418440039153</x:v>
      </x:c>
      <x:c r="T525" s="75" t="n">
        <x:v>0.0067244331267284</x:v>
      </x:c>
      <x:c r="U525" s="75" t="n">
        <x:v>0.007831884356899535</x:v>
      </x:c>
      <x:c r="V525" s="75" t="n">
        <x:v>0.034348617247082075</x:v>
      </x:c>
      <x:c r="W525" s="75" t="n">
        <x:v>0.012462486004343316</x:v>
      </x:c>
      <x:c r="X525" s="75" t="n">
        <x:v>0.025904211190553254</x:v>
      </x:c>
      <x:c r="Y525" s="75" t="n">
        <x:v>0.0209301496773521</x:v>
      </x:c>
      <x:c r="Z525" s="75" t="n">
        <x:v>0.005922518929827726</x:v>
      </x:c>
      <x:c r="AA525" s="75" t="n">
        <x:v>0.007096637225199073</x:v>
      </x:c>
      <x:c r="AB525" s="75" t="n">
        <x:v>0.005234449895434897</x:v>
      </x:c>
      <x:c r="AC525" s="75" t="n">
        <x:v>0.03707292017372273</x:v>
      </x:c>
      <x:c r="AD525" s="75" t="n">
        <x:v>0.10547607213181677</x:v>
      </x:c>
      <x:c r="AE525" s="75" t="n">
        <x:v>0.1497444509300814</x:v>
      </x:c>
      <x:c r="AF525" s="74" t="n">
        <x:v>5</x:v>
      </x:c>
    </x:row>
    <x:row r="526">
      <x:c r="A526" t="str">
        <x:v>2025 S1</x:v>
      </x:c>
      <x:c r="B526" t="str">
        <x:v>CNCT0132</x:v>
      </x:c>
      <x:c r="C526" s="74" t="n">
        <x:v>1683</x:v>
      </x:c>
      <x:c r="D526" s="74" t="n">
        <x:v>1092.212</x:v>
      </x:c>
      <x:c r="E526" s="75" t="n">
        <x:v>0.9691413299345295</x:v>
      </x:c>
      <x:c r="F526" s="75" t="n">
        <x:v>0.1531887034061365</x:v>
      </x:c>
      <x:c r="G526" s="75" t="n">
        <x:v>0.02046293128601974</x:v>
      </x:c>
      <x:c r="H526" s="75" t="n">
        <x:v>0.009522295647941064</x:v>
      </x:c>
      <x:c r="I526" s="75" t="n">
        <x:v>0.0057776433697727045</x:v>
      </x:c>
      <x:c r="J526" s="75" t="n">
        <x:v>0.012477074494556291</x:v>
      </x:c>
      <x:c r="K526" s="75" t="n">
        <x:v>0.011180529485493024</x:v>
      </x:c>
      <x:c r="L526" s="75" t="n">
        <x:v>0.0113082550202962</x:v>
      </x:c>
      <x:c r="M526" s="75" t="n">
        <x:v>0.008983802255423144</x:v>
      </x:c>
      <x:c r="N526" s="75" t="n">
        <x:v>0.006175789750253898</x:v>
      </x:c>
      <x:c r="O526" s="75" t="n">
        <x:v>0.012118543030825093</x:v>
      </x:c>
      <x:c r="P526" s="75" t="n">
        <x:v>0.0011633866049451172</x:v>
      </x:c>
      <x:c r="Q526" s="75" t="n">
        <x:v>0.006690630264158244</x:v>
      </x:c>
      <x:c r="R526" s="75" t="n">
        <x:v>0.3717708255479067</x:v>
      </x:c>
      <x:c r="S526" s="75" t="n">
        <x:v>0.011500851131466334</x:v>
      </x:c>
      <x:c r="T526" s="75" t="n">
        <x:v>0.005974649712385144</x:v>
      </x:c>
      <x:c r="U526" s="75" t="n">
        <x:v>0.01167153835092904</x:v>
      </x:c>
      <x:c r="V526" s="75" t="n">
        <x:v>0.038088642945935135</x:v>
      </x:c>
      <x:c r="W526" s="75" t="n">
        <x:v>0.01308577887182182</x:v>
      </x:c>
      <x:c r="X526" s="75" t="n">
        <x:v>0.023560250187568018</x:v>
      </x:c>
      <x:c r="Y526" s="75" t="n">
        <x:v>0.019661364884667566</x:v>
      </x:c>
      <x:c r="Z526" s="75" t="n">
        <x:v>0.005941709967586212</x:v>
      </x:c>
      <x:c r="AA526" s="75" t="n">
        <x:v>0.006070980043096934</x:v>
      </x:c>
      <x:c r="AB526" s="75" t="n">
        <x:v>0.005834198584672413</x:v>
      </x:c>
      <x:c r="AC526" s="75" t="n">
        <x:v>0.0252458121856951</x:v>
      </x:c>
      <x:c r="AD526" s="75" t="n">
        <x:v>0.09469618728950445</x:v>
      </x:c>
      <x:c r="AE526" s="75" t="n">
        <x:v>0.09572241432885494</x:v>
      </x:c>
      <x:c r="AF526" s="74" t="n">
        <x:v>6</x:v>
      </x:c>
    </x:row>
    <x:row r="527">
      <x:c r="A527" t="str">
        <x:v>2025 S2</x:v>
      </x:c>
      <x:c r="B527" t="str">
        <x:v>CNCT0132</x:v>
      </x:c>
      <x:c r="C527" s="74" t="n">
        <x:v>1842</x:v>
      </x:c>
      <x:c r="D527" s="74" t="n">
        <x:v>1105.319</x:v>
      </x:c>
      <x:c r="E527" s="75" t="n">
        <x:v>0.9769650812667096</x:v>
      </x:c>
      <x:c r="F527" s="75" t="n">
        <x:v>0.1531887034061365</x:v>
      </x:c>
      <x:c r="G527" s="75" t="n">
        <x:v>0.02046293128601974</x:v>
      </x:c>
      <x:c r="H527" s="75" t="n">
        <x:v>0.009522295647941064</x:v>
      </x:c>
      <x:c r="I527" s="75" t="n">
        <x:v>0.0057776433697727045</x:v>
      </x:c>
      <x:c r="J527" s="75" t="n">
        <x:v>0.012477074494556291</x:v>
      </x:c>
      <x:c r="K527" s="75" t="n">
        <x:v>0.011180529485493024</x:v>
      </x:c>
      <x:c r="L527" s="75" t="n">
        <x:v>0.0113082550202962</x:v>
      </x:c>
      <x:c r="M527" s="75" t="n">
        <x:v>0.008983802255423144</x:v>
      </x:c>
      <x:c r="N527" s="75" t="n">
        <x:v>0.006175789750253898</x:v>
      </x:c>
      <x:c r="O527" s="75" t="n">
        <x:v>0.012118543030825093</x:v>
      </x:c>
      <x:c r="P527" s="75" t="n">
        <x:v>0.0011633866049451172</x:v>
      </x:c>
      <x:c r="Q527" s="75" t="n">
        <x:v>0.006690630264158244</x:v>
      </x:c>
      <x:c r="R527" s="75" t="n">
        <x:v>0.3851829545799654</x:v>
      </x:c>
      <x:c r="S527" s="75" t="n">
        <x:v>0.011500851131466334</x:v>
      </x:c>
      <x:c r="T527" s="75" t="n">
        <x:v>0.005974649712385144</x:v>
      </x:c>
      <x:c r="U527" s="75" t="n">
        <x:v>0.01167153835092904</x:v>
      </x:c>
      <x:c r="V527" s="75" t="n">
        <x:v>0.038088642945935135</x:v>
      </x:c>
      <x:c r="W527" s="75" t="n">
        <x:v>0.01308577887182182</x:v>
      </x:c>
      <x:c r="X527" s="75" t="n">
        <x:v>0.023560250187568018</x:v>
      </x:c>
      <x:c r="Y527" s="75" t="n">
        <x:v>0.019661364884667566</x:v>
      </x:c>
      <x:c r="Z527" s="75" t="n">
        <x:v>0.005941709967586212</x:v>
      </x:c>
      <x:c r="AA527" s="75" t="n">
        <x:v>0.006070980043096934</x:v>
      </x:c>
      <x:c r="AB527" s="75" t="n">
        <x:v>0.005834198584672413</x:v>
      </x:c>
      <x:c r="AC527" s="75" t="n">
        <x:v>0.0252458121856951</x:v>
      </x:c>
      <x:c r="AD527" s="75" t="n">
        <x:v>0.09469618728950445</x:v>
      </x:c>
      <x:c r="AE527" s="75" t="n">
        <x:v>0.09572241432885494</x:v>
      </x:c>
      <x:c r="AF527" s="74" t="n">
        <x:v>6</x:v>
      </x:c>
    </x:row>
    <x:row r="528">
      <x:c r="A528" t="str">
        <x:v>2026 S1</x:v>
      </x:c>
      <x:c r="B528" t="str">
        <x:v>CNCT0132</x:v>
      </x:c>
      <x:c r="C528" s="74" t="n">
        <x:v>1608</x:v>
      </x:c>
      <x:c r="D528" s="74" t="n">
        <x:v>1152.19</x:v>
      </x:c>
      <x:c r="E528" s="75" t="n">
        <x:v>0.9698262690292031</x:v>
      </x:c>
      <x:c r="F528" s="75" t="n">
        <x:v>0.15803476111810416</x:v>
      </x:c>
      <x:c r="G528" s="75" t="n">
        <x:v>0.02069367393612629</x:v>
      </x:c>
      <x:c r="H528" s="75" t="n">
        <x:v>0.009522295647941064</x:v>
      </x:c>
      <x:c r="I528" s="75" t="n">
        <x:v>0.0057776433697727045</x:v>
      </x:c>
      <x:c r="J528" s="75" t="n">
        <x:v>0.012477074494556291</x:v>
      </x:c>
      <x:c r="K528" s="75" t="n">
        <x:v>0.011180529485493024</x:v>
      </x:c>
      <x:c r="L528" s="75" t="n">
        <x:v>0.0113082550202962</x:v>
      </x:c>
      <x:c r="M528" s="75" t="n">
        <x:v>0.008983802255423144</x:v>
      </x:c>
      <x:c r="N528" s="75" t="n">
        <x:v>0.006175789750253898</x:v>
      </x:c>
      <x:c r="O528" s="75" t="n">
        <x:v>0.011591542908005067</x:v>
      </x:c>
      <x:c r="P528" s="75" t="n">
        <x:v>0.0011633866049451172</x:v>
      </x:c>
      <x:c r="Q528" s="75" t="n">
        <x:v>0.006690630264158244</x:v>
      </x:c>
      <x:c r="R528" s="75" t="n">
        <x:v>0.3703912397784184</x:v>
      </x:c>
      <x:c r="S528" s="75" t="n">
        <x:v>0.011500851131466334</x:v>
      </x:c>
      <x:c r="T528" s="75" t="n">
        <x:v>0.005974649712385144</x:v>
      </x:c>
      <x:c r="U528" s="75" t="n">
        <x:v>0.01167153835092904</x:v>
      </x:c>
      <x:c r="V528" s="75" t="n">
        <x:v>0.038088642945935135</x:v>
      </x:c>
      <x:c r="W528" s="75" t="n">
        <x:v>0.016101409734915625</x:v>
      </x:c>
      <x:c r="X528" s="75" t="n">
        <x:v>0.028989733468905952</x:v>
      </x:c>
      <x:c r="Y528" s="75" t="n">
        <x:v>0.024192346138250193</x:v>
      </x:c>
      <x:c r="Z528" s="75" t="n">
        <x:v>0.007310982987810381</x:v>
      </x:c>
      <x:c r="AA528" s="75" t="n">
        <x:v>0.007470043481851255</x:v>
      </x:c>
      <x:c r="AB528" s="75" t="n">
        <x:v>0.007178695498894448</x:v>
      </x:c>
      <x:c r="AC528" s="75" t="n">
        <x:v>0.031063734919739638</x:v>
      </x:c>
      <x:c r="AD528" s="75" t="n">
        <x:v>0.09469618728950445</x:v>
      </x:c>
      <x:c r="AE528" s="75" t="n">
        <x:v>0.09572241432885494</x:v>
      </x:c>
      <x:c r="AF528" s="74" t="n">
        <x:v>6</x:v>
      </x:c>
    </x:row>
    <x:row r="529">
      <x:c r="A529" t="str">
        <x:v>2026 S2</x:v>
      </x:c>
      <x:c r="B529" t="str">
        <x:v>CNCT0132</x:v>
      </x:c>
      <x:c r="C529" s="74" t="n">
        <x:v>1804</x:v>
      </x:c>
      <x:c r="D529" s="74" t="n">
        <x:v>1139.393</x:v>
      </x:c>
      <x:c r="E529" s="75" t="n">
        <x:v>0.9769650812667096</x:v>
      </x:c>
      <x:c r="F529" s="75" t="n">
        <x:v>0.14808155507946505</x:v>
      </x:c>
      <x:c r="G529" s="75" t="n">
        <x:v>0.020011322160236888</x:v>
      </x:c>
      <x:c r="H529" s="75" t="n">
        <x:v>0.009522295647941064</x:v>
      </x:c>
      <x:c r="I529" s="75" t="n">
        <x:v>0.0057776433697727045</x:v>
      </x:c>
      <x:c r="J529" s="75" t="n">
        <x:v>0.012477074494556291</x:v>
      </x:c>
      <x:c r="K529" s="75" t="n">
        <x:v>0.011180529485493024</x:v>
      </x:c>
      <x:c r="L529" s="75" t="n">
        <x:v>0.0113082550202962</x:v>
      </x:c>
      <x:c r="M529" s="75" t="n">
        <x:v>0.008983802255423144</x:v>
      </x:c>
      <x:c r="N529" s="75" t="n">
        <x:v>0.006175789750253898</x:v>
      </x:c>
      <x:c r="O529" s="75" t="n">
        <x:v>0.012118543030825093</x:v>
      </x:c>
      <x:c r="P529" s="75" t="n">
        <x:v>0.0011633866049451172</x:v>
      </x:c>
      <x:c r="Q529" s="75" t="n">
        <x:v>0.006690630264158244</x:v>
      </x:c>
      <x:c r="R529" s="75" t="n">
        <x:v>0.38694302585604123</x:v>
      </x:c>
      <x:c r="S529" s="75" t="n">
        <x:v>0.011500851131466334</x:v>
      </x:c>
      <x:c r="T529" s="75" t="n">
        <x:v>0.005974649712385144</x:v>
      </x:c>
      <x:c r="U529" s="75" t="n">
        <x:v>0.01167153835092904</x:v>
      </x:c>
      <x:c r="V529" s="75" t="n">
        <x:v>0.038088642945935135</x:v>
      </x:c>
      <x:c r="W529" s="75" t="n">
        <x:v>0.01387092560413113</x:v>
      </x:c>
      <x:c r="X529" s="75" t="n">
        <x:v>0.0249738651988221</x:v>
      </x:c>
      <x:c r="Y529" s="75" t="n">
        <x:v>0.020841046777747622</x:v>
      </x:c>
      <x:c r="Z529" s="75" t="n">
        <x:v>0.006298212565641385</x:v>
      </x:c>
      <x:c r="AA529" s="75" t="n">
        <x:v>0.006435238845682751</x:v>
      </x:c>
      <x:c r="AB529" s="75" t="n">
        <x:v>0.006184250499752759</x:v>
      </x:c>
      <x:c r="AC529" s="75" t="n">
        <x:v>0.026760560916836807</x:v>
      </x:c>
      <x:c r="AD529" s="75" t="n">
        <x:v>0.09469618728950445</x:v>
      </x:c>
      <x:c r="AE529" s="75" t="n">
        <x:v>0.09572241432885494</x:v>
      </x:c>
      <x:c r="AF529" s="74" t="n">
        <x:v>6</x:v>
      </x:c>
    </x:row>
    <x:row r="530">
      <x:c r="A530" t="str">
        <x:v>2025 S1</x:v>
      </x:c>
      <x:c r="B530" t="str">
        <x:v>CNCT0133</x:v>
      </x:c>
      <x:c r="C530" s="74" t="n">
        <x:v>1117</x:v>
      </x:c>
      <x:c r="D530" s="74" t="n">
        <x:v>888.842</x:v>
      </x:c>
      <x:c r="E530" s="75" t="n">
        <x:v>0.9839458979941191</x:v>
      </x:c>
      <x:c r="F530" s="75" t="n">
        <x:v>0.18785913402820006</x:v>
      </x:c>
      <x:c r="G530" s="75" t="n">
        <x:v>0.014890173574065557</x:v>
      </x:c>
      <x:c r="H530" s="75" t="n">
        <x:v>0.01105739969208662</x:v>
      </x:c>
      <x:c r="I530" s="75" t="n">
        <x:v>0.010094877399649704</x:v>
      </x:c>
      <x:c r="J530" s="75" t="n">
        <x:v>0.010144582733628341</x:v>
      </x:c>
      <x:c r="K530" s="75" t="n">
        <x:v>0.010061249659498572</x:v>
      </x:c>
      <x:c r="L530" s="75" t="n">
        <x:v>0.009607789992922335</x:v>
      </x:c>
      <x:c r="M530" s="75" t="n">
        <x:v>0.01032089981937861</x:v>
      </x:c>
      <x:c r="N530" s="75" t="n">
        <x:v>0.006757897101755589</x:v>
      </x:c>
      <x:c r="O530" s="75" t="n">
        <x:v>0.009211065600116853</x:v>
      </x:c>
      <x:c r="P530" s="75" t="n">
        <x:v>0.0008380330282307114</x:v>
      </x:c>
      <x:c r="Q530" s="75" t="n">
        <x:v>0.0025119909799832386</x:v>
      </x:c>
      <x:c r="R530" s="75" t="n">
        <x:v>0.3668938423566785</x:v>
      </x:c>
      <x:c r="S530" s="75" t="n">
        <x:v>0.01621195840887958</x:v>
      </x:c>
      <x:c r="T530" s="75" t="n">
        <x:v>0.0032118506612605416</x:v>
      </x:c>
      <x:c r="U530" s="75" t="n">
        <x:v>0.0064045368541846975</x:v>
      </x:c>
      <x:c r="V530" s="75" t="n">
        <x:v>0.034319094535370825</x:v>
      </x:c>
      <x:c r="W530" s="75" t="n">
        <x:v>0.009631494136885157</x:v>
      </x:c>
      <x:c r="X530" s="75" t="n">
        <x:v>0.019543090397840135</x:v>
      </x:c>
      <x:c r="Y530" s="75" t="n">
        <x:v>0.017604261186642108</x:v>
      </x:c>
      <x:c r="Z530" s="75" t="n">
        <x:v>0.006203846250945936</x:v>
      </x:c>
      <x:c r="AA530" s="75" t="n">
        <x:v>0.007391836973901373</x:v>
      </x:c>
      <x:c r="AB530" s="75" t="n">
        <x:v>0.005223152095417027</x:v>
      </x:c>
      <x:c r="AC530" s="75" t="n">
        <x:v>0.021717683663923522</x:v>
      </x:c>
      <x:c r="AD530" s="75" t="n">
        <x:v>0.12037052038950788</x:v>
      </x:c>
      <x:c r="AE530" s="75" t="n">
        <x:v>0.0779096089492632</x:v>
      </x:c>
      <x:c r="AF530" s="74" t="n">
        <x:v>8</x:v>
      </x:c>
    </x:row>
    <x:row r="531">
      <x:c r="A531" t="str">
        <x:v>2025 S2</x:v>
      </x:c>
      <x:c r="B531" t="str">
        <x:v>CNCT0133</x:v>
      </x:c>
      <x:c r="C531" s="74" t="n">
        <x:v>1224</x:v>
      </x:c>
      <x:c r="D531" s="74" t="n">
        <x:v>899.508</x:v>
      </x:c>
      <x:c r="E531" s="75" t="n">
        <x:v>0.9767736544419021</x:v>
      </x:c>
      <x:c r="F531" s="75" t="n">
        <x:v>0.18785913402820006</x:v>
      </x:c>
      <x:c r="G531" s="75" t="n">
        <x:v>0.014890173574065557</x:v>
      </x:c>
      <x:c r="H531" s="75" t="n">
        <x:v>0.01105739969208662</x:v>
      </x:c>
      <x:c r="I531" s="75" t="n">
        <x:v>0.010094877399649704</x:v>
      </x:c>
      <x:c r="J531" s="75" t="n">
        <x:v>0.010144582733628341</x:v>
      </x:c>
      <x:c r="K531" s="75" t="n">
        <x:v>0.010061249659498572</x:v>
      </x:c>
      <x:c r="L531" s="75" t="n">
        <x:v>0.009607789992922335</x:v>
      </x:c>
      <x:c r="M531" s="75" t="n">
        <x:v>0.01032089981937861</x:v>
      </x:c>
      <x:c r="N531" s="75" t="n">
        <x:v>0.006757897101755589</x:v>
      </x:c>
      <x:c r="O531" s="75" t="n">
        <x:v>0.009211065600116853</x:v>
      </x:c>
      <x:c r="P531" s="75" t="n">
        <x:v>0.0008380330282307114</x:v>
      </x:c>
      <x:c r="Q531" s="75" t="n">
        <x:v>0.0025119909799832386</x:v>
      </x:c>
      <x:c r="R531" s="75" t="n">
        <x:v>0.3621852618707096</x:v>
      </x:c>
      <x:c r="S531" s="75" t="n">
        <x:v>0.01621195840887958</x:v>
      </x:c>
      <x:c r="T531" s="75" t="n">
        <x:v>0.0032118506612605416</x:v>
      </x:c>
      <x:c r="U531" s="75" t="n">
        <x:v>0.0064045368541846975</x:v>
      </x:c>
      <x:c r="V531" s="75" t="n">
        <x:v>0.034319094535370825</x:v>
      </x:c>
      <x:c r="W531" s="75" t="n">
        <x:v>0.009631494136885157</x:v>
      </x:c>
      <x:c r="X531" s="75" t="n">
        <x:v>0.019543090397840135</x:v>
      </x:c>
      <x:c r="Y531" s="75" t="n">
        <x:v>0.017604261186642108</x:v>
      </x:c>
      <x:c r="Z531" s="75" t="n">
        <x:v>0.006203846250945936</x:v>
      </x:c>
      <x:c r="AA531" s="75" t="n">
        <x:v>0.007391836973901373</x:v>
      </x:c>
      <x:c r="AB531" s="75" t="n">
        <x:v>0.005223152095417027</x:v>
      </x:c>
      <x:c r="AC531" s="75" t="n">
        <x:v>0.021717683663923522</x:v>
      </x:c>
      <x:c r="AD531" s="75" t="n">
        <x:v>0.12037052038950788</x:v>
      </x:c>
      <x:c r="AE531" s="75" t="n">
        <x:v>0.0779096089492632</x:v>
      </x:c>
      <x:c r="AF531" s="74" t="n">
        <x:v>8</x:v>
      </x:c>
    </x:row>
    <x:row r="532">
      <x:c r="A532" t="str">
        <x:v>2026 S1</x:v>
      </x:c>
      <x:c r="B532" t="str">
        <x:v>CNCT0133</x:v>
      </x:c>
      <x:c r="C532" s="74" t="n">
        <x:v>1100</x:v>
      </x:c>
      <x:c r="D532" s="74" t="n">
        <x:v>940.998</x:v>
      </x:c>
      <x:c r="E532" s="75" t="n">
        <x:v>0.9803803738423376</x:v>
      </x:c>
      <x:c r="F532" s="75" t="n">
        <x:v>0.19115173037665956</x:v>
      </x:c>
      <x:c r="G532" s="75" t="n">
        <x:v>0.01679850495284336</x:v>
      </x:c>
      <x:c r="H532" s="75" t="n">
        <x:v>0.01105739969208662</x:v>
      </x:c>
      <x:c r="I532" s="75" t="n">
        <x:v>0.010094877399649704</x:v>
      </x:c>
      <x:c r="J532" s="75" t="n">
        <x:v>0.010144582733628341</x:v>
      </x:c>
      <x:c r="K532" s="75" t="n">
        <x:v>0.010061249659498572</x:v>
      </x:c>
      <x:c r="L532" s="75" t="n">
        <x:v>0.009607789992922335</x:v>
      </x:c>
      <x:c r="M532" s="75" t="n">
        <x:v>0.01032089981937861</x:v>
      </x:c>
      <x:c r="N532" s="75" t="n">
        <x:v>0.006757897101755589</x:v>
      </x:c>
      <x:c r="O532" s="75" t="n">
        <x:v>0.008515483312206924</x:v>
      </x:c>
      <x:c r="P532" s="75" t="n">
        <x:v>0.0008380330282307114</x:v>
      </x:c>
      <x:c r="Q532" s="75" t="n">
        <x:v>0.0025119909799832386</x:v>
      </x:c>
      <x:c r="R532" s="75" t="n">
        <x:v>0.3615788315823896</x:v>
      </x:c>
      <x:c r="S532" s="75" t="n">
        <x:v>0.01621195840887958</x:v>
      </x:c>
      <x:c r="T532" s="75" t="n">
        <x:v>0.0032118506612605416</x:v>
      </x:c>
      <x:c r="U532" s="75" t="n">
        <x:v>0.0064045368541846975</x:v>
      </x:c>
      <x:c r="V532" s="75" t="n">
        <x:v>0.034319094535370825</x:v>
      </x:c>
      <x:c r="W532" s="75" t="n">
        <x:v>0.011851081618944926</x:v>
      </x:c>
      <x:c r="X532" s="75" t="n">
        <x:v>0.024046815177330767</x:v>
      </x:c>
      <x:c r="Y532" s="75" t="n">
        <x:v>0.02166118083020409</x:v>
      </x:c>
      <x:c r="Z532" s="75" t="n">
        <x:v>0.007633528840533875</x:v>
      </x:c>
      <x:c r="AA532" s="75" t="n">
        <x:v>0.009095293216880934</x:v>
      </x:c>
      <x:c r="AB532" s="75" t="n">
        <x:v>0.006426832733448455</x:v>
      </x:c>
      <x:c r="AC532" s="75" t="n">
        <x:v>0.026722545642209265</x:v>
      </x:c>
      <x:c r="AD532" s="75" t="n">
        <x:v>0.12037052038950788</x:v>
      </x:c>
      <x:c r="AE532" s="75" t="n">
        <x:v>0.0779096089492632</x:v>
      </x:c>
      <x:c r="AF532" s="74" t="n">
        <x:v>8</x:v>
      </x:c>
    </x:row>
    <x:row r="533">
      <x:c r="A533" t="str">
        <x:v>2026 S2</x:v>
      </x:c>
      <x:c r="B533" t="str">
        <x:v>CNCT0133</x:v>
      </x:c>
      <x:c r="C533" s="74" t="n">
        <x:v>1224</x:v>
      </x:c>
      <x:c r="D533" s="74" t="n">
        <x:v>936.189</x:v>
      </x:c>
      <x:c r="E533" s="75" t="n">
        <x:v>0.9767736544419021</x:v>
      </x:c>
      <x:c r="F533" s="75" t="n">
        <x:v>0.19252211724087828</x:v>
      </x:c>
      <x:c r="G533" s="75" t="n">
        <x:v>0.014825249860950861</x:v>
      </x:c>
      <x:c r="H533" s="75" t="n">
        <x:v>0.01105739969208662</x:v>
      </x:c>
      <x:c r="I533" s="75" t="n">
        <x:v>0.010094877399649704</x:v>
      </x:c>
      <x:c r="J533" s="75" t="n">
        <x:v>0.010144582733628341</x:v>
      </x:c>
      <x:c r="K533" s="75" t="n">
        <x:v>0.010061249659498572</x:v>
      </x:c>
      <x:c r="L533" s="75" t="n">
        <x:v>0.009607789992922335</x:v>
      </x:c>
      <x:c r="M533" s="75" t="n">
        <x:v>0.01032089981937861</x:v>
      </x:c>
      <x:c r="N533" s="75" t="n">
        <x:v>0.006757897101755589</x:v>
      </x:c>
      <x:c r="O533" s="75" t="n">
        <x:v>0.009211065600116853</x:v>
      </x:c>
      <x:c r="P533" s="75" t="n">
        <x:v>0.0008380330282307114</x:v>
      </x:c>
      <x:c r="Q533" s="75" t="n">
        <x:v>0.0025119909799832386</x:v>
      </x:c>
      <x:c r="R533" s="75" t="n">
        <x:v>0.35993258247983756</x:v>
      </x:c>
      <x:c r="S533" s="75" t="n">
        <x:v>0.01621195840887958</x:v>
      </x:c>
      <x:c r="T533" s="75" t="n">
        <x:v>0.0032118506612605416</x:v>
      </x:c>
      <x:c r="U533" s="75" t="n">
        <x:v>0.0064045368541846975</x:v>
      </x:c>
      <x:c r="V533" s="75" t="n">
        <x:v>0.034319094535370825</x:v>
      </x:c>
      <x:c r="W533" s="75" t="n">
        <x:v>0.010209383785098267</x:v>
      </x:c>
      <x:c r="X533" s="75" t="n">
        <x:v>0.020715675821710543</x:v>
      </x:c>
      <x:c r="Y533" s="75" t="n">
        <x:v>0.018660516857840634</x:v>
      </x:c>
      <x:c r="Z533" s="75" t="n">
        <x:v>0.006576077026002692</x:v>
      </x:c>
      <x:c r="AA533" s="75" t="n">
        <x:v>0.007835347192335456</x:v>
      </x:c>
      <x:c r="AB533" s="75" t="n">
        <x:v>0.005536541221142049</x:v>
      </x:c>
      <x:c r="AC533" s="75" t="n">
        <x:v>0.023020744683758934</x:v>
      </x:c>
      <x:c r="AD533" s="75" t="n">
        <x:v>0.12037052038950788</x:v>
      </x:c>
      <x:c r="AE533" s="75" t="n">
        <x:v>0.0779096089492632</x:v>
      </x:c>
      <x:c r="AF533" s="74" t="n">
        <x:v>8</x:v>
      </x:c>
    </x:row>
    <x:row r="534">
      <x:c r="A534" t="str">
        <x:v>2025 S1</x:v>
      </x:c>
      <x:c r="B534" t="str">
        <x:v>CNCT0134</x:v>
      </x:c>
      <x:c r="C534" s="74" t="n">
        <x:v>997</x:v>
      </x:c>
      <x:c r="D534" s="74" t="n">
        <x:v>909.739</x:v>
      </x:c>
      <x:c r="E534" s="75" t="n">
        <x:v>0.980947115437244</x:v>
      </x:c>
      <x:c r="F534" s="75" t="n">
        <x:v>0.1728103052105289</x:v>
      </x:c>
      <x:c r="G534" s="75" t="n">
        <x:v>0.011308928159603965</x:v>
      </x:c>
      <x:c r="H534" s="75" t="n">
        <x:v>0.012485671457383433</x:v>
      </x:c>
      <x:c r="I534" s="75" t="n">
        <x:v>0.01048187631899782</x:v>
      </x:c>
      <x:c r="J534" s="75" t="n">
        <x:v>0.01646909965405939</x:v>
      </x:c>
      <x:c r="K534" s="75" t="n">
        <x:v>0.01022292623024259</x:v>
      </x:c>
      <x:c r="L534" s="75" t="n">
        <x:v>0.0109472758861084</x:v>
      </x:c>
      <x:c r="M534" s="75" t="n">
        <x:v>0.007260417901350593</x:v>
      </x:c>
      <x:c r="N534" s="75" t="n">
        <x:v>0.005647256205927988</x:v>
      </x:c>
      <x:c r="O534" s="75" t="n">
        <x:v>0.011475959209827578</x:v>
      </x:c>
      <x:c r="P534" s="75" t="n">
        <x:v>0.0012713725933772367</x:v>
      </x:c>
      <x:c r="Q534" s="75" t="n">
        <x:v>0.002330162651014689</x:v>
      </x:c>
      <x:c r="R534" s="75" t="n">
        <x:v>0.36656248669989</x:v>
      </x:c>
      <x:c r="S534" s="75" t="n">
        <x:v>0.012369052354857558</x:v>
      </x:c>
      <x:c r="T534" s="75" t="n">
        <x:v>0.005320518981694477</x:v>
      </x:c>
      <x:c r="U534" s="75" t="n">
        <x:v>0.008829016731295268</x:v>
      </x:c>
      <x:c r="V534" s="75" t="n">
        <x:v>0.03702303545048926</x:v>
      </x:c>
      <x:c r="W534" s="75" t="n">
        <x:v>0.012686382979316112</x:v>
      </x:c>
      <x:c r="X534" s="75" t="n">
        <x:v>0.018649532623660633</x:v>
      </x:c>
      <x:c r="Y534" s="75" t="n">
        <x:v>0.01672695271507721</x:v>
      </x:c>
      <x:c r="Z534" s="75" t="n">
        <x:v>0.0054462286666617735</x:v>
      </x:c>
      <x:c r="AA534" s="75" t="n">
        <x:v>0.008877657303271117</x:v>
      </x:c>
      <x:c r="AB534" s="75" t="n">
        <x:v>0.004081275655678474</x:v>
      </x:c>
      <x:c r="AC534" s="75" t="n">
        <x:v>0.023000184327986787</x:v>
      </x:c>
      <x:c r="AD534" s="75" t="n">
        <x:v>0.1152577762357687</x:v>
      </x:c>
      <x:c r="AE534" s="75" t="n">
        <x:v>0.08186276460661611</x:v>
      </x:c>
      <x:c r="AF534" s="74" t="n">
        <x:v>6</x:v>
      </x:c>
    </x:row>
    <x:row r="535">
      <x:c r="A535" t="str">
        <x:v>2025 S2</x:v>
      </x:c>
      <x:c r="B535" t="str">
        <x:v>CNCT0134</x:v>
      </x:c>
      <x:c r="C535" s="74" t="n">
        <x:v>1074</x:v>
      </x:c>
      <x:c r="D535" s="74" t="n">
        <x:v>920.656</x:v>
      </x:c>
      <x:c r="E535" s="75" t="n">
        <x:v>0.962700992662596</x:v>
      </x:c>
      <x:c r="F535" s="75" t="n">
        <x:v>0.1728103052105289</x:v>
      </x:c>
      <x:c r="G535" s="75" t="n">
        <x:v>0.011308928159603965</x:v>
      </x:c>
      <x:c r="H535" s="75" t="n">
        <x:v>0.012485671457383433</x:v>
      </x:c>
      <x:c r="I535" s="75" t="n">
        <x:v>0.01048187631899782</x:v>
      </x:c>
      <x:c r="J535" s="75" t="n">
        <x:v>0.01646909965405939</x:v>
      </x:c>
      <x:c r="K535" s="75" t="n">
        <x:v>0.01022292623024259</x:v>
      </x:c>
      <x:c r="L535" s="75" t="n">
        <x:v>0.0109472758861084</x:v>
      </x:c>
      <x:c r="M535" s="75" t="n">
        <x:v>0.007260417901350593</x:v>
      </x:c>
      <x:c r="N535" s="75" t="n">
        <x:v>0.005647256205927988</x:v>
      </x:c>
      <x:c r="O535" s="75" t="n">
        <x:v>0.011475959209827578</x:v>
      </x:c>
      <x:c r="P535" s="75" t="n">
        <x:v>0.0012713725933772367</x:v>
      </x:c>
      <x:c r="Q535" s="75" t="n">
        <x:v>0.002330162651014689</x:v>
      </x:c>
      <x:c r="R535" s="75" t="n">
        <x:v>0.37603414856025086</x:v>
      </x:c>
      <x:c r="S535" s="75" t="n">
        <x:v>0.012369052354857558</x:v>
      </x:c>
      <x:c r="T535" s="75" t="n">
        <x:v>0.005320518981694477</x:v>
      </x:c>
      <x:c r="U535" s="75" t="n">
        <x:v>0.008829016731295268</x:v>
      </x:c>
      <x:c r="V535" s="75" t="n">
        <x:v>0.03702303545048926</x:v>
      </x:c>
      <x:c r="W535" s="75" t="n">
        <x:v>0.012686382979316112</x:v>
      </x:c>
      <x:c r="X535" s="75" t="n">
        <x:v>0.018649532623660633</x:v>
      </x:c>
      <x:c r="Y535" s="75" t="n">
        <x:v>0.01672695271507721</x:v>
      </x:c>
      <x:c r="Z535" s="75" t="n">
        <x:v>0.0054462286666617735</x:v>
      </x:c>
      <x:c r="AA535" s="75" t="n">
        <x:v>0.008877657303271117</x:v>
      </x:c>
      <x:c r="AB535" s="75" t="n">
        <x:v>0.004081275655678474</x:v>
      </x:c>
      <x:c r="AC535" s="75" t="n">
        <x:v>0.023000184327986787</x:v>
      </x:c>
      <x:c r="AD535" s="75" t="n">
        <x:v>0.1152577762357687</x:v>
      </x:c>
      <x:c r="AE535" s="75" t="n">
        <x:v>0.08186276460661611</x:v>
      </x:c>
      <x:c r="AF535" s="74" t="n">
        <x:v>6</x:v>
      </x:c>
    </x:row>
    <x:row r="536">
      <x:c r="A536" t="str">
        <x:v>2026 S1</x:v>
      </x:c>
      <x:c r="B536" t="str">
        <x:v>CNCT0134</x:v>
      </x:c>
      <x:c r="C536" s="74" t="n">
        <x:v>1035</x:v>
      </x:c>
      <x:c r="D536" s="74" t="n">
        <x:v>947.728</x:v>
      </x:c>
      <x:c r="E536" s="75" t="n">
        <x:v>0.9831192498508607</x:v>
      </x:c>
      <x:c r="F536" s="75" t="n">
        <x:v>0.17096091507351957</x:v>
      </x:c>
      <x:c r="G536" s="75" t="n">
        <x:v>0.010104688429302768</x:v>
      </x:c>
      <x:c r="H536" s="75" t="n">
        <x:v>0.012485671457383433</x:v>
      </x:c>
      <x:c r="I536" s="75" t="n">
        <x:v>0.01048187631899782</x:v>
      </x:c>
      <x:c r="J536" s="75" t="n">
        <x:v>0.01646909965405939</x:v>
      </x:c>
      <x:c r="K536" s="75" t="n">
        <x:v>0.01022292623024259</x:v>
      </x:c>
      <x:c r="L536" s="75" t="n">
        <x:v>0.0109472758861084</x:v>
      </x:c>
      <x:c r="M536" s="75" t="n">
        <x:v>0.007260417901350593</x:v>
      </x:c>
      <x:c r="N536" s="75" t="n">
        <x:v>0.005647256205927988</x:v>
      </x:c>
      <x:c r="O536" s="75" t="n">
        <x:v>0.013048186541302584</x:v>
      </x:c>
      <x:c r="P536" s="75" t="n">
        <x:v>0.0012713725933772367</x:v>
      </x:c>
      <x:c r="Q536" s="75" t="n">
        <x:v>0.002330162651014689</x:v>
      </x:c>
      <x:c r="R536" s="75" t="n">
        <x:v>0.37002476236188925</x:v>
      </x:c>
      <x:c r="S536" s="75" t="n">
        <x:v>0.012369052354857558</x:v>
      </x:c>
      <x:c r="T536" s="75" t="n">
        <x:v>0.005320518981694477</x:v>
      </x:c>
      <x:c r="U536" s="75" t="n">
        <x:v>0.008829016731295268</x:v>
      </x:c>
      <x:c r="V536" s="75" t="n">
        <x:v>0.03702303545048926</x:v>
      </x:c>
      <x:c r="W536" s="75" t="n">
        <x:v>0.01560997265847805</x:v>
      </x:c>
      <x:c r="X536" s="75" t="n">
        <x:v>0.02294733611805485</x:v>
      </x:c>
      <x:c r="Y536" s="75" t="n">
        <x:v>0.020581695741624693</x:v>
      </x:c>
      <x:c r="Z536" s="75" t="n">
        <x:v>0.006701317524232002</x:v>
      </x:c>
      <x:c r="AA536" s="75" t="n">
        <x:v>0.010923522331096343</x:v>
      </x:c>
      <x:c r="AB536" s="75" t="n">
        <x:v>0.00502180972312783</x:v>
      </x:c>
      <x:c r="AC536" s="75" t="n">
        <x:v>0.02830059987036459</x:v>
      </x:c>
      <x:c r="AD536" s="75" t="n">
        <x:v>0.1152577762357687</x:v>
      </x:c>
      <x:c r="AE536" s="75" t="n">
        <x:v>0.08186276460661611</x:v>
      </x:c>
      <x:c r="AF536" s="74" t="n">
        <x:v>6</x:v>
      </x:c>
    </x:row>
    <x:row r="537">
      <x:c r="A537" t="str">
        <x:v>2026 S2</x:v>
      </x:c>
      <x:c r="B537" t="str">
        <x:v>CNCT0134</x:v>
      </x:c>
      <x:c r="C537" s="74" t="n">
        <x:v>1111</x:v>
      </x:c>
      <x:c r="D537" s="74" t="n">
        <x:v>942.878</x:v>
      </x:c>
      <x:c r="E537" s="75" t="n">
        <x:v>0.962700992662596</x:v>
      </x:c>
      <x:c r="F537" s="75" t="n">
        <x:v>0.17244775417300115</x:v>
      </x:c>
      <x:c r="G537" s="75" t="n">
        <x:v>0.012154359525549807</x:v>
      </x:c>
      <x:c r="H537" s="75" t="n">
        <x:v>0.012485671457383433</x:v>
      </x:c>
      <x:c r="I537" s="75" t="n">
        <x:v>0.01048187631899782</x:v>
      </x:c>
      <x:c r="J537" s="75" t="n">
        <x:v>0.01646909965405939</x:v>
      </x:c>
      <x:c r="K537" s="75" t="n">
        <x:v>0.01022292623024259</x:v>
      </x:c>
      <x:c r="L537" s="75" t="n">
        <x:v>0.0109472758861084</x:v>
      </x:c>
      <x:c r="M537" s="75" t="n">
        <x:v>0.007260417901350593</x:v>
      </x:c>
      <x:c r="N537" s="75" t="n">
        <x:v>0.005647256205927988</x:v>
      </x:c>
      <x:c r="O537" s="75" t="n">
        <x:v>0.011475959209827578</x:v>
      </x:c>
      <x:c r="P537" s="75" t="n">
        <x:v>0.0012713725933772367</x:v>
      </x:c>
      <x:c r="Q537" s="75" t="n">
        <x:v>0.002330162651014689</x:v>
      </x:c>
      <x:c r="R537" s="75" t="n">
        <x:v>0.37710932679099896</x:v>
      </x:c>
      <x:c r="S537" s="75" t="n">
        <x:v>0.012369052354857558</x:v>
      </x:c>
      <x:c r="T537" s="75" t="n">
        <x:v>0.005320518981694477</x:v>
      </x:c>
      <x:c r="U537" s="75" t="n">
        <x:v>0.008829016731295268</x:v>
      </x:c>
      <x:c r="V537" s="75" t="n">
        <x:v>0.03702303545048926</x:v>
      </x:c>
      <x:c r="W537" s="75" t="n">
        <x:v>0.01344756595807508</x:v>
      </x:c>
      <x:c r="X537" s="75" t="n">
        <x:v>0.019768504581080273</x:v>
      </x:c>
      <x:c r="Y537" s="75" t="n">
        <x:v>0.01773056987798184</x:v>
      </x:c>
      <x:c r="Z537" s="75" t="n">
        <x:v>0.00577300238666148</x:v>
      </x:c>
      <x:c r="AA537" s="75" t="n">
        <x:v>0.009410316741467384</x:v>
      </x:c>
      <x:c r="AB537" s="75" t="n">
        <x:v>0.004326152195019183</x:v>
      </x:c>
      <x:c r="AC537" s="75" t="n">
        <x:v>0.024380195387665997</x:v>
      </x:c>
      <x:c r="AD537" s="75" t="n">
        <x:v>0.1152577762357687</x:v>
      </x:c>
      <x:c r="AE537" s="75" t="n">
        <x:v>0.08186276460661611</x:v>
      </x:c>
      <x:c r="AF537" s="74" t="n">
        <x:v>6</x:v>
      </x:c>
    </x:row>
    <x:row r="538">
      <x:c r="A538" t="str">
        <x:v>2025 S1</x:v>
      </x:c>
      <x:c r="B538" t="str">
        <x:v>CNCT0135</x:v>
      </x:c>
      <x:c r="C538" s="74" t="n">
        <x:v>2264</x:v>
      </x:c>
      <x:c r="D538" s="74" t="n">
        <x:v>1226.977</x:v>
      </x:c>
      <x:c r="E538" s="75" t="n">
        <x:v>0.9799319154713594</x:v>
      </x:c>
      <x:c r="F538" s="75" t="n">
        <x:v>0.19385654862239607</x:v>
      </x:c>
      <x:c r="G538" s="75" t="n">
        <x:v>0.010961671556440705</x:v>
      </x:c>
      <x:c r="H538" s="75" t="n">
        <x:v>0.009736179533392715</x:v>
      </x:c>
      <x:c r="I538" s="75" t="n">
        <x:v>0.00850766214804753</x:v>
      </x:c>
      <x:c r="J538" s="75" t="n">
        <x:v>0.015403883080929518</x:v>
      </x:c>
      <x:c r="K538" s="75" t="n">
        <x:v>0.01300870916066924</x:v>
      </x:c>
      <x:c r="L538" s="75" t="n">
        <x:v>0.012012392491640638</x:v>
      </x:c>
      <x:c r="M538" s="75" t="n">
        <x:v>0.008614648236660288</x:v>
      </x:c>
      <x:c r="N538" s="75" t="n">
        <x:v>0.00861269814905245</x:v>
      </x:c>
      <x:c r="O538" s="75" t="n">
        <x:v>0.012571963850474276</x:v>
      </x:c>
      <x:c r="P538" s="75" t="n">
        <x:v>0.0002841100395899049</x:v>
      </x:c>
      <x:c r="Q538" s="75" t="n">
        <x:v>0.006470496628146066</x:v>
      </x:c>
      <x:c r="R538" s="75" t="n">
        <x:v>0.35176108573966086</x:v>
      </x:c>
      <x:c r="S538" s="75" t="n">
        <x:v>0.013182310055490235</x:v>
      </x:c>
      <x:c r="T538" s="75" t="n">
        <x:v>0.0053528917930379975</x:v>
      </x:c>
      <x:c r="U538" s="75" t="n">
        <x:v>0.006346680949325672</x:v>
      </x:c>
      <x:c r="V538" s="75" t="n">
        <x:v>0.03960863917015377</x:v>
      </x:c>
      <x:c r="W538" s="75" t="n">
        <x:v>0.014125335466398246</x:v>
      </x:c>
      <x:c r="X538" s="75" t="n">
        <x:v>0.021426102228076817</x:v>
      </x:c>
      <x:c r="Y538" s="75" t="n">
        <x:v>0.0198591683590482</x:v>
      </x:c>
      <x:c r="Z538" s="75" t="n">
        <x:v>0.007654204237341765</x:v>
      </x:c>
      <x:c r="AA538" s="75" t="n">
        <x:v>0.005205179572895869</x:v>
      </x:c>
      <x:c r="AB538" s="75" t="n">
        <x:v>0.003391651691892185</x:v>
      </x:c>
      <x:c r="AC538" s="75" t="n">
        <x:v>0.025039243325049754</x:v>
      </x:c>
      <x:c r="AD538" s="75" t="n">
        <x:v>0.10268335603614105</x:v>
      </x:c>
      <x:c r="AE538" s="75" t="n">
        <x:v>0.06692343756274204</x:v>
      </x:c>
      <x:c r="AF538" s="74" t="n">
        <x:v>10</x:v>
      </x:c>
    </x:row>
    <x:row r="539">
      <x:c r="A539" t="str">
        <x:v>2025 S2</x:v>
      </x:c>
      <x:c r="B539" t="str">
        <x:v>CNCT0135</x:v>
      </x:c>
      <x:c r="C539" s="74" t="n">
        <x:v>2398</x:v>
      </x:c>
      <x:c r="D539" s="74" t="n">
        <x:v>1241.701</x:v>
      </x:c>
      <x:c r="E539" s="75" t="n">
        <x:v>0.9610726985108485</x:v>
      </x:c>
      <x:c r="F539" s="75" t="n">
        <x:v>0.19385654862239607</x:v>
      </x:c>
      <x:c r="G539" s="75" t="n">
        <x:v>0.010961671556440705</x:v>
      </x:c>
      <x:c r="H539" s="75" t="n">
        <x:v>0.009736179533392715</x:v>
      </x:c>
      <x:c r="I539" s="75" t="n">
        <x:v>0.00850766214804753</x:v>
      </x:c>
      <x:c r="J539" s="75" t="n">
        <x:v>0.015403883080929518</x:v>
      </x:c>
      <x:c r="K539" s="75" t="n">
        <x:v>0.01300870916066924</x:v>
      </x:c>
      <x:c r="L539" s="75" t="n">
        <x:v>0.012012392491640638</x:v>
      </x:c>
      <x:c r="M539" s="75" t="n">
        <x:v>0.008614648236660288</x:v>
      </x:c>
      <x:c r="N539" s="75" t="n">
        <x:v>0.00861269814905245</x:v>
      </x:c>
      <x:c r="O539" s="75" t="n">
        <x:v>0.012571963850474276</x:v>
      </x:c>
      <x:c r="P539" s="75" t="n">
        <x:v>0.0002841100395899049</x:v>
      </x:c>
      <x:c r="Q539" s="75" t="n">
        <x:v>0.006470496628146066</x:v>
      </x:c>
      <x:c r="R539" s="75" t="n">
        <x:v>0.3678342909031841</x:v>
      </x:c>
      <x:c r="S539" s="75" t="n">
        <x:v>0.013182310055490235</x:v>
      </x:c>
      <x:c r="T539" s="75" t="n">
        <x:v>0.0053528917930379975</x:v>
      </x:c>
      <x:c r="U539" s="75" t="n">
        <x:v>0.006346680949325672</x:v>
      </x:c>
      <x:c r="V539" s="75" t="n">
        <x:v>0.03960863917015377</x:v>
      </x:c>
      <x:c r="W539" s="75" t="n">
        <x:v>0.014125335466398246</x:v>
      </x:c>
      <x:c r="X539" s="75" t="n">
        <x:v>0.021426102228076817</x:v>
      </x:c>
      <x:c r="Y539" s="75" t="n">
        <x:v>0.0198591683590482</x:v>
      </x:c>
      <x:c r="Z539" s="75" t="n">
        <x:v>0.007654204237341765</x:v>
      </x:c>
      <x:c r="AA539" s="75" t="n">
        <x:v>0.005205179572895869</x:v>
      </x:c>
      <x:c r="AB539" s="75" t="n">
        <x:v>0.003391651691892185</x:v>
      </x:c>
      <x:c r="AC539" s="75" t="n">
        <x:v>0.025039243325049754</x:v>
      </x:c>
      <x:c r="AD539" s="75" t="n">
        <x:v>0.10268335603614105</x:v>
      </x:c>
      <x:c r="AE539" s="75" t="n">
        <x:v>0.06692343756274204</x:v>
      </x:c>
      <x:c r="AF539" s="74" t="n">
        <x:v>10</x:v>
      </x:c>
    </x:row>
    <x:row r="540">
      <x:c r="A540" t="str">
        <x:v>2026 S1</x:v>
      </x:c>
      <x:c r="B540" t="str">
        <x:v>CNCT0135</x:v>
      </x:c>
      <x:c r="C540" s="74" t="n">
        <x:v>2398</x:v>
      </x:c>
      <x:c r="D540" s="74" t="n">
        <x:v>1278.302</x:v>
      </x:c>
      <x:c r="E540" s="75" t="n">
        <x:v>0.9824888491597666</x:v>
      </x:c>
      <x:c r="F540" s="75" t="n">
        <x:v>0.19558869398062234</x:v>
      </x:c>
      <x:c r="G540" s="75" t="n">
        <x:v>0.012428742933763715</x:v>
      </x:c>
      <x:c r="H540" s="75" t="n">
        <x:v>0.009736179533392715</x:v>
      </x:c>
      <x:c r="I540" s="75" t="n">
        <x:v>0.00850766214804753</x:v>
      </x:c>
      <x:c r="J540" s="75" t="n">
        <x:v>0.015403883080929518</x:v>
      </x:c>
      <x:c r="K540" s="75" t="n">
        <x:v>0.01300870916066924</x:v>
      </x:c>
      <x:c r="L540" s="75" t="n">
        <x:v>0.012012392491640638</x:v>
      </x:c>
      <x:c r="M540" s="75" t="n">
        <x:v>0.008614648236660288</x:v>
      </x:c>
      <x:c r="N540" s="75" t="n">
        <x:v>0.00861269814905245</x:v>
      </x:c>
      <x:c r="O540" s="75" t="n">
        <x:v>0.013364203709388676</x:v>
      </x:c>
      <x:c r="P540" s="75" t="n">
        <x:v>0.0002841100395899049</x:v>
      </x:c>
      <x:c r="Q540" s="75" t="n">
        <x:v>0.006470496628146066</x:v>
      </x:c>
      <x:c r="R540" s="75" t="n">
        <x:v>0.3475062555738374</x:v>
      </x:c>
      <x:c r="S540" s="75" t="n">
        <x:v>0.013182310055490235</x:v>
      </x:c>
      <x:c r="T540" s="75" t="n">
        <x:v>0.0053528917930379975</x:v>
      </x:c>
      <x:c r="U540" s="75" t="n">
        <x:v>0.006346680949325672</x:v>
      </x:c>
      <x:c r="V540" s="75" t="n">
        <x:v>0.03960863917015377</x:v>
      </x:c>
      <x:c r="W540" s="75" t="n">
        <x:v>0.017380533189152805</x:v>
      </x:c>
      <x:c r="X540" s="75" t="n">
        <x:v>0.026363768972081324</x:v>
      </x:c>
      <x:c r="Y540" s="75" t="n">
        <x:v>0.024435733621654084</x:v>
      </x:c>
      <x:c r="Z540" s="75" t="n">
        <x:v>0.009418123279276306</x:v>
      </x:c>
      <x:c r="AA540" s="75" t="n">
        <x:v>0.006404718425089912</x:v>
      </x:c>
      <x:c r="AB540" s="75" t="n">
        <x:v>0.004173261225349817</x:v>
      </x:c>
      <x:c r="AC540" s="75" t="n">
        <x:v>0.03080956205801663</x:v>
      </x:c>
      <x:c r="AD540" s="75" t="n">
        <x:v>0.10268335603614105</x:v>
      </x:c>
      <x:c r="AE540" s="75" t="n">
        <x:v>0.06692343756274204</x:v>
      </x:c>
      <x:c r="AF540" s="74" t="n">
        <x:v>10</x:v>
      </x:c>
    </x:row>
    <x:row r="541">
      <x:c r="A541" t="str">
        <x:v>2026 S2</x:v>
      </x:c>
      <x:c r="B541" t="str">
        <x:v>CNCT0135</x:v>
      </x:c>
      <x:c r="C541" s="74" t="n">
        <x:v>2602</x:v>
      </x:c>
      <x:c r="D541" s="74" t="n">
        <x:v>1283.237</x:v>
      </x:c>
      <x:c r="E541" s="75" t="n">
        <x:v>0.9610726985108485</x:v>
      </x:c>
      <x:c r="F541" s="75" t="n">
        <x:v>0.1919151908254571</x:v>
      </x:c>
      <x:c r="G541" s="75" t="n">
        <x:v>0.009768593350258014</x:v>
      </x:c>
      <x:c r="H541" s="75" t="n">
        <x:v>0.009736179533392715</x:v>
      </x:c>
      <x:c r="I541" s="75" t="n">
        <x:v>0.00850766214804753</x:v>
      </x:c>
      <x:c r="J541" s="75" t="n">
        <x:v>0.015403883080929518</x:v>
      </x:c>
      <x:c r="K541" s="75" t="n">
        <x:v>0.01300870916066924</x:v>
      </x:c>
      <x:c r="L541" s="75" t="n">
        <x:v>0.012012392491640638</x:v>
      </x:c>
      <x:c r="M541" s="75" t="n">
        <x:v>0.008614648236660288</x:v>
      </x:c>
      <x:c r="N541" s="75" t="n">
        <x:v>0.00861269814905245</x:v>
      </x:c>
      <x:c r="O541" s="75" t="n">
        <x:v>0.012571963850474276</x:v>
      </x:c>
      <x:c r="P541" s="75" t="n">
        <x:v>0.0002841100395899049</x:v>
      </x:c>
      <x:c r="Q541" s="75" t="n">
        <x:v>0.006470496628146066</x:v>
      </x:c>
      <x:c r="R541" s="75" t="n">
        <x:v>0.3714248651386697</x:v>
      </x:c>
      <x:c r="S541" s="75" t="n">
        <x:v>0.013182310055490235</x:v>
      </x:c>
      <x:c r="T541" s="75" t="n">
        <x:v>0.0053528917930379975</x:v>
      </x:c>
      <x:c r="U541" s="75" t="n">
        <x:v>0.006346680949325672</x:v>
      </x:c>
      <x:c r="V541" s="75" t="n">
        <x:v>0.03960863917015377</x:v>
      </x:c>
      <x:c r="W541" s="75" t="n">
        <x:v>0.014972855594382141</x:v>
      </x:c>
      <x:c r="X541" s="75" t="n">
        <x:v>0.022711668361761427</x:v>
      </x:c>
      <x:c r="Y541" s="75" t="n">
        <x:v>0.021050718460591093</x:v>
      </x:c>
      <x:c r="Z541" s="75" t="n">
        <x:v>0.008113456491582271</x:v>
      </x:c>
      <x:c r="AA541" s="75" t="n">
        <x:v>0.005517490347269621</x:v>
      </x:c>
      <x:c r="AB541" s="75" t="n">
        <x:v>0.003595150793405716</x:v>
      </x:c>
      <x:c r="AC541" s="75" t="n">
        <x:v>0.02654159792455274</x:v>
      </x:c>
      <x:c r="AD541" s="75" t="n">
        <x:v>0.10268335603614105</x:v>
      </x:c>
      <x:c r="AE541" s="75" t="n">
        <x:v>0.06692343756274204</x:v>
      </x:c>
      <x:c r="AF541" s="74" t="n">
        <x:v>10</x:v>
      </x:c>
    </x:row>
    <x:row r="542">
      <x:c r="A542" t="str">
        <x:v>2025 S1</x:v>
      </x:c>
      <x:c r="B542" t="str">
        <x:v>CNCT0136</x:v>
      </x:c>
      <x:c r="C542" s="74" t="n">
        <x:v>1327</x:v>
      </x:c>
      <x:c r="D542" s="74" t="n">
        <x:v>1121.494</x:v>
      </x:c>
      <x:c r="E542" s="75" t="n">
        <x:v>0.9615735501606832</x:v>
      </x:c>
      <x:c r="F542" s="75" t="n">
        <x:v>0.16159770817356184</x:v>
      </x:c>
      <x:c r="G542" s="75" t="n">
        <x:v>0.016817565473473222</x:v>
      </x:c>
      <x:c r="H542" s="75" t="n">
        <x:v>0.008704551636586984</x:v>
      </x:c>
      <x:c r="I542" s="75" t="n">
        <x:v>0.0067602193230486595</x:v>
      </x:c>
      <x:c r="J542" s="75" t="n">
        <x:v>0.01615509250195464</x:v>
      </x:c>
      <x:c r="K542" s="75" t="n">
        <x:v>0.013694307540848967</x:v>
      </x:c>
      <x:c r="L542" s="75" t="n">
        <x:v>0.012717269042754196</x:v>
      </x:c>
      <x:c r="M542" s="75" t="n">
        <x:v>0.006960226080889698</x:v>
      </x:c>
      <x:c r="N542" s="75" t="n">
        <x:v>0.006803116050257813</x:v>
      </x:c>
      <x:c r="O542" s="75" t="n">
        <x:v>0.01421956371582928</x:v>
      </x:c>
      <x:c r="P542" s="75" t="n">
        <x:v>0.002002132878325938</x:v>
      </x:c>
      <x:c r="Q542" s="75" t="n">
        <x:v>0.004788529596840818</x:v>
      </x:c>
      <x:c r="R542" s="75" t="n">
        <x:v>0.3703922533780229</x:v>
      </x:c>
      <x:c r="S542" s="75" t="n">
        <x:v>0.011194987110233342</x:v>
      </x:c>
      <x:c r="T542" s="75" t="n">
        <x:v>0.006714450974024658</x:v>
      </x:c>
      <x:c r="U542" s="75" t="n">
        <x:v>0.009886852537572849</x:v>
      </x:c>
      <x:c r="V542" s="75" t="n">
        <x:v>0.039243907712254444</x:v>
      </x:c>
      <x:c r="W542" s="75" t="n">
        <x:v>0.015002942775013798</x:v>
      </x:c>
      <x:c r="X542" s="75" t="n">
        <x:v>0.022368192242613733</x:v>
      </x:c>
      <x:c r="Y542" s="75" t="n">
        <x:v>0.017932122497376187</x:v>
      </x:c>
      <x:c r="Z542" s="75" t="n">
        <x:v>0.006682465018553194</x:v>
      </x:c>
      <x:c r="AA542" s="75" t="n">
        <x:v>0.005534165465670522</x:v>
      </x:c>
      <x:c r="AB542" s="75" t="n">
        <x:v>0.006268080252798973</x:v>
      </x:c>
      <x:c r="AC542" s="75" t="n">
        <x:v>0.018425065205967983</x:v>
      </x:c>
      <x:c r="AD542" s="75" t="n">
        <x:v>0.08011309279082343</x:v>
      </x:c>
      <x:c r="AE542" s="75" t="n">
        <x:v>0.0723947119505182</x:v>
      </x:c>
      <x:c r="AF542" s="74" t="n">
        <x:v>7</x:v>
      </x:c>
    </x:row>
    <x:row r="543">
      <x:c r="A543" t="str">
        <x:v>2025 S2</x:v>
      </x:c>
      <x:c r="B543" t="str">
        <x:v>CNCT0136</x:v>
      </x:c>
      <x:c r="C543" s="74" t="n">
        <x:v>1420</x:v>
      </x:c>
      <x:c r="D543" s="74" t="n">
        <x:v>1134.952</x:v>
      </x:c>
      <x:c r="E543" s="75" t="n">
        <x:v>0.973588214688294</x:v>
      </x:c>
      <x:c r="F543" s="75" t="n">
        <x:v>0.16159770817356184</x:v>
      </x:c>
      <x:c r="G543" s="75" t="n">
        <x:v>0.016817565473473222</x:v>
      </x:c>
      <x:c r="H543" s="75" t="n">
        <x:v>0.008704551636586984</x:v>
      </x:c>
      <x:c r="I543" s="75" t="n">
        <x:v>0.0067602193230486595</x:v>
      </x:c>
      <x:c r="J543" s="75" t="n">
        <x:v>0.01615509250195464</x:v>
      </x:c>
      <x:c r="K543" s="75" t="n">
        <x:v>0.013694307540848967</x:v>
      </x:c>
      <x:c r="L543" s="75" t="n">
        <x:v>0.012717269042754196</x:v>
      </x:c>
      <x:c r="M543" s="75" t="n">
        <x:v>0.006960226080889698</x:v>
      </x:c>
      <x:c r="N543" s="75" t="n">
        <x:v>0.006803116050257813</x:v>
      </x:c>
      <x:c r="O543" s="75" t="n">
        <x:v>0.01421956371582928</x:v>
      </x:c>
      <x:c r="P543" s="75" t="n">
        <x:v>0.002002132878325938</x:v>
      </x:c>
      <x:c r="Q543" s="75" t="n">
        <x:v>0.004788529596840818</x:v>
      </x:c>
      <x:c r="R543" s="75" t="n">
        <x:v>0.3785016682737896</x:v>
      </x:c>
      <x:c r="S543" s="75" t="n">
        <x:v>0.011194987110233342</x:v>
      </x:c>
      <x:c r="T543" s="75" t="n">
        <x:v>0.006714450974024658</x:v>
      </x:c>
      <x:c r="U543" s="75" t="n">
        <x:v>0.009886852537572849</x:v>
      </x:c>
      <x:c r="V543" s="75" t="n">
        <x:v>0.039243907712254444</x:v>
      </x:c>
      <x:c r="W543" s="75" t="n">
        <x:v>0.015002942775013798</x:v>
      </x:c>
      <x:c r="X543" s="75" t="n">
        <x:v>0.022368192242613733</x:v>
      </x:c>
      <x:c r="Y543" s="75" t="n">
        <x:v>0.017932122497376187</x:v>
      </x:c>
      <x:c r="Z543" s="75" t="n">
        <x:v>0.006682465018553194</x:v>
      </x:c>
      <x:c r="AA543" s="75" t="n">
        <x:v>0.005534165465670522</x:v>
      </x:c>
      <x:c r="AB543" s="75" t="n">
        <x:v>0.006268080252798973</x:v>
      </x:c>
      <x:c r="AC543" s="75" t="n">
        <x:v>0.018425065205967983</x:v>
      </x:c>
      <x:c r="AD543" s="75" t="n">
        <x:v>0.08011309279082343</x:v>
      </x:c>
      <x:c r="AE543" s="75" t="n">
        <x:v>0.06296477182157105</x:v>
      </x:c>
      <x:c r="AF543" s="74" t="n">
        <x:v>7</x:v>
      </x:c>
    </x:row>
    <x:row r="544">
      <x:c r="A544" t="str">
        <x:v>2026 S1</x:v>
      </x:c>
      <x:c r="B544" t="str">
        <x:v>CNCT0136</x:v>
      </x:c>
      <x:c r="C544" s="74" t="n">
        <x:v>1243</x:v>
      </x:c>
      <x:c r="D544" s="74" t="n">
        <x:v>1174.998</x:v>
      </x:c>
      <x:c r="E544" s="75" t="n">
        <x:v>0.9630216702676262</x:v>
      </x:c>
      <x:c r="F544" s="75" t="n">
        <x:v>0.16321945236914326</x:v>
      </x:c>
      <x:c r="G544" s="75" t="n">
        <x:v>0.016842028366641896</x:v>
      </x:c>
      <x:c r="H544" s="75" t="n">
        <x:v>0.008704551636586984</x:v>
      </x:c>
      <x:c r="I544" s="75" t="n">
        <x:v>0.0067602193230486595</x:v>
      </x:c>
      <x:c r="J544" s="75" t="n">
        <x:v>0.01615509250195464</x:v>
      </x:c>
      <x:c r="K544" s="75" t="n">
        <x:v>0.013694307540848967</x:v>
      </x:c>
      <x:c r="L544" s="75" t="n">
        <x:v>0.012717269042754196</x:v>
      </x:c>
      <x:c r="M544" s="75" t="n">
        <x:v>0.006960226080889698</x:v>
      </x:c>
      <x:c r="N544" s="75" t="n">
        <x:v>0.006803116050257813</x:v>
      </x:c>
      <x:c r="O544" s="75" t="n">
        <x:v>0.015963903981028125</x:v>
      </x:c>
      <x:c r="P544" s="75" t="n">
        <x:v>0.002002132878325938</x:v>
      </x:c>
      <x:c r="Q544" s="75" t="n">
        <x:v>0.004788529596840818</x:v>
      </x:c>
      <x:c r="R544" s="75" t="n">
        <x:v>0.3649785868710824</x:v>
      </x:c>
      <x:c r="S544" s="75" t="n">
        <x:v>0.011194987110233342</x:v>
      </x:c>
      <x:c r="T544" s="75" t="n">
        <x:v>0.006714450974024658</x:v>
      </x:c>
      <x:c r="U544" s="75" t="n">
        <x:v>0.009886852537572849</x:v>
      </x:c>
      <x:c r="V544" s="75" t="n">
        <x:v>0.039243907712254444</x:v>
      </x:c>
      <x:c r="W544" s="75" t="n">
        <x:v>0.018460385982080846</x:v>
      </x:c>
      <x:c r="X544" s="75" t="n">
        <x:v>0.027522964575171907</x:v>
      </x:c>
      <x:c r="Y544" s="75" t="n">
        <x:v>0.02206459810876773</x:v>
      </x:c>
      <x:c r="Z544" s="75" t="n">
        <x:v>0.008222445783082816</x:v>
      </x:c>
      <x:c r="AA544" s="75" t="n">
        <x:v>0.0068095194467530755</x:v>
      </x:c>
      <x:c r="AB544" s="75" t="n">
        <x:v>0.00771256563252615</x:v>
      </x:c>
      <x:c r="AC544" s="75" t="n">
        <x:v>0.022671139958864776</x:v>
      </x:c>
      <x:c r="AD544" s="75" t="n">
        <x:v>0.08011309279082343</x:v>
      </x:c>
      <x:c r="AE544" s="75" t="n">
        <x:v>0.0723947119505182</x:v>
      </x:c>
      <x:c r="AF544" s="74" t="n">
        <x:v>7</x:v>
      </x:c>
    </x:row>
    <x:row r="545">
      <x:c r="A545" t="str">
        <x:v>2026 S2</x:v>
      </x:c>
      <x:c r="B545" t="str">
        <x:v>CNCT0136</x:v>
      </x:c>
      <x:c r="C545" s="74" t="n">
        <x:v>1377</x:v>
      </x:c>
      <x:c r="D545" s="74" t="n">
        <x:v>1169.965</x:v>
      </x:c>
      <x:c r="E545" s="75" t="n">
        <x:v>0.973588214688294</x:v>
      </x:c>
      <x:c r="F545" s="75" t="n">
        <x:v>0.15738293258864725</x:v>
      </x:c>
      <x:c r="G545" s="75" t="n">
        <x:v>0.017925977694139873</x:v>
      </x:c>
      <x:c r="H545" s="75" t="n">
        <x:v>0.008704551636586984</x:v>
      </x:c>
      <x:c r="I545" s="75" t="n">
        <x:v>0.0067602193230486595</x:v>
      </x:c>
      <x:c r="J545" s="75" t="n">
        <x:v>0.01615509250195464</x:v>
      </x:c>
      <x:c r="K545" s="75" t="n">
        <x:v>0.013694307540848967</x:v>
      </x:c>
      <x:c r="L545" s="75" t="n">
        <x:v>0.012717269042754196</x:v>
      </x:c>
      <x:c r="M545" s="75" t="n">
        <x:v>0.006960226080889698</x:v>
      </x:c>
      <x:c r="N545" s="75" t="n">
        <x:v>0.006803116050257813</x:v>
      </x:c>
      <x:c r="O545" s="75" t="n">
        <x:v>0.01421956371582928</x:v>
      </x:c>
      <x:c r="P545" s="75" t="n">
        <x:v>0.002002132878325938</x:v>
      </x:c>
      <x:c r="Q545" s="75" t="n">
        <x:v>0.004788529596840818</x:v>
      </x:c>
      <x:c r="R545" s="75" t="n">
        <x:v>0.37689999864839707</x:v>
      </x:c>
      <x:c r="S545" s="75" t="n">
        <x:v>0.011194987110233342</x:v>
      </x:c>
      <x:c r="T545" s="75" t="n">
        <x:v>0.006714450974024658</x:v>
      </x:c>
      <x:c r="U545" s="75" t="n">
        <x:v>0.009886852537572849</x:v>
      </x:c>
      <x:c r="V545" s="75" t="n">
        <x:v>0.039243907712254444</x:v>
      </x:c>
      <x:c r="W545" s="75" t="n">
        <x:v>0.015903119341514626</x:v>
      </x:c>
      <x:c r="X545" s="75" t="n">
        <x:v>0.02371028377717056</x:v>
      </x:c>
      <x:c r="Y545" s="75" t="n">
        <x:v>0.01900804984721876</x:v>
      </x:c>
      <x:c r="Z545" s="75" t="n">
        <x:v>0.007083412919666386</x:v>
      </x:c>
      <x:c r="AA545" s="75" t="n">
        <x:v>0.0058662153936107535</x:v>
      </x:c>
      <x:c r="AB545" s="75" t="n">
        <x:v>0.006644165067966912</x:v>
      </x:c>
      <x:c r="AC545" s="75" t="n">
        <x:v>0.019530569118326062</x:v>
      </x:c>
      <x:c r="AD545" s="75" t="n">
        <x:v>0.08011309279082343</x:v>
      </x:c>
      <x:c r="AE545" s="75" t="n">
        <x:v>0.06296477182157105</x:v>
      </x:c>
      <x:c r="AF545" s="74" t="n">
        <x:v>7</x:v>
      </x:c>
    </x:row>
    <x:row r="546">
      <x:c r="A546" t="str">
        <x:v>2025 S1</x:v>
      </x:c>
      <x:c r="B546" t="str">
        <x:v>CNCT0137</x:v>
      </x:c>
      <x:c r="C546" s="74" t="n">
        <x:v>1693</x:v>
      </x:c>
      <x:c r="D546" s="74" t="n">
        <x:v>1159.943</x:v>
      </x:c>
      <x:c r="E546" s="75" t="n">
        <x:v>0.9642952547682798</x:v>
      </x:c>
      <x:c r="F546" s="75" t="n">
        <x:v>0.1746886299732141</x:v>
      </x:c>
      <x:c r="G546" s="75" t="n">
        <x:v>0.009702999356843066</x:v>
      </x:c>
      <x:c r="H546" s="75" t="n">
        <x:v>0.011359556499624886</x:v>
      </x:c>
      <x:c r="I546" s="75" t="n">
        <x:v>0.006127197675941212</x:v>
      </x:c>
      <x:c r="J546" s="75" t="n">
        <x:v>0.010712373167829355</x:v>
      </x:c>
      <x:c r="K546" s="75" t="n">
        <x:v>0.008715409517550142</x:v>
      </x:c>
      <x:c r="L546" s="75" t="n">
        <x:v>0.01321310935790825</x:v>
      </x:c>
      <x:c r="M546" s="75" t="n">
        <x:v>0.008844201807485661</x:v>
      </x:c>
      <x:c r="N546" s="75" t="n">
        <x:v>0.005953632489923621</x:v>
      </x:c>
      <x:c r="O546" s="75" t="n">
        <x:v>0.006766186054461286</x:v>
      </x:c>
      <x:c r="P546" s="75" t="n">
        <x:v>0.0005570202413728111</x:v>
      </x:c>
      <x:c r="Q546" s="75" t="n">
        <x:v>0.0023956618115335004</x:v>
      </x:c>
      <x:c r="R546" s="75" t="n">
        <x:v>0.39004104416141283</x:v>
      </x:c>
      <x:c r="S546" s="75" t="n">
        <x:v>0.013777869688306965</x:v>
      </x:c>
      <x:c r="T546" s="75" t="n">
        <x:v>0.005655452986949968</x:v>
      </x:c>
      <x:c r="U546" s="75" t="n">
        <x:v>0.007469957423687446</x:v>
      </x:c>
      <x:c r="V546" s="75" t="n">
        <x:v>0.033997285682096846</x:v>
      </x:c>
      <x:c r="W546" s="75" t="n">
        <x:v>0.009209813292539911</x:v>
      </x:c>
      <x:c r="X546" s="75" t="n">
        <x:v>0.025241048741939012</x:v>
      </x:c>
      <x:c r="Y546" s="75" t="n">
        <x:v>0.021120181262666595</x:v>
      </x:c>
      <x:c r="Z546" s="75" t="n">
        <x:v>0.004605494478082256</x:v>
      </x:c>
      <x:c r="AA546" s="75" t="n">
        <x:v>0.008588959504964005</x:v>
      </x:c>
      <x:c r="AB546" s="75" t="n">
        <x:v>0.0033828431380912667</x:v>
      </x:c>
      <x:c r="AC546" s="75" t="n">
        <x:v>0.024121760339924365</x:v>
      </x:c>
      <x:c r="AD546" s="75" t="n">
        <x:v>0.11048561262575095</x:v>
      </x:c>
      <x:c r="AE546" s="75" t="n">
        <x:v>0.06926729847697424</x:v>
      </x:c>
      <x:c r="AF546" s="74" t="n">
        <x:v>7</x:v>
      </x:c>
    </x:row>
    <x:row r="547">
      <x:c r="A547" t="str">
        <x:v>2025 S2</x:v>
      </x:c>
      <x:c r="B547" t="str">
        <x:v>CNCT0137</x:v>
      </x:c>
      <x:c r="C547" s="74" t="n">
        <x:v>1802</x:v>
      </x:c>
      <x:c r="D547" s="74" t="n">
        <x:v>1173.862</x:v>
      </x:c>
      <x:c r="E547" s="75" t="n">
        <x:v>0.9666512384192901</x:v>
      </x:c>
      <x:c r="F547" s="75" t="n">
        <x:v>0.1746886299732141</x:v>
      </x:c>
      <x:c r="G547" s="75" t="n">
        <x:v>0.009702999356843066</x:v>
      </x:c>
      <x:c r="H547" s="75" t="n">
        <x:v>0.011359556499624886</x:v>
      </x:c>
      <x:c r="I547" s="75" t="n">
        <x:v>0.006127197675941212</x:v>
      </x:c>
      <x:c r="J547" s="75" t="n">
        <x:v>0.010712373167829355</x:v>
      </x:c>
      <x:c r="K547" s="75" t="n">
        <x:v>0.008715409517550142</x:v>
      </x:c>
      <x:c r="L547" s="75" t="n">
        <x:v>0.01321310935790825</x:v>
      </x:c>
      <x:c r="M547" s="75" t="n">
        <x:v>0.008844201807485661</x:v>
      </x:c>
      <x:c r="N547" s="75" t="n">
        <x:v>0.005953632489923621</x:v>
      </x:c>
      <x:c r="O547" s="75" t="n">
        <x:v>0.006766186054461286</x:v>
      </x:c>
      <x:c r="P547" s="75" t="n">
        <x:v>0.0005570202413728111</x:v>
      </x:c>
      <x:c r="Q547" s="75" t="n">
        <x:v>0.0023956618115335004</x:v>
      </x:c>
      <x:c r="R547" s="75" t="n">
        <x:v>0.3687805765477205</x:v>
      </x:c>
      <x:c r="S547" s="75" t="n">
        <x:v>0.013777869688306965</x:v>
      </x:c>
      <x:c r="T547" s="75" t="n">
        <x:v>0.005655452986949968</x:v>
      </x:c>
      <x:c r="U547" s="75" t="n">
        <x:v>0.007469957423687446</x:v>
      </x:c>
      <x:c r="V547" s="75" t="n">
        <x:v>0.033997285682096846</x:v>
      </x:c>
      <x:c r="W547" s="75" t="n">
        <x:v>0.009209813292539911</x:v>
      </x:c>
      <x:c r="X547" s="75" t="n">
        <x:v>0.025241048741939012</x:v>
      </x:c>
      <x:c r="Y547" s="75" t="n">
        <x:v>0.021120181262666595</x:v>
      </x:c>
      <x:c r="Z547" s="75" t="n">
        <x:v>0.004605494478082256</x:v>
      </x:c>
      <x:c r="AA547" s="75" t="n">
        <x:v>0.008588959504964005</x:v>
      </x:c>
      <x:c r="AB547" s="75" t="n">
        <x:v>0.0033828431380912667</x:v>
      </x:c>
      <x:c r="AC547" s="75" t="n">
        <x:v>0.024121760339924365</x:v>
      </x:c>
      <x:c r="AD547" s="75" t="n">
        <x:v>0.11048561262575095</x:v>
      </x:c>
      <x:c r="AE547" s="75" t="n">
        <x:v>0.06926729847697424</x:v>
      </x:c>
      <x:c r="AF547" s="74" t="n">
        <x:v>7</x:v>
      </x:c>
    </x:row>
    <x:row r="548">
      <x:c r="A548" t="str">
        <x:v>2026 S1</x:v>
      </x:c>
      <x:c r="B548" t="str">
        <x:v>CNCT0137</x:v>
      </x:c>
      <x:c r="C548" s="74" t="n">
        <x:v>1626</x:v>
      </x:c>
      <x:c r="D548" s="74" t="n">
        <x:v>1216.037</x:v>
      </x:c>
      <x:c r="E548" s="75" t="n">
        <x:v>0.9643423453377908</x:v>
      </x:c>
      <x:c r="F548" s="75" t="n">
        <x:v>0.1787888937050884</x:v>
      </x:c>
      <x:c r="G548" s="75" t="n">
        <x:v>0.008216137783776504</x:v>
      </x:c>
      <x:c r="H548" s="75" t="n">
        <x:v>0.011359556499624886</x:v>
      </x:c>
      <x:c r="I548" s="75" t="n">
        <x:v>0.006127197675941212</x:v>
      </x:c>
      <x:c r="J548" s="75" t="n">
        <x:v>0.010712373167829355</x:v>
      </x:c>
      <x:c r="K548" s="75" t="n">
        <x:v>0.008715409517550142</x:v>
      </x:c>
      <x:c r="L548" s="75" t="n">
        <x:v>0.01321310935790825</x:v>
      </x:c>
      <x:c r="M548" s="75" t="n">
        <x:v>0.008844201807485661</x:v>
      </x:c>
      <x:c r="N548" s="75" t="n">
        <x:v>0.005953632489923621</x:v>
      </x:c>
      <x:c r="O548" s="75" t="n">
        <x:v>0.005501682366084423</x:v>
      </x:c>
      <x:c r="P548" s="75" t="n">
        <x:v>0.0005570202413728111</x:v>
      </x:c>
      <x:c r="Q548" s="75" t="n">
        <x:v>0.0023956618115335004</x:v>
      </x:c>
      <x:c r="R548" s="75" t="n">
        <x:v>0.3901098565301664</x:v>
      </x:c>
      <x:c r="S548" s="75" t="n">
        <x:v>0.013777869688306965</x:v>
      </x:c>
      <x:c r="T548" s="75" t="n">
        <x:v>0.005655452986949968</x:v>
      </x:c>
      <x:c r="U548" s="75" t="n">
        <x:v>0.007469957423687446</x:v>
      </x:c>
      <x:c r="V548" s="75" t="n">
        <x:v>0.033997285682096846</x:v>
      </x:c>
      <x:c r="W548" s="75" t="n">
        <x:v>0.011332224001169613</x:v>
      </x:c>
      <x:c r="X548" s="75" t="n">
        <x:v>0.0310578737355933</x:v>
      </x:c>
      <x:c r="Y548" s="75" t="n">
        <x:v>0.02598734821342264</x:v>
      </x:c>
      <x:c r="Z548" s="75" t="n">
        <x:v>0.005666835298827715</x:v>
      </x:c>
      <x:c r="AA548" s="75" t="n">
        <x:v>0.010568293835670631</x:v>
      </x:c>
      <x:c r="AB548" s="75" t="n">
        <x:v>0.004162422731492486</x:v>
      </x:c>
      <x:c r="AC548" s="75" t="n">
        <x:v>0.02968064419894076</x:v>
      </x:c>
      <x:c r="AD548" s="75" t="n">
        <x:v>0.11048561262575095</x:v>
      </x:c>
      <x:c r="AE548" s="75" t="n">
        <x:v>0.06926729847697424</x:v>
      </x:c>
      <x:c r="AF548" s="74" t="n">
        <x:v>7</x:v>
      </x:c>
    </x:row>
    <x:row r="549">
      <x:c r="A549" t="str">
        <x:v>2026 S2</x:v>
      </x:c>
      <x:c r="B549" t="str">
        <x:v>CNCT0137</x:v>
      </x:c>
      <x:c r="C549" s="74" t="n">
        <x:v>1769</x:v>
      </x:c>
      <x:c r="D549" s="74" t="n">
        <x:v>1223.855</x:v>
      </x:c>
      <x:c r="E549" s="75" t="n">
        <x:v>0.9666512384192901</x:v>
      </x:c>
      <x:c r="F549" s="75" t="n">
        <x:v>0.17112111351841303</x:v>
      </x:c>
      <x:c r="G549" s="75" t="n">
        <x:v>0.010599141646554927</x:v>
      </x:c>
      <x:c r="H549" s="75" t="n">
        <x:v>0.011359556499624886</x:v>
      </x:c>
      <x:c r="I549" s="75" t="n">
        <x:v>0.006127197675941212</x:v>
      </x:c>
      <x:c r="J549" s="75" t="n">
        <x:v>0.010712373167829355</x:v>
      </x:c>
      <x:c r="K549" s="75" t="n">
        <x:v>0.008715409517550142</x:v>
      </x:c>
      <x:c r="L549" s="75" t="n">
        <x:v>0.01321310935790825</x:v>
      </x:c>
      <x:c r="M549" s="75" t="n">
        <x:v>0.008844201807485661</x:v>
      </x:c>
      <x:c r="N549" s="75" t="n">
        <x:v>0.005953632489923621</x:v>
      </x:c>
      <x:c r="O549" s="75" t="n">
        <x:v>0.006766186054461286</x:v>
      </x:c>
      <x:c r="P549" s="75" t="n">
        <x:v>0.0005570202413728111</x:v>
      </x:c>
      <x:c r="Q549" s="75" t="n">
        <x:v>0.0023956618115335004</x:v>
      </x:c>
      <x:c r="R549" s="75" t="n">
        <x:v>0.36148696675326975</x:v>
      </x:c>
      <x:c r="S549" s="75" t="n">
        <x:v>0.013777869688306965</x:v>
      </x:c>
      <x:c r="T549" s="75" t="n">
        <x:v>0.005655452986949968</x:v>
      </x:c>
      <x:c r="U549" s="75" t="n">
        <x:v>0.007469957423687446</x:v>
      </x:c>
      <x:c r="V549" s="75" t="n">
        <x:v>0.033997285682096846</x:v>
      </x:c>
      <x:c r="W549" s="75" t="n">
        <x:v>0.009762402090092307</x:v>
      </x:c>
      <x:c r="X549" s="75" t="n">
        <x:v>0.026755511666455355</x:v>
      </x:c>
      <x:c r="Y549" s="75" t="n">
        <x:v>0.022387392138426592</x:v>
      </x:c>
      <x:c r="Z549" s="75" t="n">
        <x:v>0.004881824146767191</x:v>
      </x:c>
      <x:c r="AA549" s="75" t="n">
        <x:v>0.009104297075261846</x:v>
      </x:c>
      <x:c r="AB549" s="75" t="n">
        <x:v>0.003585813726376743</x:v>
      </x:c>
      <x:c r="AC549" s="75" t="n">
        <x:v>0.02556906596031983</x:v>
      </x:c>
      <x:c r="AD549" s="75" t="n">
        <x:v>0.11048561262575095</x:v>
      </x:c>
      <x:c r="AE549" s="75" t="n">
        <x:v>0.06926729847697424</x:v>
      </x:c>
      <x:c r="AF549" s="74" t="n">
        <x:v>7</x:v>
      </x:c>
    </x:row>
    <x:row r="550">
      <x:c r="A550" t="str">
        <x:v>2025 S1</x:v>
      </x:c>
      <x:c r="B550" t="str">
        <x:v>CNCT0138</x:v>
      </x:c>
      <x:c r="C550" s="74" t="n">
        <x:v>1674</x:v>
      </x:c>
      <x:c r="D550" s="74" t="n">
        <x:v>1080.502</x:v>
      </x:c>
      <x:c r="E550" s="75" t="n">
        <x:v>0.9667202438411187</x:v>
      </x:c>
      <x:c r="F550" s="75" t="n">
        <x:v>0.16953910639230163</x:v>
      </x:c>
      <x:c r="G550" s="75" t="n">
        <x:v>0.01576393427271978</x:v>
      </x:c>
      <x:c r="H550" s="75" t="n">
        <x:v>0.008579459908440185</x:v>
      </x:c>
      <x:c r="I550" s="75" t="n">
        <x:v>0.005954139759112877</x:v>
      </x:c>
      <x:c r="J550" s="75" t="n">
        <x:v>0.016124505800260522</x:v>
      </x:c>
      <x:c r="K550" s="75" t="n">
        <x:v>0.012808322034114097</x:v>
      </x:c>
      <x:c r="L550" s="75" t="n">
        <x:v>0.013812830462906276</x:v>
      </x:c>
      <x:c r="M550" s="75" t="n">
        <x:v>0.006416905613412382</x:v>
      </x:c>
      <x:c r="N550" s="75" t="n">
        <x:v>0.006301191892271163</x:v>
      </x:c>
      <x:c r="O550" s="75" t="n">
        <x:v>0.008005154749203939</x:v>
      </x:c>
      <x:c r="P550" s="75" t="n">
        <x:v>0.0014545344319485593</x:v>
      </x:c>
      <x:c r="Q550" s="75" t="n">
        <x:v>0.0018978066759736977</x:v>
      </x:c>
      <x:c r="R550" s="75" t="n">
        <x:v>0.3760119563631277</x:v>
      </x:c>
      <x:c r="S550" s="75" t="n">
        <x:v>0.01482770374782558</x:v>
      </x:c>
      <x:c r="T550" s="75" t="n">
        <x:v>0.004301256933555124</x:v>
      </x:c>
      <x:c r="U550" s="75" t="n">
        <x:v>0.010874478031953912</x:v>
      </x:c>
      <x:c r="V550" s="75" t="n">
        <x:v>0.03137634402687763</x:v>
      </x:c>
      <x:c r="W550" s="75" t="n">
        <x:v>0.014207961290399543</x:v>
      </x:c>
      <x:c r="X550" s="75" t="n">
        <x:v>0.025186343397056336</x:v>
      </x:c>
      <x:c r="Y550" s="75" t="n">
        <x:v>0.01580453309070319</x:v>
      </x:c>
      <x:c r="Z550" s="75" t="n">
        <x:v>0.007058823822336854</x:v>
      </x:c>
      <x:c r="AA550" s="75" t="n">
        <x:v>0.00684803795998334</x:v>
      </x:c>
      <x:c r="AB550" s="75" t="n">
        <x:v>0.007076677591512271</x:v>
      </x:c>
      <x:c r="AC550" s="75" t="n">
        <x:v>0.023117613085964692</x:v>
      </x:c>
      <x:c r="AD550" s="75" t="n">
        <x:v>0.08107980238611345</x:v>
      </x:c>
      <x:c r="AE550" s="75" t="n">
        <x:v>0.09451589736936147</x:v>
      </x:c>
      <x:c r="AF550" s="74" t="n">
        <x:v>10</x:v>
      </x:c>
    </x:row>
    <x:row r="551">
      <x:c r="A551" t="str">
        <x:v>2025 S2</x:v>
      </x:c>
      <x:c r="B551" t="str">
        <x:v>CNCT0138</x:v>
      </x:c>
      <x:c r="C551" s="74" t="n">
        <x:v>1789</x:v>
      </x:c>
      <x:c r="D551" s="74" t="n">
        <x:v>1093.468</x:v>
      </x:c>
      <x:c r="E551" s="75" t="n">
        <x:v>0.9652273615739541</x:v>
      </x:c>
      <x:c r="F551" s="75" t="n">
        <x:v>0.16953910639230163</x:v>
      </x:c>
      <x:c r="G551" s="75" t="n">
        <x:v>0.01576393427271978</x:v>
      </x:c>
      <x:c r="H551" s="75" t="n">
        <x:v>0.008579459908440185</x:v>
      </x:c>
      <x:c r="I551" s="75" t="n">
        <x:v>0.005954139759112877</x:v>
      </x:c>
      <x:c r="J551" s="75" t="n">
        <x:v>0.016124505800260522</x:v>
      </x:c>
      <x:c r="K551" s="75" t="n">
        <x:v>0.012808322034114097</x:v>
      </x:c>
      <x:c r="L551" s="75" t="n">
        <x:v>0.013812830462906276</x:v>
      </x:c>
      <x:c r="M551" s="75" t="n">
        <x:v>0.006416905613412382</x:v>
      </x:c>
      <x:c r="N551" s="75" t="n">
        <x:v>0.006301191892271163</x:v>
      </x:c>
      <x:c r="O551" s="75" t="n">
        <x:v>0.008005154749203939</x:v>
      </x:c>
      <x:c r="P551" s="75" t="n">
        <x:v>0.0014545344319485593</x:v>
      </x:c>
      <x:c r="Q551" s="75" t="n">
        <x:v>0.0018978066759736977</x:v>
      </x:c>
      <x:c r="R551" s="75" t="n">
        <x:v>0.37661572718538794</x:v>
      </x:c>
      <x:c r="S551" s="75" t="n">
        <x:v>0.01482770374782558</x:v>
      </x:c>
      <x:c r="T551" s="75" t="n">
        <x:v>0.004301256933555124</x:v>
      </x:c>
      <x:c r="U551" s="75" t="n">
        <x:v>0.010874478031953912</x:v>
      </x:c>
      <x:c r="V551" s="75" t="n">
        <x:v>0.03137634402687763</x:v>
      </x:c>
      <x:c r="W551" s="75" t="n">
        <x:v>0.014207961290399543</x:v>
      </x:c>
      <x:c r="X551" s="75" t="n">
        <x:v>0.025186343397056336</x:v>
      </x:c>
      <x:c r="Y551" s="75" t="n">
        <x:v>0.01580453309070319</x:v>
      </x:c>
      <x:c r="Z551" s="75" t="n">
        <x:v>0.007058823822336854</x:v>
      </x:c>
      <x:c r="AA551" s="75" t="n">
        <x:v>0.00684803795998334</x:v>
      </x:c>
      <x:c r="AB551" s="75" t="n">
        <x:v>0.007076677591512271</x:v>
      </x:c>
      <x:c r="AC551" s="75" t="n">
        <x:v>0.023117613085964692</x:v>
      </x:c>
      <x:c r="AD551" s="75" t="n">
        <x:v>0.08107980238611345</x:v>
      </x:c>
      <x:c r="AE551" s="75" t="n">
        <x:v>0.09451589736936147</x:v>
      </x:c>
      <x:c r="AF551" s="74" t="n">
        <x:v>10</x:v>
      </x:c>
    </x:row>
    <x:row r="552">
      <x:c r="A552" t="str">
        <x:v>2026 S1</x:v>
      </x:c>
      <x:c r="B552" t="str">
        <x:v>CNCT0138</x:v>
      </x:c>
      <x:c r="C552" s="74" t="n">
        <x:v>1660</x:v>
      </x:c>
      <x:c r="D552" s="74" t="n">
        <x:v>1132.723</x:v>
      </x:c>
      <x:c r="E552" s="75" t="n">
        <x:v>0.9659121334020747</x:v>
      </x:c>
      <x:c r="F552" s="75" t="n">
        <x:v>0.17365059397347796</x:v>
      </x:c>
      <x:c r="G552" s="75" t="n">
        <x:v>0.0141196136699582</x:v>
      </x:c>
      <x:c r="H552" s="75" t="n">
        <x:v>0.008579459908440185</x:v>
      </x:c>
      <x:c r="I552" s="75" t="n">
        <x:v>0.005954139759112877</x:v>
      </x:c>
      <x:c r="J552" s="75" t="n">
        <x:v>0.016124505800260522</x:v>
      </x:c>
      <x:c r="K552" s="75" t="n">
        <x:v>0.012808322034114097</x:v>
      </x:c>
      <x:c r="L552" s="75" t="n">
        <x:v>0.013812830462906276</x:v>
      </x:c>
      <x:c r="M552" s="75" t="n">
        <x:v>0.006416905613412382</x:v>
      </x:c>
      <x:c r="N552" s="75" t="n">
        <x:v>0.006301191892271163</x:v>
      </x:c>
      <x:c r="O552" s="75" t="n">
        <x:v>0.006953744394704699</x:v>
      </x:c>
      <x:c r="P552" s="75" t="n">
        <x:v>0.0014545344319485593</x:v>
      </x:c>
      <x:c r="Q552" s="75" t="n">
        <x:v>0.0018978066759736977</x:v>
      </x:c>
      <x:c r="R552" s="75" t="n">
        <x:v>0.3795147962007833</x:v>
      </x:c>
      <x:c r="S552" s="75" t="n">
        <x:v>0.01482770374782558</x:v>
      </x:c>
      <x:c r="T552" s="75" t="n">
        <x:v>0.004301256933555124</x:v>
      </x:c>
      <x:c r="U552" s="75" t="n">
        <x:v>0.010874478031953912</x:v>
      </x:c>
      <x:c r="V552" s="75" t="n">
        <x:v>0.03137634402687763</x:v>
      </x:c>
      <x:c r="W552" s="75" t="n">
        <x:v>0.01748220021715025</x:v>
      </x:c>
      <x:c r="X552" s="75" t="n">
        <x:v>0.0309905614891253</x:v>
      </x:c>
      <x:c r="Y552" s="75" t="n">
        <x:v>0.01944670358983501</x:v>
      </x:c>
      <x:c r="Z552" s="75" t="n">
        <x:v>0.008685536850601347</x:v>
      </x:c>
      <x:c r="AA552" s="75" t="n">
        <x:v>0.008426175174897825</x:v>
      </x:c>
      <x:c r="AB552" s="75" t="n">
        <x:v>0.00870750503878654</x:v>
      </x:c>
      <x:c r="AC552" s="75" t="n">
        <x:v>0.02844509020337304</x:v>
      </x:c>
      <x:c r="AD552" s="75" t="n">
        <x:v>0.08107980238611345</x:v>
      </x:c>
      <x:c r="AE552" s="75" t="n">
        <x:v>0.09451589736936147</x:v>
      </x:c>
      <x:c r="AF552" s="74" t="n">
        <x:v>10</x:v>
      </x:c>
    </x:row>
    <x:row r="553">
      <x:c r="A553" t="str">
        <x:v>2026 S2</x:v>
      </x:c>
      <x:c r="B553" t="str">
        <x:v>CNCT0138</x:v>
      </x:c>
      <x:c r="C553" s="74" t="n">
        <x:v>1162</x:v>
      </x:c>
      <x:c r="D553" s="74" t="n">
        <x:v>1123.644</x:v>
      </x:c>
      <x:c r="E553" s="75" t="n">
        <x:v>0.9652273615739541</x:v>
      </x:c>
      <x:c r="F553" s="75" t="n">
        <x:v>0.1696757066086302</x:v>
      </x:c>
      <x:c r="G553" s="75" t="n">
        <x:v>0.014690083536290331</x:v>
      </x:c>
      <x:c r="H553" s="75" t="n">
        <x:v>0.008579459908440185</x:v>
      </x:c>
      <x:c r="I553" s="75" t="n">
        <x:v>0.005954139759112877</x:v>
      </x:c>
      <x:c r="J553" s="75" t="n">
        <x:v>0.016124505800260522</x:v>
      </x:c>
      <x:c r="K553" s="75" t="n">
        <x:v>0.012808322034114097</x:v>
      </x:c>
      <x:c r="L553" s="75" t="n">
        <x:v>0.013812830462906276</x:v>
      </x:c>
      <x:c r="M553" s="75" t="n">
        <x:v>0.006416905613412382</x:v>
      </x:c>
      <x:c r="N553" s="75" t="n">
        <x:v>0.006301191892271163</x:v>
      </x:c>
      <x:c r="O553" s="75" t="n">
        <x:v>0.008005154749203939</x:v>
      </x:c>
      <x:c r="P553" s="75" t="n">
        <x:v>0.0014545344319485593</x:v>
      </x:c>
      <x:c r="Q553" s="75" t="n">
        <x:v>0.0018978066759736977</x:v>
      </x:c>
      <x:c r="R553" s="75" t="n">
        <x:v>0.37368889331168836</x:v>
      </x:c>
      <x:c r="S553" s="75" t="n">
        <x:v>0.01482770374782558</x:v>
      </x:c>
      <x:c r="T553" s="75" t="n">
        <x:v>0.004301256933555124</x:v>
      </x:c>
      <x:c r="U553" s="75" t="n">
        <x:v>0.010874478031953912</x:v>
      </x:c>
      <x:c r="V553" s="75" t="n">
        <x:v>0.03137634402687763</x:v>
      </x:c>
      <x:c r="W553" s="75" t="n">
        <x:v>0.015060438967823516</x:v>
      </x:c>
      <x:c r="X553" s="75" t="n">
        <x:v>0.026697524000879717</x:v>
      </x:c>
      <x:c r="Y553" s="75" t="n">
        <x:v>0.016752805076145384</x:v>
      </x:c>
      <x:c r="Z553" s="75" t="n">
        <x:v>0.007482353251677065</x:v>
      </x:c>
      <x:c r="AA553" s="75" t="n">
        <x:v>0.010525434344494393</x:v>
      </x:c>
      <x:c r="AB553" s="75" t="n">
        <x:v>0.013502300844605415</x:v>
      </x:c>
      <x:c r="AC553" s="75" t="n">
        <x:v>0.024504669871122577</x:v>
      </x:c>
      <x:c r="AD553" s="75" t="n">
        <x:v>0.08107980238611345</x:v>
      </x:c>
      <x:c r="AE553" s="75" t="n">
        <x:v>0.09451589736936147</x:v>
      </x:c>
      <x:c r="AF553" s="74" t="n">
        <x:v>10</x:v>
      </x:c>
    </x:row>
    <x:row r="554">
      <x:c r="A554" t="str">
        <x:v>2025 S1</x:v>
      </x:c>
      <x:c r="B554" t="str">
        <x:v>CNCT0139</x:v>
      </x:c>
      <x:c r="C554" s="74" t="n">
        <x:v>1625</x:v>
      </x:c>
      <x:c r="D554" s="74" t="n">
        <x:v>1252.253</x:v>
      </x:c>
      <x:c r="E554" s="75" t="n">
        <x:v>0.9646376140059146</x:v>
      </x:c>
      <x:c r="F554" s="75" t="n">
        <x:v>0.21515767063945532</x:v>
      </x:c>
      <x:c r="G554" s="75" t="n">
        <x:v>0.009436928668554173</x:v>
      </x:c>
      <x:c r="H554" s="75" t="n">
        <x:v>0.009382887754851254</x:v>
      </x:c>
      <x:c r="I554" s="75" t="n">
        <x:v>0.009037936402317428</x:v>
      </x:c>
      <x:c r="J554" s="75" t="n">
        <x:v>0.014724578671157361</x:v>
      </x:c>
      <x:c r="K554" s="75" t="n">
        <x:v>0.013336109833551744</x:v>
      </x:c>
      <x:c r="L554" s="75" t="n">
        <x:v>0.009383024928239137</x:v>
      </x:c>
      <x:c r="M554" s="75" t="n">
        <x:v>0.005922602264370653</x:v>
      </x:c>
      <x:c r="N554" s="75" t="n">
        <x:v>0.0050190601128852</x:v>
      </x:c>
      <x:c r="O554" s="75" t="n">
        <x:v>0.00705644874209247</x:v>
      </x:c>
      <x:c r="P554" s="75" t="n">
        <x:v>0.002995742496386811</x:v>
      </x:c>
      <x:c r="Q554" s="75" t="n">
        <x:v>0.003357383503709571</x:v>
      </x:c>
      <x:c r="R554" s="75" t="n">
        <x:v>0.35776103217253696</x:v>
      </x:c>
      <x:c r="S554" s="75" t="n">
        <x:v>0.016193079396834946</x:v>
      </x:c>
      <x:c r="T554" s="75" t="n">
        <x:v>0.005407383581099566</x:v>
      </x:c>
      <x:c r="U554" s="75" t="n">
        <x:v>0.007406217985349939</x:v>
      </x:c>
      <x:c r="V554" s="75" t="n">
        <x:v>0.03329756853656727</x:v>
      </x:c>
      <x:c r="W554" s="75" t="n">
        <x:v>0.010859472530946369</x:v>
      </x:c>
      <x:c r="X554" s="75" t="n">
        <x:v>0.02221988933886925</x:v>
      </x:c>
      <x:c r="Y554" s="75" t="n">
        <x:v>0.0208478687370359</x:v>
      </x:c>
      <x:c r="Z554" s="75" t="n">
        <x:v>0.005482648100465303</x:v>
      </x:c>
      <x:c r="AA554" s="75" t="n">
        <x:v>0.007828442549715982</x:v>
      </x:c>
      <x:c r="AB554" s="75" t="n">
        <x:v>0.006790023876682972</x:v>
      </x:c>
      <x:c r="AC554" s="75" t="n">
        <x:v>0.024823120377345548</x:v>
      </x:c>
      <x:c r="AD554" s="75" t="n">
        <x:v>0.09635402483954386</x:v>
      </x:c>
      <x:c r="AE554" s="75" t="n">
        <x:v>0.0795456556147401</x:v>
      </x:c>
      <x:c r="AF554" s="74" t="n">
        <x:v>6</x:v>
      </x:c>
    </x:row>
    <x:row r="555">
      <x:c r="A555" t="str">
        <x:v>2025 S2</x:v>
      </x:c>
      <x:c r="B555" t="str">
        <x:v>CNCT0139</x:v>
      </x:c>
      <x:c r="C555" s="74" t="n">
        <x:v>1718</x:v>
      </x:c>
      <x:c r="D555" s="74" t="n">
        <x:v>1267.281</x:v>
      </x:c>
      <x:c r="E555" s="75" t="n">
        <x:v>0.9617909266194911</x:v>
      </x:c>
      <x:c r="F555" s="75" t="n">
        <x:v>0.21515767063945532</x:v>
      </x:c>
      <x:c r="G555" s="75" t="n">
        <x:v>0.009436928668554173</x:v>
      </x:c>
      <x:c r="H555" s="75" t="n">
        <x:v>0.009382887754851254</x:v>
      </x:c>
      <x:c r="I555" s="75" t="n">
        <x:v>0.009037936402317428</x:v>
      </x:c>
      <x:c r="J555" s="75" t="n">
        <x:v>0.014724578671157361</x:v>
      </x:c>
      <x:c r="K555" s="75" t="n">
        <x:v>0.013336109833551744</x:v>
      </x:c>
      <x:c r="L555" s="75" t="n">
        <x:v>0.009383024928239137</x:v>
      </x:c>
      <x:c r="M555" s="75" t="n">
        <x:v>0.005922602264370653</x:v>
      </x:c>
      <x:c r="N555" s="75" t="n">
        <x:v>0.0050190601128852</x:v>
      </x:c>
      <x:c r="O555" s="75" t="n">
        <x:v>0.00705644874209247</x:v>
      </x:c>
      <x:c r="P555" s="75" t="n">
        <x:v>0.002995742496386811</x:v>
      </x:c>
      <x:c r="Q555" s="75" t="n">
        <x:v>0.003357383503709571</x:v>
      </x:c>
      <x:c r="R555" s="75" t="n">
        <x:v>0.3610966276253687</x:v>
      </x:c>
      <x:c r="S555" s="75" t="n">
        <x:v>0.016193079396834946</x:v>
      </x:c>
      <x:c r="T555" s="75" t="n">
        <x:v>0.005407383581099566</x:v>
      </x:c>
      <x:c r="U555" s="75" t="n">
        <x:v>0.007406217985349939</x:v>
      </x:c>
      <x:c r="V555" s="75" t="n">
        <x:v>0.03329756853656727</x:v>
      </x:c>
      <x:c r="W555" s="75" t="n">
        <x:v>0.010859472530946369</x:v>
      </x:c>
      <x:c r="X555" s="75" t="n">
        <x:v>0.02221988933886925</x:v>
      </x:c>
      <x:c r="Y555" s="75" t="n">
        <x:v>0.0208478687370359</x:v>
      </x:c>
      <x:c r="Z555" s="75" t="n">
        <x:v>0.005482648100465303</x:v>
      </x:c>
      <x:c r="AA555" s="75" t="n">
        <x:v>0.007828442549715982</x:v>
      </x:c>
      <x:c r="AB555" s="75" t="n">
        <x:v>0.006790023876682972</x:v>
      </x:c>
      <x:c r="AC555" s="75" t="n">
        <x:v>0.024823120377345548</x:v>
      </x:c>
      <x:c r="AD555" s="75" t="n">
        <x:v>0.09635402483954386</x:v>
      </x:c>
      <x:c r="AE555" s="75" t="n">
        <x:v>0.0795456556147401</x:v>
      </x:c>
      <x:c r="AF555" s="74" t="n">
        <x:v>6</x:v>
      </x:c>
    </x:row>
    <x:row r="556">
      <x:c r="A556" t="str">
        <x:v>2026 S1</x:v>
      </x:c>
      <x:c r="B556" t="str">
        <x:v>CNCT0139</x:v>
      </x:c>
      <x:c r="C556" s="74" t="n">
        <x:v>1704</x:v>
      </x:c>
      <x:c r="D556" s="74" t="n">
        <x:v>1296.233</x:v>
      </x:c>
      <x:c r="E556" s="75" t="n">
        <x:v>0.9653180398745171</x:v>
      </x:c>
      <x:c r="F556" s="75" t="n">
        <x:v>0.21375576009458927</x:v>
      </x:c>
      <x:c r="G556" s="75" t="n">
        <x:v>0.010821620069240452</x:v>
      </x:c>
      <x:c r="H556" s="75" t="n">
        <x:v>0.009382887754851254</x:v>
      </x:c>
      <x:c r="I556" s="75" t="n">
        <x:v>0.009037936402317428</x:v>
      </x:c>
      <x:c r="J556" s="75" t="n">
        <x:v>0.014724578671157361</x:v>
      </x:c>
      <x:c r="K556" s="75" t="n">
        <x:v>0.013336109833551744</x:v>
      </x:c>
      <x:c r="L556" s="75" t="n">
        <x:v>0.009383024928239137</x:v>
      </x:c>
      <x:c r="M556" s="75" t="n">
        <x:v>0.005922602264370653</x:v>
      </x:c>
      <x:c r="N556" s="75" t="n">
        <x:v>0.0050190601128852</x:v>
      </x:c>
      <x:c r="O556" s="75" t="n">
        <x:v>0.005493069682226632</x:v>
      </x:c>
      <x:c r="P556" s="75" t="n">
        <x:v>0.002995742496386811</x:v>
      </x:c>
      <x:c r="Q556" s="75" t="n">
        <x:v>0.003357383503709571</x:v>
      </x:c>
      <x:c r="R556" s="75" t="n">
        <x:v>0.3583389023132606</x:v>
      </x:c>
      <x:c r="S556" s="75" t="n">
        <x:v>0.016193079396834946</x:v>
      </x:c>
      <x:c r="T556" s="75" t="n">
        <x:v>0.005407383581099566</x:v>
      </x:c>
      <x:c r="U556" s="75" t="n">
        <x:v>0.007406217985349939</x:v>
      </x:c>
      <x:c r="V556" s="75" t="n">
        <x:v>0.03329756853656727</x:v>
      </x:c>
      <x:c r="W556" s="75" t="n">
        <x:v>0.013362048865302692</x:v>
      </x:c>
      <x:c r="X556" s="75" t="n">
        <x:v>0.02734048511854517</x:v>
      </x:c>
      <x:c r="Y556" s="75" t="n">
        <x:v>0.025652280993192354</x:v>
      </x:c>
      <x:c r="Z556" s="75" t="n">
        <x:v>0.006746129853076026</x:v>
      </x:c>
      <x:c r="AA556" s="75" t="n">
        <x:v>0.00963251498545886</x:v>
      </x:c>
      <x:c r="AB556" s="75" t="n">
        <x:v>0.008354791687925857</x:v>
      </x:c>
      <x:c r="AC556" s="75" t="n">
        <x:v>0.030543633360291457</x:v>
      </x:c>
      <x:c r="AD556" s="75" t="n">
        <x:v>0.09635402483954386</x:v>
      </x:c>
      <x:c r="AE556" s="75" t="n">
        <x:v>0.0795456556147401</x:v>
      </x:c>
      <x:c r="AF556" s="74" t="n">
        <x:v>6</x:v>
      </x:c>
    </x:row>
    <x:row r="557">
      <x:c r="A557" t="str">
        <x:v>2026 S2</x:v>
      </x:c>
      <x:c r="B557" t="str">
        <x:v>CNCT0139</x:v>
      </x:c>
      <x:c r="C557" s="74" t="n">
        <x:v>1785</x:v>
      </x:c>
      <x:c r="D557" s="74" t="n">
        <x:v>1325.636</x:v>
      </x:c>
      <x:c r="E557" s="75" t="n">
        <x:v>0.9617909266194911</x:v>
      </x:c>
      <x:c r="F557" s="75" t="n">
        <x:v>0.2172342376877241</x:v>
      </x:c>
      <x:c r="G557" s="75" t="n">
        <x:v>0.009046476731888105</x:v>
      </x:c>
      <x:c r="H557" s="75" t="n">
        <x:v>0.009382887754851254</x:v>
      </x:c>
      <x:c r="I557" s="75" t="n">
        <x:v>0.009037936402317428</x:v>
      </x:c>
      <x:c r="J557" s="75" t="n">
        <x:v>0.014724578671157361</x:v>
      </x:c>
      <x:c r="K557" s="75" t="n">
        <x:v>0.013336109833551744</x:v>
      </x:c>
      <x:c r="L557" s="75" t="n">
        <x:v>0.009383024928239137</x:v>
      </x:c>
      <x:c r="M557" s="75" t="n">
        <x:v>0.005922602264370653</x:v>
      </x:c>
      <x:c r="N557" s="75" t="n">
        <x:v>0.0050190601128852</x:v>
      </x:c>
      <x:c r="O557" s="75" t="n">
        <x:v>0.00705644874209247</x:v>
      </x:c>
      <x:c r="P557" s="75" t="n">
        <x:v>0.002995742496386811</x:v>
      </x:c>
      <x:c r="Q557" s="75" t="n">
        <x:v>0.003357383503709571</x:v>
      </x:c>
      <x:c r="R557" s="75" t="n">
        <x:v>0.35488321918493226</x:v>
      </x:c>
      <x:c r="S557" s="75" t="n">
        <x:v>0.016193079396834946</x:v>
      </x:c>
      <x:c r="T557" s="75" t="n">
        <x:v>0.005407383581099566</x:v>
      </x:c>
      <x:c r="U557" s="75" t="n">
        <x:v>0.007406217985349939</x:v>
      </x:c>
      <x:c r="V557" s="75" t="n">
        <x:v>0.03329756853656727</x:v>
      </x:c>
      <x:c r="W557" s="75" t="n">
        <x:v>0.011511040882803152</x:v>
      </x:c>
      <x:c r="X557" s="75" t="n">
        <x:v>0.023553082699201408</x:v>
      </x:c>
      <x:c r="Y557" s="75" t="n">
        <x:v>0.022098740861258053</x:v>
      </x:c>
      <x:c r="Z557" s="75" t="n">
        <x:v>0.005811606986493222</x:v>
      </x:c>
      <x:c r="AA557" s="75" t="n">
        <x:v>0.008298149102698943</x:v>
      </x:c>
      <x:c r="AB557" s="75" t="n">
        <x:v>0.00719742530928395</x:v>
      </x:c>
      <x:c r="AC557" s="75" t="n">
        <x:v>0.026312507599986282</x:v>
      </x:c>
      <x:c r="AD557" s="75" t="n">
        <x:v>0.09635402483954386</x:v>
      </x:c>
      <x:c r="AE557" s="75" t="n">
        <x:v>0.0795456556147401</x:v>
      </x:c>
      <x:c r="AF557" s="74" t="n">
        <x:v>6</x:v>
      </x:c>
    </x:row>
    <x:row r="558">
      <x:c r="A558" t="str">
        <x:v>2025 S1</x:v>
      </x:c>
      <x:c r="B558" t="str">
        <x:v>CNCT0140</x:v>
      </x:c>
      <x:c r="C558" s="74" t="n">
        <x:v>2031</x:v>
      </x:c>
      <x:c r="D558" s="74" t="n">
        <x:v>1168.624</x:v>
      </x:c>
      <x:c r="E558" s="75" t="n">
        <x:v>0.9753215476496989</x:v>
      </x:c>
      <x:c r="F558" s="75" t="n">
        <x:v>0.16695031240535899</x:v>
      </x:c>
      <x:c r="G558" s="75" t="n">
        <x:v>0.020985524932388214</x:v>
      </x:c>
      <x:c r="H558" s="75" t="n">
        <x:v>0.009823016525420825</x:v>
      </x:c>
      <x:c r="I558" s="75" t="n">
        <x:v>0.006010672957243514</x:v>
      </x:c>
      <x:c r="J558" s="75" t="n">
        <x:v>0.01666371010459261</x:v>
      </x:c>
      <x:c r="K558" s="75" t="n">
        <x:v>0.013135906664931099</x:v>
      </x:c>
      <x:c r="L558" s="75" t="n">
        <x:v>0.00871973211005752</x:v>
      </x:c>
      <x:c r="M558" s="75" t="n">
        <x:v>0.00619528691831465</x:v>
      </x:c>
      <x:c r="N558" s="75" t="n">
        <x:v>0.006794908873947862</x:v>
      </x:c>
      <x:c r="O558" s="75" t="n">
        <x:v>0.012458514727237344</x:v>
      </x:c>
      <x:c r="P558" s="75" t="n">
        <x:v>0.0011882869605033192</x:v>
      </x:c>
      <x:c r="Q558" s="75" t="n">
        <x:v>0.004471907741710311</x:v>
      </x:c>
      <x:c r="R558" s="75" t="n">
        <x:v>0.3730084679604084</x:v>
      </x:c>
      <x:c r="S558" s="75" t="n">
        <x:v>0.015448354991574889</x:v>
      </x:c>
      <x:c r="T558" s="75" t="n">
        <x:v>0.006361622085445561</x:v>
      </x:c>
      <x:c r="U558" s="75" t="n">
        <x:v>0.012857616637367755</x:v>
      </x:c>
      <x:c r="V558" s="75" t="n">
        <x:v>0.034116050547003396</x:v>
      </x:c>
      <x:c r="W558" s="75" t="n">
        <x:v>0.01085505969342339</x:v>
      </x:c>
      <x:c r="X558" s="75" t="n">
        <x:v>0.02178401350267697</x:v>
      </x:c>
      <x:c r="Y558" s="75" t="n">
        <x:v>0.014193002376325897</x:v>
      </x:c>
      <x:c r="Z558" s="75" t="n">
        <x:v>0.005743013347260422</x:v>
      </x:c>
      <x:c r="AA558" s="75" t="n">
        <x:v>0.006225549274478108</x:v>
      </x:c>
      <x:c r="AB558" s="75" t="n">
        <x:v>0.006102301673361217</x:v>
      </x:c>
      <x:c r="AC558" s="75" t="n">
        <x:v>0.022751964700681852</x:v>
      </x:c>
      <x:c r="AD558" s="75" t="n">
        <x:v>0.10940987290482009</x:v>
      </x:c>
      <x:c r="AE558" s="75" t="n">
        <x:v>0.07002601786119339</x:v>
      </x:c>
      <x:c r="AF558" s="74" t="n">
        <x:v>8</x:v>
      </x:c>
    </x:row>
    <x:row r="559">
      <x:c r="A559" t="str">
        <x:v>2025 S2</x:v>
      </x:c>
      <x:c r="B559" t="str">
        <x:v>CNCT0140</x:v>
      </x:c>
      <x:c r="C559" s="74" t="n">
        <x:v>2149</x:v>
      </x:c>
      <x:c r="D559" s="74" t="n">
        <x:v>1182.648</x:v>
      </x:c>
      <x:c r="E559" s="75" t="n">
        <x:v>0.9672760776994691</x:v>
      </x:c>
      <x:c r="F559" s="75" t="n">
        <x:v>0.16695031240535899</x:v>
      </x:c>
      <x:c r="G559" s="75" t="n">
        <x:v>0.020985524932388214</x:v>
      </x:c>
      <x:c r="H559" s="75" t="n">
        <x:v>0.009823016525420825</x:v>
      </x:c>
      <x:c r="I559" s="75" t="n">
        <x:v>0.006010672957243514</x:v>
      </x:c>
      <x:c r="J559" s="75" t="n">
        <x:v>0.01666371010459261</x:v>
      </x:c>
      <x:c r="K559" s="75" t="n">
        <x:v>0.013135906664931099</x:v>
      </x:c>
      <x:c r="L559" s="75" t="n">
        <x:v>0.00871973211005752</x:v>
      </x:c>
      <x:c r="M559" s="75" t="n">
        <x:v>0.00619528691831465</x:v>
      </x:c>
      <x:c r="N559" s="75" t="n">
        <x:v>0.006794908873947862</x:v>
      </x:c>
      <x:c r="O559" s="75" t="n">
        <x:v>0.012458514727237344</x:v>
      </x:c>
      <x:c r="P559" s="75" t="n">
        <x:v>0.0011882869605033192</x:v>
      </x:c>
      <x:c r="Q559" s="75" t="n">
        <x:v>0.004471907741710311</x:v>
      </x:c>
      <x:c r="R559" s="75" t="n">
        <x:v>0.3567891279669027</x:v>
      </x:c>
      <x:c r="S559" s="75" t="n">
        <x:v>0.015448354991574889</x:v>
      </x:c>
      <x:c r="T559" s="75" t="n">
        <x:v>0.006361622085445561</x:v>
      </x:c>
      <x:c r="U559" s="75" t="n">
        <x:v>0.012857616637367755</x:v>
      </x:c>
      <x:c r="V559" s="75" t="n">
        <x:v>0.034116050547003396</x:v>
      </x:c>
      <x:c r="W559" s="75" t="n">
        <x:v>0.01085505969342339</x:v>
      </x:c>
      <x:c r="X559" s="75" t="n">
        <x:v>0.02178401350267697</x:v>
      </x:c>
      <x:c r="Y559" s="75" t="n">
        <x:v>0.014193002376325897</x:v>
      </x:c>
      <x:c r="Z559" s="75" t="n">
        <x:v>0.005743013347260422</x:v>
      </x:c>
      <x:c r="AA559" s="75" t="n">
        <x:v>0.006225549274478108</x:v>
      </x:c>
      <x:c r="AB559" s="75" t="n">
        <x:v>0.006102301673361217</x:v>
      </x:c>
      <x:c r="AC559" s="75" t="n">
        <x:v>0.022751964700681852</x:v>
      </x:c>
      <x:c r="AD559" s="75" t="n">
        <x:v>0.10940987290482009</x:v>
      </x:c>
      <x:c r="AE559" s="75" t="n">
        <x:v>0.07002601786119339</x:v>
      </x:c>
      <x:c r="AF559" s="74" t="n">
        <x:v>8</x:v>
      </x:c>
    </x:row>
    <x:row r="560">
      <x:c r="A560" t="str">
        <x:v>2026 S1</x:v>
      </x:c>
      <x:c r="B560" t="str">
        <x:v>CNCT0140</x:v>
      </x:c>
      <x:c r="C560" s="74" t="n">
        <x:v>2191</x:v>
      </x:c>
      <x:c r="D560" s="74" t="n">
        <x:v>1215.816</x:v>
      </x:c>
      <x:c r="E560" s="75" t="n">
        <x:v>0.9733163312699035</x:v>
      </x:c>
      <x:c r="F560" s="75" t="n">
        <x:v>0.1635867469090881</x:v>
      </x:c>
      <x:c r="G560" s="75" t="n">
        <x:v>0.021673359030786737</x:v>
      </x:c>
      <x:c r="H560" s="75" t="n">
        <x:v>0.009823016525420825</x:v>
      </x:c>
      <x:c r="I560" s="75" t="n">
        <x:v>0.006010672957243514</x:v>
      </x:c>
      <x:c r="J560" s="75" t="n">
        <x:v>0.01666371010459261</x:v>
      </x:c>
      <x:c r="K560" s="75" t="n">
        <x:v>0.013135906664931099</x:v>
      </x:c>
      <x:c r="L560" s="75" t="n">
        <x:v>0.00871973211005752</x:v>
      </x:c>
      <x:c r="M560" s="75" t="n">
        <x:v>0.00619528691831465</x:v>
      </x:c>
      <x:c r="N560" s="75" t="n">
        <x:v>0.006794908873947862</x:v>
      </x:c>
      <x:c r="O560" s="75" t="n">
        <x:v>0.010819293219967222</x:v>
      </x:c>
      <x:c r="P560" s="75" t="n">
        <x:v>0.0011882869605033192</x:v>
      </x:c>
      <x:c r="Q560" s="75" t="n">
        <x:v>0.004471907741710311</x:v>
      </x:c>
      <x:c r="R560" s="75" t="n">
        <x:v>0.3724178430267719</x:v>
      </x:c>
      <x:c r="S560" s="75" t="n">
        <x:v>0.015448354991574889</x:v>
      </x:c>
      <x:c r="T560" s="75" t="n">
        <x:v>0.006361622085445561</x:v>
      </x:c>
      <x:c r="U560" s="75" t="n">
        <x:v>0.012857616637367755</x:v>
      </x:c>
      <x:c r="V560" s="75" t="n">
        <x:v>0.034116050547003396</x:v>
      </x:c>
      <x:c r="W560" s="75" t="n">
        <x:v>0.013356619084947462</x:v>
      </x:c>
      <x:c r="X560" s="75" t="n">
        <x:v>0.026804161258817304</x:v>
      </x:c>
      <x:c r="Y560" s="75" t="n">
        <x:v>0.01746379400632792</x:v>
      </x:c>
      <x:c r="Z560" s="75" t="n">
        <x:v>0.007066496532082652</x:v>
      </x:c>
      <x:c r="AA560" s="75" t="n">
        <x:v>0.0076602333476022706</x:v>
      </x:c>
      <x:c r="AB560" s="75" t="n">
        <x:v>0.007508583213218467</x:v>
      </x:c>
      <x:c r="AC560" s="75" t="n">
        <x:v>0.027995177781038973</x:v>
      </x:c>
      <x:c r="AD560" s="75" t="n">
        <x:v>0.10940987290482009</x:v>
      </x:c>
      <x:c r="AE560" s="75" t="n">
        <x:v>0.07002601786119339</x:v>
      </x:c>
      <x:c r="AF560" s="74" t="n">
        <x:v>8</x:v>
      </x:c>
    </x:row>
    <x:row r="561">
      <x:c r="A561" t="str">
        <x:v>2026 S2</x:v>
      </x:c>
      <x:c r="B561" t="str">
        <x:v>CNCT0140</x:v>
      </x:c>
      <x:c r="C561" s="74" t="n">
        <x:v>2269</x:v>
      </x:c>
      <x:c r="D561" s="74" t="n">
        <x:v>1236.682</x:v>
      </x:c>
      <x:c r="E561" s="75" t="n">
        <x:v>0.9672760776994691</x:v>
      </x:c>
      <x:c r="F561" s="75" t="n">
        <x:v>0.16894903748267823</x:v>
      </x:c>
      <x:c r="G561" s="75" t="n">
        <x:v>0.022600988996840893</x:v>
      </x:c>
      <x:c r="H561" s="75" t="n">
        <x:v>0.009823016525420825</x:v>
      </x:c>
      <x:c r="I561" s="75" t="n">
        <x:v>0.006010672957243514</x:v>
      </x:c>
      <x:c r="J561" s="75" t="n">
        <x:v>0.01666371010459261</x:v>
      </x:c>
      <x:c r="K561" s="75" t="n">
        <x:v>0.013135906664931099</x:v>
      </x:c>
      <x:c r="L561" s="75" t="n">
        <x:v>0.00871973211005752</x:v>
      </x:c>
      <x:c r="M561" s="75" t="n">
        <x:v>0.00619528691831465</x:v>
      </x:c>
      <x:c r="N561" s="75" t="n">
        <x:v>0.006794908873947862</x:v>
      </x:c>
      <x:c r="O561" s="75" t="n">
        <x:v>0.012458514727237344</x:v>
      </x:c>
      <x:c r="P561" s="75" t="n">
        <x:v>0.0011882869605033192</x:v>
      </x:c>
      <x:c r="Q561" s="75" t="n">
        <x:v>0.004471907741710311</x:v>
      </x:c>
      <x:c r="R561" s="75" t="n">
        <x:v>0.3563890165587049</x:v>
      </x:c>
      <x:c r="S561" s="75" t="n">
        <x:v>0.015448354991574889</x:v>
      </x:c>
      <x:c r="T561" s="75" t="n">
        <x:v>0.006361622085445561</x:v>
      </x:c>
      <x:c r="U561" s="75" t="n">
        <x:v>0.012857616637367755</x:v>
      </x:c>
      <x:c r="V561" s="75" t="n">
        <x:v>0.034116050547003396</x:v>
      </x:c>
      <x:c r="W561" s="75" t="n">
        <x:v>0.011506363275028793</x:v>
      </x:c>
      <x:c r="X561" s="75" t="n">
        <x:v>0.02309105431283759</x:v>
      </x:c>
      <x:c r="Y561" s="75" t="n">
        <x:v>0.015044582518905452</x:v>
      </x:c>
      <x:c r="Z561" s="75" t="n">
        <x:v>0.006087594148096048</x:v>
      </x:c>
      <x:c r="AA561" s="75" t="n">
        <x:v>0.006599082230946795</x:v>
      </x:c>
      <x:c r="AB561" s="75" t="n">
        <x:v>0.00646843977376289</x:v>
      </x:c>
      <x:c r="AC561" s="75" t="n">
        <x:v>0.024117082582722764</x:v>
      </x:c>
      <x:c r="AD561" s="75" t="n">
        <x:v>0.10940987290482009</x:v>
      </x:c>
      <x:c r="AE561" s="75" t="n">
        <x:v>0.07002601786119339</x:v>
      </x:c>
      <x:c r="AF561" s="74" t="n">
        <x:v>8</x:v>
      </x:c>
    </x:row>
    <x:row r="562">
      <x:c r="A562" t="str">
        <x:v>2025 S1</x:v>
      </x:c>
      <x:c r="B562" t="str">
        <x:v>CNCT0141</x:v>
      </x:c>
      <x:c r="C562" s="74" t="n">
        <x:v>1287</x:v>
      </x:c>
      <x:c r="D562" s="74" t="n">
        <x:v>1024.994</x:v>
      </x:c>
      <x:c r="E562" s="75" t="n">
        <x:v>0.9765299137262046</x:v>
      </x:c>
      <x:c r="F562" s="75" t="n">
        <x:v>0.21504537006886676</x:v>
      </x:c>
      <x:c r="G562" s="75" t="n">
        <x:v>0.020176966917410027</x:v>
      </x:c>
      <x:c r="H562" s="75" t="n">
        <x:v>0.009509618843483622</x:v>
      </x:c>
      <x:c r="I562" s="75" t="n">
        <x:v>0.008776700652568251</x:v>
      </x:c>
      <x:c r="J562" s="75" t="n">
        <x:v>0.011856266541464721</x:v>
      </x:c>
      <x:c r="K562" s="75" t="n">
        <x:v>0.0101752075766708</x:v>
      </x:c>
      <x:c r="L562" s="75" t="n">
        <x:v>0.012728017173321858</x:v>
      </x:c>
      <x:c r="M562" s="75" t="n">
        <x:v>0.009831484425529197</x:v>
      </x:c>
      <x:c r="N562" s="75" t="n">
        <x:v>0.006422725488009746</x:v>
      </x:c>
      <x:c r="O562" s="75" t="n">
        <x:v>0.013095938243501222</x:v>
      </x:c>
      <x:c r="P562" s="75" t="n">
        <x:v>0.0027129116555333894</x:v>
      </x:c>
      <x:c r="Q562" s="75" t="n">
        <x:v>0.0012782092005727465</x:v>
      </x:c>
      <x:c r="R562" s="75" t="n">
        <x:v>0.35680903286250737</x:v>
      </x:c>
      <x:c r="S562" s="75" t="n">
        <x:v>0.013601449232461165</x:v>
      </x:c>
      <x:c r="T562" s="75" t="n">
        <x:v>0.005371166822180385</x:v>
      </x:c>
      <x:c r="U562" s="75" t="n">
        <x:v>0.0071111213252297596</x:v>
      </x:c>
      <x:c r="V562" s="75" t="n">
        <x:v>0.030981489590136337</x:v>
      </x:c>
      <x:c r="W562" s="75" t="n">
        <x:v>0.012353473595545074</x:v>
      </x:c>
      <x:c r="X562" s="75" t="n">
        <x:v>0.021743454559421223</x:v>
      </x:c>
      <x:c r="Y562" s="75" t="n">
        <x:v>0.015312507631634364</x:v>
      </x:c>
      <x:c r="Z562" s="75" t="n">
        <x:v>0.007620502408908215</x:v>
      </x:c>
      <x:c r="AA562" s="75" t="n">
        <x:v>0.007718502476292197</x:v>
      </x:c>
      <x:c r="AB562" s="75" t="n">
        <x:v>0.0050779607345408295</x:v>
      </x:c>
      <x:c r="AC562" s="75" t="n">
        <x:v>0.026938517595594746</x:v>
      </x:c>
      <x:c r="AD562" s="75" t="n">
        <x:v>0.09952344163288945</x:v>
      </x:c>
      <x:c r="AE562" s="75" t="n">
        <x:v>0.06564041645797261</x:v>
      </x:c>
      <x:c r="AF562" s="74" t="n">
        <x:v>6</x:v>
      </x:c>
    </x:row>
    <x:row r="563">
      <x:c r="A563" t="str">
        <x:v>2025 S2</x:v>
      </x:c>
      <x:c r="B563" t="str">
        <x:v>CNCT0141</x:v>
      </x:c>
      <x:c r="C563" s="74" t="n">
        <x:v>1368</x:v>
      </x:c>
      <x:c r="D563" s="74" t="n">
        <x:v>1037.294</x:v>
      </x:c>
      <x:c r="E563" s="75" t="n">
        <x:v>0.9815775110823451</x:v>
      </x:c>
      <x:c r="F563" s="75" t="n">
        <x:v>0.21504537006886676</x:v>
      </x:c>
      <x:c r="G563" s="75" t="n">
        <x:v>0.020176966917410027</x:v>
      </x:c>
      <x:c r="H563" s="75" t="n">
        <x:v>0.009509618843483622</x:v>
      </x:c>
      <x:c r="I563" s="75" t="n">
        <x:v>0.008776700652568251</x:v>
      </x:c>
      <x:c r="J563" s="75" t="n">
        <x:v>0.011856266541464721</x:v>
      </x:c>
      <x:c r="K563" s="75" t="n">
        <x:v>0.0101752075766708</x:v>
      </x:c>
      <x:c r="L563" s="75" t="n">
        <x:v>0.012728017173321858</x:v>
      </x:c>
      <x:c r="M563" s="75" t="n">
        <x:v>0.009831484425529197</x:v>
      </x:c>
      <x:c r="N563" s="75" t="n">
        <x:v>0.006422725488009746</x:v>
      </x:c>
      <x:c r="O563" s="75" t="n">
        <x:v>0.013095938243501222</x:v>
      </x:c>
      <x:c r="P563" s="75" t="n">
        <x:v>0.0027129116555333894</x:v>
      </x:c>
      <x:c r="Q563" s="75" t="n">
        <x:v>0.0012782092005727465</x:v>
      </x:c>
      <x:c r="R563" s="75" t="n">
        <x:v>0.3545605962765457</x:v>
      </x:c>
      <x:c r="S563" s="75" t="n">
        <x:v>0.013601449232461165</x:v>
      </x:c>
      <x:c r="T563" s="75" t="n">
        <x:v>0.005371166822180385</x:v>
      </x:c>
      <x:c r="U563" s="75" t="n">
        <x:v>0.0071111213252297596</x:v>
      </x:c>
      <x:c r="V563" s="75" t="n">
        <x:v>0.030981489590136337</x:v>
      </x:c>
      <x:c r="W563" s="75" t="n">
        <x:v>0.012353473595545074</x:v>
      </x:c>
      <x:c r="X563" s="75" t="n">
        <x:v>0.021743454559421223</x:v>
      </x:c>
      <x:c r="Y563" s="75" t="n">
        <x:v>0.015312507631634364</x:v>
      </x:c>
      <x:c r="Z563" s="75" t="n">
        <x:v>0.007620502408908215</x:v>
      </x:c>
      <x:c r="AA563" s="75" t="n">
        <x:v>0.007718502476292197</x:v>
      </x:c>
      <x:c r="AB563" s="75" t="n">
        <x:v>0.0050779607345408295</x:v>
      </x:c>
      <x:c r="AC563" s="75" t="n">
        <x:v>0.026938517595594746</x:v>
      </x:c>
      <x:c r="AD563" s="75" t="n">
        <x:v>0.09952344163288945</x:v>
      </x:c>
      <x:c r="AE563" s="75" t="n">
        <x:v>0.06564041645797261</x:v>
      </x:c>
      <x:c r="AF563" s="74" t="n">
        <x:v>6</x:v>
      </x:c>
    </x:row>
    <x:row r="564">
      <x:c r="A564" t="str">
        <x:v>2026 S1</x:v>
      </x:c>
      <x:c r="B564" t="str">
        <x:v>CNCT0141</x:v>
      </x:c>
      <x:c r="C564" s="74" t="n">
        <x:v>1203</x:v>
      </x:c>
      <x:c r="D564" s="74" t="n">
        <x:v>1074.944</x:v>
      </x:c>
      <x:c r="E564" s="75" t="n">
        <x:v>0.9790261402424658</x:v>
      </x:c>
      <x:c r="F564" s="75" t="n">
        <x:v>0.21621680049975112</x:v>
      </x:c>
      <x:c r="G564" s="75" t="n">
        <x:v>0.02077563819041825</x:v>
      </x:c>
      <x:c r="H564" s="75" t="n">
        <x:v>0.009509618843483622</x:v>
      </x:c>
      <x:c r="I564" s="75" t="n">
        <x:v>0.008776700652568251</x:v>
      </x:c>
      <x:c r="J564" s="75" t="n">
        <x:v>0.011856266541464721</x:v>
      </x:c>
      <x:c r="K564" s="75" t="n">
        <x:v>0.0101752075766708</x:v>
      </x:c>
      <x:c r="L564" s="75" t="n">
        <x:v>0.012728017173321858</x:v>
      </x:c>
      <x:c r="M564" s="75" t="n">
        <x:v>0.009831484425529197</x:v>
      </x:c>
      <x:c r="N564" s="75" t="n">
        <x:v>0.006422725488009746</x:v>
      </x:c>
      <x:c r="O564" s="75" t="n">
        <x:v>0.01185279712538795</x:v>
      </x:c>
      <x:c r="P564" s="75" t="n">
        <x:v>0.0027129116555333894</x:v>
      </x:c>
      <x:c r="Q564" s="75" t="n">
        <x:v>0.0012782092005727465</x:v>
      </x:c>
      <x:c r="R564" s="75" t="n">
        <x:v>0.35290711081384446</x:v>
      </x:c>
      <x:c r="S564" s="75" t="n">
        <x:v>0.013601449232461165</x:v>
      </x:c>
      <x:c r="T564" s="75" t="n">
        <x:v>0.005371166822180385</x:v>
      </x:c>
      <x:c r="U564" s="75" t="n">
        <x:v>0.0071111213252297596</x:v>
      </x:c>
      <x:c r="V564" s="75" t="n">
        <x:v>0.030981489590136337</x:v>
      </x:c>
      <x:c r="W564" s="75" t="n">
        <x:v>0.015200343973384009</x:v>
      </x:c>
      <x:c r="X564" s="75" t="n">
        <x:v>0.026754255466416802</x:v>
      </x:c>
      <x:c r="Y564" s="75" t="n">
        <x:v>0.018841290370333295</x:v>
      </x:c>
      <x:c r="Z564" s="75" t="n">
        <x:v>0.009376654830684918</x:v>
      </x:c>
      <x:c r="AA564" s="75" t="n">
        <x:v>0.009497239111869485</x:v>
      </x:c>
      <x:c r="AB564" s="75" t="n">
        <x:v>0.006248181877864176</x:v>
      </x:c>
      <x:c r="AC564" s="75" t="n">
        <x:v>0.033146525988752104</x:v>
      </x:c>
      <x:c r="AD564" s="75" t="n">
        <x:v>0.09952344163288945</x:v>
      </x:c>
      <x:c r="AE564" s="75" t="n">
        <x:v>0.06564041645797261</x:v>
      </x:c>
      <x:c r="AF564" s="74" t="n">
        <x:v>6</x:v>
      </x:c>
    </x:row>
    <x:row r="565">
      <x:c r="A565" t="str">
        <x:v>2026 S2</x:v>
      </x:c>
      <x:c r="B565" t="str">
        <x:v>CNCT0141</x:v>
      </x:c>
      <x:c r="C565" s="74" t="n">
        <x:v>1344</x:v>
      </x:c>
      <x:c r="D565" s="74" t="n">
        <x:v>1076.952</x:v>
      </x:c>
      <x:c r="E565" s="75" t="n">
        <x:v>0.9815775110823451</x:v>
      </x:c>
      <x:c r="F565" s="75" t="n">
        <x:v>0.20804606482599047</x:v>
      </x:c>
      <x:c r="G565" s="75" t="n">
        <x:v>0.018913500748953083</x:v>
      </x:c>
      <x:c r="H565" s="75" t="n">
        <x:v>0.009509618843483622</x:v>
      </x:c>
      <x:c r="I565" s="75" t="n">
        <x:v>0.008776700652568251</x:v>
      </x:c>
      <x:c r="J565" s="75" t="n">
        <x:v>0.011856266541464721</x:v>
      </x:c>
      <x:c r="K565" s="75" t="n">
        <x:v>0.0101752075766708</x:v>
      </x:c>
      <x:c r="L565" s="75" t="n">
        <x:v>0.012728017173321858</x:v>
      </x:c>
      <x:c r="M565" s="75" t="n">
        <x:v>0.009831484425529197</x:v>
      </x:c>
      <x:c r="N565" s="75" t="n">
        <x:v>0.006422725488009746</x:v>
      </x:c>
      <x:c r="O565" s="75" t="n">
        <x:v>0.013095938243501222</x:v>
      </x:c>
      <x:c r="P565" s="75" t="n">
        <x:v>0.0027129116555333894</x:v>
      </x:c>
      <x:c r="Q565" s="75" t="n">
        <x:v>0.0012782092005727465</x:v>
      </x:c>
      <x:c r="R565" s="75" t="n">
        <x:v>0.35990292672184854</x:v>
      </x:c>
      <x:c r="S565" s="75" t="n">
        <x:v>0.013601449232461165</x:v>
      </x:c>
      <x:c r="T565" s="75" t="n">
        <x:v>0.005371166822180385</x:v>
      </x:c>
      <x:c r="U565" s="75" t="n">
        <x:v>0.0071111213252297596</x:v>
      </x:c>
      <x:c r="V565" s="75" t="n">
        <x:v>0.030981489590136337</x:v>
      </x:c>
      <x:c r="W565" s="75" t="n">
        <x:v>0.013094682011277779</x:v>
      </x:c>
      <x:c r="X565" s="75" t="n">
        <x:v>0.023048061832986497</x:v>
      </x:c>
      <x:c r="Y565" s="75" t="n">
        <x:v>0.01623125808953243</x:v>
      </x:c>
      <x:c r="Z565" s="75" t="n">
        <x:v>0.008077732553442709</x:v>
      </x:c>
      <x:c r="AA565" s="75" t="n">
        <x:v>0.008181612624869728</x:v>
      </x:c>
      <x:c r="AB565" s="75" t="n">
        <x:v>0.005382638378613279</x:v>
      </x:c>
      <x:c r="AC565" s="75" t="n">
        <x:v>0.02855482865133043</x:v>
      </x:c>
      <x:c r="AD565" s="75" t="n">
        <x:v>0.09952344163288945</x:v>
      </x:c>
      <x:c r="AE565" s="75" t="n">
        <x:v>0.06564041645797261</x:v>
      </x:c>
      <x:c r="AF565" s="74" t="n">
        <x:v>6</x:v>
      </x:c>
    </x:row>
    <x:row r="566">
      <x:c r="A566" t="str">
        <x:v>2025 S1</x:v>
      </x:c>
      <x:c r="B566" t="str">
        <x:v>CNCT0142</x:v>
      </x:c>
      <x:c r="C566" s="74" t="n">
        <x:v>915</x:v>
      </x:c>
      <x:c r="D566" s="74" t="n">
        <x:v>938.312</x:v>
      </x:c>
      <x:c r="E566" s="75" t="n">
        <x:v>0.9690070117844152</x:v>
      </x:c>
      <x:c r="F566" s="75" t="n">
        <x:v>0.18246721471345517</x:v>
      </x:c>
      <x:c r="G566" s="75" t="n">
        <x:v>0.0198103644696821</x:v>
      </x:c>
      <x:c r="H566" s="75" t="n">
        <x:v>0.007165043090077233</x:v>
      </x:c>
      <x:c r="I566" s="75" t="n">
        <x:v>0.010264645424002083</x:v>
      </x:c>
      <x:c r="J566" s="75" t="n">
        <x:v>0.010625182424439118</x:v>
      </x:c>
      <x:c r="K566" s="75" t="n">
        <x:v>0.008118806178084923</x:v>
      </x:c>
      <x:c r="L566" s="75" t="n">
        <x:v>0.012957800297997892</x:v>
      </x:c>
      <x:c r="M566" s="75" t="n">
        <x:v>0.006454479722531687</x:v>
      </x:c>
      <x:c r="N566" s="75" t="n">
        <x:v>0.007884310374196502</x:v>
      </x:c>
      <x:c r="O566" s="75" t="n">
        <x:v>0.009708464922328857</x:v>
      </x:c>
      <x:c r="P566" s="75" t="n">
        <x:v>0.0007907431848996111</x:v>
      </x:c>
      <x:c r="Q566" s="75" t="n">
        <x:v>0.006686526807319751</x:v>
      </x:c>
      <x:c r="R566" s="75" t="n">
        <x:v>0.3680622095793552</x:v>
      </x:c>
      <x:c r="S566" s="75" t="n">
        <x:v>0.016381039750100173</x:v>
      </x:c>
      <x:c r="T566" s="75" t="n">
        <x:v>0.003490471726108808</x:v>
      </x:c>
      <x:c r="U566" s="75" t="n">
        <x:v>0.006373293876182287</x:v>
      </x:c>
      <x:c r="V566" s="75" t="n">
        <x:v>0.033076822994742544</x:v>
      </x:c>
      <x:c r="W566" s="75" t="n">
        <x:v>0.009705628858558702</x:v>
      </x:c>
      <x:c r="X566" s="75" t="n">
        <x:v>0.019725808375899507</x:v>
      </x:c>
      <x:c r="Y566" s="75" t="n">
        <x:v>0.018944458648735892</x:v>
      </x:c>
      <x:c r="Z566" s="75" t="n">
        <x:v>0.007703760771191446</x:v>
      </x:c>
      <x:c r="AA566" s="75" t="n">
        <x:v>0.008800037254263881</x:v>
      </x:c>
      <x:c r="AB566" s="75" t="n">
        <x:v>0.004322057730949018</x:v>
      </x:c>
      <x:c r="AC566" s="75" t="n">
        <x:v>0.021631912021763854</x:v>
      </x:c>
      <x:c r="AD566" s="75" t="n">
        <x:v>0.10139158919345938</x:v>
      </x:c>
      <x:c r="AE566" s="75" t="n">
        <x:v>0.08724678967231012</x:v>
      </x:c>
      <x:c r="AF566" s="74" t="n">
        <x:v>3</x:v>
      </x:c>
    </x:row>
    <x:row r="567">
      <x:c r="A567" t="str">
        <x:v>2025 S2</x:v>
      </x:c>
      <x:c r="B567" t="str">
        <x:v>CNCT0142</x:v>
      </x:c>
      <x:c r="C567" s="74" t="n">
        <x:v>995</x:v>
      </x:c>
      <x:c r="D567" s="74" t="n">
        <x:v>949.572</x:v>
      </x:c>
      <x:c r="E567" s="75" t="n">
        <x:v>0.984025420503589</x:v>
      </x:c>
      <x:c r="F567" s="75" t="n">
        <x:v>0.18246721471345517</x:v>
      </x:c>
      <x:c r="G567" s="75" t="n">
        <x:v>0.0198103644696821</x:v>
      </x:c>
      <x:c r="H567" s="75" t="n">
        <x:v>0.007165043090077233</x:v>
      </x:c>
      <x:c r="I567" s="75" t="n">
        <x:v>0.010264645424002083</x:v>
      </x:c>
      <x:c r="J567" s="75" t="n">
        <x:v>0.010625182424439118</x:v>
      </x:c>
      <x:c r="K567" s="75" t="n">
        <x:v>0.008118806178084923</x:v>
      </x:c>
      <x:c r="L567" s="75" t="n">
        <x:v>0.012957800297997892</x:v>
      </x:c>
      <x:c r="M567" s="75" t="n">
        <x:v>0.006454479722531687</x:v>
      </x:c>
      <x:c r="N567" s="75" t="n">
        <x:v>0.007884310374196502</x:v>
      </x:c>
      <x:c r="O567" s="75" t="n">
        <x:v>0.009708464922328857</x:v>
      </x:c>
      <x:c r="P567" s="75" t="n">
        <x:v>0.0007907431848996111</x:v>
      </x:c>
      <x:c r="Q567" s="75" t="n">
        <x:v>0.006686526807319751</x:v>
      </x:c>
      <x:c r="R567" s="75" t="n">
        <x:v>0.36155778251868304</x:v>
      </x:c>
      <x:c r="S567" s="75" t="n">
        <x:v>0.016381039750100173</x:v>
      </x:c>
      <x:c r="T567" s="75" t="n">
        <x:v>0.003490471726108808</x:v>
      </x:c>
      <x:c r="U567" s="75" t="n">
        <x:v>0.006373293876182287</x:v>
      </x:c>
      <x:c r="V567" s="75" t="n">
        <x:v>0.033076822994742544</x:v>
      </x:c>
      <x:c r="W567" s="75" t="n">
        <x:v>0.009705628858558702</x:v>
      </x:c>
      <x:c r="X567" s="75" t="n">
        <x:v>0.019725808375899507</x:v>
      </x:c>
      <x:c r="Y567" s="75" t="n">
        <x:v>0.018944458648735892</x:v>
      </x:c>
      <x:c r="Z567" s="75" t="n">
        <x:v>0.007703760771191446</x:v>
      </x:c>
      <x:c r="AA567" s="75" t="n">
        <x:v>0.008800037254263881</x:v>
      </x:c>
      <x:c r="AB567" s="75" t="n">
        <x:v>0.004322057730949018</x:v>
      </x:c>
      <x:c r="AC567" s="75" t="n">
        <x:v>0.021631912021763854</x:v>
      </x:c>
      <x:c r="AD567" s="75" t="n">
        <x:v>0.10139158919345938</x:v>
      </x:c>
      <x:c r="AE567" s="75" t="n">
        <x:v>0.08724678967231012</x:v>
      </x:c>
      <x:c r="AF567" s="74" t="n">
        <x:v>3</x:v>
      </x:c>
    </x:row>
    <x:row r="568">
      <x:c r="A568" t="str">
        <x:v>2026 S1</x:v>
      </x:c>
      <x:c r="B568" t="str">
        <x:v>CNCT0142</x:v>
      </x:c>
      <x:c r="C568" s="74" t="n">
        <x:v>897</x:v>
      </x:c>
      <x:c r="D568" s="74" t="n">
        <x:v>984.004</x:v>
      </x:c>
      <x:c r="E568" s="75" t="n">
        <x:v>0.9727932668291613</x:v>
      </x:c>
      <x:c r="F568" s="75" t="n">
        <x:v>0.1822895360722905</x:v>
      </x:c>
      <x:c r="G568" s="75" t="n">
        <x:v>0.019121981511096238</x:v>
      </x:c>
      <x:c r="H568" s="75" t="n">
        <x:v>0.007165043090077233</x:v>
      </x:c>
      <x:c r="I568" s="75" t="n">
        <x:v>0.010264645424002083</x:v>
      </x:c>
      <x:c r="J568" s="75" t="n">
        <x:v>0.010625182424439118</x:v>
      </x:c>
      <x:c r="K568" s="75" t="n">
        <x:v>0.008118806178084923</x:v>
      </x:c>
      <x:c r="L568" s="75" t="n">
        <x:v>0.012957800297997892</x:v>
      </x:c>
      <x:c r="M568" s="75" t="n">
        <x:v>0.006454479722531687</x:v>
      </x:c>
      <x:c r="N568" s="75" t="n">
        <x:v>0.007884310374196502</x:v>
      </x:c>
      <x:c r="O568" s="75" t="n">
        <x:v>0.0112385626217183</x:v>
      </x:c>
      <x:c r="P568" s="75" t="n">
        <x:v>0.0007907431848996111</x:v>
      </x:c>
      <x:c r="Q568" s="75" t="n">
        <x:v>0.006686526807319751</x:v>
      </x:c>
      <x:c r="R568" s="75" t="n">
        <x:v>0.3619953717601488</x:v>
      </x:c>
      <x:c r="S568" s="75" t="n">
        <x:v>0.016381039750100173</x:v>
      </x:c>
      <x:c r="T568" s="75" t="n">
        <x:v>0.003490471726108808</x:v>
      </x:c>
      <x:c r="U568" s="75" t="n">
        <x:v>0.006373293876182287</x:v>
      </x:c>
      <x:c r="V568" s="75" t="n">
        <x:v>0.033076822994742544</x:v>
      </x:c>
      <x:c r="W568" s="75" t="n">
        <x:v>0.011942300761568532</x:v>
      </x:c>
      <x:c r="X568" s="75" t="n">
        <x:v>0.02427164069665881</x:v>
      </x:c>
      <x:c r="Y568" s="75" t="n">
        <x:v>0.02331022814135293</x:v>
      </x:c>
      <x:c r="Z568" s="75" t="n">
        <x:v>0.009479100166045664</x:v>
      </x:c>
      <x:c r="AA568" s="75" t="n">
        <x:v>0.010828014663960002</x:v>
      </x:c>
      <x:c r="AB568" s="75" t="n">
        <x:v>0.005318080269094542</x:v>
      </x:c>
      <x:c r="AC568" s="75" t="n">
        <x:v>0.026617007839104305</x:v>
      </x:c>
      <x:c r="AD568" s="75" t="n">
        <x:v>0.10139158919345938</x:v>
      </x:c>
      <x:c r="AE568" s="75" t="n">
        <x:v>0.08724678967231012</x:v>
      </x:c>
      <x:c r="AF568" s="74" t="n">
        <x:v>3</x:v>
      </x:c>
    </x:row>
    <x:row r="569">
      <x:c r="A569" t="str">
        <x:v>2026 S2</x:v>
      </x:c>
      <x:c r="B569" t="str">
        <x:v>CNCT0142</x:v>
      </x:c>
      <x:c r="C569" s="74" t="n">
        <x:v>960</x:v>
      </x:c>
      <x:c r="D569" s="74" t="n">
        <x:v>991.97</x:v>
      </x:c>
      <x:c r="E569" s="75" t="n">
        <x:v>0.984025420503589</x:v>
      </x:c>
      <x:c r="F569" s="75" t="n">
        <x:v>0.1836358515019674</x:v>
      </x:c>
      <x:c r="G569" s="75" t="n">
        <x:v>0.018078562415204943</x:v>
      </x:c>
      <x:c r="H569" s="75" t="n">
        <x:v>0.007165043090077233</x:v>
      </x:c>
      <x:c r="I569" s="75" t="n">
        <x:v>0.010264645424002083</x:v>
      </x:c>
      <x:c r="J569" s="75" t="n">
        <x:v>0.010625182424439118</x:v>
      </x:c>
      <x:c r="K569" s="75" t="n">
        <x:v>0.008118806178084923</x:v>
      </x:c>
      <x:c r="L569" s="75" t="n">
        <x:v>0.012957800297997892</x:v>
      </x:c>
      <x:c r="M569" s="75" t="n">
        <x:v>0.006454479722531687</x:v>
      </x:c>
      <x:c r="N569" s="75" t="n">
        <x:v>0.007884310374196502</x:v>
      </x:c>
      <x:c r="O569" s="75" t="n">
        <x:v>0.009708464922328857</x:v>
      </x:c>
      <x:c r="P569" s="75" t="n">
        <x:v>0.0007907431848996111</x:v>
      </x:c>
      <x:c r="Q569" s="75" t="n">
        <x:v>0.006686526807319751</x:v>
      </x:c>
      <x:c r="R569" s="75" t="n">
        <x:v>0.3587624111512814</x:v>
      </x:c>
      <x:c r="S569" s="75" t="n">
        <x:v>0.016381039750100173</x:v>
      </x:c>
      <x:c r="T569" s="75" t="n">
        <x:v>0.003490471726108808</x:v>
      </x:c>
      <x:c r="U569" s="75" t="n">
        <x:v>0.006373293876182287</x:v>
      </x:c>
      <x:c r="V569" s="75" t="n">
        <x:v>0.033076822994742544</x:v>
      </x:c>
      <x:c r="W569" s="75" t="n">
        <x:v>0.010287966590072225</x:v>
      </x:c>
      <x:c r="X569" s="75" t="n">
        <x:v>0.020909356878453477</x:v>
      </x:c>
      <x:c r="Y569" s="75" t="n">
        <x:v>0.020081126167660047</x:v>
      </x:c>
      <x:c r="Z569" s="75" t="n">
        <x:v>0.008165986417462934</x:v>
      </x:c>
      <x:c r="AA569" s="75" t="n">
        <x:v>0.009328039489519714</x:v>
      </x:c>
      <x:c r="AB569" s="75" t="n">
        <x:v>0.004581381194805959</x:v>
      </x:c>
      <x:c r="AC569" s="75" t="n">
        <x:v>0.022929826743069686</x:v>
      </x:c>
      <x:c r="AD569" s="75" t="n">
        <x:v>0.10139158919345938</x:v>
      </x:c>
      <x:c r="AE569" s="75" t="n">
        <x:v>0.08724678967231012</x:v>
      </x:c>
      <x:c r="AF569" s="74" t="n">
        <x:v>3</x:v>
      </x:c>
    </x:row>
    <x:row r="570">
      <x:c r="A570" t="str">
        <x:v>2025 S1</x:v>
      </x:c>
      <x:c r="B570" t="str">
        <x:v>CNCT0143</x:v>
      </x:c>
      <x:c r="C570" s="74" t="n">
        <x:v>1285</x:v>
      </x:c>
      <x:c r="D570" s="74" t="n">
        <x:v>967.448</x:v>
      </x:c>
      <x:c r="E570" s="75" t="n">
        <x:v>0.9830040098835597</x:v>
      </x:c>
      <x:c r="F570" s="75" t="n">
        <x:v>0.1793958236327162</x:v>
      </x:c>
      <x:c r="G570" s="75" t="n">
        <x:v>0.018820359350078888</x:v>
      </x:c>
      <x:c r="H570" s="75" t="n">
        <x:v>0.008933264294340916</x:v>
      </x:c>
      <x:c r="I570" s="75" t="n">
        <x:v>0.007373584925560863</x:v>
      </x:c>
      <x:c r="J570" s="75" t="n">
        <x:v>0.012995780364784878</x:v>
      </x:c>
      <x:c r="K570" s="75" t="n">
        <x:v>0.013094738543863059</x:v>
      </x:c>
      <x:c r="L570" s="75" t="n">
        <x:v>0.012708186924515757</x:v>
      </x:c>
      <x:c r="M570" s="75" t="n">
        <x:v>0.008514833960660327</x:v>
      </x:c>
      <x:c r="N570" s="75" t="n">
        <x:v>0.008406955728190951</x:v>
      </x:c>
      <x:c r="O570" s="75" t="n">
        <x:v>0.007832411662107915</x:v>
      </x:c>
      <x:c r="P570" s="75" t="n">
        <x:v>0.0009251808280496335</x:v>
      </x:c>
      <x:c r="Q570" s="75" t="n">
        <x:v>0.004772388601119929</x:v>
      </x:c>
      <x:c r="R570" s="75" t="n">
        <x:v>0.365564514430756</x:v>
      </x:c>
      <x:c r="S570" s="75" t="n">
        <x:v>0.015392497736422229</x:v>
      </x:c>
      <x:c r="T570" s="75" t="n">
        <x:v>0.006522121601112304</x:v>
      </x:c>
      <x:c r="U570" s="75" t="n">
        <x:v>0.01032702125996002</x:v>
      </x:c>
      <x:c r="V570" s="75" t="n">
        <x:v>0.033765642835031036</x:v>
      </x:c>
      <x:c r="W570" s="75" t="n">
        <x:v>0.012552840378609835</x:v>
      </x:c>
      <x:c r="X570" s="75" t="n">
        <x:v>0.020323995638984998</x:v>
      </x:c>
      <x:c r="Y570" s="75" t="n">
        <x:v>0.019144418984126534</x:v>
      </x:c>
      <x:c r="Z570" s="75" t="n">
        <x:v>0.005047037432604703</x:v>
      </x:c>
      <x:c r="AA570" s="75" t="n">
        <x:v>0.00888780291394971</x:v>
      </x:c>
      <x:c r="AB570" s="75" t="n">
        <x:v>0.006432804646983277</x:v>
      </x:c>
      <x:c r="AC570" s="75" t="n">
        <x:v>0.019135784631519343</x:v>
      </x:c>
      <x:c r="AD570" s="75" t="n">
        <x:v>0.10464872295933311</x:v>
      </x:c>
      <x:c r="AE570" s="75" t="n">
        <x:v>0.06362894593286911</x:v>
      </x:c>
      <x:c r="AF570" s="74" t="n">
        <x:v>7</x:v>
      </x:c>
    </x:row>
    <x:row r="571">
      <x:c r="A571" t="str">
        <x:v>2025 S2</x:v>
      </x:c>
      <x:c r="B571" t="str">
        <x:v>CNCT0143</x:v>
      </x:c>
      <x:c r="C571" s="74" t="n">
        <x:v>1402</x:v>
      </x:c>
      <x:c r="D571" s="74" t="n">
        <x:v>979.057</x:v>
      </x:c>
      <x:c r="E571" s="75" t="n">
        <x:v>0.9794224437783122</x:v>
      </x:c>
      <x:c r="F571" s="75" t="n">
        <x:v>0.1793958236327162</x:v>
      </x:c>
      <x:c r="G571" s="75" t="n">
        <x:v>0.018820359350078888</x:v>
      </x:c>
      <x:c r="H571" s="75" t="n">
        <x:v>0.008933264294340916</x:v>
      </x:c>
      <x:c r="I571" s="75" t="n">
        <x:v>0.007373584925560863</x:v>
      </x:c>
      <x:c r="J571" s="75" t="n">
        <x:v>0.012995780364784878</x:v>
      </x:c>
      <x:c r="K571" s="75" t="n">
        <x:v>0.013094738543863059</x:v>
      </x:c>
      <x:c r="L571" s="75" t="n">
        <x:v>0.012708186924515757</x:v>
      </x:c>
      <x:c r="M571" s="75" t="n">
        <x:v>0.008514833960660327</x:v>
      </x:c>
      <x:c r="N571" s="75" t="n">
        <x:v>0.008406955728190951</x:v>
      </x:c>
      <x:c r="O571" s="75" t="n">
        <x:v>0.007832411662107915</x:v>
      </x:c>
      <x:c r="P571" s="75" t="n">
        <x:v>0.0009251808280496335</x:v>
      </x:c>
      <x:c r="Q571" s="75" t="n">
        <x:v>0.004772388601119929</x:v>
      </x:c>
      <x:c r="R571" s="75" t="n">
        <x:v>0.381009209833253</x:v>
      </x:c>
      <x:c r="S571" s="75" t="n">
        <x:v>0.015392497736422229</x:v>
      </x:c>
      <x:c r="T571" s="75" t="n">
        <x:v>0.006522121601112304</x:v>
      </x:c>
      <x:c r="U571" s="75" t="n">
        <x:v>0.01032702125996002</x:v>
      </x:c>
      <x:c r="V571" s="75" t="n">
        <x:v>0.033765642835031036</x:v>
      </x:c>
      <x:c r="W571" s="75" t="n">
        <x:v>0.012552840378609835</x:v>
      </x:c>
      <x:c r="X571" s="75" t="n">
        <x:v>0.020323995638984998</x:v>
      </x:c>
      <x:c r="Y571" s="75" t="n">
        <x:v>0.019144418984126534</x:v>
      </x:c>
      <x:c r="Z571" s="75" t="n">
        <x:v>0.005047037432604703</x:v>
      </x:c>
      <x:c r="AA571" s="75" t="n">
        <x:v>0.00888780291394971</x:v>
      </x:c>
      <x:c r="AB571" s="75" t="n">
        <x:v>0.006432804646983277</x:v>
      </x:c>
      <x:c r="AC571" s="75" t="n">
        <x:v>0.019135784631519343</x:v>
      </x:c>
      <x:c r="AD571" s="75" t="n">
        <x:v>0.10464872295933311</x:v>
      </x:c>
      <x:c r="AE571" s="75" t="n">
        <x:v>0.06362894593286911</x:v>
      </x:c>
      <x:c r="AF571" s="74" t="n">
        <x:v>7</x:v>
      </x:c>
    </x:row>
    <x:row r="572">
      <x:c r="A572" t="str">
        <x:v>2026 S1</x:v>
      </x:c>
      <x:c r="B572" t="str">
        <x:v>CNCT0143</x:v>
      </x:c>
      <x:c r="C572" s="74" t="n">
        <x:v>1260</x:v>
      </x:c>
      <x:c r="D572" s="74" t="n">
        <x:v>1017.562</x:v>
      </x:c>
      <x:c r="E572" s="75" t="n">
        <x:v>0.9833660808521671</x:v>
      </x:c>
      <x:c r="F572" s="75" t="n">
        <x:v>0.17363282887087553</x:v>
      </x:c>
      <x:c r="G572" s="75" t="n">
        <x:v>0.01966233102655542</x:v>
      </x:c>
      <x:c r="H572" s="75" t="n">
        <x:v>0.008933264294340916</x:v>
      </x:c>
      <x:c r="I572" s="75" t="n">
        <x:v>0.007373584925560863</x:v>
      </x:c>
      <x:c r="J572" s="75" t="n">
        <x:v>0.012995780364784878</x:v>
      </x:c>
      <x:c r="K572" s="75" t="n">
        <x:v>0.013094738543863059</x:v>
      </x:c>
      <x:c r="L572" s="75" t="n">
        <x:v>0.012708186924515757</x:v>
      </x:c>
      <x:c r="M572" s="75" t="n">
        <x:v>0.008514833960660327</x:v>
      </x:c>
      <x:c r="N572" s="75" t="n">
        <x:v>0.008406955728190951</x:v>
      </x:c>
      <x:c r="O572" s="75" t="n">
        <x:v>0.008483559473083005</x:v>
      </x:c>
      <x:c r="P572" s="75" t="n">
        <x:v>0.0009251808280496335</x:v>
      </x:c>
      <x:c r="Q572" s="75" t="n">
        <x:v>0.004772388601119929</x:v>
      </x:c>
      <x:c r="R572" s="75" t="n">
        <x:v>0.3662744695616013</x:v>
      </x:c>
      <x:c r="S572" s="75" t="n">
        <x:v>0.015392497736422229</x:v>
      </x:c>
      <x:c r="T572" s="75" t="n">
        <x:v>0.006522121601112304</x:v>
      </x:c>
      <x:c r="U572" s="75" t="n">
        <x:v>0.01032702125996002</x:v>
      </x:c>
      <x:c r="V572" s="75" t="n">
        <x:v>0.033765642835031036</x:v>
      </x:c>
      <x:c r="W572" s="75" t="n">
        <x:v>0.015445655031525927</x:v>
      </x:c>
      <x:c r="X572" s="75" t="n">
        <x:v>0.025007680814369156</x:v>
      </x:c>
      <x:c r="Y572" s="75" t="n">
        <x:v>0.023556269536549428</x:v>
      </x:c>
      <x:c r="Z572" s="75" t="n">
        <x:v>0.006210132269987777</x:v>
      </x:c>
      <x:c r="AA572" s="75" t="n">
        <x:v>0.010936006007929575</x:v>
      </x:c>
      <x:c r="AB572" s="75" t="n">
        <x:v>0.007915250928531613</x:v>
      </x:c>
      <x:c r="AC572" s="75" t="n">
        <x:v>0.023545645388725604</x:v>
      </x:c>
      <x:c r="AD572" s="75" t="n">
        <x:v>0.10464872295933311</x:v>
      </x:c>
      <x:c r="AE572" s="75" t="n">
        <x:v>0.06362894593286911</x:v>
      </x:c>
      <x:c r="AF572" s="74" t="n">
        <x:v>7</x:v>
      </x:c>
    </x:row>
    <x:row r="573">
      <x:c r="A573" t="str">
        <x:v>2026 S2</x:v>
      </x:c>
      <x:c r="B573" t="str">
        <x:v>CNCT0143</x:v>
      </x:c>
      <x:c r="C573" s="74" t="n">
        <x:v>1394</x:v>
      </x:c>
      <x:c r="D573" s="74" t="n">
        <x:v>1019.141</x:v>
      </x:c>
      <x:c r="E573" s="75" t="n">
        <x:v>0.9794224437783122</x:v>
      </x:c>
      <x:c r="F573" s="75" t="n">
        <x:v>0.18483183638646733</x:v>
      </x:c>
      <x:c r="G573" s="75" t="n">
        <x:v>0.017303759195156546</x:v>
      </x:c>
      <x:c r="H573" s="75" t="n">
        <x:v>0.008933264294340916</x:v>
      </x:c>
      <x:c r="I573" s="75" t="n">
        <x:v>0.007373584925560863</x:v>
      </x:c>
      <x:c r="J573" s="75" t="n">
        <x:v>0.012995780364784878</x:v>
      </x:c>
      <x:c r="K573" s="75" t="n">
        <x:v>0.013094738543863059</x:v>
      </x:c>
      <x:c r="L573" s="75" t="n">
        <x:v>0.012708186924515757</x:v>
      </x:c>
      <x:c r="M573" s="75" t="n">
        <x:v>0.008514833960660327</x:v>
      </x:c>
      <x:c r="N573" s="75" t="n">
        <x:v>0.008406955728190951</x:v>
      </x:c>
      <x:c r="O573" s="75" t="n">
        <x:v>0.007832411662107915</x:v>
      </x:c>
      <x:c r="P573" s="75" t="n">
        <x:v>0.0009251808280496335</x:v>
      </x:c>
      <x:c r="Q573" s="75" t="n">
        <x:v>0.004772388601119929</x:v>
      </x:c>
      <x:c r="R573" s="75" t="n">
        <x:v>0.37228421471432643</x:v>
      </x:c>
      <x:c r="S573" s="75" t="n">
        <x:v>0.015392497736422229</x:v>
      </x:c>
      <x:c r="T573" s="75" t="n">
        <x:v>0.006522121601112304</x:v>
      </x:c>
      <x:c r="U573" s="75" t="n">
        <x:v>0.01032702125996002</x:v>
      </x:c>
      <x:c r="V573" s="75" t="n">
        <x:v>0.033765642835031036</x:v>
      </x:c>
      <x:c r="W573" s="75" t="n">
        <x:v>0.013306010801326425</x:v>
      </x:c>
      <x:c r="X573" s="75" t="n">
        <x:v>0.0215434353773241</x:v>
      </x:c>
      <x:c r="Y573" s="75" t="n">
        <x:v>0.020293084123174127</x:v>
      </x:c>
      <x:c r="Z573" s="75" t="n">
        <x:v>0.005349859678560985</x:v>
      </x:c>
      <x:c r="AA573" s="75" t="n">
        <x:v>0.009421071088786693</x:v>
      </x:c>
      <x:c r="AB573" s="75" t="n">
        <x:v>0.006818772925802274</x:v>
      </x:c>
      <x:c r="AC573" s="75" t="n">
        <x:v>0.020283931709410504</x:v>
      </x:c>
      <x:c r="AD573" s="75" t="n">
        <x:v>0.10464872295933311</x:v>
      </x:c>
      <x:c r="AE573" s="75" t="n">
        <x:v>0.06362894593286911</x:v>
      </x:c>
      <x:c r="AF573" s="74" t="n">
        <x:v>7</x:v>
      </x:c>
    </x:row>
    <x:row r="574">
      <x:c r="A574" t="str">
        <x:v>2025 S1</x:v>
      </x:c>
      <x:c r="B574" t="str">
        <x:v>CNCT0144</x:v>
      </x:c>
      <x:c r="C574" s="74" t="n">
        <x:v>1313</x:v>
      </x:c>
      <x:c r="D574" s="74" t="n">
        <x:v>925.553</x:v>
      </x:c>
      <x:c r="E574" s="75" t="n">
        <x:v>0.9676117083459976</x:v>
      </x:c>
      <x:c r="F574" s="75" t="n">
        <x:v>0.18597307833866217</x:v>
      </x:c>
      <x:c r="G574" s="75" t="n">
        <x:v>0.010839946232954388</x:v>
      </x:c>
      <x:c r="H574" s="75" t="n">
        <x:v>0.007621747666004012</x:v>
      </x:c>
      <x:c r="I574" s="75" t="n">
        <x:v>0.00743561448978926</x:v>
      </x:c>
      <x:c r="J574" s="75" t="n">
        <x:v>0.01069067522441037</x:v>
      </x:c>
      <x:c r="K574" s="75" t="n">
        <x:v>0.008053001636348199</x:v>
      </x:c>
      <x:c r="L574" s="75" t="n">
        <x:v>0.009203861205183784</x:v>
      </x:c>
      <x:c r="M574" s="75" t="n">
        <x:v>0.009338685133960098</x:v>
      </x:c>
      <x:c r="N574" s="75" t="n">
        <x:v>0.008322135097812862</x:v>
      </x:c>
      <x:c r="O574" s="75" t="n">
        <x:v>0.01315403379552299</x:v>
      </x:c>
      <x:c r="P574" s="75" t="n">
        <x:v>0.0027204488039278656</x:v>
      </x:c>
      <x:c r="Q574" s="75" t="n">
        <x:v>0.0021133212128188463</x:v>
      </x:c>
      <x:c r="R574" s="75" t="n">
        <x:v>0.3639114902012176</x:v>
      </x:c>
      <x:c r="S574" s="75" t="n">
        <x:v>0.016154936079576146</x:v>
      </x:c>
      <x:c r="T574" s="75" t="n">
        <x:v>0.004813635478760262</x:v>
      </x:c>
      <x:c r="U574" s="75" t="n">
        <x:v>0.007885414683871203</x:v>
      </x:c>
      <x:c r="V574" s="75" t="n">
        <x:v>0.03661893446921022</x:v>
      </x:c>
      <x:c r="W574" s="75" t="n">
        <x:v>0.013651082497593597</x:v>
      </x:c>
      <x:c r="X574" s="75" t="n">
        <x:v>0.023222513319035642</x:v>
      </x:c>
      <x:c r="Y574" s="75" t="n">
        <x:v>0.01797197321873566</x:v>
      </x:c>
      <x:c r="Z574" s="75" t="n">
        <x:v>0.005320593865191404</x:v>
      </x:c>
      <x:c r="AA574" s="75" t="n">
        <x:v>0.006316610673046962</x:v>
      </x:c>
      <x:c r="AB574" s="75" t="n">
        <x:v>0.005225984055368463</x:v>
      </x:c>
      <x:c r="AC574" s="75" t="n">
        <x:v>0.016888221522135424</x:v>
      </x:c>
      <x:c r="AD574" s="75" t="n">
        <x:v>0.09936423010728324</x:v>
      </x:c>
      <x:c r="AE574" s="75" t="n">
        <x:v>0.0735636673127592</x:v>
      </x:c>
      <x:c r="AF574" s="74" t="n">
        <x:v>8</x:v>
      </x:c>
    </x:row>
    <x:row r="575">
      <x:c r="A575" t="str">
        <x:v>2025 S2</x:v>
      </x:c>
      <x:c r="B575" t="str">
        <x:v>CNCT0144</x:v>
      </x:c>
      <x:c r="C575" s="74" t="n">
        <x:v>1405</x:v>
      </x:c>
      <x:c r="D575" s="74" t="n">
        <x:v>936.659</x:v>
      </x:c>
      <x:c r="E575" s="75" t="n">
        <x:v>0.98056572728639</x:v>
      </x:c>
      <x:c r="F575" s="75" t="n">
        <x:v>0.18597307833866217</x:v>
      </x:c>
      <x:c r="G575" s="75" t="n">
        <x:v>0.010839946232954388</x:v>
      </x:c>
      <x:c r="H575" s="75" t="n">
        <x:v>0.007621747666004012</x:v>
      </x:c>
      <x:c r="I575" s="75" t="n">
        <x:v>0.00743561448978926</x:v>
      </x:c>
      <x:c r="J575" s="75" t="n">
        <x:v>0.01069067522441037</x:v>
      </x:c>
      <x:c r="K575" s="75" t="n">
        <x:v>0.008053001636348199</x:v>
      </x:c>
      <x:c r="L575" s="75" t="n">
        <x:v>0.009203861205183784</x:v>
      </x:c>
      <x:c r="M575" s="75" t="n">
        <x:v>0.009338685133960098</x:v>
      </x:c>
      <x:c r="N575" s="75" t="n">
        <x:v>0.008322135097812862</x:v>
      </x:c>
      <x:c r="O575" s="75" t="n">
        <x:v>0.01315403379552299</x:v>
      </x:c>
      <x:c r="P575" s="75" t="n">
        <x:v>0.0027204488039278656</x:v>
      </x:c>
      <x:c r="Q575" s="75" t="n">
        <x:v>0.0021133212128188463</x:v>
      </x:c>
      <x:c r="R575" s="75" t="n">
        <x:v>0.3693304782838949</x:v>
      </x:c>
      <x:c r="S575" s="75" t="n">
        <x:v>0.016154936079576146</x:v>
      </x:c>
      <x:c r="T575" s="75" t="n">
        <x:v>0.004813635478760262</x:v>
      </x:c>
      <x:c r="U575" s="75" t="n">
        <x:v>0.007885414683871203</x:v>
      </x:c>
      <x:c r="V575" s="75" t="n">
        <x:v>0.03661893446921022</x:v>
      </x:c>
      <x:c r="W575" s="75" t="n">
        <x:v>0.013651082497593597</x:v>
      </x:c>
      <x:c r="X575" s="75" t="n">
        <x:v>0.023222513319035642</x:v>
      </x:c>
      <x:c r="Y575" s="75" t="n">
        <x:v>0.01797197321873566</x:v>
      </x:c>
      <x:c r="Z575" s="75" t="n">
        <x:v>0.005320593865191404</x:v>
      </x:c>
      <x:c r="AA575" s="75" t="n">
        <x:v>0.006316610673046962</x:v>
      </x:c>
      <x:c r="AB575" s="75" t="n">
        <x:v>0.005225984055368463</x:v>
      </x:c>
      <x:c r="AC575" s="75" t="n">
        <x:v>0.016888221522135424</x:v>
      </x:c>
      <x:c r="AD575" s="75" t="n">
        <x:v>0.09936423010728324</x:v>
      </x:c>
      <x:c r="AE575" s="75" t="n">
        <x:v>0.0735636673127592</x:v>
      </x:c>
      <x:c r="AF575" s="74" t="n">
        <x:v>8</x:v>
      </x:c>
    </x:row>
    <x:row r="576">
      <x:c r="A576" t="str">
        <x:v>2026 S1</x:v>
      </x:c>
      <x:c r="B576" t="str">
        <x:v>CNCT0144</x:v>
      </x:c>
      <x:c r="C576" s="74" t="n">
        <x:v>1086</x:v>
      </x:c>
      <x:c r="D576" s="74" t="n">
        <x:v>970.679</x:v>
      </x:c>
      <x:c r="E576" s="75" t="n">
        <x:v>0.9677174424052646</x:v>
      </x:c>
      <x:c r="F576" s="75" t="n">
        <x:v>0.19797307833866218</x:v>
      </x:c>
      <x:c r="G576" s="75" t="n">
        <x:v>0.012708775500956107</x:v>
      </x:c>
      <x:c r="H576" s="75" t="n">
        <x:v>0.007621747666004012</x:v>
      </x:c>
      <x:c r="I576" s="75" t="n">
        <x:v>0.00743561448978926</x:v>
      </x:c>
      <x:c r="J576" s="75" t="n">
        <x:v>0.01069067522441037</x:v>
      </x:c>
      <x:c r="K576" s="75" t="n">
        <x:v>0.008053001636348199</x:v>
      </x:c>
      <x:c r="L576" s="75" t="n">
        <x:v>0.009203861205183784</x:v>
      </x:c>
      <x:c r="M576" s="75" t="n">
        <x:v>0.009338685133960098</x:v>
      </x:c>
      <x:c r="N576" s="75" t="n">
        <x:v>0.008322135097812862</x:v>
      </x:c>
      <x:c r="O576" s="75" t="n">
        <x:v>0.01219086492518545</x:v>
      </x:c>
      <x:c r="P576" s="75" t="n">
        <x:v>0.0027204488039278656</x:v>
      </x:c>
      <x:c r="Q576" s="75" t="n">
        <x:v>0.0021133212128188463</x:v>
      </x:c>
      <x:c r="R576" s="75" t="n">
        <x:v>0.3863368912557136</x:v>
      </x:c>
      <x:c r="S576" s="75" t="n">
        <x:v>0.016154936079576146</x:v>
      </x:c>
      <x:c r="T576" s="75" t="n">
        <x:v>0.004813635478760262</x:v>
      </x:c>
      <x:c r="U576" s="75" t="n">
        <x:v>0.007885414683871203</x:v>
      </x:c>
      <x:c r="V576" s="75" t="n">
        <x:v>0.03661893446921022</x:v>
      </x:c>
      <x:c r="W576" s="75" t="n">
        <x:v>0.016796988148118443</x:v>
      </x:c>
      <x:c r="X576" s="75" t="n">
        <x:v>0.028574164800346444</x:v>
      </x:c>
      <x:c r="Y576" s="75" t="n">
        <x:v>0.02211363246882577</x:v>
      </x:c>
      <x:c r="Z576" s="75" t="n">
        <x:v>0.006546730056779438</x:v>
      </x:c>
      <x:c r="AA576" s="75" t="n">
        <x:v>0.0077722799367853455</x:v>
      </x:c>
      <x:c r="AB576" s="75" t="n">
        <x:v>0.006430317321410516</x:v>
      </x:c>
      <x:c r="AC576" s="75" t="n">
        <x:v>0.030131187205129244</x:v>
      </x:c>
      <x:c r="AD576" s="75" t="n">
        <x:v>0.10930065311801157</x:v>
      </x:c>
      <x:c r="AE576" s="75" t="n">
        <x:v>0.1888379487387622</x:v>
      </x:c>
      <x:c r="AF576" s="74" t="n">
        <x:v>8</x:v>
      </x:c>
    </x:row>
    <x:row r="577">
      <x:c r="A577" t="str">
        <x:v>2026 S2</x:v>
      </x:c>
      <x:c r="B577" t="str">
        <x:v>CNCT0144</x:v>
      </x:c>
      <x:c r="C577" s="74" t="n">
        <x:v>1140</x:v>
      </x:c>
      <x:c r="D577" s="74" t="n">
        <x:v>965.09</x:v>
      </x:c>
      <x:c r="E577" s="75" t="n">
        <x:v>0.98056572728639</x:v>
      </x:c>
      <x:c r="F577" s="75" t="n">
        <x:v>0.18305494809593803</x:v>
      </x:c>
      <x:c r="G577" s="75" t="n">
        <x:v>0.008914086408811271</x:v>
      </x:c>
      <x:c r="H577" s="75" t="n">
        <x:v>0.007621747666004012</x:v>
      </x:c>
      <x:c r="I577" s="75" t="n">
        <x:v>0.00743561448978926</x:v>
      </x:c>
      <x:c r="J577" s="75" t="n">
        <x:v>0.01069067522441037</x:v>
      </x:c>
      <x:c r="K577" s="75" t="n">
        <x:v>0.008053001636348199</x:v>
      </x:c>
      <x:c r="L577" s="75" t="n">
        <x:v>0.009203861205183784</x:v>
      </x:c>
      <x:c r="M577" s="75" t="n">
        <x:v>0.009338685133960098</x:v>
      </x:c>
      <x:c r="N577" s="75" t="n">
        <x:v>0.008322135097812862</x:v>
      </x:c>
      <x:c r="O577" s="75" t="n">
        <x:v>0.01315403379552299</x:v>
      </x:c>
      <x:c r="P577" s="75" t="n">
        <x:v>0.0027204488039278656</x:v>
      </x:c>
      <x:c r="Q577" s="75" t="n">
        <x:v>0.0021133212128188463</x:v>
      </x:c>
      <x:c r="R577" s="75" t="n">
        <x:v>0.3882876578642765</x:v>
      </x:c>
      <x:c r="S577" s="75" t="n">
        <x:v>0.016154936079576146</x:v>
      </x:c>
      <x:c r="T577" s="75" t="n">
        <x:v>0.004813635478760262</x:v>
      </x:c>
      <x:c r="U577" s="75" t="n">
        <x:v>0.007885414683871203</x:v>
      </x:c>
      <x:c r="V577" s="75" t="n">
        <x:v>0.03661893446921022</x:v>
      </x:c>
      <x:c r="W577" s="75" t="n">
        <x:v>0.014470147447449214</x:v>
      </x:c>
      <x:c r="X577" s="75" t="n">
        <x:v>0.02461586411817778</x:v>
      </x:c>
      <x:c r="Y577" s="75" t="n">
        <x:v>0.0190502916118598</x:v>
      </x:c>
      <x:c r="Z577" s="75" t="n">
        <x:v>0.005639829497102888</x:v>
      </x:c>
      <x:c r="AA577" s="75" t="n">
        <x:v>0.0066956073134297805</x:v>
      </x:c>
      <x:c r="AB577" s="75" t="n">
        <x:v>0.0055395430986905705</x:v>
      </x:c>
      <x:c r="AC577" s="75" t="n">
        <x:v>0.025957196479522146</x:v>
      </x:c>
      <x:c r="AD577" s="75" t="n">
        <x:v>0.1073133685158659</x:v>
      </x:c>
      <x:c r="AE577" s="75" t="n">
        <x:v>0.2122751035254065</x:v>
      </x:c>
      <x:c r="AF577" s="74" t="n">
        <x:v>8</x:v>
      </x:c>
    </x:row>
    <x:row r="578">
      <x:c r="A578" t="str">
        <x:v>2025 S1</x:v>
      </x:c>
      <x:c r="B578" t="str">
        <x:v>CNCT0145</x:v>
      </x:c>
      <x:c r="C578" s="74" t="n">
        <x:v>1632</x:v>
      </x:c>
      <x:c r="D578" s="74" t="n">
        <x:v>1129.214</x:v>
      </x:c>
      <x:c r="E578" s="75" t="n">
        <x:v>0.9742248504540766</x:v>
      </x:c>
      <x:c r="F578" s="75" t="n">
        <x:v>0.2053744658534415</x:v>
      </x:c>
      <x:c r="G578" s="75" t="n">
        <x:v>0.014542216823610942</x:v>
      </x:c>
      <x:c r="H578" s="75" t="n">
        <x:v>0.012799822012930236</x:v>
      </x:c>
      <x:c r="I578" s="75" t="n">
        <x:v>0.00985143109535602</x:v>
      </x:c>
      <x:c r="J578" s="75" t="n">
        <x:v>0.014864815920896945</x:v>
      </x:c>
      <x:c r="K578" s="75" t="n">
        <x:v>0.013562094661872833</x:v>
      </x:c>
      <x:c r="L578" s="75" t="n">
        <x:v>0.008761864242398587</x:v>
      </x:c>
      <x:c r="M578" s="75" t="n">
        <x:v>0.009001430113465176</x:v>
      </x:c>
      <x:c r="N578" s="75" t="n">
        <x:v>0.008384221826301655</x:v>
      </x:c>
      <x:c r="O578" s="75" t="n">
        <x:v>0.008008048892093937</x:v>
      </x:c>
      <x:c r="P578" s="75" t="n">
        <x:v>0.001956899426128075</x:v>
      </x:c>
      <x:c r="Q578" s="75" t="n">
        <x:v>0.0053498173381522065</x:v>
      </x:c>
      <x:c r="R578" s="75" t="n">
        <x:v>0.33761396959423756</x:v>
      </x:c>
      <x:c r="S578" s="75" t="n">
        <x:v>0.013842438699983178</x:v>
      </x:c>
      <x:c r="T578" s="75" t="n">
        <x:v>0.005899907709397667</x:v>
      </x:c>
      <x:c r="U578" s="75" t="n">
        <x:v>0.011900253267038351</x:v>
      </x:c>
      <x:c r="V578" s="75" t="n">
        <x:v>0.03495109450408927</x:v>
      </x:c>
      <x:c r="W578" s="75" t="n">
        <x:v>0.013971494425155107</x:v>
      </x:c>
      <x:c r="X578" s="75" t="n">
        <x:v>0.023389321899797068</x:v>
      </x:c>
      <x:c r="Y578" s="75" t="n">
        <x:v>0.019584601069857602</x:v>
      </x:c>
      <x:c r="Z578" s="75" t="n">
        <x:v>0.0073612951811897805</x:v>
      </x:c>
      <x:c r="AA578" s="75" t="n">
        <x:v>0.0075611401970101</x:v>
      </x:c>
      <x:c r="AB578" s="75" t="n">
        <x:v>0.0055260872740633205</x:v>
      </x:c>
      <x:c r="AC578" s="75" t="n">
        <x:v>0.026056068831484296</x:v>
      </x:c>
      <x:c r="AD578" s="75" t="n">
        <x:v>0.09438205412193201</x:v>
      </x:c>
      <x:c r="AE578" s="75" t="n">
        <x:v>0.07957325507231872</x:v>
      </x:c>
      <x:c r="AF578" s="74" t="n">
        <x:v>7</x:v>
      </x:c>
    </x:row>
    <x:row r="579">
      <x:c r="A579" t="str">
        <x:v>2025 S2</x:v>
      </x:c>
      <x:c r="B579" t="str">
        <x:v>CNCT0145</x:v>
      </x:c>
      <x:c r="C579" s="74" t="n">
        <x:v>1749</x:v>
      </x:c>
      <x:c r="D579" s="74" t="n">
        <x:v>1142.765</x:v>
      </x:c>
      <x:c r="E579" s="75" t="n">
        <x:v>0.983351306125638</x:v>
      </x:c>
      <x:c r="F579" s="75" t="n">
        <x:v>0.2053744658534415</x:v>
      </x:c>
      <x:c r="G579" s="75" t="n">
        <x:v>0.014542216823610942</x:v>
      </x:c>
      <x:c r="H579" s="75" t="n">
        <x:v>0.012799822012930236</x:v>
      </x:c>
      <x:c r="I579" s="75" t="n">
        <x:v>0.00985143109535602</x:v>
      </x:c>
      <x:c r="J579" s="75" t="n">
        <x:v>0.014864815920896945</x:v>
      </x:c>
      <x:c r="K579" s="75" t="n">
        <x:v>0.013562094661872833</x:v>
      </x:c>
      <x:c r="L579" s="75" t="n">
        <x:v>0.008761864242398587</x:v>
      </x:c>
      <x:c r="M579" s="75" t="n">
        <x:v>0.009001430113465176</x:v>
      </x:c>
      <x:c r="N579" s="75" t="n">
        <x:v>0.008384221826301655</x:v>
      </x:c>
      <x:c r="O579" s="75" t="n">
        <x:v>0.008008048892093937</x:v>
      </x:c>
      <x:c r="P579" s="75" t="n">
        <x:v>0.001956899426128075</x:v>
      </x:c>
      <x:c r="Q579" s="75" t="n">
        <x:v>0.0053498173381522065</x:v>
      </x:c>
      <x:c r="R579" s="75" t="n">
        <x:v>0.33993113631432464</x:v>
      </x:c>
      <x:c r="S579" s="75" t="n">
        <x:v>0.013842438699983178</x:v>
      </x:c>
      <x:c r="T579" s="75" t="n">
        <x:v>0.005899907709397667</x:v>
      </x:c>
      <x:c r="U579" s="75" t="n">
        <x:v>0.011900253267038351</x:v>
      </x:c>
      <x:c r="V579" s="75" t="n">
        <x:v>0.03495109450408927</x:v>
      </x:c>
      <x:c r="W579" s="75" t="n">
        <x:v>0.013971494425155107</x:v>
      </x:c>
      <x:c r="X579" s="75" t="n">
        <x:v>0.023389321899797068</x:v>
      </x:c>
      <x:c r="Y579" s="75" t="n">
        <x:v>0.019584601069857602</x:v>
      </x:c>
      <x:c r="Z579" s="75" t="n">
        <x:v>0.0073612951811897805</x:v>
      </x:c>
      <x:c r="AA579" s="75" t="n">
        <x:v>0.0075611401970101</x:v>
      </x:c>
      <x:c r="AB579" s="75" t="n">
        <x:v>0.0055260872740633205</x:v>
      </x:c>
      <x:c r="AC579" s="75" t="n">
        <x:v>0.026056068831484296</x:v>
      </x:c>
      <x:c r="AD579" s="75" t="n">
        <x:v>0.09438205412193201</x:v>
      </x:c>
      <x:c r="AE579" s="75" t="n">
        <x:v>0.07957325507231872</x:v>
      </x:c>
      <x:c r="AF579" s="74" t="n">
        <x:v>7</x:v>
      </x:c>
    </x:row>
    <x:row r="580">
      <x:c r="A580" t="str">
        <x:v>2026 S1</x:v>
      </x:c>
      <x:c r="B580" t="str">
        <x:v>CNCT0145</x:v>
      </x:c>
      <x:c r="C580" s="74" t="n">
        <x:v>1779</x:v>
      </x:c>
      <x:c r="D580" s="74" t="n">
        <x:v>1177.409</x:v>
      </x:c>
      <x:c r="E580" s="75" t="n">
        <x:v>0.9738965165228</x:v>
      </x:c>
      <x:c r="F580" s="75" t="n">
        <x:v>0.24237225619977107</x:v>
      </x:c>
      <x:c r="G580" s="75" t="n">
        <x:v>0.014847225333040113</x:v>
      </x:c>
      <x:c r="H580" s="75" t="n">
        <x:v>0.012799822012930236</x:v>
      </x:c>
      <x:c r="I580" s="75" t="n">
        <x:v>0.00985143109535602</x:v>
      </x:c>
      <x:c r="J580" s="75" t="n">
        <x:v>0.014864815920896945</x:v>
      </x:c>
      <x:c r="K580" s="75" t="n">
        <x:v>0.013562094661872833</x:v>
      </x:c>
      <x:c r="L580" s="75" t="n">
        <x:v>0.008761864242398587</x:v>
      </x:c>
      <x:c r="M580" s="75" t="n">
        <x:v>0.009001430113465176</x:v>
      </x:c>
      <x:c r="N580" s="75" t="n">
        <x:v>0.008384221826301655</x:v>
      </x:c>
      <x:c r="O580" s="75" t="n">
        <x:v>0.008567793575653921</x:v>
      </x:c>
      <x:c r="P580" s="75" t="n">
        <x:v>0.001956899426128075</x:v>
      </x:c>
      <x:c r="Q580" s="75" t="n">
        <x:v>0.0053498173381522065</x:v>
      </x:c>
      <x:c r="R580" s="75" t="n">
        <x:v>0.33439609909640344</x:v>
      </x:c>
      <x:c r="S580" s="75" t="n">
        <x:v>0.013842438699983178</x:v>
      </x:c>
      <x:c r="T580" s="75" t="n">
        <x:v>0.005899907709397667</x:v>
      </x:c>
      <x:c r="U580" s="75" t="n">
        <x:v>0.011900253267038351</x:v>
      </x:c>
      <x:c r="V580" s="75" t="n">
        <x:v>0.03495109450408927</x:v>
      </x:c>
      <x:c r="W580" s="75" t="n">
        <x:v>0.017191239325687342</x:v>
      </x:c>
      <x:c r="X580" s="75" t="n">
        <x:v>0.028779414585815694</x:v>
      </x:c>
      <x:c r="Y580" s="75" t="n">
        <x:v>0.024097892025340496</x:v>
      </x:c>
      <x:c r="Z580" s="75" t="n">
        <x:v>0.00905771303741243</x:v>
      </x:c>
      <x:c r="AA580" s="75" t="n">
        <x:v>0.009303612537527983</x:v>
      </x:c>
      <x:c r="AB580" s="75" t="n">
        <x:v>0.0067995796277893926</x:v>
      </x:c>
      <x:c r="AC580" s="75" t="n">
        <x:v>0.03206071602205548</x:v>
      </x:c>
      <x:c r="AD580" s="75" t="n">
        <x:v>0.09438205412193201</x:v>
      </x:c>
      <x:c r="AE580" s="75" t="n">
        <x:v>0.07957325507231872</x:v>
      </x:c>
      <x:c r="AF580" s="74" t="n">
        <x:v>7</x:v>
      </x:c>
    </x:row>
    <x:row r="581">
      <x:c r="A581" t="str">
        <x:v>2026 S2</x:v>
      </x:c>
      <x:c r="B581" t="str">
        <x:v>CNCT0145</x:v>
      </x:c>
      <x:c r="C581" s="74" t="n">
        <x:v>1844</x:v>
      </x:c>
      <x:c r="D581" s="74" t="n">
        <x:v>1189.966</x:v>
      </x:c>
      <x:c r="E581" s="75" t="n">
        <x:v>0.983351306125638</x:v>
      </x:c>
      <x:c r="F581" s="75" t="n">
        <x:v>0.23806107329130463</x:v>
      </x:c>
      <x:c r="G581" s="75" t="n">
        <x:v>0.01521789554566203</x:v>
      </x:c>
      <x:c r="H581" s="75" t="n">
        <x:v>0.012799822012930236</x:v>
      </x:c>
      <x:c r="I581" s="75" t="n">
        <x:v>0.00985143109535602</x:v>
      </x:c>
      <x:c r="J581" s="75" t="n">
        <x:v>0.014864815920896945</x:v>
      </x:c>
      <x:c r="K581" s="75" t="n">
        <x:v>0.013562094661872833</x:v>
      </x:c>
      <x:c r="L581" s="75" t="n">
        <x:v>0.008761864242398587</x:v>
      </x:c>
      <x:c r="M581" s="75" t="n">
        <x:v>0.009001430113465176</x:v>
      </x:c>
      <x:c r="N581" s="75" t="n">
        <x:v>0.008384221826301655</x:v>
      </x:c>
      <x:c r="O581" s="75" t="n">
        <x:v>0.008008048892093937</x:v>
      </x:c>
      <x:c r="P581" s="75" t="n">
        <x:v>0.001956899426128075</x:v>
      </x:c>
      <x:c r="Q581" s="75" t="n">
        <x:v>0.0053498173381522065</x:v>
      </x:c>
      <x:c r="R581" s="75" t="n">
        <x:v>0.33993113631432464</x:v>
      </x:c>
      <x:c r="S581" s="75" t="n">
        <x:v>0.013842438699983178</x:v>
      </x:c>
      <x:c r="T581" s="75" t="n">
        <x:v>0.005899907709397667</x:v>
      </x:c>
      <x:c r="U581" s="75" t="n">
        <x:v>0.011900253267038351</x:v>
      </x:c>
      <x:c r="V581" s="75" t="n">
        <x:v>0.03495109450408927</x:v>
      </x:c>
      <x:c r="W581" s="75" t="n">
        <x:v>0.014809784090664413</x:v>
      </x:c>
      <x:c r="X581" s="75" t="n">
        <x:v>0.024792681213784893</x:v>
      </x:c>
      <x:c r="Y581" s="75" t="n">
        <x:v>0.02075967713404906</x:v>
      </x:c>
      <x:c r="Z581" s="75" t="n">
        <x:v>0.007802972892061168</x:v>
      </x:c>
      <x:c r="AA581" s="75" t="n">
        <x:v>0.008014808608830706</x:v>
      </x:c>
      <x:c r="AB581" s="75" t="n">
        <x:v>0.00585765251050712</x:v>
      </x:c>
      <x:c r="AC581" s="75" t="n">
        <x:v>0.027619432961373355</x:v>
      </x:c>
      <x:c r="AD581" s="75" t="n">
        <x:v>0.09438205412193201</x:v>
      </x:c>
      <x:c r="AE581" s="75" t="n">
        <x:v>0.07957325507231872</x:v>
      </x:c>
      <x:c r="AF581" s="74" t="n">
        <x:v>7</x:v>
      </x:c>
    </x:row>
    <x:row r="582">
      <x:c r="A582" t="str">
        <x:v>2025 S1</x:v>
      </x:c>
      <x:c r="B582" t="str">
        <x:v>CNCT0146</x:v>
      </x:c>
      <x:c r="C582" s="74" t="n">
        <x:v>1771</x:v>
      </x:c>
      <x:c r="D582" s="74" t="n">
        <x:v>1137.725</x:v>
      </x:c>
      <x:c r="E582" s="75" t="n">
        <x:v>0.9845891755596967</x:v>
      </x:c>
      <x:c r="F582" s="75" t="n">
        <x:v>0.17127037986041976</x:v>
      </x:c>
      <x:c r="G582" s="75" t="n">
        <x:v>0.00995038307798677</x:v>
      </x:c>
      <x:c r="H582" s="75" t="n">
        <x:v>0.007727868290501647</x:v>
      </x:c>
      <x:c r="I582" s="75" t="n">
        <x:v>0.006453478490919224</x:v>
      </x:c>
      <x:c r="J582" s="75" t="n">
        <x:v>0.01166177080932539</x:v>
      </x:c>
      <x:c r="K582" s="75" t="n">
        <x:v>0.010864225807409639</x:v>
      </x:c>
      <x:c r="L582" s="75" t="n">
        <x:v>0.01094871895586766</x:v>
      </x:c>
      <x:c r="M582" s="75" t="n">
        <x:v>0.009137154868647485</x:v>
      </x:c>
      <x:c r="N582" s="75" t="n">
        <x:v>0.006336689352494432</x:v>
      </x:c>
      <x:c r="O582" s="75" t="n">
        <x:v>0.014127764058299363</x:v>
      </x:c>
      <x:c r="P582" s="75" t="n">
        <x:v>0.0029436605993323614</x:v>
      </x:c>
      <x:c r="Q582" s="75" t="n">
        <x:v>0.005681432025143295</x:v>
      </x:c>
      <x:c r="R582" s="75" t="n">
        <x:v>0.3788338460590699</x:v>
      </x:c>
      <x:c r="S582" s="75" t="n">
        <x:v>0.012919269653168157</x:v>
      </x:c>
      <x:c r="T582" s="75" t="n">
        <x:v>0.004314031922171125</x:v>
      </x:c>
      <x:c r="U582" s="75" t="n">
        <x:v>0.00930115137613029</x:v>
      </x:c>
      <x:c r="V582" s="75" t="n">
        <x:v>0.029415838668755898</x:v>
      </x:c>
      <x:c r="W582" s="75" t="n">
        <x:v>0.014706218280023314</x:v>
      </x:c>
      <x:c r="X582" s="75" t="n">
        <x:v>0.025387020397959276</x:v>
      </x:c>
      <x:c r="Y582" s="75" t="n">
        <x:v>0.018568339093907274</x:v>
      </x:c>
      <x:c r="Z582" s="75" t="n">
        <x:v>0.007019171346147778</x:v>
      </x:c>
      <x:c r="AA582" s="75" t="n">
        <x:v>0.005267711662342772</x:v>
      </x:c>
      <x:c r="AB582" s="75" t="n">
        <x:v>0.006136593369695766</x:v>
      </x:c>
      <x:c r="AC582" s="75" t="n">
        <x:v>0.0219081182729431</x:v>
      </x:c>
      <x:c r="AD582" s="75" t="n">
        <x:v>0.10952134754337021</x:v>
      </x:c>
      <x:c r="AE582" s="75" t="n">
        <x:v>0.0747501860269258</x:v>
      </x:c>
      <x:c r="AF582" s="74" t="n">
        <x:v>8</x:v>
      </x:c>
    </x:row>
    <x:row r="583">
      <x:c r="A583" t="str">
        <x:v>2025 S2</x:v>
      </x:c>
      <x:c r="B583" t="str">
        <x:v>CNCT0146</x:v>
      </x:c>
      <x:c r="C583" s="74" t="n">
        <x:v>1947</x:v>
      </x:c>
      <x:c r="D583" s="74" t="n">
        <x:v>1151.378</x:v>
      </x:c>
      <x:c r="E583" s="75" t="n">
        <x:v>0.9761518165930756</x:v>
      </x:c>
      <x:c r="F583" s="75" t="n">
        <x:v>0.17127037986041976</x:v>
      </x:c>
      <x:c r="G583" s="75" t="n">
        <x:v>0.00995038307798677</x:v>
      </x:c>
      <x:c r="H583" s="75" t="n">
        <x:v>0.007727868290501647</x:v>
      </x:c>
      <x:c r="I583" s="75" t="n">
        <x:v>0.006453478490919224</x:v>
      </x:c>
      <x:c r="J583" s="75" t="n">
        <x:v>0.01166177080932539</x:v>
      </x:c>
      <x:c r="K583" s="75" t="n">
        <x:v>0.010864225807409639</x:v>
      </x:c>
      <x:c r="L583" s="75" t="n">
        <x:v>0.01094871895586766</x:v>
      </x:c>
      <x:c r="M583" s="75" t="n">
        <x:v>0.009137154868647485</x:v>
      </x:c>
      <x:c r="N583" s="75" t="n">
        <x:v>0.006336689352494432</x:v>
      </x:c>
      <x:c r="O583" s="75" t="n">
        <x:v>0.014127764058299363</x:v>
      </x:c>
      <x:c r="P583" s="75" t="n">
        <x:v>0.0029436605993323614</x:v>
      </x:c>
      <x:c r="Q583" s="75" t="n">
        <x:v>0.005681432025143295</x:v>
      </x:c>
      <x:c r="R583" s="75" t="n">
        <x:v>0.39990083176410274</x:v>
      </x:c>
      <x:c r="S583" s="75" t="n">
        <x:v>0.012919269653168157</x:v>
      </x:c>
      <x:c r="T583" s="75" t="n">
        <x:v>0.004314031922171125</x:v>
      </x:c>
      <x:c r="U583" s="75" t="n">
        <x:v>0.00930115137613029</x:v>
      </x:c>
      <x:c r="V583" s="75" t="n">
        <x:v>0.029415838668755898</x:v>
      </x:c>
      <x:c r="W583" s="75" t="n">
        <x:v>0.014706218280023314</x:v>
      </x:c>
      <x:c r="X583" s="75" t="n">
        <x:v>0.025387020397959276</x:v>
      </x:c>
      <x:c r="Y583" s="75" t="n">
        <x:v>0.018568339093907274</x:v>
      </x:c>
      <x:c r="Z583" s="75" t="n">
        <x:v>0.007019171346147778</x:v>
      </x:c>
      <x:c r="AA583" s="75" t="n">
        <x:v>0.005267711662342772</x:v>
      </x:c>
      <x:c r="AB583" s="75" t="n">
        <x:v>0.006136593369695766</x:v>
      </x:c>
      <x:c r="AC583" s="75" t="n">
        <x:v>0.0219081182729431</x:v>
      </x:c>
      <x:c r="AD583" s="75" t="n">
        <x:v>0.10952134754337021</x:v>
      </x:c>
      <x:c r="AE583" s="75" t="n">
        <x:v>0.0747501860269258</x:v>
      </x:c>
      <x:c r="AF583" s="74" t="n">
        <x:v>8</x:v>
      </x:c>
    </x:row>
    <x:row r="584">
      <x:c r="A584" t="str">
        <x:v>2026 S1</x:v>
      </x:c>
      <x:c r="B584" t="str">
        <x:v>CNCT0146</x:v>
      </x:c>
      <x:c r="C584" s="74" t="n">
        <x:v>1625</x:v>
      </x:c>
      <x:c r="D584" s="74" t="n">
        <x:v>1205.357</x:v>
      </x:c>
      <x:c r="E584" s="75" t="n">
        <x:v>0.980785594558727</x:v>
      </x:c>
      <x:c r="F584" s="75" t="n">
        <x:v>0.17551120218976574</x:v>
      </x:c>
      <x:c r="G584" s="75" t="n">
        <x:v>0.011377607206450192</x:v>
      </x:c>
      <x:c r="H584" s="75" t="n">
        <x:v>0.007727868290501647</x:v>
      </x:c>
      <x:c r="I584" s="75" t="n">
        <x:v>0.006453478490919224</x:v>
      </x:c>
      <x:c r="J584" s="75" t="n">
        <x:v>0.01166177080932539</x:v>
      </x:c>
      <x:c r="K584" s="75" t="n">
        <x:v>0.010864225807409639</x:v>
      </x:c>
      <x:c r="L584" s="75" t="n">
        <x:v>0.01094871895586766</x:v>
      </x:c>
      <x:c r="M584" s="75" t="n">
        <x:v>0.009137154868647485</x:v>
      </x:c>
      <x:c r="N584" s="75" t="n">
        <x:v>0.006336689352494432</x:v>
      </x:c>
      <x:c r="O584" s="75" t="n">
        <x:v>0.015759816427802435</x:v>
      </x:c>
      <x:c r="P584" s="75" t="n">
        <x:v>0.0029436605993323614</x:v>
      </x:c>
      <x:c r="Q584" s="75" t="n">
        <x:v>0.005681432025143295</x:v>
      </x:c>
      <x:c r="R584" s="75" t="n">
        <x:v>0.3779219951028024</x:v>
      </x:c>
      <x:c r="S584" s="75" t="n">
        <x:v>0.012919269653168157</x:v>
      </x:c>
      <x:c r="T584" s="75" t="n">
        <x:v>0.004314031922171125</x:v>
      </x:c>
      <x:c r="U584" s="75" t="n">
        <x:v>0.00930115137613029</x:v>
      </x:c>
      <x:c r="V584" s="75" t="n">
        <x:v>0.029415838668755898</x:v>
      </x:c>
      <x:c r="W584" s="75" t="n">
        <x:v>0.018095281029672113</x:v>
      </x:c>
      <x:c r="X584" s="75" t="n">
        <x:v>0.031237484706120054</x:v>
      </x:c>
      <x:c r="Y584" s="75" t="n">
        <x:v>0.022847431457951043</x:v>
      </x:c>
      <x:c r="Z584" s="75" t="n">
        <x:v>0.008636746421512017</x:v>
      </x:c>
      <x:c r="AA584" s="75" t="n">
        <x:v>0.006481661097255426</x:v>
      </x:c>
      <x:c r="AB584" s="75" t="n">
        <x:v>0.007550777465360144</x:v>
      </x:c>
      <x:c r="AC584" s="75" t="n">
        <x:v>0.026956866097840333</x:v>
      </x:c>
      <x:c r="AD584" s="75" t="n">
        <x:v>0.10952134754337021</x:v>
      </x:c>
      <x:c r="AE584" s="75" t="n">
        <x:v>0.0747501860269258</x:v>
      </x:c>
      <x:c r="AF584" s="74" t="n">
        <x:v>8</x:v>
      </x:c>
    </x:row>
    <x:row r="585">
      <x:c r="A585" t="str">
        <x:v>2026 S2</x:v>
      </x:c>
      <x:c r="B585" t="str">
        <x:v>CNCT0146</x:v>
      </x:c>
      <x:c r="C585" s="74" t="n">
        <x:v>1931</x:v>
      </x:c>
      <x:c r="D585" s="74" t="n">
        <x:v>1175.761</x:v>
      </x:c>
      <x:c r="E585" s="75" t="n">
        <x:v>0.9761518165930756</x:v>
      </x:c>
      <x:c r="F585" s="75" t="n">
        <x:v>0.1651600437205161</x:v>
      </x:c>
      <x:c r="G585" s="75" t="n">
        <x:v>0.009026881844427407</x:v>
      </x:c>
      <x:c r="H585" s="75" t="n">
        <x:v>0.007727868290501647</x:v>
      </x:c>
      <x:c r="I585" s="75" t="n">
        <x:v>0.006453478490919224</x:v>
      </x:c>
      <x:c r="J585" s="75" t="n">
        <x:v>0.01166177080932539</x:v>
      </x:c>
      <x:c r="K585" s="75" t="n">
        <x:v>0.010864225807409639</x:v>
      </x:c>
      <x:c r="L585" s="75" t="n">
        <x:v>0.01094871895586766</x:v>
      </x:c>
      <x:c r="M585" s="75" t="n">
        <x:v>0.009137154868647485</x:v>
      </x:c>
      <x:c r="N585" s="75" t="n">
        <x:v>0.006336689352494432</x:v>
      </x:c>
      <x:c r="O585" s="75" t="n">
        <x:v>0.014127764058299363</x:v>
      </x:c>
      <x:c r="P585" s="75" t="n">
        <x:v>0.0029436605993323614</x:v>
      </x:c>
      <x:c r="Q585" s="75" t="n">
        <x:v>0.005681432025143295</x:v>
      </x:c>
      <x:c r="R585" s="75" t="n">
        <x:v>0.3982429974561767</x:v>
      </x:c>
      <x:c r="S585" s="75" t="n">
        <x:v>0.012919269653168157</x:v>
      </x:c>
      <x:c r="T585" s="75" t="n">
        <x:v>0.004314031922171125</x:v>
      </x:c>
      <x:c r="U585" s="75" t="n">
        <x:v>0.00930115137613029</x:v>
      </x:c>
      <x:c r="V585" s="75" t="n">
        <x:v>0.029415838668755898</x:v>
      </x:c>
      <x:c r="W585" s="75" t="n">
        <x:v>0.015588591376824713</x:v>
      </x:c>
      <x:c r="X585" s="75" t="n">
        <x:v>0.026910241621836833</x:v>
      </x:c>
      <x:c r="Y585" s="75" t="n">
        <x:v>0.01968243943954171</x:v>
      </x:c>
      <x:c r="Z585" s="75" t="n">
        <x:v>0.007440321626916645</x:v>
      </x:c>
      <x:c r="AA585" s="75" t="n">
        <x:v>0.005583774362083339</x:v>
      </x:c>
      <x:c r="AB585" s="75" t="n">
        <x:v>0.0065047889718775126</x:v>
      </x:c>
      <x:c r="AC585" s="75" t="n">
        <x:v>0.023222605369319686</x:v>
      </x:c>
      <x:c r="AD585" s="75" t="n">
        <x:v>0.10952134754337021</x:v>
      </x:c>
      <x:c r="AE585" s="75" t="n">
        <x:v>0.0747501860269258</x:v>
      </x:c>
      <x:c r="AF585" s="74" t="n">
        <x:v>8</x:v>
      </x:c>
    </x:row>
    <x:row r="586">
      <x:c r="A586" t="str">
        <x:v>2025 S1</x:v>
      </x:c>
      <x:c r="B586" t="str">
        <x:v>CNCT0147</x:v>
      </x:c>
      <x:c r="C586" s="74" t="n">
        <x:v>2261</x:v>
      </x:c>
      <x:c r="D586" s="74" t="n">
        <x:v>1279.89</x:v>
      </x:c>
      <x:c r="E586" s="75" t="n">
        <x:v>0.96346032094353</x:v>
      </x:c>
      <x:c r="F586" s="75" t="n">
        <x:v>0.1630924670160748</x:v>
      </x:c>
      <x:c r="G586" s="75" t="n">
        <x:v>0.018199114095477854</x:v>
      </x:c>
      <x:c r="H586" s="75" t="n">
        <x:v>0.007113715108978795</x:v>
      </x:c>
      <x:c r="I586" s="75" t="n">
        <x:v>0.009484067603814764</x:v>
      </x:c>
      <x:c r="J586" s="75" t="n">
        <x:v>0.01522695962782018</x:v>
      </x:c>
      <x:c r="K586" s="75" t="n">
        <x:v>0.01247406057963235</x:v>
      </x:c>
      <x:c r="L586" s="75" t="n">
        <x:v>0.008499816926108905</x:v>
      </x:c>
      <x:c r="M586" s="75" t="n">
        <x:v>0.008755625539281936</x:v>
      </x:c>
      <x:c r="N586" s="75" t="n">
        <x:v>0.008516420412342995</x:v>
      </x:c>
      <x:c r="O586" s="75" t="n">
        <x:v>0.011191200071640196</x:v>
      </x:c>
      <x:c r="P586" s="75" t="n">
        <x:v>0.0001938362041400978</x:v>
      </x:c>
      <x:c r="Q586" s="75" t="n">
        <x:v>0.0010990391009981977</x:v>
      </x:c>
      <x:c r="R586" s="75" t="n">
        <x:v>0.36749875093247625</x:v>
      </x:c>
      <x:c r="S586" s="75" t="n">
        <x:v>0.014692536007176387</x:v>
      </x:c>
      <x:c r="T586" s="75" t="n">
        <x:v>0.003194160715473117</x:v>
      </x:c>
      <x:c r="U586" s="75" t="n">
        <x:v>0.005469233761425129</x:v>
      </x:c>
      <x:c r="V586" s="75" t="n">
        <x:v>0.03966620925342432</x:v>
      </x:c>
      <x:c r="W586" s="75" t="n">
        <x:v>0.012811243627243675</x:v>
      </x:c>
      <x:c r="X586" s="75" t="n">
        <x:v>0.026010122135324054</x:v>
      </x:c>
      <x:c r="Y586" s="75" t="n">
        <x:v>0.013483317902397832</x:v>
      </x:c>
      <x:c r="Z586" s="75" t="n">
        <x:v>0.007857769606105285</x:v>
      </x:c>
      <x:c r="AA586" s="75" t="n">
        <x:v>0.0072487756144884044</x:v>
      </x:c>
      <x:c r="AB586" s="75" t="n">
        <x:v>0.003822171181958402</x:v>
      </x:c>
      <x:c r="AC586" s="75" t="n">
        <x:v>0.016995951014720775</x:v>
      </x:c>
      <x:c r="AD586" s="75" t="n">
        <x:v>0.11264173124331228</x:v>
      </x:c>
      <x:c r="AE586" s="75" t="n">
        <x:v>0.0901188065815295</x:v>
      </x:c>
      <x:c r="AF586" s="74" t="n">
        <x:v>13</x:v>
      </x:c>
    </x:row>
    <x:row r="587">
      <x:c r="A587" t="str">
        <x:v>2025 S2</x:v>
      </x:c>
      <x:c r="B587" t="str">
        <x:v>CNCT0147</x:v>
      </x:c>
      <x:c r="C587" s="74" t="n">
        <x:v>2444</x:v>
      </x:c>
      <x:c r="D587" s="74" t="n">
        <x:v>1295.249</x:v>
      </x:c>
      <x:c r="E587" s="75" t="n">
        <x:v>0.9776294403948123</x:v>
      </x:c>
      <x:c r="F587" s="75" t="n">
        <x:v>0.1630924670160748</x:v>
      </x:c>
      <x:c r="G587" s="75" t="n">
        <x:v>0.018199114095477854</x:v>
      </x:c>
      <x:c r="H587" s="75" t="n">
        <x:v>0.007113715108978795</x:v>
      </x:c>
      <x:c r="I587" s="75" t="n">
        <x:v>0.009484067603814764</x:v>
      </x:c>
      <x:c r="J587" s="75" t="n">
        <x:v>0.01522695962782018</x:v>
      </x:c>
      <x:c r="K587" s="75" t="n">
        <x:v>0.01247406057963235</x:v>
      </x:c>
      <x:c r="L587" s="75" t="n">
        <x:v>0.008499816926108905</x:v>
      </x:c>
      <x:c r="M587" s="75" t="n">
        <x:v>0.008755625539281936</x:v>
      </x:c>
      <x:c r="N587" s="75" t="n">
        <x:v>0.008516420412342995</x:v>
      </x:c>
      <x:c r="O587" s="75" t="n">
        <x:v>0.011191200071640196</x:v>
      </x:c>
      <x:c r="P587" s="75" t="n">
        <x:v>0.0001938362041400978</x:v>
      </x:c>
      <x:c r="Q587" s="75" t="n">
        <x:v>0.0010990391009981977</x:v>
      </x:c>
      <x:c r="R587" s="75" t="n">
        <x:v>0.3653271242339874</x:v>
      </x:c>
      <x:c r="S587" s="75" t="n">
        <x:v>0.014692536007176387</x:v>
      </x:c>
      <x:c r="T587" s="75" t="n">
        <x:v>0.003194160715473117</x:v>
      </x:c>
      <x:c r="U587" s="75" t="n">
        <x:v>0.005469233761425129</x:v>
      </x:c>
      <x:c r="V587" s="75" t="n">
        <x:v>0.03966620925342432</x:v>
      </x:c>
      <x:c r="W587" s="75" t="n">
        <x:v>0.012811243627243675</x:v>
      </x:c>
      <x:c r="X587" s="75" t="n">
        <x:v>0.026010122135324054</x:v>
      </x:c>
      <x:c r="Y587" s="75" t="n">
        <x:v>0.013483317902397832</x:v>
      </x:c>
      <x:c r="Z587" s="75" t="n">
        <x:v>0.007857769606105285</x:v>
      </x:c>
      <x:c r="AA587" s="75" t="n">
        <x:v>0.0072487756144884044</x:v>
      </x:c>
      <x:c r="AB587" s="75" t="n">
        <x:v>0.003822171181958402</x:v>
      </x:c>
      <x:c r="AC587" s="75" t="n">
        <x:v>0.016995951014720775</x:v>
      </x:c>
      <x:c r="AD587" s="75" t="n">
        <x:v>0.11264173124331228</x:v>
      </x:c>
      <x:c r="AE587" s="75" t="n">
        <x:v>0.0901188065815295</x:v>
      </x:c>
      <x:c r="AF587" s="74" t="n">
        <x:v>13</x:v>
      </x:c>
    </x:row>
    <x:row r="588">
      <x:c r="A588" t="str">
        <x:v>2026 S1</x:v>
      </x:c>
      <x:c r="B588" t="str">
        <x:v>CNCT0147</x:v>
      </x:c>
      <x:c r="C588" s="74" t="n">
        <x:v>2167</x:v>
      </x:c>
      <x:c r="D588" s="74" t="n">
        <x:v>1353.915</x:v>
      </x:c>
      <x:c r="E588" s="75" t="n">
        <x:v>0.9673986840169818</x:v>
      </x:c>
      <x:c r="F588" s="75" t="n">
        <x:v>0.15973700030441979</x:v>
      </x:c>
      <x:c r="G588" s="75" t="n">
        <x:v>0.01941098393239372</x:v>
      </x:c>
      <x:c r="H588" s="75" t="n">
        <x:v>0.007113715108978795</x:v>
      </x:c>
      <x:c r="I588" s="75" t="n">
        <x:v>0.009484067603814764</x:v>
      </x:c>
      <x:c r="J588" s="75" t="n">
        <x:v>0.01522695962782018</x:v>
      </x:c>
      <x:c r="K588" s="75" t="n">
        <x:v>0.01247406057963235</x:v>
      </x:c>
      <x:c r="L588" s="75" t="n">
        <x:v>0.008499816926108905</x:v>
      </x:c>
      <x:c r="M588" s="75" t="n">
        <x:v>0.008755625539281936</x:v>
      </x:c>
      <x:c r="N588" s="75" t="n">
        <x:v>0.008516420412342995</x:v>
      </x:c>
      <x:c r="O588" s="75" t="n">
        <x:v>0.01279191612053546</x:v>
      </x:c>
      <x:c r="P588" s="75" t="n">
        <x:v>0.0001938362041400978</x:v>
      </x:c>
      <x:c r="Q588" s="75" t="n">
        <x:v>0.0010990391009981977</x:v>
      </x:c>
      <x:c r="R588" s="75" t="n">
        <x:v>0.3641316154965002</x:v>
      </x:c>
      <x:c r="S588" s="75" t="n">
        <x:v>0.014692536007176387</x:v>
      </x:c>
      <x:c r="T588" s="75" t="n">
        <x:v>0.003194160715473117</x:v>
      </x:c>
      <x:c r="U588" s="75" t="n">
        <x:v>0.005469233761425129</x:v>
      </x:c>
      <x:c r="V588" s="75" t="n">
        <x:v>0.03966620925342432</x:v>
      </x:c>
      <x:c r="W588" s="75" t="n">
        <x:v>0.015763607567927565</x:v>
      </x:c>
      <x:c r="X588" s="75" t="n">
        <x:v>0.03200418086369094</x:v>
      </x:c>
      <x:c r="Y588" s="75" t="n">
        <x:v>0.016590562033729793</x:v>
      </x:c>
      <x:c r="Z588" s="75" t="n">
        <x:v>0.009668600491401495</x:v>
      </x:c>
      <x:c r="AA588" s="75" t="n">
        <x:v>0.008919263223732994</x:v>
      </x:c>
      <x:c r="AB588" s="75" t="n">
        <x:v>0.004702994363615665</x:v>
      </x:c>
      <x:c r="AC588" s="75" t="n">
        <x:v>0.020912684969165696</x:v>
      </x:c>
      <x:c r="AD588" s="75" t="n">
        <x:v>0.11264173124331228</x:v>
      </x:c>
      <x:c r="AE588" s="75" t="n">
        <x:v>0.0901188065815295</x:v>
      </x:c>
      <x:c r="AF588" s="74" t="n">
        <x:v>13</x:v>
      </x:c>
    </x:row>
    <x:row r="589">
      <x:c r="A589" t="str">
        <x:v>2026 S2</x:v>
      </x:c>
      <x:c r="B589" t="str">
        <x:v>CNCT0147</x:v>
      </x:c>
      <x:c r="C589" s="74" t="n">
        <x:v>2393</x:v>
      </x:c>
      <x:c r="D589" s="74" t="n">
        <x:v>1344.718</x:v>
      </x:c>
      <x:c r="E589" s="75" t="n">
        <x:v>0.9776294403948123</x:v>
      </x:c>
      <x:c r="F589" s="75" t="n">
        <x:v>0.15977475516695994</x:v>
      </x:c>
      <x:c r="G589" s="75" t="n">
        <x:v>0.01741662030207226</x:v>
      </x:c>
      <x:c r="H589" s="75" t="n">
        <x:v>0.007113715108978795</x:v>
      </x:c>
      <x:c r="I589" s="75" t="n">
        <x:v>0.009484067603814764</x:v>
      </x:c>
      <x:c r="J589" s="75" t="n">
        <x:v>0.01522695962782018</x:v>
      </x:c>
      <x:c r="K589" s="75" t="n">
        <x:v>0.01247406057963235</x:v>
      </x:c>
      <x:c r="L589" s="75" t="n">
        <x:v>0.008499816926108905</x:v>
      </x:c>
      <x:c r="M589" s="75" t="n">
        <x:v>0.008755625539281936</x:v>
      </x:c>
      <x:c r="N589" s="75" t="n">
        <x:v>0.008516420412342995</x:v>
      </x:c>
      <x:c r="O589" s="75" t="n">
        <x:v>0.011191200071640196</x:v>
      </x:c>
      <x:c r="P589" s="75" t="n">
        <x:v>0.0001938362041400978</x:v>
      </x:c>
      <x:c r="Q589" s="75" t="n">
        <x:v>0.0010990391009981977</x:v>
      </x:c>
      <x:c r="R589" s="75" t="n">
        <x:v>0.367972035995395</x:v>
      </x:c>
      <x:c r="S589" s="75" t="n">
        <x:v>0.014692536007176387</x:v>
      </x:c>
      <x:c r="T589" s="75" t="n">
        <x:v>0.003194160715473117</x:v>
      </x:c>
      <x:c r="U589" s="75" t="n">
        <x:v>0.005469233761425129</x:v>
      </x:c>
      <x:c r="V589" s="75" t="n">
        <x:v>0.03966620925342432</x:v>
      </x:c>
      <x:c r="W589" s="75" t="n">
        <x:v>0.013579918244878296</x:v>
      </x:c>
      <x:c r="X589" s="75" t="n">
        <x:v>0.027570729463443498</x:v>
      </x:c>
      <x:c r="Y589" s="75" t="n">
        <x:v>0.014292316976541703</x:v>
      </x:c>
      <x:c r="Z589" s="75" t="n">
        <x:v>0.008329235782471602</x:v>
      </x:c>
      <x:c r="AA589" s="75" t="n">
        <x:v>0.007683702151357709</x:v>
      </x:c>
      <x:c r="AB589" s="75" t="n">
        <x:v>0.004051501452875906</x:v>
      </x:c>
      <x:c r="AC589" s="75" t="n">
        <x:v>0.01801570807560402</x:v>
      </x:c>
      <x:c r="AD589" s="75" t="n">
        <x:v>0.11264173124331228</x:v>
      </x:c>
      <x:c r="AE589" s="75" t="n">
        <x:v>0.0901188065815295</x:v>
      </x:c>
      <x:c r="AF589" s="74" t="n">
        <x:v>13</x:v>
      </x:c>
    </x:row>
    <x:row r="590">
      <x:c r="A590" t="str">
        <x:v>2025 S1</x:v>
      </x:c>
      <x:c r="B590" t="str">
        <x:v>CNCT0148</x:v>
      </x:c>
      <x:c r="C590" s="74" t="n">
        <x:v>1214</x:v>
      </x:c>
      <x:c r="D590" s="74" t="n">
        <x:v>1133.602</x:v>
      </x:c>
      <x:c r="E590" s="75" t="n">
        <x:v>0.962812568102454</x:v>
      </x:c>
      <x:c r="F590" s="75" t="n">
        <x:v>0.19127429323527032</x:v>
      </x:c>
      <x:c r="G590" s="75" t="n">
        <x:v>0.010132524943677708</x:v>
      </x:c>
      <x:c r="H590" s="75" t="n">
        <x:v>0.008752882917993702</x:v>
      </x:c>
      <x:c r="I590" s="75" t="n">
        <x:v>0.008589368154469411</x:v>
      </x:c>
      <x:c r="J590" s="75" t="n">
        <x:v>0.013296086489863228</x:v>
      </x:c>
      <x:c r="K590" s="75" t="n">
        <x:v>0.009261726289449143</x:v>
      </x:c>
      <x:c r="L590" s="75" t="n">
        <x:v>0.008316061494530003</x:v>
      </x:c>
      <x:c r="M590" s="75" t="n">
        <x:v>0.008149899680563977</x:v>
      </x:c>
      <x:c r="N590" s="75" t="n">
        <x:v>0.007598761840695261</x:v>
      </x:c>
      <x:c r="O590" s="75" t="n">
        <x:v>0.01473636321597587</x:v>
      </x:c>
      <x:c r="P590" s="75" t="n">
        <x:v>0.002326702342099452</x:v>
      </x:c>
      <x:c r="Q590" s="75" t="n">
        <x:v>0.0019013686053222048</x:v>
      </x:c>
      <x:c r="R590" s="75" t="n">
        <x:v>0.37518810231348915</x:v>
      </x:c>
      <x:c r="S590" s="75" t="n">
        <x:v>0.013244522162422072</x:v>
      </x:c>
      <x:c r="T590" s="75" t="n">
        <x:v>0.004687119554437231</x:v>
      </x:c>
      <x:c r="U590" s="75" t="n">
        <x:v>0.005612462148361373</x:v>
      </x:c>
      <x:c r="V590" s="75" t="n">
        <x:v>0.030122096655366477</x:v>
      </x:c>
      <x:c r="W590" s="75" t="n">
        <x:v>0.013331366446285391</x:v>
      </x:c>
      <x:c r="X590" s="75" t="n">
        <x:v>0.02483355650363839</x:v>
      </x:c>
      <x:c r="Y590" s="75" t="n">
        <x:v>0.017648091719863007</x:v>
      </x:c>
      <x:c r="Z590" s="75" t="n">
        <x:v>0.005414207003684715</x:v>
      </x:c>
      <x:c r="AA590" s="75" t="n">
        <x:v>0.006255524784273003</x:v>
      </x:c>
      <x:c r="AB590" s="75" t="n">
        <x:v>0.006402006860263646</x:v>
      </x:c>
      <x:c r="AC590" s="75" t="n">
        <x:v>0.01824253041638876</x:v>
      </x:c>
      <x:c r="AD590" s="75" t="n">
        <x:v>0.11320778108223749</x:v>
      </x:c>
      <x:c r="AE590" s="75" t="n">
        <x:v>0.0647592703790433</x:v>
      </x:c>
      <x:c r="AF590" s="74" t="n">
        <x:v>5</x:v>
      </x:c>
    </x:row>
    <x:row r="591">
      <x:c r="A591" t="str">
        <x:v>2025 S2</x:v>
      </x:c>
      <x:c r="B591" t="str">
        <x:v>CNCT0148</x:v>
      </x:c>
      <x:c r="C591" s="74" t="n">
        <x:v>1315</x:v>
      </x:c>
      <x:c r="D591" s="74" t="n">
        <x:v>1147.205</x:v>
      </x:c>
      <x:c r="E591" s="75" t="n">
        <x:v>0.9783885723995627</x:v>
      </x:c>
      <x:c r="F591" s="75" t="n">
        <x:v>0.19127429323527032</x:v>
      </x:c>
      <x:c r="G591" s="75" t="n">
        <x:v>0.010132524943677708</x:v>
      </x:c>
      <x:c r="H591" s="75" t="n">
        <x:v>0.008752882917993702</x:v>
      </x:c>
      <x:c r="I591" s="75" t="n">
        <x:v>0.008589368154469411</x:v>
      </x:c>
      <x:c r="J591" s="75" t="n">
        <x:v>0.013296086489863228</x:v>
      </x:c>
      <x:c r="K591" s="75" t="n">
        <x:v>0.009261726289449143</x:v>
      </x:c>
      <x:c r="L591" s="75" t="n">
        <x:v>0.008316061494530003</x:v>
      </x:c>
      <x:c r="M591" s="75" t="n">
        <x:v>0.008149899680563977</x:v>
      </x:c>
      <x:c r="N591" s="75" t="n">
        <x:v>0.007598761840695261</x:v>
      </x:c>
      <x:c r="O591" s="75" t="n">
        <x:v>0.01473636321597587</x:v>
      </x:c>
      <x:c r="P591" s="75" t="n">
        <x:v>0.002326702342099452</x:v>
      </x:c>
      <x:c r="Q591" s="75" t="n">
        <x:v>0.0019013686053222048</x:v>
      </x:c>
      <x:c r="R591" s="75" t="n">
        <x:v>0.36569657875655653</x:v>
      </x:c>
      <x:c r="S591" s="75" t="n">
        <x:v>0.013244522162422072</x:v>
      </x:c>
      <x:c r="T591" s="75" t="n">
        <x:v>0.004687119554437231</x:v>
      </x:c>
      <x:c r="U591" s="75" t="n">
        <x:v>0.005612462148361373</x:v>
      </x:c>
      <x:c r="V591" s="75" t="n">
        <x:v>0.030122096655366477</x:v>
      </x:c>
      <x:c r="W591" s="75" t="n">
        <x:v>0.013331366446285391</x:v>
      </x:c>
      <x:c r="X591" s="75" t="n">
        <x:v>0.02483355650363839</x:v>
      </x:c>
      <x:c r="Y591" s="75" t="n">
        <x:v>0.017648091719863007</x:v>
      </x:c>
      <x:c r="Z591" s="75" t="n">
        <x:v>0.005414207003684715</x:v>
      </x:c>
      <x:c r="AA591" s="75" t="n">
        <x:v>0.006255524784273003</x:v>
      </x:c>
      <x:c r="AB591" s="75" t="n">
        <x:v>0.006402006860263646</x:v>
      </x:c>
      <x:c r="AC591" s="75" t="n">
        <x:v>0.01824253041638876</x:v>
      </x:c>
      <x:c r="AD591" s="75" t="n">
        <x:v>0.11320778108223749</x:v>
      </x:c>
      <x:c r="AE591" s="75" t="n">
        <x:v>0.0647592703790433</x:v>
      </x:c>
      <x:c r="AF591" s="74" t="n">
        <x:v>5</x:v>
      </x:c>
    </x:row>
    <x:row r="592">
      <x:c r="A592" t="str">
        <x:v>2026 S1</x:v>
      </x:c>
      <x:c r="B592" t="str">
        <x:v>CNCT0148</x:v>
      </x:c>
      <x:c r="C592" s="74" t="n">
        <x:v>1216</x:v>
      </x:c>
      <x:c r="D592" s="74" t="n">
        <x:v>1188.745</x:v>
      </x:c>
      <x:c r="E592" s="75" t="n">
        <x:v>0.9659414082449075</x:v>
      </x:c>
      <x:c r="F592" s="75" t="n">
        <x:v>0.18959996971741203</x:v>
      </x:c>
      <x:c r="G592" s="75" t="n">
        <x:v>0.008289996969491766</x:v>
      </x:c>
      <x:c r="H592" s="75" t="n">
        <x:v>0.008752882917993702</x:v>
      </x:c>
      <x:c r="I592" s="75" t="n">
        <x:v>0.008589368154469411</x:v>
      </x:c>
      <x:c r="J592" s="75" t="n">
        <x:v>0.013296086489863228</x:v>
      </x:c>
      <x:c r="K592" s="75" t="n">
        <x:v>0.009261726289449143</x:v>
      </x:c>
      <x:c r="L592" s="75" t="n">
        <x:v>0.008316061494530003</x:v>
      </x:c>
      <x:c r="M592" s="75" t="n">
        <x:v>0.008149899680563977</x:v>
      </x:c>
      <x:c r="N592" s="75" t="n">
        <x:v>0.007598761840695261</x:v>
      </x:c>
      <x:c r="O592" s="75" t="n">
        <x:v>0.014289084324640497</x:v>
      </x:c>
      <x:c r="P592" s="75" t="n">
        <x:v>0.002326702342099452</x:v>
      </x:c>
      <x:c r="Q592" s="75" t="n">
        <x:v>0.0019013686053222048</x:v>
      </x:c>
      <x:c r="R592" s="75" t="n">
        <x:v>0.37971266095725786</x:v>
      </x:c>
      <x:c r="S592" s="75" t="n">
        <x:v>0.013244522162422072</x:v>
      </x:c>
      <x:c r="T592" s="75" t="n">
        <x:v>0.004687119554437231</x:v>
      </x:c>
      <x:c r="U592" s="75" t="n">
        <x:v>0.005612462148361373</x:v>
      </x:c>
      <x:c r="V592" s="75" t="n">
        <x:v>0.030122096655366477</x:v>
      </x:c>
      <x:c r="W592" s="75" t="n">
        <x:v>0.01640359321218323</x:v>
      </x:c>
      <x:c r="X592" s="75" t="n">
        <x:v>0.030556474502353565</x:v>
      </x:c>
      <x:c r="Y592" s="75" t="n">
        <x:v>0.02171511215375788</x:v>
      </x:c>
      <x:c r="Z592" s="75" t="n">
        <x:v>0.006661916436911379</x:v>
      </x:c>
      <x:c r="AA592" s="75" t="n">
        <x:v>0.007697116743688068</x:v>
      </x:c>
      <x:c r="AB592" s="75" t="n">
        <x:v>0.007877355760979214</x:v>
      </x:c>
      <x:c r="AC592" s="75" t="n">
        <x:v>0.022446539843985827</x:v>
      </x:c>
      <x:c r="AD592" s="75" t="n">
        <x:v>0.11320778108223749</x:v>
      </x:c>
      <x:c r="AE592" s="75" t="n">
        <x:v>0.0647592703790433</x:v>
      </x:c>
      <x:c r="AF592" s="74" t="n">
        <x:v>5</x:v>
      </x:c>
    </x:row>
    <x:row r="593">
      <x:c r="A593" t="str">
        <x:v>2026 S2</x:v>
      </x:c>
      <x:c r="B593" t="str">
        <x:v>CNCT0148</x:v>
      </x:c>
      <x:c r="C593" s="74" t="n">
        <x:v>1351</x:v>
      </x:c>
      <x:c r="D593" s="74" t="n">
        <x:v>1174.412</x:v>
      </x:c>
      <x:c r="E593" s="75" t="n">
        <x:v>0.9783885723995627</x:v>
      </x:c>
      <x:c r="F593" s="75" t="n">
        <x:v>0.19332670043823602</x:v>
      </x:c>
      <x:c r="G593" s="75" t="n">
        <x:v>0.010144317267753649</x:v>
      </x:c>
      <x:c r="H593" s="75" t="n">
        <x:v>0.008752882917993702</x:v>
      </x:c>
      <x:c r="I593" s="75" t="n">
        <x:v>0.008589368154469411</x:v>
      </x:c>
      <x:c r="J593" s="75" t="n">
        <x:v>0.013296086489863228</x:v>
      </x:c>
      <x:c r="K593" s="75" t="n">
        <x:v>0.009261726289449143</x:v>
      </x:c>
      <x:c r="L593" s="75" t="n">
        <x:v>0.008316061494530003</x:v>
      </x:c>
      <x:c r="M593" s="75" t="n">
        <x:v>0.008149899680563977</x:v>
      </x:c>
      <x:c r="N593" s="75" t="n">
        <x:v>0.007598761840695261</x:v>
      </x:c>
      <x:c r="O593" s="75" t="n">
        <x:v>0.01473636321597587</x:v>
      </x:c>
      <x:c r="P593" s="75" t="n">
        <x:v>0.002326702342099452</x:v>
      </x:c>
      <x:c r="Q593" s="75" t="n">
        <x:v>0.0019013686053222048</x:v>
      </x:c>
      <x:c r="R593" s="75" t="n">
        <x:v>0.35684801038410674</x:v>
      </x:c>
      <x:c r="S593" s="75" t="n">
        <x:v>0.013244522162422072</x:v>
      </x:c>
      <x:c r="T593" s="75" t="n">
        <x:v>0.004687119554437231</x:v>
      </x:c>
      <x:c r="U593" s="75" t="n">
        <x:v>0.005612462148361373</x:v>
      </x:c>
      <x:c r="V593" s="75" t="n">
        <x:v>0.030122096655366477</x:v>
      </x:c>
      <x:c r="W593" s="75" t="n">
        <x:v>0.014131248433062515</x:v>
      </x:c>
      <x:c r="X593" s="75" t="n">
        <x:v>0.026323569893856695</x:v>
      </x:c>
      <x:c r="Y593" s="75" t="n">
        <x:v>0.01870697722305479</x:v>
      </x:c>
      <x:c r="Z593" s="75" t="n">
        <x:v>0.005739059423905798</x:v>
      </x:c>
      <x:c r="AA593" s="75" t="n">
        <x:v>0.0066308562713293835</x:v>
      </x:c>
      <x:c r="AB593" s="75" t="n">
        <x:v>0.006786127271879465</x:v>
      </x:c>
      <x:c r="AC593" s="75" t="n">
        <x:v>0.019337082241372087</x:v>
      </x:c>
      <x:c r="AD593" s="75" t="n">
        <x:v>0.11320778108223749</x:v>
      </x:c>
      <x:c r="AE593" s="75" t="n">
        <x:v>0.0647592703790433</x:v>
      </x:c>
      <x:c r="AF593" s="74" t="n">
        <x:v>5</x:v>
      </x:c>
    </x:row>
    <x:row r="594">
      <x:c r="A594" t="str">
        <x:v>2025 S1</x:v>
      </x:c>
      <x:c r="B594" t="str">
        <x:v>CNCT0149</x:v>
      </x:c>
      <x:c r="C594" s="74" t="n">
        <x:v>1486</x:v>
      </x:c>
      <x:c r="D594" s="74" t="n">
        <x:v>1090.301</x:v>
      </x:c>
      <x:c r="E594" s="75" t="n">
        <x:v>0.9763383954409073</x:v>
      </x:c>
      <x:c r="F594" s="75" t="n">
        <x:v>0.16901399660890457</x:v>
      </x:c>
      <x:c r="G594" s="75" t="n">
        <x:v>0.009804313929504132</x:v>
      </x:c>
      <x:c r="H594" s="75" t="n">
        <x:v>0.012368325244606241</x:v>
      </x:c>
      <x:c r="I594" s="75" t="n">
        <x:v>0.006298259496368701</x:v>
      </x:c>
      <x:c r="J594" s="75" t="n">
        <x:v>0.011886399220617024</x:v>
      </x:c>
      <x:c r="K594" s="75" t="n">
        <x:v>0.010722643116198013</x:v>
      </x:c>
      <x:c r="L594" s="75" t="n">
        <x:v>0.009342599509982391</x:v>
      </x:c>
      <x:c r="M594" s="75" t="n">
        <x:v>0.009944457443423744</x:v>
      </x:c>
      <x:c r="N594" s="75" t="n">
        <x:v>0.0060021062589949</x:v>
      </x:c>
      <x:c r="O594" s="75" t="n">
        <x:v>0.012807546280660971</x:v>
      </x:c>
      <x:c r="P594" s="75" t="n">
        <x:v>0.00224661103337894</x:v>
      </x:c>
      <x:c r="Q594" s="75" t="n">
        <x:v>0.002413943760948314</x:v>
      </x:c>
      <x:c r="R594" s="75" t="n">
        <x:v>0.3771499006861245</x:v>
      </x:c>
      <x:c r="S594" s="75" t="n">
        <x:v>0.016357957476226148</x:v>
      </x:c>
      <x:c r="T594" s="75" t="n">
        <x:v>0.003704162087495206</x:v>
      </x:c>
      <x:c r="U594" s="75" t="n">
        <x:v>0.011493725211417768</x:v>
      </x:c>
      <x:c r="V594" s="75" t="n">
        <x:v>0.0378541064633755</x:v>
      </x:c>
      <x:c r="W594" s="75" t="n">
        <x:v>0.012895649863330255</x:v>
      </x:c>
      <x:c r="X594" s="75" t="n">
        <x:v>0.022302096516125604</x:v>
      </x:c>
      <x:c r="Y594" s="75" t="n">
        <x:v>0.01869508297415334</x:v>
      </x:c>
      <x:c r="Z594" s="75" t="n">
        <x:v>0.006449652573146159</x:v>
      </x:c>
      <x:c r="AA594" s="75" t="n">
        <x:v>0.007043472976021004</x:v>
      </x:c>
      <x:c r="AB594" s="75" t="n">
        <x:v>0.004302678770001512</x:v>
      </x:c>
      <x:c r="AC594" s="75" t="n">
        <x:v>0.019882238648174094</x:v>
      </x:c>
      <x:c r="AD594" s="75" t="n">
        <x:v>0.10362739083362976</x:v>
      </x:c>
      <x:c r="AE594" s="75" t="n">
        <x:v>0.09517687799323175</x:v>
      </x:c>
      <x:c r="AF594" s="74" t="n">
        <x:v>7</x:v>
      </x:c>
    </x:row>
    <x:row r="595">
      <x:c r="A595" t="str">
        <x:v>2025 S2</x:v>
      </x:c>
      <x:c r="B595" t="str">
        <x:v>CNCT0149</x:v>
      </x:c>
      <x:c r="C595" s="74" t="n">
        <x:v>1571</x:v>
      </x:c>
      <x:c r="D595" s="74" t="n">
        <x:v>1103.385</x:v>
      </x:c>
      <x:c r="E595" s="75" t="n">
        <x:v>0.9645145951085887</x:v>
      </x:c>
      <x:c r="F595" s="75" t="n">
        <x:v>0.16901399660890457</x:v>
      </x:c>
      <x:c r="G595" s="75" t="n">
        <x:v>0.009804313929504132</x:v>
      </x:c>
      <x:c r="H595" s="75" t="n">
        <x:v>0.012368325244606241</x:v>
      </x:c>
      <x:c r="I595" s="75" t="n">
        <x:v>0.006298259496368701</x:v>
      </x:c>
      <x:c r="J595" s="75" t="n">
        <x:v>0.011886399220617024</x:v>
      </x:c>
      <x:c r="K595" s="75" t="n">
        <x:v>0.010722643116198013</x:v>
      </x:c>
      <x:c r="L595" s="75" t="n">
        <x:v>0.009342599509982391</x:v>
      </x:c>
      <x:c r="M595" s="75" t="n">
        <x:v>0.009944457443423744</x:v>
      </x:c>
      <x:c r="N595" s="75" t="n">
        <x:v>0.0060021062589949</x:v>
      </x:c>
      <x:c r="O595" s="75" t="n">
        <x:v>0.012807546280660971</x:v>
      </x:c>
      <x:c r="P595" s="75" t="n">
        <x:v>0.00224661103337894</x:v>
      </x:c>
      <x:c r="Q595" s="75" t="n">
        <x:v>0.002413943760948314</x:v>
      </x:c>
      <x:c r="R595" s="75" t="n">
        <x:v>0.3923429638942364</x:v>
      </x:c>
      <x:c r="S595" s="75" t="n">
        <x:v>0.016357957476226148</x:v>
      </x:c>
      <x:c r="T595" s="75" t="n">
        <x:v>0.003704162087495206</x:v>
      </x:c>
      <x:c r="U595" s="75" t="n">
        <x:v>0.011493725211417768</x:v>
      </x:c>
      <x:c r="V595" s="75" t="n">
        <x:v>0.0378541064633755</x:v>
      </x:c>
      <x:c r="W595" s="75" t="n">
        <x:v>0.012895649863330255</x:v>
      </x:c>
      <x:c r="X595" s="75" t="n">
        <x:v>0.022302096516125604</x:v>
      </x:c>
      <x:c r="Y595" s="75" t="n">
        <x:v>0.01869508297415334</x:v>
      </x:c>
      <x:c r="Z595" s="75" t="n">
        <x:v>0.006449652573146159</x:v>
      </x:c>
      <x:c r="AA595" s="75" t="n">
        <x:v>0.007043472976021004</x:v>
      </x:c>
      <x:c r="AB595" s="75" t="n">
        <x:v>0.004302678770001512</x:v>
      </x:c>
      <x:c r="AC595" s="75" t="n">
        <x:v>0.019882238648174094</x:v>
      </x:c>
      <x:c r="AD595" s="75" t="n">
        <x:v>0.10362739083362976</x:v>
      </x:c>
      <x:c r="AE595" s="75" t="n">
        <x:v>0.09517687799323175</x:v>
      </x:c>
      <x:c r="AF595" s="74" t="n">
        <x:v>7</x:v>
      </x:c>
    </x:row>
    <x:row r="596">
      <x:c r="A596" t="str">
        <x:v>2026 S1</x:v>
      </x:c>
      <x:c r="B596" t="str">
        <x:v>CNCT0149</x:v>
      </x:c>
      <x:c r="C596" s="74" t="n">
        <x:v>1537</x:v>
      </x:c>
      <x:c r="D596" s="74" t="n">
        <x:v>1148.64</x:v>
      </x:c>
      <x:c r="E596" s="75" t="n">
        <x:v>0.974150580030764</x:v>
      </x:c>
      <x:c r="F596" s="75" t="n">
        <x:v>0.16481632749570418</x:v>
      </x:c>
      <x:c r="G596" s="75" t="n">
        <x:v>0.007876518851888248</x:v>
      </x:c>
      <x:c r="H596" s="75" t="n">
        <x:v>0.012368325244606241</x:v>
      </x:c>
      <x:c r="I596" s="75" t="n">
        <x:v>0.006298259496368701</x:v>
      </x:c>
      <x:c r="J596" s="75" t="n">
        <x:v>0.011886399220617024</x:v>
      </x:c>
      <x:c r="K596" s="75" t="n">
        <x:v>0.010722643116198013</x:v>
      </x:c>
      <x:c r="L596" s="75" t="n">
        <x:v>0.009342599509982391</x:v>
      </x:c>
      <x:c r="M596" s="75" t="n">
        <x:v>0.009944457443423744</x:v>
      </x:c>
      <x:c r="N596" s="75" t="n">
        <x:v>0.0060021062589949</x:v>
      </x:c>
      <x:c r="O596" s="75" t="n">
        <x:v>0.014129496899551668</x:v>
      </x:c>
      <x:c r="P596" s="75" t="n">
        <x:v>0.00224661103337894</x:v>
      </x:c>
      <x:c r="Q596" s="75" t="n">
        <x:v>0.002413943760948314</x:v>
      </x:c>
      <x:c r="R596" s="75" t="n">
        <x:v>0.3775500189656822</x:v>
      </x:c>
      <x:c r="S596" s="75" t="n">
        <x:v>0.016357957476226148</x:v>
      </x:c>
      <x:c r="T596" s="75" t="n">
        <x:v>0.003704162087495206</x:v>
      </x:c>
      <x:c r="U596" s="75" t="n">
        <x:v>0.011493725211417768</x:v>
      </x:c>
      <x:c r="V596" s="75" t="n">
        <x:v>0.0378541064633755</x:v>
      </x:c>
      <x:c r="W596" s="75" t="n">
        <x:v>0.0158674653057607</x:v>
      </x:c>
      <x:c r="X596" s="75" t="n">
        <x:v>0.027441637022235493</x:v>
      </x:c>
      <x:c r="Y596" s="75" t="n">
        <x:v>0.02300338359249532</x:v>
      </x:c>
      <x:c r="Z596" s="75" t="n">
        <x:v>0.007935981476173398</x:v>
      </x:c>
      <x:c r="AA596" s="75" t="n">
        <x:v>0.008666648386358576</x:v>
      </x:c>
      <x:c r="AB596" s="75" t="n">
        <x:v>0.00529423540716396</x:v>
      </x:c>
      <x:c r="AC596" s="75" t="n">
        <x:v>0.02446412048204333</x:v>
      </x:c>
      <x:c r="AD596" s="75" t="n">
        <x:v>0.10362739083362976</x:v>
      </x:c>
      <x:c r="AE596" s="75" t="n">
        <x:v>0.09517687799323175</x:v>
      </x:c>
      <x:c r="AF596" s="74" t="n">
        <x:v>7</x:v>
      </x:c>
    </x:row>
    <x:row r="597">
      <x:c r="A597" t="str">
        <x:v>2026 S2</x:v>
      </x:c>
      <x:c r="B597" t="str">
        <x:v>CNCT0149</x:v>
      </x:c>
      <x:c r="C597" s="74" t="n">
        <x:v>1679</x:v>
      </x:c>
      <x:c r="D597" s="74" t="n">
        <x:v>1126.606</x:v>
      </x:c>
      <x:c r="E597" s="75" t="n">
        <x:v>0.9645145951085887</x:v>
      </x:c>
      <x:c r="F597" s="75" t="n">
        <x:v>0.16428948848119762</x:v>
      </x:c>
      <x:c r="G597" s="75" t="n">
        <x:v>0.010460575608143698</x:v>
      </x:c>
      <x:c r="H597" s="75" t="n">
        <x:v>0.012368325244606241</x:v>
      </x:c>
      <x:c r="I597" s="75" t="n">
        <x:v>0.006298259496368701</x:v>
      </x:c>
      <x:c r="J597" s="75" t="n">
        <x:v>0.011886399220617024</x:v>
      </x:c>
      <x:c r="K597" s="75" t="n">
        <x:v>0.010722643116198013</x:v>
      </x:c>
      <x:c r="L597" s="75" t="n">
        <x:v>0.009342599509982391</x:v>
      </x:c>
      <x:c r="M597" s="75" t="n">
        <x:v>0.009944457443423744</x:v>
      </x:c>
      <x:c r="N597" s="75" t="n">
        <x:v>0.0060021062589949</x:v>
      </x:c>
      <x:c r="O597" s="75" t="n">
        <x:v>0.012807546280660971</x:v>
      </x:c>
      <x:c r="P597" s="75" t="n">
        <x:v>0.00224661103337894</x:v>
      </x:c>
      <x:c r="Q597" s="75" t="n">
        <x:v>0.002413943760948314</x:v>
      </x:c>
      <x:c r="R597" s="75" t="n">
        <x:v>0.39321203275698924</x:v>
      </x:c>
      <x:c r="S597" s="75" t="n">
        <x:v>0.016357957476226148</x:v>
      </x:c>
      <x:c r="T597" s="75" t="n">
        <x:v>0.003704162087495206</x:v>
      </x:c>
      <x:c r="U597" s="75" t="n">
        <x:v>0.011493725211417768</x:v>
      </x:c>
      <x:c r="V597" s="75" t="n">
        <x:v>0.0378541064633755</x:v>
      </x:c>
      <x:c r="W597" s="75" t="n">
        <x:v>0.01366938885513007</x:v>
      </x:c>
      <x:c r="X597" s="75" t="n">
        <x:v>0.02364022230709314</x:v>
      </x:c>
      <x:c r="Y597" s="75" t="n">
        <x:v>0.01981678795260254</x:v>
      </x:c>
      <x:c r="Z597" s="75" t="n">
        <x:v>0.006836631727534929</x:v>
      </x:c>
      <x:c r="AA597" s="75" t="n">
        <x:v>0.007466081354582265</x:v>
      </x:c>
      <x:c r="AB597" s="75" t="n">
        <x:v>0.004560839496201603</x:v>
      </x:c>
      <x:c r="AC597" s="75" t="n">
        <x:v>0.021075172967064543</x:v>
      </x:c>
      <x:c r="AD597" s="75" t="n">
        <x:v>0.10362739083362976</x:v>
      </x:c>
      <x:c r="AE597" s="75" t="n">
        <x:v>0.09517687799323175</x:v>
      </x:c>
      <x:c r="AF597" s="74" t="n">
        <x:v>7</x:v>
      </x:c>
    </x:row>
    <x:row r="598">
      <x:c r="A598" t="str">
        <x:v>2025 S1</x:v>
      </x:c>
      <x:c r="B598" t="str">
        <x:v>CNCT0150</x:v>
      </x:c>
      <x:c r="C598" s="74" t="n">
        <x:v>1738</x:v>
      </x:c>
      <x:c r="D598" s="74" t="n">
        <x:v>1155.105</x:v>
      </x:c>
      <x:c r="E598" s="75" t="n">
        <x:v>0.9710821100448956</x:v>
      </x:c>
      <x:c r="F598" s="75" t="n">
        <x:v>0.2124089567026822</x:v>
      </x:c>
      <x:c r="G598" s="75" t="n">
        <x:v>0.01681572599714491</x:v>
      </x:c>
      <x:c r="H598" s="75" t="n">
        <x:v>0.010708952309723827</x:v>
      </x:c>
      <x:c r="I598" s="75" t="n">
        <x:v>0.009250462587249786</x:v>
      </x:c>
      <x:c r="J598" s="75" t="n">
        <x:v>0.010591502156574279</x:v>
      </x:c>
      <x:c r="K598" s="75" t="n">
        <x:v>0.008796752669179113</x:v>
      </x:c>
      <x:c r="L598" s="75" t="n">
        <x:v>0.013745278934395172</x:v>
      </x:c>
      <x:c r="M598" s="75" t="n">
        <x:v>0.008998608840891393</x:v>
      </x:c>
      <x:c r="N598" s="75" t="n">
        <x:v>0.006884799837804167</x:v>
      </x:c>
      <x:c r="O598" s="75" t="n">
        <x:v>0.013036368327389936</x:v>
      </x:c>
      <x:c r="P598" s="75" t="n">
        <x:v>0.00042613386398625145</x:v>
      </x:c>
      <x:c r="Q598" s="75" t="n">
        <x:v>0.0015470262525568617</x:v>
      </x:c>
      <x:c r="R598" s="75" t="n">
        <x:v>0.37617309769828505</x:v>
      </x:c>
      <x:c r="S598" s="75" t="n">
        <x:v>0.012378596354050388</x:v>
      </x:c>
      <x:c r="T598" s="75" t="n">
        <x:v>0.006861171663389541</x:v>
      </x:c>
      <x:c r="U598" s="75" t="n">
        <x:v>0.007847384679655078</x:v>
      </x:c>
      <x:c r="V598" s="75" t="n">
        <x:v>0.028631512507243318</x:v>
      </x:c>
      <x:c r="W598" s="75" t="n">
        <x:v>0.010792078328476782</x:v>
      </x:c>
      <x:c r="X598" s="75" t="n">
        <x:v>0.023280049103732582</x:v>
      </x:c>
      <x:c r="Y598" s="75" t="n">
        <x:v>0.017628746532993976</x:v>
      </x:c>
      <x:c r="Z598" s="75" t="n">
        <x:v>0.004452056978095789</x:v>
      </x:c>
      <x:c r="AA598" s="75" t="n">
        <x:v>0.006386637621127302</x:v>
      </x:c>
      <x:c r="AB598" s="75" t="n">
        <x:v>0.0035716909879061863</x:v>
      </x:c>
      <x:c r="AC598" s="75" t="n">
        <x:v>0.02323341383090592</x:v>
      </x:c>
      <x:c r="AD598" s="75" t="n">
        <x:v>0.08270016334170942</x:v>
      </x:c>
      <x:c r="AE598" s="75" t="n">
        <x:v>0.06833154242657474</x:v>
      </x:c>
      <x:c r="AF598" s="74" t="n">
        <x:v>8</x:v>
      </x:c>
    </x:row>
    <x:row r="599">
      <x:c r="A599" t="str">
        <x:v>2025 S2</x:v>
      </x:c>
      <x:c r="B599" t="str">
        <x:v>CNCT0150</x:v>
      </x:c>
      <x:c r="C599" s="74" t="n">
        <x:v>1845</x:v>
      </x:c>
      <x:c r="D599" s="74" t="n">
        <x:v>1168.967</x:v>
      </x:c>
      <x:c r="E599" s="75" t="n">
        <x:v>0.9767818473999504</x:v>
      </x:c>
      <x:c r="F599" s="75" t="n">
        <x:v>0.2124089567026822</x:v>
      </x:c>
      <x:c r="G599" s="75" t="n">
        <x:v>0.01681572599714491</x:v>
      </x:c>
      <x:c r="H599" s="75" t="n">
        <x:v>0.010708952309723827</x:v>
      </x:c>
      <x:c r="I599" s="75" t="n">
        <x:v>0.009250462587249786</x:v>
      </x:c>
      <x:c r="J599" s="75" t="n">
        <x:v>0.010591502156574279</x:v>
      </x:c>
      <x:c r="K599" s="75" t="n">
        <x:v>0.008796752669179113</x:v>
      </x:c>
      <x:c r="L599" s="75" t="n">
        <x:v>0.013745278934395172</x:v>
      </x:c>
      <x:c r="M599" s="75" t="n">
        <x:v>0.008998608840891393</x:v>
      </x:c>
      <x:c r="N599" s="75" t="n">
        <x:v>0.006884799837804167</x:v>
      </x:c>
      <x:c r="O599" s="75" t="n">
        <x:v>0.013036368327389936</x:v>
      </x:c>
      <x:c r="P599" s="75" t="n">
        <x:v>0.00042613386398625145</x:v>
      </x:c>
      <x:c r="Q599" s="75" t="n">
        <x:v>0.0015470262525568617</x:v>
      </x:c>
      <x:c r="R599" s="75" t="n">
        <x:v>0.3607764020579782</x:v>
      </x:c>
      <x:c r="S599" s="75" t="n">
        <x:v>0.012378596354050388</x:v>
      </x:c>
      <x:c r="T599" s="75" t="n">
        <x:v>0.006861171663389541</x:v>
      </x:c>
      <x:c r="U599" s="75" t="n">
        <x:v>0.007847384679655078</x:v>
      </x:c>
      <x:c r="V599" s="75" t="n">
        <x:v>0.028631512507243318</x:v>
      </x:c>
      <x:c r="W599" s="75" t="n">
        <x:v>0.010792078328476782</x:v>
      </x:c>
      <x:c r="X599" s="75" t="n">
        <x:v>0.023280049103732582</x:v>
      </x:c>
      <x:c r="Y599" s="75" t="n">
        <x:v>0.017628746532993976</x:v>
      </x:c>
      <x:c r="Z599" s="75" t="n">
        <x:v>0.004452056978095789</x:v>
      </x:c>
      <x:c r="AA599" s="75" t="n">
        <x:v>0.006386637621127302</x:v>
      </x:c>
      <x:c r="AB599" s="75" t="n">
        <x:v>0.0035716909879061863</x:v>
      </x:c>
      <x:c r="AC599" s="75" t="n">
        <x:v>0.02323341383090592</x:v>
      </x:c>
      <x:c r="AD599" s="75" t="n">
        <x:v>0.08270016334170942</x:v>
      </x:c>
      <x:c r="AE599" s="75" t="n">
        <x:v>0.06833154242657474</x:v>
      </x:c>
      <x:c r="AF599" s="74" t="n">
        <x:v>8</x:v>
      </x:c>
    </x:row>
    <x:row r="600">
      <x:c r="A600" t="str">
        <x:v>2026 S1</x:v>
      </x:c>
      <x:c r="B600" t="str">
        <x:v>CNCT0150</x:v>
      </x:c>
      <x:c r="C600" s="74" t="n">
        <x:v>1821</x:v>
      </x:c>
      <x:c r="D600" s="74" t="n">
        <x:v>1212.109</x:v>
      </x:c>
      <x:c r="E600" s="75" t="n">
        <x:v>0.969196346368175</x:v>
      </x:c>
      <x:c r="F600" s="75" t="n">
        <x:v>0.21591784614970677</x:v>
      </x:c>
      <x:c r="G600" s="75" t="n">
        <x:v>0.017102737334436822</x:v>
      </x:c>
      <x:c r="H600" s="75" t="n">
        <x:v>0.010708952309723827</x:v>
      </x:c>
      <x:c r="I600" s="75" t="n">
        <x:v>0.009250462587249786</x:v>
      </x:c>
      <x:c r="J600" s="75" t="n">
        <x:v>0.010591502156574279</x:v>
      </x:c>
      <x:c r="K600" s="75" t="n">
        <x:v>0.008796752669179113</x:v>
      </x:c>
      <x:c r="L600" s="75" t="n">
        <x:v>0.013745278934395172</x:v>
      </x:c>
      <x:c r="M600" s="75" t="n">
        <x:v>0.008998608840891393</x:v>
      </x:c>
      <x:c r="N600" s="75" t="n">
        <x:v>0.006884799837804167</x:v>
      </x:c>
      <x:c r="O600" s="75" t="n">
        <x:v>0.01254927117821353</x:v>
      </x:c>
      <x:c r="P600" s="75" t="n">
        <x:v>0.00042613386398625145</x:v>
      </x:c>
      <x:c r="Q600" s="75" t="n">
        <x:v>0.0015470262525568617</x:v>
      </x:c>
      <x:c r="R600" s="75" t="n">
        <x:v>0.37113602156937997</x:v>
      </x:c>
      <x:c r="S600" s="75" t="n">
        <x:v>0.012378596354050388</x:v>
      </x:c>
      <x:c r="T600" s="75" t="n">
        <x:v>0.006861171663389541</x:v>
      </x:c>
      <x:c r="U600" s="75" t="n">
        <x:v>0.007847384679655078</x:v>
      </x:c>
      <x:c r="V600" s="75" t="n">
        <x:v>0.028631512507243318</x:v>
      </x:c>
      <x:c r="W600" s="75" t="n">
        <x:v>0.013279123601292816</x:v>
      </x:c>
      <x:c r="X600" s="75" t="n">
        <x:v>0.0286449597643222</x:v>
      </x:c>
      <x:c r="Y600" s="75" t="n">
        <x:v>0.021691308849176024</x:v>
      </x:c>
      <x:c r="Z600" s="75" t="n">
        <x:v>0.0054780379731061875</x:v>
      </x:c>
      <x:c r="AA600" s="75" t="n">
        <x:v>0.007858444665272022</x:v>
      </x:c>
      <x:c r="AB600" s="75" t="n">
        <x:v>0.00439479075766902</x:v>
      </x:c>
      <x:c r="AC600" s="75" t="n">
        <x:v>0.02858757734610798</x:v>
      </x:c>
      <x:c r="AD600" s="75" t="n">
        <x:v>0.08270016334170942</x:v>
      </x:c>
      <x:c r="AE600" s="75" t="n">
        <x:v>0.06833154242657474</x:v>
      </x:c>
      <x:c r="AF600" s="74" t="n">
        <x:v>8</x:v>
      </x:c>
    </x:row>
    <x:row r="601">
      <x:c r="A601" t="str">
        <x:v>2026 S2</x:v>
      </x:c>
      <x:c r="B601" t="str">
        <x:v>CNCT0150</x:v>
      </x:c>
      <x:c r="C601" s="74" t="n">
        <x:v>1929</x:v>
      </x:c>
      <x:c r="D601" s="74" t="n">
        <x:v>1216.683</x:v>
      </x:c>
      <x:c r="E601" s="75" t="n">
        <x:v>0.9767818473999504</x:v>
      </x:c>
      <x:c r="F601" s="75" t="n">
        <x:v>0.21734177669958446</x:v>
      </x:c>
      <x:c r="G601" s="75" t="n">
        <x:v>0.015794418627800042</x:v>
      </x:c>
      <x:c r="H601" s="75" t="n">
        <x:v>0.010708952309723827</x:v>
      </x:c>
      <x:c r="I601" s="75" t="n">
        <x:v>0.009250462587249786</x:v>
      </x:c>
      <x:c r="J601" s="75" t="n">
        <x:v>0.010591502156574279</x:v>
      </x:c>
      <x:c r="K601" s="75" t="n">
        <x:v>0.008796752669179113</x:v>
      </x:c>
      <x:c r="L601" s="75" t="n">
        <x:v>0.013745278934395172</x:v>
      </x:c>
      <x:c r="M601" s="75" t="n">
        <x:v>0.008998608840891393</x:v>
      </x:c>
      <x:c r="N601" s="75" t="n">
        <x:v>0.006884799837804167</x:v>
      </x:c>
      <x:c r="O601" s="75" t="n">
        <x:v>0.013036368327389936</x:v>
      </x:c>
      <x:c r="P601" s="75" t="n">
        <x:v>0.00042613386398625145</x:v>
      </x:c>
      <x:c r="Q601" s="75" t="n">
        <x:v>0.0015470262525568617</x:v>
      </x:c>
      <x:c r="R601" s="75" t="n">
        <x:v>0.35917060686111363</x:v>
      </x:c>
      <x:c r="S601" s="75" t="n">
        <x:v>0.012378596354050388</x:v>
      </x:c>
      <x:c r="T601" s="75" t="n">
        <x:v>0.006861171663389541</x:v>
      </x:c>
      <x:c r="U601" s="75" t="n">
        <x:v>0.007847384679655078</x:v>
      </x:c>
      <x:c r="V601" s="75" t="n">
        <x:v>0.028631512507243318</x:v>
      </x:c>
      <x:c r="W601" s="75" t="n">
        <x:v>0.01143960302818539</x:v>
      </x:c>
      <x:c r="X601" s="75" t="n">
        <x:v>0.024676852049956538</x:v>
      </x:c>
      <x:c r="Y601" s="75" t="n">
        <x:v>0.018686471324973617</x:v>
      </x:c>
      <x:c r="Z601" s="75" t="n">
        <x:v>0.004719180396781536</x:v>
      </x:c>
      <x:c r="AA601" s="75" t="n">
        <x:v>0.00676983587839494</x:v>
      </x:c>
      <x:c r="AB601" s="75" t="n">
        <x:v>0.0037859924471805575</x:v>
      </x:c>
      <x:c r="AC601" s="75" t="n">
        <x:v>0.024627418660760274</x:v>
      </x:c>
      <x:c r="AD601" s="75" t="n">
        <x:v>0.08270016334170942</x:v>
      </x:c>
      <x:c r="AE601" s="75" t="n">
        <x:v>0.06833154242657474</x:v>
      </x:c>
      <x:c r="AF601" s="74" t="n">
        <x:v>8</x:v>
      </x:c>
    </x:row>
    <x:row r="602">
      <x:c r="A602" t="str">
        <x:v>2025 S1</x:v>
      </x:c>
      <x:c r="B602" t="str">
        <x:v>CNCT0151</x:v>
      </x:c>
      <x:c r="C602" s="74" t="n">
        <x:v>1167</x:v>
      </x:c>
      <x:c r="D602" s="74" t="n">
        <x:v>1010.714</x:v>
      </x:c>
      <x:c r="E602" s="75" t="n">
        <x:v>0.9698915644622756</x:v>
      </x:c>
      <x:c r="F602" s="75" t="n">
        <x:v>0.16166974611324259</x:v>
      </x:c>
      <x:c r="G602" s="75" t="n">
        <x:v>0.017058636609108363</x:v>
      </x:c>
      <x:c r="H602" s="75" t="n">
        <x:v>0.007794305352806986</x:v>
      </x:c>
      <x:c r="I602" s="75" t="n">
        <x:v>0.008312366616399232</x:v>
      </x:c>
      <x:c r="J602" s="75" t="n">
        <x:v>0.013149866522609955</x:v>
      </x:c>
      <x:c r="K602" s="75" t="n">
        <x:v>0.009690741343685657</x:v>
      </x:c>
      <x:c r="L602" s="75" t="n">
        <x:v>0.011728648094620438</x:v>
      </x:c>
      <x:c r="M602" s="75" t="n">
        <x:v>0.006342860666925845</x:v>
      </x:c>
      <x:c r="N602" s="75" t="n">
        <x:v>0.005967792404000648</x:v>
      </x:c>
      <x:c r="O602" s="75" t="n">
        <x:v>0.011456996956127114</x:v>
      </x:c>
      <x:c r="P602" s="75" t="n">
        <x:v>0.002002555491624662</x:v>
      </x:c>
      <x:c r="Q602" s="75" t="n">
        <x:v>0.0027884784685265913</x:v>
      </x:c>
      <x:c r="R602" s="75" t="n">
        <x:v>0.3868095215472404</x:v>
      </x:c>
      <x:c r="S602" s="75" t="n">
        <x:v>0.01162395646999812</x:v>
      </x:c>
      <x:c r="T602" s="75" t="n">
        <x:v>0.0030734829290449853</x:v>
      </x:c>
      <x:c r="U602" s="75" t="n">
        <x:v>0.006642535486782434</x:v>
      </x:c>
      <x:c r="V602" s="75" t="n">
        <x:v>0.03163003580231453</x:v>
      </x:c>
      <x:c r="W602" s="75" t="n">
        <x:v>0.010413194167196342</x:v>
      </x:c>
      <x:c r="X602" s="75" t="n">
        <x:v>0.025001742124134325</x:v>
      </x:c>
      <x:c r="Y602" s="75" t="n">
        <x:v>0.018747733923227063</x:v>
      </x:c>
      <x:c r="Z602" s="75" t="n">
        <x:v>0.007522212289849995</x:v>
      </x:c>
      <x:c r="AA602" s="75" t="n">
        <x:v>0.006592972674673656</x:v>
      </x:c>
      <x:c r="AB602" s="75" t="n">
        <x:v>0.00347569067318691</x:v>
      </x:c>
      <x:c r="AC602" s="75" t="n">
        <x:v>0.018870337261975508</x:v>
      </x:c>
      <x:c r="AD602" s="75" t="n">
        <x:v>0.11788663765523234</x:v>
      </x:c>
      <x:c r="AE602" s="75" t="n">
        <x:v>0.08240211376661319</x:v>
      </x:c>
      <x:c r="AF602" s="74" t="n">
        <x:v>5</x:v>
      </x:c>
    </x:row>
    <x:row r="603">
      <x:c r="A603" t="str">
        <x:v>2025 S2</x:v>
      </x:c>
      <x:c r="B603" t="str">
        <x:v>CNCT0151</x:v>
      </x:c>
      <x:c r="C603" s="74" t="n">
        <x:v>1256</x:v>
      </x:c>
      <x:c r="D603" s="74" t="n">
        <x:v>1022.842</x:v>
      </x:c>
      <x:c r="E603" s="75" t="n">
        <x:v>0.9631693751767744</x:v>
      </x:c>
      <x:c r="F603" s="75" t="n">
        <x:v>0.16166974611324259</x:v>
      </x:c>
      <x:c r="G603" s="75" t="n">
        <x:v>0.017058636609108363</x:v>
      </x:c>
      <x:c r="H603" s="75" t="n">
        <x:v>0.007794305352806986</x:v>
      </x:c>
      <x:c r="I603" s="75" t="n">
        <x:v>0.008312366616399232</x:v>
      </x:c>
      <x:c r="J603" s="75" t="n">
        <x:v>0.013149866522609955</x:v>
      </x:c>
      <x:c r="K603" s="75" t="n">
        <x:v>0.009690741343685657</x:v>
      </x:c>
      <x:c r="L603" s="75" t="n">
        <x:v>0.011728648094620438</x:v>
      </x:c>
      <x:c r="M603" s="75" t="n">
        <x:v>0.006342860666925845</x:v>
      </x:c>
      <x:c r="N603" s="75" t="n">
        <x:v>0.005967792404000648</x:v>
      </x:c>
      <x:c r="O603" s="75" t="n">
        <x:v>0.011456996956127114</x:v>
      </x:c>
      <x:c r="P603" s="75" t="n">
        <x:v>0.002002555491624662</x:v>
      </x:c>
      <x:c r="Q603" s="75" t="n">
        <x:v>0.0027884784685265913</x:v>
      </x:c>
      <x:c r="R603" s="75" t="n">
        <x:v>0.40156779770428497</x:v>
      </x:c>
      <x:c r="S603" s="75" t="n">
        <x:v>0.01162395646999812</x:v>
      </x:c>
      <x:c r="T603" s="75" t="n">
        <x:v>0.0030734829290449853</x:v>
      </x:c>
      <x:c r="U603" s="75" t="n">
        <x:v>0.006642535486782434</x:v>
      </x:c>
      <x:c r="V603" s="75" t="n">
        <x:v>0.03163003580231453</x:v>
      </x:c>
      <x:c r="W603" s="75" t="n">
        <x:v>0.010413194167196342</x:v>
      </x:c>
      <x:c r="X603" s="75" t="n">
        <x:v>0.025001742124134325</x:v>
      </x:c>
      <x:c r="Y603" s="75" t="n">
        <x:v>0.018747733923227063</x:v>
      </x:c>
      <x:c r="Z603" s="75" t="n">
        <x:v>0.007522212289849995</x:v>
      </x:c>
      <x:c r="AA603" s="75" t="n">
        <x:v>0.006592972674673656</x:v>
      </x:c>
      <x:c r="AB603" s="75" t="n">
        <x:v>0.00347569067318691</x:v>
      </x:c>
      <x:c r="AC603" s="75" t="n">
        <x:v>0.018870337261975508</x:v>
      </x:c>
      <x:c r="AD603" s="75" t="n">
        <x:v>0.11788663765523234</x:v>
      </x:c>
      <x:c r="AE603" s="75" t="n">
        <x:v>0.08240211376661319</x:v>
      </x:c>
      <x:c r="AF603" s="74" t="n">
        <x:v>5</x:v>
      </x:c>
    </x:row>
    <x:row r="604">
      <x:c r="A604" t="str">
        <x:v>2026 S1</x:v>
      </x:c>
      <x:c r="B604" t="str">
        <x:v>CNCT0151</x:v>
      </x:c>
      <x:c r="C604" s="74" t="n">
        <x:v>1113</x:v>
      </x:c>
      <x:c r="D604" s="74" t="n">
        <x:v>1061.776</x:v>
      </x:c>
      <x:c r="E604" s="75" t="n">
        <x:v>0.9695093398332828</x:v>
      </x:c>
      <x:c r="F604" s="75" t="n">
        <x:v>0.1670480617271096</x:v>
      </x:c>
      <x:c r="G604" s="75" t="n">
        <x:v>0.01783356846350216</x:v>
      </x:c>
      <x:c r="H604" s="75" t="n">
        <x:v>0.007794305352806986</x:v>
      </x:c>
      <x:c r="I604" s="75" t="n">
        <x:v>0.008312366616399232</x:v>
      </x:c>
      <x:c r="J604" s="75" t="n">
        <x:v>0.013149866522609955</x:v>
      </x:c>
      <x:c r="K604" s="75" t="n">
        <x:v>0.009690741343685657</x:v>
      </x:c>
      <x:c r="L604" s="75" t="n">
        <x:v>0.011728648094620438</x:v>
      </x:c>
      <x:c r="M604" s="75" t="n">
        <x:v>0.006342860666925845</x:v>
      </x:c>
      <x:c r="N604" s="75" t="n">
        <x:v>0.005967792404000648</x:v>
      </x:c>
      <x:c r="O604" s="75" t="n">
        <x:v>0.011524779234270682</x:v>
      </x:c>
      <x:c r="P604" s="75" t="n">
        <x:v>0.002002555491624662</x:v>
      </x:c>
      <x:c r="Q604" s="75" t="n">
        <x:v>0.0027884784685265913</x:v>
      </x:c>
      <x:c r="R604" s="75" t="n">
        <x:v>0.3853035197751897</x:v>
      </x:c>
      <x:c r="S604" s="75" t="n">
        <x:v>0.01162395646999812</x:v>
      </x:c>
      <x:c r="T604" s="75" t="n">
        <x:v>0.0030734829290449853</x:v>
      </x:c>
      <x:c r="U604" s="75" t="n">
        <x:v>0.006642535486782434</x:v>
      </x:c>
      <x:c r="V604" s="75" t="n">
        <x:v>0.03163003580231453</x:v>
      </x:c>
      <x:c r="W604" s="75" t="n">
        <x:v>0.012812925205110008</x:v>
      </x:c>
      <x:c r="X604" s="75" t="n">
        <x:v>0.030763418667745002</x:v>
      </x:c>
      <x:c r="Y604" s="75" t="n">
        <x:v>0.0230681680055801</x:v>
      </x:c>
      <x:c r="Z604" s="75" t="n">
        <x:v>0.009255713655126929</x:v>
      </x:c>
      <x:c r="AA604" s="75" t="n">
        <x:v>0.008112329838815617</x:v>
      </x:c>
      <x:c r="AB604" s="75" t="n">
        <x:v>0.00427666707415604</x:v>
      </x:c>
      <x:c r="AC604" s="75" t="n">
        <x:v>0.0232190254066866</x:v>
      </x:c>
      <x:c r="AD604" s="75" t="n">
        <x:v>0.11788663765523234</x:v>
      </x:c>
      <x:c r="AE604" s="75" t="n">
        <x:v>0.08240211376661319</x:v>
      </x:c>
      <x:c r="AF604" s="74" t="n">
        <x:v>5</x:v>
      </x:c>
    </x:row>
    <x:row r="605">
      <x:c r="A605" t="str">
        <x:v>2026 S2</x:v>
      </x:c>
      <x:c r="B605" t="str">
        <x:v>CNCT0151</x:v>
      </x:c>
      <x:c r="C605" s="74" t="n">
        <x:v>1213</x:v>
      </x:c>
      <x:c r="D605" s="74" t="n">
        <x:v>1057.857</x:v>
      </x:c>
      <x:c r="E605" s="75" t="n">
        <x:v>0.9631693751767744</x:v>
      </x:c>
      <x:c r="F605" s="75" t="n">
        <x:v>0.16300440013485787</x:v>
      </x:c>
      <x:c r="G605" s="75" t="n">
        <x:v>0.018016961977082246</x:v>
      </x:c>
      <x:c r="H605" s="75" t="n">
        <x:v>0.007794305352806986</x:v>
      </x:c>
      <x:c r="I605" s="75" t="n">
        <x:v>0.008312366616399232</x:v>
      </x:c>
      <x:c r="J605" s="75" t="n">
        <x:v>0.013149866522609955</x:v>
      </x:c>
      <x:c r="K605" s="75" t="n">
        <x:v>0.009690741343685657</x:v>
      </x:c>
      <x:c r="L605" s="75" t="n">
        <x:v>0.011728648094620438</x:v>
      </x:c>
      <x:c r="M605" s="75" t="n">
        <x:v>0.006342860666925845</x:v>
      </x:c>
      <x:c r="N605" s="75" t="n">
        <x:v>0.005967792404000648</x:v>
      </x:c>
      <x:c r="O605" s="75" t="n">
        <x:v>0.011456996956127114</x:v>
      </x:c>
      <x:c r="P605" s="75" t="n">
        <x:v>0.002002555491624662</x:v>
      </x:c>
      <x:c r="Q605" s="75" t="n">
        <x:v>0.0027884784685265913</x:v>
      </x:c>
      <x:c r="R605" s="75" t="n">
        <x:v>0.391535874947392</x:v>
      </x:c>
      <x:c r="S605" s="75" t="n">
        <x:v>0.01162395646999812</x:v>
      </x:c>
      <x:c r="T605" s="75" t="n">
        <x:v>0.0030734829290449853</x:v>
      </x:c>
      <x:c r="U605" s="75" t="n">
        <x:v>0.006642535486782434</x:v>
      </x:c>
      <x:c r="V605" s="75" t="n">
        <x:v>0.03163003580231453</x:v>
      </x:c>
      <x:c r="W605" s="75" t="n">
        <x:v>0.011037985817228124</x:v>
      </x:c>
      <x:c r="X605" s="75" t="n">
        <x:v>0.026501846651582384</x:v>
      </x:c>
      <x:c r="Y605" s="75" t="n">
        <x:v>0.01987259795862069</x:v>
      </x:c>
      <x:c r="Z605" s="75" t="n">
        <x:v>0.007973545027240994</x:v>
      </x:c>
      <x:c r="AA605" s="75" t="n">
        <x:v>0.006988551035154076</x:v>
      </x:c>
      <x:c r="AB605" s="75" t="n">
        <x:v>0.0036842321135781247</x:v>
      </x:c>
      <x:c r="AC605" s="75" t="n">
        <x:v>0.02000255749769404</x:v>
      </x:c>
      <x:c r="AD605" s="75" t="n">
        <x:v>0.11788663765523234</x:v>
      </x:c>
      <x:c r="AE605" s="75" t="n">
        <x:v>0.08240211376661319</x:v>
      </x:c>
      <x:c r="AF605" s="74" t="n">
        <x:v>5</x:v>
      </x:c>
    </x:row>
    <x:row r="606">
      <x:c r="A606" t="str">
        <x:v>2025 S1</x:v>
      </x:c>
      <x:c r="B606" t="str">
        <x:v>CNCT0152</x:v>
      </x:c>
      <x:c r="C606" s="74" t="n">
        <x:v>1132</x:v>
      </x:c>
      <x:c r="D606" s="74" t="n">
        <x:v>919.523</x:v>
      </x:c>
      <x:c r="E606" s="75" t="n">
        <x:v>0.9831346526585403</x:v>
      </x:c>
      <x:c r="F606" s="75" t="n">
        <x:v>0.19751940111769364</x:v>
      </x:c>
      <x:c r="G606" s="75" t="n">
        <x:v>0.014263734857770032</x:v>
      </x:c>
      <x:c r="H606" s="75" t="n">
        <x:v>0.012624992949880835</x:v>
      </x:c>
      <x:c r="I606" s="75" t="n">
        <x:v>0.008076776734242685</x:v>
      </x:c>
      <x:c r="J606" s="75" t="n">
        <x:v>0.016725241884982096</x:v>
      </x:c>
      <x:c r="K606" s="75" t="n">
        <x:v>0.011505115696658321</x:v>
      </x:c>
      <x:c r="L606" s="75" t="n">
        <x:v>0.01182585283217486</x:v>
      </x:c>
      <x:c r="M606" s="75" t="n">
        <x:v>0.006559527389115829</x:v>
      </x:c>
      <x:c r="N606" s="75" t="n">
        <x:v>0.006444523271085928</x:v>
      </x:c>
      <x:c r="O606" s="75" t="n">
        <x:v>0.01005346997817105</x:v>
      </x:c>
      <x:c r="P606" s="75" t="n">
        <x:v>0.0010089616950717754</x:v>
      </x:c>
      <x:c r="Q606" s="75" t="n">
        <x:v>0.004277364996087272</x:v>
      </x:c>
      <x:c r="R606" s="75" t="n">
        <x:v>0.36150817024111714</x:v>
      </x:c>
      <x:c r="S606" s="75" t="n">
        <x:v>0.012868052769830683</x:v>
      </x:c>
      <x:c r="T606" s="75" t="n">
        <x:v>0.006607424114430615</x:v>
      </x:c>
      <x:c r="U606" s="75" t="n">
        <x:v>0.01061357887860504</x:v>
      </x:c>
      <x:c r="V606" s="75" t="n">
        <x:v>0.03873639143990295</x:v>
      </x:c>
      <x:c r="W606" s="75" t="n">
        <x:v>0.013097235475486376</x:v>
      </x:c>
      <x:c r="X606" s="75" t="n">
        <x:v>0.02435389701406413</x:v>
      </x:c>
      <x:c r="Y606" s="75" t="n">
        <x:v>0.019687145625676496</x:v>
      </x:c>
      <x:c r="Z606" s="75" t="n">
        <x:v>0.005142108218593058</x:v>
      </x:c>
      <x:c r="AA606" s="75" t="n">
        <x:v>0.005546861309821106</x:v>
      </x:c>
      <x:c r="AB606" s="75" t="n">
        <x:v>0.006041790801414755</x:v>
      </x:c>
      <x:c r="AC606" s="75" t="n">
        <x:v>0.02053178382639889</x:v>
      </x:c>
      <x:c r="AD606" s="75" t="n">
        <x:v>0.10926349512234447</x:v>
      </x:c>
      <x:c r="AE606" s="75" t="n">
        <x:v>0.08923224275530083</x:v>
      </x:c>
      <x:c r="AF606" s="74" t="n">
        <x:v>5</x:v>
      </x:c>
    </x:row>
    <x:row r="607">
      <x:c r="A607" t="str">
        <x:v>2025 S2</x:v>
      </x:c>
      <x:c r="B607" t="str">
        <x:v>CNCT0152</x:v>
      </x:c>
      <x:c r="C607" s="74" t="n">
        <x:v>1192</x:v>
      </x:c>
      <x:c r="D607" s="74" t="n">
        <x:v>930.557</x:v>
      </x:c>
      <x:c r="E607" s="75" t="n">
        <x:v>0.9624417862512636</x:v>
      </x:c>
      <x:c r="F607" s="75" t="n">
        <x:v>0.19751940111769364</x:v>
      </x:c>
      <x:c r="G607" s="75" t="n">
        <x:v>0.014263734857770032</x:v>
      </x:c>
      <x:c r="H607" s="75" t="n">
        <x:v>0.012624992949880835</x:v>
      </x:c>
      <x:c r="I607" s="75" t="n">
        <x:v>0.008076776734242685</x:v>
      </x:c>
      <x:c r="J607" s="75" t="n">
        <x:v>0.016725241884982096</x:v>
      </x:c>
      <x:c r="K607" s="75" t="n">
        <x:v>0.011505115696658321</x:v>
      </x:c>
      <x:c r="L607" s="75" t="n">
        <x:v>0.01182585283217486</x:v>
      </x:c>
      <x:c r="M607" s="75" t="n">
        <x:v>0.006559527389115829</x:v>
      </x:c>
      <x:c r="N607" s="75" t="n">
        <x:v>0.006444523271085928</x:v>
      </x:c>
      <x:c r="O607" s="75" t="n">
        <x:v>0.01005346997817105</x:v>
      </x:c>
      <x:c r="P607" s="75" t="n">
        <x:v>0.0010089616950717754</x:v>
      </x:c>
      <x:c r="Q607" s="75" t="n">
        <x:v>0.004277364996087272</x:v>
      </x:c>
      <x:c r="R607" s="75" t="n">
        <x:v>0.3460227016463015</x:v>
      </x:c>
      <x:c r="S607" s="75" t="n">
        <x:v>0.012868052769830683</x:v>
      </x:c>
      <x:c r="T607" s="75" t="n">
        <x:v>0.006607424114430615</x:v>
      </x:c>
      <x:c r="U607" s="75" t="n">
        <x:v>0.01061357887860504</x:v>
      </x:c>
      <x:c r="V607" s="75" t="n">
        <x:v>0.03873639143990295</x:v>
      </x:c>
      <x:c r="W607" s="75" t="n">
        <x:v>0.013097235475486376</x:v>
      </x:c>
      <x:c r="X607" s="75" t="n">
        <x:v>0.02435389701406413</x:v>
      </x:c>
      <x:c r="Y607" s="75" t="n">
        <x:v>0.019687145625676496</x:v>
      </x:c>
      <x:c r="Z607" s="75" t="n">
        <x:v>0.005142108218593058</x:v>
      </x:c>
      <x:c r="AA607" s="75" t="n">
        <x:v>0.005546861309821106</x:v>
      </x:c>
      <x:c r="AB607" s="75" t="n">
        <x:v>0.006041790801414755</x:v>
      </x:c>
      <x:c r="AC607" s="75" t="n">
        <x:v>0.02053178382639889</x:v>
      </x:c>
      <x:c r="AD607" s="75" t="n">
        <x:v>0.10926349512234447</x:v>
      </x:c>
      <x:c r="AE607" s="75" t="n">
        <x:v>0.08923224275530083</x:v>
      </x:c>
      <x:c r="AF607" s="74" t="n">
        <x:v>5</x:v>
      </x:c>
    </x:row>
    <x:row r="608">
      <x:c r="A608" t="str">
        <x:v>2026 S1</x:v>
      </x:c>
      <x:c r="B608" t="str">
        <x:v>CNCT0152</x:v>
      </x:c>
      <x:c r="C608" s="74" t="n">
        <x:v>915</x:v>
      </x:c>
      <x:c r="D608" s="74" t="n">
        <x:v>952.059</x:v>
      </x:c>
      <x:c r="E608" s="75" t="n">
        <x:v>0.9844068177513254</x:v>
      </x:c>
      <x:c r="F608" s="75" t="n">
        <x:v>0.20951940111769365</x:v>
      </x:c>
      <x:c r="G608" s="75" t="n">
        <x:v>0.012391122882065246</x:v>
      </x:c>
      <x:c r="H608" s="75" t="n">
        <x:v>0.012624992949880835</x:v>
      </x:c>
      <x:c r="I608" s="75" t="n">
        <x:v>0.008076776734242685</x:v>
      </x:c>
      <x:c r="J608" s="75" t="n">
        <x:v>0.016725241884982096</x:v>
      </x:c>
      <x:c r="K608" s="75" t="n">
        <x:v>0.011505115696658321</x:v>
      </x:c>
      <x:c r="L608" s="75" t="n">
        <x:v>0.01182585283217486</x:v>
      </x:c>
      <x:c r="M608" s="75" t="n">
        <x:v>0.006559527389115829</x:v>
      </x:c>
      <x:c r="N608" s="75" t="n">
        <x:v>0.006444523271085928</x:v>
      </x:c>
      <x:c r="O608" s="75" t="n">
        <x:v>0.008159880824430728</x:v>
      </x:c>
      <x:c r="P608" s="75" t="n">
        <x:v>0.0010089616950717754</x:v>
      </x:c>
      <x:c r="Q608" s="75" t="n">
        <x:v>0.004277364996087272</x:v>
      </x:c>
      <x:c r="R608" s="75" t="n">
        <x:v>0.38398272906626124</x:v>
      </x:c>
      <x:c r="S608" s="75" t="n">
        <x:v>0.012868052769830683</x:v>
      </x:c>
      <x:c r="T608" s="75" t="n">
        <x:v>0.006607424114430615</x:v>
      </x:c>
      <x:c r="U608" s="75" t="n">
        <x:v>0.01061357887860504</x:v>
      </x:c>
      <x:c r="V608" s="75" t="n">
        <x:v>0.03873639143990295</x:v>
      </x:c>
      <x:c r="W608" s="75" t="n">
        <x:v>0.016115506524383066</x:v>
      </x:c>
      <x:c r="X608" s="75" t="n">
        <x:v>0.02996627700241672</x:v>
      </x:c>
      <x:c r="Y608" s="75" t="n">
        <x:v>0.024224068076876895</x:v>
      </x:c>
      <x:c r="Z608" s="75" t="n">
        <x:v>0.0063271122139416875</x:v>
      </x:c>
      <x:c r="AA608" s="75" t="n">
        <x:v>0.006825141060919229</x:v>
      </x:c>
      <x:c r="AB608" s="75" t="n">
        <x:v>0.007434127550153197</x:v>
      </x:c>
      <x:c r="AC608" s="75" t="n">
        <x:v>0.03663186329700899</x:v>
      </x:c>
      <x:c r="AD608" s="75" t="n">
        <x:v>0.12018984463457892</x:v>
      </x:c>
      <x:c r="AE608" s="75" t="n">
        <x:v>0.14252373449042421</x:v>
      </x:c>
      <x:c r="AF608" s="74" t="n">
        <x:v>5</x:v>
      </x:c>
    </x:row>
    <x:row r="609">
      <x:c r="A609" t="str">
        <x:v>2026 S2</x:v>
      </x:c>
      <x:c r="B609" t="str">
        <x:v>CNCT0152</x:v>
      </x:c>
      <x:c r="C609" s="74" t="n">
        <x:v>490</x:v>
      </x:c>
      <x:c r="D609" s="74" t="n">
        <x:v>961.075</x:v>
      </x:c>
      <x:c r="E609" s="75" t="n">
        <x:v>0.9624417862512636</x:v>
      </x:c>
      <x:c r="F609" s="75" t="n">
        <x:v>0.19325502936523845</x:v>
      </x:c>
      <x:c r="G609" s="75" t="n">
        <x:v>0.014218337040234473</x:v>
      </x:c>
      <x:c r="H609" s="75" t="n">
        <x:v>0.012624992949880835</x:v>
      </x:c>
      <x:c r="I609" s="75" t="n">
        <x:v>0.008076776734242685</x:v>
      </x:c>
      <x:c r="J609" s="75" t="n">
        <x:v>0.016725241884982096</x:v>
      </x:c>
      <x:c r="K609" s="75" t="n">
        <x:v>0.011505115696658321</x:v>
      </x:c>
      <x:c r="L609" s="75" t="n">
        <x:v>0.01182585283217486</x:v>
      </x:c>
      <x:c r="M609" s="75" t="n">
        <x:v>0.006559527389115829</x:v>
      </x:c>
      <x:c r="N609" s="75" t="n">
        <x:v>0.006444523271085928</x:v>
      </x:c>
      <x:c r="O609" s="75" t="n">
        <x:v>0.01005346997817105</x:v>
      </x:c>
      <x:c r="P609" s="75" t="n">
        <x:v>0.0010089616950717754</x:v>
      </x:c>
      <x:c r="Q609" s="75" t="n">
        <x:v>0.004277364996087272</x:v>
      </x:c>
      <x:c r="R609" s="75" t="n">
        <x:v>0.3677524380772625</x:v>
      </x:c>
      <x:c r="S609" s="75" t="n">
        <x:v>0.012868052769830683</x:v>
      </x:c>
      <x:c r="T609" s="75" t="n">
        <x:v>0.006607424114430615</x:v>
      </x:c>
      <x:c r="U609" s="75" t="n">
        <x:v>0.01061357887860504</x:v>
      </x:c>
      <x:c r="V609" s="75" t="n">
        <x:v>0.03873639143990295</x:v>
      </x:c>
      <x:c r="W609" s="75" t="n">
        <x:v>0.01388306960401556</x:v>
      </x:c>
      <x:c r="X609" s="75" t="n">
        <x:v>0.02581513083490798</x:v>
      </x:c>
      <x:c r="Y609" s="75" t="n">
        <x:v>0.020868374363217087</x:v>
      </x:c>
      <x:c r="Z609" s="75" t="n">
        <x:v>0.005450634711708642</x:v>
      </x:c>
      <x:c r="AA609" s="75" t="n">
        <x:v>0.005879672988410373</x:v>
      </x:c>
      <x:c r="AB609" s="75" t="n">
        <x:v>0.006404298249499641</x:v>
      </x:c>
      <x:c r="AC609" s="75" t="n">
        <x:v>0.0315573517411751</x:v>
      </x:c>
      <x:c r="AD609" s="75" t="n">
        <x:v>0.11800457473213204</x:v>
      </x:c>
      <x:c r="AE609" s="75" t="n">
        <x:v>0.18894744043062164</x:v>
      </x:c>
      <x:c r="AF609" s="74" t="n">
        <x:v>5</x:v>
      </x:c>
    </x:row>
    <x:row r="610">
      <x:c r="A610" t="str">
        <x:v>2025 S1</x:v>
      </x:c>
      <x:c r="B610" t="str">
        <x:v>CNCT0153</x:v>
      </x:c>
      <x:c r="C610" s="74" t="n">
        <x:v>2140</x:v>
      </x:c>
      <x:c r="D610" s="74" t="n">
        <x:v>1210.834</x:v>
      </x:c>
      <x:c r="E610" s="75" t="n">
        <x:v>0.9744272012167493</x:v>
      </x:c>
      <x:c r="F610" s="75" t="n">
        <x:v>0.19100254898285493</x:v>
      </x:c>
      <x:c r="G610" s="75" t="n">
        <x:v>0.01929773636101163</x:v>
      </x:c>
      <x:c r="H610" s="75" t="n">
        <x:v>0.012011031515176001</x:v>
      </x:c>
      <x:c r="I610" s="75" t="n">
        <x:v>0.007643342391591432</x:v>
      </x:c>
      <x:c r="J610" s="75" t="n">
        <x:v>0.015400018589367391</x:v>
      </x:c>
      <x:c r="K610" s="75" t="n">
        <x:v>0.013514511890143695</x:v>
      </x:c>
      <x:c r="L610" s="75" t="n">
        <x:v>0.010191720697948766</x:v>
      </x:c>
      <x:c r="M610" s="75" t="n">
        <x:v>0.008756284810049692</x:v>
      </x:c>
      <x:c r="N610" s="75" t="n">
        <x:v>0.006520000378222903</x:v>
      </x:c>
      <x:c r="O610" s="75" t="n">
        <x:v>0.00786988686560653</x:v>
      </x:c>
      <x:c r="P610" s="75" t="n">
        <x:v>0.0017195826686220244</x:v>
      </x:c>
      <x:c r="Q610" s="75" t="n">
        <x:v>0.0013501190074894113</x:v>
      </x:c>
      <x:c r="R610" s="75" t="n">
        <x:v>0.3723847706544523</x:v>
      </x:c>
      <x:c r="S610" s="75" t="n">
        <x:v>0.014367815023564618</x:v>
      </x:c>
      <x:c r="T610" s="75" t="n">
        <x:v>0.0033310095513152194</x:v>
      </x:c>
      <x:c r="U610" s="75" t="n">
        <x:v>0.011892346286200336</x:v>
      </x:c>
      <x:c r="V610" s="75" t="n">
        <x:v>0.030028725877860783</x:v>
      </x:c>
      <x:c r="W610" s="75" t="n">
        <x:v>0.010585584062436829</x:v>
      </x:c>
      <x:c r="X610" s="75" t="n">
        <x:v>0.017610500217690714</x:v>
      </x:c>
      <x:c r="Y610" s="75" t="n">
        <x:v>0.01855375786058605</x:v>
      </x:c>
      <x:c r="Z610" s="75" t="n">
        <x:v>0.004153120933254832</x:v>
      </x:c>
      <x:c r="AA610" s="75" t="n">
        <x:v>0.008949718964996573</x:v>
      </x:c>
      <x:c r="AB610" s="75" t="n">
        <x:v>0.0033460600871918363</x:v>
      </x:c>
      <x:c r="AC610" s="75" t="n">
        <x:v>0.025984495862129548</x:v>
      </x:c>
      <x:c r="AD610" s="75" t="n">
        <x:v>0.09239252865068556</x:v>
      </x:c>
      <x:c r="AE610" s="75" t="n">
        <x:v>0.08553841026179726</x:v>
      </x:c>
      <x:c r="AF610" s="74" t="n">
        <x:v>8</x:v>
      </x:c>
    </x:row>
    <x:row r="611">
      <x:c r="A611" t="str">
        <x:v>2025 S2</x:v>
      </x:c>
      <x:c r="B611" t="str">
        <x:v>CNCT0153</x:v>
      </x:c>
      <x:c r="C611" s="74" t="n">
        <x:v>2319</x:v>
      </x:c>
      <x:c r="D611" s="74" t="n">
        <x:v>1225.364</x:v>
      </x:c>
      <x:c r="E611" s="75" t="n">
        <x:v>0.9828588264964055</x:v>
      </x:c>
      <x:c r="F611" s="75" t="n">
        <x:v>0.19100254898285493</x:v>
      </x:c>
      <x:c r="G611" s="75" t="n">
        <x:v>0.01929773636101163</x:v>
      </x:c>
      <x:c r="H611" s="75" t="n">
        <x:v>0.012011031515176001</x:v>
      </x:c>
      <x:c r="I611" s="75" t="n">
        <x:v>0.007643342391591432</x:v>
      </x:c>
      <x:c r="J611" s="75" t="n">
        <x:v>0.015400018589367391</x:v>
      </x:c>
      <x:c r="K611" s="75" t="n">
        <x:v>0.013514511890143695</x:v>
      </x:c>
      <x:c r="L611" s="75" t="n">
        <x:v>0.010191720697948766</x:v>
      </x:c>
      <x:c r="M611" s="75" t="n">
        <x:v>0.008756284810049692</x:v>
      </x:c>
      <x:c r="N611" s="75" t="n">
        <x:v>0.006520000378222903</x:v>
      </x:c>
      <x:c r="O611" s="75" t="n">
        <x:v>0.00786988686560653</x:v>
      </x:c>
      <x:c r="P611" s="75" t="n">
        <x:v>0.0017195826686220244</x:v>
      </x:c>
      <x:c r="Q611" s="75" t="n">
        <x:v>0.0013501190074894113</x:v>
      </x:c>
      <x:c r="R611" s="75" t="n">
        <x:v>0.34907000204611355</x:v>
      </x:c>
      <x:c r="S611" s="75" t="n">
        <x:v>0.014367815023564618</x:v>
      </x:c>
      <x:c r="T611" s="75" t="n">
        <x:v>0.0033310095513152194</x:v>
      </x:c>
      <x:c r="U611" s="75" t="n">
        <x:v>0.011892346286200336</x:v>
      </x:c>
      <x:c r="V611" s="75" t="n">
        <x:v>0.030028725877860783</x:v>
      </x:c>
      <x:c r="W611" s="75" t="n">
        <x:v>0.010585584062436829</x:v>
      </x:c>
      <x:c r="X611" s="75" t="n">
        <x:v>0.017610500217690714</x:v>
      </x:c>
      <x:c r="Y611" s="75" t="n">
        <x:v>0.01855375786058605</x:v>
      </x:c>
      <x:c r="Z611" s="75" t="n">
        <x:v>0.004153120933254832</x:v>
      </x:c>
      <x:c r="AA611" s="75" t="n">
        <x:v>0.008949718964996573</x:v>
      </x:c>
      <x:c r="AB611" s="75" t="n">
        <x:v>0.0033460600871918363</x:v>
      </x:c>
      <x:c r="AC611" s="75" t="n">
        <x:v>0.025984495862129548</x:v>
      </x:c>
      <x:c r="AD611" s="75" t="n">
        <x:v>0.09239252865068556</x:v>
      </x:c>
      <x:c r="AE611" s="75" t="n">
        <x:v>0.08553841026179726</x:v>
      </x:c>
      <x:c r="AF611" s="74" t="n">
        <x:v>8</x:v>
      </x:c>
    </x:row>
    <x:row r="612">
      <x:c r="A612" t="str">
        <x:v>2026 S1</x:v>
      </x:c>
      <x:c r="B612" t="str">
        <x:v>CNCT0153</x:v>
      </x:c>
      <x:c r="C612" s="74" t="n">
        <x:v>2132</x:v>
      </x:c>
      <x:c r="D612" s="74" t="n">
        <x:v>1261.129</x:v>
      </x:c>
      <x:c r="E612" s="75" t="n">
        <x:v>0.9751881550548932</x:v>
      </x:c>
      <x:c r="F612" s="75" t="n">
        <x:v>0.19421700505488843</x:v>
      </x:c>
      <x:c r="G612" s="75" t="n">
        <x:v>0.017348144672825583</x:v>
      </x:c>
      <x:c r="H612" s="75" t="n">
        <x:v>0.012011031515176001</x:v>
      </x:c>
      <x:c r="I612" s="75" t="n">
        <x:v>0.007643342391591432</x:v>
      </x:c>
      <x:c r="J612" s="75" t="n">
        <x:v>0.015400018589367391</x:v>
      </x:c>
      <x:c r="K612" s="75" t="n">
        <x:v>0.013514511890143695</x:v>
      </x:c>
      <x:c r="L612" s="75" t="n">
        <x:v>0.010191720697948766</x:v>
      </x:c>
      <x:c r="M612" s="75" t="n">
        <x:v>0.008756284810049692</x:v>
      </x:c>
      <x:c r="N612" s="75" t="n">
        <x:v>0.006520000378222903</x:v>
      </x:c>
      <x:c r="O612" s="75" t="n">
        <x:v>0.008413785342156187</x:v>
      </x:c>
      <x:c r="P612" s="75" t="n">
        <x:v>0.0017195826686220244</x:v>
      </x:c>
      <x:c r="Q612" s="75" t="n">
        <x:v>0.0013501190074894113</x:v>
      </x:c>
      <x:c r="R612" s="75" t="n">
        <x:v>0.36597117721296746</x:v>
      </x:c>
      <x:c r="S612" s="75" t="n">
        <x:v>0.014367815023564618</x:v>
      </x:c>
      <x:c r="T612" s="75" t="n">
        <x:v>0.0033310095513152194</x:v>
      </x:c>
      <x:c r="U612" s="75" t="n">
        <x:v>0.011892346286200336</x:v>
      </x:c>
      <x:c r="V612" s="75" t="n">
        <x:v>0.030028725877860783</x:v>
      </x:c>
      <x:c r="W612" s="75" t="n">
        <x:v>0.013025042524576817</x:v>
      </x:c>
      <x:c r="X612" s="75" t="n">
        <x:v>0.02166885765221419</x:v>
      </x:c>
      <x:c r="Y612" s="75" t="n">
        <x:v>0.02282948996478926</x:v>
      </x:c>
      <x:c r="Z612" s="75" t="n">
        <x:v>0.005110211816966255</x:v>
      </x:c>
      <x:c r="AA612" s="75" t="n">
        <x:v>0.01101219067502801</x:v>
      </x:c>
      <x:c r="AB612" s="75" t="n">
        <x:v>0.004117162989628185</x:v>
      </x:c>
      <x:c r="AC612" s="75" t="n">
        <x:v>0.03197264899014139</x:v>
      </x:c>
      <x:c r="AD612" s="75" t="n">
        <x:v>0.09239252865068556</x:v>
      </x:c>
      <x:c r="AE612" s="75" t="n">
        <x:v>0.08553841026179726</x:v>
      </x:c>
      <x:c r="AF612" s="74" t="n">
        <x:v>8</x:v>
      </x:c>
    </x:row>
    <x:row r="613">
      <x:c r="A613" t="str">
        <x:v>2026 S2</x:v>
      </x:c>
      <x:c r="B613" t="str">
        <x:v>CNCT0153</x:v>
      </x:c>
      <x:c r="C613" s="74" t="n">
        <x:v>2287</x:v>
      </x:c>
      <x:c r="D613" s="74" t="n">
        <x:v>1283.499</x:v>
      </x:c>
      <x:c r="E613" s="75" t="n">
        <x:v>0.9828588264964055</x:v>
      </x:c>
      <x:c r="F613" s="75" t="n">
        <x:v>0.18455345405244725</x:v>
      </x:c>
      <x:c r="G613" s="75" t="n">
        <x:v>0.019740669339866145</x:v>
      </x:c>
      <x:c r="H613" s="75" t="n">
        <x:v>0.012011031515176001</x:v>
      </x:c>
      <x:c r="I613" s="75" t="n">
        <x:v>0.007643342391591432</x:v>
      </x:c>
      <x:c r="J613" s="75" t="n">
        <x:v>0.015400018589367391</x:v>
      </x:c>
      <x:c r="K613" s="75" t="n">
        <x:v>0.013514511890143695</x:v>
      </x:c>
      <x:c r="L613" s="75" t="n">
        <x:v>0.010191720697948766</x:v>
      </x:c>
      <x:c r="M613" s="75" t="n">
        <x:v>0.008756284810049692</x:v>
      </x:c>
      <x:c r="N613" s="75" t="n">
        <x:v>0.006520000378222903</x:v>
      </x:c>
      <x:c r="O613" s="75" t="n">
        <x:v>0.00786988686560653</x:v>
      </x:c>
      <x:c r="P613" s="75" t="n">
        <x:v>0.0017195826686220244</x:v>
      </x:c>
      <x:c r="Q613" s="75" t="n">
        <x:v>0.0013501190074894113</x:v>
      </x:c>
      <x:c r="R613" s="75" t="n">
        <x:v>0.3543866471592018</x:v>
      </x:c>
      <x:c r="S613" s="75" t="n">
        <x:v>0.014367815023564618</x:v>
      </x:c>
      <x:c r="T613" s="75" t="n">
        <x:v>0.0033310095513152194</x:v>
      </x:c>
      <x:c r="U613" s="75" t="n">
        <x:v>0.011892346286200336</x:v>
      </x:c>
      <x:c r="V613" s="75" t="n">
        <x:v>0.030028725877860783</x:v>
      </x:c>
      <x:c r="W613" s="75" t="n">
        <x:v>0.011220719106183039</x:v>
      </x:c>
      <x:c r="X613" s="75" t="n">
        <x:v>0.018667130230752157</x:v>
      </x:c>
      <x:c r="Y613" s="75" t="n">
        <x:v>0.019666983332221215</x:v>
      </x:c>
      <x:c r="Z613" s="75" t="n">
        <x:v>0.004402308189250121</x:v>
      </x:c>
      <x:c r="AA613" s="75" t="n">
        <x:v>0.009486702102896368</x:v>
      </x:c>
      <x:c r="AB613" s="75" t="n">
        <x:v>0.0035468236924233467</x:v>
      </x:c>
      <x:c r="AC613" s="75" t="n">
        <x:v>0.02754356561385732</x:v>
      </x:c>
      <x:c r="AD613" s="75" t="n">
        <x:v>0.09239252865068556</x:v>
      </x:c>
      <x:c r="AE613" s="75" t="n">
        <x:v>0.08553841026179726</x:v>
      </x:c>
      <x:c r="AF613" s="74" t="n">
        <x:v>8</x:v>
      </x:c>
    </x:row>
    <x:row r="614">
      <x:c r="A614" t="str">
        <x:v>2025 S1</x:v>
      </x:c>
      <x:c r="B614" t="str">
        <x:v>CNCT0154</x:v>
      </x:c>
      <x:c r="C614" s="74" t="n">
        <x:v>2176</x:v>
      </x:c>
      <x:c r="D614" s="74" t="n">
        <x:v>1226.382</x:v>
      </x:c>
      <x:c r="E614" s="75" t="n">
        <x:v>0.9678974035381689</x:v>
      </x:c>
      <x:c r="F614" s="75" t="n">
        <x:v>0.15821437480393796</x:v>
      </x:c>
      <x:c r="G614" s="75" t="n">
        <x:v>0.018475446224561893</x:v>
      </x:c>
      <x:c r="H614" s="75" t="n">
        <x:v>0.012195051881557447</x:v>
      </x:c>
      <x:c r="I614" s="75" t="n">
        <x:v>0.0100982146737515</x:v>
      </x:c>
      <x:c r="J614" s="75" t="n">
        <x:v>0.010675054612249369</x:v>
      </x:c>
      <x:c r="K614" s="75" t="n">
        <x:v>0.011490339184845651</x:v>
      </x:c>
      <x:c r="L614" s="75" t="n">
        <x:v>0.00989321391320135</x:v>
      </x:c>
      <x:c r="M614" s="75" t="n">
        <x:v>0.008120498810101708</x:v>
      </x:c>
      <x:c r="N614" s="75" t="n">
        <x:v>0.0067701620010484475</x:v>
      </x:c>
      <x:c r="O614" s="75" t="n">
        <x:v>0.007929419690713984</x:v>
      </x:c>
      <x:c r="P614" s="75" t="n">
        <x:v>0.0014464595424142318</x:v>
      </x:c>
      <x:c r="Q614" s="75" t="n">
        <x:v>0.005182735922760912</x:v>
      </x:c>
      <x:c r="R614" s="75" t="n">
        <x:v>0.3701324005308115</x:v>
      </x:c>
      <x:c r="S614" s="75" t="n">
        <x:v>0.011888623925828143</x:v>
      </x:c>
      <x:c r="T614" s="75" t="n">
        <x:v>0.005264531247521518</x:v>
      </x:c>
      <x:c r="U614" s="75" t="n">
        <x:v>0.012768699087173443</x:v>
      </x:c>
      <x:c r="V614" s="75" t="n">
        <x:v>0.03389710710436339</x:v>
      </x:c>
      <x:c r="W614" s="75" t="n">
        <x:v>0.011437081382633187</x:v>
      </x:c>
      <x:c r="X614" s="75" t="n">
        <x:v>0.018242418956563342</x:v>
      </x:c>
      <x:c r="Y614" s="75" t="n">
        <x:v>0.01973789286610438</x:v>
      </x:c>
      <x:c r="Z614" s="75" t="n">
        <x:v>0.007732269634923432</x:v>
      </x:c>
      <x:c r="AA614" s="75" t="n">
        <x:v>0.007812580034883576</x:v>
      </x:c>
      <x:c r="AB614" s="75" t="n">
        <x:v>0.00695845977718418</x:v>
      </x:c>
      <x:c r="AC614" s="75" t="n">
        <x:v>0.02705729420898278</x:v>
      </x:c>
      <x:c r="AD614" s="75" t="n">
        <x:v>0.10708172317529897</x:v>
      </x:c>
      <x:c r="AE614" s="75" t="n">
        <x:v>0.0661460912233597</x:v>
      </x:c>
      <x:c r="AF614" s="74" t="n">
        <x:v>12</x:v>
      </x:c>
    </x:row>
    <x:row r="615">
      <x:c r="A615" t="str">
        <x:v>2025 S2</x:v>
      </x:c>
      <x:c r="B615" t="str">
        <x:v>CNCT0154</x:v>
      </x:c>
      <x:c r="C615" s="74" t="n">
        <x:v>2315</x:v>
      </x:c>
      <x:c r="D615" s="74" t="n">
        <x:v>1241.099</x:v>
      </x:c>
      <x:c r="E615" s="75" t="n">
        <x:v>0.9839247294061352</x:v>
      </x:c>
      <x:c r="F615" s="75" t="n">
        <x:v>0.15821437480393796</x:v>
      </x:c>
      <x:c r="G615" s="75" t="n">
        <x:v>0.018475446224561893</x:v>
      </x:c>
      <x:c r="H615" s="75" t="n">
        <x:v>0.012195051881557447</x:v>
      </x:c>
      <x:c r="I615" s="75" t="n">
        <x:v>0.0100982146737515</x:v>
      </x:c>
      <x:c r="J615" s="75" t="n">
        <x:v>0.010675054612249369</x:v>
      </x:c>
      <x:c r="K615" s="75" t="n">
        <x:v>0.011490339184845651</x:v>
      </x:c>
      <x:c r="L615" s="75" t="n">
        <x:v>0.00989321391320135</x:v>
      </x:c>
      <x:c r="M615" s="75" t="n">
        <x:v>0.008120498810101708</x:v>
      </x:c>
      <x:c r="N615" s="75" t="n">
        <x:v>0.0067701620010484475</x:v>
      </x:c>
      <x:c r="O615" s="75" t="n">
        <x:v>0.007929419690713984</x:v>
      </x:c>
      <x:c r="P615" s="75" t="n">
        <x:v>0.0014464595424142318</x:v>
      </x:c>
      <x:c r="Q615" s="75" t="n">
        <x:v>0.005182735922760912</x:v>
      </x:c>
      <x:c r="R615" s="75" t="n">
        <x:v>0.3709805769243103</x:v>
      </x:c>
      <x:c r="S615" s="75" t="n">
        <x:v>0.011888623925828143</x:v>
      </x:c>
      <x:c r="T615" s="75" t="n">
        <x:v>0.005264531247521518</x:v>
      </x:c>
      <x:c r="U615" s="75" t="n">
        <x:v>0.012768699087173443</x:v>
      </x:c>
      <x:c r="V615" s="75" t="n">
        <x:v>0.03389710710436339</x:v>
      </x:c>
      <x:c r="W615" s="75" t="n">
        <x:v>0.011437081382633187</x:v>
      </x:c>
      <x:c r="X615" s="75" t="n">
        <x:v>0.018242418956563342</x:v>
      </x:c>
      <x:c r="Y615" s="75" t="n">
        <x:v>0.01973789286610438</x:v>
      </x:c>
      <x:c r="Z615" s="75" t="n">
        <x:v>0.007732269634923432</x:v>
      </x:c>
      <x:c r="AA615" s="75" t="n">
        <x:v>0.007812580034883576</x:v>
      </x:c>
      <x:c r="AB615" s="75" t="n">
        <x:v>0.00695845977718418</x:v>
      </x:c>
      <x:c r="AC615" s="75" t="n">
        <x:v>0.02705729420898278</x:v>
      </x:c>
      <x:c r="AD615" s="75" t="n">
        <x:v>0.10708172317529897</x:v>
      </x:c>
      <x:c r="AE615" s="75" t="n">
        <x:v>0.0661460912233597</x:v>
      </x:c>
      <x:c r="AF615" s="74" t="n">
        <x:v>12</x:v>
      </x:c>
    </x:row>
    <x:row r="616">
      <x:c r="A616" t="str">
        <x:v>2026 S1</x:v>
      </x:c>
      <x:c r="B616" t="str">
        <x:v>CNCT0154</x:v>
      </x:c>
      <x:c r="C616" s="74" t="n">
        <x:v>2211</x:v>
      </x:c>
      <x:c r="D616" s="74" t="n">
        <x:v>1286.572</x:v>
      </x:c>
      <x:c r="E616" s="75" t="n">
        <x:v>0.970193799672139</x:v>
      </x:c>
      <x:c r="F616" s="75" t="n">
        <x:v>0.1584387010710775</x:v>
      </x:c>
      <x:c r="G616" s="75" t="n">
        <x:v>0.02009513632478047</x:v>
      </x:c>
      <x:c r="H616" s="75" t="n">
        <x:v>0.012195051881557447</x:v>
      </x:c>
      <x:c r="I616" s="75" t="n">
        <x:v>0.0100982146737515</x:v>
      </x:c>
      <x:c r="J616" s="75" t="n">
        <x:v>0.010675054612249369</x:v>
      </x:c>
      <x:c r="K616" s="75" t="n">
        <x:v>0.011490339184845651</x:v>
      </x:c>
      <x:c r="L616" s="75" t="n">
        <x:v>0.00989321391320135</x:v>
      </x:c>
      <x:c r="M616" s="75" t="n">
        <x:v>0.008120498810101708</x:v>
      </x:c>
      <x:c r="N616" s="75" t="n">
        <x:v>0.0067701620010484475</x:v>
      </x:c>
      <x:c r="O616" s="75" t="n">
        <x:v>0.008789083526557079</x:v>
      </x:c>
      <x:c r="P616" s="75" t="n">
        <x:v>0.0014464595424142318</x:v>
      </x:c>
      <x:c r="Q616" s="75" t="n">
        <x:v>0.005182735922760912</x:v>
      </x:c>
      <x:c r="R616" s="75" t="n">
        <x:v>0.37069169578362515</x:v>
      </x:c>
      <x:c r="S616" s="75" t="n">
        <x:v>0.011888623925828143</x:v>
      </x:c>
      <x:c r="T616" s="75" t="n">
        <x:v>0.005264531247521518</x:v>
      </x:c>
      <x:c r="U616" s="75" t="n">
        <x:v>0.012768699087173443</x:v>
      </x:c>
      <x:c r="V616" s="75" t="n">
        <x:v>0.03389710710436339</x:v>
      </x:c>
      <x:c r="W616" s="75" t="n">
        <x:v>0.014072768256072038</x:v>
      </x:c>
      <x:c r="X616" s="75" t="n">
        <x:v>0.022446402698131872</x:v>
      </x:c>
      <x:c r="Y616" s="75" t="n">
        <x:v>0.024286510069749412</x:v>
      </x:c>
      <x:c r="Z616" s="75" t="n">
        <x:v>0.009514178926012641</x:v>
      </x:c>
      <x:c r="AA616" s="75" t="n">
        <x:v>0.009612996938176804</x:v>
      </x:c>
      <x:c r="AB616" s="75" t="n">
        <x:v>0.008562043810600757</x:v>
      </x:c>
      <x:c r="AC616" s="75" t="n">
        <x:v>0.03329267479180154</x:v>
      </x:c>
      <x:c r="AD616" s="75" t="n">
        <x:v>0.10708172317529897</x:v>
      </x:c>
      <x:c r="AE616" s="75" t="n">
        <x:v>0.0661460912233597</x:v>
      </x:c>
      <x:c r="AF616" s="74" t="n">
        <x:v>12</x:v>
      </x:c>
    </x:row>
    <x:row r="617">
      <x:c r="A617" t="str">
        <x:v>2026 S2</x:v>
      </x:c>
      <x:c r="B617" t="str">
        <x:v>CNCT0154</x:v>
      </x:c>
      <x:c r="C617" s="74" t="n">
        <x:v>2372</x:v>
      </x:c>
      <x:c r="D617" s="74" t="n">
        <x:v>1285.204</x:v>
      </x:c>
      <x:c r="E617" s="75" t="n">
        <x:v>0.9839247294061352</x:v>
      </x:c>
      <x:c r="F617" s="75" t="n">
        <x:v>0.1523301230233337</x:v>
      </x:c>
      <x:c r="G617" s="75" t="n">
        <x:v>0.017171328828386324</x:v>
      </x:c>
      <x:c r="H617" s="75" t="n">
        <x:v>0.012195051881557447</x:v>
      </x:c>
      <x:c r="I617" s="75" t="n">
        <x:v>0.0100982146737515</x:v>
      </x:c>
      <x:c r="J617" s="75" t="n">
        <x:v>0.010675054612249369</x:v>
      </x:c>
      <x:c r="K617" s="75" t="n">
        <x:v>0.011490339184845651</x:v>
      </x:c>
      <x:c r="L617" s="75" t="n">
        <x:v>0.00989321391320135</x:v>
      </x:c>
      <x:c r="M617" s="75" t="n">
        <x:v>0.008120498810101708</x:v>
      </x:c>
      <x:c r="N617" s="75" t="n">
        <x:v>0.0067701620010484475</x:v>
      </x:c>
      <x:c r="O617" s="75" t="n">
        <x:v>0.007929419690713984</x:v>
      </x:c>
      <x:c r="P617" s="75" t="n">
        <x:v>0.0014464595424142318</x:v>
      </x:c>
      <x:c r="Q617" s="75" t="n">
        <x:v>0.005182735922760912</x:v>
      </x:c>
      <x:c r="R617" s="75" t="n">
        <x:v>0.3756811762295412</x:v>
      </x:c>
      <x:c r="S617" s="75" t="n">
        <x:v>0.011888623925828143</x:v>
      </x:c>
      <x:c r="T617" s="75" t="n">
        <x:v>0.005264531247521518</x:v>
      </x:c>
      <x:c r="U617" s="75" t="n">
        <x:v>0.012768699087173443</x:v>
      </x:c>
      <x:c r="V617" s="75" t="n">
        <x:v>0.03389710710436339</x:v>
      </x:c>
      <x:c r="W617" s="75" t="n">
        <x:v>0.01212330626559118</x:v>
      </x:c>
      <x:c r="X617" s="75" t="n">
        <x:v>0.019336964093957142</x:v>
      </x:c>
      <x:c r="Y617" s="75" t="n">
        <x:v>0.02092216643807064</x:v>
      </x:c>
      <x:c r="Z617" s="75" t="n">
        <x:v>0.00819620581301884</x:v>
      </x:c>
      <x:c r="AA617" s="75" t="n">
        <x:v>0.008281334836976592</x:v>
      </x:c>
      <x:c r="AB617" s="75" t="n">
        <x:v>0.007375967363815231</x:v>
      </x:c>
      <x:c r="AC617" s="75" t="n">
        <x:v>0.02868073186152175</x:v>
      </x:c>
      <x:c r="AD617" s="75" t="n">
        <x:v>0.10708172317529897</x:v>
      </x:c>
      <x:c r="AE617" s="75" t="n">
        <x:v>0.0661460912233597</x:v>
      </x:c>
      <x:c r="AF617" s="74" t="n">
        <x:v>12</x:v>
      </x:c>
    </x:row>
    <x:row r="618">
      <x:c r="A618" t="str">
        <x:v>2025 S1</x:v>
      </x:c>
      <x:c r="B618" t="str">
        <x:v>CNCT0155</x:v>
      </x:c>
      <x:c r="C618" s="74" t="n">
        <x:v>1640</x:v>
      </x:c>
      <x:c r="D618" s="74" t="n">
        <x:v>1059.213</x:v>
      </x:c>
      <x:c r="E618" s="75" t="n">
        <x:v>0.9636255081568961</x:v>
      </x:c>
      <x:c r="F618" s="75" t="n">
        <x:v>0.17021700542466714</x:v>
      </x:c>
      <x:c r="G618" s="75" t="n">
        <x:v>0.013032400430878624</x:v>
      </x:c>
      <x:c r="H618" s="75" t="n">
        <x:v>0.011171006225209567</x:v>
      </x:c>
      <x:c r="I618" s="75" t="n">
        <x:v>0.009156811063920032</x:v>
      </x:c>
      <x:c r="J618" s="75" t="n">
        <x:v>0.015074397689721082</x:v>
      </x:c>
      <x:c r="K618" s="75" t="n">
        <x:v>0.010904910733705036</x:v>
      </x:c>
      <x:c r="L618" s="75" t="n">
        <x:v>0.013647250865411478</x:v>
      </x:c>
      <x:c r="M618" s="75" t="n">
        <x:v>0.007100922270654337</x:v>
      </x:c>
      <x:c r="N618" s="75" t="n">
        <x:v>0.006337058236589655</x:v>
      </x:c>
      <x:c r="O618" s="75" t="n">
        <x:v>0.006754391460286569</x:v>
      </x:c>
      <x:c r="P618" s="75" t="n">
        <x:v>0.0013487661669496448</x:v>
      </x:c>
      <x:c r="Q618" s="75" t="n">
        <x:v>0.0037663316122052495</x:v>
      </x:c>
      <x:c r="R618" s="75" t="n">
        <x:v>0.3748459864523355</x:v>
      </x:c>
      <x:c r="S618" s="75" t="n">
        <x:v>0.01672185342806915</x:v>
      </x:c>
      <x:c r="T618" s="75" t="n">
        <x:v>0.0058155548462818845</x:v>
      </x:c>
      <x:c r="U618" s="75" t="n">
        <x:v>0.010590179868042468</x:v>
      </x:c>
      <x:c r="V618" s="75" t="n">
        <x:v>0.036984780998536734</x:v>
      </x:c>
      <x:c r="W618" s="75" t="n">
        <x:v>0.011655794980587962</x:v>
      </x:c>
      <x:c r="X618" s="75" t="n">
        <x:v>0.026562181889369384</x:v>
      </x:c>
      <x:c r="Y618" s="75" t="n">
        <x:v>0.018306463806044778</x:v>
      </x:c>
      <x:c r="Z618" s="75" t="n">
        <x:v>0.008005828404705971</x:v>
      </x:c>
      <x:c r="AA618" s="75" t="n">
        <x:v>0.008109091298135463</x:v>
      </x:c>
      <x:c r="AB618" s="75" t="n">
        <x:v>0.0032253828804765365</x:v>
      </x:c>
      <x:c r="AC618" s="75" t="n">
        <x:v>0.0169177739353443</x:v>
      </x:c>
      <x:c r="AD618" s="75" t="n">
        <x:v>0.08184475752668369</x:v>
      </x:c>
      <x:c r="AE618" s="75" t="n">
        <x:v>0.06740456356431787</x:v>
      </x:c>
      <x:c r="AF618" s="74" t="n">
        <x:v>7</x:v>
      </x:c>
    </x:row>
    <x:row r="619">
      <x:c r="A619" t="str">
        <x:v>2025 S2</x:v>
      </x:c>
      <x:c r="B619" t="str">
        <x:v>CNCT0155</x:v>
      </x:c>
      <x:c r="C619" s="74" t="n">
        <x:v>1786</x:v>
      </x:c>
      <x:c r="D619" s="74" t="n">
        <x:v>1071.923</x:v>
      </x:c>
      <x:c r="E619" s="75" t="n">
        <x:v>0.976080320153269</x:v>
      </x:c>
      <x:c r="F619" s="75" t="n">
        <x:v>0.17021700542466714</x:v>
      </x:c>
      <x:c r="G619" s="75" t="n">
        <x:v>0.013032400430878624</x:v>
      </x:c>
      <x:c r="H619" s="75" t="n">
        <x:v>0.011171006225209567</x:v>
      </x:c>
      <x:c r="I619" s="75" t="n">
        <x:v>0.009156811063920032</x:v>
      </x:c>
      <x:c r="J619" s="75" t="n">
        <x:v>0.015074397689721082</x:v>
      </x:c>
      <x:c r="K619" s="75" t="n">
        <x:v>0.010904910733705036</x:v>
      </x:c>
      <x:c r="L619" s="75" t="n">
        <x:v>0.013647250865411478</x:v>
      </x:c>
      <x:c r="M619" s="75" t="n">
        <x:v>0.007100922270654337</x:v>
      </x:c>
      <x:c r="N619" s="75" t="n">
        <x:v>0.006337058236589655</x:v>
      </x:c>
      <x:c r="O619" s="75" t="n">
        <x:v>0.006754391460286569</x:v>
      </x:c>
      <x:c r="P619" s="75" t="n">
        <x:v>0.0013487661669496448</x:v>
      </x:c>
      <x:c r="Q619" s="75" t="n">
        <x:v>0.0037663316122052495</x:v>
      </x:c>
      <x:c r="R619" s="75" t="n">
        <x:v>0.38163692534503496</x:v>
      </x:c>
      <x:c r="S619" s="75" t="n">
        <x:v>0.01672185342806915</x:v>
      </x:c>
      <x:c r="T619" s="75" t="n">
        <x:v>0.0058155548462818845</x:v>
      </x:c>
      <x:c r="U619" s="75" t="n">
        <x:v>0.010590179868042468</x:v>
      </x:c>
      <x:c r="V619" s="75" t="n">
        <x:v>0.036984780998536734</x:v>
      </x:c>
      <x:c r="W619" s="75" t="n">
        <x:v>0.011655794980587962</x:v>
      </x:c>
      <x:c r="X619" s="75" t="n">
        <x:v>0.026562181889369384</x:v>
      </x:c>
      <x:c r="Y619" s="75" t="n">
        <x:v>0.018306463806044778</x:v>
      </x:c>
      <x:c r="Z619" s="75" t="n">
        <x:v>0.008005828404705971</x:v>
      </x:c>
      <x:c r="AA619" s="75" t="n">
        <x:v>0.008109091298135463</x:v>
      </x:c>
      <x:c r="AB619" s="75" t="n">
        <x:v>0.0032253828804765365</x:v>
      </x:c>
      <x:c r="AC619" s="75" t="n">
        <x:v>0.0169177739353443</x:v>
      </x:c>
      <x:c r="AD619" s="75" t="n">
        <x:v>0.08184475752668369</x:v>
      </x:c>
      <x:c r="AE619" s="75" t="n">
        <x:v>0.06740456356431787</x:v>
      </x:c>
      <x:c r="AF619" s="74" t="n">
        <x:v>7</x:v>
      </x:c>
    </x:row>
    <x:row r="620">
      <x:c r="A620" t="str">
        <x:v>2026 S1</x:v>
      </x:c>
      <x:c r="B620" t="str">
        <x:v>CNCT0155</x:v>
      </x:c>
      <x:c r="C620" s="74" t="n">
        <x:v>1351</x:v>
      </x:c>
      <x:c r="D620" s="74" t="n">
        <x:v>1100.237</x:v>
      </x:c>
      <x:c r="E620" s="75" t="n">
        <x:v>0.9666738172132754</x:v>
      </x:c>
      <x:c r="F620" s="75" t="n">
        <x:v>0.18221700542466715</x:v>
      </x:c>
      <x:c r="G620" s="75" t="n">
        <x:v>0.0138793088235725</x:v>
      </x:c>
      <x:c r="H620" s="75" t="n">
        <x:v>0.011171006225209567</x:v>
      </x:c>
      <x:c r="I620" s="75" t="n">
        <x:v>0.009156811063920032</x:v>
      </x:c>
      <x:c r="J620" s="75" t="n">
        <x:v>0.015074397689721082</x:v>
      </x:c>
      <x:c r="K620" s="75" t="n">
        <x:v>0.010904910733705036</x:v>
      </x:c>
      <x:c r="L620" s="75" t="n">
        <x:v>0.013647250865411478</x:v>
      </x:c>
      <x:c r="M620" s="75" t="n">
        <x:v>0.007100922270654337</x:v>
      </x:c>
      <x:c r="N620" s="75" t="n">
        <x:v>0.006337058236589655</x:v>
      </x:c>
      <x:c r="O620" s="75" t="n">
        <x:v>0.00503287422552239</x:v>
      </x:c>
      <x:c r="P620" s="75" t="n">
        <x:v>0.0013487661669496448</x:v>
      </x:c>
      <x:c r="Q620" s="75" t="n">
        <x:v>0.0037663316122052495</x:v>
      </x:c>
      <x:c r="R620" s="75" t="n">
        <x:v>0.39158307568475137</x:v>
      </x:c>
      <x:c r="S620" s="75" t="n">
        <x:v>0.01672185342806915</x:v>
      </x:c>
      <x:c r="T620" s="75" t="n">
        <x:v>0.0058155548462818845</x:v>
      </x:c>
      <x:c r="U620" s="75" t="n">
        <x:v>0.010590179868042468</x:v>
      </x:c>
      <x:c r="V620" s="75" t="n">
        <x:v>0.036984780998536734</x:v>
      </x:c>
      <x:c r="W620" s="75" t="n">
        <x:v>0.01434188462199586</x:v>
      </x:c>
      <x:c r="X620" s="75" t="n">
        <x:v>0.03268346334164734</x:v>
      </x:c>
      <x:c r="Y620" s="75" t="n">
        <x:v>0.022525206747398833</x:v>
      </x:c>
      <x:c r="Z620" s="75" t="n">
        <x:v>0.009850779588609266</x:v>
      </x:c>
      <x:c r="AA620" s="75" t="n">
        <x:v>0.009977839519378957</x:v>
      </x:c>
      <x:c r="AB620" s="75" t="n">
        <x:v>0.003968675599613346</x:v>
      </x:c>
      <x:c r="AC620" s="75" t="n">
        <x:v>0.03018391326000677</x:v>
      </x:c>
      <x:c r="AD620" s="75" t="n">
        <x:v>0.09002923327935207</x:v>
      </x:c>
      <x:c r="AE620" s="75" t="n">
        <x:v>0.2021480626886585</x:v>
      </x:c>
      <x:c r="AF620" s="74" t="n">
        <x:v>7</x:v>
      </x:c>
    </x:row>
    <x:row r="621">
      <x:c r="A621" t="str">
        <x:v>2026 S2</x:v>
      </x:c>
      <x:c r="B621" t="str">
        <x:v>CNCT0155</x:v>
      </x:c>
      <x:c r="C621" s="74" t="n">
        <x:v>743</x:v>
      </x:c>
      <x:c r="D621" s="74" t="n">
        <x:v>1124.196</x:v>
      </x:c>
      <x:c r="E621" s="75" t="n">
        <x:v>0.976080320153269</x:v>
      </x:c>
      <x:c r="F621" s="75" t="n">
        <x:v>0.16957941831750212</x:v>
      </x:c>
      <x:c r="G621" s="75" t="n">
        <x:v>0.014986068423473626</x:v>
      </x:c>
      <x:c r="H621" s="75" t="n">
        <x:v>0.011171006225209567</x:v>
      </x:c>
      <x:c r="I621" s="75" t="n">
        <x:v>0.009156811063920032</x:v>
      </x:c>
      <x:c r="J621" s="75" t="n">
        <x:v>0.015074397689721082</x:v>
      </x:c>
      <x:c r="K621" s="75" t="n">
        <x:v>0.010904910733705036</x:v>
      </x:c>
      <x:c r="L621" s="75" t="n">
        <x:v>0.013647250865411478</x:v>
      </x:c>
      <x:c r="M621" s="75" t="n">
        <x:v>0.007100922270654337</x:v>
      </x:c>
      <x:c r="N621" s="75" t="n">
        <x:v>0.006337058236589655</x:v>
      </x:c>
      <x:c r="O621" s="75" t="n">
        <x:v>0.006754391460286569</x:v>
      </x:c>
      <x:c r="P621" s="75" t="n">
        <x:v>0.0013487661669496448</x:v>
      </x:c>
      <x:c r="Q621" s="75" t="n">
        <x:v>0.0037663316122052495</x:v>
      </x:c>
      <x:c r="R621" s="75" t="n">
        <x:v>0.40253165232140525</x:v>
      </x:c>
      <x:c r="S621" s="75" t="n">
        <x:v>0.01672185342806915</x:v>
      </x:c>
      <x:c r="T621" s="75" t="n">
        <x:v>0.0058155548462818845</x:v>
      </x:c>
      <x:c r="U621" s="75" t="n">
        <x:v>0.010590179868042468</x:v>
      </x:c>
      <x:c r="V621" s="75" t="n">
        <x:v>0.036984780998536734</x:v>
      </x:c>
      <x:c r="W621" s="75" t="n">
        <x:v>0.012355142679423241</x:v>
      </x:c>
      <x:c r="X621" s="75" t="n">
        <x:v>0.02815591280273155</x:v>
      </x:c>
      <x:c r="Y621" s="75" t="n">
        <x:v>0.019404851634407465</x:v>
      </x:c>
      <x:c r="Z621" s="75" t="n">
        <x:v>0.008486178108988331</x:v>
      </x:c>
      <x:c r="AA621" s="75" t="n">
        <x:v>0.008595636776023591</x:v>
      </x:c>
      <x:c r="AB621" s="75" t="n">
        <x:v>0.0034189058533051287</x:v>
      </x:c>
      <x:c r="AC621" s="75" t="n">
        <x:v>0.02600261853862419</x:v>
      </x:c>
      <x:c r="AD621" s="75" t="n">
        <x:v>0.08839233812881839</x:v>
      </x:c>
      <x:c r="AE621" s="75" t="n">
        <x:v>0.1979997779511272</x:v>
      </x:c>
      <x:c r="AF621" s="74" t="n">
        <x:v>7</x:v>
      </x:c>
    </x:row>
    <x:row r="622">
      <x:c r="A622" t="str">
        <x:v>2025 S1</x:v>
      </x:c>
      <x:c r="B622" t="str">
        <x:v>CNCT0156</x:v>
      </x:c>
      <x:c r="C622" s="74" t="n">
        <x:v>2120</x:v>
      </x:c>
      <x:c r="D622" s="74" t="n">
        <x:v>1134.349</x:v>
      </x:c>
      <x:c r="E622" s="75" t="n">
        <x:v>0.9622409734635076</x:v>
      </x:c>
      <x:c r="F622" s="75" t="n">
        <x:v>0.20673922139196657</x:v>
      </x:c>
      <x:c r="G622" s="75" t="n">
        <x:v>0.01622445087277447</x:v>
      </x:c>
      <x:c r="H622" s="75" t="n">
        <x:v>0.011862480787633103</x:v>
      </x:c>
      <x:c r="I622" s="75" t="n">
        <x:v>0.006065012097431464</x:v>
      </x:c>
      <x:c r="J622" s="75" t="n">
        <x:v>0.011301273870514706</x:v>
      </x:c>
      <x:c r="K622" s="75" t="n">
        <x:v>0.011404952718323329</x:v>
      </x:c>
      <x:c r="L622" s="75" t="n">
        <x:v>0.009726497239993477</x:v>
      </x:c>
      <x:c r="M622" s="75" t="n">
        <x:v>0.010153477320680395</x:v>
      </x:c>
      <x:c r="N622" s="75" t="n">
        <x:v>0.006392161387862871</x:v>
      </x:c>
      <x:c r="O622" s="75" t="n">
        <x:v>0.015974414886605698</x:v>
      </x:c>
      <x:c r="P622" s="75" t="n">
        <x:v>0.0014437824134438415</x:v>
      </x:c>
      <x:c r="Q622" s="75" t="n">
        <x:v>0.006177967658630223</x:v>
      </x:c>
      <x:c r="R622" s="75" t="n">
        <x:v>0.34999538752443876</x:v>
      </x:c>
      <x:c r="S622" s="75" t="n">
        <x:v>0.015612101333739702</x:v>
      </x:c>
      <x:c r="T622" s="75" t="n">
        <x:v>0.003940315560030286</x:v>
      </x:c>
      <x:c r="U622" s="75" t="n">
        <x:v>0.008971775131125468</x:v>
      </x:c>
      <x:c r="V622" s="75" t="n">
        <x:v>0.03125385804634425</x:v>
      </x:c>
      <x:c r="W622" s="75" t="n">
        <x:v>0.014013102757534944</x:v>
      </x:c>
      <x:c r="X622" s="75" t="n">
        <x:v>0.01904085530952463</x:v>
      </x:c>
      <x:c r="Y622" s="75" t="n">
        <x:v>0.02086140268065967</x:v>
      </x:c>
      <x:c r="Z622" s="75" t="n">
        <x:v>0.007389334129338386</x:v>
      </x:c>
      <x:c r="AA622" s="75" t="n">
        <x:v>0.007012406750004739</x:v>
      </x:c>
      <x:c r="AB622" s="75" t="n">
        <x:v>0.004040167969703907</x:v>
      </x:c>
      <x:c r="AC622" s="75" t="n">
        <x:v>0.02180117081479402</x:v>
      </x:c>
      <x:c r="AD622" s="75" t="n">
        <x:v>0.09810134426192962</x:v>
      </x:c>
      <x:c r="AE622" s="75" t="n">
        <x:v>0.061647652767598635</x:v>
      </x:c>
      <x:c r="AF622" s="74" t="n">
        <x:v>9</x:v>
      </x:c>
    </x:row>
    <x:row r="623">
      <x:c r="A623" t="str">
        <x:v>2025 S2</x:v>
      </x:c>
      <x:c r="B623" t="str">
        <x:v>CNCT0156</x:v>
      </x:c>
      <x:c r="C623" s="74" t="n">
        <x:v>2264</x:v>
      </x:c>
      <x:c r="D623" s="74" t="n">
        <x:v>1147.961</x:v>
      </x:c>
      <x:c r="E623" s="75" t="n">
        <x:v>0.9650777746035964</x:v>
      </x:c>
      <x:c r="F623" s="75" t="n">
        <x:v>0.20673922139196657</x:v>
      </x:c>
      <x:c r="G623" s="75" t="n">
        <x:v>0.01622445087277447</x:v>
      </x:c>
      <x:c r="H623" s="75" t="n">
        <x:v>0.011862480787633103</x:v>
      </x:c>
      <x:c r="I623" s="75" t="n">
        <x:v>0.006065012097431464</x:v>
      </x:c>
      <x:c r="J623" s="75" t="n">
        <x:v>0.011301273870514706</x:v>
      </x:c>
      <x:c r="K623" s="75" t="n">
        <x:v>0.011404952718323329</x:v>
      </x:c>
      <x:c r="L623" s="75" t="n">
        <x:v>0.009726497239993477</x:v>
      </x:c>
      <x:c r="M623" s="75" t="n">
        <x:v>0.010153477320680395</x:v>
      </x:c>
      <x:c r="N623" s="75" t="n">
        <x:v>0.006392161387862871</x:v>
      </x:c>
      <x:c r="O623" s="75" t="n">
        <x:v>0.015974414886605698</x:v>
      </x:c>
      <x:c r="P623" s="75" t="n">
        <x:v>0.0014437824134438415</x:v>
      </x:c>
      <x:c r="Q623" s="75" t="n">
        <x:v>0.006177967658630223</x:v>
      </x:c>
      <x:c r="R623" s="75" t="n">
        <x:v>0.34988168994169483</x:v>
      </x:c>
      <x:c r="S623" s="75" t="n">
        <x:v>0.015612101333739702</x:v>
      </x:c>
      <x:c r="T623" s="75" t="n">
        <x:v>0.003940315560030286</x:v>
      </x:c>
      <x:c r="U623" s="75" t="n">
        <x:v>0.008971775131125468</x:v>
      </x:c>
      <x:c r="V623" s="75" t="n">
        <x:v>0.03125385804634425</x:v>
      </x:c>
      <x:c r="W623" s="75" t="n">
        <x:v>0.014013102757534944</x:v>
      </x:c>
      <x:c r="X623" s="75" t="n">
        <x:v>0.01904085530952463</x:v>
      </x:c>
      <x:c r="Y623" s="75" t="n">
        <x:v>0.02086140268065967</x:v>
      </x:c>
      <x:c r="Z623" s="75" t="n">
        <x:v>0.007389334129338386</x:v>
      </x:c>
      <x:c r="AA623" s="75" t="n">
        <x:v>0.007012406750004739</x:v>
      </x:c>
      <x:c r="AB623" s="75" t="n">
        <x:v>0.004040167969703907</x:v>
      </x:c>
      <x:c r="AC623" s="75" t="n">
        <x:v>0.02180117081479402</x:v>
      </x:c>
      <x:c r="AD623" s="75" t="n">
        <x:v>0.09810134426192962</x:v>
      </x:c>
      <x:c r="AE623" s="75" t="n">
        <x:v>0.061647652767598635</x:v>
      </x:c>
      <x:c r="AF623" s="74" t="n">
        <x:v>9</x:v>
      </x:c>
    </x:row>
    <x:row r="624">
      <x:c r="A624" t="str">
        <x:v>2026 S1</x:v>
      </x:c>
      <x:c r="B624" t="str">
        <x:v>CNCT0156</x:v>
      </x:c>
      <x:c r="C624" s="74" t="n">
        <x:v>2013</x:v>
      </x:c>
      <x:c r="D624" s="74" t="n">
        <x:v>1181.385</x:v>
      </x:c>
      <x:c r="E624" s="75" t="n">
        <x:v>0.9630590542188656</x:v>
      </x:c>
      <x:c r="F624" s="75" t="n">
        <x:v>0.20308234441543754</x:v>
      </x:c>
      <x:c r="G624" s="75" t="n">
        <x:v>0.014302865205536364</x:v>
      </x:c>
      <x:c r="H624" s="75" t="n">
        <x:v>0.011862480787633103</x:v>
      </x:c>
      <x:c r="I624" s="75" t="n">
        <x:v>0.006065012097431464</x:v>
      </x:c>
      <x:c r="J624" s="75" t="n">
        <x:v>0.011301273870514706</x:v>
      </x:c>
      <x:c r="K624" s="75" t="n">
        <x:v>0.011404952718323329</x:v>
      </x:c>
      <x:c r="L624" s="75" t="n">
        <x:v>0.009726497239993477</x:v>
      </x:c>
      <x:c r="M624" s="75" t="n">
        <x:v>0.010153477320680395</x:v>
      </x:c>
      <x:c r="N624" s="75" t="n">
        <x:v>0.006392161387862871</x:v>
      </x:c>
      <x:c r="O624" s="75" t="n">
        <x:v>0.015961471431580318</x:v>
      </x:c>
      <x:c r="P624" s="75" t="n">
        <x:v>0.0014437824134438415</x:v>
      </x:c>
      <x:c r="Q624" s="75" t="n">
        <x:v>0.006177967658630223</x:v>
      </x:c>
      <x:c r="R624" s="75" t="n">
        <x:v>0.3547563868636595</x:v>
      </x:c>
      <x:c r="S624" s="75" t="n">
        <x:v>0.015612101333739702</x:v>
      </x:c>
      <x:c r="T624" s="75" t="n">
        <x:v>0.003940315560030286</x:v>
      </x:c>
      <x:c r="U624" s="75" t="n">
        <x:v>0.008971775131125468</x:v>
      </x:c>
      <x:c r="V624" s="75" t="n">
        <x:v>0.03125385804634425</x:v>
      </x:c>
      <x:c r="W624" s="75" t="n">
        <x:v>0.017242436339987878</x:v>
      </x:c>
      <x:c r="X624" s="75" t="n">
        <x:v>0.023428839509284528</x:v>
      </x:c>
      <x:c r="Y624" s="75" t="n">
        <x:v>0.02566893384769571</x:v>
      </x:c>
      <x:c r="Z624" s="75" t="n">
        <x:v>0.009092213589278617</x:v>
      </x:c>
      <x:c r="AA624" s="75" t="n">
        <x:v>0.008628422917404451</x:v>
      </x:c>
      <x:c r="AB624" s="75" t="n">
        <x:v>0.004971228729698694</x:v>
      </x:c>
      <x:c r="AC624" s="75" t="n">
        <x:v>0.026825272490716635</x:v>
      </x:c>
      <x:c r="AD624" s="75" t="n">
        <x:v>0.09810134426192962</x:v>
      </x:c>
      <x:c r="AE624" s="75" t="n">
        <x:v>0.061647652767598635</x:v>
      </x:c>
      <x:c r="AF624" s="74" t="n">
        <x:v>9</x:v>
      </x:c>
    </x:row>
    <x:row r="625">
      <x:c r="A625" t="str">
        <x:v>2026 S2</x:v>
      </x:c>
      <x:c r="B625" t="str">
        <x:v>CNCT0156</x:v>
      </x:c>
      <x:c r="C625" s="74" t="n">
        <x:v>2190</x:v>
      </x:c>
      <x:c r="D625" s="74" t="n">
        <x:v>1201.876</x:v>
      </x:c>
      <x:c r="E625" s="75" t="n">
        <x:v>0.9650777746035964</x:v>
      </x:c>
      <x:c r="F625" s="75" t="n">
        <x:v>0.20081539879726187</x:v>
      </x:c>
      <x:c r="G625" s="75" t="n">
        <x:v>0.01578271461292752</x:v>
      </x:c>
      <x:c r="H625" s="75" t="n">
        <x:v>0.011862480787633103</x:v>
      </x:c>
      <x:c r="I625" s="75" t="n">
        <x:v>0.006065012097431464</x:v>
      </x:c>
      <x:c r="J625" s="75" t="n">
        <x:v>0.011301273870514706</x:v>
      </x:c>
      <x:c r="K625" s="75" t="n">
        <x:v>0.011404952718323329</x:v>
      </x:c>
      <x:c r="L625" s="75" t="n">
        <x:v>0.009726497239993477</x:v>
      </x:c>
      <x:c r="M625" s="75" t="n">
        <x:v>0.010153477320680395</x:v>
      </x:c>
      <x:c r="N625" s="75" t="n">
        <x:v>0.006392161387862871</x:v>
      </x:c>
      <x:c r="O625" s="75" t="n">
        <x:v>0.015974414886605698</x:v>
      </x:c>
      <x:c r="P625" s="75" t="n">
        <x:v>0.0014437824134438415</x:v>
      </x:c>
      <x:c r="Q625" s="75" t="n">
        <x:v>0.006177967658630223</x:v>
      </x:c>
      <x:c r="R625" s="75" t="n">
        <x:v>0.3517732634010095</x:v>
      </x:c>
      <x:c r="S625" s="75" t="n">
        <x:v>0.015612101333739702</x:v>
      </x:c>
      <x:c r="T625" s="75" t="n">
        <x:v>0.003940315560030286</x:v>
      </x:c>
      <x:c r="U625" s="75" t="n">
        <x:v>0.008971775131125468</x:v>
      </x:c>
      <x:c r="V625" s="75" t="n">
        <x:v>0.03125385804634425</x:v>
      </x:c>
      <x:c r="W625" s="75" t="n">
        <x:v>0.014853888922987042</x:v>
      </x:c>
      <x:c r="X625" s="75" t="n">
        <x:v>0.020183306628096108</x:v>
      </x:c>
      <x:c r="Y625" s="75" t="n">
        <x:v>0.02211308684149925</x:v>
      </x:c>
      <x:c r="Z625" s="75" t="n">
        <x:v>0.00783269417709869</x:v>
      </x:c>
      <x:c r="AA625" s="75" t="n">
        <x:v>0.007433151155005024</x:v>
      </x:c>
      <x:c r="AB625" s="75" t="n">
        <x:v>0.004282578047886142</x:v>
      </x:c>
      <x:c r="AC625" s="75" t="n">
        <x:v>0.02310924106368166</x:v>
      </x:c>
      <x:c r="AD625" s="75" t="n">
        <x:v>0.09810134426192962</x:v>
      </x:c>
      <x:c r="AE625" s="75" t="n">
        <x:v>0.061647652767598635</x:v>
      </x:c>
      <x:c r="AF625" s="74" t="n">
        <x:v>9</x:v>
      </x:c>
    </x:row>
    <x:row r="626">
      <x:c r="A626" t="str">
        <x:v>2025 S1</x:v>
      </x:c>
      <x:c r="B626" t="str">
        <x:v>CNCT0157</x:v>
      </x:c>
      <x:c r="C626" s="74" t="n">
        <x:v>1800</x:v>
      </x:c>
      <x:c r="D626" s="74" t="n">
        <x:v>1128.44</x:v>
      </x:c>
      <x:c r="E626" s="75" t="n">
        <x:v>0.9616875305992435</x:v>
      </x:c>
      <x:c r="F626" s="75" t="n">
        <x:v>0.18245876911090453</x:v>
      </x:c>
      <x:c r="G626" s="75" t="n">
        <x:v>0.01535066292071133</x:v>
      </x:c>
      <x:c r="H626" s="75" t="n">
        <x:v>0.009184636251899065</x:v>
      </x:c>
      <x:c r="I626" s="75" t="n">
        <x:v>0.01048733081294631</x:v>
      </x:c>
      <x:c r="J626" s="75" t="n">
        <x:v>0.014590834704402368</x:v>
      </x:c>
      <x:c r="K626" s="75" t="n">
        <x:v>0.010984632656749455</x:v>
      </x:c>
      <x:c r="L626" s="75" t="n">
        <x:v>0.01087844070151914</x:v>
      </x:c>
      <x:c r="M626" s="75" t="n">
        <x:v>0.00817150019088149</x:v>
      </x:c>
      <x:c r="N626" s="75" t="n">
        <x:v>0.006385203964804532</x:v>
      </x:c>
      <x:c r="O626" s="75" t="n">
        <x:v>0.010061238175690958</x:v>
      </x:c>
      <x:c r="P626" s="75" t="n">
        <x:v>0.0003228315649903379</x:v>
      </x:c>
      <x:c r="Q626" s="75" t="n">
        <x:v>0.0029027333757476303</x:v>
      </x:c>
      <x:c r="R626" s="75" t="n">
        <x:v>0.3726596247096591</x:v>
      </x:c>
      <x:c r="S626" s="75" t="n">
        <x:v>0.01423332390307769</x:v>
      </x:c>
      <x:c r="T626" s="75" t="n">
        <x:v>0.006169014045794029</x:v>
      </x:c>
      <x:c r="U626" s="75" t="n">
        <x:v>0.012687096321664284</x:v>
      </x:c>
      <x:c r="V626" s="75" t="n">
        <x:v>0.030008610184537248</x:v>
      </x:c>
      <x:c r="W626" s="75" t="n">
        <x:v>0.011015934333734184</x:v>
      </x:c>
      <x:c r="X626" s="75" t="n">
        <x:v>0.01967363031852321</x:v>
      </x:c>
      <x:c r="Y626" s="75" t="n">
        <x:v>0.020416812686393972</x:v>
      </x:c>
      <x:c r="Z626" s="75" t="n">
        <x:v>0.005353365773620317</x:v>
      </x:c>
      <x:c r="AA626" s="75" t="n">
        <x:v>0.0065746497027331504</x:v>
      </x:c>
      <x:c r="AB626" s="75" t="n">
        <x:v>0.007081513483508025</x:v>
      </x:c>
      <x:c r="AC626" s="75" t="n">
        <x:v>0.02633129066084511</x:v>
      </x:c>
      <x:c r="AD626" s="75" t="n">
        <x:v>0.09938191831289442</x:v>
      </x:c>
      <x:c r="AE626" s="75" t="n">
        <x:v>0.08387175276495691</x:v>
      </x:c>
      <x:c r="AF626" s="74" t="n">
        <x:v>7</x:v>
      </x:c>
    </x:row>
    <x:row r="627">
      <x:c r="A627" t="str">
        <x:v>2025 S2</x:v>
      </x:c>
      <x:c r="B627" t="str">
        <x:v>CNCT0157</x:v>
      </x:c>
      <x:c r="C627" s="74" t="n">
        <x:v>1924</x:v>
      </x:c>
      <x:c r="D627" s="74" t="n">
        <x:v>1141.982</x:v>
      </x:c>
      <x:c r="E627" s="75" t="n">
        <x:v>0.9746851229165331</x:v>
      </x:c>
      <x:c r="F627" s="75" t="n">
        <x:v>0.18245876911090453</x:v>
      </x:c>
      <x:c r="G627" s="75" t="n">
        <x:v>0.01535066292071133</x:v>
      </x:c>
      <x:c r="H627" s="75" t="n">
        <x:v>0.009184636251899065</x:v>
      </x:c>
      <x:c r="I627" s="75" t="n">
        <x:v>0.01048733081294631</x:v>
      </x:c>
      <x:c r="J627" s="75" t="n">
        <x:v>0.014590834704402368</x:v>
      </x:c>
      <x:c r="K627" s="75" t="n">
        <x:v>0.010984632656749455</x:v>
      </x:c>
      <x:c r="L627" s="75" t="n">
        <x:v>0.01087844070151914</x:v>
      </x:c>
      <x:c r="M627" s="75" t="n">
        <x:v>0.00817150019088149</x:v>
      </x:c>
      <x:c r="N627" s="75" t="n">
        <x:v>0.006385203964804532</x:v>
      </x:c>
      <x:c r="O627" s="75" t="n">
        <x:v>0.010061238175690958</x:v>
      </x:c>
      <x:c r="P627" s="75" t="n">
        <x:v>0.0003228315649903379</x:v>
      </x:c>
      <x:c r="Q627" s="75" t="n">
        <x:v>0.0029027333757476303</x:v>
      </x:c>
      <x:c r="R627" s="75" t="n">
        <x:v>0.3597024610787239</x:v>
      </x:c>
      <x:c r="S627" s="75" t="n">
        <x:v>0.01423332390307769</x:v>
      </x:c>
      <x:c r="T627" s="75" t="n">
        <x:v>0.006169014045794029</x:v>
      </x:c>
      <x:c r="U627" s="75" t="n">
        <x:v>0.012687096321664284</x:v>
      </x:c>
      <x:c r="V627" s="75" t="n">
        <x:v>0.030008610184537248</x:v>
      </x:c>
      <x:c r="W627" s="75" t="n">
        <x:v>0.011015934333734184</x:v>
      </x:c>
      <x:c r="X627" s="75" t="n">
        <x:v>0.01967363031852321</x:v>
      </x:c>
      <x:c r="Y627" s="75" t="n">
        <x:v>0.020416812686393972</x:v>
      </x:c>
      <x:c r="Z627" s="75" t="n">
        <x:v>0.005353365773620317</x:v>
      </x:c>
      <x:c r="AA627" s="75" t="n">
        <x:v>0.0065746497027331504</x:v>
      </x:c>
      <x:c r="AB627" s="75" t="n">
        <x:v>0.007081513483508025</x:v>
      </x:c>
      <x:c r="AC627" s="75" t="n">
        <x:v>0.02633129066084511</x:v>
      </x:c>
      <x:c r="AD627" s="75" t="n">
        <x:v>0.09938191831289442</x:v>
      </x:c>
      <x:c r="AE627" s="75" t="n">
        <x:v>0.08387175276495691</x:v>
      </x:c>
      <x:c r="AF627" s="74" t="n">
        <x:v>7</x:v>
      </x:c>
    </x:row>
    <x:row r="628">
      <x:c r="A628" t="str">
        <x:v>2026 S1</x:v>
      </x:c>
      <x:c r="B628" t="str">
        <x:v>CNCT0157</x:v>
      </x:c>
      <x:c r="C628" s="74" t="n">
        <x:v>1732</x:v>
      </x:c>
      <x:c r="D628" s="74" t="n">
        <x:v>1189.9</x:v>
      </x:c>
      <x:c r="E628" s="75" t="n">
        <x:v>0.9609599305577576</x:v>
      </x:c>
      <x:c r="F628" s="75" t="n">
        <x:v>0.18401903530204436</x:v>
      </x:c>
      <x:c r="G628" s="75" t="n">
        <x:v>0.01699673912714934</x:v>
      </x:c>
      <x:c r="H628" s="75" t="n">
        <x:v>0.009184636251899065</x:v>
      </x:c>
      <x:c r="I628" s="75" t="n">
        <x:v>0.01048733081294631</x:v>
      </x:c>
      <x:c r="J628" s="75" t="n">
        <x:v>0.014590834704402368</x:v>
      </x:c>
      <x:c r="K628" s="75" t="n">
        <x:v>0.010984632656749455</x:v>
      </x:c>
      <x:c r="L628" s="75" t="n">
        <x:v>0.01087844070151914</x:v>
      </x:c>
      <x:c r="M628" s="75" t="n">
        <x:v>0.00817150019088149</x:v>
      </x:c>
      <x:c r="N628" s="75" t="n">
        <x:v>0.006385203964804532</x:v>
      </x:c>
      <x:c r="O628" s="75" t="n">
        <x:v>0.010872336515192727</x:v>
      </x:c>
      <x:c r="P628" s="75" t="n">
        <x:v>0.0003228315649903379</x:v>
      </x:c>
      <x:c r="Q628" s="75" t="n">
        <x:v>0.0029027333757476303</x:v>
      </x:c>
      <x:c r="R628" s="75" t="n">
        <x:v>0.3703408366576643</x:v>
      </x:c>
      <x:c r="S628" s="75" t="n">
        <x:v>0.01423332390307769</x:v>
      </x:c>
      <x:c r="T628" s="75" t="n">
        <x:v>0.006169014045794029</x:v>
      </x:c>
      <x:c r="U628" s="75" t="n">
        <x:v>0.012687096321664284</x:v>
      </x:c>
      <x:c r="V628" s="75" t="n">
        <x:v>0.030008610184537248</x:v>
      </x:c>
      <x:c r="W628" s="75" t="n">
        <x:v>0.01355456744743883</x:v>
      </x:c>
      <x:c r="X628" s="75" t="n">
        <x:v>0.02420743815363733</x:v>
      </x:c>
      <x:c r="Y628" s="75" t="n">
        <x:v>0.025121887643428074</x:v>
      </x:c>
      <x:c r="Z628" s="75" t="n">
        <x:v>0.00658705428436862</x:v>
      </x:c>
      <x:c r="AA628" s="75" t="n">
        <x:v>0.008089784319617618</x:v>
      </x:c>
      <x:c r="AB628" s="75" t="n">
        <x:v>0.008713455366942024</x:v>
      </x:c>
      <x:c r="AC628" s="75" t="n">
        <x:v>0.03239936299797786</x:v>
      </x:c>
      <x:c r="AD628" s="75" t="n">
        <x:v>0.09938191831289442</x:v>
      </x:c>
      <x:c r="AE628" s="75" t="n">
        <x:v>0.08387175276495691</x:v>
      </x:c>
      <x:c r="AF628" s="74" t="n">
        <x:v>7</x:v>
      </x:c>
    </x:row>
    <x:row r="629">
      <x:c r="A629" t="str">
        <x:v>2026 S2</x:v>
      </x:c>
      <x:c r="B629" t="str">
        <x:v>CNCT0157</x:v>
      </x:c>
      <x:c r="C629" s="74" t="n">
        <x:v>1917</x:v>
      </x:c>
      <x:c r="D629" s="74" t="n">
        <x:v>1171.11</x:v>
      </x:c>
      <x:c r="E629" s="75" t="n">
        <x:v>0.9746851229165331</x:v>
      </x:c>
      <x:c r="F629" s="75" t="n">
        <x:v>0.1755069864299585</x:v>
      </x:c>
      <x:c r="G629" s="75" t="n">
        <x:v>0.013426229774515377</x:v>
      </x:c>
      <x:c r="H629" s="75" t="n">
        <x:v>0.009184636251899065</x:v>
      </x:c>
      <x:c r="I629" s="75" t="n">
        <x:v>0.01048733081294631</x:v>
      </x:c>
      <x:c r="J629" s="75" t="n">
        <x:v>0.014590834704402368</x:v>
      </x:c>
      <x:c r="K629" s="75" t="n">
        <x:v>0.010984632656749455</x:v>
      </x:c>
      <x:c r="L629" s="75" t="n">
        <x:v>0.01087844070151914</x:v>
      </x:c>
      <x:c r="M629" s="75" t="n">
        <x:v>0.00817150019088149</x:v>
      </x:c>
      <x:c r="N629" s="75" t="n">
        <x:v>0.006385203964804532</x:v>
      </x:c>
      <x:c r="O629" s="75" t="n">
        <x:v>0.010061238175690958</x:v>
      </x:c>
      <x:c r="P629" s="75" t="n">
        <x:v>0.0003228315649903379</x:v>
      </x:c>
      <x:c r="Q629" s="75" t="n">
        <x:v>0.0029027333757476303</x:v>
      </x:c>
      <x:c r="R629" s="75" t="n">
        <x:v>0.3626195117806253</x:v>
      </x:c>
      <x:c r="S629" s="75" t="n">
        <x:v>0.01423332390307769</x:v>
      </x:c>
      <x:c r="T629" s="75" t="n">
        <x:v>0.006169014045794029</x:v>
      </x:c>
      <x:c r="U629" s="75" t="n">
        <x:v>0.012687096321664284</x:v>
      </x:c>
      <x:c r="V629" s="75" t="n">
        <x:v>0.030008610184537248</x:v>
      </x:c>
      <x:c r="W629" s="75" t="n">
        <x:v>0.011676890393758237</x:v>
      </x:c>
      <x:c r="X629" s="75" t="n">
        <x:v>0.0208540481376346</x:v>
      </x:c>
      <x:c r="Y629" s="75" t="n">
        <x:v>0.021641821447577612</x:v>
      </x:c>
      <x:c r="Z629" s="75" t="n">
        <x:v>0.005674567720037536</x:v>
      </x:c>
      <x:c r="AA629" s="75" t="n">
        <x:v>0.00696912868489714</x:v>
      </x:c>
      <x:c r="AB629" s="75" t="n">
        <x:v>0.007506404292518506</x:v>
      </x:c>
      <x:c r="AC629" s="75" t="n">
        <x:v>0.02791116810049582</x:v>
      </x:c>
      <x:c r="AD629" s="75" t="n">
        <x:v>0.09938191831289442</x:v>
      </x:c>
      <x:c r="AE629" s="75" t="n">
        <x:v>0.08387175276495691</x:v>
      </x:c>
      <x:c r="AF629" s="74" t="n">
        <x:v>7</x:v>
      </x:c>
    </x:row>
    <x:row r="630">
      <x:c r="A630" t="str">
        <x:v>2025 S1</x:v>
      </x:c>
      <x:c r="B630" t="str">
        <x:v>CNCT0158</x:v>
      </x:c>
      <x:c r="C630" s="74" t="n">
        <x:v>1793</x:v>
      </x:c>
      <x:c r="D630" s="74" t="n">
        <x:v>1029.927</x:v>
      </x:c>
      <x:c r="E630" s="75" t="n">
        <x:v>0.9770204807174159</x:v>
      </x:c>
      <x:c r="F630" s="75" t="n">
        <x:v>0.1761958189860452</x:v>
      </x:c>
      <x:c r="G630" s="75" t="n">
        <x:v>0.020645581664935887</x:v>
      </x:c>
      <x:c r="H630" s="75" t="n">
        <x:v>0.009818112412733171</x:v>
      </x:c>
      <x:c r="I630" s="75" t="n">
        <x:v>0.007970786008743744</x:v>
      </x:c>
      <x:c r="J630" s="75" t="n">
        <x:v>0.015047968406928704</x:v>
      </x:c>
      <x:c r="K630" s="75" t="n">
        <x:v>0.010292036364655359</x:v>
      </x:c>
      <x:c r="L630" s="75" t="n">
        <x:v>0.00933712757169269</x:v>
      </x:c>
      <x:c r="M630" s="75" t="n">
        <x:v>0.008423608290584526</x:v>
      </x:c>
      <x:c r="N630" s="75" t="n">
        <x:v>0.005369763535592938</x:v>
      </x:c>
      <x:c r="O630" s="75" t="n">
        <x:v>0.014017980525401071</x:v>
      </x:c>
      <x:c r="P630" s="75" t="n">
        <x:v>0.0025889844122830253</x:v>
      </x:c>
      <x:c r="Q630" s="75" t="n">
        <x:v>0.0015476386514583283</x:v>
      </x:c>
      <x:c r="R630" s="75" t="n">
        <x:v>0.37088385892469805</x:v>
      </x:c>
      <x:c r="S630" s="75" t="n">
        <x:v>0.011801154240976757</x:v>
      </x:c>
      <x:c r="T630" s="75" t="n">
        <x:v>0.005093101268488681</x:v>
      </x:c>
      <x:c r="U630" s="75" t="n">
        <x:v>0.01045013375376584</x:v>
      </x:c>
      <x:c r="V630" s="75" t="n">
        <x:v>0.03331306910811691</x:v>
      </x:c>
      <x:c r="W630" s="75" t="n">
        <x:v>0.014324680012950557</x:v>
      </x:c>
      <x:c r="X630" s="75" t="n">
        <x:v>0.019319878205863207</x:v>
      </x:c>
      <x:c r="Y630" s="75" t="n">
        <x:v>0.02101494907824483</x:v>
      </x:c>
      <x:c r="Z630" s="75" t="n">
        <x:v>0.00413801304755325</x:v>
      </x:c>
      <x:c r="AA630" s="75" t="n">
        <x:v>0.006877284448540305</x:v>
      </x:c>
      <x:c r="AB630" s="75" t="n">
        <x:v>0.005424865526839858</x:v>
      </x:c>
      <x:c r="AC630" s="75" t="n">
        <x:v>0.021227332526101962</x:v>
      </x:c>
      <x:c r="AD630" s="75" t="n">
        <x:v>0.08727884361299221</x:v>
      </x:c>
      <x:c r="AE630" s="75" t="n">
        <x:v>0.08439121167160919</x:v>
      </x:c>
      <x:c r="AF630" s="74" t="n">
        <x:v>8</x:v>
      </x:c>
    </x:row>
    <x:row r="631">
      <x:c r="A631" t="str">
        <x:v>2025 S2</x:v>
      </x:c>
      <x:c r="B631" t="str">
        <x:v>CNCT0158</x:v>
      </x:c>
      <x:c r="C631" s="74" t="n">
        <x:v>1971</x:v>
      </x:c>
      <x:c r="D631" s="74" t="n">
        <x:v>1042.287</x:v>
      </x:c>
      <x:c r="E631" s="75" t="n">
        <x:v>0.9687889127223461</x:v>
      </x:c>
      <x:c r="F631" s="75" t="n">
        <x:v>0.1761958189860452</x:v>
      </x:c>
      <x:c r="G631" s="75" t="n">
        <x:v>0.020645581664935887</x:v>
      </x:c>
      <x:c r="H631" s="75" t="n">
        <x:v>0.009818112412733171</x:v>
      </x:c>
      <x:c r="I631" s="75" t="n">
        <x:v>0.007970786008743744</x:v>
      </x:c>
      <x:c r="J631" s="75" t="n">
        <x:v>0.015047968406928704</x:v>
      </x:c>
      <x:c r="K631" s="75" t="n">
        <x:v>0.010292036364655359</x:v>
      </x:c>
      <x:c r="L631" s="75" t="n">
        <x:v>0.00933712757169269</x:v>
      </x:c>
      <x:c r="M631" s="75" t="n">
        <x:v>0.008423608290584526</x:v>
      </x:c>
      <x:c r="N631" s="75" t="n">
        <x:v>0.005369763535592938</x:v>
      </x:c>
      <x:c r="O631" s="75" t="n">
        <x:v>0.014017980525401071</x:v>
      </x:c>
      <x:c r="P631" s="75" t="n">
        <x:v>0.0025889844122830253</x:v>
      </x:c>
      <x:c r="Q631" s="75" t="n">
        <x:v>0.0015476386514583283</x:v>
      </x:c>
      <x:c r="R631" s="75" t="n">
        <x:v>0.3871604024234654</x:v>
      </x:c>
      <x:c r="S631" s="75" t="n">
        <x:v>0.011801154240976757</x:v>
      </x:c>
      <x:c r="T631" s="75" t="n">
        <x:v>0.005093101268488681</x:v>
      </x:c>
      <x:c r="U631" s="75" t="n">
        <x:v>0.01045013375376584</x:v>
      </x:c>
      <x:c r="V631" s="75" t="n">
        <x:v>0.03331306910811691</x:v>
      </x:c>
      <x:c r="W631" s="75" t="n">
        <x:v>0.014324680012950557</x:v>
      </x:c>
      <x:c r="X631" s="75" t="n">
        <x:v>0.019319878205863207</x:v>
      </x:c>
      <x:c r="Y631" s="75" t="n">
        <x:v>0.02101494907824483</x:v>
      </x:c>
      <x:c r="Z631" s="75" t="n">
        <x:v>0.00413801304755325</x:v>
      </x:c>
      <x:c r="AA631" s="75" t="n">
        <x:v>0.006877284448540305</x:v>
      </x:c>
      <x:c r="AB631" s="75" t="n">
        <x:v>0.005424865526839858</x:v>
      </x:c>
      <x:c r="AC631" s="75" t="n">
        <x:v>0.021227332526101962</x:v>
      </x:c>
      <x:c r="AD631" s="75" t="n">
        <x:v>0.08727884361299221</x:v>
      </x:c>
      <x:c r="AE631" s="75" t="n">
        <x:v>0.08439121167160919</x:v>
      </x:c>
      <x:c r="AF631" s="74" t="n">
        <x:v>8</x:v>
      </x:c>
    </x:row>
    <x:row r="632">
      <x:c r="A632" t="str">
        <x:v>2026 S1</x:v>
      </x:c>
      <x:c r="B632" t="str">
        <x:v>CNCT0158</x:v>
      </x:c>
      <x:c r="C632" s="74" t="n">
        <x:v>1775</x:v>
      </x:c>
      <x:c r="D632" s="74" t="n">
        <x:v>1080.312</x:v>
      </x:c>
      <x:c r="E632" s="75" t="n">
        <x:v>0.9790032596680684</x:v>
      </x:c>
      <x:c r="F632" s="75" t="n">
        <x:v>0.17716878424223978</x:v>
      </x:c>
      <x:c r="G632" s="75" t="n">
        <x:v>0.021192979236871905</x:v>
      </x:c>
      <x:c r="H632" s="75" t="n">
        <x:v>0.009818112412733171</x:v>
      </x:c>
      <x:c r="I632" s="75" t="n">
        <x:v>0.007970786008743744</x:v>
      </x:c>
      <x:c r="J632" s="75" t="n">
        <x:v>0.015047968406928704</x:v>
      </x:c>
      <x:c r="K632" s="75" t="n">
        <x:v>0.010292036364655359</x:v>
      </x:c>
      <x:c r="L632" s="75" t="n">
        <x:v>0.00933712757169269</x:v>
      </x:c>
      <x:c r="M632" s="75" t="n">
        <x:v>0.008423608290584526</x:v>
      </x:c>
      <x:c r="N632" s="75" t="n">
        <x:v>0.005369763535592938</x:v>
      </x:c>
      <x:c r="O632" s="75" t="n">
        <x:v>0.012212336307406075</x:v>
      </x:c>
      <x:c r="P632" s="75" t="n">
        <x:v>0.0025889844122830253</x:v>
      </x:c>
      <x:c r="Q632" s="75" t="n">
        <x:v>0.0015476386514583283</x:v>
      </x:c>
      <x:c r="R632" s="75" t="n">
        <x:v>0.36848563906039644</x:v>
      </x:c>
      <x:c r="S632" s="75" t="n">
        <x:v>0.011801154240976757</x:v>
      </x:c>
      <x:c r="T632" s="75" t="n">
        <x:v>0.005093101268488681</x:v>
      </x:c>
      <x:c r="U632" s="75" t="n">
        <x:v>0.01045013375376584</x:v>
      </x:c>
      <x:c r="V632" s="75" t="n">
        <x:v>0.03331306910811691</x:v>
      </x:c>
      <x:c r="W632" s="75" t="n">
        <x:v>0.01762581688635568</x:v>
      </x:c>
      <x:c r="X632" s="75" t="n">
        <x:v>0.023772163511881314</x:v>
      </x:c>
      <x:c r="Y632" s="75" t="n">
        <x:v>0.02585786516657675</x:v>
      </x:c>
      <x:c r="Z632" s="75" t="n">
        <x:v>0.005091622303854944</x:v>
      </x:c>
      <x:c r="AA632" s="75" t="n">
        <x:v>0.008462161546070369</x:v>
      </x:c>
      <x:c r="AB632" s="75" t="n">
        <x:v>0.006675031227415719</x:v>
      </x:c>
      <x:c r="AC632" s="75" t="n">
        <x:v>0.026119192592965218</x:v>
      </x:c>
      <x:c r="AD632" s="75" t="n">
        <x:v>0.08727884361299221</x:v>
      </x:c>
      <x:c r="AE632" s="75" t="n">
        <x:v>0.08439121167160919</x:v>
      </x:c>
      <x:c r="AF632" s="74" t="n">
        <x:v>8</x:v>
      </x:c>
    </x:row>
    <x:row r="633">
      <x:c r="A633" t="str">
        <x:v>2026 S2</x:v>
      </x:c>
      <x:c r="B633" t="str">
        <x:v>CNCT0158</x:v>
      </x:c>
      <x:c r="C633" s="74" t="n">
        <x:v>1993</x:v>
      </x:c>
      <x:c r="D633" s="74" t="n">
        <x:v>1074.735</x:v>
      </x:c>
      <x:c r="E633" s="75" t="n">
        <x:v>0.9687889127223461</x:v>
      </x:c>
      <x:c r="F633" s="75" t="n">
        <x:v>0.1749599181194062</x:v>
      </x:c>
      <x:c r="G633" s="75" t="n">
        <x:v>0.018979818705567593</x:v>
      </x:c>
      <x:c r="H633" s="75" t="n">
        <x:v>0.009818112412733171</x:v>
      </x:c>
      <x:c r="I633" s="75" t="n">
        <x:v>0.007970786008743744</x:v>
      </x:c>
      <x:c r="J633" s="75" t="n">
        <x:v>0.015047968406928704</x:v>
      </x:c>
      <x:c r="K633" s="75" t="n">
        <x:v>0.010292036364655359</x:v>
      </x:c>
      <x:c r="L633" s="75" t="n">
        <x:v>0.00933712757169269</x:v>
      </x:c>
      <x:c r="M633" s="75" t="n">
        <x:v>0.008423608290584526</x:v>
      </x:c>
      <x:c r="N633" s="75" t="n">
        <x:v>0.005369763535592938</x:v>
      </x:c>
      <x:c r="O633" s="75" t="n">
        <x:v>0.014017980525401071</x:v>
      </x:c>
      <x:c r="P633" s="75" t="n">
        <x:v>0.0025889844122830253</x:v>
      </x:c>
      <x:c r="Q633" s="75" t="n">
        <x:v>0.0015476386514583283</x:v>
      </x:c>
      <x:c r="R633" s="75" t="n">
        <x:v>0.3812458840185745</x:v>
      </x:c>
      <x:c r="S633" s="75" t="n">
        <x:v>0.011801154240976757</x:v>
      </x:c>
      <x:c r="T633" s="75" t="n">
        <x:v>0.005093101268488681</x:v>
      </x:c>
      <x:c r="U633" s="75" t="n">
        <x:v>0.01045013375376584</x:v>
      </x:c>
      <x:c r="V633" s="75" t="n">
        <x:v>0.03331306910811691</x:v>
      </x:c>
      <x:c r="W633" s="75" t="n">
        <x:v>0.015184160813727591</x:v>
      </x:c>
      <x:c r="X633" s="75" t="n">
        <x:v>0.020479070898215</x:v>
      </x:c>
      <x:c r="Y633" s="75" t="n">
        <x:v>0.02227584602293952</x:v>
      </x:c>
      <x:c r="Z633" s="75" t="n">
        <x:v>0.004386293830406445</x:v>
      </x:c>
      <x:c r="AA633" s="75" t="n">
        <x:v>0.0072899215154527235</x:v>
      </x:c>
      <x:c r="AB633" s="75" t="n">
        <x:v>0.00575035745845025</x:v>
      </x:c>
      <x:c r="AC633" s="75" t="n">
        <x:v>0.02250097247766808</x:v>
      </x:c>
      <x:c r="AD633" s="75" t="n">
        <x:v>0.08727884361299221</x:v>
      </x:c>
      <x:c r="AE633" s="75" t="n">
        <x:v>0.08439121167160919</x:v>
      </x:c>
      <x:c r="AF633" s="74" t="n">
        <x:v>8</x:v>
      </x:c>
    </x:row>
    <x:row r="634">
      <x:c r="A634" t="str">
        <x:v>2025 S1</x:v>
      </x:c>
      <x:c r="B634" t="str">
        <x:v>CNCT0159</x:v>
      </x:c>
      <x:c r="C634" s="74" t="n">
        <x:v>1162</x:v>
      </x:c>
      <x:c r="D634" s="74" t="n">
        <x:v>997.933</x:v>
      </x:c>
      <x:c r="E634" s="75" t="n">
        <x:v>0.9829684647736722</x:v>
      </x:c>
      <x:c r="F634" s="75" t="n">
        <x:v>0.1968202475060243</x:v>
      </x:c>
      <x:c r="G634" s="75" t="n">
        <x:v>0.017260440723111968</x:v>
      </x:c>
      <x:c r="H634" s="75" t="n">
        <x:v>0.00869761239703439</x:v>
      </x:c>
      <x:c r="I634" s="75" t="n">
        <x:v>0.00883465845516912</x:v>
      </x:c>
      <x:c r="J634" s="75" t="n">
        <x:v>0.012262521679949715</x:v>
      </x:c>
      <x:c r="K634" s="75" t="n">
        <x:v>0.011043861005484358</x:v>
      </x:c>
      <x:c r="L634" s="75" t="n">
        <x:v>0.009132371247862465</x:v>
      </x:c>
      <x:c r="M634" s="75" t="n">
        <x:v>0.00957768562403362</x:v>
      </x:c>
      <x:c r="N634" s="75" t="n">
        <x:v>0.005712990749452728</x:v>
      </x:c>
      <x:c r="O634" s="75" t="n">
        <x:v>0.009968171148881082</x:v>
      </x:c>
      <x:c r="P634" s="75" t="n">
        <x:v>0.0004597521641771891</x:v>
      </x:c>
      <x:c r="Q634" s="75" t="n">
        <x:v>0.0017768285540150828</x:v>
      </x:c>
      <x:c r="R634" s="75" t="n">
        <x:v>0.35838750154820065</x:v>
      </x:c>
      <x:c r="S634" s="75" t="n">
        <x:v>0.013141571827043664</x:v>
      </x:c>
      <x:c r="T634" s="75" t="n">
        <x:v>0.004679674179871654</x:v>
      </x:c>
      <x:c r="U634" s="75" t="n">
        <x:v>0.006325475039586308</x:v>
      </x:c>
      <x:c r="V634" s="75" t="n">
        <x:v>0.037016825548838825</x:v>
      </x:c>
      <x:c r="W634" s="75" t="n">
        <x:v>0.012014149496224126</x:v>
      </x:c>
      <x:c r="X634" s="75" t="n">
        <x:v>0.0266907449024645</x:v>
      </x:c>
      <x:c r="Y634" s="75" t="n">
        <x:v>0.019430384784862982</x:v>
      </x:c>
      <x:c r="Z634" s="75" t="n">
        <x:v>0.004689047915033007</x:v>
      </x:c>
      <x:c r="AA634" s="75" t="n">
        <x:v>0.007220597095392005</x:v>
      </x:c>
      <x:c r="AB634" s="75" t="n">
        <x:v>0.0048952430134173485</x:v>
      </x:c>
      <x:c r="AC634" s="75" t="n">
        <x:v>0.020346404889086258</x:v>
      </x:c>
      <x:c r="AD634" s="75" t="n">
        <x:v>0.10804877496178962</x:v>
      </x:c>
      <x:c r="AE634" s="75" t="n">
        <x:v>0.08306633865286131</x:v>
      </x:c>
      <x:c r="AF634" s="74" t="n">
        <x:v>7</x:v>
      </x:c>
    </x:row>
    <x:row r="635">
      <x:c r="A635" t="str">
        <x:v>2025 S2</x:v>
      </x:c>
      <x:c r="B635" t="str">
        <x:v>CNCT0159</x:v>
      </x:c>
      <x:c r="C635" s="74" t="n">
        <x:v>1255</x:v>
      </x:c>
      <x:c r="D635" s="74" t="n">
        <x:v>1009.908</x:v>
      </x:c>
      <x:c r="E635" s="75" t="n">
        <x:v>0.9780996995278401</x:v>
      </x:c>
      <x:c r="F635" s="75" t="n">
        <x:v>0.1968202475060243</x:v>
      </x:c>
      <x:c r="G635" s="75" t="n">
        <x:v>0.017260440723111968</x:v>
      </x:c>
      <x:c r="H635" s="75" t="n">
        <x:v>0.00869761239703439</x:v>
      </x:c>
      <x:c r="I635" s="75" t="n">
        <x:v>0.00883465845516912</x:v>
      </x:c>
      <x:c r="J635" s="75" t="n">
        <x:v>0.012262521679949715</x:v>
      </x:c>
      <x:c r="K635" s="75" t="n">
        <x:v>0.011043861005484358</x:v>
      </x:c>
      <x:c r="L635" s="75" t="n">
        <x:v>0.009132371247862465</x:v>
      </x:c>
      <x:c r="M635" s="75" t="n">
        <x:v>0.00957768562403362</x:v>
      </x:c>
      <x:c r="N635" s="75" t="n">
        <x:v>0.005712990749452728</x:v>
      </x:c>
      <x:c r="O635" s="75" t="n">
        <x:v>0.009968171148881082</x:v>
      </x:c>
      <x:c r="P635" s="75" t="n">
        <x:v>0.0004597521641771891</x:v>
      </x:c>
      <x:c r="Q635" s="75" t="n">
        <x:v>0.0017768285540150828</x:v>
      </x:c>
      <x:c r="R635" s="75" t="n">
        <x:v>0.35596454703653635</x:v>
      </x:c>
      <x:c r="S635" s="75" t="n">
        <x:v>0.013141571827043664</x:v>
      </x:c>
      <x:c r="T635" s="75" t="n">
        <x:v>0.004679674179871654</x:v>
      </x:c>
      <x:c r="U635" s="75" t="n">
        <x:v>0.006325475039586308</x:v>
      </x:c>
      <x:c r="V635" s="75" t="n">
        <x:v>0.037016825548838825</x:v>
      </x:c>
      <x:c r="W635" s="75" t="n">
        <x:v>0.012014149496224126</x:v>
      </x:c>
      <x:c r="X635" s="75" t="n">
        <x:v>0.0266907449024645</x:v>
      </x:c>
      <x:c r="Y635" s="75" t="n">
        <x:v>0.019430384784862982</x:v>
      </x:c>
      <x:c r="Z635" s="75" t="n">
        <x:v>0.004689047915033007</x:v>
      </x:c>
      <x:c r="AA635" s="75" t="n">
        <x:v>0.007220597095392005</x:v>
      </x:c>
      <x:c r="AB635" s="75" t="n">
        <x:v>0.0048952430134173485</x:v>
      </x:c>
      <x:c r="AC635" s="75" t="n">
        <x:v>0.020346404889086258</x:v>
      </x:c>
      <x:c r="AD635" s="75" t="n">
        <x:v>0.10804877496178962</x:v>
      </x:c>
      <x:c r="AE635" s="75" t="n">
        <x:v>0.08306633865286131</x:v>
      </x:c>
      <x:c r="AF635" s="74" t="n">
        <x:v>7</x:v>
      </x:c>
    </x:row>
    <x:row r="636">
      <x:c r="A636" t="str">
        <x:v>2026 S1</x:v>
      </x:c>
      <x:c r="B636" t="str">
        <x:v>CNCT0159</x:v>
      </x:c>
      <x:c r="C636" s="74" t="n">
        <x:v>1172</x:v>
      </x:c>
      <x:c r="D636" s="74" t="n">
        <x:v>1047.599</x:v>
      </x:c>
      <x:c r="E636" s="75" t="n">
        <x:v>0.9867897924974095</x:v>
      </x:c>
      <x:c r="F636" s="75" t="n">
        <x:v>0.19129684514808468</x:v>
      </x:c>
      <x:c r="G636" s="75" t="n">
        <x:v>0.01740750311758893</x:v>
      </x:c>
      <x:c r="H636" s="75" t="n">
        <x:v>0.00869761239703439</x:v>
      </x:c>
      <x:c r="I636" s="75" t="n">
        <x:v>0.00883465845516912</x:v>
      </x:c>
      <x:c r="J636" s="75" t="n">
        <x:v>0.012262521679949715</x:v>
      </x:c>
      <x:c r="K636" s="75" t="n">
        <x:v>0.011043861005484358</x:v>
      </x:c>
      <x:c r="L636" s="75" t="n">
        <x:v>0.009132371247862465</x:v>
      </x:c>
      <x:c r="M636" s="75" t="n">
        <x:v>0.00957768562403362</x:v>
      </x:c>
      <x:c r="N636" s="75" t="n">
        <x:v>0.005712990749452728</x:v>
      </x:c>
      <x:c r="O636" s="75" t="n">
        <x:v>0.011086541850643698</x:v>
      </x:c>
      <x:c r="P636" s="75" t="n">
        <x:v>0.0004597521641771891</x:v>
      </x:c>
      <x:c r="Q636" s="75" t="n">
        <x:v>0.0017768285540150828</x:v>
      </x:c>
      <x:c r="R636" s="75" t="n">
        <x:v>0.36306328687089917</x:v>
      </x:c>
      <x:c r="S636" s="75" t="n">
        <x:v>0.013141571827043664</x:v>
      </x:c>
      <x:c r="T636" s="75" t="n">
        <x:v>0.004679674179871654</x:v>
      </x:c>
      <x:c r="U636" s="75" t="n">
        <x:v>0.006325475039586308</x:v>
      </x:c>
      <x:c r="V636" s="75" t="n">
        <x:v>0.037016825548838825</x:v>
      </x:c>
      <x:c r="W636" s="75" t="n">
        <x:v>0.01478282229510907</x:v>
      </x:c>
      <x:c r="X636" s="75" t="n">
        <x:v>0.03284165383002991</x:v>
      </x:c>
      <x:c r="Y636" s="75" t="n">
        <x:v>0.023908136442824742</x:v>
      </x:c>
      <x:c r="Z636" s="75" t="n">
        <x:v>0.005769643709109003</x:v>
      </x:c>
      <x:c r="AA636" s="75" t="n">
        <x:v>0.008884590936654136</x:v>
      </x:c>
      <x:c r="AB636" s="75" t="n">
        <x:v>0.006023356674683157</x:v>
      </x:c>
      <x:c r="AC636" s="75" t="n">
        <x:v>0.02503525429862767</x:v>
      </x:c>
      <x:c r="AD636" s="75" t="n">
        <x:v>0.10804877496178962</x:v>
      </x:c>
      <x:c r="AE636" s="75" t="n">
        <x:v>0.08306633865286131</x:v>
      </x:c>
      <x:c r="AF636" s="74" t="n">
        <x:v>7</x:v>
      </x:c>
    </x:row>
    <x:row r="637">
      <x:c r="A637" t="str">
        <x:v>2026 S2</x:v>
      </x:c>
      <x:c r="B637" t="str">
        <x:v>CNCT0159</x:v>
      </x:c>
      <x:c r="C637" s="74" t="n">
        <x:v>1335</x:v>
      </x:c>
      <x:c r="D637" s="74" t="n">
        <x:v>1031.089</x:v>
      </x:c>
      <x:c r="E637" s="75" t="n">
        <x:v>0.9780996995278401</x:v>
      </x:c>
      <x:c r="F637" s="75" t="n">
        <x:v>0.2005270727851457</x:v>
      </x:c>
      <x:c r="G637" s="75" t="n">
        <x:v>0.0189595703700179</x:v>
      </x:c>
      <x:c r="H637" s="75" t="n">
        <x:v>0.00869761239703439</x:v>
      </x:c>
      <x:c r="I637" s="75" t="n">
        <x:v>0.00883465845516912</x:v>
      </x:c>
      <x:c r="J637" s="75" t="n">
        <x:v>0.012262521679949715</x:v>
      </x:c>
      <x:c r="K637" s="75" t="n">
        <x:v>0.011043861005484358</x:v>
      </x:c>
      <x:c r="L637" s="75" t="n">
        <x:v>0.009132371247862465</x:v>
      </x:c>
      <x:c r="M637" s="75" t="n">
        <x:v>0.00957768562403362</x:v>
      </x:c>
      <x:c r="N637" s="75" t="n">
        <x:v>0.005712990749452728</x:v>
      </x:c>
      <x:c r="O637" s="75" t="n">
        <x:v>0.009968171148881082</x:v>
      </x:c>
      <x:c r="P637" s="75" t="n">
        <x:v>0.0004597521641771891</x:v>
      </x:c>
      <x:c r="Q637" s="75" t="n">
        <x:v>0.0017768285540150828</x:v>
      </x:c>
      <x:c r="R637" s="75" t="n">
        <x:v>0.3474519010058846</x:v>
      </x:c>
      <x:c r="S637" s="75" t="n">
        <x:v>0.013141571827043664</x:v>
      </x:c>
      <x:c r="T637" s="75" t="n">
        <x:v>0.004679674179871654</x:v>
      </x:c>
      <x:c r="U637" s="75" t="n">
        <x:v>0.006325475039586308</x:v>
      </x:c>
      <x:c r="V637" s="75" t="n">
        <x:v>0.037016825548838825</x:v>
      </x:c>
      <x:c r="W637" s="75" t="n">
        <x:v>0.012734998465997575</x:v>
      </x:c>
      <x:c r="X637" s="75" t="n">
        <x:v>0.028292189596612373</x:v>
      </x:c>
      <x:c r="Y637" s="75" t="n">
        <x:v>0.020596207871954764</x:v>
      </x:c>
      <x:c r="Z637" s="75" t="n">
        <x:v>0.004970390789934987</x:v>
      </x:c>
      <x:c r="AA637" s="75" t="n">
        <x:v>0.007653832921115525</x:v>
      </x:c>
      <x:c r="AB637" s="75" t="n">
        <x:v>0.005188957594222389</x:v>
      </x:c>
      <x:c r="AC637" s="75" t="n">
        <x:v>0.021567189182431435</x:v>
      </x:c>
      <x:c r="AD637" s="75" t="n">
        <x:v>0.10804877496178962</x:v>
      </x:c>
      <x:c r="AE637" s="75" t="n">
        <x:v>0.08306633865286131</x:v>
      </x:c>
      <x:c r="AF637" s="74" t="n">
        <x:v>7</x:v>
      </x:c>
    </x:row>
    <x:row r="638">
      <x:c r="A638" t="str">
        <x:v>2025 S1</x:v>
      </x:c>
      <x:c r="B638" t="str">
        <x:v>CNCT0160</x:v>
      </x:c>
      <x:c r="C638" s="74" t="n">
        <x:v>1599</x:v>
      </x:c>
      <x:c r="D638" s="74" t="n">
        <x:v>940.143</x:v>
      </x:c>
      <x:c r="E638" s="75" t="n">
        <x:v>0.9807637439625104</x:v>
      </x:c>
      <x:c r="F638" s="75" t="n">
        <x:v>0.17281601094268262</x:v>
      </x:c>
      <x:c r="G638" s="75" t="n">
        <x:v>0.014679497260716743</x:v>
      </x:c>
      <x:c r="H638" s="75" t="n">
        <x:v>0.011772074097236327</x:v>
      </x:c>
      <x:c r="I638" s="75" t="n">
        <x:v>0.007390517634810749</x:v>
      </x:c>
      <x:c r="J638" s="75" t="n">
        <x:v>0.016022986653172665</x:v>
      </x:c>
      <x:c r="K638" s="75" t="n">
        <x:v>0.013655033867205929</x:v>
      </x:c>
      <x:c r="L638" s="75" t="n">
        <x:v>0.010265376654213468</x:v>
      </x:c>
      <x:c r="M638" s="75" t="n">
        <x:v>0.010001466918627556</x:v>
      </x:c>
      <x:c r="N638" s="75" t="n">
        <x:v>0.0059237767225422434</x:v>
      </x:c>
      <x:c r="O638" s="75" t="n">
        <x:v>0.008224710933078312</x:v>
      </x:c>
      <x:c r="P638" s="75" t="n">
        <x:v>0.0009920966855206644</x:v>
      </x:c>
      <x:c r="Q638" s="75" t="n">
        <x:v>0.006229430464300094</x:v>
      </x:c>
      <x:c r="R638" s="75" t="n">
        <x:v>0.36142497897714126</x:v>
      </x:c>
      <x:c r="S638" s="75" t="n">
        <x:v>0.015413691423556884</x:v>
      </x:c>
      <x:c r="T638" s="75" t="n">
        <x:v>0.006366495070760721</x:v>
      </x:c>
      <x:c r="U638" s="75" t="n">
        <x:v>0.012935722712576534</x:v>
      </x:c>
      <x:c r="V638" s="75" t="n">
        <x:v>0.035239657995902236</x:v>
      </x:c>
      <x:c r="W638" s="75" t="n">
        <x:v>0.01067514541587443</x:v>
      </x:c>
      <x:c r="X638" s="75" t="n">
        <x:v>0.0216477809207415</x:v>
      </x:c>
      <x:c r="Y638" s="75" t="n">
        <x:v>0.019109943260932342</x:v>
      </x:c>
      <x:c r="Z638" s="75" t="n">
        <x:v>0.0047825778752245245</x:v>
      </x:c>
      <x:c r="AA638" s="75" t="n">
        <x:v>0.0056426563064934454</x:v>
      </x:c>
      <x:c r="AB638" s="75" t="n">
        <x:v>0.00348788975724674</x:v>
      </x:c>
      <x:c r="AC638" s="75" t="n">
        <x:v>0.019038530894624997</x:v>
      </x:c>
      <x:c r="AD638" s="75" t="n">
        <x:v>0.11434955690204517</x:v>
      </x:c>
      <x:c r="AE638" s="75" t="n">
        <x:v>0.0627393925509823</x:v>
      </x:c>
      <x:c r="AF638" s="74" t="n">
        <x:v>10</x:v>
      </x:c>
    </x:row>
    <x:row r="639">
      <x:c r="A639" t="str">
        <x:v>2025 S2</x:v>
      </x:c>
      <x:c r="B639" t="str">
        <x:v>CNCT0160</x:v>
      </x:c>
      <x:c r="C639" s="74" t="n">
        <x:v>1710</x:v>
      </x:c>
      <x:c r="D639" s="74" t="n">
        <x:v>951.425</x:v>
      </x:c>
      <x:c r="E639" s="75" t="n">
        <x:v>0.9792860751258559</x:v>
      </x:c>
      <x:c r="F639" s="75" t="n">
        <x:v>0.17281601094268262</x:v>
      </x:c>
      <x:c r="G639" s="75" t="n">
        <x:v>0.014679497260716743</x:v>
      </x:c>
      <x:c r="H639" s="75" t="n">
        <x:v>0.011772074097236327</x:v>
      </x:c>
      <x:c r="I639" s="75" t="n">
        <x:v>0.007390517634810749</x:v>
      </x:c>
      <x:c r="J639" s="75" t="n">
        <x:v>0.016022986653172665</x:v>
      </x:c>
      <x:c r="K639" s="75" t="n">
        <x:v>0.013655033867205929</x:v>
      </x:c>
      <x:c r="L639" s="75" t="n">
        <x:v>0.010265376654213468</x:v>
      </x:c>
      <x:c r="M639" s="75" t="n">
        <x:v>0.010001466918627556</x:v>
      </x:c>
      <x:c r="N639" s="75" t="n">
        <x:v>0.0059237767225422434</x:v>
      </x:c>
      <x:c r="O639" s="75" t="n">
        <x:v>0.008224710933078312</x:v>
      </x:c>
      <x:c r="P639" s="75" t="n">
        <x:v>0.0009920966855206644</x:v>
      </x:c>
      <x:c r="Q639" s="75" t="n">
        <x:v>0.006229430464300094</x:v>
      </x:c>
      <x:c r="R639" s="75" t="n">
        <x:v>0.3610537174825689</x:v>
      </x:c>
      <x:c r="S639" s="75" t="n">
        <x:v>0.015413691423556884</x:v>
      </x:c>
      <x:c r="T639" s="75" t="n">
        <x:v>0.006366495070760721</x:v>
      </x:c>
      <x:c r="U639" s="75" t="n">
        <x:v>0.012935722712576534</x:v>
      </x:c>
      <x:c r="V639" s="75" t="n">
        <x:v>0.035239657995902236</x:v>
      </x:c>
      <x:c r="W639" s="75" t="n">
        <x:v>0.01067514541587443</x:v>
      </x:c>
      <x:c r="X639" s="75" t="n">
        <x:v>0.0216477809207415</x:v>
      </x:c>
      <x:c r="Y639" s="75" t="n">
        <x:v>0.019109943260932342</x:v>
      </x:c>
      <x:c r="Z639" s="75" t="n">
        <x:v>0.0047825778752245245</x:v>
      </x:c>
      <x:c r="AA639" s="75" t="n">
        <x:v>0.0056426563064934454</x:v>
      </x:c>
      <x:c r="AB639" s="75" t="n">
        <x:v>0.00348788975724674</x:v>
      </x:c>
      <x:c r="AC639" s="75" t="n">
        <x:v>0.019038530894624997</x:v>
      </x:c>
      <x:c r="AD639" s="75" t="n">
        <x:v>0.11434955690204517</x:v>
      </x:c>
      <x:c r="AE639" s="75" t="n">
        <x:v>0.0627393925509823</x:v>
      </x:c>
      <x:c r="AF639" s="74" t="n">
        <x:v>10</x:v>
      </x:c>
    </x:row>
    <x:row r="640">
      <x:c r="A640" t="str">
        <x:v>2026 S1</x:v>
      </x:c>
      <x:c r="B640" t="str">
        <x:v>CNCT0160</x:v>
      </x:c>
      <x:c r="C640" s="74" t="n">
        <x:v>1684</x:v>
      </x:c>
      <x:c r="D640" s="74" t="n">
        <x:v>983.628</x:v>
      </x:c>
      <x:c r="E640" s="75" t="n">
        <x:v>0.9800389102748013</x:v>
      </x:c>
      <x:c r="F640" s="75" t="n">
        <x:v>0.1747264391269855</x:v>
      </x:c>
      <x:c r="G640" s="75" t="n">
        <x:v>0.014608938727760687</x:v>
      </x:c>
      <x:c r="H640" s="75" t="n">
        <x:v>0.011772074097236327</x:v>
      </x:c>
      <x:c r="I640" s="75" t="n">
        <x:v>0.007390517634810749</x:v>
      </x:c>
      <x:c r="J640" s="75" t="n">
        <x:v>0.016022986653172665</x:v>
      </x:c>
      <x:c r="K640" s="75" t="n">
        <x:v>0.013655033867205929</x:v>
      </x:c>
      <x:c r="L640" s="75" t="n">
        <x:v>0.010265376654213468</x:v>
      </x:c>
      <x:c r="M640" s="75" t="n">
        <x:v>0.010001466918627556</x:v>
      </x:c>
      <x:c r="N640" s="75" t="n">
        <x:v>0.0059237767225422434</x:v>
      </x:c>
      <x:c r="O640" s="75" t="n">
        <x:v>0.00822265026916284</x:v>
      </x:c>
      <x:c r="P640" s="75" t="n">
        <x:v>0.0009920966855206644</x:v>
      </x:c>
      <x:c r="Q640" s="75" t="n">
        <x:v>0.006229430464300094</x:v>
      </x:c>
      <x:c r="R640" s="75" t="n">
        <x:v>0.3644722791382487</x:v>
      </x:c>
      <x:c r="S640" s="75" t="n">
        <x:v>0.015413691423556884</x:v>
      </x:c>
      <x:c r="T640" s="75" t="n">
        <x:v>0.006366495070760721</x:v>
      </x:c>
      <x:c r="U640" s="75" t="n">
        <x:v>0.012935722712576534</x:v>
      </x:c>
      <x:c r="V640" s="75" t="n">
        <x:v>0.035239657995902236</x:v>
      </x:c>
      <x:c r="W640" s="75" t="n">
        <x:v>0.013135243381723937</x:v>
      </x:c>
      <x:c r="X640" s="75" t="n">
        <x:v>0.026636533741764272</x:v>
      </x:c>
      <x:c r="Y640" s="75" t="n">
        <x:v>0.023513848848373767</x:v>
      </x:c>
      <x:c r="Z640" s="75" t="n">
        <x:v>0.005884727742416095</x:v>
      </x:c>
      <x:c r="AA640" s="75" t="n">
        <x:v>0.006943012110635467</x:v>
      </x:c>
      <x:c r="AB640" s="75" t="n">
        <x:v>0.004291677449370386</x:v>
      </x:c>
      <x:c r="AC640" s="75" t="n">
        <x:v>0.023425979430640412</x:v>
      </x:c>
      <x:c r="AD640" s="75" t="n">
        <x:v>0.11434955690204517</x:v>
      </x:c>
      <x:c r="AE640" s="75" t="n">
        <x:v>0.0627393925509823</x:v>
      </x:c>
      <x:c r="AF640" s="74" t="n">
        <x:v>10</x:v>
      </x:c>
    </x:row>
    <x:row r="641">
      <x:c r="A641" t="str">
        <x:v>2026 S2</x:v>
      </x:c>
      <x:c r="B641" t="str">
        <x:v>CNCT0160</x:v>
      </x:c>
      <x:c r="C641" s="74" t="n">
        <x:v>1790</x:v>
      </x:c>
      <x:c r="D641" s="74" t="n">
        <x:v>991.612</x:v>
      </x:c>
      <x:c r="E641" s="75" t="n">
        <x:v>0.9792860751258559</x:v>
      </x:c>
      <x:c r="F641" s="75" t="n">
        <x:v>0.1784874843743437</x:v>
      </x:c>
      <x:c r="G641" s="75" t="n">
        <x:v>0.01666233318389277</x:v>
      </x:c>
      <x:c r="H641" s="75" t="n">
        <x:v>0.011772074097236327</x:v>
      </x:c>
      <x:c r="I641" s="75" t="n">
        <x:v>0.007390517634810749</x:v>
      </x:c>
      <x:c r="J641" s="75" t="n">
        <x:v>0.016022986653172665</x:v>
      </x:c>
      <x:c r="K641" s="75" t="n">
        <x:v>0.013655033867205929</x:v>
      </x:c>
      <x:c r="L641" s="75" t="n">
        <x:v>0.010265376654213468</x:v>
      </x:c>
      <x:c r="M641" s="75" t="n">
        <x:v>0.010001466918627556</x:v>
      </x:c>
      <x:c r="N641" s="75" t="n">
        <x:v>0.0059237767225422434</x:v>
      </x:c>
      <x:c r="O641" s="75" t="n">
        <x:v>0.008224710933078312</x:v>
      </x:c>
      <x:c r="P641" s="75" t="n">
        <x:v>0.0009920966855206644</x:v>
      </x:c>
      <x:c r="Q641" s="75" t="n">
        <x:v>0.006229430464300094</x:v>
      </x:c>
      <x:c r="R641" s="75" t="n">
        <x:v>0.3548731201169417</x:v>
      </x:c>
      <x:c r="S641" s="75" t="n">
        <x:v>0.015413691423556884</x:v>
      </x:c>
      <x:c r="T641" s="75" t="n">
        <x:v>0.006366495070760721</x:v>
      </x:c>
      <x:c r="U641" s="75" t="n">
        <x:v>0.012935722712576534</x:v>
      </x:c>
      <x:c r="V641" s="75" t="n">
        <x:v>0.035239657995902236</x:v>
      </x:c>
      <x:c r="W641" s="75" t="n">
        <x:v>0.011315654140826897</x:v>
      </x:c>
      <x:c r="X641" s="75" t="n">
        <x:v>0.02294664777598599</x:v>
      </x:c>
      <x:c r="Y641" s="75" t="n">
        <x:v>0.020256539856588283</x:v>
      </x:c>
      <x:c r="Z641" s="75" t="n">
        <x:v>0.005069532547737996</x:v>
      </x:c>
      <x:c r="AA641" s="75" t="n">
        <x:v>0.005981215684883053</x:v>
      </x:c>
      <x:c r="AB641" s="75" t="n">
        <x:v>0.0036971631426815444</x:v>
      </x:c>
      <x:c r="AC641" s="75" t="n">
        <x:v>0.020180842748302497</x:v>
      </x:c>
      <x:c r="AD641" s="75" t="n">
        <x:v>0.11434955690204517</x:v>
      </x:c>
      <x:c r="AE641" s="75" t="n">
        <x:v>0.0627393925509823</x:v>
      </x:c>
      <x:c r="AF641" s="74" t="n">
        <x:v>10</x:v>
      </x:c>
    </x:row>
  </x:sheetData>
  <x:pageMargins left="0.7" right="0.7" top="0.75" bottom="0.75" header="0.3" footer="0.3"/>
  <x:tableParts count="1">
    <x:tablePart xmlns:r="http://schemas.openxmlformats.org/officeDocument/2006/relationships" r:id="R4c4f8d9dc9494ed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60" hidden="0" customWidth="1"/>
  </x:cols>
  <x:sheetData>
    <x:row r="1" ht="32" customHeight="1">
      <x:c r="A1" s="81" t="str">
        <x:v>MODEL STATUS &amp; QUALITY CHECKS</x:v>
      </x:c>
      <x:c r="B1" s="81"/>
      <x:c r="C1" s="81"/>
      <x:c r="D1" s="81"/>
      <x:c r="E1" s="81"/>
      <x:c r="F1" s="81"/>
    </x:row>
    <x:row r="3" ht="30" customHeight="1">
      <x:c r="A3" s="85" t="str">
        <x:v>Check</x:v>
      </x:c>
      <x:c r="B3" s="85" t="str">
        <x:v>Actual</x:v>
      </x:c>
      <x:c r="C3" s="85" t="str">
        <x:v>Expected</x:v>
      </x:c>
      <x:c r="D3" s="85" t="str">
        <x:v>Difference / Max Delta</x:v>
      </x:c>
      <x:c r="E3" s="85" t="str">
        <x:v>Status</x:v>
      </x:c>
      <x:c r="F3" s="85" t="str">
        <x:v>Notes</x:v>
      </x:c>
    </x:row>
    <x:row r="4">
      <x:c r="A4" s="12" t="str">
        <x:v>Fact row count</x:v>
      </x:c>
      <x:c r="B4" s="89" t="n">
        <x:f>COUNTA('Counter_PnL'!$A$2:$A$641)</x:f>
        <x:v>640</x:v>
      </x:c>
      <x:c r="C4" s="89" t="n">
        <x:v>640</x:v>
      </x:c>
      <x:c r="D4" s="86" t="n">
        <x:f>B4-C4</x:f>
        <x:v>0</x:v>
      </x:c>
      <x:c r="E4" s="12" t="str">
        <x:f>IF(D4=0,"OK","FAIL")</x:f>
        <x:v>OK</x:v>
      </x:c>
      <x:c r="F4" s="12" t="str">
        <x:v>160 stores × 4 periods</x:v>
      </x:c>
    </x:row>
    <x:row r="5">
      <x:c r="A5" s="14" t="str">
        <x:v>Unique Store-Period frequency</x:v>
      </x:c>
      <x:c r="B5" s="90" t="n">
        <x:f>MAX('Row_Checks'!$C$2:$C$641)</x:f>
        <x:v>1</x:v>
      </x:c>
      <x:c r="C5" s="90" t="n">
        <x:v>1</x:v>
      </x:c>
      <x:c r="D5" s="87" t="n">
        <x:f>B5-C5</x:f>
        <x:v>0</x:v>
      </x:c>
      <x:c r="E5" s="14" t="str">
        <x:f>IF(D5=0,"OK","FAIL")</x:f>
        <x:v>OK</x:v>
      </x:c>
      <x:c r="F5" s="14" t="str">
        <x:v>Each Store ID and Period Key appears once</x:v>
      </x:c>
    </x:row>
    <x:row r="6">
      <x:c r="A6" s="14" t="str">
        <x:v>Promotional Allowance tie-out</x:v>
      </x:c>
      <x:c r="B6" s="87" t="n">
        <x:f>MAX('Row_Checks'!$D$2:$D$641)</x:f>
        <x:v>0</x:v>
      </x:c>
      <x:c r="C6" s="87" t="n">
        <x:v>0</x:v>
      </x:c>
      <x:c r="D6" s="87" t="n">
        <x:f>B6-C6</x:f>
        <x:v>0</x:v>
      </x:c>
      <x:c r="E6" s="14" t="str">
        <x:f>IF(ABS(D6)&lt;=0.000001,"OK","FAIL")</x:f>
        <x:v>OK</x:v>
      </x:c>
      <x:c r="F6" s="14" t="str">
        <x:v>Total PA equals seven component lines</x:v>
      </x:c>
    </x:row>
    <x:row r="7">
      <x:c r="A7" s="14" t="str">
        <x:v>Minorations tie-out</x:v>
      </x:c>
      <x:c r="B7" s="87" t="n">
        <x:f>MAX('Row_Checks'!$E$2:$E$641)</x:f>
        <x:v>0</x:v>
      </x:c>
      <x:c r="C7" s="87" t="n">
        <x:v>0</x:v>
      </x:c>
      <x:c r="D7" s="87" t="n">
        <x:f>B7-C7</x:f>
        <x:v>0</x:v>
      </x:c>
      <x:c r="E7" s="14" t="str">
        <x:f>IF(ABS(D7)&lt;=0.000001,"OK","FAIL")</x:f>
        <x:v>OK</x:v>
      </x:c>
      <x:c r="F7" s="14" t="str">
        <x:v>Minorations equals all deductions</x:v>
      </x:c>
    </x:row>
    <x:row r="8">
      <x:c r="A8" s="14" t="str">
        <x:v>Net Sales tie-out</x:v>
      </x:c>
      <x:c r="B8" s="87" t="n">
        <x:f>MAX('Row_Checks'!$F$2:$F$641)</x:f>
        <x:v>0</x:v>
      </x:c>
      <x:c r="C8" s="87" t="n">
        <x:v>0</x:v>
      </x:c>
      <x:c r="D8" s="87" t="n">
        <x:f>B8-C8</x:f>
        <x:v>0</x:v>
      </x:c>
      <x:c r="E8" s="14" t="str">
        <x:f>IF(ABS(D8)&lt;=0.000001,"OK","FAIL")</x:f>
        <x:v>OK</x:v>
      </x:c>
      <x:c r="F8" s="14" t="str">
        <x:v>Net Sales = Gross Sales + Minorations</x:v>
      </x:c>
    </x:row>
    <x:row r="9">
      <x:c r="A9" s="14" t="str">
        <x:v>Cost of Sales tie-out</x:v>
      </x:c>
      <x:c r="B9" s="87" t="n">
        <x:f>MAX('Row_Checks'!$G$2:$G$641)</x:f>
        <x:v>0</x:v>
      </x:c>
      <x:c r="C9" s="87" t="n">
        <x:v>0</x:v>
      </x:c>
      <x:c r="D9" s="87" t="n">
        <x:f>B9-C9</x:f>
        <x:v>0</x:v>
      </x:c>
      <x:c r="E9" s="14" t="str">
        <x:f>IF(ABS(D9)&lt;=0.000001,"OK","FAIL")</x:f>
        <x:v>OK</x:v>
      </x:c>
      <x:c r="F9" s="14" t="str">
        <x:v>Cost of Sales equals five component lines</x:v>
      </x:c>
    </x:row>
    <x:row r="10">
      <x:c r="A10" s="14" t="str">
        <x:v>Gross Margin tie-out</x:v>
      </x:c>
      <x:c r="B10" s="87" t="n">
        <x:f>MAX('Row_Checks'!$H$2:$H$641)</x:f>
        <x:v>0</x:v>
      </x:c>
      <x:c r="C10" s="87" t="n">
        <x:v>0</x:v>
      </x:c>
      <x:c r="D10" s="87" t="n">
        <x:f>B10-C10</x:f>
        <x:v>0</x:v>
      </x:c>
      <x:c r="E10" s="14" t="str">
        <x:f>IF(ABS(D10)&lt;=0.000001,"OK","FAIL")</x:f>
        <x:v>OK</x:v>
      </x:c>
      <x:c r="F10" s="14" t="str">
        <x:v>Gross Margin = Net Sales + Cost of Sales</x:v>
      </x:c>
    </x:row>
    <x:row r="11">
      <x:c r="A11" s="14" t="str">
        <x:v>DA Cost tie-out</x:v>
      </x:c>
      <x:c r="B11" s="87" t="n">
        <x:f>MAX('Row_Checks'!$I$2:$I$641)</x:f>
        <x:v>0</x:v>
      </x:c>
      <x:c r="C11" s="87" t="n">
        <x:v>0</x:v>
      </x:c>
      <x:c r="D11" s="87" t="n">
        <x:f>B11-C11</x:f>
        <x:v>0</x:v>
      </x:c>
      <x:c r="E11" s="14" t="str">
        <x:f>IF(ABS(D11)&lt;=0.000001,"OK","FAIL")</x:f>
        <x:v>OK</x:v>
      </x:c>
      <x:c r="F11" s="14" t="str">
        <x:v>DA Cost equals six expense components</x:v>
      </x:c>
    </x:row>
    <x:row r="12">
      <x:c r="A12" s="14" t="str">
        <x:v>Customer Contribution tie-out</x:v>
      </x:c>
      <x:c r="B12" s="87" t="n">
        <x:f>MAX('Row_Checks'!$J$2:$J$641)</x:f>
        <x:v>0</x:v>
      </x:c>
      <x:c r="C12" s="87" t="n">
        <x:v>0</x:v>
      </x:c>
      <x:c r="D12" s="87" t="n">
        <x:f>B12-C12</x:f>
        <x:v>0</x:v>
      </x:c>
      <x:c r="E12" s="14" t="str">
        <x:f>IF(ABS(D12)&lt;=0.000001,"OK","FAIL")</x:f>
        <x:v>OK</x:v>
      </x:c>
      <x:c r="F12" s="14" t="str">
        <x:v>CC = GM + DA Cost + Specific A&amp;P + Specific SG&amp;A</x:v>
      </x:c>
    </x:row>
    <x:row r="13">
      <x:c r="A13" s="14" t="str">
        <x:v>Operating Profit tie-out</x:v>
      </x:c>
      <x:c r="B13" s="87" t="n">
        <x:f>MAX('Row_Checks'!$K$2:$K$641)</x:f>
        <x:v>0</x:v>
      </x:c>
      <x:c r="C13" s="87" t="n">
        <x:v>0</x:v>
      </x:c>
      <x:c r="D13" s="87" t="n">
        <x:f>B13-C13</x:f>
        <x:v>0</x:v>
      </x:c>
      <x:c r="E13" s="14" t="str">
        <x:f>IF(ABS(D13)&lt;=0.000001,"OK","FAIL")</x:f>
        <x:v>OK</x:v>
      </x:c>
      <x:c r="F13" s="14" t="str">
        <x:v>OP = Customer Contribution + Non-specific Costs</x:v>
      </x:c>
    </x:row>
    <x:row r="14">
      <x:c r="A14" s="14" t="str">
        <x:v>Percentage consistency</x:v>
      </x:c>
      <x:c r="B14" s="87" t="n">
        <x:f>MAX('Row_Checks'!$L$2:$L$641)</x:f>
        <x:v>0</x:v>
      </x:c>
      <x:c r="C14" s="87" t="n">
        <x:v>0</x:v>
      </x:c>
      <x:c r="D14" s="87" t="n">
        <x:f>B14-C14</x:f>
        <x:v>0</x:v>
      </x:c>
      <x:c r="E14" s="14" t="str">
        <x:f>IF(ABS(D14)&lt;=0.000001,"OK","FAIL")</x:f>
        <x:v>OK</x:v>
      </x:c>
      <x:c r="F14" s="14" t="str">
        <x:v>GM%, CC% and OP% match amount / Net Sales</x:v>
      </x:c>
    </x:row>
    <x:row r="15">
      <x:c r="A15" s="14" t="str">
        <x:v>Sign convention exceptions</x:v>
      </x:c>
      <x:c r="B15" s="90" t="n">
        <x:f>SUM('Row_Checks'!$M$2:$M$641)</x:f>
        <x:v>0</x:v>
      </x:c>
      <x:c r="C15" s="90" t="n">
        <x:v>0</x:v>
      </x:c>
      <x:c r="D15" s="87" t="n">
        <x:f>B15-C15</x:f>
        <x:v>0</x:v>
      </x:c>
      <x:c r="E15" s="14" t="str">
        <x:f>IF(D15=0,"OK","FAIL")</x:f>
        <x:v>OK</x:v>
      </x:c>
      <x:c r="F15" s="14" t="str">
        <x:v>Sales positive; deductions and costs non-positive</x:v>
      </x:c>
    </x:row>
    <x:row r="16">
      <x:c r="A16" s="16" t="str">
        <x:v>Blank cells in main table</x:v>
      </x:c>
      <x:c r="B16" s="91" t="n">
        <x:f>COUNTBLANK('Counter_PnL'!$A$2:$BP$641)</x:f>
        <x:v>0</x:v>
      </x:c>
      <x:c r="C16" s="91" t="n">
        <x:v>0</x:v>
      </x:c>
      <x:c r="D16" s="88" t="n">
        <x:f>B16-C16</x:f>
        <x:v>0</x:v>
      </x:c>
      <x:c r="E16" s="16" t="str">
        <x:f>IF(D16=0,"OK","FAIL")</x:f>
        <x:v>OK</x:v>
      </x:c>
      <x:c r="F16" s="16" t="str">
        <x:v>Main Dashboard source contains no blanks</x:v>
      </x:c>
    </x:row>
    <x:row r="18">
      <x:c r="A18" s="82" t="str">
        <x:v>MODEL STATUS</x:v>
      </x:c>
      <x:c r="B18" s="82" t="str">
        <x:f>IF(COUNTIF(E4:E16,"FAIL")=0,"PASS","FAIL")</x:f>
        <x:v>PASS</x:v>
      </x:c>
    </x:row>
    <x:row r="19">
      <x:c r="A19" t="str">
        <x:v>Generated</x:v>
      </x:c>
      <x:c r="B19" t="str">
        <x:v>2026-08-13</x:v>
      </x:c>
    </x:row>
  </x:sheetData>
  <x:mergeCells>
    <x:mergeCell ref="A1:F1"/>
  </x:mergeCells>
  <x:conditionalFormatting sqref="E4:E16">
    <x:cfRule type="containsText" dxfId="1" priority="1" operator="containsText" text="FAIL"/>
    <x:cfRule type="containsText" dxfId="2" priority="2" operator="containsText" text="OK"/>
  </x:conditionalFormatting>
  <x:conditionalFormatting sqref="B18:B18">
    <x:cfRule type="containsText" dxfId="3" priority="3" operator="containsText" text="PASS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25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7" hidden="0" customWidth="1"/>
    <x:col min="11" max="11" width="22" hidden="0" customWidth="1"/>
    <x:col min="12" max="12" width="22" hidden="0" customWidth="1"/>
    <x:col min="13" max="13" width="22" hidden="0" customWidth="1"/>
  </x:cols>
  <x:sheetData>
    <x:row r="1" ht="38" customHeight="1">
      <x:c r="A1" s="78" t="str">
        <x:v>Store ID</x:v>
      </x:c>
      <x:c r="B1" s="78" t="str">
        <x:v>Period Key</x:v>
      </x:c>
      <x:c r="C1" s="78" t="str">
        <x:v>Store-Period Frequency</x:v>
      </x:c>
      <x:c r="D1" s="78" t="str">
        <x:v>PA Delta</x:v>
      </x:c>
      <x:c r="E1" s="78" t="str">
        <x:v>Minorations Delta</x:v>
      </x:c>
      <x:c r="F1" s="78" t="str">
        <x:v>Net Sales Delta</x:v>
      </x:c>
      <x:c r="G1" s="78" t="str">
        <x:v>Cost of Sales Delta</x:v>
      </x:c>
      <x:c r="H1" s="78" t="str">
        <x:v>Gross Margin Delta</x:v>
      </x:c>
      <x:c r="I1" s="78" t="str">
        <x:v>DA Cost Delta</x:v>
      </x:c>
      <x:c r="J1" s="78" t="str">
        <x:v>Customer Contribution Delta</x:v>
      </x:c>
      <x:c r="K1" s="78" t="str">
        <x:v>Operating Profit Delta</x:v>
      </x:c>
      <x:c r="L1" s="78" t="str">
        <x:v>Percent Delta</x:v>
      </x:c>
      <x:c r="M1" s="78" t="str">
        <x:v>Sign Exceptions</x:v>
      </x:c>
    </x:row>
    <x:row r="2">
      <x:c r="A2" t="str">
        <x:f>'Counter_PnL'!D2</x:f>
        <x:v>CNCT0001</x:v>
      </x:c>
      <x:c r="B2" t="str">
        <x:f>'Counter_PnL'!C2</x:f>
        <x:v>2025 S1</x:v>
      </x:c>
      <x:c r="C2" s="30" t="n">
        <x:f>COUNTIFS('Counter_PnL'!$D$2:$D$641,A2,'Counter_PnL'!$C$2:$C$641,B2)</x:f>
        <x:v>1</x:v>
      </x:c>
      <x:c r="D2" s="79" t="n">
        <x:f>ABS('Counter_PnL'!AC2-SUM('Counter_PnL'!V2:'Counter_PnL'!AB2))</x:f>
        <x:v>0</x:v>
      </x:c>
      <x:c r="E2" s="79" t="n">
        <x:f>ABS('Counter_PnL'!AI2-SUM('Counter_PnL'!R2,'Counter_PnL'!T2,'Counter_PnL'!AC2,'Counter_PnL'!AE2,'Counter_PnL'!AG2,'Counter_PnL'!AH2))</x:f>
        <x:v>0</x:v>
      </x:c>
      <x:c r="F2" s="79" t="n">
        <x:f>ABS('Counter_PnL'!AK2-('Counter_PnL'!Q2+'Counter_PnL'!AI2))</x:f>
        <x:v>0</x:v>
      </x:c>
      <x:c r="G2" s="79" t="n">
        <x:f>ABS('Counter_PnL'!AT2-SUM('Counter_PnL'!AO2:'Counter_PnL'!AS2))</x:f>
        <x:v>0</x:v>
      </x:c>
      <x:c r="H2" s="79" t="n">
        <x:f>ABS('Counter_PnL'!AV2-('Counter_PnL'!AK2+'Counter_PnL'!AT2))</x:f>
        <x:v>0</x:v>
      </x:c>
      <x:c r="I2" s="79" t="n">
        <x:f>ABS('Counter_PnL'!BE2-SUM('Counter_PnL'!AX2:'Counter_PnL'!BB2,'Counter_PnL'!BD2))</x:f>
        <x:v>0</x:v>
      </x:c>
      <x:c r="J2" s="79" t="n">
        <x:f>ABS('Counter_PnL'!BL2-SUM('Counter_PnL'!AV2,'Counter_PnL'!BE2,'Counter_PnL'!BJ2,'Counter_PnL'!BK2))</x:f>
        <x:v>0</x:v>
      </x:c>
      <x:c r="K2" s="79" t="n">
        <x:f>ABS('Counter_PnL'!BO2-('Counter_PnL'!BL2+'Counter_PnL'!BN2))</x:f>
        <x:v>0</x:v>
      </x:c>
      <x:c r="L2" s="79" t="n">
        <x:f>MAX(ABS('Counter_PnL'!AW2-'Counter_PnL'!AV2/'Counter_PnL'!AK2),ABS('Counter_PnL'!BM2-'Counter_PnL'!BL2/'Counter_PnL'!AK2),ABS('Counter_PnL'!BP2-'Counter_PnL'!BO2/'Counter_PnL'!AK2))</x:f>
        <x:v>0</x:v>
      </x:c>
      <x:c r="M2" s="30" t="n">
        <x:f>IF(AND('Counter_PnL'!Q2&gt;0,'Counter_PnL'!AK2&gt;0,'Counter_PnL'!R2&lt;=0,'Counter_PnL'!T2&lt;=0,'Counter_PnL'!AT2&lt;=0,'Counter_PnL'!BE2&lt;=0,'Counter_PnL'!BJ2&lt;=0,'Counter_PnL'!BK2&lt;=0,'Counter_PnL'!BN2&lt;=0),0,1)</x:f>
        <x:v>0</x:v>
      </x:c>
    </x:row>
    <x:row r="3">
      <x:c r="A3" t="str">
        <x:f>'Counter_PnL'!D3</x:f>
        <x:v>CNCT0001</x:v>
      </x:c>
      <x:c r="B3" t="str">
        <x:f>'Counter_PnL'!C3</x:f>
        <x:v>2025 S2</x:v>
      </x:c>
      <x:c r="C3" s="30" t="n">
        <x:f>COUNTIFS('Counter_PnL'!$D$2:$D$641,A3,'Counter_PnL'!$C$2:$C$641,B3)</x:f>
        <x:v>1</x:v>
      </x:c>
      <x:c r="D3" s="79" t="n">
        <x:f>ABS('Counter_PnL'!AC3-SUM('Counter_PnL'!V3:'Counter_PnL'!AB3))</x:f>
        <x:v>0</x:v>
      </x:c>
      <x:c r="E3" s="79" t="n">
        <x:f>ABS('Counter_PnL'!AI3-SUM('Counter_PnL'!R3,'Counter_PnL'!T3,'Counter_PnL'!AC3,'Counter_PnL'!AE3,'Counter_PnL'!AG3,'Counter_PnL'!AH3))</x:f>
        <x:v>0</x:v>
      </x:c>
      <x:c r="F3" s="79" t="n">
        <x:f>ABS('Counter_PnL'!AK3-('Counter_PnL'!Q3+'Counter_PnL'!AI3))</x:f>
        <x:v>0</x:v>
      </x:c>
      <x:c r="G3" s="79" t="n">
        <x:f>ABS('Counter_PnL'!AT3-SUM('Counter_PnL'!AO3:'Counter_PnL'!AS3))</x:f>
        <x:v>0</x:v>
      </x:c>
      <x:c r="H3" s="79" t="n">
        <x:f>ABS('Counter_PnL'!AV3-('Counter_PnL'!AK3+'Counter_PnL'!AT3))</x:f>
        <x:v>0</x:v>
      </x:c>
      <x:c r="I3" s="79" t="n">
        <x:f>ABS('Counter_PnL'!BE3-SUM('Counter_PnL'!AX3:'Counter_PnL'!BB3,'Counter_PnL'!BD3))</x:f>
        <x:v>0</x:v>
      </x:c>
      <x:c r="J3" s="79" t="n">
        <x:f>ABS('Counter_PnL'!BL3-SUM('Counter_PnL'!AV3,'Counter_PnL'!BE3,'Counter_PnL'!BJ3,'Counter_PnL'!BK3))</x:f>
        <x:v>0</x:v>
      </x:c>
      <x:c r="K3" s="79" t="n">
        <x:f>ABS('Counter_PnL'!BO3-('Counter_PnL'!BL3+'Counter_PnL'!BN3))</x:f>
        <x:v>0</x:v>
      </x:c>
      <x:c r="L3" s="79" t="n">
        <x:f>MAX(ABS('Counter_PnL'!AW3-'Counter_PnL'!AV3/'Counter_PnL'!AK3),ABS('Counter_PnL'!BM3-'Counter_PnL'!BL3/'Counter_PnL'!AK3),ABS('Counter_PnL'!BP3-'Counter_PnL'!BO3/'Counter_PnL'!AK3))</x:f>
        <x:v>0</x:v>
      </x:c>
      <x:c r="M3" s="30" t="n">
        <x:f>IF(AND('Counter_PnL'!Q3&gt;0,'Counter_PnL'!AK3&gt;0,'Counter_PnL'!R3&lt;=0,'Counter_PnL'!T3&lt;=0,'Counter_PnL'!AT3&lt;=0,'Counter_PnL'!BE3&lt;=0,'Counter_PnL'!BJ3&lt;=0,'Counter_PnL'!BK3&lt;=0,'Counter_PnL'!BN3&lt;=0),0,1)</x:f>
        <x:v>0</x:v>
      </x:c>
    </x:row>
    <x:row r="4">
      <x:c r="A4" t="str">
        <x:f>'Counter_PnL'!D4</x:f>
        <x:v>CNCT0001</x:v>
      </x:c>
      <x:c r="B4" t="str">
        <x:f>'Counter_PnL'!C4</x:f>
        <x:v>2026 S1</x:v>
      </x:c>
      <x:c r="C4" s="30" t="n">
        <x:f>COUNTIFS('Counter_PnL'!$D$2:$D$641,A4,'Counter_PnL'!$C$2:$C$641,B4)</x:f>
        <x:v>1</x:v>
      </x:c>
      <x:c r="D4" s="79" t="n">
        <x:f>ABS('Counter_PnL'!AC4-SUM('Counter_PnL'!V4:'Counter_PnL'!AB4))</x:f>
        <x:v>0</x:v>
      </x:c>
      <x:c r="E4" s="79" t="n">
        <x:f>ABS('Counter_PnL'!AI4-SUM('Counter_PnL'!R4,'Counter_PnL'!T4,'Counter_PnL'!AC4,'Counter_PnL'!AE4,'Counter_PnL'!AG4,'Counter_PnL'!AH4))</x:f>
        <x:v>0</x:v>
      </x:c>
      <x:c r="F4" s="79" t="n">
        <x:f>ABS('Counter_PnL'!AK4-('Counter_PnL'!Q4+'Counter_PnL'!AI4))</x:f>
        <x:v>0</x:v>
      </x:c>
      <x:c r="G4" s="79" t="n">
        <x:f>ABS('Counter_PnL'!AT4-SUM('Counter_PnL'!AO4:'Counter_PnL'!AS4))</x:f>
        <x:v>0</x:v>
      </x:c>
      <x:c r="H4" s="79" t="n">
        <x:f>ABS('Counter_PnL'!AV4-('Counter_PnL'!AK4+'Counter_PnL'!AT4))</x:f>
        <x:v>0</x:v>
      </x:c>
      <x:c r="I4" s="79" t="n">
        <x:f>ABS('Counter_PnL'!BE4-SUM('Counter_PnL'!AX4:'Counter_PnL'!BB4,'Counter_PnL'!BD4))</x:f>
        <x:v>0</x:v>
      </x:c>
      <x:c r="J4" s="79" t="n">
        <x:f>ABS('Counter_PnL'!BL4-SUM('Counter_PnL'!AV4,'Counter_PnL'!BE4,'Counter_PnL'!BJ4,'Counter_PnL'!BK4))</x:f>
        <x:v>0</x:v>
      </x:c>
      <x:c r="K4" s="79" t="n">
        <x:f>ABS('Counter_PnL'!BO4-('Counter_PnL'!BL4+'Counter_PnL'!BN4))</x:f>
        <x:v>0</x:v>
      </x:c>
      <x:c r="L4" s="79" t="n">
        <x:f>MAX(ABS('Counter_PnL'!AW4-'Counter_PnL'!AV4/'Counter_PnL'!AK4),ABS('Counter_PnL'!BM4-'Counter_PnL'!BL4/'Counter_PnL'!AK4),ABS('Counter_PnL'!BP4-'Counter_PnL'!BO4/'Counter_PnL'!AK4))</x:f>
        <x:v>0</x:v>
      </x:c>
      <x:c r="M4" s="30" t="n">
        <x:f>IF(AND('Counter_PnL'!Q4&gt;0,'Counter_PnL'!AK4&gt;0,'Counter_PnL'!R4&lt;=0,'Counter_PnL'!T4&lt;=0,'Counter_PnL'!AT4&lt;=0,'Counter_PnL'!BE4&lt;=0,'Counter_PnL'!BJ4&lt;=0,'Counter_PnL'!BK4&lt;=0,'Counter_PnL'!BN4&lt;=0),0,1)</x:f>
        <x:v>0</x:v>
      </x:c>
    </x:row>
    <x:row r="5">
      <x:c r="A5" t="str">
        <x:f>'Counter_PnL'!D5</x:f>
        <x:v>CNCT0001</x:v>
      </x:c>
      <x:c r="B5" t="str">
        <x:f>'Counter_PnL'!C5</x:f>
        <x:v>2026 S2</x:v>
      </x:c>
      <x:c r="C5" s="30" t="n">
        <x:f>COUNTIFS('Counter_PnL'!$D$2:$D$641,A5,'Counter_PnL'!$C$2:$C$641,B5)</x:f>
        <x:v>1</x:v>
      </x:c>
      <x:c r="D5" s="79" t="n">
        <x:f>ABS('Counter_PnL'!AC5-SUM('Counter_PnL'!V5:'Counter_PnL'!AB5))</x:f>
        <x:v>0</x:v>
      </x:c>
      <x:c r="E5" s="79" t="n">
        <x:f>ABS('Counter_PnL'!AI5-SUM('Counter_PnL'!R5,'Counter_PnL'!T5,'Counter_PnL'!AC5,'Counter_PnL'!AE5,'Counter_PnL'!AG5,'Counter_PnL'!AH5))</x:f>
        <x:v>0</x:v>
      </x:c>
      <x:c r="F5" s="79" t="n">
        <x:f>ABS('Counter_PnL'!AK5-('Counter_PnL'!Q5+'Counter_PnL'!AI5))</x:f>
        <x:v>0</x:v>
      </x:c>
      <x:c r="G5" s="79" t="n">
        <x:f>ABS('Counter_PnL'!AT5-SUM('Counter_PnL'!AO5:'Counter_PnL'!AS5))</x:f>
        <x:v>0</x:v>
      </x:c>
      <x:c r="H5" s="79" t="n">
        <x:f>ABS('Counter_PnL'!AV5-('Counter_PnL'!AK5+'Counter_PnL'!AT5))</x:f>
        <x:v>0</x:v>
      </x:c>
      <x:c r="I5" s="79" t="n">
        <x:f>ABS('Counter_PnL'!BE5-SUM('Counter_PnL'!AX5:'Counter_PnL'!BB5,'Counter_PnL'!BD5))</x:f>
        <x:v>0</x:v>
      </x:c>
      <x:c r="J5" s="79" t="n">
        <x:f>ABS('Counter_PnL'!BL5-SUM('Counter_PnL'!AV5,'Counter_PnL'!BE5,'Counter_PnL'!BJ5,'Counter_PnL'!BK5))</x:f>
        <x:v>0</x:v>
      </x:c>
      <x:c r="K5" s="79" t="n">
        <x:f>ABS('Counter_PnL'!BO5-('Counter_PnL'!BL5+'Counter_PnL'!BN5))</x:f>
        <x:v>0</x:v>
      </x:c>
      <x:c r="L5" s="79" t="n">
        <x:f>MAX(ABS('Counter_PnL'!AW5-'Counter_PnL'!AV5/'Counter_PnL'!AK5),ABS('Counter_PnL'!BM5-'Counter_PnL'!BL5/'Counter_PnL'!AK5),ABS('Counter_PnL'!BP5-'Counter_PnL'!BO5/'Counter_PnL'!AK5))</x:f>
        <x:v>0</x:v>
      </x:c>
      <x:c r="M5" s="30" t="n">
        <x:f>IF(AND('Counter_PnL'!Q5&gt;0,'Counter_PnL'!AK5&gt;0,'Counter_PnL'!R5&lt;=0,'Counter_PnL'!T5&lt;=0,'Counter_PnL'!AT5&lt;=0,'Counter_PnL'!BE5&lt;=0,'Counter_PnL'!BJ5&lt;=0,'Counter_PnL'!BK5&lt;=0,'Counter_PnL'!BN5&lt;=0),0,1)</x:f>
        <x:v>0</x:v>
      </x:c>
    </x:row>
    <x:row r="6">
      <x:c r="A6" t="str">
        <x:f>'Counter_PnL'!D6</x:f>
        <x:v>CNCT0002</x:v>
      </x:c>
      <x:c r="B6" t="str">
        <x:f>'Counter_PnL'!C6</x:f>
        <x:v>2025 S1</x:v>
      </x:c>
      <x:c r="C6" s="30" t="n">
        <x:f>COUNTIFS('Counter_PnL'!$D$2:$D$641,A6,'Counter_PnL'!$C$2:$C$641,B6)</x:f>
        <x:v>1</x:v>
      </x:c>
      <x:c r="D6" s="79" t="n">
        <x:f>ABS('Counter_PnL'!AC6-SUM('Counter_PnL'!V6:'Counter_PnL'!AB6))</x:f>
        <x:v>0</x:v>
      </x:c>
      <x:c r="E6" s="79" t="n">
        <x:f>ABS('Counter_PnL'!AI6-SUM('Counter_PnL'!R6,'Counter_PnL'!T6,'Counter_PnL'!AC6,'Counter_PnL'!AE6,'Counter_PnL'!AG6,'Counter_PnL'!AH6))</x:f>
        <x:v>0</x:v>
      </x:c>
      <x:c r="F6" s="79" t="n">
        <x:f>ABS('Counter_PnL'!AK6-('Counter_PnL'!Q6+'Counter_PnL'!AI6))</x:f>
        <x:v>0</x:v>
      </x:c>
      <x:c r="G6" s="79" t="n">
        <x:f>ABS('Counter_PnL'!AT6-SUM('Counter_PnL'!AO6:'Counter_PnL'!AS6))</x:f>
        <x:v>0</x:v>
      </x:c>
      <x:c r="H6" s="79" t="n">
        <x:f>ABS('Counter_PnL'!AV6-('Counter_PnL'!AK6+'Counter_PnL'!AT6))</x:f>
        <x:v>0</x:v>
      </x:c>
      <x:c r="I6" s="79" t="n">
        <x:f>ABS('Counter_PnL'!BE6-SUM('Counter_PnL'!AX6:'Counter_PnL'!BB6,'Counter_PnL'!BD6))</x:f>
        <x:v>0</x:v>
      </x:c>
      <x:c r="J6" s="79" t="n">
        <x:f>ABS('Counter_PnL'!BL6-SUM('Counter_PnL'!AV6,'Counter_PnL'!BE6,'Counter_PnL'!BJ6,'Counter_PnL'!BK6))</x:f>
        <x:v>0</x:v>
      </x:c>
      <x:c r="K6" s="79" t="n">
        <x:f>ABS('Counter_PnL'!BO6-('Counter_PnL'!BL6+'Counter_PnL'!BN6))</x:f>
        <x:v>0</x:v>
      </x:c>
      <x:c r="L6" s="79" t="n">
        <x:f>MAX(ABS('Counter_PnL'!AW6-'Counter_PnL'!AV6/'Counter_PnL'!AK6),ABS('Counter_PnL'!BM6-'Counter_PnL'!BL6/'Counter_PnL'!AK6),ABS('Counter_PnL'!BP6-'Counter_PnL'!BO6/'Counter_PnL'!AK6))</x:f>
        <x:v>0</x:v>
      </x:c>
      <x:c r="M6" s="30" t="n">
        <x:f>IF(AND('Counter_PnL'!Q6&gt;0,'Counter_PnL'!AK6&gt;0,'Counter_PnL'!R6&lt;=0,'Counter_PnL'!T6&lt;=0,'Counter_PnL'!AT6&lt;=0,'Counter_PnL'!BE6&lt;=0,'Counter_PnL'!BJ6&lt;=0,'Counter_PnL'!BK6&lt;=0,'Counter_PnL'!BN6&lt;=0),0,1)</x:f>
        <x:v>0</x:v>
      </x:c>
    </x:row>
    <x:row r="7">
      <x:c r="A7" t="str">
        <x:f>'Counter_PnL'!D7</x:f>
        <x:v>CNCT0002</x:v>
      </x:c>
      <x:c r="B7" t="str">
        <x:f>'Counter_PnL'!C7</x:f>
        <x:v>2025 S2</x:v>
      </x:c>
      <x:c r="C7" s="30" t="n">
        <x:f>COUNTIFS('Counter_PnL'!$D$2:$D$641,A7,'Counter_PnL'!$C$2:$C$641,B7)</x:f>
        <x:v>1</x:v>
      </x:c>
      <x:c r="D7" s="79" t="n">
        <x:f>ABS('Counter_PnL'!AC7-SUM('Counter_PnL'!V7:'Counter_PnL'!AB7))</x:f>
        <x:v>0</x:v>
      </x:c>
      <x:c r="E7" s="79" t="n">
        <x:f>ABS('Counter_PnL'!AI7-SUM('Counter_PnL'!R7,'Counter_PnL'!T7,'Counter_PnL'!AC7,'Counter_PnL'!AE7,'Counter_PnL'!AG7,'Counter_PnL'!AH7))</x:f>
        <x:v>0</x:v>
      </x:c>
      <x:c r="F7" s="79" t="n">
        <x:f>ABS('Counter_PnL'!AK7-('Counter_PnL'!Q7+'Counter_PnL'!AI7))</x:f>
        <x:v>0</x:v>
      </x:c>
      <x:c r="G7" s="79" t="n">
        <x:f>ABS('Counter_PnL'!AT7-SUM('Counter_PnL'!AO7:'Counter_PnL'!AS7))</x:f>
        <x:v>0</x:v>
      </x:c>
      <x:c r="H7" s="79" t="n">
        <x:f>ABS('Counter_PnL'!AV7-('Counter_PnL'!AK7+'Counter_PnL'!AT7))</x:f>
        <x:v>0</x:v>
      </x:c>
      <x:c r="I7" s="79" t="n">
        <x:f>ABS('Counter_PnL'!BE7-SUM('Counter_PnL'!AX7:'Counter_PnL'!BB7,'Counter_PnL'!BD7))</x:f>
        <x:v>0</x:v>
      </x:c>
      <x:c r="J7" s="79" t="n">
        <x:f>ABS('Counter_PnL'!BL7-SUM('Counter_PnL'!AV7,'Counter_PnL'!BE7,'Counter_PnL'!BJ7,'Counter_PnL'!BK7))</x:f>
        <x:v>0</x:v>
      </x:c>
      <x:c r="K7" s="79" t="n">
        <x:f>ABS('Counter_PnL'!BO7-('Counter_PnL'!BL7+'Counter_PnL'!BN7))</x:f>
        <x:v>0</x:v>
      </x:c>
      <x:c r="L7" s="79" t="n">
        <x:f>MAX(ABS('Counter_PnL'!AW7-'Counter_PnL'!AV7/'Counter_PnL'!AK7),ABS('Counter_PnL'!BM7-'Counter_PnL'!BL7/'Counter_PnL'!AK7),ABS('Counter_PnL'!BP7-'Counter_PnL'!BO7/'Counter_PnL'!AK7))</x:f>
        <x:v>0</x:v>
      </x:c>
      <x:c r="M7" s="30" t="n">
        <x:f>IF(AND('Counter_PnL'!Q7&gt;0,'Counter_PnL'!AK7&gt;0,'Counter_PnL'!R7&lt;=0,'Counter_PnL'!T7&lt;=0,'Counter_PnL'!AT7&lt;=0,'Counter_PnL'!BE7&lt;=0,'Counter_PnL'!BJ7&lt;=0,'Counter_PnL'!BK7&lt;=0,'Counter_PnL'!BN7&lt;=0),0,1)</x:f>
        <x:v>0</x:v>
      </x:c>
    </x:row>
    <x:row r="8">
      <x:c r="A8" t="str">
        <x:f>'Counter_PnL'!D8</x:f>
        <x:v>CNCT0002</x:v>
      </x:c>
      <x:c r="B8" t="str">
        <x:f>'Counter_PnL'!C8</x:f>
        <x:v>2026 S1</x:v>
      </x:c>
      <x:c r="C8" s="30" t="n">
        <x:f>COUNTIFS('Counter_PnL'!$D$2:$D$641,A8,'Counter_PnL'!$C$2:$C$641,B8)</x:f>
        <x:v>1</x:v>
      </x:c>
      <x:c r="D8" s="79" t="n">
        <x:f>ABS('Counter_PnL'!AC8-SUM('Counter_PnL'!V8:'Counter_PnL'!AB8))</x:f>
        <x:v>0</x:v>
      </x:c>
      <x:c r="E8" s="79" t="n">
        <x:f>ABS('Counter_PnL'!AI8-SUM('Counter_PnL'!R8,'Counter_PnL'!T8,'Counter_PnL'!AC8,'Counter_PnL'!AE8,'Counter_PnL'!AG8,'Counter_PnL'!AH8))</x:f>
        <x:v>0</x:v>
      </x:c>
      <x:c r="F8" s="79" t="n">
        <x:f>ABS('Counter_PnL'!AK8-('Counter_PnL'!Q8+'Counter_PnL'!AI8))</x:f>
        <x:v>0</x:v>
      </x:c>
      <x:c r="G8" s="79" t="n">
        <x:f>ABS('Counter_PnL'!AT8-SUM('Counter_PnL'!AO8:'Counter_PnL'!AS8))</x:f>
        <x:v>0</x:v>
      </x:c>
      <x:c r="H8" s="79" t="n">
        <x:f>ABS('Counter_PnL'!AV8-('Counter_PnL'!AK8+'Counter_PnL'!AT8))</x:f>
        <x:v>0</x:v>
      </x:c>
      <x:c r="I8" s="79" t="n">
        <x:f>ABS('Counter_PnL'!BE8-SUM('Counter_PnL'!AX8:'Counter_PnL'!BB8,'Counter_PnL'!BD8))</x:f>
        <x:v>0</x:v>
      </x:c>
      <x:c r="J8" s="79" t="n">
        <x:f>ABS('Counter_PnL'!BL8-SUM('Counter_PnL'!AV8,'Counter_PnL'!BE8,'Counter_PnL'!BJ8,'Counter_PnL'!BK8))</x:f>
        <x:v>0</x:v>
      </x:c>
      <x:c r="K8" s="79" t="n">
        <x:f>ABS('Counter_PnL'!BO8-('Counter_PnL'!BL8+'Counter_PnL'!BN8))</x:f>
        <x:v>0</x:v>
      </x:c>
      <x:c r="L8" s="79" t="n">
        <x:f>MAX(ABS('Counter_PnL'!AW8-'Counter_PnL'!AV8/'Counter_PnL'!AK8),ABS('Counter_PnL'!BM8-'Counter_PnL'!BL8/'Counter_PnL'!AK8),ABS('Counter_PnL'!BP8-'Counter_PnL'!BO8/'Counter_PnL'!AK8))</x:f>
        <x:v>0</x:v>
      </x:c>
      <x:c r="M8" s="30" t="n">
        <x:f>IF(AND('Counter_PnL'!Q8&gt;0,'Counter_PnL'!AK8&gt;0,'Counter_PnL'!R8&lt;=0,'Counter_PnL'!T8&lt;=0,'Counter_PnL'!AT8&lt;=0,'Counter_PnL'!BE8&lt;=0,'Counter_PnL'!BJ8&lt;=0,'Counter_PnL'!BK8&lt;=0,'Counter_PnL'!BN8&lt;=0),0,1)</x:f>
        <x:v>0</x:v>
      </x:c>
    </x:row>
    <x:row r="9">
      <x:c r="A9" t="str">
        <x:f>'Counter_PnL'!D9</x:f>
        <x:v>CNCT0002</x:v>
      </x:c>
      <x:c r="B9" t="str">
        <x:f>'Counter_PnL'!C9</x:f>
        <x:v>2026 S2</x:v>
      </x:c>
      <x:c r="C9" s="30" t="n">
        <x:f>COUNTIFS('Counter_PnL'!$D$2:$D$641,A9,'Counter_PnL'!$C$2:$C$641,B9)</x:f>
        <x:v>1</x:v>
      </x:c>
      <x:c r="D9" s="79" t="n">
        <x:f>ABS('Counter_PnL'!AC9-SUM('Counter_PnL'!V9:'Counter_PnL'!AB9))</x:f>
        <x:v>0</x:v>
      </x:c>
      <x:c r="E9" s="79" t="n">
        <x:f>ABS('Counter_PnL'!AI9-SUM('Counter_PnL'!R9,'Counter_PnL'!T9,'Counter_PnL'!AC9,'Counter_PnL'!AE9,'Counter_PnL'!AG9,'Counter_PnL'!AH9))</x:f>
        <x:v>0</x:v>
      </x:c>
      <x:c r="F9" s="79" t="n">
        <x:f>ABS('Counter_PnL'!AK9-('Counter_PnL'!Q9+'Counter_PnL'!AI9))</x:f>
        <x:v>0</x:v>
      </x:c>
      <x:c r="G9" s="79" t="n">
        <x:f>ABS('Counter_PnL'!AT9-SUM('Counter_PnL'!AO9:'Counter_PnL'!AS9))</x:f>
        <x:v>0</x:v>
      </x:c>
      <x:c r="H9" s="79" t="n">
        <x:f>ABS('Counter_PnL'!AV9-('Counter_PnL'!AK9+'Counter_PnL'!AT9))</x:f>
        <x:v>0</x:v>
      </x:c>
      <x:c r="I9" s="79" t="n">
        <x:f>ABS('Counter_PnL'!BE9-SUM('Counter_PnL'!AX9:'Counter_PnL'!BB9,'Counter_PnL'!BD9))</x:f>
        <x:v>0</x:v>
      </x:c>
      <x:c r="J9" s="79" t="n">
        <x:f>ABS('Counter_PnL'!BL9-SUM('Counter_PnL'!AV9,'Counter_PnL'!BE9,'Counter_PnL'!BJ9,'Counter_PnL'!BK9))</x:f>
        <x:v>0</x:v>
      </x:c>
      <x:c r="K9" s="79" t="n">
        <x:f>ABS('Counter_PnL'!BO9-('Counter_PnL'!BL9+'Counter_PnL'!BN9))</x:f>
        <x:v>0</x:v>
      </x:c>
      <x:c r="L9" s="79" t="n">
        <x:f>MAX(ABS('Counter_PnL'!AW9-'Counter_PnL'!AV9/'Counter_PnL'!AK9),ABS('Counter_PnL'!BM9-'Counter_PnL'!BL9/'Counter_PnL'!AK9),ABS('Counter_PnL'!BP9-'Counter_PnL'!BO9/'Counter_PnL'!AK9))</x:f>
        <x:v>0</x:v>
      </x:c>
      <x:c r="M9" s="30" t="n">
        <x:f>IF(AND('Counter_PnL'!Q9&gt;0,'Counter_PnL'!AK9&gt;0,'Counter_PnL'!R9&lt;=0,'Counter_PnL'!T9&lt;=0,'Counter_PnL'!AT9&lt;=0,'Counter_PnL'!BE9&lt;=0,'Counter_PnL'!BJ9&lt;=0,'Counter_PnL'!BK9&lt;=0,'Counter_PnL'!BN9&lt;=0),0,1)</x:f>
        <x:v>0</x:v>
      </x:c>
    </x:row>
    <x:row r="10">
      <x:c r="A10" t="str">
        <x:f>'Counter_PnL'!D10</x:f>
        <x:v>CNCT0003</x:v>
      </x:c>
      <x:c r="B10" t="str">
        <x:f>'Counter_PnL'!C10</x:f>
        <x:v>2025 S1</x:v>
      </x:c>
      <x:c r="C10" s="30" t="n">
        <x:f>COUNTIFS('Counter_PnL'!$D$2:$D$641,A10,'Counter_PnL'!$C$2:$C$641,B10)</x:f>
        <x:v>1</x:v>
      </x:c>
      <x:c r="D10" s="79" t="n">
        <x:f>ABS('Counter_PnL'!AC10-SUM('Counter_PnL'!V10:'Counter_PnL'!AB10))</x:f>
        <x:v>0</x:v>
      </x:c>
      <x:c r="E10" s="79" t="n">
        <x:f>ABS('Counter_PnL'!AI10-SUM('Counter_PnL'!R10,'Counter_PnL'!T10,'Counter_PnL'!AC10,'Counter_PnL'!AE10,'Counter_PnL'!AG10,'Counter_PnL'!AH10))</x:f>
        <x:v>0</x:v>
      </x:c>
      <x:c r="F10" s="79" t="n">
        <x:f>ABS('Counter_PnL'!AK10-('Counter_PnL'!Q10+'Counter_PnL'!AI10))</x:f>
        <x:v>0</x:v>
      </x:c>
      <x:c r="G10" s="79" t="n">
        <x:f>ABS('Counter_PnL'!AT10-SUM('Counter_PnL'!AO10:'Counter_PnL'!AS10))</x:f>
        <x:v>0</x:v>
      </x:c>
      <x:c r="H10" s="79" t="n">
        <x:f>ABS('Counter_PnL'!AV10-('Counter_PnL'!AK10+'Counter_PnL'!AT10))</x:f>
        <x:v>0</x:v>
      </x:c>
      <x:c r="I10" s="79" t="n">
        <x:f>ABS('Counter_PnL'!BE10-SUM('Counter_PnL'!AX10:'Counter_PnL'!BB10,'Counter_PnL'!BD10))</x:f>
        <x:v>0</x:v>
      </x:c>
      <x:c r="J10" s="79" t="n">
        <x:f>ABS('Counter_PnL'!BL10-SUM('Counter_PnL'!AV10,'Counter_PnL'!BE10,'Counter_PnL'!BJ10,'Counter_PnL'!BK10))</x:f>
        <x:v>0</x:v>
      </x:c>
      <x:c r="K10" s="79" t="n">
        <x:f>ABS('Counter_PnL'!BO10-('Counter_PnL'!BL10+'Counter_PnL'!BN10))</x:f>
        <x:v>0</x:v>
      </x:c>
      <x:c r="L10" s="79" t="n">
        <x:f>MAX(ABS('Counter_PnL'!AW10-'Counter_PnL'!AV10/'Counter_PnL'!AK10),ABS('Counter_PnL'!BM10-'Counter_PnL'!BL10/'Counter_PnL'!AK10),ABS('Counter_PnL'!BP10-'Counter_PnL'!BO10/'Counter_PnL'!AK10))</x:f>
        <x:v>0</x:v>
      </x:c>
      <x:c r="M10" s="30" t="n">
        <x:f>IF(AND('Counter_PnL'!Q10&gt;0,'Counter_PnL'!AK10&gt;0,'Counter_PnL'!R10&lt;=0,'Counter_PnL'!T10&lt;=0,'Counter_PnL'!AT10&lt;=0,'Counter_PnL'!BE10&lt;=0,'Counter_PnL'!BJ10&lt;=0,'Counter_PnL'!BK10&lt;=0,'Counter_PnL'!BN10&lt;=0),0,1)</x:f>
        <x:v>0</x:v>
      </x:c>
    </x:row>
    <x:row r="11">
      <x:c r="A11" t="str">
        <x:f>'Counter_PnL'!D11</x:f>
        <x:v>CNCT0003</x:v>
      </x:c>
      <x:c r="B11" t="str">
        <x:f>'Counter_PnL'!C11</x:f>
        <x:v>2025 S2</x:v>
      </x:c>
      <x:c r="C11" s="30" t="n">
        <x:f>COUNTIFS('Counter_PnL'!$D$2:$D$641,A11,'Counter_PnL'!$C$2:$C$641,B11)</x:f>
        <x:v>1</x:v>
      </x:c>
      <x:c r="D11" s="79" t="n">
        <x:f>ABS('Counter_PnL'!AC11-SUM('Counter_PnL'!V11:'Counter_PnL'!AB11))</x:f>
        <x:v>0</x:v>
      </x:c>
      <x:c r="E11" s="79" t="n">
        <x:f>ABS('Counter_PnL'!AI11-SUM('Counter_PnL'!R11,'Counter_PnL'!T11,'Counter_PnL'!AC11,'Counter_PnL'!AE11,'Counter_PnL'!AG11,'Counter_PnL'!AH11))</x:f>
        <x:v>0</x:v>
      </x:c>
      <x:c r="F11" s="79" t="n">
        <x:f>ABS('Counter_PnL'!AK11-('Counter_PnL'!Q11+'Counter_PnL'!AI11))</x:f>
        <x:v>0</x:v>
      </x:c>
      <x:c r="G11" s="79" t="n">
        <x:f>ABS('Counter_PnL'!AT11-SUM('Counter_PnL'!AO11:'Counter_PnL'!AS11))</x:f>
        <x:v>0</x:v>
      </x:c>
      <x:c r="H11" s="79" t="n">
        <x:f>ABS('Counter_PnL'!AV11-('Counter_PnL'!AK11+'Counter_PnL'!AT11))</x:f>
        <x:v>0</x:v>
      </x:c>
      <x:c r="I11" s="79" t="n">
        <x:f>ABS('Counter_PnL'!BE11-SUM('Counter_PnL'!AX11:'Counter_PnL'!BB11,'Counter_PnL'!BD11))</x:f>
        <x:v>0</x:v>
      </x:c>
      <x:c r="J11" s="79" t="n">
        <x:f>ABS('Counter_PnL'!BL11-SUM('Counter_PnL'!AV11,'Counter_PnL'!BE11,'Counter_PnL'!BJ11,'Counter_PnL'!BK11))</x:f>
        <x:v>0</x:v>
      </x:c>
      <x:c r="K11" s="79" t="n">
        <x:f>ABS('Counter_PnL'!BO11-('Counter_PnL'!BL11+'Counter_PnL'!BN11))</x:f>
        <x:v>0</x:v>
      </x:c>
      <x:c r="L11" s="79" t="n">
        <x:f>MAX(ABS('Counter_PnL'!AW11-'Counter_PnL'!AV11/'Counter_PnL'!AK11),ABS('Counter_PnL'!BM11-'Counter_PnL'!BL11/'Counter_PnL'!AK11),ABS('Counter_PnL'!BP11-'Counter_PnL'!BO11/'Counter_PnL'!AK11))</x:f>
        <x:v>0</x:v>
      </x:c>
      <x:c r="M11" s="30" t="n">
        <x:f>IF(AND('Counter_PnL'!Q11&gt;0,'Counter_PnL'!AK11&gt;0,'Counter_PnL'!R11&lt;=0,'Counter_PnL'!T11&lt;=0,'Counter_PnL'!AT11&lt;=0,'Counter_PnL'!BE11&lt;=0,'Counter_PnL'!BJ11&lt;=0,'Counter_PnL'!BK11&lt;=0,'Counter_PnL'!BN11&lt;=0),0,1)</x:f>
        <x:v>0</x:v>
      </x:c>
    </x:row>
    <x:row r="12">
      <x:c r="A12" t="str">
        <x:f>'Counter_PnL'!D12</x:f>
        <x:v>CNCT0003</x:v>
      </x:c>
      <x:c r="B12" t="str">
        <x:f>'Counter_PnL'!C12</x:f>
        <x:v>2026 S1</x:v>
      </x:c>
      <x:c r="C12" s="30" t="n">
        <x:f>COUNTIFS('Counter_PnL'!$D$2:$D$641,A12,'Counter_PnL'!$C$2:$C$641,B12)</x:f>
        <x:v>1</x:v>
      </x:c>
      <x:c r="D12" s="79" t="n">
        <x:f>ABS('Counter_PnL'!AC12-SUM('Counter_PnL'!V12:'Counter_PnL'!AB12))</x:f>
        <x:v>0</x:v>
      </x:c>
      <x:c r="E12" s="79" t="n">
        <x:f>ABS('Counter_PnL'!AI12-SUM('Counter_PnL'!R12,'Counter_PnL'!T12,'Counter_PnL'!AC12,'Counter_PnL'!AE12,'Counter_PnL'!AG12,'Counter_PnL'!AH12))</x:f>
        <x:v>0</x:v>
      </x:c>
      <x:c r="F12" s="79" t="n">
        <x:f>ABS('Counter_PnL'!AK12-('Counter_PnL'!Q12+'Counter_PnL'!AI12))</x:f>
        <x:v>0</x:v>
      </x:c>
      <x:c r="G12" s="79" t="n">
        <x:f>ABS('Counter_PnL'!AT12-SUM('Counter_PnL'!AO12:'Counter_PnL'!AS12))</x:f>
        <x:v>0</x:v>
      </x:c>
      <x:c r="H12" s="79" t="n">
        <x:f>ABS('Counter_PnL'!AV12-('Counter_PnL'!AK12+'Counter_PnL'!AT12))</x:f>
        <x:v>0</x:v>
      </x:c>
      <x:c r="I12" s="79" t="n">
        <x:f>ABS('Counter_PnL'!BE12-SUM('Counter_PnL'!AX12:'Counter_PnL'!BB12,'Counter_PnL'!BD12))</x:f>
        <x:v>0</x:v>
      </x:c>
      <x:c r="J12" s="79" t="n">
        <x:f>ABS('Counter_PnL'!BL12-SUM('Counter_PnL'!AV12,'Counter_PnL'!BE12,'Counter_PnL'!BJ12,'Counter_PnL'!BK12))</x:f>
        <x:v>0</x:v>
      </x:c>
      <x:c r="K12" s="79" t="n">
        <x:f>ABS('Counter_PnL'!BO12-('Counter_PnL'!BL12+'Counter_PnL'!BN12))</x:f>
        <x:v>0</x:v>
      </x:c>
      <x:c r="L12" s="79" t="n">
        <x:f>MAX(ABS('Counter_PnL'!AW12-'Counter_PnL'!AV12/'Counter_PnL'!AK12),ABS('Counter_PnL'!BM12-'Counter_PnL'!BL12/'Counter_PnL'!AK12),ABS('Counter_PnL'!BP12-'Counter_PnL'!BO12/'Counter_PnL'!AK12))</x:f>
        <x:v>0</x:v>
      </x:c>
      <x:c r="M12" s="30" t="n">
        <x:f>IF(AND('Counter_PnL'!Q12&gt;0,'Counter_PnL'!AK12&gt;0,'Counter_PnL'!R12&lt;=0,'Counter_PnL'!T12&lt;=0,'Counter_PnL'!AT12&lt;=0,'Counter_PnL'!BE12&lt;=0,'Counter_PnL'!BJ12&lt;=0,'Counter_PnL'!BK12&lt;=0,'Counter_PnL'!BN12&lt;=0),0,1)</x:f>
        <x:v>0</x:v>
      </x:c>
    </x:row>
    <x:row r="13">
      <x:c r="A13" t="str">
        <x:f>'Counter_PnL'!D13</x:f>
        <x:v>CNCT0003</x:v>
      </x:c>
      <x:c r="B13" t="str">
        <x:f>'Counter_PnL'!C13</x:f>
        <x:v>2026 S2</x:v>
      </x:c>
      <x:c r="C13" s="30" t="n">
        <x:f>COUNTIFS('Counter_PnL'!$D$2:$D$641,A13,'Counter_PnL'!$C$2:$C$641,B13)</x:f>
        <x:v>1</x:v>
      </x:c>
      <x:c r="D13" s="79" t="n">
        <x:f>ABS('Counter_PnL'!AC13-SUM('Counter_PnL'!V13:'Counter_PnL'!AB13))</x:f>
        <x:v>0</x:v>
      </x:c>
      <x:c r="E13" s="79" t="n">
        <x:f>ABS('Counter_PnL'!AI13-SUM('Counter_PnL'!R13,'Counter_PnL'!T13,'Counter_PnL'!AC13,'Counter_PnL'!AE13,'Counter_PnL'!AG13,'Counter_PnL'!AH13))</x:f>
        <x:v>0</x:v>
      </x:c>
      <x:c r="F13" s="79" t="n">
        <x:f>ABS('Counter_PnL'!AK13-('Counter_PnL'!Q13+'Counter_PnL'!AI13))</x:f>
        <x:v>0</x:v>
      </x:c>
      <x:c r="G13" s="79" t="n">
        <x:f>ABS('Counter_PnL'!AT13-SUM('Counter_PnL'!AO13:'Counter_PnL'!AS13))</x:f>
        <x:v>0</x:v>
      </x:c>
      <x:c r="H13" s="79" t="n">
        <x:f>ABS('Counter_PnL'!AV13-('Counter_PnL'!AK13+'Counter_PnL'!AT13))</x:f>
        <x:v>0</x:v>
      </x:c>
      <x:c r="I13" s="79" t="n">
        <x:f>ABS('Counter_PnL'!BE13-SUM('Counter_PnL'!AX13:'Counter_PnL'!BB13,'Counter_PnL'!BD13))</x:f>
        <x:v>0</x:v>
      </x:c>
      <x:c r="J13" s="79" t="n">
        <x:f>ABS('Counter_PnL'!BL13-SUM('Counter_PnL'!AV13,'Counter_PnL'!BE13,'Counter_PnL'!BJ13,'Counter_PnL'!BK13))</x:f>
        <x:v>0</x:v>
      </x:c>
      <x:c r="K13" s="79" t="n">
        <x:f>ABS('Counter_PnL'!BO13-('Counter_PnL'!BL13+'Counter_PnL'!BN13))</x:f>
        <x:v>0</x:v>
      </x:c>
      <x:c r="L13" s="79" t="n">
        <x:f>MAX(ABS('Counter_PnL'!AW13-'Counter_PnL'!AV13/'Counter_PnL'!AK13),ABS('Counter_PnL'!BM13-'Counter_PnL'!BL13/'Counter_PnL'!AK13),ABS('Counter_PnL'!BP13-'Counter_PnL'!BO13/'Counter_PnL'!AK13))</x:f>
        <x:v>0</x:v>
      </x:c>
      <x:c r="M13" s="30" t="n">
        <x:f>IF(AND('Counter_PnL'!Q13&gt;0,'Counter_PnL'!AK13&gt;0,'Counter_PnL'!R13&lt;=0,'Counter_PnL'!T13&lt;=0,'Counter_PnL'!AT13&lt;=0,'Counter_PnL'!BE13&lt;=0,'Counter_PnL'!BJ13&lt;=0,'Counter_PnL'!BK13&lt;=0,'Counter_PnL'!BN13&lt;=0),0,1)</x:f>
        <x:v>0</x:v>
      </x:c>
    </x:row>
    <x:row r="14">
      <x:c r="A14" t="str">
        <x:f>'Counter_PnL'!D14</x:f>
        <x:v>CNCT0004</x:v>
      </x:c>
      <x:c r="B14" t="str">
        <x:f>'Counter_PnL'!C14</x:f>
        <x:v>2025 S1</x:v>
      </x:c>
      <x:c r="C14" s="30" t="n">
        <x:f>COUNTIFS('Counter_PnL'!$D$2:$D$641,A14,'Counter_PnL'!$C$2:$C$641,B14)</x:f>
        <x:v>1</x:v>
      </x:c>
      <x:c r="D14" s="79" t="n">
        <x:f>ABS('Counter_PnL'!AC14-SUM('Counter_PnL'!V14:'Counter_PnL'!AB14))</x:f>
        <x:v>0</x:v>
      </x:c>
      <x:c r="E14" s="79" t="n">
        <x:f>ABS('Counter_PnL'!AI14-SUM('Counter_PnL'!R14,'Counter_PnL'!T14,'Counter_PnL'!AC14,'Counter_PnL'!AE14,'Counter_PnL'!AG14,'Counter_PnL'!AH14))</x:f>
        <x:v>0</x:v>
      </x:c>
      <x:c r="F14" s="79" t="n">
        <x:f>ABS('Counter_PnL'!AK14-('Counter_PnL'!Q14+'Counter_PnL'!AI14))</x:f>
        <x:v>0</x:v>
      </x:c>
      <x:c r="G14" s="79" t="n">
        <x:f>ABS('Counter_PnL'!AT14-SUM('Counter_PnL'!AO14:'Counter_PnL'!AS14))</x:f>
        <x:v>0</x:v>
      </x:c>
      <x:c r="H14" s="79" t="n">
        <x:f>ABS('Counter_PnL'!AV14-('Counter_PnL'!AK14+'Counter_PnL'!AT14))</x:f>
        <x:v>0</x:v>
      </x:c>
      <x:c r="I14" s="79" t="n">
        <x:f>ABS('Counter_PnL'!BE14-SUM('Counter_PnL'!AX14:'Counter_PnL'!BB14,'Counter_PnL'!BD14))</x:f>
        <x:v>0</x:v>
      </x:c>
      <x:c r="J14" s="79" t="n">
        <x:f>ABS('Counter_PnL'!BL14-SUM('Counter_PnL'!AV14,'Counter_PnL'!BE14,'Counter_PnL'!BJ14,'Counter_PnL'!BK14))</x:f>
        <x:v>0</x:v>
      </x:c>
      <x:c r="K14" s="79" t="n">
        <x:f>ABS('Counter_PnL'!BO14-('Counter_PnL'!BL14+'Counter_PnL'!BN14))</x:f>
        <x:v>0</x:v>
      </x:c>
      <x:c r="L14" s="79" t="n">
        <x:f>MAX(ABS('Counter_PnL'!AW14-'Counter_PnL'!AV14/'Counter_PnL'!AK14),ABS('Counter_PnL'!BM14-'Counter_PnL'!BL14/'Counter_PnL'!AK14),ABS('Counter_PnL'!BP14-'Counter_PnL'!BO14/'Counter_PnL'!AK14))</x:f>
        <x:v>0</x:v>
      </x:c>
      <x:c r="M14" s="30" t="n">
        <x:f>IF(AND('Counter_PnL'!Q14&gt;0,'Counter_PnL'!AK14&gt;0,'Counter_PnL'!R14&lt;=0,'Counter_PnL'!T14&lt;=0,'Counter_PnL'!AT14&lt;=0,'Counter_PnL'!BE14&lt;=0,'Counter_PnL'!BJ14&lt;=0,'Counter_PnL'!BK14&lt;=0,'Counter_PnL'!BN14&lt;=0),0,1)</x:f>
        <x:v>0</x:v>
      </x:c>
    </x:row>
    <x:row r="15">
      <x:c r="A15" t="str">
        <x:f>'Counter_PnL'!D15</x:f>
        <x:v>CNCT0004</x:v>
      </x:c>
      <x:c r="B15" t="str">
        <x:f>'Counter_PnL'!C15</x:f>
        <x:v>2025 S2</x:v>
      </x:c>
      <x:c r="C15" s="30" t="n">
        <x:f>COUNTIFS('Counter_PnL'!$D$2:$D$641,A15,'Counter_PnL'!$C$2:$C$641,B15)</x:f>
        <x:v>1</x:v>
      </x:c>
      <x:c r="D15" s="79" t="n">
        <x:f>ABS('Counter_PnL'!AC15-SUM('Counter_PnL'!V15:'Counter_PnL'!AB15))</x:f>
        <x:v>0</x:v>
      </x:c>
      <x:c r="E15" s="79" t="n">
        <x:f>ABS('Counter_PnL'!AI15-SUM('Counter_PnL'!R15,'Counter_PnL'!T15,'Counter_PnL'!AC15,'Counter_PnL'!AE15,'Counter_PnL'!AG15,'Counter_PnL'!AH15))</x:f>
        <x:v>0</x:v>
      </x:c>
      <x:c r="F15" s="79" t="n">
        <x:f>ABS('Counter_PnL'!AK15-('Counter_PnL'!Q15+'Counter_PnL'!AI15))</x:f>
        <x:v>0</x:v>
      </x:c>
      <x:c r="G15" s="79" t="n">
        <x:f>ABS('Counter_PnL'!AT15-SUM('Counter_PnL'!AO15:'Counter_PnL'!AS15))</x:f>
        <x:v>0</x:v>
      </x:c>
      <x:c r="H15" s="79" t="n">
        <x:f>ABS('Counter_PnL'!AV15-('Counter_PnL'!AK15+'Counter_PnL'!AT15))</x:f>
        <x:v>0</x:v>
      </x:c>
      <x:c r="I15" s="79" t="n">
        <x:f>ABS('Counter_PnL'!BE15-SUM('Counter_PnL'!AX15:'Counter_PnL'!BB15,'Counter_PnL'!BD15))</x:f>
        <x:v>0</x:v>
      </x:c>
      <x:c r="J15" s="79" t="n">
        <x:f>ABS('Counter_PnL'!BL15-SUM('Counter_PnL'!AV15,'Counter_PnL'!BE15,'Counter_PnL'!BJ15,'Counter_PnL'!BK15))</x:f>
        <x:v>0</x:v>
      </x:c>
      <x:c r="K15" s="79" t="n">
        <x:f>ABS('Counter_PnL'!BO15-('Counter_PnL'!BL15+'Counter_PnL'!BN15))</x:f>
        <x:v>0</x:v>
      </x:c>
      <x:c r="L15" s="79" t="n">
        <x:f>MAX(ABS('Counter_PnL'!AW15-'Counter_PnL'!AV15/'Counter_PnL'!AK15),ABS('Counter_PnL'!BM15-'Counter_PnL'!BL15/'Counter_PnL'!AK15),ABS('Counter_PnL'!BP15-'Counter_PnL'!BO15/'Counter_PnL'!AK15))</x:f>
        <x:v>0</x:v>
      </x:c>
      <x:c r="M15" s="30" t="n">
        <x:f>IF(AND('Counter_PnL'!Q15&gt;0,'Counter_PnL'!AK15&gt;0,'Counter_PnL'!R15&lt;=0,'Counter_PnL'!T15&lt;=0,'Counter_PnL'!AT15&lt;=0,'Counter_PnL'!BE15&lt;=0,'Counter_PnL'!BJ15&lt;=0,'Counter_PnL'!BK15&lt;=0,'Counter_PnL'!BN15&lt;=0),0,1)</x:f>
        <x:v>0</x:v>
      </x:c>
    </x:row>
    <x:row r="16">
      <x:c r="A16" t="str">
        <x:f>'Counter_PnL'!D16</x:f>
        <x:v>CNCT0004</x:v>
      </x:c>
      <x:c r="B16" t="str">
        <x:f>'Counter_PnL'!C16</x:f>
        <x:v>2026 S1</x:v>
      </x:c>
      <x:c r="C16" s="30" t="n">
        <x:f>COUNTIFS('Counter_PnL'!$D$2:$D$641,A16,'Counter_PnL'!$C$2:$C$641,B16)</x:f>
        <x:v>1</x:v>
      </x:c>
      <x:c r="D16" s="79" t="n">
        <x:f>ABS('Counter_PnL'!AC16-SUM('Counter_PnL'!V16:'Counter_PnL'!AB16))</x:f>
        <x:v>0</x:v>
      </x:c>
      <x:c r="E16" s="79" t="n">
        <x:f>ABS('Counter_PnL'!AI16-SUM('Counter_PnL'!R16,'Counter_PnL'!T16,'Counter_PnL'!AC16,'Counter_PnL'!AE16,'Counter_PnL'!AG16,'Counter_PnL'!AH16))</x:f>
        <x:v>0</x:v>
      </x:c>
      <x:c r="F16" s="79" t="n">
        <x:f>ABS('Counter_PnL'!AK16-('Counter_PnL'!Q16+'Counter_PnL'!AI16))</x:f>
        <x:v>0</x:v>
      </x:c>
      <x:c r="G16" s="79" t="n">
        <x:f>ABS('Counter_PnL'!AT16-SUM('Counter_PnL'!AO16:'Counter_PnL'!AS16))</x:f>
        <x:v>0</x:v>
      </x:c>
      <x:c r="H16" s="79" t="n">
        <x:f>ABS('Counter_PnL'!AV16-('Counter_PnL'!AK16+'Counter_PnL'!AT16))</x:f>
        <x:v>0</x:v>
      </x:c>
      <x:c r="I16" s="79" t="n">
        <x:f>ABS('Counter_PnL'!BE16-SUM('Counter_PnL'!AX16:'Counter_PnL'!BB16,'Counter_PnL'!BD16))</x:f>
        <x:v>0</x:v>
      </x:c>
      <x:c r="J16" s="79" t="n">
        <x:f>ABS('Counter_PnL'!BL16-SUM('Counter_PnL'!AV16,'Counter_PnL'!BE16,'Counter_PnL'!BJ16,'Counter_PnL'!BK16))</x:f>
        <x:v>0</x:v>
      </x:c>
      <x:c r="K16" s="79" t="n">
        <x:f>ABS('Counter_PnL'!BO16-('Counter_PnL'!BL16+'Counter_PnL'!BN16))</x:f>
        <x:v>0</x:v>
      </x:c>
      <x:c r="L16" s="79" t="n">
        <x:f>MAX(ABS('Counter_PnL'!AW16-'Counter_PnL'!AV16/'Counter_PnL'!AK16),ABS('Counter_PnL'!BM16-'Counter_PnL'!BL16/'Counter_PnL'!AK16),ABS('Counter_PnL'!BP16-'Counter_PnL'!BO16/'Counter_PnL'!AK16))</x:f>
        <x:v>0</x:v>
      </x:c>
      <x:c r="M16" s="30" t="n">
        <x:f>IF(AND('Counter_PnL'!Q16&gt;0,'Counter_PnL'!AK16&gt;0,'Counter_PnL'!R16&lt;=0,'Counter_PnL'!T16&lt;=0,'Counter_PnL'!AT16&lt;=0,'Counter_PnL'!BE16&lt;=0,'Counter_PnL'!BJ16&lt;=0,'Counter_PnL'!BK16&lt;=0,'Counter_PnL'!BN16&lt;=0),0,1)</x:f>
        <x:v>0</x:v>
      </x:c>
    </x:row>
    <x:row r="17">
      <x:c r="A17" t="str">
        <x:f>'Counter_PnL'!D17</x:f>
        <x:v>CNCT0004</x:v>
      </x:c>
      <x:c r="B17" t="str">
        <x:f>'Counter_PnL'!C17</x:f>
        <x:v>2026 S2</x:v>
      </x:c>
      <x:c r="C17" s="30" t="n">
        <x:f>COUNTIFS('Counter_PnL'!$D$2:$D$641,A17,'Counter_PnL'!$C$2:$C$641,B17)</x:f>
        <x:v>1</x:v>
      </x:c>
      <x:c r="D17" s="79" t="n">
        <x:f>ABS('Counter_PnL'!AC17-SUM('Counter_PnL'!V17:'Counter_PnL'!AB17))</x:f>
        <x:v>0</x:v>
      </x:c>
      <x:c r="E17" s="79" t="n">
        <x:f>ABS('Counter_PnL'!AI17-SUM('Counter_PnL'!R17,'Counter_PnL'!T17,'Counter_PnL'!AC17,'Counter_PnL'!AE17,'Counter_PnL'!AG17,'Counter_PnL'!AH17))</x:f>
        <x:v>0</x:v>
      </x:c>
      <x:c r="F17" s="79" t="n">
        <x:f>ABS('Counter_PnL'!AK17-('Counter_PnL'!Q17+'Counter_PnL'!AI17))</x:f>
        <x:v>0</x:v>
      </x:c>
      <x:c r="G17" s="79" t="n">
        <x:f>ABS('Counter_PnL'!AT17-SUM('Counter_PnL'!AO17:'Counter_PnL'!AS17))</x:f>
        <x:v>0</x:v>
      </x:c>
      <x:c r="H17" s="79" t="n">
        <x:f>ABS('Counter_PnL'!AV17-('Counter_PnL'!AK17+'Counter_PnL'!AT17))</x:f>
        <x:v>0</x:v>
      </x:c>
      <x:c r="I17" s="79" t="n">
        <x:f>ABS('Counter_PnL'!BE17-SUM('Counter_PnL'!AX17:'Counter_PnL'!BB17,'Counter_PnL'!BD17))</x:f>
        <x:v>0</x:v>
      </x:c>
      <x:c r="J17" s="79" t="n">
        <x:f>ABS('Counter_PnL'!BL17-SUM('Counter_PnL'!AV17,'Counter_PnL'!BE17,'Counter_PnL'!BJ17,'Counter_PnL'!BK17))</x:f>
        <x:v>0</x:v>
      </x:c>
      <x:c r="K17" s="79" t="n">
        <x:f>ABS('Counter_PnL'!BO17-('Counter_PnL'!BL17+'Counter_PnL'!BN17))</x:f>
        <x:v>0</x:v>
      </x:c>
      <x:c r="L17" s="79" t="n">
        <x:f>MAX(ABS('Counter_PnL'!AW17-'Counter_PnL'!AV17/'Counter_PnL'!AK17),ABS('Counter_PnL'!BM17-'Counter_PnL'!BL17/'Counter_PnL'!AK17),ABS('Counter_PnL'!BP17-'Counter_PnL'!BO17/'Counter_PnL'!AK17))</x:f>
        <x:v>0</x:v>
      </x:c>
      <x:c r="M17" s="30" t="n">
        <x:f>IF(AND('Counter_PnL'!Q17&gt;0,'Counter_PnL'!AK17&gt;0,'Counter_PnL'!R17&lt;=0,'Counter_PnL'!T17&lt;=0,'Counter_PnL'!AT17&lt;=0,'Counter_PnL'!BE17&lt;=0,'Counter_PnL'!BJ17&lt;=0,'Counter_PnL'!BK17&lt;=0,'Counter_PnL'!BN17&lt;=0),0,1)</x:f>
        <x:v>0</x:v>
      </x:c>
    </x:row>
    <x:row r="18">
      <x:c r="A18" t="str">
        <x:f>'Counter_PnL'!D18</x:f>
        <x:v>CNCT0005</x:v>
      </x:c>
      <x:c r="B18" t="str">
        <x:f>'Counter_PnL'!C18</x:f>
        <x:v>2025 S1</x:v>
      </x:c>
      <x:c r="C18" s="30" t="n">
        <x:f>COUNTIFS('Counter_PnL'!$D$2:$D$641,A18,'Counter_PnL'!$C$2:$C$641,B18)</x:f>
        <x:v>1</x:v>
      </x:c>
      <x:c r="D18" s="79" t="n">
        <x:f>ABS('Counter_PnL'!AC18-SUM('Counter_PnL'!V18:'Counter_PnL'!AB18))</x:f>
        <x:v>0</x:v>
      </x:c>
      <x:c r="E18" s="79" t="n">
        <x:f>ABS('Counter_PnL'!AI18-SUM('Counter_PnL'!R18,'Counter_PnL'!T18,'Counter_PnL'!AC18,'Counter_PnL'!AE18,'Counter_PnL'!AG18,'Counter_PnL'!AH18))</x:f>
        <x:v>0</x:v>
      </x:c>
      <x:c r="F18" s="79" t="n">
        <x:f>ABS('Counter_PnL'!AK18-('Counter_PnL'!Q18+'Counter_PnL'!AI18))</x:f>
        <x:v>0</x:v>
      </x:c>
      <x:c r="G18" s="79" t="n">
        <x:f>ABS('Counter_PnL'!AT18-SUM('Counter_PnL'!AO18:'Counter_PnL'!AS18))</x:f>
        <x:v>0</x:v>
      </x:c>
      <x:c r="H18" s="79" t="n">
        <x:f>ABS('Counter_PnL'!AV18-('Counter_PnL'!AK18+'Counter_PnL'!AT18))</x:f>
        <x:v>0</x:v>
      </x:c>
      <x:c r="I18" s="79" t="n">
        <x:f>ABS('Counter_PnL'!BE18-SUM('Counter_PnL'!AX18:'Counter_PnL'!BB18,'Counter_PnL'!BD18))</x:f>
        <x:v>0</x:v>
      </x:c>
      <x:c r="J18" s="79" t="n">
        <x:f>ABS('Counter_PnL'!BL18-SUM('Counter_PnL'!AV18,'Counter_PnL'!BE18,'Counter_PnL'!BJ18,'Counter_PnL'!BK18))</x:f>
        <x:v>0</x:v>
      </x:c>
      <x:c r="K18" s="79" t="n">
        <x:f>ABS('Counter_PnL'!BO18-('Counter_PnL'!BL18+'Counter_PnL'!BN18))</x:f>
        <x:v>0</x:v>
      </x:c>
      <x:c r="L18" s="79" t="n">
        <x:f>MAX(ABS('Counter_PnL'!AW18-'Counter_PnL'!AV18/'Counter_PnL'!AK18),ABS('Counter_PnL'!BM18-'Counter_PnL'!BL18/'Counter_PnL'!AK18),ABS('Counter_PnL'!BP18-'Counter_PnL'!BO18/'Counter_PnL'!AK18))</x:f>
        <x:v>0</x:v>
      </x:c>
      <x:c r="M18" s="30" t="n">
        <x:f>IF(AND('Counter_PnL'!Q18&gt;0,'Counter_PnL'!AK18&gt;0,'Counter_PnL'!R18&lt;=0,'Counter_PnL'!T18&lt;=0,'Counter_PnL'!AT18&lt;=0,'Counter_PnL'!BE18&lt;=0,'Counter_PnL'!BJ18&lt;=0,'Counter_PnL'!BK18&lt;=0,'Counter_PnL'!BN18&lt;=0),0,1)</x:f>
        <x:v>0</x:v>
      </x:c>
    </x:row>
    <x:row r="19">
      <x:c r="A19" t="str">
        <x:f>'Counter_PnL'!D19</x:f>
        <x:v>CNCT0005</x:v>
      </x:c>
      <x:c r="B19" t="str">
        <x:f>'Counter_PnL'!C19</x:f>
        <x:v>2025 S2</x:v>
      </x:c>
      <x:c r="C19" s="30" t="n">
        <x:f>COUNTIFS('Counter_PnL'!$D$2:$D$641,A19,'Counter_PnL'!$C$2:$C$641,B19)</x:f>
        <x:v>1</x:v>
      </x:c>
      <x:c r="D19" s="79" t="n">
        <x:f>ABS('Counter_PnL'!AC19-SUM('Counter_PnL'!V19:'Counter_PnL'!AB19))</x:f>
        <x:v>0</x:v>
      </x:c>
      <x:c r="E19" s="79" t="n">
        <x:f>ABS('Counter_PnL'!AI19-SUM('Counter_PnL'!R19,'Counter_PnL'!T19,'Counter_PnL'!AC19,'Counter_PnL'!AE19,'Counter_PnL'!AG19,'Counter_PnL'!AH19))</x:f>
        <x:v>0</x:v>
      </x:c>
      <x:c r="F19" s="79" t="n">
        <x:f>ABS('Counter_PnL'!AK19-('Counter_PnL'!Q19+'Counter_PnL'!AI19))</x:f>
        <x:v>0</x:v>
      </x:c>
      <x:c r="G19" s="79" t="n">
        <x:f>ABS('Counter_PnL'!AT19-SUM('Counter_PnL'!AO19:'Counter_PnL'!AS19))</x:f>
        <x:v>0</x:v>
      </x:c>
      <x:c r="H19" s="79" t="n">
        <x:f>ABS('Counter_PnL'!AV19-('Counter_PnL'!AK19+'Counter_PnL'!AT19))</x:f>
        <x:v>0</x:v>
      </x:c>
      <x:c r="I19" s="79" t="n">
        <x:f>ABS('Counter_PnL'!BE19-SUM('Counter_PnL'!AX19:'Counter_PnL'!BB19,'Counter_PnL'!BD19))</x:f>
        <x:v>0</x:v>
      </x:c>
      <x:c r="J19" s="79" t="n">
        <x:f>ABS('Counter_PnL'!BL19-SUM('Counter_PnL'!AV19,'Counter_PnL'!BE19,'Counter_PnL'!BJ19,'Counter_PnL'!BK19))</x:f>
        <x:v>0</x:v>
      </x:c>
      <x:c r="K19" s="79" t="n">
        <x:f>ABS('Counter_PnL'!BO19-('Counter_PnL'!BL19+'Counter_PnL'!BN19))</x:f>
        <x:v>0</x:v>
      </x:c>
      <x:c r="L19" s="79" t="n">
        <x:f>MAX(ABS('Counter_PnL'!AW19-'Counter_PnL'!AV19/'Counter_PnL'!AK19),ABS('Counter_PnL'!BM19-'Counter_PnL'!BL19/'Counter_PnL'!AK19),ABS('Counter_PnL'!BP19-'Counter_PnL'!BO19/'Counter_PnL'!AK19))</x:f>
        <x:v>0</x:v>
      </x:c>
      <x:c r="M19" s="30" t="n">
        <x:f>IF(AND('Counter_PnL'!Q19&gt;0,'Counter_PnL'!AK19&gt;0,'Counter_PnL'!R19&lt;=0,'Counter_PnL'!T19&lt;=0,'Counter_PnL'!AT19&lt;=0,'Counter_PnL'!BE19&lt;=0,'Counter_PnL'!BJ19&lt;=0,'Counter_PnL'!BK19&lt;=0,'Counter_PnL'!BN19&lt;=0),0,1)</x:f>
        <x:v>0</x:v>
      </x:c>
    </x:row>
    <x:row r="20">
      <x:c r="A20" t="str">
        <x:f>'Counter_PnL'!D20</x:f>
        <x:v>CNCT0005</x:v>
      </x:c>
      <x:c r="B20" t="str">
        <x:f>'Counter_PnL'!C20</x:f>
        <x:v>2026 S1</x:v>
      </x:c>
      <x:c r="C20" s="30" t="n">
        <x:f>COUNTIFS('Counter_PnL'!$D$2:$D$641,A20,'Counter_PnL'!$C$2:$C$641,B20)</x:f>
        <x:v>1</x:v>
      </x:c>
      <x:c r="D20" s="79" t="n">
        <x:f>ABS('Counter_PnL'!AC20-SUM('Counter_PnL'!V20:'Counter_PnL'!AB20))</x:f>
        <x:v>0</x:v>
      </x:c>
      <x:c r="E20" s="79" t="n">
        <x:f>ABS('Counter_PnL'!AI20-SUM('Counter_PnL'!R20,'Counter_PnL'!T20,'Counter_PnL'!AC20,'Counter_PnL'!AE20,'Counter_PnL'!AG20,'Counter_PnL'!AH20))</x:f>
        <x:v>0</x:v>
      </x:c>
      <x:c r="F20" s="79" t="n">
        <x:f>ABS('Counter_PnL'!AK20-('Counter_PnL'!Q20+'Counter_PnL'!AI20))</x:f>
        <x:v>0</x:v>
      </x:c>
      <x:c r="G20" s="79" t="n">
        <x:f>ABS('Counter_PnL'!AT20-SUM('Counter_PnL'!AO20:'Counter_PnL'!AS20))</x:f>
        <x:v>0</x:v>
      </x:c>
      <x:c r="H20" s="79" t="n">
        <x:f>ABS('Counter_PnL'!AV20-('Counter_PnL'!AK20+'Counter_PnL'!AT20))</x:f>
        <x:v>0</x:v>
      </x:c>
      <x:c r="I20" s="79" t="n">
        <x:f>ABS('Counter_PnL'!BE20-SUM('Counter_PnL'!AX20:'Counter_PnL'!BB20,'Counter_PnL'!BD20))</x:f>
        <x:v>0</x:v>
      </x:c>
      <x:c r="J20" s="79" t="n">
        <x:f>ABS('Counter_PnL'!BL20-SUM('Counter_PnL'!AV20,'Counter_PnL'!BE20,'Counter_PnL'!BJ20,'Counter_PnL'!BK20))</x:f>
        <x:v>0</x:v>
      </x:c>
      <x:c r="K20" s="79" t="n">
        <x:f>ABS('Counter_PnL'!BO20-('Counter_PnL'!BL20+'Counter_PnL'!BN20))</x:f>
        <x:v>0</x:v>
      </x:c>
      <x:c r="L20" s="79" t="n">
        <x:f>MAX(ABS('Counter_PnL'!AW20-'Counter_PnL'!AV20/'Counter_PnL'!AK20),ABS('Counter_PnL'!BM20-'Counter_PnL'!BL20/'Counter_PnL'!AK20),ABS('Counter_PnL'!BP20-'Counter_PnL'!BO20/'Counter_PnL'!AK20))</x:f>
        <x:v>0</x:v>
      </x:c>
      <x:c r="M20" s="30" t="n">
        <x:f>IF(AND('Counter_PnL'!Q20&gt;0,'Counter_PnL'!AK20&gt;0,'Counter_PnL'!R20&lt;=0,'Counter_PnL'!T20&lt;=0,'Counter_PnL'!AT20&lt;=0,'Counter_PnL'!BE20&lt;=0,'Counter_PnL'!BJ20&lt;=0,'Counter_PnL'!BK20&lt;=0,'Counter_PnL'!BN20&lt;=0),0,1)</x:f>
        <x:v>0</x:v>
      </x:c>
    </x:row>
    <x:row r="21">
      <x:c r="A21" t="str">
        <x:f>'Counter_PnL'!D21</x:f>
        <x:v>CNCT0005</x:v>
      </x:c>
      <x:c r="B21" t="str">
        <x:f>'Counter_PnL'!C21</x:f>
        <x:v>2026 S2</x:v>
      </x:c>
      <x:c r="C21" s="30" t="n">
        <x:f>COUNTIFS('Counter_PnL'!$D$2:$D$641,A21,'Counter_PnL'!$C$2:$C$641,B21)</x:f>
        <x:v>1</x:v>
      </x:c>
      <x:c r="D21" s="79" t="n">
        <x:f>ABS('Counter_PnL'!AC21-SUM('Counter_PnL'!V21:'Counter_PnL'!AB21))</x:f>
        <x:v>0</x:v>
      </x:c>
      <x:c r="E21" s="79" t="n">
        <x:f>ABS('Counter_PnL'!AI21-SUM('Counter_PnL'!R21,'Counter_PnL'!T21,'Counter_PnL'!AC21,'Counter_PnL'!AE21,'Counter_PnL'!AG21,'Counter_PnL'!AH21))</x:f>
        <x:v>0</x:v>
      </x:c>
      <x:c r="F21" s="79" t="n">
        <x:f>ABS('Counter_PnL'!AK21-('Counter_PnL'!Q21+'Counter_PnL'!AI21))</x:f>
        <x:v>0</x:v>
      </x:c>
      <x:c r="G21" s="79" t="n">
        <x:f>ABS('Counter_PnL'!AT21-SUM('Counter_PnL'!AO21:'Counter_PnL'!AS21))</x:f>
        <x:v>0</x:v>
      </x:c>
      <x:c r="H21" s="79" t="n">
        <x:f>ABS('Counter_PnL'!AV21-('Counter_PnL'!AK21+'Counter_PnL'!AT21))</x:f>
        <x:v>0</x:v>
      </x:c>
      <x:c r="I21" s="79" t="n">
        <x:f>ABS('Counter_PnL'!BE21-SUM('Counter_PnL'!AX21:'Counter_PnL'!BB21,'Counter_PnL'!BD21))</x:f>
        <x:v>0</x:v>
      </x:c>
      <x:c r="J21" s="79" t="n">
        <x:f>ABS('Counter_PnL'!BL21-SUM('Counter_PnL'!AV21,'Counter_PnL'!BE21,'Counter_PnL'!BJ21,'Counter_PnL'!BK21))</x:f>
        <x:v>0</x:v>
      </x:c>
      <x:c r="K21" s="79" t="n">
        <x:f>ABS('Counter_PnL'!BO21-('Counter_PnL'!BL21+'Counter_PnL'!BN21))</x:f>
        <x:v>0</x:v>
      </x:c>
      <x:c r="L21" s="79" t="n">
        <x:f>MAX(ABS('Counter_PnL'!AW21-'Counter_PnL'!AV21/'Counter_PnL'!AK21),ABS('Counter_PnL'!BM21-'Counter_PnL'!BL21/'Counter_PnL'!AK21),ABS('Counter_PnL'!BP21-'Counter_PnL'!BO21/'Counter_PnL'!AK21))</x:f>
        <x:v>0</x:v>
      </x:c>
      <x:c r="M21" s="30" t="n">
        <x:f>IF(AND('Counter_PnL'!Q21&gt;0,'Counter_PnL'!AK21&gt;0,'Counter_PnL'!R21&lt;=0,'Counter_PnL'!T21&lt;=0,'Counter_PnL'!AT21&lt;=0,'Counter_PnL'!BE21&lt;=0,'Counter_PnL'!BJ21&lt;=0,'Counter_PnL'!BK21&lt;=0,'Counter_PnL'!BN21&lt;=0),0,1)</x:f>
        <x:v>0</x:v>
      </x:c>
    </x:row>
    <x:row r="22">
      <x:c r="A22" t="str">
        <x:f>'Counter_PnL'!D22</x:f>
        <x:v>CNCT0006</x:v>
      </x:c>
      <x:c r="B22" t="str">
        <x:f>'Counter_PnL'!C22</x:f>
        <x:v>2025 S1</x:v>
      </x:c>
      <x:c r="C22" s="30" t="n">
        <x:f>COUNTIFS('Counter_PnL'!$D$2:$D$641,A22,'Counter_PnL'!$C$2:$C$641,B22)</x:f>
        <x:v>1</x:v>
      </x:c>
      <x:c r="D22" s="79" t="n">
        <x:f>ABS('Counter_PnL'!AC22-SUM('Counter_PnL'!V22:'Counter_PnL'!AB22))</x:f>
        <x:v>0</x:v>
      </x:c>
      <x:c r="E22" s="79" t="n">
        <x:f>ABS('Counter_PnL'!AI22-SUM('Counter_PnL'!R22,'Counter_PnL'!T22,'Counter_PnL'!AC22,'Counter_PnL'!AE22,'Counter_PnL'!AG22,'Counter_PnL'!AH22))</x:f>
        <x:v>0</x:v>
      </x:c>
      <x:c r="F22" s="79" t="n">
        <x:f>ABS('Counter_PnL'!AK22-('Counter_PnL'!Q22+'Counter_PnL'!AI22))</x:f>
        <x:v>0</x:v>
      </x:c>
      <x:c r="G22" s="79" t="n">
        <x:f>ABS('Counter_PnL'!AT22-SUM('Counter_PnL'!AO22:'Counter_PnL'!AS22))</x:f>
        <x:v>0</x:v>
      </x:c>
      <x:c r="H22" s="79" t="n">
        <x:f>ABS('Counter_PnL'!AV22-('Counter_PnL'!AK22+'Counter_PnL'!AT22))</x:f>
        <x:v>0</x:v>
      </x:c>
      <x:c r="I22" s="79" t="n">
        <x:f>ABS('Counter_PnL'!BE22-SUM('Counter_PnL'!AX22:'Counter_PnL'!BB22,'Counter_PnL'!BD22))</x:f>
        <x:v>0</x:v>
      </x:c>
      <x:c r="J22" s="79" t="n">
        <x:f>ABS('Counter_PnL'!BL22-SUM('Counter_PnL'!AV22,'Counter_PnL'!BE22,'Counter_PnL'!BJ22,'Counter_PnL'!BK22))</x:f>
        <x:v>0</x:v>
      </x:c>
      <x:c r="K22" s="79" t="n">
        <x:f>ABS('Counter_PnL'!BO22-('Counter_PnL'!BL22+'Counter_PnL'!BN22))</x:f>
        <x:v>0</x:v>
      </x:c>
      <x:c r="L22" s="79" t="n">
        <x:f>MAX(ABS('Counter_PnL'!AW22-'Counter_PnL'!AV22/'Counter_PnL'!AK22),ABS('Counter_PnL'!BM22-'Counter_PnL'!BL22/'Counter_PnL'!AK22),ABS('Counter_PnL'!BP22-'Counter_PnL'!BO22/'Counter_PnL'!AK22))</x:f>
        <x:v>0</x:v>
      </x:c>
      <x:c r="M22" s="30" t="n">
        <x:f>IF(AND('Counter_PnL'!Q22&gt;0,'Counter_PnL'!AK22&gt;0,'Counter_PnL'!R22&lt;=0,'Counter_PnL'!T22&lt;=0,'Counter_PnL'!AT22&lt;=0,'Counter_PnL'!BE22&lt;=0,'Counter_PnL'!BJ22&lt;=0,'Counter_PnL'!BK22&lt;=0,'Counter_PnL'!BN22&lt;=0),0,1)</x:f>
        <x:v>0</x:v>
      </x:c>
    </x:row>
    <x:row r="23">
      <x:c r="A23" t="str">
        <x:f>'Counter_PnL'!D23</x:f>
        <x:v>CNCT0006</x:v>
      </x:c>
      <x:c r="B23" t="str">
        <x:f>'Counter_PnL'!C23</x:f>
        <x:v>2025 S2</x:v>
      </x:c>
      <x:c r="C23" s="30" t="n">
        <x:f>COUNTIFS('Counter_PnL'!$D$2:$D$641,A23,'Counter_PnL'!$C$2:$C$641,B23)</x:f>
        <x:v>1</x:v>
      </x:c>
      <x:c r="D23" s="79" t="n">
        <x:f>ABS('Counter_PnL'!AC23-SUM('Counter_PnL'!V23:'Counter_PnL'!AB23))</x:f>
        <x:v>0</x:v>
      </x:c>
      <x:c r="E23" s="79" t="n">
        <x:f>ABS('Counter_PnL'!AI23-SUM('Counter_PnL'!R23,'Counter_PnL'!T23,'Counter_PnL'!AC23,'Counter_PnL'!AE23,'Counter_PnL'!AG23,'Counter_PnL'!AH23))</x:f>
        <x:v>0</x:v>
      </x:c>
      <x:c r="F23" s="79" t="n">
        <x:f>ABS('Counter_PnL'!AK23-('Counter_PnL'!Q23+'Counter_PnL'!AI23))</x:f>
        <x:v>0</x:v>
      </x:c>
      <x:c r="G23" s="79" t="n">
        <x:f>ABS('Counter_PnL'!AT23-SUM('Counter_PnL'!AO23:'Counter_PnL'!AS23))</x:f>
        <x:v>0</x:v>
      </x:c>
      <x:c r="H23" s="79" t="n">
        <x:f>ABS('Counter_PnL'!AV23-('Counter_PnL'!AK23+'Counter_PnL'!AT23))</x:f>
        <x:v>0</x:v>
      </x:c>
      <x:c r="I23" s="79" t="n">
        <x:f>ABS('Counter_PnL'!BE23-SUM('Counter_PnL'!AX23:'Counter_PnL'!BB23,'Counter_PnL'!BD23))</x:f>
        <x:v>0</x:v>
      </x:c>
      <x:c r="J23" s="79" t="n">
        <x:f>ABS('Counter_PnL'!BL23-SUM('Counter_PnL'!AV23,'Counter_PnL'!BE23,'Counter_PnL'!BJ23,'Counter_PnL'!BK23))</x:f>
        <x:v>0</x:v>
      </x:c>
      <x:c r="K23" s="79" t="n">
        <x:f>ABS('Counter_PnL'!BO23-('Counter_PnL'!BL23+'Counter_PnL'!BN23))</x:f>
        <x:v>0</x:v>
      </x:c>
      <x:c r="L23" s="79" t="n">
        <x:f>MAX(ABS('Counter_PnL'!AW23-'Counter_PnL'!AV23/'Counter_PnL'!AK23),ABS('Counter_PnL'!BM23-'Counter_PnL'!BL23/'Counter_PnL'!AK23),ABS('Counter_PnL'!BP23-'Counter_PnL'!BO23/'Counter_PnL'!AK23))</x:f>
        <x:v>0</x:v>
      </x:c>
      <x:c r="M23" s="30" t="n">
        <x:f>IF(AND('Counter_PnL'!Q23&gt;0,'Counter_PnL'!AK23&gt;0,'Counter_PnL'!R23&lt;=0,'Counter_PnL'!T23&lt;=0,'Counter_PnL'!AT23&lt;=0,'Counter_PnL'!BE23&lt;=0,'Counter_PnL'!BJ23&lt;=0,'Counter_PnL'!BK23&lt;=0,'Counter_PnL'!BN23&lt;=0),0,1)</x:f>
        <x:v>0</x:v>
      </x:c>
    </x:row>
    <x:row r="24">
      <x:c r="A24" t="str">
        <x:f>'Counter_PnL'!D24</x:f>
        <x:v>CNCT0006</x:v>
      </x:c>
      <x:c r="B24" t="str">
        <x:f>'Counter_PnL'!C24</x:f>
        <x:v>2026 S1</x:v>
      </x:c>
      <x:c r="C24" s="30" t="n">
        <x:f>COUNTIFS('Counter_PnL'!$D$2:$D$641,A24,'Counter_PnL'!$C$2:$C$641,B24)</x:f>
        <x:v>1</x:v>
      </x:c>
      <x:c r="D24" s="79" t="n">
        <x:f>ABS('Counter_PnL'!AC24-SUM('Counter_PnL'!V24:'Counter_PnL'!AB24))</x:f>
        <x:v>0</x:v>
      </x:c>
      <x:c r="E24" s="79" t="n">
        <x:f>ABS('Counter_PnL'!AI24-SUM('Counter_PnL'!R24,'Counter_PnL'!T24,'Counter_PnL'!AC24,'Counter_PnL'!AE24,'Counter_PnL'!AG24,'Counter_PnL'!AH24))</x:f>
        <x:v>0</x:v>
      </x:c>
      <x:c r="F24" s="79" t="n">
        <x:f>ABS('Counter_PnL'!AK24-('Counter_PnL'!Q24+'Counter_PnL'!AI24))</x:f>
        <x:v>0</x:v>
      </x:c>
      <x:c r="G24" s="79" t="n">
        <x:f>ABS('Counter_PnL'!AT24-SUM('Counter_PnL'!AO24:'Counter_PnL'!AS24))</x:f>
        <x:v>0</x:v>
      </x:c>
      <x:c r="H24" s="79" t="n">
        <x:f>ABS('Counter_PnL'!AV24-('Counter_PnL'!AK24+'Counter_PnL'!AT24))</x:f>
        <x:v>0</x:v>
      </x:c>
      <x:c r="I24" s="79" t="n">
        <x:f>ABS('Counter_PnL'!BE24-SUM('Counter_PnL'!AX24:'Counter_PnL'!BB24,'Counter_PnL'!BD24))</x:f>
        <x:v>0</x:v>
      </x:c>
      <x:c r="J24" s="79" t="n">
        <x:f>ABS('Counter_PnL'!BL24-SUM('Counter_PnL'!AV24,'Counter_PnL'!BE24,'Counter_PnL'!BJ24,'Counter_PnL'!BK24))</x:f>
        <x:v>0</x:v>
      </x:c>
      <x:c r="K24" s="79" t="n">
        <x:f>ABS('Counter_PnL'!BO24-('Counter_PnL'!BL24+'Counter_PnL'!BN24))</x:f>
        <x:v>0</x:v>
      </x:c>
      <x:c r="L24" s="79" t="n">
        <x:f>MAX(ABS('Counter_PnL'!AW24-'Counter_PnL'!AV24/'Counter_PnL'!AK24),ABS('Counter_PnL'!BM24-'Counter_PnL'!BL24/'Counter_PnL'!AK24),ABS('Counter_PnL'!BP24-'Counter_PnL'!BO24/'Counter_PnL'!AK24))</x:f>
        <x:v>0</x:v>
      </x:c>
      <x:c r="M24" s="30" t="n">
        <x:f>IF(AND('Counter_PnL'!Q24&gt;0,'Counter_PnL'!AK24&gt;0,'Counter_PnL'!R24&lt;=0,'Counter_PnL'!T24&lt;=0,'Counter_PnL'!AT24&lt;=0,'Counter_PnL'!BE24&lt;=0,'Counter_PnL'!BJ24&lt;=0,'Counter_PnL'!BK24&lt;=0,'Counter_PnL'!BN24&lt;=0),0,1)</x:f>
        <x:v>0</x:v>
      </x:c>
    </x:row>
    <x:row r="25">
      <x:c r="A25" t="str">
        <x:f>'Counter_PnL'!D25</x:f>
        <x:v>CNCT0006</x:v>
      </x:c>
      <x:c r="B25" t="str">
        <x:f>'Counter_PnL'!C25</x:f>
        <x:v>2026 S2</x:v>
      </x:c>
      <x:c r="C25" s="30" t="n">
        <x:f>COUNTIFS('Counter_PnL'!$D$2:$D$641,A25,'Counter_PnL'!$C$2:$C$641,B25)</x:f>
        <x:v>1</x:v>
      </x:c>
      <x:c r="D25" s="79" t="n">
        <x:f>ABS('Counter_PnL'!AC25-SUM('Counter_PnL'!V25:'Counter_PnL'!AB25))</x:f>
        <x:v>0</x:v>
      </x:c>
      <x:c r="E25" s="79" t="n">
        <x:f>ABS('Counter_PnL'!AI25-SUM('Counter_PnL'!R25,'Counter_PnL'!T25,'Counter_PnL'!AC25,'Counter_PnL'!AE25,'Counter_PnL'!AG25,'Counter_PnL'!AH25))</x:f>
        <x:v>0</x:v>
      </x:c>
      <x:c r="F25" s="79" t="n">
        <x:f>ABS('Counter_PnL'!AK25-('Counter_PnL'!Q25+'Counter_PnL'!AI25))</x:f>
        <x:v>0</x:v>
      </x:c>
      <x:c r="G25" s="79" t="n">
        <x:f>ABS('Counter_PnL'!AT25-SUM('Counter_PnL'!AO25:'Counter_PnL'!AS25))</x:f>
        <x:v>0</x:v>
      </x:c>
      <x:c r="H25" s="79" t="n">
        <x:f>ABS('Counter_PnL'!AV25-('Counter_PnL'!AK25+'Counter_PnL'!AT25))</x:f>
        <x:v>0</x:v>
      </x:c>
      <x:c r="I25" s="79" t="n">
        <x:f>ABS('Counter_PnL'!BE25-SUM('Counter_PnL'!AX25:'Counter_PnL'!BB25,'Counter_PnL'!BD25))</x:f>
        <x:v>0</x:v>
      </x:c>
      <x:c r="J25" s="79" t="n">
        <x:f>ABS('Counter_PnL'!BL25-SUM('Counter_PnL'!AV25,'Counter_PnL'!BE25,'Counter_PnL'!BJ25,'Counter_PnL'!BK25))</x:f>
        <x:v>0</x:v>
      </x:c>
      <x:c r="K25" s="79" t="n">
        <x:f>ABS('Counter_PnL'!BO25-('Counter_PnL'!BL25+'Counter_PnL'!BN25))</x:f>
        <x:v>0</x:v>
      </x:c>
      <x:c r="L25" s="79" t="n">
        <x:f>MAX(ABS('Counter_PnL'!AW25-'Counter_PnL'!AV25/'Counter_PnL'!AK25),ABS('Counter_PnL'!BM25-'Counter_PnL'!BL25/'Counter_PnL'!AK25),ABS('Counter_PnL'!BP25-'Counter_PnL'!BO25/'Counter_PnL'!AK25))</x:f>
        <x:v>0</x:v>
      </x:c>
      <x:c r="M25" s="30" t="n">
        <x:f>IF(AND('Counter_PnL'!Q25&gt;0,'Counter_PnL'!AK25&gt;0,'Counter_PnL'!R25&lt;=0,'Counter_PnL'!T25&lt;=0,'Counter_PnL'!AT25&lt;=0,'Counter_PnL'!BE25&lt;=0,'Counter_PnL'!BJ25&lt;=0,'Counter_PnL'!BK25&lt;=0,'Counter_PnL'!BN25&lt;=0),0,1)</x:f>
        <x:v>0</x:v>
      </x:c>
    </x:row>
    <x:row r="26">
      <x:c r="A26" t="str">
        <x:f>'Counter_PnL'!D26</x:f>
        <x:v>CNCT0007</x:v>
      </x:c>
      <x:c r="B26" t="str">
        <x:f>'Counter_PnL'!C26</x:f>
        <x:v>2025 S1</x:v>
      </x:c>
      <x:c r="C26" s="30" t="n">
        <x:f>COUNTIFS('Counter_PnL'!$D$2:$D$641,A26,'Counter_PnL'!$C$2:$C$641,B26)</x:f>
        <x:v>1</x:v>
      </x:c>
      <x:c r="D26" s="79" t="n">
        <x:f>ABS('Counter_PnL'!AC26-SUM('Counter_PnL'!V26:'Counter_PnL'!AB26))</x:f>
        <x:v>0</x:v>
      </x:c>
      <x:c r="E26" s="79" t="n">
        <x:f>ABS('Counter_PnL'!AI26-SUM('Counter_PnL'!R26,'Counter_PnL'!T26,'Counter_PnL'!AC26,'Counter_PnL'!AE26,'Counter_PnL'!AG26,'Counter_PnL'!AH26))</x:f>
        <x:v>0</x:v>
      </x:c>
      <x:c r="F26" s="79" t="n">
        <x:f>ABS('Counter_PnL'!AK26-('Counter_PnL'!Q26+'Counter_PnL'!AI26))</x:f>
        <x:v>0</x:v>
      </x:c>
      <x:c r="G26" s="79" t="n">
        <x:f>ABS('Counter_PnL'!AT26-SUM('Counter_PnL'!AO26:'Counter_PnL'!AS26))</x:f>
        <x:v>0</x:v>
      </x:c>
      <x:c r="H26" s="79" t="n">
        <x:f>ABS('Counter_PnL'!AV26-('Counter_PnL'!AK26+'Counter_PnL'!AT26))</x:f>
        <x:v>0</x:v>
      </x:c>
      <x:c r="I26" s="79" t="n">
        <x:f>ABS('Counter_PnL'!BE26-SUM('Counter_PnL'!AX26:'Counter_PnL'!BB26,'Counter_PnL'!BD26))</x:f>
        <x:v>0</x:v>
      </x:c>
      <x:c r="J26" s="79" t="n">
        <x:f>ABS('Counter_PnL'!BL26-SUM('Counter_PnL'!AV26,'Counter_PnL'!BE26,'Counter_PnL'!BJ26,'Counter_PnL'!BK26))</x:f>
        <x:v>0</x:v>
      </x:c>
      <x:c r="K26" s="79" t="n">
        <x:f>ABS('Counter_PnL'!BO26-('Counter_PnL'!BL26+'Counter_PnL'!BN26))</x:f>
        <x:v>0</x:v>
      </x:c>
      <x:c r="L26" s="79" t="n">
        <x:f>MAX(ABS('Counter_PnL'!AW26-'Counter_PnL'!AV26/'Counter_PnL'!AK26),ABS('Counter_PnL'!BM26-'Counter_PnL'!BL26/'Counter_PnL'!AK26),ABS('Counter_PnL'!BP26-'Counter_PnL'!BO26/'Counter_PnL'!AK26))</x:f>
        <x:v>0</x:v>
      </x:c>
      <x:c r="M26" s="30" t="n">
        <x:f>IF(AND('Counter_PnL'!Q26&gt;0,'Counter_PnL'!AK26&gt;0,'Counter_PnL'!R26&lt;=0,'Counter_PnL'!T26&lt;=0,'Counter_PnL'!AT26&lt;=0,'Counter_PnL'!BE26&lt;=0,'Counter_PnL'!BJ26&lt;=0,'Counter_PnL'!BK26&lt;=0,'Counter_PnL'!BN26&lt;=0),0,1)</x:f>
        <x:v>0</x:v>
      </x:c>
    </x:row>
    <x:row r="27">
      <x:c r="A27" t="str">
        <x:f>'Counter_PnL'!D27</x:f>
        <x:v>CNCT0007</x:v>
      </x:c>
      <x:c r="B27" t="str">
        <x:f>'Counter_PnL'!C27</x:f>
        <x:v>2025 S2</x:v>
      </x:c>
      <x:c r="C27" s="30" t="n">
        <x:f>COUNTIFS('Counter_PnL'!$D$2:$D$641,A27,'Counter_PnL'!$C$2:$C$641,B27)</x:f>
        <x:v>1</x:v>
      </x:c>
      <x:c r="D27" s="79" t="n">
        <x:f>ABS('Counter_PnL'!AC27-SUM('Counter_PnL'!V27:'Counter_PnL'!AB27))</x:f>
        <x:v>0</x:v>
      </x:c>
      <x:c r="E27" s="79" t="n">
        <x:f>ABS('Counter_PnL'!AI27-SUM('Counter_PnL'!R27,'Counter_PnL'!T27,'Counter_PnL'!AC27,'Counter_PnL'!AE27,'Counter_PnL'!AG27,'Counter_PnL'!AH27))</x:f>
        <x:v>0</x:v>
      </x:c>
      <x:c r="F27" s="79" t="n">
        <x:f>ABS('Counter_PnL'!AK27-('Counter_PnL'!Q27+'Counter_PnL'!AI27))</x:f>
        <x:v>0</x:v>
      </x:c>
      <x:c r="G27" s="79" t="n">
        <x:f>ABS('Counter_PnL'!AT27-SUM('Counter_PnL'!AO27:'Counter_PnL'!AS27))</x:f>
        <x:v>0</x:v>
      </x:c>
      <x:c r="H27" s="79" t="n">
        <x:f>ABS('Counter_PnL'!AV27-('Counter_PnL'!AK27+'Counter_PnL'!AT27))</x:f>
        <x:v>0</x:v>
      </x:c>
      <x:c r="I27" s="79" t="n">
        <x:f>ABS('Counter_PnL'!BE27-SUM('Counter_PnL'!AX27:'Counter_PnL'!BB27,'Counter_PnL'!BD27))</x:f>
        <x:v>0</x:v>
      </x:c>
      <x:c r="J27" s="79" t="n">
        <x:f>ABS('Counter_PnL'!BL27-SUM('Counter_PnL'!AV27,'Counter_PnL'!BE27,'Counter_PnL'!BJ27,'Counter_PnL'!BK27))</x:f>
        <x:v>0</x:v>
      </x:c>
      <x:c r="K27" s="79" t="n">
        <x:f>ABS('Counter_PnL'!BO27-('Counter_PnL'!BL27+'Counter_PnL'!BN27))</x:f>
        <x:v>0</x:v>
      </x:c>
      <x:c r="L27" s="79" t="n">
        <x:f>MAX(ABS('Counter_PnL'!AW27-'Counter_PnL'!AV27/'Counter_PnL'!AK27),ABS('Counter_PnL'!BM27-'Counter_PnL'!BL27/'Counter_PnL'!AK27),ABS('Counter_PnL'!BP27-'Counter_PnL'!BO27/'Counter_PnL'!AK27))</x:f>
        <x:v>0</x:v>
      </x:c>
      <x:c r="M27" s="30" t="n">
        <x:f>IF(AND('Counter_PnL'!Q27&gt;0,'Counter_PnL'!AK27&gt;0,'Counter_PnL'!R27&lt;=0,'Counter_PnL'!T27&lt;=0,'Counter_PnL'!AT27&lt;=0,'Counter_PnL'!BE27&lt;=0,'Counter_PnL'!BJ27&lt;=0,'Counter_PnL'!BK27&lt;=0,'Counter_PnL'!BN27&lt;=0),0,1)</x:f>
        <x:v>0</x:v>
      </x:c>
    </x:row>
    <x:row r="28">
      <x:c r="A28" t="str">
        <x:f>'Counter_PnL'!D28</x:f>
        <x:v>CNCT0007</x:v>
      </x:c>
      <x:c r="B28" t="str">
        <x:f>'Counter_PnL'!C28</x:f>
        <x:v>2026 S1</x:v>
      </x:c>
      <x:c r="C28" s="30" t="n">
        <x:f>COUNTIFS('Counter_PnL'!$D$2:$D$641,A28,'Counter_PnL'!$C$2:$C$641,B28)</x:f>
        <x:v>1</x:v>
      </x:c>
      <x:c r="D28" s="79" t="n">
        <x:f>ABS('Counter_PnL'!AC28-SUM('Counter_PnL'!V28:'Counter_PnL'!AB28))</x:f>
        <x:v>0</x:v>
      </x:c>
      <x:c r="E28" s="79" t="n">
        <x:f>ABS('Counter_PnL'!AI28-SUM('Counter_PnL'!R28,'Counter_PnL'!T28,'Counter_PnL'!AC28,'Counter_PnL'!AE28,'Counter_PnL'!AG28,'Counter_PnL'!AH28))</x:f>
        <x:v>0</x:v>
      </x:c>
      <x:c r="F28" s="79" t="n">
        <x:f>ABS('Counter_PnL'!AK28-('Counter_PnL'!Q28+'Counter_PnL'!AI28))</x:f>
        <x:v>0</x:v>
      </x:c>
      <x:c r="G28" s="79" t="n">
        <x:f>ABS('Counter_PnL'!AT28-SUM('Counter_PnL'!AO28:'Counter_PnL'!AS28))</x:f>
        <x:v>0</x:v>
      </x:c>
      <x:c r="H28" s="79" t="n">
        <x:f>ABS('Counter_PnL'!AV28-('Counter_PnL'!AK28+'Counter_PnL'!AT28))</x:f>
        <x:v>0</x:v>
      </x:c>
      <x:c r="I28" s="79" t="n">
        <x:f>ABS('Counter_PnL'!BE28-SUM('Counter_PnL'!AX28:'Counter_PnL'!BB28,'Counter_PnL'!BD28))</x:f>
        <x:v>0</x:v>
      </x:c>
      <x:c r="J28" s="79" t="n">
        <x:f>ABS('Counter_PnL'!BL28-SUM('Counter_PnL'!AV28,'Counter_PnL'!BE28,'Counter_PnL'!BJ28,'Counter_PnL'!BK28))</x:f>
        <x:v>0</x:v>
      </x:c>
      <x:c r="K28" s="79" t="n">
        <x:f>ABS('Counter_PnL'!BO28-('Counter_PnL'!BL28+'Counter_PnL'!BN28))</x:f>
        <x:v>0</x:v>
      </x:c>
      <x:c r="L28" s="79" t="n">
        <x:f>MAX(ABS('Counter_PnL'!AW28-'Counter_PnL'!AV28/'Counter_PnL'!AK28),ABS('Counter_PnL'!BM28-'Counter_PnL'!BL28/'Counter_PnL'!AK28),ABS('Counter_PnL'!BP28-'Counter_PnL'!BO28/'Counter_PnL'!AK28))</x:f>
        <x:v>0</x:v>
      </x:c>
      <x:c r="M28" s="30" t="n">
        <x:f>IF(AND('Counter_PnL'!Q28&gt;0,'Counter_PnL'!AK28&gt;0,'Counter_PnL'!R28&lt;=0,'Counter_PnL'!T28&lt;=0,'Counter_PnL'!AT28&lt;=0,'Counter_PnL'!BE28&lt;=0,'Counter_PnL'!BJ28&lt;=0,'Counter_PnL'!BK28&lt;=0,'Counter_PnL'!BN28&lt;=0),0,1)</x:f>
        <x:v>0</x:v>
      </x:c>
    </x:row>
    <x:row r="29">
      <x:c r="A29" t="str">
        <x:f>'Counter_PnL'!D29</x:f>
        <x:v>CNCT0007</x:v>
      </x:c>
      <x:c r="B29" t="str">
        <x:f>'Counter_PnL'!C29</x:f>
        <x:v>2026 S2</x:v>
      </x:c>
      <x:c r="C29" s="30" t="n">
        <x:f>COUNTIFS('Counter_PnL'!$D$2:$D$641,A29,'Counter_PnL'!$C$2:$C$641,B29)</x:f>
        <x:v>1</x:v>
      </x:c>
      <x:c r="D29" s="79" t="n">
        <x:f>ABS('Counter_PnL'!AC29-SUM('Counter_PnL'!V29:'Counter_PnL'!AB29))</x:f>
        <x:v>0</x:v>
      </x:c>
      <x:c r="E29" s="79" t="n">
        <x:f>ABS('Counter_PnL'!AI29-SUM('Counter_PnL'!R29,'Counter_PnL'!T29,'Counter_PnL'!AC29,'Counter_PnL'!AE29,'Counter_PnL'!AG29,'Counter_PnL'!AH29))</x:f>
        <x:v>0</x:v>
      </x:c>
      <x:c r="F29" s="79" t="n">
        <x:f>ABS('Counter_PnL'!AK29-('Counter_PnL'!Q29+'Counter_PnL'!AI29))</x:f>
        <x:v>0</x:v>
      </x:c>
      <x:c r="G29" s="79" t="n">
        <x:f>ABS('Counter_PnL'!AT29-SUM('Counter_PnL'!AO29:'Counter_PnL'!AS29))</x:f>
        <x:v>0</x:v>
      </x:c>
      <x:c r="H29" s="79" t="n">
        <x:f>ABS('Counter_PnL'!AV29-('Counter_PnL'!AK29+'Counter_PnL'!AT29))</x:f>
        <x:v>0</x:v>
      </x:c>
      <x:c r="I29" s="79" t="n">
        <x:f>ABS('Counter_PnL'!BE29-SUM('Counter_PnL'!AX29:'Counter_PnL'!BB29,'Counter_PnL'!BD29))</x:f>
        <x:v>0</x:v>
      </x:c>
      <x:c r="J29" s="79" t="n">
        <x:f>ABS('Counter_PnL'!BL29-SUM('Counter_PnL'!AV29,'Counter_PnL'!BE29,'Counter_PnL'!BJ29,'Counter_PnL'!BK29))</x:f>
        <x:v>0</x:v>
      </x:c>
      <x:c r="K29" s="79" t="n">
        <x:f>ABS('Counter_PnL'!BO29-('Counter_PnL'!BL29+'Counter_PnL'!BN29))</x:f>
        <x:v>0</x:v>
      </x:c>
      <x:c r="L29" s="79" t="n">
        <x:f>MAX(ABS('Counter_PnL'!AW29-'Counter_PnL'!AV29/'Counter_PnL'!AK29),ABS('Counter_PnL'!BM29-'Counter_PnL'!BL29/'Counter_PnL'!AK29),ABS('Counter_PnL'!BP29-'Counter_PnL'!BO29/'Counter_PnL'!AK29))</x:f>
        <x:v>0</x:v>
      </x:c>
      <x:c r="M29" s="30" t="n">
        <x:f>IF(AND('Counter_PnL'!Q29&gt;0,'Counter_PnL'!AK29&gt;0,'Counter_PnL'!R29&lt;=0,'Counter_PnL'!T29&lt;=0,'Counter_PnL'!AT29&lt;=0,'Counter_PnL'!BE29&lt;=0,'Counter_PnL'!BJ29&lt;=0,'Counter_PnL'!BK29&lt;=0,'Counter_PnL'!BN29&lt;=0),0,1)</x:f>
        <x:v>0</x:v>
      </x:c>
    </x:row>
    <x:row r="30">
      <x:c r="A30" t="str">
        <x:f>'Counter_PnL'!D30</x:f>
        <x:v>CNCT0008</x:v>
      </x:c>
      <x:c r="B30" t="str">
        <x:f>'Counter_PnL'!C30</x:f>
        <x:v>2025 S1</x:v>
      </x:c>
      <x:c r="C30" s="30" t="n">
        <x:f>COUNTIFS('Counter_PnL'!$D$2:$D$641,A30,'Counter_PnL'!$C$2:$C$641,B30)</x:f>
        <x:v>1</x:v>
      </x:c>
      <x:c r="D30" s="79" t="n">
        <x:f>ABS('Counter_PnL'!AC30-SUM('Counter_PnL'!V30:'Counter_PnL'!AB30))</x:f>
        <x:v>0</x:v>
      </x:c>
      <x:c r="E30" s="79" t="n">
        <x:f>ABS('Counter_PnL'!AI30-SUM('Counter_PnL'!R30,'Counter_PnL'!T30,'Counter_PnL'!AC30,'Counter_PnL'!AE30,'Counter_PnL'!AG30,'Counter_PnL'!AH30))</x:f>
        <x:v>0</x:v>
      </x:c>
      <x:c r="F30" s="79" t="n">
        <x:f>ABS('Counter_PnL'!AK30-('Counter_PnL'!Q30+'Counter_PnL'!AI30))</x:f>
        <x:v>0</x:v>
      </x:c>
      <x:c r="G30" s="79" t="n">
        <x:f>ABS('Counter_PnL'!AT30-SUM('Counter_PnL'!AO30:'Counter_PnL'!AS30))</x:f>
        <x:v>0</x:v>
      </x:c>
      <x:c r="H30" s="79" t="n">
        <x:f>ABS('Counter_PnL'!AV30-('Counter_PnL'!AK30+'Counter_PnL'!AT30))</x:f>
        <x:v>0</x:v>
      </x:c>
      <x:c r="I30" s="79" t="n">
        <x:f>ABS('Counter_PnL'!BE30-SUM('Counter_PnL'!AX30:'Counter_PnL'!BB30,'Counter_PnL'!BD30))</x:f>
        <x:v>0</x:v>
      </x:c>
      <x:c r="J30" s="79" t="n">
        <x:f>ABS('Counter_PnL'!BL30-SUM('Counter_PnL'!AV30,'Counter_PnL'!BE30,'Counter_PnL'!BJ30,'Counter_PnL'!BK30))</x:f>
        <x:v>0</x:v>
      </x:c>
      <x:c r="K30" s="79" t="n">
        <x:f>ABS('Counter_PnL'!BO30-('Counter_PnL'!BL30+'Counter_PnL'!BN30))</x:f>
        <x:v>0</x:v>
      </x:c>
      <x:c r="L30" s="79" t="n">
        <x:f>MAX(ABS('Counter_PnL'!AW30-'Counter_PnL'!AV30/'Counter_PnL'!AK30),ABS('Counter_PnL'!BM30-'Counter_PnL'!BL30/'Counter_PnL'!AK30),ABS('Counter_PnL'!BP30-'Counter_PnL'!BO30/'Counter_PnL'!AK30))</x:f>
        <x:v>0</x:v>
      </x:c>
      <x:c r="M30" s="30" t="n">
        <x:f>IF(AND('Counter_PnL'!Q30&gt;0,'Counter_PnL'!AK30&gt;0,'Counter_PnL'!R30&lt;=0,'Counter_PnL'!T30&lt;=0,'Counter_PnL'!AT30&lt;=0,'Counter_PnL'!BE30&lt;=0,'Counter_PnL'!BJ30&lt;=0,'Counter_PnL'!BK30&lt;=0,'Counter_PnL'!BN30&lt;=0),0,1)</x:f>
        <x:v>0</x:v>
      </x:c>
    </x:row>
    <x:row r="31">
      <x:c r="A31" t="str">
        <x:f>'Counter_PnL'!D31</x:f>
        <x:v>CNCT0008</x:v>
      </x:c>
      <x:c r="B31" t="str">
        <x:f>'Counter_PnL'!C31</x:f>
        <x:v>2025 S2</x:v>
      </x:c>
      <x:c r="C31" s="30" t="n">
        <x:f>COUNTIFS('Counter_PnL'!$D$2:$D$641,A31,'Counter_PnL'!$C$2:$C$641,B31)</x:f>
        <x:v>1</x:v>
      </x:c>
      <x:c r="D31" s="79" t="n">
        <x:f>ABS('Counter_PnL'!AC31-SUM('Counter_PnL'!V31:'Counter_PnL'!AB31))</x:f>
        <x:v>0</x:v>
      </x:c>
      <x:c r="E31" s="79" t="n">
        <x:f>ABS('Counter_PnL'!AI31-SUM('Counter_PnL'!R31,'Counter_PnL'!T31,'Counter_PnL'!AC31,'Counter_PnL'!AE31,'Counter_PnL'!AG31,'Counter_PnL'!AH31))</x:f>
        <x:v>0</x:v>
      </x:c>
      <x:c r="F31" s="79" t="n">
        <x:f>ABS('Counter_PnL'!AK31-('Counter_PnL'!Q31+'Counter_PnL'!AI31))</x:f>
        <x:v>0</x:v>
      </x:c>
      <x:c r="G31" s="79" t="n">
        <x:f>ABS('Counter_PnL'!AT31-SUM('Counter_PnL'!AO31:'Counter_PnL'!AS31))</x:f>
        <x:v>0</x:v>
      </x:c>
      <x:c r="H31" s="79" t="n">
        <x:f>ABS('Counter_PnL'!AV31-('Counter_PnL'!AK31+'Counter_PnL'!AT31))</x:f>
        <x:v>0</x:v>
      </x:c>
      <x:c r="I31" s="79" t="n">
        <x:f>ABS('Counter_PnL'!BE31-SUM('Counter_PnL'!AX31:'Counter_PnL'!BB31,'Counter_PnL'!BD31))</x:f>
        <x:v>0</x:v>
      </x:c>
      <x:c r="J31" s="79" t="n">
        <x:f>ABS('Counter_PnL'!BL31-SUM('Counter_PnL'!AV31,'Counter_PnL'!BE31,'Counter_PnL'!BJ31,'Counter_PnL'!BK31))</x:f>
        <x:v>0</x:v>
      </x:c>
      <x:c r="K31" s="79" t="n">
        <x:f>ABS('Counter_PnL'!BO31-('Counter_PnL'!BL31+'Counter_PnL'!BN31))</x:f>
        <x:v>0</x:v>
      </x:c>
      <x:c r="L31" s="79" t="n">
        <x:f>MAX(ABS('Counter_PnL'!AW31-'Counter_PnL'!AV31/'Counter_PnL'!AK31),ABS('Counter_PnL'!BM31-'Counter_PnL'!BL31/'Counter_PnL'!AK31),ABS('Counter_PnL'!BP31-'Counter_PnL'!BO31/'Counter_PnL'!AK31))</x:f>
        <x:v>0</x:v>
      </x:c>
      <x:c r="M31" s="30" t="n">
        <x:f>IF(AND('Counter_PnL'!Q31&gt;0,'Counter_PnL'!AK31&gt;0,'Counter_PnL'!R31&lt;=0,'Counter_PnL'!T31&lt;=0,'Counter_PnL'!AT31&lt;=0,'Counter_PnL'!BE31&lt;=0,'Counter_PnL'!BJ31&lt;=0,'Counter_PnL'!BK31&lt;=0,'Counter_PnL'!BN31&lt;=0),0,1)</x:f>
        <x:v>0</x:v>
      </x:c>
    </x:row>
    <x:row r="32">
      <x:c r="A32" t="str">
        <x:f>'Counter_PnL'!D32</x:f>
        <x:v>CNCT0008</x:v>
      </x:c>
      <x:c r="B32" t="str">
        <x:f>'Counter_PnL'!C32</x:f>
        <x:v>2026 S1</x:v>
      </x:c>
      <x:c r="C32" s="30" t="n">
        <x:f>COUNTIFS('Counter_PnL'!$D$2:$D$641,A32,'Counter_PnL'!$C$2:$C$641,B32)</x:f>
        <x:v>1</x:v>
      </x:c>
      <x:c r="D32" s="79" t="n">
        <x:f>ABS('Counter_PnL'!AC32-SUM('Counter_PnL'!V32:'Counter_PnL'!AB32))</x:f>
        <x:v>0</x:v>
      </x:c>
      <x:c r="E32" s="79" t="n">
        <x:f>ABS('Counter_PnL'!AI32-SUM('Counter_PnL'!R32,'Counter_PnL'!T32,'Counter_PnL'!AC32,'Counter_PnL'!AE32,'Counter_PnL'!AG32,'Counter_PnL'!AH32))</x:f>
        <x:v>0</x:v>
      </x:c>
      <x:c r="F32" s="79" t="n">
        <x:f>ABS('Counter_PnL'!AK32-('Counter_PnL'!Q32+'Counter_PnL'!AI32))</x:f>
        <x:v>0</x:v>
      </x:c>
      <x:c r="G32" s="79" t="n">
        <x:f>ABS('Counter_PnL'!AT32-SUM('Counter_PnL'!AO32:'Counter_PnL'!AS32))</x:f>
        <x:v>0</x:v>
      </x:c>
      <x:c r="H32" s="79" t="n">
        <x:f>ABS('Counter_PnL'!AV32-('Counter_PnL'!AK32+'Counter_PnL'!AT32))</x:f>
        <x:v>0</x:v>
      </x:c>
      <x:c r="I32" s="79" t="n">
        <x:f>ABS('Counter_PnL'!BE32-SUM('Counter_PnL'!AX32:'Counter_PnL'!BB32,'Counter_PnL'!BD32))</x:f>
        <x:v>0</x:v>
      </x:c>
      <x:c r="J32" s="79" t="n">
        <x:f>ABS('Counter_PnL'!BL32-SUM('Counter_PnL'!AV32,'Counter_PnL'!BE32,'Counter_PnL'!BJ32,'Counter_PnL'!BK32))</x:f>
        <x:v>0</x:v>
      </x:c>
      <x:c r="K32" s="79" t="n">
        <x:f>ABS('Counter_PnL'!BO32-('Counter_PnL'!BL32+'Counter_PnL'!BN32))</x:f>
        <x:v>0</x:v>
      </x:c>
      <x:c r="L32" s="79" t="n">
        <x:f>MAX(ABS('Counter_PnL'!AW32-'Counter_PnL'!AV32/'Counter_PnL'!AK32),ABS('Counter_PnL'!BM32-'Counter_PnL'!BL32/'Counter_PnL'!AK32),ABS('Counter_PnL'!BP32-'Counter_PnL'!BO32/'Counter_PnL'!AK32))</x:f>
        <x:v>0</x:v>
      </x:c>
      <x:c r="M32" s="30" t="n">
        <x:f>IF(AND('Counter_PnL'!Q32&gt;0,'Counter_PnL'!AK32&gt;0,'Counter_PnL'!R32&lt;=0,'Counter_PnL'!T32&lt;=0,'Counter_PnL'!AT32&lt;=0,'Counter_PnL'!BE32&lt;=0,'Counter_PnL'!BJ32&lt;=0,'Counter_PnL'!BK32&lt;=0,'Counter_PnL'!BN32&lt;=0),0,1)</x:f>
        <x:v>0</x:v>
      </x:c>
    </x:row>
    <x:row r="33">
      <x:c r="A33" t="str">
        <x:f>'Counter_PnL'!D33</x:f>
        <x:v>CNCT0008</x:v>
      </x:c>
      <x:c r="B33" t="str">
        <x:f>'Counter_PnL'!C33</x:f>
        <x:v>2026 S2</x:v>
      </x:c>
      <x:c r="C33" s="30" t="n">
        <x:f>COUNTIFS('Counter_PnL'!$D$2:$D$641,A33,'Counter_PnL'!$C$2:$C$641,B33)</x:f>
        <x:v>1</x:v>
      </x:c>
      <x:c r="D33" s="79" t="n">
        <x:f>ABS('Counter_PnL'!AC33-SUM('Counter_PnL'!V33:'Counter_PnL'!AB33))</x:f>
        <x:v>0</x:v>
      </x:c>
      <x:c r="E33" s="79" t="n">
        <x:f>ABS('Counter_PnL'!AI33-SUM('Counter_PnL'!R33,'Counter_PnL'!T33,'Counter_PnL'!AC33,'Counter_PnL'!AE33,'Counter_PnL'!AG33,'Counter_PnL'!AH33))</x:f>
        <x:v>0</x:v>
      </x:c>
      <x:c r="F33" s="79" t="n">
        <x:f>ABS('Counter_PnL'!AK33-('Counter_PnL'!Q33+'Counter_PnL'!AI33))</x:f>
        <x:v>0</x:v>
      </x:c>
      <x:c r="G33" s="79" t="n">
        <x:f>ABS('Counter_PnL'!AT33-SUM('Counter_PnL'!AO33:'Counter_PnL'!AS33))</x:f>
        <x:v>0</x:v>
      </x:c>
      <x:c r="H33" s="79" t="n">
        <x:f>ABS('Counter_PnL'!AV33-('Counter_PnL'!AK33+'Counter_PnL'!AT33))</x:f>
        <x:v>0</x:v>
      </x:c>
      <x:c r="I33" s="79" t="n">
        <x:f>ABS('Counter_PnL'!BE33-SUM('Counter_PnL'!AX33:'Counter_PnL'!BB33,'Counter_PnL'!BD33))</x:f>
        <x:v>0</x:v>
      </x:c>
      <x:c r="J33" s="79" t="n">
        <x:f>ABS('Counter_PnL'!BL33-SUM('Counter_PnL'!AV33,'Counter_PnL'!BE33,'Counter_PnL'!BJ33,'Counter_PnL'!BK33))</x:f>
        <x:v>0</x:v>
      </x:c>
      <x:c r="K33" s="79" t="n">
        <x:f>ABS('Counter_PnL'!BO33-('Counter_PnL'!BL33+'Counter_PnL'!BN33))</x:f>
        <x:v>0</x:v>
      </x:c>
      <x:c r="L33" s="79" t="n">
        <x:f>MAX(ABS('Counter_PnL'!AW33-'Counter_PnL'!AV33/'Counter_PnL'!AK33),ABS('Counter_PnL'!BM33-'Counter_PnL'!BL33/'Counter_PnL'!AK33),ABS('Counter_PnL'!BP33-'Counter_PnL'!BO33/'Counter_PnL'!AK33))</x:f>
        <x:v>0</x:v>
      </x:c>
      <x:c r="M33" s="30" t="n">
        <x:f>IF(AND('Counter_PnL'!Q33&gt;0,'Counter_PnL'!AK33&gt;0,'Counter_PnL'!R33&lt;=0,'Counter_PnL'!T33&lt;=0,'Counter_PnL'!AT33&lt;=0,'Counter_PnL'!BE33&lt;=0,'Counter_PnL'!BJ33&lt;=0,'Counter_PnL'!BK33&lt;=0,'Counter_PnL'!BN33&lt;=0),0,1)</x:f>
        <x:v>0</x:v>
      </x:c>
    </x:row>
    <x:row r="34">
      <x:c r="A34" t="str">
        <x:f>'Counter_PnL'!D34</x:f>
        <x:v>CNCT0009</x:v>
      </x:c>
      <x:c r="B34" t="str">
        <x:f>'Counter_PnL'!C34</x:f>
        <x:v>2025 S1</x:v>
      </x:c>
      <x:c r="C34" s="30" t="n">
        <x:f>COUNTIFS('Counter_PnL'!$D$2:$D$641,A34,'Counter_PnL'!$C$2:$C$641,B34)</x:f>
        <x:v>1</x:v>
      </x:c>
      <x:c r="D34" s="79" t="n">
        <x:f>ABS('Counter_PnL'!AC34-SUM('Counter_PnL'!V34:'Counter_PnL'!AB34))</x:f>
        <x:v>0</x:v>
      </x:c>
      <x:c r="E34" s="79" t="n">
        <x:f>ABS('Counter_PnL'!AI34-SUM('Counter_PnL'!R34,'Counter_PnL'!T34,'Counter_PnL'!AC34,'Counter_PnL'!AE34,'Counter_PnL'!AG34,'Counter_PnL'!AH34))</x:f>
        <x:v>0</x:v>
      </x:c>
      <x:c r="F34" s="79" t="n">
        <x:f>ABS('Counter_PnL'!AK34-('Counter_PnL'!Q34+'Counter_PnL'!AI34))</x:f>
        <x:v>0</x:v>
      </x:c>
      <x:c r="G34" s="79" t="n">
        <x:f>ABS('Counter_PnL'!AT34-SUM('Counter_PnL'!AO34:'Counter_PnL'!AS34))</x:f>
        <x:v>0</x:v>
      </x:c>
      <x:c r="H34" s="79" t="n">
        <x:f>ABS('Counter_PnL'!AV34-('Counter_PnL'!AK34+'Counter_PnL'!AT34))</x:f>
        <x:v>0</x:v>
      </x:c>
      <x:c r="I34" s="79" t="n">
        <x:f>ABS('Counter_PnL'!BE34-SUM('Counter_PnL'!AX34:'Counter_PnL'!BB34,'Counter_PnL'!BD34))</x:f>
        <x:v>0</x:v>
      </x:c>
      <x:c r="J34" s="79" t="n">
        <x:f>ABS('Counter_PnL'!BL34-SUM('Counter_PnL'!AV34,'Counter_PnL'!BE34,'Counter_PnL'!BJ34,'Counter_PnL'!BK34))</x:f>
        <x:v>0</x:v>
      </x:c>
      <x:c r="K34" s="79" t="n">
        <x:f>ABS('Counter_PnL'!BO34-('Counter_PnL'!BL34+'Counter_PnL'!BN34))</x:f>
        <x:v>0</x:v>
      </x:c>
      <x:c r="L34" s="79" t="n">
        <x:f>MAX(ABS('Counter_PnL'!AW34-'Counter_PnL'!AV34/'Counter_PnL'!AK34),ABS('Counter_PnL'!BM34-'Counter_PnL'!BL34/'Counter_PnL'!AK34),ABS('Counter_PnL'!BP34-'Counter_PnL'!BO34/'Counter_PnL'!AK34))</x:f>
        <x:v>0</x:v>
      </x:c>
      <x:c r="M34" s="30" t="n">
        <x:f>IF(AND('Counter_PnL'!Q34&gt;0,'Counter_PnL'!AK34&gt;0,'Counter_PnL'!R34&lt;=0,'Counter_PnL'!T34&lt;=0,'Counter_PnL'!AT34&lt;=0,'Counter_PnL'!BE34&lt;=0,'Counter_PnL'!BJ34&lt;=0,'Counter_PnL'!BK34&lt;=0,'Counter_PnL'!BN34&lt;=0),0,1)</x:f>
        <x:v>0</x:v>
      </x:c>
    </x:row>
    <x:row r="35">
      <x:c r="A35" t="str">
        <x:f>'Counter_PnL'!D35</x:f>
        <x:v>CNCT0009</x:v>
      </x:c>
      <x:c r="B35" t="str">
        <x:f>'Counter_PnL'!C35</x:f>
        <x:v>2025 S2</x:v>
      </x:c>
      <x:c r="C35" s="30" t="n">
        <x:f>COUNTIFS('Counter_PnL'!$D$2:$D$641,A35,'Counter_PnL'!$C$2:$C$641,B35)</x:f>
        <x:v>1</x:v>
      </x:c>
      <x:c r="D35" s="79" t="n">
        <x:f>ABS('Counter_PnL'!AC35-SUM('Counter_PnL'!V35:'Counter_PnL'!AB35))</x:f>
        <x:v>0</x:v>
      </x:c>
      <x:c r="E35" s="79" t="n">
        <x:f>ABS('Counter_PnL'!AI35-SUM('Counter_PnL'!R35,'Counter_PnL'!T35,'Counter_PnL'!AC35,'Counter_PnL'!AE35,'Counter_PnL'!AG35,'Counter_PnL'!AH35))</x:f>
        <x:v>0</x:v>
      </x:c>
      <x:c r="F35" s="79" t="n">
        <x:f>ABS('Counter_PnL'!AK35-('Counter_PnL'!Q35+'Counter_PnL'!AI35))</x:f>
        <x:v>0</x:v>
      </x:c>
      <x:c r="G35" s="79" t="n">
        <x:f>ABS('Counter_PnL'!AT35-SUM('Counter_PnL'!AO35:'Counter_PnL'!AS35))</x:f>
        <x:v>0</x:v>
      </x:c>
      <x:c r="H35" s="79" t="n">
        <x:f>ABS('Counter_PnL'!AV35-('Counter_PnL'!AK35+'Counter_PnL'!AT35))</x:f>
        <x:v>0</x:v>
      </x:c>
      <x:c r="I35" s="79" t="n">
        <x:f>ABS('Counter_PnL'!BE35-SUM('Counter_PnL'!AX35:'Counter_PnL'!BB35,'Counter_PnL'!BD35))</x:f>
        <x:v>0</x:v>
      </x:c>
      <x:c r="J35" s="79" t="n">
        <x:f>ABS('Counter_PnL'!BL35-SUM('Counter_PnL'!AV35,'Counter_PnL'!BE35,'Counter_PnL'!BJ35,'Counter_PnL'!BK35))</x:f>
        <x:v>0</x:v>
      </x:c>
      <x:c r="K35" s="79" t="n">
        <x:f>ABS('Counter_PnL'!BO35-('Counter_PnL'!BL35+'Counter_PnL'!BN35))</x:f>
        <x:v>0</x:v>
      </x:c>
      <x:c r="L35" s="79" t="n">
        <x:f>MAX(ABS('Counter_PnL'!AW35-'Counter_PnL'!AV35/'Counter_PnL'!AK35),ABS('Counter_PnL'!BM35-'Counter_PnL'!BL35/'Counter_PnL'!AK35),ABS('Counter_PnL'!BP35-'Counter_PnL'!BO35/'Counter_PnL'!AK35))</x:f>
        <x:v>0</x:v>
      </x:c>
      <x:c r="M35" s="30" t="n">
        <x:f>IF(AND('Counter_PnL'!Q35&gt;0,'Counter_PnL'!AK35&gt;0,'Counter_PnL'!R35&lt;=0,'Counter_PnL'!T35&lt;=0,'Counter_PnL'!AT35&lt;=0,'Counter_PnL'!BE35&lt;=0,'Counter_PnL'!BJ35&lt;=0,'Counter_PnL'!BK35&lt;=0,'Counter_PnL'!BN35&lt;=0),0,1)</x:f>
        <x:v>0</x:v>
      </x:c>
    </x:row>
    <x:row r="36">
      <x:c r="A36" t="str">
        <x:f>'Counter_PnL'!D36</x:f>
        <x:v>CNCT0009</x:v>
      </x:c>
      <x:c r="B36" t="str">
        <x:f>'Counter_PnL'!C36</x:f>
        <x:v>2026 S1</x:v>
      </x:c>
      <x:c r="C36" s="30" t="n">
        <x:f>COUNTIFS('Counter_PnL'!$D$2:$D$641,A36,'Counter_PnL'!$C$2:$C$641,B36)</x:f>
        <x:v>1</x:v>
      </x:c>
      <x:c r="D36" s="79" t="n">
        <x:f>ABS('Counter_PnL'!AC36-SUM('Counter_PnL'!V36:'Counter_PnL'!AB36))</x:f>
        <x:v>0</x:v>
      </x:c>
      <x:c r="E36" s="79" t="n">
        <x:f>ABS('Counter_PnL'!AI36-SUM('Counter_PnL'!R36,'Counter_PnL'!T36,'Counter_PnL'!AC36,'Counter_PnL'!AE36,'Counter_PnL'!AG36,'Counter_PnL'!AH36))</x:f>
        <x:v>0</x:v>
      </x:c>
      <x:c r="F36" s="79" t="n">
        <x:f>ABS('Counter_PnL'!AK36-('Counter_PnL'!Q36+'Counter_PnL'!AI36))</x:f>
        <x:v>0</x:v>
      </x:c>
      <x:c r="G36" s="79" t="n">
        <x:f>ABS('Counter_PnL'!AT36-SUM('Counter_PnL'!AO36:'Counter_PnL'!AS36))</x:f>
        <x:v>0</x:v>
      </x:c>
      <x:c r="H36" s="79" t="n">
        <x:f>ABS('Counter_PnL'!AV36-('Counter_PnL'!AK36+'Counter_PnL'!AT36))</x:f>
        <x:v>0</x:v>
      </x:c>
      <x:c r="I36" s="79" t="n">
        <x:f>ABS('Counter_PnL'!BE36-SUM('Counter_PnL'!AX36:'Counter_PnL'!BB36,'Counter_PnL'!BD36))</x:f>
        <x:v>0</x:v>
      </x:c>
      <x:c r="J36" s="79" t="n">
        <x:f>ABS('Counter_PnL'!BL36-SUM('Counter_PnL'!AV36,'Counter_PnL'!BE36,'Counter_PnL'!BJ36,'Counter_PnL'!BK36))</x:f>
        <x:v>0</x:v>
      </x:c>
      <x:c r="K36" s="79" t="n">
        <x:f>ABS('Counter_PnL'!BO36-('Counter_PnL'!BL36+'Counter_PnL'!BN36))</x:f>
        <x:v>0</x:v>
      </x:c>
      <x:c r="L36" s="79" t="n">
        <x:f>MAX(ABS('Counter_PnL'!AW36-'Counter_PnL'!AV36/'Counter_PnL'!AK36),ABS('Counter_PnL'!BM36-'Counter_PnL'!BL36/'Counter_PnL'!AK36),ABS('Counter_PnL'!BP36-'Counter_PnL'!BO36/'Counter_PnL'!AK36))</x:f>
        <x:v>0</x:v>
      </x:c>
      <x:c r="M36" s="30" t="n">
        <x:f>IF(AND('Counter_PnL'!Q36&gt;0,'Counter_PnL'!AK36&gt;0,'Counter_PnL'!R36&lt;=0,'Counter_PnL'!T36&lt;=0,'Counter_PnL'!AT36&lt;=0,'Counter_PnL'!BE36&lt;=0,'Counter_PnL'!BJ36&lt;=0,'Counter_PnL'!BK36&lt;=0,'Counter_PnL'!BN36&lt;=0),0,1)</x:f>
        <x:v>0</x:v>
      </x:c>
    </x:row>
    <x:row r="37">
      <x:c r="A37" t="str">
        <x:f>'Counter_PnL'!D37</x:f>
        <x:v>CNCT0009</x:v>
      </x:c>
      <x:c r="B37" t="str">
        <x:f>'Counter_PnL'!C37</x:f>
        <x:v>2026 S2</x:v>
      </x:c>
      <x:c r="C37" s="30" t="n">
        <x:f>COUNTIFS('Counter_PnL'!$D$2:$D$641,A37,'Counter_PnL'!$C$2:$C$641,B37)</x:f>
        <x:v>1</x:v>
      </x:c>
      <x:c r="D37" s="79" t="n">
        <x:f>ABS('Counter_PnL'!AC37-SUM('Counter_PnL'!V37:'Counter_PnL'!AB37))</x:f>
        <x:v>0</x:v>
      </x:c>
      <x:c r="E37" s="79" t="n">
        <x:f>ABS('Counter_PnL'!AI37-SUM('Counter_PnL'!R37,'Counter_PnL'!T37,'Counter_PnL'!AC37,'Counter_PnL'!AE37,'Counter_PnL'!AG37,'Counter_PnL'!AH37))</x:f>
        <x:v>0</x:v>
      </x:c>
      <x:c r="F37" s="79" t="n">
        <x:f>ABS('Counter_PnL'!AK37-('Counter_PnL'!Q37+'Counter_PnL'!AI37))</x:f>
        <x:v>0</x:v>
      </x:c>
      <x:c r="G37" s="79" t="n">
        <x:f>ABS('Counter_PnL'!AT37-SUM('Counter_PnL'!AO37:'Counter_PnL'!AS37))</x:f>
        <x:v>0</x:v>
      </x:c>
      <x:c r="H37" s="79" t="n">
        <x:f>ABS('Counter_PnL'!AV37-('Counter_PnL'!AK37+'Counter_PnL'!AT37))</x:f>
        <x:v>0</x:v>
      </x:c>
      <x:c r="I37" s="79" t="n">
        <x:f>ABS('Counter_PnL'!BE37-SUM('Counter_PnL'!AX37:'Counter_PnL'!BB37,'Counter_PnL'!BD37))</x:f>
        <x:v>0</x:v>
      </x:c>
      <x:c r="J37" s="79" t="n">
        <x:f>ABS('Counter_PnL'!BL37-SUM('Counter_PnL'!AV37,'Counter_PnL'!BE37,'Counter_PnL'!BJ37,'Counter_PnL'!BK37))</x:f>
        <x:v>0</x:v>
      </x:c>
      <x:c r="K37" s="79" t="n">
        <x:f>ABS('Counter_PnL'!BO37-('Counter_PnL'!BL37+'Counter_PnL'!BN37))</x:f>
        <x:v>0</x:v>
      </x:c>
      <x:c r="L37" s="79" t="n">
        <x:f>MAX(ABS('Counter_PnL'!AW37-'Counter_PnL'!AV37/'Counter_PnL'!AK37),ABS('Counter_PnL'!BM37-'Counter_PnL'!BL37/'Counter_PnL'!AK37),ABS('Counter_PnL'!BP37-'Counter_PnL'!BO37/'Counter_PnL'!AK37))</x:f>
        <x:v>0</x:v>
      </x:c>
      <x:c r="M37" s="30" t="n">
        <x:f>IF(AND('Counter_PnL'!Q37&gt;0,'Counter_PnL'!AK37&gt;0,'Counter_PnL'!R37&lt;=0,'Counter_PnL'!T37&lt;=0,'Counter_PnL'!AT37&lt;=0,'Counter_PnL'!BE37&lt;=0,'Counter_PnL'!BJ37&lt;=0,'Counter_PnL'!BK37&lt;=0,'Counter_PnL'!BN37&lt;=0),0,1)</x:f>
        <x:v>0</x:v>
      </x:c>
    </x:row>
    <x:row r="38">
      <x:c r="A38" t="str">
        <x:f>'Counter_PnL'!D38</x:f>
        <x:v>CNCT0010</x:v>
      </x:c>
      <x:c r="B38" t="str">
        <x:f>'Counter_PnL'!C38</x:f>
        <x:v>2025 S1</x:v>
      </x:c>
      <x:c r="C38" s="30" t="n">
        <x:f>COUNTIFS('Counter_PnL'!$D$2:$D$641,A38,'Counter_PnL'!$C$2:$C$641,B38)</x:f>
        <x:v>1</x:v>
      </x:c>
      <x:c r="D38" s="79" t="n">
        <x:f>ABS('Counter_PnL'!AC38-SUM('Counter_PnL'!V38:'Counter_PnL'!AB38))</x:f>
        <x:v>0</x:v>
      </x:c>
      <x:c r="E38" s="79" t="n">
        <x:f>ABS('Counter_PnL'!AI38-SUM('Counter_PnL'!R38,'Counter_PnL'!T38,'Counter_PnL'!AC38,'Counter_PnL'!AE38,'Counter_PnL'!AG38,'Counter_PnL'!AH38))</x:f>
        <x:v>0</x:v>
      </x:c>
      <x:c r="F38" s="79" t="n">
        <x:f>ABS('Counter_PnL'!AK38-('Counter_PnL'!Q38+'Counter_PnL'!AI38))</x:f>
        <x:v>0</x:v>
      </x:c>
      <x:c r="G38" s="79" t="n">
        <x:f>ABS('Counter_PnL'!AT38-SUM('Counter_PnL'!AO38:'Counter_PnL'!AS38))</x:f>
        <x:v>0</x:v>
      </x:c>
      <x:c r="H38" s="79" t="n">
        <x:f>ABS('Counter_PnL'!AV38-('Counter_PnL'!AK38+'Counter_PnL'!AT38))</x:f>
        <x:v>0</x:v>
      </x:c>
      <x:c r="I38" s="79" t="n">
        <x:f>ABS('Counter_PnL'!BE38-SUM('Counter_PnL'!AX38:'Counter_PnL'!BB38,'Counter_PnL'!BD38))</x:f>
        <x:v>0</x:v>
      </x:c>
      <x:c r="J38" s="79" t="n">
        <x:f>ABS('Counter_PnL'!BL38-SUM('Counter_PnL'!AV38,'Counter_PnL'!BE38,'Counter_PnL'!BJ38,'Counter_PnL'!BK38))</x:f>
        <x:v>0</x:v>
      </x:c>
      <x:c r="K38" s="79" t="n">
        <x:f>ABS('Counter_PnL'!BO38-('Counter_PnL'!BL38+'Counter_PnL'!BN38))</x:f>
        <x:v>0</x:v>
      </x:c>
      <x:c r="L38" s="79" t="n">
        <x:f>MAX(ABS('Counter_PnL'!AW38-'Counter_PnL'!AV38/'Counter_PnL'!AK38),ABS('Counter_PnL'!BM38-'Counter_PnL'!BL38/'Counter_PnL'!AK38),ABS('Counter_PnL'!BP38-'Counter_PnL'!BO38/'Counter_PnL'!AK38))</x:f>
        <x:v>0</x:v>
      </x:c>
      <x:c r="M38" s="30" t="n">
        <x:f>IF(AND('Counter_PnL'!Q38&gt;0,'Counter_PnL'!AK38&gt;0,'Counter_PnL'!R38&lt;=0,'Counter_PnL'!T38&lt;=0,'Counter_PnL'!AT38&lt;=0,'Counter_PnL'!BE38&lt;=0,'Counter_PnL'!BJ38&lt;=0,'Counter_PnL'!BK38&lt;=0,'Counter_PnL'!BN38&lt;=0),0,1)</x:f>
        <x:v>0</x:v>
      </x:c>
    </x:row>
    <x:row r="39">
      <x:c r="A39" t="str">
        <x:f>'Counter_PnL'!D39</x:f>
        <x:v>CNCT0010</x:v>
      </x:c>
      <x:c r="B39" t="str">
        <x:f>'Counter_PnL'!C39</x:f>
        <x:v>2025 S2</x:v>
      </x:c>
      <x:c r="C39" s="30" t="n">
        <x:f>COUNTIFS('Counter_PnL'!$D$2:$D$641,A39,'Counter_PnL'!$C$2:$C$641,B39)</x:f>
        <x:v>1</x:v>
      </x:c>
      <x:c r="D39" s="79" t="n">
        <x:f>ABS('Counter_PnL'!AC39-SUM('Counter_PnL'!V39:'Counter_PnL'!AB39))</x:f>
        <x:v>0</x:v>
      </x:c>
      <x:c r="E39" s="79" t="n">
        <x:f>ABS('Counter_PnL'!AI39-SUM('Counter_PnL'!R39,'Counter_PnL'!T39,'Counter_PnL'!AC39,'Counter_PnL'!AE39,'Counter_PnL'!AG39,'Counter_PnL'!AH39))</x:f>
        <x:v>0</x:v>
      </x:c>
      <x:c r="F39" s="79" t="n">
        <x:f>ABS('Counter_PnL'!AK39-('Counter_PnL'!Q39+'Counter_PnL'!AI39))</x:f>
        <x:v>0</x:v>
      </x:c>
      <x:c r="G39" s="79" t="n">
        <x:f>ABS('Counter_PnL'!AT39-SUM('Counter_PnL'!AO39:'Counter_PnL'!AS39))</x:f>
        <x:v>0</x:v>
      </x:c>
      <x:c r="H39" s="79" t="n">
        <x:f>ABS('Counter_PnL'!AV39-('Counter_PnL'!AK39+'Counter_PnL'!AT39))</x:f>
        <x:v>0</x:v>
      </x:c>
      <x:c r="I39" s="79" t="n">
        <x:f>ABS('Counter_PnL'!BE39-SUM('Counter_PnL'!AX39:'Counter_PnL'!BB39,'Counter_PnL'!BD39))</x:f>
        <x:v>0</x:v>
      </x:c>
      <x:c r="J39" s="79" t="n">
        <x:f>ABS('Counter_PnL'!BL39-SUM('Counter_PnL'!AV39,'Counter_PnL'!BE39,'Counter_PnL'!BJ39,'Counter_PnL'!BK39))</x:f>
        <x:v>0</x:v>
      </x:c>
      <x:c r="K39" s="79" t="n">
        <x:f>ABS('Counter_PnL'!BO39-('Counter_PnL'!BL39+'Counter_PnL'!BN39))</x:f>
        <x:v>0</x:v>
      </x:c>
      <x:c r="L39" s="79" t="n">
        <x:f>MAX(ABS('Counter_PnL'!AW39-'Counter_PnL'!AV39/'Counter_PnL'!AK39),ABS('Counter_PnL'!BM39-'Counter_PnL'!BL39/'Counter_PnL'!AK39),ABS('Counter_PnL'!BP39-'Counter_PnL'!BO39/'Counter_PnL'!AK39))</x:f>
        <x:v>0</x:v>
      </x:c>
      <x:c r="M39" s="30" t="n">
        <x:f>IF(AND('Counter_PnL'!Q39&gt;0,'Counter_PnL'!AK39&gt;0,'Counter_PnL'!R39&lt;=0,'Counter_PnL'!T39&lt;=0,'Counter_PnL'!AT39&lt;=0,'Counter_PnL'!BE39&lt;=0,'Counter_PnL'!BJ39&lt;=0,'Counter_PnL'!BK39&lt;=0,'Counter_PnL'!BN39&lt;=0),0,1)</x:f>
        <x:v>0</x:v>
      </x:c>
    </x:row>
    <x:row r="40">
      <x:c r="A40" t="str">
        <x:f>'Counter_PnL'!D40</x:f>
        <x:v>CNCT0010</x:v>
      </x:c>
      <x:c r="B40" t="str">
        <x:f>'Counter_PnL'!C40</x:f>
        <x:v>2026 S1</x:v>
      </x:c>
      <x:c r="C40" s="30" t="n">
        <x:f>COUNTIFS('Counter_PnL'!$D$2:$D$641,A40,'Counter_PnL'!$C$2:$C$641,B40)</x:f>
        <x:v>1</x:v>
      </x:c>
      <x:c r="D40" s="79" t="n">
        <x:f>ABS('Counter_PnL'!AC40-SUM('Counter_PnL'!V40:'Counter_PnL'!AB40))</x:f>
        <x:v>0</x:v>
      </x:c>
      <x:c r="E40" s="79" t="n">
        <x:f>ABS('Counter_PnL'!AI40-SUM('Counter_PnL'!R40,'Counter_PnL'!T40,'Counter_PnL'!AC40,'Counter_PnL'!AE40,'Counter_PnL'!AG40,'Counter_PnL'!AH40))</x:f>
        <x:v>0</x:v>
      </x:c>
      <x:c r="F40" s="79" t="n">
        <x:f>ABS('Counter_PnL'!AK40-('Counter_PnL'!Q40+'Counter_PnL'!AI40))</x:f>
        <x:v>0</x:v>
      </x:c>
      <x:c r="G40" s="79" t="n">
        <x:f>ABS('Counter_PnL'!AT40-SUM('Counter_PnL'!AO40:'Counter_PnL'!AS40))</x:f>
        <x:v>0</x:v>
      </x:c>
      <x:c r="H40" s="79" t="n">
        <x:f>ABS('Counter_PnL'!AV40-('Counter_PnL'!AK40+'Counter_PnL'!AT40))</x:f>
        <x:v>0</x:v>
      </x:c>
      <x:c r="I40" s="79" t="n">
        <x:f>ABS('Counter_PnL'!BE40-SUM('Counter_PnL'!AX40:'Counter_PnL'!BB40,'Counter_PnL'!BD40))</x:f>
        <x:v>0</x:v>
      </x:c>
      <x:c r="J40" s="79" t="n">
        <x:f>ABS('Counter_PnL'!BL40-SUM('Counter_PnL'!AV40,'Counter_PnL'!BE40,'Counter_PnL'!BJ40,'Counter_PnL'!BK40))</x:f>
        <x:v>0</x:v>
      </x:c>
      <x:c r="K40" s="79" t="n">
        <x:f>ABS('Counter_PnL'!BO40-('Counter_PnL'!BL40+'Counter_PnL'!BN40))</x:f>
        <x:v>0</x:v>
      </x:c>
      <x:c r="L40" s="79" t="n">
        <x:f>MAX(ABS('Counter_PnL'!AW40-'Counter_PnL'!AV40/'Counter_PnL'!AK40),ABS('Counter_PnL'!BM40-'Counter_PnL'!BL40/'Counter_PnL'!AK40),ABS('Counter_PnL'!BP40-'Counter_PnL'!BO40/'Counter_PnL'!AK40))</x:f>
        <x:v>0</x:v>
      </x:c>
      <x:c r="M40" s="30" t="n">
        <x:f>IF(AND('Counter_PnL'!Q40&gt;0,'Counter_PnL'!AK40&gt;0,'Counter_PnL'!R40&lt;=0,'Counter_PnL'!T40&lt;=0,'Counter_PnL'!AT40&lt;=0,'Counter_PnL'!BE40&lt;=0,'Counter_PnL'!BJ40&lt;=0,'Counter_PnL'!BK40&lt;=0,'Counter_PnL'!BN40&lt;=0),0,1)</x:f>
        <x:v>0</x:v>
      </x:c>
    </x:row>
    <x:row r="41">
      <x:c r="A41" t="str">
        <x:f>'Counter_PnL'!D41</x:f>
        <x:v>CNCT0010</x:v>
      </x:c>
      <x:c r="B41" t="str">
        <x:f>'Counter_PnL'!C41</x:f>
        <x:v>2026 S2</x:v>
      </x:c>
      <x:c r="C41" s="30" t="n">
        <x:f>COUNTIFS('Counter_PnL'!$D$2:$D$641,A41,'Counter_PnL'!$C$2:$C$641,B41)</x:f>
        <x:v>1</x:v>
      </x:c>
      <x:c r="D41" s="79" t="n">
        <x:f>ABS('Counter_PnL'!AC41-SUM('Counter_PnL'!V41:'Counter_PnL'!AB41))</x:f>
        <x:v>0</x:v>
      </x:c>
      <x:c r="E41" s="79" t="n">
        <x:f>ABS('Counter_PnL'!AI41-SUM('Counter_PnL'!R41,'Counter_PnL'!T41,'Counter_PnL'!AC41,'Counter_PnL'!AE41,'Counter_PnL'!AG41,'Counter_PnL'!AH41))</x:f>
        <x:v>0</x:v>
      </x:c>
      <x:c r="F41" s="79" t="n">
        <x:f>ABS('Counter_PnL'!AK41-('Counter_PnL'!Q41+'Counter_PnL'!AI41))</x:f>
        <x:v>0</x:v>
      </x:c>
      <x:c r="G41" s="79" t="n">
        <x:f>ABS('Counter_PnL'!AT41-SUM('Counter_PnL'!AO41:'Counter_PnL'!AS41))</x:f>
        <x:v>0</x:v>
      </x:c>
      <x:c r="H41" s="79" t="n">
        <x:f>ABS('Counter_PnL'!AV41-('Counter_PnL'!AK41+'Counter_PnL'!AT41))</x:f>
        <x:v>0</x:v>
      </x:c>
      <x:c r="I41" s="79" t="n">
        <x:f>ABS('Counter_PnL'!BE41-SUM('Counter_PnL'!AX41:'Counter_PnL'!BB41,'Counter_PnL'!BD41))</x:f>
        <x:v>0</x:v>
      </x:c>
      <x:c r="J41" s="79" t="n">
        <x:f>ABS('Counter_PnL'!BL41-SUM('Counter_PnL'!AV41,'Counter_PnL'!BE41,'Counter_PnL'!BJ41,'Counter_PnL'!BK41))</x:f>
        <x:v>0</x:v>
      </x:c>
      <x:c r="K41" s="79" t="n">
        <x:f>ABS('Counter_PnL'!BO41-('Counter_PnL'!BL41+'Counter_PnL'!BN41))</x:f>
        <x:v>0</x:v>
      </x:c>
      <x:c r="L41" s="79" t="n">
        <x:f>MAX(ABS('Counter_PnL'!AW41-'Counter_PnL'!AV41/'Counter_PnL'!AK41),ABS('Counter_PnL'!BM41-'Counter_PnL'!BL41/'Counter_PnL'!AK41),ABS('Counter_PnL'!BP41-'Counter_PnL'!BO41/'Counter_PnL'!AK41))</x:f>
        <x:v>0</x:v>
      </x:c>
      <x:c r="M41" s="30" t="n">
        <x:f>IF(AND('Counter_PnL'!Q41&gt;0,'Counter_PnL'!AK41&gt;0,'Counter_PnL'!R41&lt;=0,'Counter_PnL'!T41&lt;=0,'Counter_PnL'!AT41&lt;=0,'Counter_PnL'!BE41&lt;=0,'Counter_PnL'!BJ41&lt;=0,'Counter_PnL'!BK41&lt;=0,'Counter_PnL'!BN41&lt;=0),0,1)</x:f>
        <x:v>0</x:v>
      </x:c>
    </x:row>
    <x:row r="42">
      <x:c r="A42" t="str">
        <x:f>'Counter_PnL'!D42</x:f>
        <x:v>CNCT0011</x:v>
      </x:c>
      <x:c r="B42" t="str">
        <x:f>'Counter_PnL'!C42</x:f>
        <x:v>2025 S1</x:v>
      </x:c>
      <x:c r="C42" s="30" t="n">
        <x:f>COUNTIFS('Counter_PnL'!$D$2:$D$641,A42,'Counter_PnL'!$C$2:$C$641,B42)</x:f>
        <x:v>1</x:v>
      </x:c>
      <x:c r="D42" s="79" t="n">
        <x:f>ABS('Counter_PnL'!AC42-SUM('Counter_PnL'!V42:'Counter_PnL'!AB42))</x:f>
        <x:v>0</x:v>
      </x:c>
      <x:c r="E42" s="79" t="n">
        <x:f>ABS('Counter_PnL'!AI42-SUM('Counter_PnL'!R42,'Counter_PnL'!T42,'Counter_PnL'!AC42,'Counter_PnL'!AE42,'Counter_PnL'!AG42,'Counter_PnL'!AH42))</x:f>
        <x:v>0</x:v>
      </x:c>
      <x:c r="F42" s="79" t="n">
        <x:f>ABS('Counter_PnL'!AK42-('Counter_PnL'!Q42+'Counter_PnL'!AI42))</x:f>
        <x:v>0</x:v>
      </x:c>
      <x:c r="G42" s="79" t="n">
        <x:f>ABS('Counter_PnL'!AT42-SUM('Counter_PnL'!AO42:'Counter_PnL'!AS42))</x:f>
        <x:v>0</x:v>
      </x:c>
      <x:c r="H42" s="79" t="n">
        <x:f>ABS('Counter_PnL'!AV42-('Counter_PnL'!AK42+'Counter_PnL'!AT42))</x:f>
        <x:v>0</x:v>
      </x:c>
      <x:c r="I42" s="79" t="n">
        <x:f>ABS('Counter_PnL'!BE42-SUM('Counter_PnL'!AX42:'Counter_PnL'!BB42,'Counter_PnL'!BD42))</x:f>
        <x:v>0</x:v>
      </x:c>
      <x:c r="J42" s="79" t="n">
        <x:f>ABS('Counter_PnL'!BL42-SUM('Counter_PnL'!AV42,'Counter_PnL'!BE42,'Counter_PnL'!BJ42,'Counter_PnL'!BK42))</x:f>
        <x:v>0</x:v>
      </x:c>
      <x:c r="K42" s="79" t="n">
        <x:f>ABS('Counter_PnL'!BO42-('Counter_PnL'!BL42+'Counter_PnL'!BN42))</x:f>
        <x:v>0</x:v>
      </x:c>
      <x:c r="L42" s="79" t="n">
        <x:f>MAX(ABS('Counter_PnL'!AW42-'Counter_PnL'!AV42/'Counter_PnL'!AK42),ABS('Counter_PnL'!BM42-'Counter_PnL'!BL42/'Counter_PnL'!AK42),ABS('Counter_PnL'!BP42-'Counter_PnL'!BO42/'Counter_PnL'!AK42))</x:f>
        <x:v>0</x:v>
      </x:c>
      <x:c r="M42" s="30" t="n">
        <x:f>IF(AND('Counter_PnL'!Q42&gt;0,'Counter_PnL'!AK42&gt;0,'Counter_PnL'!R42&lt;=0,'Counter_PnL'!T42&lt;=0,'Counter_PnL'!AT42&lt;=0,'Counter_PnL'!BE42&lt;=0,'Counter_PnL'!BJ42&lt;=0,'Counter_PnL'!BK42&lt;=0,'Counter_PnL'!BN42&lt;=0),0,1)</x:f>
        <x:v>0</x:v>
      </x:c>
    </x:row>
    <x:row r="43">
      <x:c r="A43" t="str">
        <x:f>'Counter_PnL'!D43</x:f>
        <x:v>CNCT0011</x:v>
      </x:c>
      <x:c r="B43" t="str">
        <x:f>'Counter_PnL'!C43</x:f>
        <x:v>2025 S2</x:v>
      </x:c>
      <x:c r="C43" s="30" t="n">
        <x:f>COUNTIFS('Counter_PnL'!$D$2:$D$641,A43,'Counter_PnL'!$C$2:$C$641,B43)</x:f>
        <x:v>1</x:v>
      </x:c>
      <x:c r="D43" s="79" t="n">
        <x:f>ABS('Counter_PnL'!AC43-SUM('Counter_PnL'!V43:'Counter_PnL'!AB43))</x:f>
        <x:v>0</x:v>
      </x:c>
      <x:c r="E43" s="79" t="n">
        <x:f>ABS('Counter_PnL'!AI43-SUM('Counter_PnL'!R43,'Counter_PnL'!T43,'Counter_PnL'!AC43,'Counter_PnL'!AE43,'Counter_PnL'!AG43,'Counter_PnL'!AH43))</x:f>
        <x:v>0</x:v>
      </x:c>
      <x:c r="F43" s="79" t="n">
        <x:f>ABS('Counter_PnL'!AK43-('Counter_PnL'!Q43+'Counter_PnL'!AI43))</x:f>
        <x:v>0</x:v>
      </x:c>
      <x:c r="G43" s="79" t="n">
        <x:f>ABS('Counter_PnL'!AT43-SUM('Counter_PnL'!AO43:'Counter_PnL'!AS43))</x:f>
        <x:v>0</x:v>
      </x:c>
      <x:c r="H43" s="79" t="n">
        <x:f>ABS('Counter_PnL'!AV43-('Counter_PnL'!AK43+'Counter_PnL'!AT43))</x:f>
        <x:v>0</x:v>
      </x:c>
      <x:c r="I43" s="79" t="n">
        <x:f>ABS('Counter_PnL'!BE43-SUM('Counter_PnL'!AX43:'Counter_PnL'!BB43,'Counter_PnL'!BD43))</x:f>
        <x:v>0</x:v>
      </x:c>
      <x:c r="J43" s="79" t="n">
        <x:f>ABS('Counter_PnL'!BL43-SUM('Counter_PnL'!AV43,'Counter_PnL'!BE43,'Counter_PnL'!BJ43,'Counter_PnL'!BK43))</x:f>
        <x:v>0</x:v>
      </x:c>
      <x:c r="K43" s="79" t="n">
        <x:f>ABS('Counter_PnL'!BO43-('Counter_PnL'!BL43+'Counter_PnL'!BN43))</x:f>
        <x:v>0</x:v>
      </x:c>
      <x:c r="L43" s="79" t="n">
        <x:f>MAX(ABS('Counter_PnL'!AW43-'Counter_PnL'!AV43/'Counter_PnL'!AK43),ABS('Counter_PnL'!BM43-'Counter_PnL'!BL43/'Counter_PnL'!AK43),ABS('Counter_PnL'!BP43-'Counter_PnL'!BO43/'Counter_PnL'!AK43))</x:f>
        <x:v>0</x:v>
      </x:c>
      <x:c r="M43" s="30" t="n">
        <x:f>IF(AND('Counter_PnL'!Q43&gt;0,'Counter_PnL'!AK43&gt;0,'Counter_PnL'!R43&lt;=0,'Counter_PnL'!T43&lt;=0,'Counter_PnL'!AT43&lt;=0,'Counter_PnL'!BE43&lt;=0,'Counter_PnL'!BJ43&lt;=0,'Counter_PnL'!BK43&lt;=0,'Counter_PnL'!BN43&lt;=0),0,1)</x:f>
        <x:v>0</x:v>
      </x:c>
    </x:row>
    <x:row r="44">
      <x:c r="A44" t="str">
        <x:f>'Counter_PnL'!D44</x:f>
        <x:v>CNCT0011</x:v>
      </x:c>
      <x:c r="B44" t="str">
        <x:f>'Counter_PnL'!C44</x:f>
        <x:v>2026 S1</x:v>
      </x:c>
      <x:c r="C44" s="30" t="n">
        <x:f>COUNTIFS('Counter_PnL'!$D$2:$D$641,A44,'Counter_PnL'!$C$2:$C$641,B44)</x:f>
        <x:v>1</x:v>
      </x:c>
      <x:c r="D44" s="79" t="n">
        <x:f>ABS('Counter_PnL'!AC44-SUM('Counter_PnL'!V44:'Counter_PnL'!AB44))</x:f>
        <x:v>0</x:v>
      </x:c>
      <x:c r="E44" s="79" t="n">
        <x:f>ABS('Counter_PnL'!AI44-SUM('Counter_PnL'!R44,'Counter_PnL'!T44,'Counter_PnL'!AC44,'Counter_PnL'!AE44,'Counter_PnL'!AG44,'Counter_PnL'!AH44))</x:f>
        <x:v>0</x:v>
      </x:c>
      <x:c r="F44" s="79" t="n">
        <x:f>ABS('Counter_PnL'!AK44-('Counter_PnL'!Q44+'Counter_PnL'!AI44))</x:f>
        <x:v>0</x:v>
      </x:c>
      <x:c r="G44" s="79" t="n">
        <x:f>ABS('Counter_PnL'!AT44-SUM('Counter_PnL'!AO44:'Counter_PnL'!AS44))</x:f>
        <x:v>0</x:v>
      </x:c>
      <x:c r="H44" s="79" t="n">
        <x:f>ABS('Counter_PnL'!AV44-('Counter_PnL'!AK44+'Counter_PnL'!AT44))</x:f>
        <x:v>0</x:v>
      </x:c>
      <x:c r="I44" s="79" t="n">
        <x:f>ABS('Counter_PnL'!BE44-SUM('Counter_PnL'!AX44:'Counter_PnL'!BB44,'Counter_PnL'!BD44))</x:f>
        <x:v>0</x:v>
      </x:c>
      <x:c r="J44" s="79" t="n">
        <x:f>ABS('Counter_PnL'!BL44-SUM('Counter_PnL'!AV44,'Counter_PnL'!BE44,'Counter_PnL'!BJ44,'Counter_PnL'!BK44))</x:f>
        <x:v>0</x:v>
      </x:c>
      <x:c r="K44" s="79" t="n">
        <x:f>ABS('Counter_PnL'!BO44-('Counter_PnL'!BL44+'Counter_PnL'!BN44))</x:f>
        <x:v>0</x:v>
      </x:c>
      <x:c r="L44" s="79" t="n">
        <x:f>MAX(ABS('Counter_PnL'!AW44-'Counter_PnL'!AV44/'Counter_PnL'!AK44),ABS('Counter_PnL'!BM44-'Counter_PnL'!BL44/'Counter_PnL'!AK44),ABS('Counter_PnL'!BP44-'Counter_PnL'!BO44/'Counter_PnL'!AK44))</x:f>
        <x:v>0</x:v>
      </x:c>
      <x:c r="M44" s="30" t="n">
        <x:f>IF(AND('Counter_PnL'!Q44&gt;0,'Counter_PnL'!AK44&gt;0,'Counter_PnL'!R44&lt;=0,'Counter_PnL'!T44&lt;=0,'Counter_PnL'!AT44&lt;=0,'Counter_PnL'!BE44&lt;=0,'Counter_PnL'!BJ44&lt;=0,'Counter_PnL'!BK44&lt;=0,'Counter_PnL'!BN44&lt;=0),0,1)</x:f>
        <x:v>0</x:v>
      </x:c>
    </x:row>
    <x:row r="45">
      <x:c r="A45" t="str">
        <x:f>'Counter_PnL'!D45</x:f>
        <x:v>CNCT0011</x:v>
      </x:c>
      <x:c r="B45" t="str">
        <x:f>'Counter_PnL'!C45</x:f>
        <x:v>2026 S2</x:v>
      </x:c>
      <x:c r="C45" s="30" t="n">
        <x:f>COUNTIFS('Counter_PnL'!$D$2:$D$641,A45,'Counter_PnL'!$C$2:$C$641,B45)</x:f>
        <x:v>1</x:v>
      </x:c>
      <x:c r="D45" s="79" t="n">
        <x:f>ABS('Counter_PnL'!AC45-SUM('Counter_PnL'!V45:'Counter_PnL'!AB45))</x:f>
        <x:v>0</x:v>
      </x:c>
      <x:c r="E45" s="79" t="n">
        <x:f>ABS('Counter_PnL'!AI45-SUM('Counter_PnL'!R45,'Counter_PnL'!T45,'Counter_PnL'!AC45,'Counter_PnL'!AE45,'Counter_PnL'!AG45,'Counter_PnL'!AH45))</x:f>
        <x:v>0</x:v>
      </x:c>
      <x:c r="F45" s="79" t="n">
        <x:f>ABS('Counter_PnL'!AK45-('Counter_PnL'!Q45+'Counter_PnL'!AI45))</x:f>
        <x:v>0</x:v>
      </x:c>
      <x:c r="G45" s="79" t="n">
        <x:f>ABS('Counter_PnL'!AT45-SUM('Counter_PnL'!AO45:'Counter_PnL'!AS45))</x:f>
        <x:v>0</x:v>
      </x:c>
      <x:c r="H45" s="79" t="n">
        <x:f>ABS('Counter_PnL'!AV45-('Counter_PnL'!AK45+'Counter_PnL'!AT45))</x:f>
        <x:v>0</x:v>
      </x:c>
      <x:c r="I45" s="79" t="n">
        <x:f>ABS('Counter_PnL'!BE45-SUM('Counter_PnL'!AX45:'Counter_PnL'!BB45,'Counter_PnL'!BD45))</x:f>
        <x:v>0</x:v>
      </x:c>
      <x:c r="J45" s="79" t="n">
        <x:f>ABS('Counter_PnL'!BL45-SUM('Counter_PnL'!AV45,'Counter_PnL'!BE45,'Counter_PnL'!BJ45,'Counter_PnL'!BK45))</x:f>
        <x:v>0</x:v>
      </x:c>
      <x:c r="K45" s="79" t="n">
        <x:f>ABS('Counter_PnL'!BO45-('Counter_PnL'!BL45+'Counter_PnL'!BN45))</x:f>
        <x:v>0</x:v>
      </x:c>
      <x:c r="L45" s="79" t="n">
        <x:f>MAX(ABS('Counter_PnL'!AW45-'Counter_PnL'!AV45/'Counter_PnL'!AK45),ABS('Counter_PnL'!BM45-'Counter_PnL'!BL45/'Counter_PnL'!AK45),ABS('Counter_PnL'!BP45-'Counter_PnL'!BO45/'Counter_PnL'!AK45))</x:f>
        <x:v>0</x:v>
      </x:c>
      <x:c r="M45" s="30" t="n">
        <x:f>IF(AND('Counter_PnL'!Q45&gt;0,'Counter_PnL'!AK45&gt;0,'Counter_PnL'!R45&lt;=0,'Counter_PnL'!T45&lt;=0,'Counter_PnL'!AT45&lt;=0,'Counter_PnL'!BE45&lt;=0,'Counter_PnL'!BJ45&lt;=0,'Counter_PnL'!BK45&lt;=0,'Counter_PnL'!BN45&lt;=0),0,1)</x:f>
        <x:v>0</x:v>
      </x:c>
    </x:row>
    <x:row r="46">
      <x:c r="A46" t="str">
        <x:f>'Counter_PnL'!D46</x:f>
        <x:v>CNCT0012</x:v>
      </x:c>
      <x:c r="B46" t="str">
        <x:f>'Counter_PnL'!C46</x:f>
        <x:v>2025 S1</x:v>
      </x:c>
      <x:c r="C46" s="30" t="n">
        <x:f>COUNTIFS('Counter_PnL'!$D$2:$D$641,A46,'Counter_PnL'!$C$2:$C$641,B46)</x:f>
        <x:v>1</x:v>
      </x:c>
      <x:c r="D46" s="79" t="n">
        <x:f>ABS('Counter_PnL'!AC46-SUM('Counter_PnL'!V46:'Counter_PnL'!AB46))</x:f>
        <x:v>0</x:v>
      </x:c>
      <x:c r="E46" s="79" t="n">
        <x:f>ABS('Counter_PnL'!AI46-SUM('Counter_PnL'!R46,'Counter_PnL'!T46,'Counter_PnL'!AC46,'Counter_PnL'!AE46,'Counter_PnL'!AG46,'Counter_PnL'!AH46))</x:f>
        <x:v>0</x:v>
      </x:c>
      <x:c r="F46" s="79" t="n">
        <x:f>ABS('Counter_PnL'!AK46-('Counter_PnL'!Q46+'Counter_PnL'!AI46))</x:f>
        <x:v>0</x:v>
      </x:c>
      <x:c r="G46" s="79" t="n">
        <x:f>ABS('Counter_PnL'!AT46-SUM('Counter_PnL'!AO46:'Counter_PnL'!AS46))</x:f>
        <x:v>0</x:v>
      </x:c>
      <x:c r="H46" s="79" t="n">
        <x:f>ABS('Counter_PnL'!AV46-('Counter_PnL'!AK46+'Counter_PnL'!AT46))</x:f>
        <x:v>0</x:v>
      </x:c>
      <x:c r="I46" s="79" t="n">
        <x:f>ABS('Counter_PnL'!BE46-SUM('Counter_PnL'!AX46:'Counter_PnL'!BB46,'Counter_PnL'!BD46))</x:f>
        <x:v>0</x:v>
      </x:c>
      <x:c r="J46" s="79" t="n">
        <x:f>ABS('Counter_PnL'!BL46-SUM('Counter_PnL'!AV46,'Counter_PnL'!BE46,'Counter_PnL'!BJ46,'Counter_PnL'!BK46))</x:f>
        <x:v>0</x:v>
      </x:c>
      <x:c r="K46" s="79" t="n">
        <x:f>ABS('Counter_PnL'!BO46-('Counter_PnL'!BL46+'Counter_PnL'!BN46))</x:f>
        <x:v>0</x:v>
      </x:c>
      <x:c r="L46" s="79" t="n">
        <x:f>MAX(ABS('Counter_PnL'!AW46-'Counter_PnL'!AV46/'Counter_PnL'!AK46),ABS('Counter_PnL'!BM46-'Counter_PnL'!BL46/'Counter_PnL'!AK46),ABS('Counter_PnL'!BP46-'Counter_PnL'!BO46/'Counter_PnL'!AK46))</x:f>
        <x:v>0</x:v>
      </x:c>
      <x:c r="M46" s="30" t="n">
        <x:f>IF(AND('Counter_PnL'!Q46&gt;0,'Counter_PnL'!AK46&gt;0,'Counter_PnL'!R46&lt;=0,'Counter_PnL'!T46&lt;=0,'Counter_PnL'!AT46&lt;=0,'Counter_PnL'!BE46&lt;=0,'Counter_PnL'!BJ46&lt;=0,'Counter_PnL'!BK46&lt;=0,'Counter_PnL'!BN46&lt;=0),0,1)</x:f>
        <x:v>0</x:v>
      </x:c>
    </x:row>
    <x:row r="47">
      <x:c r="A47" t="str">
        <x:f>'Counter_PnL'!D47</x:f>
        <x:v>CNCT0012</x:v>
      </x:c>
      <x:c r="B47" t="str">
        <x:f>'Counter_PnL'!C47</x:f>
        <x:v>2025 S2</x:v>
      </x:c>
      <x:c r="C47" s="30" t="n">
        <x:f>COUNTIFS('Counter_PnL'!$D$2:$D$641,A47,'Counter_PnL'!$C$2:$C$641,B47)</x:f>
        <x:v>1</x:v>
      </x:c>
      <x:c r="D47" s="79" t="n">
        <x:f>ABS('Counter_PnL'!AC47-SUM('Counter_PnL'!V47:'Counter_PnL'!AB47))</x:f>
        <x:v>0</x:v>
      </x:c>
      <x:c r="E47" s="79" t="n">
        <x:f>ABS('Counter_PnL'!AI47-SUM('Counter_PnL'!R47,'Counter_PnL'!T47,'Counter_PnL'!AC47,'Counter_PnL'!AE47,'Counter_PnL'!AG47,'Counter_PnL'!AH47))</x:f>
        <x:v>0</x:v>
      </x:c>
      <x:c r="F47" s="79" t="n">
        <x:f>ABS('Counter_PnL'!AK47-('Counter_PnL'!Q47+'Counter_PnL'!AI47))</x:f>
        <x:v>0</x:v>
      </x:c>
      <x:c r="G47" s="79" t="n">
        <x:f>ABS('Counter_PnL'!AT47-SUM('Counter_PnL'!AO47:'Counter_PnL'!AS47))</x:f>
        <x:v>0</x:v>
      </x:c>
      <x:c r="H47" s="79" t="n">
        <x:f>ABS('Counter_PnL'!AV47-('Counter_PnL'!AK47+'Counter_PnL'!AT47))</x:f>
        <x:v>0</x:v>
      </x:c>
      <x:c r="I47" s="79" t="n">
        <x:f>ABS('Counter_PnL'!BE47-SUM('Counter_PnL'!AX47:'Counter_PnL'!BB47,'Counter_PnL'!BD47))</x:f>
        <x:v>0</x:v>
      </x:c>
      <x:c r="J47" s="79" t="n">
        <x:f>ABS('Counter_PnL'!BL47-SUM('Counter_PnL'!AV47,'Counter_PnL'!BE47,'Counter_PnL'!BJ47,'Counter_PnL'!BK47))</x:f>
        <x:v>0</x:v>
      </x:c>
      <x:c r="K47" s="79" t="n">
        <x:f>ABS('Counter_PnL'!BO47-('Counter_PnL'!BL47+'Counter_PnL'!BN47))</x:f>
        <x:v>0</x:v>
      </x:c>
      <x:c r="L47" s="79" t="n">
        <x:f>MAX(ABS('Counter_PnL'!AW47-'Counter_PnL'!AV47/'Counter_PnL'!AK47),ABS('Counter_PnL'!BM47-'Counter_PnL'!BL47/'Counter_PnL'!AK47),ABS('Counter_PnL'!BP47-'Counter_PnL'!BO47/'Counter_PnL'!AK47))</x:f>
        <x:v>0</x:v>
      </x:c>
      <x:c r="M47" s="30" t="n">
        <x:f>IF(AND('Counter_PnL'!Q47&gt;0,'Counter_PnL'!AK47&gt;0,'Counter_PnL'!R47&lt;=0,'Counter_PnL'!T47&lt;=0,'Counter_PnL'!AT47&lt;=0,'Counter_PnL'!BE47&lt;=0,'Counter_PnL'!BJ47&lt;=0,'Counter_PnL'!BK47&lt;=0,'Counter_PnL'!BN47&lt;=0),0,1)</x:f>
        <x:v>0</x:v>
      </x:c>
    </x:row>
    <x:row r="48">
      <x:c r="A48" t="str">
        <x:f>'Counter_PnL'!D48</x:f>
        <x:v>CNCT0012</x:v>
      </x:c>
      <x:c r="B48" t="str">
        <x:f>'Counter_PnL'!C48</x:f>
        <x:v>2026 S1</x:v>
      </x:c>
      <x:c r="C48" s="30" t="n">
        <x:f>COUNTIFS('Counter_PnL'!$D$2:$D$641,A48,'Counter_PnL'!$C$2:$C$641,B48)</x:f>
        <x:v>1</x:v>
      </x:c>
      <x:c r="D48" s="79" t="n">
        <x:f>ABS('Counter_PnL'!AC48-SUM('Counter_PnL'!V48:'Counter_PnL'!AB48))</x:f>
        <x:v>0</x:v>
      </x:c>
      <x:c r="E48" s="79" t="n">
        <x:f>ABS('Counter_PnL'!AI48-SUM('Counter_PnL'!R48,'Counter_PnL'!T48,'Counter_PnL'!AC48,'Counter_PnL'!AE48,'Counter_PnL'!AG48,'Counter_PnL'!AH48))</x:f>
        <x:v>0</x:v>
      </x:c>
      <x:c r="F48" s="79" t="n">
        <x:f>ABS('Counter_PnL'!AK48-('Counter_PnL'!Q48+'Counter_PnL'!AI48))</x:f>
        <x:v>0</x:v>
      </x:c>
      <x:c r="G48" s="79" t="n">
        <x:f>ABS('Counter_PnL'!AT48-SUM('Counter_PnL'!AO48:'Counter_PnL'!AS48))</x:f>
        <x:v>0</x:v>
      </x:c>
      <x:c r="H48" s="79" t="n">
        <x:f>ABS('Counter_PnL'!AV48-('Counter_PnL'!AK48+'Counter_PnL'!AT48))</x:f>
        <x:v>0</x:v>
      </x:c>
      <x:c r="I48" s="79" t="n">
        <x:f>ABS('Counter_PnL'!BE48-SUM('Counter_PnL'!AX48:'Counter_PnL'!BB48,'Counter_PnL'!BD48))</x:f>
        <x:v>0</x:v>
      </x:c>
      <x:c r="J48" s="79" t="n">
        <x:f>ABS('Counter_PnL'!BL48-SUM('Counter_PnL'!AV48,'Counter_PnL'!BE48,'Counter_PnL'!BJ48,'Counter_PnL'!BK48))</x:f>
        <x:v>0</x:v>
      </x:c>
      <x:c r="K48" s="79" t="n">
        <x:f>ABS('Counter_PnL'!BO48-('Counter_PnL'!BL48+'Counter_PnL'!BN48))</x:f>
        <x:v>0</x:v>
      </x:c>
      <x:c r="L48" s="79" t="n">
        <x:f>MAX(ABS('Counter_PnL'!AW48-'Counter_PnL'!AV48/'Counter_PnL'!AK48),ABS('Counter_PnL'!BM48-'Counter_PnL'!BL48/'Counter_PnL'!AK48),ABS('Counter_PnL'!BP48-'Counter_PnL'!BO48/'Counter_PnL'!AK48))</x:f>
        <x:v>0</x:v>
      </x:c>
      <x:c r="M48" s="30" t="n">
        <x:f>IF(AND('Counter_PnL'!Q48&gt;0,'Counter_PnL'!AK48&gt;0,'Counter_PnL'!R48&lt;=0,'Counter_PnL'!T48&lt;=0,'Counter_PnL'!AT48&lt;=0,'Counter_PnL'!BE48&lt;=0,'Counter_PnL'!BJ48&lt;=0,'Counter_PnL'!BK48&lt;=0,'Counter_PnL'!BN48&lt;=0),0,1)</x:f>
        <x:v>0</x:v>
      </x:c>
    </x:row>
    <x:row r="49">
      <x:c r="A49" t="str">
        <x:f>'Counter_PnL'!D49</x:f>
        <x:v>CNCT0012</x:v>
      </x:c>
      <x:c r="B49" t="str">
        <x:f>'Counter_PnL'!C49</x:f>
        <x:v>2026 S2</x:v>
      </x:c>
      <x:c r="C49" s="30" t="n">
        <x:f>COUNTIFS('Counter_PnL'!$D$2:$D$641,A49,'Counter_PnL'!$C$2:$C$641,B49)</x:f>
        <x:v>1</x:v>
      </x:c>
      <x:c r="D49" s="79" t="n">
        <x:f>ABS('Counter_PnL'!AC49-SUM('Counter_PnL'!V49:'Counter_PnL'!AB49))</x:f>
        <x:v>0</x:v>
      </x:c>
      <x:c r="E49" s="79" t="n">
        <x:f>ABS('Counter_PnL'!AI49-SUM('Counter_PnL'!R49,'Counter_PnL'!T49,'Counter_PnL'!AC49,'Counter_PnL'!AE49,'Counter_PnL'!AG49,'Counter_PnL'!AH49))</x:f>
        <x:v>0</x:v>
      </x:c>
      <x:c r="F49" s="79" t="n">
        <x:f>ABS('Counter_PnL'!AK49-('Counter_PnL'!Q49+'Counter_PnL'!AI49))</x:f>
        <x:v>0</x:v>
      </x:c>
      <x:c r="G49" s="79" t="n">
        <x:f>ABS('Counter_PnL'!AT49-SUM('Counter_PnL'!AO49:'Counter_PnL'!AS49))</x:f>
        <x:v>0</x:v>
      </x:c>
      <x:c r="H49" s="79" t="n">
        <x:f>ABS('Counter_PnL'!AV49-('Counter_PnL'!AK49+'Counter_PnL'!AT49))</x:f>
        <x:v>0</x:v>
      </x:c>
      <x:c r="I49" s="79" t="n">
        <x:f>ABS('Counter_PnL'!BE49-SUM('Counter_PnL'!AX49:'Counter_PnL'!BB49,'Counter_PnL'!BD49))</x:f>
        <x:v>0</x:v>
      </x:c>
      <x:c r="J49" s="79" t="n">
        <x:f>ABS('Counter_PnL'!BL49-SUM('Counter_PnL'!AV49,'Counter_PnL'!BE49,'Counter_PnL'!BJ49,'Counter_PnL'!BK49))</x:f>
        <x:v>0</x:v>
      </x:c>
      <x:c r="K49" s="79" t="n">
        <x:f>ABS('Counter_PnL'!BO49-('Counter_PnL'!BL49+'Counter_PnL'!BN49))</x:f>
        <x:v>0</x:v>
      </x:c>
      <x:c r="L49" s="79" t="n">
        <x:f>MAX(ABS('Counter_PnL'!AW49-'Counter_PnL'!AV49/'Counter_PnL'!AK49),ABS('Counter_PnL'!BM49-'Counter_PnL'!BL49/'Counter_PnL'!AK49),ABS('Counter_PnL'!BP49-'Counter_PnL'!BO49/'Counter_PnL'!AK49))</x:f>
        <x:v>0</x:v>
      </x:c>
      <x:c r="M49" s="30" t="n">
        <x:f>IF(AND('Counter_PnL'!Q49&gt;0,'Counter_PnL'!AK49&gt;0,'Counter_PnL'!R49&lt;=0,'Counter_PnL'!T49&lt;=0,'Counter_PnL'!AT49&lt;=0,'Counter_PnL'!BE49&lt;=0,'Counter_PnL'!BJ49&lt;=0,'Counter_PnL'!BK49&lt;=0,'Counter_PnL'!BN49&lt;=0),0,1)</x:f>
        <x:v>0</x:v>
      </x:c>
    </x:row>
    <x:row r="50">
      <x:c r="A50" t="str">
        <x:f>'Counter_PnL'!D50</x:f>
        <x:v>CNCT0013</x:v>
      </x:c>
      <x:c r="B50" t="str">
        <x:f>'Counter_PnL'!C50</x:f>
        <x:v>2025 S1</x:v>
      </x:c>
      <x:c r="C50" s="30" t="n">
        <x:f>COUNTIFS('Counter_PnL'!$D$2:$D$641,A50,'Counter_PnL'!$C$2:$C$641,B50)</x:f>
        <x:v>1</x:v>
      </x:c>
      <x:c r="D50" s="79" t="n">
        <x:f>ABS('Counter_PnL'!AC50-SUM('Counter_PnL'!V50:'Counter_PnL'!AB50))</x:f>
        <x:v>0</x:v>
      </x:c>
      <x:c r="E50" s="79" t="n">
        <x:f>ABS('Counter_PnL'!AI50-SUM('Counter_PnL'!R50,'Counter_PnL'!T50,'Counter_PnL'!AC50,'Counter_PnL'!AE50,'Counter_PnL'!AG50,'Counter_PnL'!AH50))</x:f>
        <x:v>0</x:v>
      </x:c>
      <x:c r="F50" s="79" t="n">
        <x:f>ABS('Counter_PnL'!AK50-('Counter_PnL'!Q50+'Counter_PnL'!AI50))</x:f>
        <x:v>0</x:v>
      </x:c>
      <x:c r="G50" s="79" t="n">
        <x:f>ABS('Counter_PnL'!AT50-SUM('Counter_PnL'!AO50:'Counter_PnL'!AS50))</x:f>
        <x:v>0</x:v>
      </x:c>
      <x:c r="H50" s="79" t="n">
        <x:f>ABS('Counter_PnL'!AV50-('Counter_PnL'!AK50+'Counter_PnL'!AT50))</x:f>
        <x:v>0</x:v>
      </x:c>
      <x:c r="I50" s="79" t="n">
        <x:f>ABS('Counter_PnL'!BE50-SUM('Counter_PnL'!AX50:'Counter_PnL'!BB50,'Counter_PnL'!BD50))</x:f>
        <x:v>0</x:v>
      </x:c>
      <x:c r="J50" s="79" t="n">
        <x:f>ABS('Counter_PnL'!BL50-SUM('Counter_PnL'!AV50,'Counter_PnL'!BE50,'Counter_PnL'!BJ50,'Counter_PnL'!BK50))</x:f>
        <x:v>0</x:v>
      </x:c>
      <x:c r="K50" s="79" t="n">
        <x:f>ABS('Counter_PnL'!BO50-('Counter_PnL'!BL50+'Counter_PnL'!BN50))</x:f>
        <x:v>0</x:v>
      </x:c>
      <x:c r="L50" s="79" t="n">
        <x:f>MAX(ABS('Counter_PnL'!AW50-'Counter_PnL'!AV50/'Counter_PnL'!AK50),ABS('Counter_PnL'!BM50-'Counter_PnL'!BL50/'Counter_PnL'!AK50),ABS('Counter_PnL'!BP50-'Counter_PnL'!BO50/'Counter_PnL'!AK50))</x:f>
        <x:v>0</x:v>
      </x:c>
      <x:c r="M50" s="30" t="n">
        <x:f>IF(AND('Counter_PnL'!Q50&gt;0,'Counter_PnL'!AK50&gt;0,'Counter_PnL'!R50&lt;=0,'Counter_PnL'!T50&lt;=0,'Counter_PnL'!AT50&lt;=0,'Counter_PnL'!BE50&lt;=0,'Counter_PnL'!BJ50&lt;=0,'Counter_PnL'!BK50&lt;=0,'Counter_PnL'!BN50&lt;=0),0,1)</x:f>
        <x:v>0</x:v>
      </x:c>
    </x:row>
    <x:row r="51">
      <x:c r="A51" t="str">
        <x:f>'Counter_PnL'!D51</x:f>
        <x:v>CNCT0013</x:v>
      </x:c>
      <x:c r="B51" t="str">
        <x:f>'Counter_PnL'!C51</x:f>
        <x:v>2025 S2</x:v>
      </x:c>
      <x:c r="C51" s="30" t="n">
        <x:f>COUNTIFS('Counter_PnL'!$D$2:$D$641,A51,'Counter_PnL'!$C$2:$C$641,B51)</x:f>
        <x:v>1</x:v>
      </x:c>
      <x:c r="D51" s="79" t="n">
        <x:f>ABS('Counter_PnL'!AC51-SUM('Counter_PnL'!V51:'Counter_PnL'!AB51))</x:f>
        <x:v>0</x:v>
      </x:c>
      <x:c r="E51" s="79" t="n">
        <x:f>ABS('Counter_PnL'!AI51-SUM('Counter_PnL'!R51,'Counter_PnL'!T51,'Counter_PnL'!AC51,'Counter_PnL'!AE51,'Counter_PnL'!AG51,'Counter_PnL'!AH51))</x:f>
        <x:v>0</x:v>
      </x:c>
      <x:c r="F51" s="79" t="n">
        <x:f>ABS('Counter_PnL'!AK51-('Counter_PnL'!Q51+'Counter_PnL'!AI51))</x:f>
        <x:v>0</x:v>
      </x:c>
      <x:c r="G51" s="79" t="n">
        <x:f>ABS('Counter_PnL'!AT51-SUM('Counter_PnL'!AO51:'Counter_PnL'!AS51))</x:f>
        <x:v>0</x:v>
      </x:c>
      <x:c r="H51" s="79" t="n">
        <x:f>ABS('Counter_PnL'!AV51-('Counter_PnL'!AK51+'Counter_PnL'!AT51))</x:f>
        <x:v>0</x:v>
      </x:c>
      <x:c r="I51" s="79" t="n">
        <x:f>ABS('Counter_PnL'!BE51-SUM('Counter_PnL'!AX51:'Counter_PnL'!BB51,'Counter_PnL'!BD51))</x:f>
        <x:v>0</x:v>
      </x:c>
      <x:c r="J51" s="79" t="n">
        <x:f>ABS('Counter_PnL'!BL51-SUM('Counter_PnL'!AV51,'Counter_PnL'!BE51,'Counter_PnL'!BJ51,'Counter_PnL'!BK51))</x:f>
        <x:v>0</x:v>
      </x:c>
      <x:c r="K51" s="79" t="n">
        <x:f>ABS('Counter_PnL'!BO51-('Counter_PnL'!BL51+'Counter_PnL'!BN51))</x:f>
        <x:v>0</x:v>
      </x:c>
      <x:c r="L51" s="79" t="n">
        <x:f>MAX(ABS('Counter_PnL'!AW51-'Counter_PnL'!AV51/'Counter_PnL'!AK51),ABS('Counter_PnL'!BM51-'Counter_PnL'!BL51/'Counter_PnL'!AK51),ABS('Counter_PnL'!BP51-'Counter_PnL'!BO51/'Counter_PnL'!AK51))</x:f>
        <x:v>0</x:v>
      </x:c>
      <x:c r="M51" s="30" t="n">
        <x:f>IF(AND('Counter_PnL'!Q51&gt;0,'Counter_PnL'!AK51&gt;0,'Counter_PnL'!R51&lt;=0,'Counter_PnL'!T51&lt;=0,'Counter_PnL'!AT51&lt;=0,'Counter_PnL'!BE51&lt;=0,'Counter_PnL'!BJ51&lt;=0,'Counter_PnL'!BK51&lt;=0,'Counter_PnL'!BN51&lt;=0),0,1)</x:f>
        <x:v>0</x:v>
      </x:c>
    </x:row>
    <x:row r="52">
      <x:c r="A52" t="str">
        <x:f>'Counter_PnL'!D52</x:f>
        <x:v>CNCT0013</x:v>
      </x:c>
      <x:c r="B52" t="str">
        <x:f>'Counter_PnL'!C52</x:f>
        <x:v>2026 S1</x:v>
      </x:c>
      <x:c r="C52" s="30" t="n">
        <x:f>COUNTIFS('Counter_PnL'!$D$2:$D$641,A52,'Counter_PnL'!$C$2:$C$641,B52)</x:f>
        <x:v>1</x:v>
      </x:c>
      <x:c r="D52" s="79" t="n">
        <x:f>ABS('Counter_PnL'!AC52-SUM('Counter_PnL'!V52:'Counter_PnL'!AB52))</x:f>
        <x:v>0</x:v>
      </x:c>
      <x:c r="E52" s="79" t="n">
        <x:f>ABS('Counter_PnL'!AI52-SUM('Counter_PnL'!R52,'Counter_PnL'!T52,'Counter_PnL'!AC52,'Counter_PnL'!AE52,'Counter_PnL'!AG52,'Counter_PnL'!AH52))</x:f>
        <x:v>0</x:v>
      </x:c>
      <x:c r="F52" s="79" t="n">
        <x:f>ABS('Counter_PnL'!AK52-('Counter_PnL'!Q52+'Counter_PnL'!AI52))</x:f>
        <x:v>0</x:v>
      </x:c>
      <x:c r="G52" s="79" t="n">
        <x:f>ABS('Counter_PnL'!AT52-SUM('Counter_PnL'!AO52:'Counter_PnL'!AS52))</x:f>
        <x:v>0</x:v>
      </x:c>
      <x:c r="H52" s="79" t="n">
        <x:f>ABS('Counter_PnL'!AV52-('Counter_PnL'!AK52+'Counter_PnL'!AT52))</x:f>
        <x:v>0</x:v>
      </x:c>
      <x:c r="I52" s="79" t="n">
        <x:f>ABS('Counter_PnL'!BE52-SUM('Counter_PnL'!AX52:'Counter_PnL'!BB52,'Counter_PnL'!BD52))</x:f>
        <x:v>0</x:v>
      </x:c>
      <x:c r="J52" s="79" t="n">
        <x:f>ABS('Counter_PnL'!BL52-SUM('Counter_PnL'!AV52,'Counter_PnL'!BE52,'Counter_PnL'!BJ52,'Counter_PnL'!BK52))</x:f>
        <x:v>0</x:v>
      </x:c>
      <x:c r="K52" s="79" t="n">
        <x:f>ABS('Counter_PnL'!BO52-('Counter_PnL'!BL52+'Counter_PnL'!BN52))</x:f>
        <x:v>0</x:v>
      </x:c>
      <x:c r="L52" s="79" t="n">
        <x:f>MAX(ABS('Counter_PnL'!AW52-'Counter_PnL'!AV52/'Counter_PnL'!AK52),ABS('Counter_PnL'!BM52-'Counter_PnL'!BL52/'Counter_PnL'!AK52),ABS('Counter_PnL'!BP52-'Counter_PnL'!BO52/'Counter_PnL'!AK52))</x:f>
        <x:v>0</x:v>
      </x:c>
      <x:c r="M52" s="30" t="n">
        <x:f>IF(AND('Counter_PnL'!Q52&gt;0,'Counter_PnL'!AK52&gt;0,'Counter_PnL'!R52&lt;=0,'Counter_PnL'!T52&lt;=0,'Counter_PnL'!AT52&lt;=0,'Counter_PnL'!BE52&lt;=0,'Counter_PnL'!BJ52&lt;=0,'Counter_PnL'!BK52&lt;=0,'Counter_PnL'!BN52&lt;=0),0,1)</x:f>
        <x:v>0</x:v>
      </x:c>
    </x:row>
    <x:row r="53">
      <x:c r="A53" t="str">
        <x:f>'Counter_PnL'!D53</x:f>
        <x:v>CNCT0013</x:v>
      </x:c>
      <x:c r="B53" t="str">
        <x:f>'Counter_PnL'!C53</x:f>
        <x:v>2026 S2</x:v>
      </x:c>
      <x:c r="C53" s="30" t="n">
        <x:f>COUNTIFS('Counter_PnL'!$D$2:$D$641,A53,'Counter_PnL'!$C$2:$C$641,B53)</x:f>
        <x:v>1</x:v>
      </x:c>
      <x:c r="D53" s="79" t="n">
        <x:f>ABS('Counter_PnL'!AC53-SUM('Counter_PnL'!V53:'Counter_PnL'!AB53))</x:f>
        <x:v>0</x:v>
      </x:c>
      <x:c r="E53" s="79" t="n">
        <x:f>ABS('Counter_PnL'!AI53-SUM('Counter_PnL'!R53,'Counter_PnL'!T53,'Counter_PnL'!AC53,'Counter_PnL'!AE53,'Counter_PnL'!AG53,'Counter_PnL'!AH53))</x:f>
        <x:v>0</x:v>
      </x:c>
      <x:c r="F53" s="79" t="n">
        <x:f>ABS('Counter_PnL'!AK53-('Counter_PnL'!Q53+'Counter_PnL'!AI53))</x:f>
        <x:v>0</x:v>
      </x:c>
      <x:c r="G53" s="79" t="n">
        <x:f>ABS('Counter_PnL'!AT53-SUM('Counter_PnL'!AO53:'Counter_PnL'!AS53))</x:f>
        <x:v>0</x:v>
      </x:c>
      <x:c r="H53" s="79" t="n">
        <x:f>ABS('Counter_PnL'!AV53-('Counter_PnL'!AK53+'Counter_PnL'!AT53))</x:f>
        <x:v>0</x:v>
      </x:c>
      <x:c r="I53" s="79" t="n">
        <x:f>ABS('Counter_PnL'!BE53-SUM('Counter_PnL'!AX53:'Counter_PnL'!BB53,'Counter_PnL'!BD53))</x:f>
        <x:v>0</x:v>
      </x:c>
      <x:c r="J53" s="79" t="n">
        <x:f>ABS('Counter_PnL'!BL53-SUM('Counter_PnL'!AV53,'Counter_PnL'!BE53,'Counter_PnL'!BJ53,'Counter_PnL'!BK53))</x:f>
        <x:v>0</x:v>
      </x:c>
      <x:c r="K53" s="79" t="n">
        <x:f>ABS('Counter_PnL'!BO53-('Counter_PnL'!BL53+'Counter_PnL'!BN53))</x:f>
        <x:v>0</x:v>
      </x:c>
      <x:c r="L53" s="79" t="n">
        <x:f>MAX(ABS('Counter_PnL'!AW53-'Counter_PnL'!AV53/'Counter_PnL'!AK53),ABS('Counter_PnL'!BM53-'Counter_PnL'!BL53/'Counter_PnL'!AK53),ABS('Counter_PnL'!BP53-'Counter_PnL'!BO53/'Counter_PnL'!AK53))</x:f>
        <x:v>0</x:v>
      </x:c>
      <x:c r="M53" s="30" t="n">
        <x:f>IF(AND('Counter_PnL'!Q53&gt;0,'Counter_PnL'!AK53&gt;0,'Counter_PnL'!R53&lt;=0,'Counter_PnL'!T53&lt;=0,'Counter_PnL'!AT53&lt;=0,'Counter_PnL'!BE53&lt;=0,'Counter_PnL'!BJ53&lt;=0,'Counter_PnL'!BK53&lt;=0,'Counter_PnL'!BN53&lt;=0),0,1)</x:f>
        <x:v>0</x:v>
      </x:c>
    </x:row>
    <x:row r="54">
      <x:c r="A54" t="str">
        <x:f>'Counter_PnL'!D54</x:f>
        <x:v>CNCT0014</x:v>
      </x:c>
      <x:c r="B54" t="str">
        <x:f>'Counter_PnL'!C54</x:f>
        <x:v>2025 S1</x:v>
      </x:c>
      <x:c r="C54" s="30" t="n">
        <x:f>COUNTIFS('Counter_PnL'!$D$2:$D$641,A54,'Counter_PnL'!$C$2:$C$641,B54)</x:f>
        <x:v>1</x:v>
      </x:c>
      <x:c r="D54" s="79" t="n">
        <x:f>ABS('Counter_PnL'!AC54-SUM('Counter_PnL'!V54:'Counter_PnL'!AB54))</x:f>
        <x:v>0</x:v>
      </x:c>
      <x:c r="E54" s="79" t="n">
        <x:f>ABS('Counter_PnL'!AI54-SUM('Counter_PnL'!R54,'Counter_PnL'!T54,'Counter_PnL'!AC54,'Counter_PnL'!AE54,'Counter_PnL'!AG54,'Counter_PnL'!AH54))</x:f>
        <x:v>0</x:v>
      </x:c>
      <x:c r="F54" s="79" t="n">
        <x:f>ABS('Counter_PnL'!AK54-('Counter_PnL'!Q54+'Counter_PnL'!AI54))</x:f>
        <x:v>0</x:v>
      </x:c>
      <x:c r="G54" s="79" t="n">
        <x:f>ABS('Counter_PnL'!AT54-SUM('Counter_PnL'!AO54:'Counter_PnL'!AS54))</x:f>
        <x:v>0</x:v>
      </x:c>
      <x:c r="H54" s="79" t="n">
        <x:f>ABS('Counter_PnL'!AV54-('Counter_PnL'!AK54+'Counter_PnL'!AT54))</x:f>
        <x:v>0</x:v>
      </x:c>
      <x:c r="I54" s="79" t="n">
        <x:f>ABS('Counter_PnL'!BE54-SUM('Counter_PnL'!AX54:'Counter_PnL'!BB54,'Counter_PnL'!BD54))</x:f>
        <x:v>0</x:v>
      </x:c>
      <x:c r="J54" s="79" t="n">
        <x:f>ABS('Counter_PnL'!BL54-SUM('Counter_PnL'!AV54,'Counter_PnL'!BE54,'Counter_PnL'!BJ54,'Counter_PnL'!BK54))</x:f>
        <x:v>0</x:v>
      </x:c>
      <x:c r="K54" s="79" t="n">
        <x:f>ABS('Counter_PnL'!BO54-('Counter_PnL'!BL54+'Counter_PnL'!BN54))</x:f>
        <x:v>0</x:v>
      </x:c>
      <x:c r="L54" s="79" t="n">
        <x:f>MAX(ABS('Counter_PnL'!AW54-'Counter_PnL'!AV54/'Counter_PnL'!AK54),ABS('Counter_PnL'!BM54-'Counter_PnL'!BL54/'Counter_PnL'!AK54),ABS('Counter_PnL'!BP54-'Counter_PnL'!BO54/'Counter_PnL'!AK54))</x:f>
        <x:v>0</x:v>
      </x:c>
      <x:c r="M54" s="30" t="n">
        <x:f>IF(AND('Counter_PnL'!Q54&gt;0,'Counter_PnL'!AK54&gt;0,'Counter_PnL'!R54&lt;=0,'Counter_PnL'!T54&lt;=0,'Counter_PnL'!AT54&lt;=0,'Counter_PnL'!BE54&lt;=0,'Counter_PnL'!BJ54&lt;=0,'Counter_PnL'!BK54&lt;=0,'Counter_PnL'!BN54&lt;=0),0,1)</x:f>
        <x:v>0</x:v>
      </x:c>
    </x:row>
    <x:row r="55">
      <x:c r="A55" t="str">
        <x:f>'Counter_PnL'!D55</x:f>
        <x:v>CNCT0014</x:v>
      </x:c>
      <x:c r="B55" t="str">
        <x:f>'Counter_PnL'!C55</x:f>
        <x:v>2025 S2</x:v>
      </x:c>
      <x:c r="C55" s="30" t="n">
        <x:f>COUNTIFS('Counter_PnL'!$D$2:$D$641,A55,'Counter_PnL'!$C$2:$C$641,B55)</x:f>
        <x:v>1</x:v>
      </x:c>
      <x:c r="D55" s="79" t="n">
        <x:f>ABS('Counter_PnL'!AC55-SUM('Counter_PnL'!V55:'Counter_PnL'!AB55))</x:f>
        <x:v>0</x:v>
      </x:c>
      <x:c r="E55" s="79" t="n">
        <x:f>ABS('Counter_PnL'!AI55-SUM('Counter_PnL'!R55,'Counter_PnL'!T55,'Counter_PnL'!AC55,'Counter_PnL'!AE55,'Counter_PnL'!AG55,'Counter_PnL'!AH55))</x:f>
        <x:v>0</x:v>
      </x:c>
      <x:c r="F55" s="79" t="n">
        <x:f>ABS('Counter_PnL'!AK55-('Counter_PnL'!Q55+'Counter_PnL'!AI55))</x:f>
        <x:v>0</x:v>
      </x:c>
      <x:c r="G55" s="79" t="n">
        <x:f>ABS('Counter_PnL'!AT55-SUM('Counter_PnL'!AO55:'Counter_PnL'!AS55))</x:f>
        <x:v>0</x:v>
      </x:c>
      <x:c r="H55" s="79" t="n">
        <x:f>ABS('Counter_PnL'!AV55-('Counter_PnL'!AK55+'Counter_PnL'!AT55))</x:f>
        <x:v>0</x:v>
      </x:c>
      <x:c r="I55" s="79" t="n">
        <x:f>ABS('Counter_PnL'!BE55-SUM('Counter_PnL'!AX55:'Counter_PnL'!BB55,'Counter_PnL'!BD55))</x:f>
        <x:v>0</x:v>
      </x:c>
      <x:c r="J55" s="79" t="n">
        <x:f>ABS('Counter_PnL'!BL55-SUM('Counter_PnL'!AV55,'Counter_PnL'!BE55,'Counter_PnL'!BJ55,'Counter_PnL'!BK55))</x:f>
        <x:v>0</x:v>
      </x:c>
      <x:c r="K55" s="79" t="n">
        <x:f>ABS('Counter_PnL'!BO55-('Counter_PnL'!BL55+'Counter_PnL'!BN55))</x:f>
        <x:v>0</x:v>
      </x:c>
      <x:c r="L55" s="79" t="n">
        <x:f>MAX(ABS('Counter_PnL'!AW55-'Counter_PnL'!AV55/'Counter_PnL'!AK55),ABS('Counter_PnL'!BM55-'Counter_PnL'!BL55/'Counter_PnL'!AK55),ABS('Counter_PnL'!BP55-'Counter_PnL'!BO55/'Counter_PnL'!AK55))</x:f>
        <x:v>0</x:v>
      </x:c>
      <x:c r="M55" s="30" t="n">
        <x:f>IF(AND('Counter_PnL'!Q55&gt;0,'Counter_PnL'!AK55&gt;0,'Counter_PnL'!R55&lt;=0,'Counter_PnL'!T55&lt;=0,'Counter_PnL'!AT55&lt;=0,'Counter_PnL'!BE55&lt;=0,'Counter_PnL'!BJ55&lt;=0,'Counter_PnL'!BK55&lt;=0,'Counter_PnL'!BN55&lt;=0),0,1)</x:f>
        <x:v>0</x:v>
      </x:c>
    </x:row>
    <x:row r="56">
      <x:c r="A56" t="str">
        <x:f>'Counter_PnL'!D56</x:f>
        <x:v>CNCT0014</x:v>
      </x:c>
      <x:c r="B56" t="str">
        <x:f>'Counter_PnL'!C56</x:f>
        <x:v>2026 S1</x:v>
      </x:c>
      <x:c r="C56" s="30" t="n">
        <x:f>COUNTIFS('Counter_PnL'!$D$2:$D$641,A56,'Counter_PnL'!$C$2:$C$641,B56)</x:f>
        <x:v>1</x:v>
      </x:c>
      <x:c r="D56" s="79" t="n">
        <x:f>ABS('Counter_PnL'!AC56-SUM('Counter_PnL'!V56:'Counter_PnL'!AB56))</x:f>
        <x:v>0</x:v>
      </x:c>
      <x:c r="E56" s="79" t="n">
        <x:f>ABS('Counter_PnL'!AI56-SUM('Counter_PnL'!R56,'Counter_PnL'!T56,'Counter_PnL'!AC56,'Counter_PnL'!AE56,'Counter_PnL'!AG56,'Counter_PnL'!AH56))</x:f>
        <x:v>0</x:v>
      </x:c>
      <x:c r="F56" s="79" t="n">
        <x:f>ABS('Counter_PnL'!AK56-('Counter_PnL'!Q56+'Counter_PnL'!AI56))</x:f>
        <x:v>0</x:v>
      </x:c>
      <x:c r="G56" s="79" t="n">
        <x:f>ABS('Counter_PnL'!AT56-SUM('Counter_PnL'!AO56:'Counter_PnL'!AS56))</x:f>
        <x:v>0</x:v>
      </x:c>
      <x:c r="H56" s="79" t="n">
        <x:f>ABS('Counter_PnL'!AV56-('Counter_PnL'!AK56+'Counter_PnL'!AT56))</x:f>
        <x:v>0</x:v>
      </x:c>
      <x:c r="I56" s="79" t="n">
        <x:f>ABS('Counter_PnL'!BE56-SUM('Counter_PnL'!AX56:'Counter_PnL'!BB56,'Counter_PnL'!BD56))</x:f>
        <x:v>0</x:v>
      </x:c>
      <x:c r="J56" s="79" t="n">
        <x:f>ABS('Counter_PnL'!BL56-SUM('Counter_PnL'!AV56,'Counter_PnL'!BE56,'Counter_PnL'!BJ56,'Counter_PnL'!BK56))</x:f>
        <x:v>0</x:v>
      </x:c>
      <x:c r="K56" s="79" t="n">
        <x:f>ABS('Counter_PnL'!BO56-('Counter_PnL'!BL56+'Counter_PnL'!BN56))</x:f>
        <x:v>0</x:v>
      </x:c>
      <x:c r="L56" s="79" t="n">
        <x:f>MAX(ABS('Counter_PnL'!AW56-'Counter_PnL'!AV56/'Counter_PnL'!AK56),ABS('Counter_PnL'!BM56-'Counter_PnL'!BL56/'Counter_PnL'!AK56),ABS('Counter_PnL'!BP56-'Counter_PnL'!BO56/'Counter_PnL'!AK56))</x:f>
        <x:v>0</x:v>
      </x:c>
      <x:c r="M56" s="30" t="n">
        <x:f>IF(AND('Counter_PnL'!Q56&gt;0,'Counter_PnL'!AK56&gt;0,'Counter_PnL'!R56&lt;=0,'Counter_PnL'!T56&lt;=0,'Counter_PnL'!AT56&lt;=0,'Counter_PnL'!BE56&lt;=0,'Counter_PnL'!BJ56&lt;=0,'Counter_PnL'!BK56&lt;=0,'Counter_PnL'!BN56&lt;=0),0,1)</x:f>
        <x:v>0</x:v>
      </x:c>
    </x:row>
    <x:row r="57">
      <x:c r="A57" t="str">
        <x:f>'Counter_PnL'!D57</x:f>
        <x:v>CNCT0014</x:v>
      </x:c>
      <x:c r="B57" t="str">
        <x:f>'Counter_PnL'!C57</x:f>
        <x:v>2026 S2</x:v>
      </x:c>
      <x:c r="C57" s="30" t="n">
        <x:f>COUNTIFS('Counter_PnL'!$D$2:$D$641,A57,'Counter_PnL'!$C$2:$C$641,B57)</x:f>
        <x:v>1</x:v>
      </x:c>
      <x:c r="D57" s="79" t="n">
        <x:f>ABS('Counter_PnL'!AC57-SUM('Counter_PnL'!V57:'Counter_PnL'!AB57))</x:f>
        <x:v>0</x:v>
      </x:c>
      <x:c r="E57" s="79" t="n">
        <x:f>ABS('Counter_PnL'!AI57-SUM('Counter_PnL'!R57,'Counter_PnL'!T57,'Counter_PnL'!AC57,'Counter_PnL'!AE57,'Counter_PnL'!AG57,'Counter_PnL'!AH57))</x:f>
        <x:v>0</x:v>
      </x:c>
      <x:c r="F57" s="79" t="n">
        <x:f>ABS('Counter_PnL'!AK57-('Counter_PnL'!Q57+'Counter_PnL'!AI57))</x:f>
        <x:v>0</x:v>
      </x:c>
      <x:c r="G57" s="79" t="n">
        <x:f>ABS('Counter_PnL'!AT57-SUM('Counter_PnL'!AO57:'Counter_PnL'!AS57))</x:f>
        <x:v>0</x:v>
      </x:c>
      <x:c r="H57" s="79" t="n">
        <x:f>ABS('Counter_PnL'!AV57-('Counter_PnL'!AK57+'Counter_PnL'!AT57))</x:f>
        <x:v>0</x:v>
      </x:c>
      <x:c r="I57" s="79" t="n">
        <x:f>ABS('Counter_PnL'!BE57-SUM('Counter_PnL'!AX57:'Counter_PnL'!BB57,'Counter_PnL'!BD57))</x:f>
        <x:v>0</x:v>
      </x:c>
      <x:c r="J57" s="79" t="n">
        <x:f>ABS('Counter_PnL'!BL57-SUM('Counter_PnL'!AV57,'Counter_PnL'!BE57,'Counter_PnL'!BJ57,'Counter_PnL'!BK57))</x:f>
        <x:v>0</x:v>
      </x:c>
      <x:c r="K57" s="79" t="n">
        <x:f>ABS('Counter_PnL'!BO57-('Counter_PnL'!BL57+'Counter_PnL'!BN57))</x:f>
        <x:v>0</x:v>
      </x:c>
      <x:c r="L57" s="79" t="n">
        <x:f>MAX(ABS('Counter_PnL'!AW57-'Counter_PnL'!AV57/'Counter_PnL'!AK57),ABS('Counter_PnL'!BM57-'Counter_PnL'!BL57/'Counter_PnL'!AK57),ABS('Counter_PnL'!BP57-'Counter_PnL'!BO57/'Counter_PnL'!AK57))</x:f>
        <x:v>0</x:v>
      </x:c>
      <x:c r="M57" s="30" t="n">
        <x:f>IF(AND('Counter_PnL'!Q57&gt;0,'Counter_PnL'!AK57&gt;0,'Counter_PnL'!R57&lt;=0,'Counter_PnL'!T57&lt;=0,'Counter_PnL'!AT57&lt;=0,'Counter_PnL'!BE57&lt;=0,'Counter_PnL'!BJ57&lt;=0,'Counter_PnL'!BK57&lt;=0,'Counter_PnL'!BN57&lt;=0),0,1)</x:f>
        <x:v>0</x:v>
      </x:c>
    </x:row>
    <x:row r="58">
      <x:c r="A58" t="str">
        <x:f>'Counter_PnL'!D58</x:f>
        <x:v>CNCT0015</x:v>
      </x:c>
      <x:c r="B58" t="str">
        <x:f>'Counter_PnL'!C58</x:f>
        <x:v>2025 S1</x:v>
      </x:c>
      <x:c r="C58" s="30" t="n">
        <x:f>COUNTIFS('Counter_PnL'!$D$2:$D$641,A58,'Counter_PnL'!$C$2:$C$641,B58)</x:f>
        <x:v>1</x:v>
      </x:c>
      <x:c r="D58" s="79" t="n">
        <x:f>ABS('Counter_PnL'!AC58-SUM('Counter_PnL'!V58:'Counter_PnL'!AB58))</x:f>
        <x:v>0</x:v>
      </x:c>
      <x:c r="E58" s="79" t="n">
        <x:f>ABS('Counter_PnL'!AI58-SUM('Counter_PnL'!R58,'Counter_PnL'!T58,'Counter_PnL'!AC58,'Counter_PnL'!AE58,'Counter_PnL'!AG58,'Counter_PnL'!AH58))</x:f>
        <x:v>0</x:v>
      </x:c>
      <x:c r="F58" s="79" t="n">
        <x:f>ABS('Counter_PnL'!AK58-('Counter_PnL'!Q58+'Counter_PnL'!AI58))</x:f>
        <x:v>0</x:v>
      </x:c>
      <x:c r="G58" s="79" t="n">
        <x:f>ABS('Counter_PnL'!AT58-SUM('Counter_PnL'!AO58:'Counter_PnL'!AS58))</x:f>
        <x:v>0</x:v>
      </x:c>
      <x:c r="H58" s="79" t="n">
        <x:f>ABS('Counter_PnL'!AV58-('Counter_PnL'!AK58+'Counter_PnL'!AT58))</x:f>
        <x:v>0</x:v>
      </x:c>
      <x:c r="I58" s="79" t="n">
        <x:f>ABS('Counter_PnL'!BE58-SUM('Counter_PnL'!AX58:'Counter_PnL'!BB58,'Counter_PnL'!BD58))</x:f>
        <x:v>0</x:v>
      </x:c>
      <x:c r="J58" s="79" t="n">
        <x:f>ABS('Counter_PnL'!BL58-SUM('Counter_PnL'!AV58,'Counter_PnL'!BE58,'Counter_PnL'!BJ58,'Counter_PnL'!BK58))</x:f>
        <x:v>0</x:v>
      </x:c>
      <x:c r="K58" s="79" t="n">
        <x:f>ABS('Counter_PnL'!BO58-('Counter_PnL'!BL58+'Counter_PnL'!BN58))</x:f>
        <x:v>0</x:v>
      </x:c>
      <x:c r="L58" s="79" t="n">
        <x:f>MAX(ABS('Counter_PnL'!AW58-'Counter_PnL'!AV58/'Counter_PnL'!AK58),ABS('Counter_PnL'!BM58-'Counter_PnL'!BL58/'Counter_PnL'!AK58),ABS('Counter_PnL'!BP58-'Counter_PnL'!BO58/'Counter_PnL'!AK58))</x:f>
        <x:v>0</x:v>
      </x:c>
      <x:c r="M58" s="30" t="n">
        <x:f>IF(AND('Counter_PnL'!Q58&gt;0,'Counter_PnL'!AK58&gt;0,'Counter_PnL'!R58&lt;=0,'Counter_PnL'!T58&lt;=0,'Counter_PnL'!AT58&lt;=0,'Counter_PnL'!BE58&lt;=0,'Counter_PnL'!BJ58&lt;=0,'Counter_PnL'!BK58&lt;=0,'Counter_PnL'!BN58&lt;=0),0,1)</x:f>
        <x:v>0</x:v>
      </x:c>
    </x:row>
    <x:row r="59">
      <x:c r="A59" t="str">
        <x:f>'Counter_PnL'!D59</x:f>
        <x:v>CNCT0015</x:v>
      </x:c>
      <x:c r="B59" t="str">
        <x:f>'Counter_PnL'!C59</x:f>
        <x:v>2025 S2</x:v>
      </x:c>
      <x:c r="C59" s="30" t="n">
        <x:f>COUNTIFS('Counter_PnL'!$D$2:$D$641,A59,'Counter_PnL'!$C$2:$C$641,B59)</x:f>
        <x:v>1</x:v>
      </x:c>
      <x:c r="D59" s="79" t="n">
        <x:f>ABS('Counter_PnL'!AC59-SUM('Counter_PnL'!V59:'Counter_PnL'!AB59))</x:f>
        <x:v>0</x:v>
      </x:c>
      <x:c r="E59" s="79" t="n">
        <x:f>ABS('Counter_PnL'!AI59-SUM('Counter_PnL'!R59,'Counter_PnL'!T59,'Counter_PnL'!AC59,'Counter_PnL'!AE59,'Counter_PnL'!AG59,'Counter_PnL'!AH59))</x:f>
        <x:v>0</x:v>
      </x:c>
      <x:c r="F59" s="79" t="n">
        <x:f>ABS('Counter_PnL'!AK59-('Counter_PnL'!Q59+'Counter_PnL'!AI59))</x:f>
        <x:v>0</x:v>
      </x:c>
      <x:c r="G59" s="79" t="n">
        <x:f>ABS('Counter_PnL'!AT59-SUM('Counter_PnL'!AO59:'Counter_PnL'!AS59))</x:f>
        <x:v>0</x:v>
      </x:c>
      <x:c r="H59" s="79" t="n">
        <x:f>ABS('Counter_PnL'!AV59-('Counter_PnL'!AK59+'Counter_PnL'!AT59))</x:f>
        <x:v>0</x:v>
      </x:c>
      <x:c r="I59" s="79" t="n">
        <x:f>ABS('Counter_PnL'!BE59-SUM('Counter_PnL'!AX59:'Counter_PnL'!BB59,'Counter_PnL'!BD59))</x:f>
        <x:v>0</x:v>
      </x:c>
      <x:c r="J59" s="79" t="n">
        <x:f>ABS('Counter_PnL'!BL59-SUM('Counter_PnL'!AV59,'Counter_PnL'!BE59,'Counter_PnL'!BJ59,'Counter_PnL'!BK59))</x:f>
        <x:v>0</x:v>
      </x:c>
      <x:c r="K59" s="79" t="n">
        <x:f>ABS('Counter_PnL'!BO59-('Counter_PnL'!BL59+'Counter_PnL'!BN59))</x:f>
        <x:v>0</x:v>
      </x:c>
      <x:c r="L59" s="79" t="n">
        <x:f>MAX(ABS('Counter_PnL'!AW59-'Counter_PnL'!AV59/'Counter_PnL'!AK59),ABS('Counter_PnL'!BM59-'Counter_PnL'!BL59/'Counter_PnL'!AK59),ABS('Counter_PnL'!BP59-'Counter_PnL'!BO59/'Counter_PnL'!AK59))</x:f>
        <x:v>0</x:v>
      </x:c>
      <x:c r="M59" s="30" t="n">
        <x:f>IF(AND('Counter_PnL'!Q59&gt;0,'Counter_PnL'!AK59&gt;0,'Counter_PnL'!R59&lt;=0,'Counter_PnL'!T59&lt;=0,'Counter_PnL'!AT59&lt;=0,'Counter_PnL'!BE59&lt;=0,'Counter_PnL'!BJ59&lt;=0,'Counter_PnL'!BK59&lt;=0,'Counter_PnL'!BN59&lt;=0),0,1)</x:f>
        <x:v>0</x:v>
      </x:c>
    </x:row>
    <x:row r="60">
      <x:c r="A60" t="str">
        <x:f>'Counter_PnL'!D60</x:f>
        <x:v>CNCT0015</x:v>
      </x:c>
      <x:c r="B60" t="str">
        <x:f>'Counter_PnL'!C60</x:f>
        <x:v>2026 S1</x:v>
      </x:c>
      <x:c r="C60" s="30" t="n">
        <x:f>COUNTIFS('Counter_PnL'!$D$2:$D$641,A60,'Counter_PnL'!$C$2:$C$641,B60)</x:f>
        <x:v>1</x:v>
      </x:c>
      <x:c r="D60" s="79" t="n">
        <x:f>ABS('Counter_PnL'!AC60-SUM('Counter_PnL'!V60:'Counter_PnL'!AB60))</x:f>
        <x:v>0</x:v>
      </x:c>
      <x:c r="E60" s="79" t="n">
        <x:f>ABS('Counter_PnL'!AI60-SUM('Counter_PnL'!R60,'Counter_PnL'!T60,'Counter_PnL'!AC60,'Counter_PnL'!AE60,'Counter_PnL'!AG60,'Counter_PnL'!AH60))</x:f>
        <x:v>0</x:v>
      </x:c>
      <x:c r="F60" s="79" t="n">
        <x:f>ABS('Counter_PnL'!AK60-('Counter_PnL'!Q60+'Counter_PnL'!AI60))</x:f>
        <x:v>0</x:v>
      </x:c>
      <x:c r="G60" s="79" t="n">
        <x:f>ABS('Counter_PnL'!AT60-SUM('Counter_PnL'!AO60:'Counter_PnL'!AS60))</x:f>
        <x:v>0</x:v>
      </x:c>
      <x:c r="H60" s="79" t="n">
        <x:f>ABS('Counter_PnL'!AV60-('Counter_PnL'!AK60+'Counter_PnL'!AT60))</x:f>
        <x:v>0</x:v>
      </x:c>
      <x:c r="I60" s="79" t="n">
        <x:f>ABS('Counter_PnL'!BE60-SUM('Counter_PnL'!AX60:'Counter_PnL'!BB60,'Counter_PnL'!BD60))</x:f>
        <x:v>0</x:v>
      </x:c>
      <x:c r="J60" s="79" t="n">
        <x:f>ABS('Counter_PnL'!BL60-SUM('Counter_PnL'!AV60,'Counter_PnL'!BE60,'Counter_PnL'!BJ60,'Counter_PnL'!BK60))</x:f>
        <x:v>0</x:v>
      </x:c>
      <x:c r="K60" s="79" t="n">
        <x:f>ABS('Counter_PnL'!BO60-('Counter_PnL'!BL60+'Counter_PnL'!BN60))</x:f>
        <x:v>0</x:v>
      </x:c>
      <x:c r="L60" s="79" t="n">
        <x:f>MAX(ABS('Counter_PnL'!AW60-'Counter_PnL'!AV60/'Counter_PnL'!AK60),ABS('Counter_PnL'!BM60-'Counter_PnL'!BL60/'Counter_PnL'!AK60),ABS('Counter_PnL'!BP60-'Counter_PnL'!BO60/'Counter_PnL'!AK60))</x:f>
        <x:v>0</x:v>
      </x:c>
      <x:c r="M60" s="30" t="n">
        <x:f>IF(AND('Counter_PnL'!Q60&gt;0,'Counter_PnL'!AK60&gt;0,'Counter_PnL'!R60&lt;=0,'Counter_PnL'!T60&lt;=0,'Counter_PnL'!AT60&lt;=0,'Counter_PnL'!BE60&lt;=0,'Counter_PnL'!BJ60&lt;=0,'Counter_PnL'!BK60&lt;=0,'Counter_PnL'!BN60&lt;=0),0,1)</x:f>
        <x:v>0</x:v>
      </x:c>
    </x:row>
    <x:row r="61">
      <x:c r="A61" t="str">
        <x:f>'Counter_PnL'!D61</x:f>
        <x:v>CNCT0015</x:v>
      </x:c>
      <x:c r="B61" t="str">
        <x:f>'Counter_PnL'!C61</x:f>
        <x:v>2026 S2</x:v>
      </x:c>
      <x:c r="C61" s="30" t="n">
        <x:f>COUNTIFS('Counter_PnL'!$D$2:$D$641,A61,'Counter_PnL'!$C$2:$C$641,B61)</x:f>
        <x:v>1</x:v>
      </x:c>
      <x:c r="D61" s="79" t="n">
        <x:f>ABS('Counter_PnL'!AC61-SUM('Counter_PnL'!V61:'Counter_PnL'!AB61))</x:f>
        <x:v>0</x:v>
      </x:c>
      <x:c r="E61" s="79" t="n">
        <x:f>ABS('Counter_PnL'!AI61-SUM('Counter_PnL'!R61,'Counter_PnL'!T61,'Counter_PnL'!AC61,'Counter_PnL'!AE61,'Counter_PnL'!AG61,'Counter_PnL'!AH61))</x:f>
        <x:v>0</x:v>
      </x:c>
      <x:c r="F61" s="79" t="n">
        <x:f>ABS('Counter_PnL'!AK61-('Counter_PnL'!Q61+'Counter_PnL'!AI61))</x:f>
        <x:v>0</x:v>
      </x:c>
      <x:c r="G61" s="79" t="n">
        <x:f>ABS('Counter_PnL'!AT61-SUM('Counter_PnL'!AO61:'Counter_PnL'!AS61))</x:f>
        <x:v>0</x:v>
      </x:c>
      <x:c r="H61" s="79" t="n">
        <x:f>ABS('Counter_PnL'!AV61-('Counter_PnL'!AK61+'Counter_PnL'!AT61))</x:f>
        <x:v>0</x:v>
      </x:c>
      <x:c r="I61" s="79" t="n">
        <x:f>ABS('Counter_PnL'!BE61-SUM('Counter_PnL'!AX61:'Counter_PnL'!BB61,'Counter_PnL'!BD61))</x:f>
        <x:v>0</x:v>
      </x:c>
      <x:c r="J61" s="79" t="n">
        <x:f>ABS('Counter_PnL'!BL61-SUM('Counter_PnL'!AV61,'Counter_PnL'!BE61,'Counter_PnL'!BJ61,'Counter_PnL'!BK61))</x:f>
        <x:v>0</x:v>
      </x:c>
      <x:c r="K61" s="79" t="n">
        <x:f>ABS('Counter_PnL'!BO61-('Counter_PnL'!BL61+'Counter_PnL'!BN61))</x:f>
        <x:v>0</x:v>
      </x:c>
      <x:c r="L61" s="79" t="n">
        <x:f>MAX(ABS('Counter_PnL'!AW61-'Counter_PnL'!AV61/'Counter_PnL'!AK61),ABS('Counter_PnL'!BM61-'Counter_PnL'!BL61/'Counter_PnL'!AK61),ABS('Counter_PnL'!BP61-'Counter_PnL'!BO61/'Counter_PnL'!AK61))</x:f>
        <x:v>0</x:v>
      </x:c>
      <x:c r="M61" s="30" t="n">
        <x:f>IF(AND('Counter_PnL'!Q61&gt;0,'Counter_PnL'!AK61&gt;0,'Counter_PnL'!R61&lt;=0,'Counter_PnL'!T61&lt;=0,'Counter_PnL'!AT61&lt;=0,'Counter_PnL'!BE61&lt;=0,'Counter_PnL'!BJ61&lt;=0,'Counter_PnL'!BK61&lt;=0,'Counter_PnL'!BN61&lt;=0),0,1)</x:f>
        <x:v>0</x:v>
      </x:c>
    </x:row>
    <x:row r="62">
      <x:c r="A62" t="str">
        <x:f>'Counter_PnL'!D62</x:f>
        <x:v>CNCT0016</x:v>
      </x:c>
      <x:c r="B62" t="str">
        <x:f>'Counter_PnL'!C62</x:f>
        <x:v>2025 S1</x:v>
      </x:c>
      <x:c r="C62" s="30" t="n">
        <x:f>COUNTIFS('Counter_PnL'!$D$2:$D$641,A62,'Counter_PnL'!$C$2:$C$641,B62)</x:f>
        <x:v>1</x:v>
      </x:c>
      <x:c r="D62" s="79" t="n">
        <x:f>ABS('Counter_PnL'!AC62-SUM('Counter_PnL'!V62:'Counter_PnL'!AB62))</x:f>
        <x:v>0</x:v>
      </x:c>
      <x:c r="E62" s="79" t="n">
        <x:f>ABS('Counter_PnL'!AI62-SUM('Counter_PnL'!R62,'Counter_PnL'!T62,'Counter_PnL'!AC62,'Counter_PnL'!AE62,'Counter_PnL'!AG62,'Counter_PnL'!AH62))</x:f>
        <x:v>0</x:v>
      </x:c>
      <x:c r="F62" s="79" t="n">
        <x:f>ABS('Counter_PnL'!AK62-('Counter_PnL'!Q62+'Counter_PnL'!AI62))</x:f>
        <x:v>0</x:v>
      </x:c>
      <x:c r="G62" s="79" t="n">
        <x:f>ABS('Counter_PnL'!AT62-SUM('Counter_PnL'!AO62:'Counter_PnL'!AS62))</x:f>
        <x:v>0</x:v>
      </x:c>
      <x:c r="H62" s="79" t="n">
        <x:f>ABS('Counter_PnL'!AV62-('Counter_PnL'!AK62+'Counter_PnL'!AT62))</x:f>
        <x:v>0</x:v>
      </x:c>
      <x:c r="I62" s="79" t="n">
        <x:f>ABS('Counter_PnL'!BE62-SUM('Counter_PnL'!AX62:'Counter_PnL'!BB62,'Counter_PnL'!BD62))</x:f>
        <x:v>0</x:v>
      </x:c>
      <x:c r="J62" s="79" t="n">
        <x:f>ABS('Counter_PnL'!BL62-SUM('Counter_PnL'!AV62,'Counter_PnL'!BE62,'Counter_PnL'!BJ62,'Counter_PnL'!BK62))</x:f>
        <x:v>0</x:v>
      </x:c>
      <x:c r="K62" s="79" t="n">
        <x:f>ABS('Counter_PnL'!BO62-('Counter_PnL'!BL62+'Counter_PnL'!BN62))</x:f>
        <x:v>0</x:v>
      </x:c>
      <x:c r="L62" s="79" t="n">
        <x:f>MAX(ABS('Counter_PnL'!AW62-'Counter_PnL'!AV62/'Counter_PnL'!AK62),ABS('Counter_PnL'!BM62-'Counter_PnL'!BL62/'Counter_PnL'!AK62),ABS('Counter_PnL'!BP62-'Counter_PnL'!BO62/'Counter_PnL'!AK62))</x:f>
        <x:v>0</x:v>
      </x:c>
      <x:c r="M62" s="30" t="n">
        <x:f>IF(AND('Counter_PnL'!Q62&gt;0,'Counter_PnL'!AK62&gt;0,'Counter_PnL'!R62&lt;=0,'Counter_PnL'!T62&lt;=0,'Counter_PnL'!AT62&lt;=0,'Counter_PnL'!BE62&lt;=0,'Counter_PnL'!BJ62&lt;=0,'Counter_PnL'!BK62&lt;=0,'Counter_PnL'!BN62&lt;=0),0,1)</x:f>
        <x:v>0</x:v>
      </x:c>
    </x:row>
    <x:row r="63">
      <x:c r="A63" t="str">
        <x:f>'Counter_PnL'!D63</x:f>
        <x:v>CNCT0016</x:v>
      </x:c>
      <x:c r="B63" t="str">
        <x:f>'Counter_PnL'!C63</x:f>
        <x:v>2025 S2</x:v>
      </x:c>
      <x:c r="C63" s="30" t="n">
        <x:f>COUNTIFS('Counter_PnL'!$D$2:$D$641,A63,'Counter_PnL'!$C$2:$C$641,B63)</x:f>
        <x:v>1</x:v>
      </x:c>
      <x:c r="D63" s="79" t="n">
        <x:f>ABS('Counter_PnL'!AC63-SUM('Counter_PnL'!V63:'Counter_PnL'!AB63))</x:f>
        <x:v>0</x:v>
      </x:c>
      <x:c r="E63" s="79" t="n">
        <x:f>ABS('Counter_PnL'!AI63-SUM('Counter_PnL'!R63,'Counter_PnL'!T63,'Counter_PnL'!AC63,'Counter_PnL'!AE63,'Counter_PnL'!AG63,'Counter_PnL'!AH63))</x:f>
        <x:v>0</x:v>
      </x:c>
      <x:c r="F63" s="79" t="n">
        <x:f>ABS('Counter_PnL'!AK63-('Counter_PnL'!Q63+'Counter_PnL'!AI63))</x:f>
        <x:v>0</x:v>
      </x:c>
      <x:c r="G63" s="79" t="n">
        <x:f>ABS('Counter_PnL'!AT63-SUM('Counter_PnL'!AO63:'Counter_PnL'!AS63))</x:f>
        <x:v>0</x:v>
      </x:c>
      <x:c r="H63" s="79" t="n">
        <x:f>ABS('Counter_PnL'!AV63-('Counter_PnL'!AK63+'Counter_PnL'!AT63))</x:f>
        <x:v>0</x:v>
      </x:c>
      <x:c r="I63" s="79" t="n">
        <x:f>ABS('Counter_PnL'!BE63-SUM('Counter_PnL'!AX63:'Counter_PnL'!BB63,'Counter_PnL'!BD63))</x:f>
        <x:v>0</x:v>
      </x:c>
      <x:c r="J63" s="79" t="n">
        <x:f>ABS('Counter_PnL'!BL63-SUM('Counter_PnL'!AV63,'Counter_PnL'!BE63,'Counter_PnL'!BJ63,'Counter_PnL'!BK63))</x:f>
        <x:v>0</x:v>
      </x:c>
      <x:c r="K63" s="79" t="n">
        <x:f>ABS('Counter_PnL'!BO63-('Counter_PnL'!BL63+'Counter_PnL'!BN63))</x:f>
        <x:v>0</x:v>
      </x:c>
      <x:c r="L63" s="79" t="n">
        <x:f>MAX(ABS('Counter_PnL'!AW63-'Counter_PnL'!AV63/'Counter_PnL'!AK63),ABS('Counter_PnL'!BM63-'Counter_PnL'!BL63/'Counter_PnL'!AK63),ABS('Counter_PnL'!BP63-'Counter_PnL'!BO63/'Counter_PnL'!AK63))</x:f>
        <x:v>0</x:v>
      </x:c>
      <x:c r="M63" s="30" t="n">
        <x:f>IF(AND('Counter_PnL'!Q63&gt;0,'Counter_PnL'!AK63&gt;0,'Counter_PnL'!R63&lt;=0,'Counter_PnL'!T63&lt;=0,'Counter_PnL'!AT63&lt;=0,'Counter_PnL'!BE63&lt;=0,'Counter_PnL'!BJ63&lt;=0,'Counter_PnL'!BK63&lt;=0,'Counter_PnL'!BN63&lt;=0),0,1)</x:f>
        <x:v>0</x:v>
      </x:c>
    </x:row>
    <x:row r="64">
      <x:c r="A64" t="str">
        <x:f>'Counter_PnL'!D64</x:f>
        <x:v>CNCT0016</x:v>
      </x:c>
      <x:c r="B64" t="str">
        <x:f>'Counter_PnL'!C64</x:f>
        <x:v>2026 S1</x:v>
      </x:c>
      <x:c r="C64" s="30" t="n">
        <x:f>COUNTIFS('Counter_PnL'!$D$2:$D$641,A64,'Counter_PnL'!$C$2:$C$641,B64)</x:f>
        <x:v>1</x:v>
      </x:c>
      <x:c r="D64" s="79" t="n">
        <x:f>ABS('Counter_PnL'!AC64-SUM('Counter_PnL'!V64:'Counter_PnL'!AB64))</x:f>
        <x:v>0</x:v>
      </x:c>
      <x:c r="E64" s="79" t="n">
        <x:f>ABS('Counter_PnL'!AI64-SUM('Counter_PnL'!R64,'Counter_PnL'!T64,'Counter_PnL'!AC64,'Counter_PnL'!AE64,'Counter_PnL'!AG64,'Counter_PnL'!AH64))</x:f>
        <x:v>0</x:v>
      </x:c>
      <x:c r="F64" s="79" t="n">
        <x:f>ABS('Counter_PnL'!AK64-('Counter_PnL'!Q64+'Counter_PnL'!AI64))</x:f>
        <x:v>0</x:v>
      </x:c>
      <x:c r="G64" s="79" t="n">
        <x:f>ABS('Counter_PnL'!AT64-SUM('Counter_PnL'!AO64:'Counter_PnL'!AS64))</x:f>
        <x:v>0</x:v>
      </x:c>
      <x:c r="H64" s="79" t="n">
        <x:f>ABS('Counter_PnL'!AV64-('Counter_PnL'!AK64+'Counter_PnL'!AT64))</x:f>
        <x:v>0</x:v>
      </x:c>
      <x:c r="I64" s="79" t="n">
        <x:f>ABS('Counter_PnL'!BE64-SUM('Counter_PnL'!AX64:'Counter_PnL'!BB64,'Counter_PnL'!BD64))</x:f>
        <x:v>0</x:v>
      </x:c>
      <x:c r="J64" s="79" t="n">
        <x:f>ABS('Counter_PnL'!BL64-SUM('Counter_PnL'!AV64,'Counter_PnL'!BE64,'Counter_PnL'!BJ64,'Counter_PnL'!BK64))</x:f>
        <x:v>0</x:v>
      </x:c>
      <x:c r="K64" s="79" t="n">
        <x:f>ABS('Counter_PnL'!BO64-('Counter_PnL'!BL64+'Counter_PnL'!BN64))</x:f>
        <x:v>0</x:v>
      </x:c>
      <x:c r="L64" s="79" t="n">
        <x:f>MAX(ABS('Counter_PnL'!AW64-'Counter_PnL'!AV64/'Counter_PnL'!AK64),ABS('Counter_PnL'!BM64-'Counter_PnL'!BL64/'Counter_PnL'!AK64),ABS('Counter_PnL'!BP64-'Counter_PnL'!BO64/'Counter_PnL'!AK64))</x:f>
        <x:v>0</x:v>
      </x:c>
      <x:c r="M64" s="30" t="n">
        <x:f>IF(AND('Counter_PnL'!Q64&gt;0,'Counter_PnL'!AK64&gt;0,'Counter_PnL'!R64&lt;=0,'Counter_PnL'!T64&lt;=0,'Counter_PnL'!AT64&lt;=0,'Counter_PnL'!BE64&lt;=0,'Counter_PnL'!BJ64&lt;=0,'Counter_PnL'!BK64&lt;=0,'Counter_PnL'!BN64&lt;=0),0,1)</x:f>
        <x:v>0</x:v>
      </x:c>
    </x:row>
    <x:row r="65">
      <x:c r="A65" t="str">
        <x:f>'Counter_PnL'!D65</x:f>
        <x:v>CNCT0016</x:v>
      </x:c>
      <x:c r="B65" t="str">
        <x:f>'Counter_PnL'!C65</x:f>
        <x:v>2026 S2</x:v>
      </x:c>
      <x:c r="C65" s="30" t="n">
        <x:f>COUNTIFS('Counter_PnL'!$D$2:$D$641,A65,'Counter_PnL'!$C$2:$C$641,B65)</x:f>
        <x:v>1</x:v>
      </x:c>
      <x:c r="D65" s="79" t="n">
        <x:f>ABS('Counter_PnL'!AC65-SUM('Counter_PnL'!V65:'Counter_PnL'!AB65))</x:f>
        <x:v>0</x:v>
      </x:c>
      <x:c r="E65" s="79" t="n">
        <x:f>ABS('Counter_PnL'!AI65-SUM('Counter_PnL'!R65,'Counter_PnL'!T65,'Counter_PnL'!AC65,'Counter_PnL'!AE65,'Counter_PnL'!AG65,'Counter_PnL'!AH65))</x:f>
        <x:v>0</x:v>
      </x:c>
      <x:c r="F65" s="79" t="n">
        <x:f>ABS('Counter_PnL'!AK65-('Counter_PnL'!Q65+'Counter_PnL'!AI65))</x:f>
        <x:v>0</x:v>
      </x:c>
      <x:c r="G65" s="79" t="n">
        <x:f>ABS('Counter_PnL'!AT65-SUM('Counter_PnL'!AO65:'Counter_PnL'!AS65))</x:f>
        <x:v>0</x:v>
      </x:c>
      <x:c r="H65" s="79" t="n">
        <x:f>ABS('Counter_PnL'!AV65-('Counter_PnL'!AK65+'Counter_PnL'!AT65))</x:f>
        <x:v>0</x:v>
      </x:c>
      <x:c r="I65" s="79" t="n">
        <x:f>ABS('Counter_PnL'!BE65-SUM('Counter_PnL'!AX65:'Counter_PnL'!BB65,'Counter_PnL'!BD65))</x:f>
        <x:v>0</x:v>
      </x:c>
      <x:c r="J65" s="79" t="n">
        <x:f>ABS('Counter_PnL'!BL65-SUM('Counter_PnL'!AV65,'Counter_PnL'!BE65,'Counter_PnL'!BJ65,'Counter_PnL'!BK65))</x:f>
        <x:v>0</x:v>
      </x:c>
      <x:c r="K65" s="79" t="n">
        <x:f>ABS('Counter_PnL'!BO65-('Counter_PnL'!BL65+'Counter_PnL'!BN65))</x:f>
        <x:v>0</x:v>
      </x:c>
      <x:c r="L65" s="79" t="n">
        <x:f>MAX(ABS('Counter_PnL'!AW65-'Counter_PnL'!AV65/'Counter_PnL'!AK65),ABS('Counter_PnL'!BM65-'Counter_PnL'!BL65/'Counter_PnL'!AK65),ABS('Counter_PnL'!BP65-'Counter_PnL'!BO65/'Counter_PnL'!AK65))</x:f>
        <x:v>0</x:v>
      </x:c>
      <x:c r="M65" s="30" t="n">
        <x:f>IF(AND('Counter_PnL'!Q65&gt;0,'Counter_PnL'!AK65&gt;0,'Counter_PnL'!R65&lt;=0,'Counter_PnL'!T65&lt;=0,'Counter_PnL'!AT65&lt;=0,'Counter_PnL'!BE65&lt;=0,'Counter_PnL'!BJ65&lt;=0,'Counter_PnL'!BK65&lt;=0,'Counter_PnL'!BN65&lt;=0),0,1)</x:f>
        <x:v>0</x:v>
      </x:c>
    </x:row>
    <x:row r="66">
      <x:c r="A66" t="str">
        <x:f>'Counter_PnL'!D66</x:f>
        <x:v>CNCT0017</x:v>
      </x:c>
      <x:c r="B66" t="str">
        <x:f>'Counter_PnL'!C66</x:f>
        <x:v>2025 S1</x:v>
      </x:c>
      <x:c r="C66" s="30" t="n">
        <x:f>COUNTIFS('Counter_PnL'!$D$2:$D$641,A66,'Counter_PnL'!$C$2:$C$641,B66)</x:f>
        <x:v>1</x:v>
      </x:c>
      <x:c r="D66" s="79" t="n">
        <x:f>ABS('Counter_PnL'!AC66-SUM('Counter_PnL'!V66:'Counter_PnL'!AB66))</x:f>
        <x:v>0</x:v>
      </x:c>
      <x:c r="E66" s="79" t="n">
        <x:f>ABS('Counter_PnL'!AI66-SUM('Counter_PnL'!R66,'Counter_PnL'!T66,'Counter_PnL'!AC66,'Counter_PnL'!AE66,'Counter_PnL'!AG66,'Counter_PnL'!AH66))</x:f>
        <x:v>0</x:v>
      </x:c>
      <x:c r="F66" s="79" t="n">
        <x:f>ABS('Counter_PnL'!AK66-('Counter_PnL'!Q66+'Counter_PnL'!AI66))</x:f>
        <x:v>0</x:v>
      </x:c>
      <x:c r="G66" s="79" t="n">
        <x:f>ABS('Counter_PnL'!AT66-SUM('Counter_PnL'!AO66:'Counter_PnL'!AS66))</x:f>
        <x:v>0</x:v>
      </x:c>
      <x:c r="H66" s="79" t="n">
        <x:f>ABS('Counter_PnL'!AV66-('Counter_PnL'!AK66+'Counter_PnL'!AT66))</x:f>
        <x:v>0</x:v>
      </x:c>
      <x:c r="I66" s="79" t="n">
        <x:f>ABS('Counter_PnL'!BE66-SUM('Counter_PnL'!AX66:'Counter_PnL'!BB66,'Counter_PnL'!BD66))</x:f>
        <x:v>0</x:v>
      </x:c>
      <x:c r="J66" s="79" t="n">
        <x:f>ABS('Counter_PnL'!BL66-SUM('Counter_PnL'!AV66,'Counter_PnL'!BE66,'Counter_PnL'!BJ66,'Counter_PnL'!BK66))</x:f>
        <x:v>0</x:v>
      </x:c>
      <x:c r="K66" s="79" t="n">
        <x:f>ABS('Counter_PnL'!BO66-('Counter_PnL'!BL66+'Counter_PnL'!BN66))</x:f>
        <x:v>0</x:v>
      </x:c>
      <x:c r="L66" s="79" t="n">
        <x:f>MAX(ABS('Counter_PnL'!AW66-'Counter_PnL'!AV66/'Counter_PnL'!AK66),ABS('Counter_PnL'!BM66-'Counter_PnL'!BL66/'Counter_PnL'!AK66),ABS('Counter_PnL'!BP66-'Counter_PnL'!BO66/'Counter_PnL'!AK66))</x:f>
        <x:v>0</x:v>
      </x:c>
      <x:c r="M66" s="30" t="n">
        <x:f>IF(AND('Counter_PnL'!Q66&gt;0,'Counter_PnL'!AK66&gt;0,'Counter_PnL'!R66&lt;=0,'Counter_PnL'!T66&lt;=0,'Counter_PnL'!AT66&lt;=0,'Counter_PnL'!BE66&lt;=0,'Counter_PnL'!BJ66&lt;=0,'Counter_PnL'!BK66&lt;=0,'Counter_PnL'!BN66&lt;=0),0,1)</x:f>
        <x:v>0</x:v>
      </x:c>
    </x:row>
    <x:row r="67">
      <x:c r="A67" t="str">
        <x:f>'Counter_PnL'!D67</x:f>
        <x:v>CNCT0017</x:v>
      </x:c>
      <x:c r="B67" t="str">
        <x:f>'Counter_PnL'!C67</x:f>
        <x:v>2025 S2</x:v>
      </x:c>
      <x:c r="C67" s="30" t="n">
        <x:f>COUNTIFS('Counter_PnL'!$D$2:$D$641,A67,'Counter_PnL'!$C$2:$C$641,B67)</x:f>
        <x:v>1</x:v>
      </x:c>
      <x:c r="D67" s="79" t="n">
        <x:f>ABS('Counter_PnL'!AC67-SUM('Counter_PnL'!V67:'Counter_PnL'!AB67))</x:f>
        <x:v>0</x:v>
      </x:c>
      <x:c r="E67" s="79" t="n">
        <x:f>ABS('Counter_PnL'!AI67-SUM('Counter_PnL'!R67,'Counter_PnL'!T67,'Counter_PnL'!AC67,'Counter_PnL'!AE67,'Counter_PnL'!AG67,'Counter_PnL'!AH67))</x:f>
        <x:v>0</x:v>
      </x:c>
      <x:c r="F67" s="79" t="n">
        <x:f>ABS('Counter_PnL'!AK67-('Counter_PnL'!Q67+'Counter_PnL'!AI67))</x:f>
        <x:v>0</x:v>
      </x:c>
      <x:c r="G67" s="79" t="n">
        <x:f>ABS('Counter_PnL'!AT67-SUM('Counter_PnL'!AO67:'Counter_PnL'!AS67))</x:f>
        <x:v>0</x:v>
      </x:c>
      <x:c r="H67" s="79" t="n">
        <x:f>ABS('Counter_PnL'!AV67-('Counter_PnL'!AK67+'Counter_PnL'!AT67))</x:f>
        <x:v>0</x:v>
      </x:c>
      <x:c r="I67" s="79" t="n">
        <x:f>ABS('Counter_PnL'!BE67-SUM('Counter_PnL'!AX67:'Counter_PnL'!BB67,'Counter_PnL'!BD67))</x:f>
        <x:v>0</x:v>
      </x:c>
      <x:c r="J67" s="79" t="n">
        <x:f>ABS('Counter_PnL'!BL67-SUM('Counter_PnL'!AV67,'Counter_PnL'!BE67,'Counter_PnL'!BJ67,'Counter_PnL'!BK67))</x:f>
        <x:v>0</x:v>
      </x:c>
      <x:c r="K67" s="79" t="n">
        <x:f>ABS('Counter_PnL'!BO67-('Counter_PnL'!BL67+'Counter_PnL'!BN67))</x:f>
        <x:v>0</x:v>
      </x:c>
      <x:c r="L67" s="79" t="n">
        <x:f>MAX(ABS('Counter_PnL'!AW67-'Counter_PnL'!AV67/'Counter_PnL'!AK67),ABS('Counter_PnL'!BM67-'Counter_PnL'!BL67/'Counter_PnL'!AK67),ABS('Counter_PnL'!BP67-'Counter_PnL'!BO67/'Counter_PnL'!AK67))</x:f>
        <x:v>0</x:v>
      </x:c>
      <x:c r="M67" s="30" t="n">
        <x:f>IF(AND('Counter_PnL'!Q67&gt;0,'Counter_PnL'!AK67&gt;0,'Counter_PnL'!R67&lt;=0,'Counter_PnL'!T67&lt;=0,'Counter_PnL'!AT67&lt;=0,'Counter_PnL'!BE67&lt;=0,'Counter_PnL'!BJ67&lt;=0,'Counter_PnL'!BK67&lt;=0,'Counter_PnL'!BN67&lt;=0),0,1)</x:f>
        <x:v>0</x:v>
      </x:c>
    </x:row>
    <x:row r="68">
      <x:c r="A68" t="str">
        <x:f>'Counter_PnL'!D68</x:f>
        <x:v>CNCT0017</x:v>
      </x:c>
      <x:c r="B68" t="str">
        <x:f>'Counter_PnL'!C68</x:f>
        <x:v>2026 S1</x:v>
      </x:c>
      <x:c r="C68" s="30" t="n">
        <x:f>COUNTIFS('Counter_PnL'!$D$2:$D$641,A68,'Counter_PnL'!$C$2:$C$641,B68)</x:f>
        <x:v>1</x:v>
      </x:c>
      <x:c r="D68" s="79" t="n">
        <x:f>ABS('Counter_PnL'!AC68-SUM('Counter_PnL'!V68:'Counter_PnL'!AB68))</x:f>
        <x:v>0</x:v>
      </x:c>
      <x:c r="E68" s="79" t="n">
        <x:f>ABS('Counter_PnL'!AI68-SUM('Counter_PnL'!R68,'Counter_PnL'!T68,'Counter_PnL'!AC68,'Counter_PnL'!AE68,'Counter_PnL'!AG68,'Counter_PnL'!AH68))</x:f>
        <x:v>0</x:v>
      </x:c>
      <x:c r="F68" s="79" t="n">
        <x:f>ABS('Counter_PnL'!AK68-('Counter_PnL'!Q68+'Counter_PnL'!AI68))</x:f>
        <x:v>0</x:v>
      </x:c>
      <x:c r="G68" s="79" t="n">
        <x:f>ABS('Counter_PnL'!AT68-SUM('Counter_PnL'!AO68:'Counter_PnL'!AS68))</x:f>
        <x:v>0</x:v>
      </x:c>
      <x:c r="H68" s="79" t="n">
        <x:f>ABS('Counter_PnL'!AV68-('Counter_PnL'!AK68+'Counter_PnL'!AT68))</x:f>
        <x:v>0</x:v>
      </x:c>
      <x:c r="I68" s="79" t="n">
        <x:f>ABS('Counter_PnL'!BE68-SUM('Counter_PnL'!AX68:'Counter_PnL'!BB68,'Counter_PnL'!BD68))</x:f>
        <x:v>0</x:v>
      </x:c>
      <x:c r="J68" s="79" t="n">
        <x:f>ABS('Counter_PnL'!BL68-SUM('Counter_PnL'!AV68,'Counter_PnL'!BE68,'Counter_PnL'!BJ68,'Counter_PnL'!BK68))</x:f>
        <x:v>0</x:v>
      </x:c>
      <x:c r="K68" s="79" t="n">
        <x:f>ABS('Counter_PnL'!BO68-('Counter_PnL'!BL68+'Counter_PnL'!BN68))</x:f>
        <x:v>0</x:v>
      </x:c>
      <x:c r="L68" s="79" t="n">
        <x:f>MAX(ABS('Counter_PnL'!AW68-'Counter_PnL'!AV68/'Counter_PnL'!AK68),ABS('Counter_PnL'!BM68-'Counter_PnL'!BL68/'Counter_PnL'!AK68),ABS('Counter_PnL'!BP68-'Counter_PnL'!BO68/'Counter_PnL'!AK68))</x:f>
        <x:v>0</x:v>
      </x:c>
      <x:c r="M68" s="30" t="n">
        <x:f>IF(AND('Counter_PnL'!Q68&gt;0,'Counter_PnL'!AK68&gt;0,'Counter_PnL'!R68&lt;=0,'Counter_PnL'!T68&lt;=0,'Counter_PnL'!AT68&lt;=0,'Counter_PnL'!BE68&lt;=0,'Counter_PnL'!BJ68&lt;=0,'Counter_PnL'!BK68&lt;=0,'Counter_PnL'!BN68&lt;=0),0,1)</x:f>
        <x:v>0</x:v>
      </x:c>
    </x:row>
    <x:row r="69">
      <x:c r="A69" t="str">
        <x:f>'Counter_PnL'!D69</x:f>
        <x:v>CNCT0017</x:v>
      </x:c>
      <x:c r="B69" t="str">
        <x:f>'Counter_PnL'!C69</x:f>
        <x:v>2026 S2</x:v>
      </x:c>
      <x:c r="C69" s="30" t="n">
        <x:f>COUNTIFS('Counter_PnL'!$D$2:$D$641,A69,'Counter_PnL'!$C$2:$C$641,B69)</x:f>
        <x:v>1</x:v>
      </x:c>
      <x:c r="D69" s="79" t="n">
        <x:f>ABS('Counter_PnL'!AC69-SUM('Counter_PnL'!V69:'Counter_PnL'!AB69))</x:f>
        <x:v>0</x:v>
      </x:c>
      <x:c r="E69" s="79" t="n">
        <x:f>ABS('Counter_PnL'!AI69-SUM('Counter_PnL'!R69,'Counter_PnL'!T69,'Counter_PnL'!AC69,'Counter_PnL'!AE69,'Counter_PnL'!AG69,'Counter_PnL'!AH69))</x:f>
        <x:v>0</x:v>
      </x:c>
      <x:c r="F69" s="79" t="n">
        <x:f>ABS('Counter_PnL'!AK69-('Counter_PnL'!Q69+'Counter_PnL'!AI69))</x:f>
        <x:v>0</x:v>
      </x:c>
      <x:c r="G69" s="79" t="n">
        <x:f>ABS('Counter_PnL'!AT69-SUM('Counter_PnL'!AO69:'Counter_PnL'!AS69))</x:f>
        <x:v>0</x:v>
      </x:c>
      <x:c r="H69" s="79" t="n">
        <x:f>ABS('Counter_PnL'!AV69-('Counter_PnL'!AK69+'Counter_PnL'!AT69))</x:f>
        <x:v>0</x:v>
      </x:c>
      <x:c r="I69" s="79" t="n">
        <x:f>ABS('Counter_PnL'!BE69-SUM('Counter_PnL'!AX69:'Counter_PnL'!BB69,'Counter_PnL'!BD69))</x:f>
        <x:v>0</x:v>
      </x:c>
      <x:c r="J69" s="79" t="n">
        <x:f>ABS('Counter_PnL'!BL69-SUM('Counter_PnL'!AV69,'Counter_PnL'!BE69,'Counter_PnL'!BJ69,'Counter_PnL'!BK69))</x:f>
        <x:v>0</x:v>
      </x:c>
      <x:c r="K69" s="79" t="n">
        <x:f>ABS('Counter_PnL'!BO69-('Counter_PnL'!BL69+'Counter_PnL'!BN69))</x:f>
        <x:v>0</x:v>
      </x:c>
      <x:c r="L69" s="79" t="n">
        <x:f>MAX(ABS('Counter_PnL'!AW69-'Counter_PnL'!AV69/'Counter_PnL'!AK69),ABS('Counter_PnL'!BM69-'Counter_PnL'!BL69/'Counter_PnL'!AK69),ABS('Counter_PnL'!BP69-'Counter_PnL'!BO69/'Counter_PnL'!AK69))</x:f>
        <x:v>0</x:v>
      </x:c>
      <x:c r="M69" s="30" t="n">
        <x:f>IF(AND('Counter_PnL'!Q69&gt;0,'Counter_PnL'!AK69&gt;0,'Counter_PnL'!R69&lt;=0,'Counter_PnL'!T69&lt;=0,'Counter_PnL'!AT69&lt;=0,'Counter_PnL'!BE69&lt;=0,'Counter_PnL'!BJ69&lt;=0,'Counter_PnL'!BK69&lt;=0,'Counter_PnL'!BN69&lt;=0),0,1)</x:f>
        <x:v>0</x:v>
      </x:c>
    </x:row>
    <x:row r="70">
      <x:c r="A70" t="str">
        <x:f>'Counter_PnL'!D70</x:f>
        <x:v>CNCT0018</x:v>
      </x:c>
      <x:c r="B70" t="str">
        <x:f>'Counter_PnL'!C70</x:f>
        <x:v>2025 S1</x:v>
      </x:c>
      <x:c r="C70" s="30" t="n">
        <x:f>COUNTIFS('Counter_PnL'!$D$2:$D$641,A70,'Counter_PnL'!$C$2:$C$641,B70)</x:f>
        <x:v>1</x:v>
      </x:c>
      <x:c r="D70" s="79" t="n">
        <x:f>ABS('Counter_PnL'!AC70-SUM('Counter_PnL'!V70:'Counter_PnL'!AB70))</x:f>
        <x:v>0</x:v>
      </x:c>
      <x:c r="E70" s="79" t="n">
        <x:f>ABS('Counter_PnL'!AI70-SUM('Counter_PnL'!R70,'Counter_PnL'!T70,'Counter_PnL'!AC70,'Counter_PnL'!AE70,'Counter_PnL'!AG70,'Counter_PnL'!AH70))</x:f>
        <x:v>0</x:v>
      </x:c>
      <x:c r="F70" s="79" t="n">
        <x:f>ABS('Counter_PnL'!AK70-('Counter_PnL'!Q70+'Counter_PnL'!AI70))</x:f>
        <x:v>0</x:v>
      </x:c>
      <x:c r="G70" s="79" t="n">
        <x:f>ABS('Counter_PnL'!AT70-SUM('Counter_PnL'!AO70:'Counter_PnL'!AS70))</x:f>
        <x:v>0</x:v>
      </x:c>
      <x:c r="H70" s="79" t="n">
        <x:f>ABS('Counter_PnL'!AV70-('Counter_PnL'!AK70+'Counter_PnL'!AT70))</x:f>
        <x:v>0</x:v>
      </x:c>
      <x:c r="I70" s="79" t="n">
        <x:f>ABS('Counter_PnL'!BE70-SUM('Counter_PnL'!AX70:'Counter_PnL'!BB70,'Counter_PnL'!BD70))</x:f>
        <x:v>0</x:v>
      </x:c>
      <x:c r="J70" s="79" t="n">
        <x:f>ABS('Counter_PnL'!BL70-SUM('Counter_PnL'!AV70,'Counter_PnL'!BE70,'Counter_PnL'!BJ70,'Counter_PnL'!BK70))</x:f>
        <x:v>0</x:v>
      </x:c>
      <x:c r="K70" s="79" t="n">
        <x:f>ABS('Counter_PnL'!BO70-('Counter_PnL'!BL70+'Counter_PnL'!BN70))</x:f>
        <x:v>0</x:v>
      </x:c>
      <x:c r="L70" s="79" t="n">
        <x:f>MAX(ABS('Counter_PnL'!AW70-'Counter_PnL'!AV70/'Counter_PnL'!AK70),ABS('Counter_PnL'!BM70-'Counter_PnL'!BL70/'Counter_PnL'!AK70),ABS('Counter_PnL'!BP70-'Counter_PnL'!BO70/'Counter_PnL'!AK70))</x:f>
        <x:v>0</x:v>
      </x:c>
      <x:c r="M70" s="30" t="n">
        <x:f>IF(AND('Counter_PnL'!Q70&gt;0,'Counter_PnL'!AK70&gt;0,'Counter_PnL'!R70&lt;=0,'Counter_PnL'!T70&lt;=0,'Counter_PnL'!AT70&lt;=0,'Counter_PnL'!BE70&lt;=0,'Counter_PnL'!BJ70&lt;=0,'Counter_PnL'!BK70&lt;=0,'Counter_PnL'!BN70&lt;=0),0,1)</x:f>
        <x:v>0</x:v>
      </x:c>
    </x:row>
    <x:row r="71">
      <x:c r="A71" t="str">
        <x:f>'Counter_PnL'!D71</x:f>
        <x:v>CNCT0018</x:v>
      </x:c>
      <x:c r="B71" t="str">
        <x:f>'Counter_PnL'!C71</x:f>
        <x:v>2025 S2</x:v>
      </x:c>
      <x:c r="C71" s="30" t="n">
        <x:f>COUNTIFS('Counter_PnL'!$D$2:$D$641,A71,'Counter_PnL'!$C$2:$C$641,B71)</x:f>
        <x:v>1</x:v>
      </x:c>
      <x:c r="D71" s="79" t="n">
        <x:f>ABS('Counter_PnL'!AC71-SUM('Counter_PnL'!V71:'Counter_PnL'!AB71))</x:f>
        <x:v>0</x:v>
      </x:c>
      <x:c r="E71" s="79" t="n">
        <x:f>ABS('Counter_PnL'!AI71-SUM('Counter_PnL'!R71,'Counter_PnL'!T71,'Counter_PnL'!AC71,'Counter_PnL'!AE71,'Counter_PnL'!AG71,'Counter_PnL'!AH71))</x:f>
        <x:v>0</x:v>
      </x:c>
      <x:c r="F71" s="79" t="n">
        <x:f>ABS('Counter_PnL'!AK71-('Counter_PnL'!Q71+'Counter_PnL'!AI71))</x:f>
        <x:v>0</x:v>
      </x:c>
      <x:c r="G71" s="79" t="n">
        <x:f>ABS('Counter_PnL'!AT71-SUM('Counter_PnL'!AO71:'Counter_PnL'!AS71))</x:f>
        <x:v>0</x:v>
      </x:c>
      <x:c r="H71" s="79" t="n">
        <x:f>ABS('Counter_PnL'!AV71-('Counter_PnL'!AK71+'Counter_PnL'!AT71))</x:f>
        <x:v>0</x:v>
      </x:c>
      <x:c r="I71" s="79" t="n">
        <x:f>ABS('Counter_PnL'!BE71-SUM('Counter_PnL'!AX71:'Counter_PnL'!BB71,'Counter_PnL'!BD71))</x:f>
        <x:v>0</x:v>
      </x:c>
      <x:c r="J71" s="79" t="n">
        <x:f>ABS('Counter_PnL'!BL71-SUM('Counter_PnL'!AV71,'Counter_PnL'!BE71,'Counter_PnL'!BJ71,'Counter_PnL'!BK71))</x:f>
        <x:v>0</x:v>
      </x:c>
      <x:c r="K71" s="79" t="n">
        <x:f>ABS('Counter_PnL'!BO71-('Counter_PnL'!BL71+'Counter_PnL'!BN71))</x:f>
        <x:v>0</x:v>
      </x:c>
      <x:c r="L71" s="79" t="n">
        <x:f>MAX(ABS('Counter_PnL'!AW71-'Counter_PnL'!AV71/'Counter_PnL'!AK71),ABS('Counter_PnL'!BM71-'Counter_PnL'!BL71/'Counter_PnL'!AK71),ABS('Counter_PnL'!BP71-'Counter_PnL'!BO71/'Counter_PnL'!AK71))</x:f>
        <x:v>0</x:v>
      </x:c>
      <x:c r="M71" s="30" t="n">
        <x:f>IF(AND('Counter_PnL'!Q71&gt;0,'Counter_PnL'!AK71&gt;0,'Counter_PnL'!R71&lt;=0,'Counter_PnL'!T71&lt;=0,'Counter_PnL'!AT71&lt;=0,'Counter_PnL'!BE71&lt;=0,'Counter_PnL'!BJ71&lt;=0,'Counter_PnL'!BK71&lt;=0,'Counter_PnL'!BN71&lt;=0),0,1)</x:f>
        <x:v>0</x:v>
      </x:c>
    </x:row>
    <x:row r="72">
      <x:c r="A72" t="str">
        <x:f>'Counter_PnL'!D72</x:f>
        <x:v>CNCT0018</x:v>
      </x:c>
      <x:c r="B72" t="str">
        <x:f>'Counter_PnL'!C72</x:f>
        <x:v>2026 S1</x:v>
      </x:c>
      <x:c r="C72" s="30" t="n">
        <x:f>COUNTIFS('Counter_PnL'!$D$2:$D$641,A72,'Counter_PnL'!$C$2:$C$641,B72)</x:f>
        <x:v>1</x:v>
      </x:c>
      <x:c r="D72" s="79" t="n">
        <x:f>ABS('Counter_PnL'!AC72-SUM('Counter_PnL'!V72:'Counter_PnL'!AB72))</x:f>
        <x:v>0</x:v>
      </x:c>
      <x:c r="E72" s="79" t="n">
        <x:f>ABS('Counter_PnL'!AI72-SUM('Counter_PnL'!R72,'Counter_PnL'!T72,'Counter_PnL'!AC72,'Counter_PnL'!AE72,'Counter_PnL'!AG72,'Counter_PnL'!AH72))</x:f>
        <x:v>0</x:v>
      </x:c>
      <x:c r="F72" s="79" t="n">
        <x:f>ABS('Counter_PnL'!AK72-('Counter_PnL'!Q72+'Counter_PnL'!AI72))</x:f>
        <x:v>0</x:v>
      </x:c>
      <x:c r="G72" s="79" t="n">
        <x:f>ABS('Counter_PnL'!AT72-SUM('Counter_PnL'!AO72:'Counter_PnL'!AS72))</x:f>
        <x:v>0</x:v>
      </x:c>
      <x:c r="H72" s="79" t="n">
        <x:f>ABS('Counter_PnL'!AV72-('Counter_PnL'!AK72+'Counter_PnL'!AT72))</x:f>
        <x:v>0</x:v>
      </x:c>
      <x:c r="I72" s="79" t="n">
        <x:f>ABS('Counter_PnL'!BE72-SUM('Counter_PnL'!AX72:'Counter_PnL'!BB72,'Counter_PnL'!BD72))</x:f>
        <x:v>0</x:v>
      </x:c>
      <x:c r="J72" s="79" t="n">
        <x:f>ABS('Counter_PnL'!BL72-SUM('Counter_PnL'!AV72,'Counter_PnL'!BE72,'Counter_PnL'!BJ72,'Counter_PnL'!BK72))</x:f>
        <x:v>0</x:v>
      </x:c>
      <x:c r="K72" s="79" t="n">
        <x:f>ABS('Counter_PnL'!BO72-('Counter_PnL'!BL72+'Counter_PnL'!BN72))</x:f>
        <x:v>0</x:v>
      </x:c>
      <x:c r="L72" s="79" t="n">
        <x:f>MAX(ABS('Counter_PnL'!AW72-'Counter_PnL'!AV72/'Counter_PnL'!AK72),ABS('Counter_PnL'!BM72-'Counter_PnL'!BL72/'Counter_PnL'!AK72),ABS('Counter_PnL'!BP72-'Counter_PnL'!BO72/'Counter_PnL'!AK72))</x:f>
        <x:v>0</x:v>
      </x:c>
      <x:c r="M72" s="30" t="n">
        <x:f>IF(AND('Counter_PnL'!Q72&gt;0,'Counter_PnL'!AK72&gt;0,'Counter_PnL'!R72&lt;=0,'Counter_PnL'!T72&lt;=0,'Counter_PnL'!AT72&lt;=0,'Counter_PnL'!BE72&lt;=0,'Counter_PnL'!BJ72&lt;=0,'Counter_PnL'!BK72&lt;=0,'Counter_PnL'!BN72&lt;=0),0,1)</x:f>
        <x:v>0</x:v>
      </x:c>
    </x:row>
    <x:row r="73">
      <x:c r="A73" t="str">
        <x:f>'Counter_PnL'!D73</x:f>
        <x:v>CNCT0018</x:v>
      </x:c>
      <x:c r="B73" t="str">
        <x:f>'Counter_PnL'!C73</x:f>
        <x:v>2026 S2</x:v>
      </x:c>
      <x:c r="C73" s="30" t="n">
        <x:f>COUNTIFS('Counter_PnL'!$D$2:$D$641,A73,'Counter_PnL'!$C$2:$C$641,B73)</x:f>
        <x:v>1</x:v>
      </x:c>
      <x:c r="D73" s="79" t="n">
        <x:f>ABS('Counter_PnL'!AC73-SUM('Counter_PnL'!V73:'Counter_PnL'!AB73))</x:f>
        <x:v>0</x:v>
      </x:c>
      <x:c r="E73" s="79" t="n">
        <x:f>ABS('Counter_PnL'!AI73-SUM('Counter_PnL'!R73,'Counter_PnL'!T73,'Counter_PnL'!AC73,'Counter_PnL'!AE73,'Counter_PnL'!AG73,'Counter_PnL'!AH73))</x:f>
        <x:v>0</x:v>
      </x:c>
      <x:c r="F73" s="79" t="n">
        <x:f>ABS('Counter_PnL'!AK73-('Counter_PnL'!Q73+'Counter_PnL'!AI73))</x:f>
        <x:v>0</x:v>
      </x:c>
      <x:c r="G73" s="79" t="n">
        <x:f>ABS('Counter_PnL'!AT73-SUM('Counter_PnL'!AO73:'Counter_PnL'!AS73))</x:f>
        <x:v>0</x:v>
      </x:c>
      <x:c r="H73" s="79" t="n">
        <x:f>ABS('Counter_PnL'!AV73-('Counter_PnL'!AK73+'Counter_PnL'!AT73))</x:f>
        <x:v>0</x:v>
      </x:c>
      <x:c r="I73" s="79" t="n">
        <x:f>ABS('Counter_PnL'!BE73-SUM('Counter_PnL'!AX73:'Counter_PnL'!BB73,'Counter_PnL'!BD73))</x:f>
        <x:v>0</x:v>
      </x:c>
      <x:c r="J73" s="79" t="n">
        <x:f>ABS('Counter_PnL'!BL73-SUM('Counter_PnL'!AV73,'Counter_PnL'!BE73,'Counter_PnL'!BJ73,'Counter_PnL'!BK73))</x:f>
        <x:v>0</x:v>
      </x:c>
      <x:c r="K73" s="79" t="n">
        <x:f>ABS('Counter_PnL'!BO73-('Counter_PnL'!BL73+'Counter_PnL'!BN73))</x:f>
        <x:v>0</x:v>
      </x:c>
      <x:c r="L73" s="79" t="n">
        <x:f>MAX(ABS('Counter_PnL'!AW73-'Counter_PnL'!AV73/'Counter_PnL'!AK73),ABS('Counter_PnL'!BM73-'Counter_PnL'!BL73/'Counter_PnL'!AK73),ABS('Counter_PnL'!BP73-'Counter_PnL'!BO73/'Counter_PnL'!AK73))</x:f>
        <x:v>0</x:v>
      </x:c>
      <x:c r="M73" s="30" t="n">
        <x:f>IF(AND('Counter_PnL'!Q73&gt;0,'Counter_PnL'!AK73&gt;0,'Counter_PnL'!R73&lt;=0,'Counter_PnL'!T73&lt;=0,'Counter_PnL'!AT73&lt;=0,'Counter_PnL'!BE73&lt;=0,'Counter_PnL'!BJ73&lt;=0,'Counter_PnL'!BK73&lt;=0,'Counter_PnL'!BN73&lt;=0),0,1)</x:f>
        <x:v>0</x:v>
      </x:c>
    </x:row>
    <x:row r="74">
      <x:c r="A74" t="str">
        <x:f>'Counter_PnL'!D74</x:f>
        <x:v>CNCT0019</x:v>
      </x:c>
      <x:c r="B74" t="str">
        <x:f>'Counter_PnL'!C74</x:f>
        <x:v>2025 S1</x:v>
      </x:c>
      <x:c r="C74" s="30" t="n">
        <x:f>COUNTIFS('Counter_PnL'!$D$2:$D$641,A74,'Counter_PnL'!$C$2:$C$641,B74)</x:f>
        <x:v>1</x:v>
      </x:c>
      <x:c r="D74" s="79" t="n">
        <x:f>ABS('Counter_PnL'!AC74-SUM('Counter_PnL'!V74:'Counter_PnL'!AB74))</x:f>
        <x:v>0</x:v>
      </x:c>
      <x:c r="E74" s="79" t="n">
        <x:f>ABS('Counter_PnL'!AI74-SUM('Counter_PnL'!R74,'Counter_PnL'!T74,'Counter_PnL'!AC74,'Counter_PnL'!AE74,'Counter_PnL'!AG74,'Counter_PnL'!AH74))</x:f>
        <x:v>0</x:v>
      </x:c>
      <x:c r="F74" s="79" t="n">
        <x:f>ABS('Counter_PnL'!AK74-('Counter_PnL'!Q74+'Counter_PnL'!AI74))</x:f>
        <x:v>0</x:v>
      </x:c>
      <x:c r="G74" s="79" t="n">
        <x:f>ABS('Counter_PnL'!AT74-SUM('Counter_PnL'!AO74:'Counter_PnL'!AS74))</x:f>
        <x:v>0</x:v>
      </x:c>
      <x:c r="H74" s="79" t="n">
        <x:f>ABS('Counter_PnL'!AV74-('Counter_PnL'!AK74+'Counter_PnL'!AT74))</x:f>
        <x:v>0</x:v>
      </x:c>
      <x:c r="I74" s="79" t="n">
        <x:f>ABS('Counter_PnL'!BE74-SUM('Counter_PnL'!AX74:'Counter_PnL'!BB74,'Counter_PnL'!BD74))</x:f>
        <x:v>0</x:v>
      </x:c>
      <x:c r="J74" s="79" t="n">
        <x:f>ABS('Counter_PnL'!BL74-SUM('Counter_PnL'!AV74,'Counter_PnL'!BE74,'Counter_PnL'!BJ74,'Counter_PnL'!BK74))</x:f>
        <x:v>0</x:v>
      </x:c>
      <x:c r="K74" s="79" t="n">
        <x:f>ABS('Counter_PnL'!BO74-('Counter_PnL'!BL74+'Counter_PnL'!BN74))</x:f>
        <x:v>0</x:v>
      </x:c>
      <x:c r="L74" s="79" t="n">
        <x:f>MAX(ABS('Counter_PnL'!AW74-'Counter_PnL'!AV74/'Counter_PnL'!AK74),ABS('Counter_PnL'!BM74-'Counter_PnL'!BL74/'Counter_PnL'!AK74),ABS('Counter_PnL'!BP74-'Counter_PnL'!BO74/'Counter_PnL'!AK74))</x:f>
        <x:v>0</x:v>
      </x:c>
      <x:c r="M74" s="30" t="n">
        <x:f>IF(AND('Counter_PnL'!Q74&gt;0,'Counter_PnL'!AK74&gt;0,'Counter_PnL'!R74&lt;=0,'Counter_PnL'!T74&lt;=0,'Counter_PnL'!AT74&lt;=0,'Counter_PnL'!BE74&lt;=0,'Counter_PnL'!BJ74&lt;=0,'Counter_PnL'!BK74&lt;=0,'Counter_PnL'!BN74&lt;=0),0,1)</x:f>
        <x:v>0</x:v>
      </x:c>
    </x:row>
    <x:row r="75">
      <x:c r="A75" t="str">
        <x:f>'Counter_PnL'!D75</x:f>
        <x:v>CNCT0019</x:v>
      </x:c>
      <x:c r="B75" t="str">
        <x:f>'Counter_PnL'!C75</x:f>
        <x:v>2025 S2</x:v>
      </x:c>
      <x:c r="C75" s="30" t="n">
        <x:f>COUNTIFS('Counter_PnL'!$D$2:$D$641,A75,'Counter_PnL'!$C$2:$C$641,B75)</x:f>
        <x:v>1</x:v>
      </x:c>
      <x:c r="D75" s="79" t="n">
        <x:f>ABS('Counter_PnL'!AC75-SUM('Counter_PnL'!V75:'Counter_PnL'!AB75))</x:f>
        <x:v>0</x:v>
      </x:c>
      <x:c r="E75" s="79" t="n">
        <x:f>ABS('Counter_PnL'!AI75-SUM('Counter_PnL'!R75,'Counter_PnL'!T75,'Counter_PnL'!AC75,'Counter_PnL'!AE75,'Counter_PnL'!AG75,'Counter_PnL'!AH75))</x:f>
        <x:v>0</x:v>
      </x:c>
      <x:c r="F75" s="79" t="n">
        <x:f>ABS('Counter_PnL'!AK75-('Counter_PnL'!Q75+'Counter_PnL'!AI75))</x:f>
        <x:v>0</x:v>
      </x:c>
      <x:c r="G75" s="79" t="n">
        <x:f>ABS('Counter_PnL'!AT75-SUM('Counter_PnL'!AO75:'Counter_PnL'!AS75))</x:f>
        <x:v>0</x:v>
      </x:c>
      <x:c r="H75" s="79" t="n">
        <x:f>ABS('Counter_PnL'!AV75-('Counter_PnL'!AK75+'Counter_PnL'!AT75))</x:f>
        <x:v>0</x:v>
      </x:c>
      <x:c r="I75" s="79" t="n">
        <x:f>ABS('Counter_PnL'!BE75-SUM('Counter_PnL'!AX75:'Counter_PnL'!BB75,'Counter_PnL'!BD75))</x:f>
        <x:v>0</x:v>
      </x:c>
      <x:c r="J75" s="79" t="n">
        <x:f>ABS('Counter_PnL'!BL75-SUM('Counter_PnL'!AV75,'Counter_PnL'!BE75,'Counter_PnL'!BJ75,'Counter_PnL'!BK75))</x:f>
        <x:v>0</x:v>
      </x:c>
      <x:c r="K75" s="79" t="n">
        <x:f>ABS('Counter_PnL'!BO75-('Counter_PnL'!BL75+'Counter_PnL'!BN75))</x:f>
        <x:v>0</x:v>
      </x:c>
      <x:c r="L75" s="79" t="n">
        <x:f>MAX(ABS('Counter_PnL'!AW75-'Counter_PnL'!AV75/'Counter_PnL'!AK75),ABS('Counter_PnL'!BM75-'Counter_PnL'!BL75/'Counter_PnL'!AK75),ABS('Counter_PnL'!BP75-'Counter_PnL'!BO75/'Counter_PnL'!AK75))</x:f>
        <x:v>0</x:v>
      </x:c>
      <x:c r="M75" s="30" t="n">
        <x:f>IF(AND('Counter_PnL'!Q75&gt;0,'Counter_PnL'!AK75&gt;0,'Counter_PnL'!R75&lt;=0,'Counter_PnL'!T75&lt;=0,'Counter_PnL'!AT75&lt;=0,'Counter_PnL'!BE75&lt;=0,'Counter_PnL'!BJ75&lt;=0,'Counter_PnL'!BK75&lt;=0,'Counter_PnL'!BN75&lt;=0),0,1)</x:f>
        <x:v>0</x:v>
      </x:c>
    </x:row>
    <x:row r="76">
      <x:c r="A76" t="str">
        <x:f>'Counter_PnL'!D76</x:f>
        <x:v>CNCT0019</x:v>
      </x:c>
      <x:c r="B76" t="str">
        <x:f>'Counter_PnL'!C76</x:f>
        <x:v>2026 S1</x:v>
      </x:c>
      <x:c r="C76" s="30" t="n">
        <x:f>COUNTIFS('Counter_PnL'!$D$2:$D$641,A76,'Counter_PnL'!$C$2:$C$641,B76)</x:f>
        <x:v>1</x:v>
      </x:c>
      <x:c r="D76" s="79" t="n">
        <x:f>ABS('Counter_PnL'!AC76-SUM('Counter_PnL'!V76:'Counter_PnL'!AB76))</x:f>
        <x:v>0</x:v>
      </x:c>
      <x:c r="E76" s="79" t="n">
        <x:f>ABS('Counter_PnL'!AI76-SUM('Counter_PnL'!R76,'Counter_PnL'!T76,'Counter_PnL'!AC76,'Counter_PnL'!AE76,'Counter_PnL'!AG76,'Counter_PnL'!AH76))</x:f>
        <x:v>0</x:v>
      </x:c>
      <x:c r="F76" s="79" t="n">
        <x:f>ABS('Counter_PnL'!AK76-('Counter_PnL'!Q76+'Counter_PnL'!AI76))</x:f>
        <x:v>0</x:v>
      </x:c>
      <x:c r="G76" s="79" t="n">
        <x:f>ABS('Counter_PnL'!AT76-SUM('Counter_PnL'!AO76:'Counter_PnL'!AS76))</x:f>
        <x:v>0</x:v>
      </x:c>
      <x:c r="H76" s="79" t="n">
        <x:f>ABS('Counter_PnL'!AV76-('Counter_PnL'!AK76+'Counter_PnL'!AT76))</x:f>
        <x:v>0</x:v>
      </x:c>
      <x:c r="I76" s="79" t="n">
        <x:f>ABS('Counter_PnL'!BE76-SUM('Counter_PnL'!AX76:'Counter_PnL'!BB76,'Counter_PnL'!BD76))</x:f>
        <x:v>0</x:v>
      </x:c>
      <x:c r="J76" s="79" t="n">
        <x:f>ABS('Counter_PnL'!BL76-SUM('Counter_PnL'!AV76,'Counter_PnL'!BE76,'Counter_PnL'!BJ76,'Counter_PnL'!BK76))</x:f>
        <x:v>0</x:v>
      </x:c>
      <x:c r="K76" s="79" t="n">
        <x:f>ABS('Counter_PnL'!BO76-('Counter_PnL'!BL76+'Counter_PnL'!BN76))</x:f>
        <x:v>0</x:v>
      </x:c>
      <x:c r="L76" s="79" t="n">
        <x:f>MAX(ABS('Counter_PnL'!AW76-'Counter_PnL'!AV76/'Counter_PnL'!AK76),ABS('Counter_PnL'!BM76-'Counter_PnL'!BL76/'Counter_PnL'!AK76),ABS('Counter_PnL'!BP76-'Counter_PnL'!BO76/'Counter_PnL'!AK76))</x:f>
        <x:v>0</x:v>
      </x:c>
      <x:c r="M76" s="30" t="n">
        <x:f>IF(AND('Counter_PnL'!Q76&gt;0,'Counter_PnL'!AK76&gt;0,'Counter_PnL'!R76&lt;=0,'Counter_PnL'!T76&lt;=0,'Counter_PnL'!AT76&lt;=0,'Counter_PnL'!BE76&lt;=0,'Counter_PnL'!BJ76&lt;=0,'Counter_PnL'!BK76&lt;=0,'Counter_PnL'!BN76&lt;=0),0,1)</x:f>
        <x:v>0</x:v>
      </x:c>
    </x:row>
    <x:row r="77">
      <x:c r="A77" t="str">
        <x:f>'Counter_PnL'!D77</x:f>
        <x:v>CNCT0019</x:v>
      </x:c>
      <x:c r="B77" t="str">
        <x:f>'Counter_PnL'!C77</x:f>
        <x:v>2026 S2</x:v>
      </x:c>
      <x:c r="C77" s="30" t="n">
        <x:f>COUNTIFS('Counter_PnL'!$D$2:$D$641,A77,'Counter_PnL'!$C$2:$C$641,B77)</x:f>
        <x:v>1</x:v>
      </x:c>
      <x:c r="D77" s="79" t="n">
        <x:f>ABS('Counter_PnL'!AC77-SUM('Counter_PnL'!V77:'Counter_PnL'!AB77))</x:f>
        <x:v>0</x:v>
      </x:c>
      <x:c r="E77" s="79" t="n">
        <x:f>ABS('Counter_PnL'!AI77-SUM('Counter_PnL'!R77,'Counter_PnL'!T77,'Counter_PnL'!AC77,'Counter_PnL'!AE77,'Counter_PnL'!AG77,'Counter_PnL'!AH77))</x:f>
        <x:v>0</x:v>
      </x:c>
      <x:c r="F77" s="79" t="n">
        <x:f>ABS('Counter_PnL'!AK77-('Counter_PnL'!Q77+'Counter_PnL'!AI77))</x:f>
        <x:v>0</x:v>
      </x:c>
      <x:c r="G77" s="79" t="n">
        <x:f>ABS('Counter_PnL'!AT77-SUM('Counter_PnL'!AO77:'Counter_PnL'!AS77))</x:f>
        <x:v>0</x:v>
      </x:c>
      <x:c r="H77" s="79" t="n">
        <x:f>ABS('Counter_PnL'!AV77-('Counter_PnL'!AK77+'Counter_PnL'!AT77))</x:f>
        <x:v>0</x:v>
      </x:c>
      <x:c r="I77" s="79" t="n">
        <x:f>ABS('Counter_PnL'!BE77-SUM('Counter_PnL'!AX77:'Counter_PnL'!BB77,'Counter_PnL'!BD77))</x:f>
        <x:v>0</x:v>
      </x:c>
      <x:c r="J77" s="79" t="n">
        <x:f>ABS('Counter_PnL'!BL77-SUM('Counter_PnL'!AV77,'Counter_PnL'!BE77,'Counter_PnL'!BJ77,'Counter_PnL'!BK77))</x:f>
        <x:v>0</x:v>
      </x:c>
      <x:c r="K77" s="79" t="n">
        <x:f>ABS('Counter_PnL'!BO77-('Counter_PnL'!BL77+'Counter_PnL'!BN77))</x:f>
        <x:v>0</x:v>
      </x:c>
      <x:c r="L77" s="79" t="n">
        <x:f>MAX(ABS('Counter_PnL'!AW77-'Counter_PnL'!AV77/'Counter_PnL'!AK77),ABS('Counter_PnL'!BM77-'Counter_PnL'!BL77/'Counter_PnL'!AK77),ABS('Counter_PnL'!BP77-'Counter_PnL'!BO77/'Counter_PnL'!AK77))</x:f>
        <x:v>0</x:v>
      </x:c>
      <x:c r="M77" s="30" t="n">
        <x:f>IF(AND('Counter_PnL'!Q77&gt;0,'Counter_PnL'!AK77&gt;0,'Counter_PnL'!R77&lt;=0,'Counter_PnL'!T77&lt;=0,'Counter_PnL'!AT77&lt;=0,'Counter_PnL'!BE77&lt;=0,'Counter_PnL'!BJ77&lt;=0,'Counter_PnL'!BK77&lt;=0,'Counter_PnL'!BN77&lt;=0),0,1)</x:f>
        <x:v>0</x:v>
      </x:c>
    </x:row>
    <x:row r="78">
      <x:c r="A78" t="str">
        <x:f>'Counter_PnL'!D78</x:f>
        <x:v>CNCT0020</x:v>
      </x:c>
      <x:c r="B78" t="str">
        <x:f>'Counter_PnL'!C78</x:f>
        <x:v>2025 S1</x:v>
      </x:c>
      <x:c r="C78" s="30" t="n">
        <x:f>COUNTIFS('Counter_PnL'!$D$2:$D$641,A78,'Counter_PnL'!$C$2:$C$641,B78)</x:f>
        <x:v>1</x:v>
      </x:c>
      <x:c r="D78" s="79" t="n">
        <x:f>ABS('Counter_PnL'!AC78-SUM('Counter_PnL'!V78:'Counter_PnL'!AB78))</x:f>
        <x:v>0</x:v>
      </x:c>
      <x:c r="E78" s="79" t="n">
        <x:f>ABS('Counter_PnL'!AI78-SUM('Counter_PnL'!R78,'Counter_PnL'!T78,'Counter_PnL'!AC78,'Counter_PnL'!AE78,'Counter_PnL'!AG78,'Counter_PnL'!AH78))</x:f>
        <x:v>0</x:v>
      </x:c>
      <x:c r="F78" s="79" t="n">
        <x:f>ABS('Counter_PnL'!AK78-('Counter_PnL'!Q78+'Counter_PnL'!AI78))</x:f>
        <x:v>0</x:v>
      </x:c>
      <x:c r="G78" s="79" t="n">
        <x:f>ABS('Counter_PnL'!AT78-SUM('Counter_PnL'!AO78:'Counter_PnL'!AS78))</x:f>
        <x:v>0</x:v>
      </x:c>
      <x:c r="H78" s="79" t="n">
        <x:f>ABS('Counter_PnL'!AV78-('Counter_PnL'!AK78+'Counter_PnL'!AT78))</x:f>
        <x:v>0</x:v>
      </x:c>
      <x:c r="I78" s="79" t="n">
        <x:f>ABS('Counter_PnL'!BE78-SUM('Counter_PnL'!AX78:'Counter_PnL'!BB78,'Counter_PnL'!BD78))</x:f>
        <x:v>0</x:v>
      </x:c>
      <x:c r="J78" s="79" t="n">
        <x:f>ABS('Counter_PnL'!BL78-SUM('Counter_PnL'!AV78,'Counter_PnL'!BE78,'Counter_PnL'!BJ78,'Counter_PnL'!BK78))</x:f>
        <x:v>0</x:v>
      </x:c>
      <x:c r="K78" s="79" t="n">
        <x:f>ABS('Counter_PnL'!BO78-('Counter_PnL'!BL78+'Counter_PnL'!BN78))</x:f>
        <x:v>0</x:v>
      </x:c>
      <x:c r="L78" s="79" t="n">
        <x:f>MAX(ABS('Counter_PnL'!AW78-'Counter_PnL'!AV78/'Counter_PnL'!AK78),ABS('Counter_PnL'!BM78-'Counter_PnL'!BL78/'Counter_PnL'!AK78),ABS('Counter_PnL'!BP78-'Counter_PnL'!BO78/'Counter_PnL'!AK78))</x:f>
        <x:v>0</x:v>
      </x:c>
      <x:c r="M78" s="30" t="n">
        <x:f>IF(AND('Counter_PnL'!Q78&gt;0,'Counter_PnL'!AK78&gt;0,'Counter_PnL'!R78&lt;=0,'Counter_PnL'!T78&lt;=0,'Counter_PnL'!AT78&lt;=0,'Counter_PnL'!BE78&lt;=0,'Counter_PnL'!BJ78&lt;=0,'Counter_PnL'!BK78&lt;=0,'Counter_PnL'!BN78&lt;=0),0,1)</x:f>
        <x:v>0</x:v>
      </x:c>
    </x:row>
    <x:row r="79">
      <x:c r="A79" t="str">
        <x:f>'Counter_PnL'!D79</x:f>
        <x:v>CNCT0020</x:v>
      </x:c>
      <x:c r="B79" t="str">
        <x:f>'Counter_PnL'!C79</x:f>
        <x:v>2025 S2</x:v>
      </x:c>
      <x:c r="C79" s="30" t="n">
        <x:f>COUNTIFS('Counter_PnL'!$D$2:$D$641,A79,'Counter_PnL'!$C$2:$C$641,B79)</x:f>
        <x:v>1</x:v>
      </x:c>
      <x:c r="D79" s="79" t="n">
        <x:f>ABS('Counter_PnL'!AC79-SUM('Counter_PnL'!V79:'Counter_PnL'!AB79))</x:f>
        <x:v>0</x:v>
      </x:c>
      <x:c r="E79" s="79" t="n">
        <x:f>ABS('Counter_PnL'!AI79-SUM('Counter_PnL'!R79,'Counter_PnL'!T79,'Counter_PnL'!AC79,'Counter_PnL'!AE79,'Counter_PnL'!AG79,'Counter_PnL'!AH79))</x:f>
        <x:v>0</x:v>
      </x:c>
      <x:c r="F79" s="79" t="n">
        <x:f>ABS('Counter_PnL'!AK79-('Counter_PnL'!Q79+'Counter_PnL'!AI79))</x:f>
        <x:v>0</x:v>
      </x:c>
      <x:c r="G79" s="79" t="n">
        <x:f>ABS('Counter_PnL'!AT79-SUM('Counter_PnL'!AO79:'Counter_PnL'!AS79))</x:f>
        <x:v>0</x:v>
      </x:c>
      <x:c r="H79" s="79" t="n">
        <x:f>ABS('Counter_PnL'!AV79-('Counter_PnL'!AK79+'Counter_PnL'!AT79))</x:f>
        <x:v>0</x:v>
      </x:c>
      <x:c r="I79" s="79" t="n">
        <x:f>ABS('Counter_PnL'!BE79-SUM('Counter_PnL'!AX79:'Counter_PnL'!BB79,'Counter_PnL'!BD79))</x:f>
        <x:v>0</x:v>
      </x:c>
      <x:c r="J79" s="79" t="n">
        <x:f>ABS('Counter_PnL'!BL79-SUM('Counter_PnL'!AV79,'Counter_PnL'!BE79,'Counter_PnL'!BJ79,'Counter_PnL'!BK79))</x:f>
        <x:v>0</x:v>
      </x:c>
      <x:c r="K79" s="79" t="n">
        <x:f>ABS('Counter_PnL'!BO79-('Counter_PnL'!BL79+'Counter_PnL'!BN79))</x:f>
        <x:v>0</x:v>
      </x:c>
      <x:c r="L79" s="79" t="n">
        <x:f>MAX(ABS('Counter_PnL'!AW79-'Counter_PnL'!AV79/'Counter_PnL'!AK79),ABS('Counter_PnL'!BM79-'Counter_PnL'!BL79/'Counter_PnL'!AK79),ABS('Counter_PnL'!BP79-'Counter_PnL'!BO79/'Counter_PnL'!AK79))</x:f>
        <x:v>0</x:v>
      </x:c>
      <x:c r="M79" s="30" t="n">
        <x:f>IF(AND('Counter_PnL'!Q79&gt;0,'Counter_PnL'!AK79&gt;0,'Counter_PnL'!R79&lt;=0,'Counter_PnL'!T79&lt;=0,'Counter_PnL'!AT79&lt;=0,'Counter_PnL'!BE79&lt;=0,'Counter_PnL'!BJ79&lt;=0,'Counter_PnL'!BK79&lt;=0,'Counter_PnL'!BN79&lt;=0),0,1)</x:f>
        <x:v>0</x:v>
      </x:c>
    </x:row>
    <x:row r="80">
      <x:c r="A80" t="str">
        <x:f>'Counter_PnL'!D80</x:f>
        <x:v>CNCT0020</x:v>
      </x:c>
      <x:c r="B80" t="str">
        <x:f>'Counter_PnL'!C80</x:f>
        <x:v>2026 S1</x:v>
      </x:c>
      <x:c r="C80" s="30" t="n">
        <x:f>COUNTIFS('Counter_PnL'!$D$2:$D$641,A80,'Counter_PnL'!$C$2:$C$641,B80)</x:f>
        <x:v>1</x:v>
      </x:c>
      <x:c r="D80" s="79" t="n">
        <x:f>ABS('Counter_PnL'!AC80-SUM('Counter_PnL'!V80:'Counter_PnL'!AB80))</x:f>
        <x:v>0</x:v>
      </x:c>
      <x:c r="E80" s="79" t="n">
        <x:f>ABS('Counter_PnL'!AI80-SUM('Counter_PnL'!R80,'Counter_PnL'!T80,'Counter_PnL'!AC80,'Counter_PnL'!AE80,'Counter_PnL'!AG80,'Counter_PnL'!AH80))</x:f>
        <x:v>0</x:v>
      </x:c>
      <x:c r="F80" s="79" t="n">
        <x:f>ABS('Counter_PnL'!AK80-('Counter_PnL'!Q80+'Counter_PnL'!AI80))</x:f>
        <x:v>0</x:v>
      </x:c>
      <x:c r="G80" s="79" t="n">
        <x:f>ABS('Counter_PnL'!AT80-SUM('Counter_PnL'!AO80:'Counter_PnL'!AS80))</x:f>
        <x:v>0</x:v>
      </x:c>
      <x:c r="H80" s="79" t="n">
        <x:f>ABS('Counter_PnL'!AV80-('Counter_PnL'!AK80+'Counter_PnL'!AT80))</x:f>
        <x:v>0</x:v>
      </x:c>
      <x:c r="I80" s="79" t="n">
        <x:f>ABS('Counter_PnL'!BE80-SUM('Counter_PnL'!AX80:'Counter_PnL'!BB80,'Counter_PnL'!BD80))</x:f>
        <x:v>0</x:v>
      </x:c>
      <x:c r="J80" s="79" t="n">
        <x:f>ABS('Counter_PnL'!BL80-SUM('Counter_PnL'!AV80,'Counter_PnL'!BE80,'Counter_PnL'!BJ80,'Counter_PnL'!BK80))</x:f>
        <x:v>0</x:v>
      </x:c>
      <x:c r="K80" s="79" t="n">
        <x:f>ABS('Counter_PnL'!BO80-('Counter_PnL'!BL80+'Counter_PnL'!BN80))</x:f>
        <x:v>0</x:v>
      </x:c>
      <x:c r="L80" s="79" t="n">
        <x:f>MAX(ABS('Counter_PnL'!AW80-'Counter_PnL'!AV80/'Counter_PnL'!AK80),ABS('Counter_PnL'!BM80-'Counter_PnL'!BL80/'Counter_PnL'!AK80),ABS('Counter_PnL'!BP80-'Counter_PnL'!BO80/'Counter_PnL'!AK80))</x:f>
        <x:v>0</x:v>
      </x:c>
      <x:c r="M80" s="30" t="n">
        <x:f>IF(AND('Counter_PnL'!Q80&gt;0,'Counter_PnL'!AK80&gt;0,'Counter_PnL'!R80&lt;=0,'Counter_PnL'!T80&lt;=0,'Counter_PnL'!AT80&lt;=0,'Counter_PnL'!BE80&lt;=0,'Counter_PnL'!BJ80&lt;=0,'Counter_PnL'!BK80&lt;=0,'Counter_PnL'!BN80&lt;=0),0,1)</x:f>
        <x:v>0</x:v>
      </x:c>
    </x:row>
    <x:row r="81">
      <x:c r="A81" t="str">
        <x:f>'Counter_PnL'!D81</x:f>
        <x:v>CNCT0020</x:v>
      </x:c>
      <x:c r="B81" t="str">
        <x:f>'Counter_PnL'!C81</x:f>
        <x:v>2026 S2</x:v>
      </x:c>
      <x:c r="C81" s="30" t="n">
        <x:f>COUNTIFS('Counter_PnL'!$D$2:$D$641,A81,'Counter_PnL'!$C$2:$C$641,B81)</x:f>
        <x:v>1</x:v>
      </x:c>
      <x:c r="D81" s="79" t="n">
        <x:f>ABS('Counter_PnL'!AC81-SUM('Counter_PnL'!V81:'Counter_PnL'!AB81))</x:f>
        <x:v>0</x:v>
      </x:c>
      <x:c r="E81" s="79" t="n">
        <x:f>ABS('Counter_PnL'!AI81-SUM('Counter_PnL'!R81,'Counter_PnL'!T81,'Counter_PnL'!AC81,'Counter_PnL'!AE81,'Counter_PnL'!AG81,'Counter_PnL'!AH81))</x:f>
        <x:v>0</x:v>
      </x:c>
      <x:c r="F81" s="79" t="n">
        <x:f>ABS('Counter_PnL'!AK81-('Counter_PnL'!Q81+'Counter_PnL'!AI81))</x:f>
        <x:v>0</x:v>
      </x:c>
      <x:c r="G81" s="79" t="n">
        <x:f>ABS('Counter_PnL'!AT81-SUM('Counter_PnL'!AO81:'Counter_PnL'!AS81))</x:f>
        <x:v>0</x:v>
      </x:c>
      <x:c r="H81" s="79" t="n">
        <x:f>ABS('Counter_PnL'!AV81-('Counter_PnL'!AK81+'Counter_PnL'!AT81))</x:f>
        <x:v>0</x:v>
      </x:c>
      <x:c r="I81" s="79" t="n">
        <x:f>ABS('Counter_PnL'!BE81-SUM('Counter_PnL'!AX81:'Counter_PnL'!BB81,'Counter_PnL'!BD81))</x:f>
        <x:v>0</x:v>
      </x:c>
      <x:c r="J81" s="79" t="n">
        <x:f>ABS('Counter_PnL'!BL81-SUM('Counter_PnL'!AV81,'Counter_PnL'!BE81,'Counter_PnL'!BJ81,'Counter_PnL'!BK81))</x:f>
        <x:v>0</x:v>
      </x:c>
      <x:c r="K81" s="79" t="n">
        <x:f>ABS('Counter_PnL'!BO81-('Counter_PnL'!BL81+'Counter_PnL'!BN81))</x:f>
        <x:v>0</x:v>
      </x:c>
      <x:c r="L81" s="79" t="n">
        <x:f>MAX(ABS('Counter_PnL'!AW81-'Counter_PnL'!AV81/'Counter_PnL'!AK81),ABS('Counter_PnL'!BM81-'Counter_PnL'!BL81/'Counter_PnL'!AK81),ABS('Counter_PnL'!BP81-'Counter_PnL'!BO81/'Counter_PnL'!AK81))</x:f>
        <x:v>0</x:v>
      </x:c>
      <x:c r="M81" s="30" t="n">
        <x:f>IF(AND('Counter_PnL'!Q81&gt;0,'Counter_PnL'!AK81&gt;0,'Counter_PnL'!R81&lt;=0,'Counter_PnL'!T81&lt;=0,'Counter_PnL'!AT81&lt;=0,'Counter_PnL'!BE81&lt;=0,'Counter_PnL'!BJ81&lt;=0,'Counter_PnL'!BK81&lt;=0,'Counter_PnL'!BN81&lt;=0),0,1)</x:f>
        <x:v>0</x:v>
      </x:c>
    </x:row>
    <x:row r="82">
      <x:c r="A82" t="str">
        <x:f>'Counter_PnL'!D82</x:f>
        <x:v>CNCT0021</x:v>
      </x:c>
      <x:c r="B82" t="str">
        <x:f>'Counter_PnL'!C82</x:f>
        <x:v>2025 S1</x:v>
      </x:c>
      <x:c r="C82" s="30" t="n">
        <x:f>COUNTIFS('Counter_PnL'!$D$2:$D$641,A82,'Counter_PnL'!$C$2:$C$641,B82)</x:f>
        <x:v>1</x:v>
      </x:c>
      <x:c r="D82" s="79" t="n">
        <x:f>ABS('Counter_PnL'!AC82-SUM('Counter_PnL'!V82:'Counter_PnL'!AB82))</x:f>
        <x:v>0</x:v>
      </x:c>
      <x:c r="E82" s="79" t="n">
        <x:f>ABS('Counter_PnL'!AI82-SUM('Counter_PnL'!R82,'Counter_PnL'!T82,'Counter_PnL'!AC82,'Counter_PnL'!AE82,'Counter_PnL'!AG82,'Counter_PnL'!AH82))</x:f>
        <x:v>0</x:v>
      </x:c>
      <x:c r="F82" s="79" t="n">
        <x:f>ABS('Counter_PnL'!AK82-('Counter_PnL'!Q82+'Counter_PnL'!AI82))</x:f>
        <x:v>0</x:v>
      </x:c>
      <x:c r="G82" s="79" t="n">
        <x:f>ABS('Counter_PnL'!AT82-SUM('Counter_PnL'!AO82:'Counter_PnL'!AS82))</x:f>
        <x:v>0</x:v>
      </x:c>
      <x:c r="H82" s="79" t="n">
        <x:f>ABS('Counter_PnL'!AV82-('Counter_PnL'!AK82+'Counter_PnL'!AT82))</x:f>
        <x:v>0</x:v>
      </x:c>
      <x:c r="I82" s="79" t="n">
        <x:f>ABS('Counter_PnL'!BE82-SUM('Counter_PnL'!AX82:'Counter_PnL'!BB82,'Counter_PnL'!BD82))</x:f>
        <x:v>0</x:v>
      </x:c>
      <x:c r="J82" s="79" t="n">
        <x:f>ABS('Counter_PnL'!BL82-SUM('Counter_PnL'!AV82,'Counter_PnL'!BE82,'Counter_PnL'!BJ82,'Counter_PnL'!BK82))</x:f>
        <x:v>0</x:v>
      </x:c>
      <x:c r="K82" s="79" t="n">
        <x:f>ABS('Counter_PnL'!BO82-('Counter_PnL'!BL82+'Counter_PnL'!BN82))</x:f>
        <x:v>0</x:v>
      </x:c>
      <x:c r="L82" s="79" t="n">
        <x:f>MAX(ABS('Counter_PnL'!AW82-'Counter_PnL'!AV82/'Counter_PnL'!AK82),ABS('Counter_PnL'!BM82-'Counter_PnL'!BL82/'Counter_PnL'!AK82),ABS('Counter_PnL'!BP82-'Counter_PnL'!BO82/'Counter_PnL'!AK82))</x:f>
        <x:v>0</x:v>
      </x:c>
      <x:c r="M82" s="30" t="n">
        <x:f>IF(AND('Counter_PnL'!Q82&gt;0,'Counter_PnL'!AK82&gt;0,'Counter_PnL'!R82&lt;=0,'Counter_PnL'!T82&lt;=0,'Counter_PnL'!AT82&lt;=0,'Counter_PnL'!BE82&lt;=0,'Counter_PnL'!BJ82&lt;=0,'Counter_PnL'!BK82&lt;=0,'Counter_PnL'!BN82&lt;=0),0,1)</x:f>
        <x:v>0</x:v>
      </x:c>
    </x:row>
    <x:row r="83">
      <x:c r="A83" t="str">
        <x:f>'Counter_PnL'!D83</x:f>
        <x:v>CNCT0021</x:v>
      </x:c>
      <x:c r="B83" t="str">
        <x:f>'Counter_PnL'!C83</x:f>
        <x:v>2025 S2</x:v>
      </x:c>
      <x:c r="C83" s="30" t="n">
        <x:f>COUNTIFS('Counter_PnL'!$D$2:$D$641,A83,'Counter_PnL'!$C$2:$C$641,B83)</x:f>
        <x:v>1</x:v>
      </x:c>
      <x:c r="D83" s="79" t="n">
        <x:f>ABS('Counter_PnL'!AC83-SUM('Counter_PnL'!V83:'Counter_PnL'!AB83))</x:f>
        <x:v>0</x:v>
      </x:c>
      <x:c r="E83" s="79" t="n">
        <x:f>ABS('Counter_PnL'!AI83-SUM('Counter_PnL'!R83,'Counter_PnL'!T83,'Counter_PnL'!AC83,'Counter_PnL'!AE83,'Counter_PnL'!AG83,'Counter_PnL'!AH83))</x:f>
        <x:v>0</x:v>
      </x:c>
      <x:c r="F83" s="79" t="n">
        <x:f>ABS('Counter_PnL'!AK83-('Counter_PnL'!Q83+'Counter_PnL'!AI83))</x:f>
        <x:v>0</x:v>
      </x:c>
      <x:c r="G83" s="79" t="n">
        <x:f>ABS('Counter_PnL'!AT83-SUM('Counter_PnL'!AO83:'Counter_PnL'!AS83))</x:f>
        <x:v>0</x:v>
      </x:c>
      <x:c r="H83" s="79" t="n">
        <x:f>ABS('Counter_PnL'!AV83-('Counter_PnL'!AK83+'Counter_PnL'!AT83))</x:f>
        <x:v>0</x:v>
      </x:c>
      <x:c r="I83" s="79" t="n">
        <x:f>ABS('Counter_PnL'!BE83-SUM('Counter_PnL'!AX83:'Counter_PnL'!BB83,'Counter_PnL'!BD83))</x:f>
        <x:v>0</x:v>
      </x:c>
      <x:c r="J83" s="79" t="n">
        <x:f>ABS('Counter_PnL'!BL83-SUM('Counter_PnL'!AV83,'Counter_PnL'!BE83,'Counter_PnL'!BJ83,'Counter_PnL'!BK83))</x:f>
        <x:v>0</x:v>
      </x:c>
      <x:c r="K83" s="79" t="n">
        <x:f>ABS('Counter_PnL'!BO83-('Counter_PnL'!BL83+'Counter_PnL'!BN83))</x:f>
        <x:v>0</x:v>
      </x:c>
      <x:c r="L83" s="79" t="n">
        <x:f>MAX(ABS('Counter_PnL'!AW83-'Counter_PnL'!AV83/'Counter_PnL'!AK83),ABS('Counter_PnL'!BM83-'Counter_PnL'!BL83/'Counter_PnL'!AK83),ABS('Counter_PnL'!BP83-'Counter_PnL'!BO83/'Counter_PnL'!AK83))</x:f>
        <x:v>0</x:v>
      </x:c>
      <x:c r="M83" s="30" t="n">
        <x:f>IF(AND('Counter_PnL'!Q83&gt;0,'Counter_PnL'!AK83&gt;0,'Counter_PnL'!R83&lt;=0,'Counter_PnL'!T83&lt;=0,'Counter_PnL'!AT83&lt;=0,'Counter_PnL'!BE83&lt;=0,'Counter_PnL'!BJ83&lt;=0,'Counter_PnL'!BK83&lt;=0,'Counter_PnL'!BN83&lt;=0),0,1)</x:f>
        <x:v>0</x:v>
      </x:c>
    </x:row>
    <x:row r="84">
      <x:c r="A84" t="str">
        <x:f>'Counter_PnL'!D84</x:f>
        <x:v>CNCT0021</x:v>
      </x:c>
      <x:c r="B84" t="str">
        <x:f>'Counter_PnL'!C84</x:f>
        <x:v>2026 S1</x:v>
      </x:c>
      <x:c r="C84" s="30" t="n">
        <x:f>COUNTIFS('Counter_PnL'!$D$2:$D$641,A84,'Counter_PnL'!$C$2:$C$641,B84)</x:f>
        <x:v>1</x:v>
      </x:c>
      <x:c r="D84" s="79" t="n">
        <x:f>ABS('Counter_PnL'!AC84-SUM('Counter_PnL'!V84:'Counter_PnL'!AB84))</x:f>
        <x:v>0</x:v>
      </x:c>
      <x:c r="E84" s="79" t="n">
        <x:f>ABS('Counter_PnL'!AI84-SUM('Counter_PnL'!R84,'Counter_PnL'!T84,'Counter_PnL'!AC84,'Counter_PnL'!AE84,'Counter_PnL'!AG84,'Counter_PnL'!AH84))</x:f>
        <x:v>0</x:v>
      </x:c>
      <x:c r="F84" s="79" t="n">
        <x:f>ABS('Counter_PnL'!AK84-('Counter_PnL'!Q84+'Counter_PnL'!AI84))</x:f>
        <x:v>0</x:v>
      </x:c>
      <x:c r="G84" s="79" t="n">
        <x:f>ABS('Counter_PnL'!AT84-SUM('Counter_PnL'!AO84:'Counter_PnL'!AS84))</x:f>
        <x:v>0</x:v>
      </x:c>
      <x:c r="H84" s="79" t="n">
        <x:f>ABS('Counter_PnL'!AV84-('Counter_PnL'!AK84+'Counter_PnL'!AT84))</x:f>
        <x:v>0</x:v>
      </x:c>
      <x:c r="I84" s="79" t="n">
        <x:f>ABS('Counter_PnL'!BE84-SUM('Counter_PnL'!AX84:'Counter_PnL'!BB84,'Counter_PnL'!BD84))</x:f>
        <x:v>0</x:v>
      </x:c>
      <x:c r="J84" s="79" t="n">
        <x:f>ABS('Counter_PnL'!BL84-SUM('Counter_PnL'!AV84,'Counter_PnL'!BE84,'Counter_PnL'!BJ84,'Counter_PnL'!BK84))</x:f>
        <x:v>0</x:v>
      </x:c>
      <x:c r="K84" s="79" t="n">
        <x:f>ABS('Counter_PnL'!BO84-('Counter_PnL'!BL84+'Counter_PnL'!BN84))</x:f>
        <x:v>0</x:v>
      </x:c>
      <x:c r="L84" s="79" t="n">
        <x:f>MAX(ABS('Counter_PnL'!AW84-'Counter_PnL'!AV84/'Counter_PnL'!AK84),ABS('Counter_PnL'!BM84-'Counter_PnL'!BL84/'Counter_PnL'!AK84),ABS('Counter_PnL'!BP84-'Counter_PnL'!BO84/'Counter_PnL'!AK84))</x:f>
        <x:v>0</x:v>
      </x:c>
      <x:c r="M84" s="30" t="n">
        <x:f>IF(AND('Counter_PnL'!Q84&gt;0,'Counter_PnL'!AK84&gt;0,'Counter_PnL'!R84&lt;=0,'Counter_PnL'!T84&lt;=0,'Counter_PnL'!AT84&lt;=0,'Counter_PnL'!BE84&lt;=0,'Counter_PnL'!BJ84&lt;=0,'Counter_PnL'!BK84&lt;=0,'Counter_PnL'!BN84&lt;=0),0,1)</x:f>
        <x:v>0</x:v>
      </x:c>
    </x:row>
    <x:row r="85">
      <x:c r="A85" t="str">
        <x:f>'Counter_PnL'!D85</x:f>
        <x:v>CNCT0021</x:v>
      </x:c>
      <x:c r="B85" t="str">
        <x:f>'Counter_PnL'!C85</x:f>
        <x:v>2026 S2</x:v>
      </x:c>
      <x:c r="C85" s="30" t="n">
        <x:f>COUNTIFS('Counter_PnL'!$D$2:$D$641,A85,'Counter_PnL'!$C$2:$C$641,B85)</x:f>
        <x:v>1</x:v>
      </x:c>
      <x:c r="D85" s="79" t="n">
        <x:f>ABS('Counter_PnL'!AC85-SUM('Counter_PnL'!V85:'Counter_PnL'!AB85))</x:f>
        <x:v>0</x:v>
      </x:c>
      <x:c r="E85" s="79" t="n">
        <x:f>ABS('Counter_PnL'!AI85-SUM('Counter_PnL'!R85,'Counter_PnL'!T85,'Counter_PnL'!AC85,'Counter_PnL'!AE85,'Counter_PnL'!AG85,'Counter_PnL'!AH85))</x:f>
        <x:v>0</x:v>
      </x:c>
      <x:c r="F85" s="79" t="n">
        <x:f>ABS('Counter_PnL'!AK85-('Counter_PnL'!Q85+'Counter_PnL'!AI85))</x:f>
        <x:v>0</x:v>
      </x:c>
      <x:c r="G85" s="79" t="n">
        <x:f>ABS('Counter_PnL'!AT85-SUM('Counter_PnL'!AO85:'Counter_PnL'!AS85))</x:f>
        <x:v>0</x:v>
      </x:c>
      <x:c r="H85" s="79" t="n">
        <x:f>ABS('Counter_PnL'!AV85-('Counter_PnL'!AK85+'Counter_PnL'!AT85))</x:f>
        <x:v>0</x:v>
      </x:c>
      <x:c r="I85" s="79" t="n">
        <x:f>ABS('Counter_PnL'!BE85-SUM('Counter_PnL'!AX85:'Counter_PnL'!BB85,'Counter_PnL'!BD85))</x:f>
        <x:v>0</x:v>
      </x:c>
      <x:c r="J85" s="79" t="n">
        <x:f>ABS('Counter_PnL'!BL85-SUM('Counter_PnL'!AV85,'Counter_PnL'!BE85,'Counter_PnL'!BJ85,'Counter_PnL'!BK85))</x:f>
        <x:v>0</x:v>
      </x:c>
      <x:c r="K85" s="79" t="n">
        <x:f>ABS('Counter_PnL'!BO85-('Counter_PnL'!BL85+'Counter_PnL'!BN85))</x:f>
        <x:v>0</x:v>
      </x:c>
      <x:c r="L85" s="79" t="n">
        <x:f>MAX(ABS('Counter_PnL'!AW85-'Counter_PnL'!AV85/'Counter_PnL'!AK85),ABS('Counter_PnL'!BM85-'Counter_PnL'!BL85/'Counter_PnL'!AK85),ABS('Counter_PnL'!BP85-'Counter_PnL'!BO85/'Counter_PnL'!AK85))</x:f>
        <x:v>0</x:v>
      </x:c>
      <x:c r="M85" s="30" t="n">
        <x:f>IF(AND('Counter_PnL'!Q85&gt;0,'Counter_PnL'!AK85&gt;0,'Counter_PnL'!R85&lt;=0,'Counter_PnL'!T85&lt;=0,'Counter_PnL'!AT85&lt;=0,'Counter_PnL'!BE85&lt;=0,'Counter_PnL'!BJ85&lt;=0,'Counter_PnL'!BK85&lt;=0,'Counter_PnL'!BN85&lt;=0),0,1)</x:f>
        <x:v>0</x:v>
      </x:c>
    </x:row>
    <x:row r="86">
      <x:c r="A86" t="str">
        <x:f>'Counter_PnL'!D86</x:f>
        <x:v>CNCT0022</x:v>
      </x:c>
      <x:c r="B86" t="str">
        <x:f>'Counter_PnL'!C86</x:f>
        <x:v>2025 S1</x:v>
      </x:c>
      <x:c r="C86" s="30" t="n">
        <x:f>COUNTIFS('Counter_PnL'!$D$2:$D$641,A86,'Counter_PnL'!$C$2:$C$641,B86)</x:f>
        <x:v>1</x:v>
      </x:c>
      <x:c r="D86" s="79" t="n">
        <x:f>ABS('Counter_PnL'!AC86-SUM('Counter_PnL'!V86:'Counter_PnL'!AB86))</x:f>
        <x:v>0</x:v>
      </x:c>
      <x:c r="E86" s="79" t="n">
        <x:f>ABS('Counter_PnL'!AI86-SUM('Counter_PnL'!R86,'Counter_PnL'!T86,'Counter_PnL'!AC86,'Counter_PnL'!AE86,'Counter_PnL'!AG86,'Counter_PnL'!AH86))</x:f>
        <x:v>0</x:v>
      </x:c>
      <x:c r="F86" s="79" t="n">
        <x:f>ABS('Counter_PnL'!AK86-('Counter_PnL'!Q86+'Counter_PnL'!AI86))</x:f>
        <x:v>0</x:v>
      </x:c>
      <x:c r="G86" s="79" t="n">
        <x:f>ABS('Counter_PnL'!AT86-SUM('Counter_PnL'!AO86:'Counter_PnL'!AS86))</x:f>
        <x:v>0</x:v>
      </x:c>
      <x:c r="H86" s="79" t="n">
        <x:f>ABS('Counter_PnL'!AV86-('Counter_PnL'!AK86+'Counter_PnL'!AT86))</x:f>
        <x:v>0</x:v>
      </x:c>
      <x:c r="I86" s="79" t="n">
        <x:f>ABS('Counter_PnL'!BE86-SUM('Counter_PnL'!AX86:'Counter_PnL'!BB86,'Counter_PnL'!BD86))</x:f>
        <x:v>0</x:v>
      </x:c>
      <x:c r="J86" s="79" t="n">
        <x:f>ABS('Counter_PnL'!BL86-SUM('Counter_PnL'!AV86,'Counter_PnL'!BE86,'Counter_PnL'!BJ86,'Counter_PnL'!BK86))</x:f>
        <x:v>0</x:v>
      </x:c>
      <x:c r="K86" s="79" t="n">
        <x:f>ABS('Counter_PnL'!BO86-('Counter_PnL'!BL86+'Counter_PnL'!BN86))</x:f>
        <x:v>0</x:v>
      </x:c>
      <x:c r="L86" s="79" t="n">
        <x:f>MAX(ABS('Counter_PnL'!AW86-'Counter_PnL'!AV86/'Counter_PnL'!AK86),ABS('Counter_PnL'!BM86-'Counter_PnL'!BL86/'Counter_PnL'!AK86),ABS('Counter_PnL'!BP86-'Counter_PnL'!BO86/'Counter_PnL'!AK86))</x:f>
        <x:v>0</x:v>
      </x:c>
      <x:c r="M86" s="30" t="n">
        <x:f>IF(AND('Counter_PnL'!Q86&gt;0,'Counter_PnL'!AK86&gt;0,'Counter_PnL'!R86&lt;=0,'Counter_PnL'!T86&lt;=0,'Counter_PnL'!AT86&lt;=0,'Counter_PnL'!BE86&lt;=0,'Counter_PnL'!BJ86&lt;=0,'Counter_PnL'!BK86&lt;=0,'Counter_PnL'!BN86&lt;=0),0,1)</x:f>
        <x:v>0</x:v>
      </x:c>
    </x:row>
    <x:row r="87">
      <x:c r="A87" t="str">
        <x:f>'Counter_PnL'!D87</x:f>
        <x:v>CNCT0022</x:v>
      </x:c>
      <x:c r="B87" t="str">
        <x:f>'Counter_PnL'!C87</x:f>
        <x:v>2025 S2</x:v>
      </x:c>
      <x:c r="C87" s="30" t="n">
        <x:f>COUNTIFS('Counter_PnL'!$D$2:$D$641,A87,'Counter_PnL'!$C$2:$C$641,B87)</x:f>
        <x:v>1</x:v>
      </x:c>
      <x:c r="D87" s="79" t="n">
        <x:f>ABS('Counter_PnL'!AC87-SUM('Counter_PnL'!V87:'Counter_PnL'!AB87))</x:f>
        <x:v>0</x:v>
      </x:c>
      <x:c r="E87" s="79" t="n">
        <x:f>ABS('Counter_PnL'!AI87-SUM('Counter_PnL'!R87,'Counter_PnL'!T87,'Counter_PnL'!AC87,'Counter_PnL'!AE87,'Counter_PnL'!AG87,'Counter_PnL'!AH87))</x:f>
        <x:v>0</x:v>
      </x:c>
      <x:c r="F87" s="79" t="n">
        <x:f>ABS('Counter_PnL'!AK87-('Counter_PnL'!Q87+'Counter_PnL'!AI87))</x:f>
        <x:v>0</x:v>
      </x:c>
      <x:c r="G87" s="79" t="n">
        <x:f>ABS('Counter_PnL'!AT87-SUM('Counter_PnL'!AO87:'Counter_PnL'!AS87))</x:f>
        <x:v>0</x:v>
      </x:c>
      <x:c r="H87" s="79" t="n">
        <x:f>ABS('Counter_PnL'!AV87-('Counter_PnL'!AK87+'Counter_PnL'!AT87))</x:f>
        <x:v>0</x:v>
      </x:c>
      <x:c r="I87" s="79" t="n">
        <x:f>ABS('Counter_PnL'!BE87-SUM('Counter_PnL'!AX87:'Counter_PnL'!BB87,'Counter_PnL'!BD87))</x:f>
        <x:v>0</x:v>
      </x:c>
      <x:c r="J87" s="79" t="n">
        <x:f>ABS('Counter_PnL'!BL87-SUM('Counter_PnL'!AV87,'Counter_PnL'!BE87,'Counter_PnL'!BJ87,'Counter_PnL'!BK87))</x:f>
        <x:v>0</x:v>
      </x:c>
      <x:c r="K87" s="79" t="n">
        <x:f>ABS('Counter_PnL'!BO87-('Counter_PnL'!BL87+'Counter_PnL'!BN87))</x:f>
        <x:v>0</x:v>
      </x:c>
      <x:c r="L87" s="79" t="n">
        <x:f>MAX(ABS('Counter_PnL'!AW87-'Counter_PnL'!AV87/'Counter_PnL'!AK87),ABS('Counter_PnL'!BM87-'Counter_PnL'!BL87/'Counter_PnL'!AK87),ABS('Counter_PnL'!BP87-'Counter_PnL'!BO87/'Counter_PnL'!AK87))</x:f>
        <x:v>0</x:v>
      </x:c>
      <x:c r="M87" s="30" t="n">
        <x:f>IF(AND('Counter_PnL'!Q87&gt;0,'Counter_PnL'!AK87&gt;0,'Counter_PnL'!R87&lt;=0,'Counter_PnL'!T87&lt;=0,'Counter_PnL'!AT87&lt;=0,'Counter_PnL'!BE87&lt;=0,'Counter_PnL'!BJ87&lt;=0,'Counter_PnL'!BK87&lt;=0,'Counter_PnL'!BN87&lt;=0),0,1)</x:f>
        <x:v>0</x:v>
      </x:c>
    </x:row>
    <x:row r="88">
      <x:c r="A88" t="str">
        <x:f>'Counter_PnL'!D88</x:f>
        <x:v>CNCT0022</x:v>
      </x:c>
      <x:c r="B88" t="str">
        <x:f>'Counter_PnL'!C88</x:f>
        <x:v>2026 S1</x:v>
      </x:c>
      <x:c r="C88" s="30" t="n">
        <x:f>COUNTIFS('Counter_PnL'!$D$2:$D$641,A88,'Counter_PnL'!$C$2:$C$641,B88)</x:f>
        <x:v>1</x:v>
      </x:c>
      <x:c r="D88" s="79" t="n">
        <x:f>ABS('Counter_PnL'!AC88-SUM('Counter_PnL'!V88:'Counter_PnL'!AB88))</x:f>
        <x:v>0</x:v>
      </x:c>
      <x:c r="E88" s="79" t="n">
        <x:f>ABS('Counter_PnL'!AI88-SUM('Counter_PnL'!R88,'Counter_PnL'!T88,'Counter_PnL'!AC88,'Counter_PnL'!AE88,'Counter_PnL'!AG88,'Counter_PnL'!AH88))</x:f>
        <x:v>0</x:v>
      </x:c>
      <x:c r="F88" s="79" t="n">
        <x:f>ABS('Counter_PnL'!AK88-('Counter_PnL'!Q88+'Counter_PnL'!AI88))</x:f>
        <x:v>0</x:v>
      </x:c>
      <x:c r="G88" s="79" t="n">
        <x:f>ABS('Counter_PnL'!AT88-SUM('Counter_PnL'!AO88:'Counter_PnL'!AS88))</x:f>
        <x:v>0</x:v>
      </x:c>
      <x:c r="H88" s="79" t="n">
        <x:f>ABS('Counter_PnL'!AV88-('Counter_PnL'!AK88+'Counter_PnL'!AT88))</x:f>
        <x:v>0</x:v>
      </x:c>
      <x:c r="I88" s="79" t="n">
        <x:f>ABS('Counter_PnL'!BE88-SUM('Counter_PnL'!AX88:'Counter_PnL'!BB88,'Counter_PnL'!BD88))</x:f>
        <x:v>0</x:v>
      </x:c>
      <x:c r="J88" s="79" t="n">
        <x:f>ABS('Counter_PnL'!BL88-SUM('Counter_PnL'!AV88,'Counter_PnL'!BE88,'Counter_PnL'!BJ88,'Counter_PnL'!BK88))</x:f>
        <x:v>0</x:v>
      </x:c>
      <x:c r="K88" s="79" t="n">
        <x:f>ABS('Counter_PnL'!BO88-('Counter_PnL'!BL88+'Counter_PnL'!BN88))</x:f>
        <x:v>0</x:v>
      </x:c>
      <x:c r="L88" s="79" t="n">
        <x:f>MAX(ABS('Counter_PnL'!AW88-'Counter_PnL'!AV88/'Counter_PnL'!AK88),ABS('Counter_PnL'!BM88-'Counter_PnL'!BL88/'Counter_PnL'!AK88),ABS('Counter_PnL'!BP88-'Counter_PnL'!BO88/'Counter_PnL'!AK88))</x:f>
        <x:v>0</x:v>
      </x:c>
      <x:c r="M88" s="30" t="n">
        <x:f>IF(AND('Counter_PnL'!Q88&gt;0,'Counter_PnL'!AK88&gt;0,'Counter_PnL'!R88&lt;=0,'Counter_PnL'!T88&lt;=0,'Counter_PnL'!AT88&lt;=0,'Counter_PnL'!BE88&lt;=0,'Counter_PnL'!BJ88&lt;=0,'Counter_PnL'!BK88&lt;=0,'Counter_PnL'!BN88&lt;=0),0,1)</x:f>
        <x:v>0</x:v>
      </x:c>
    </x:row>
    <x:row r="89">
      <x:c r="A89" t="str">
        <x:f>'Counter_PnL'!D89</x:f>
        <x:v>CNCT0022</x:v>
      </x:c>
      <x:c r="B89" t="str">
        <x:f>'Counter_PnL'!C89</x:f>
        <x:v>2026 S2</x:v>
      </x:c>
      <x:c r="C89" s="30" t="n">
        <x:f>COUNTIFS('Counter_PnL'!$D$2:$D$641,A89,'Counter_PnL'!$C$2:$C$641,B89)</x:f>
        <x:v>1</x:v>
      </x:c>
      <x:c r="D89" s="79" t="n">
        <x:f>ABS('Counter_PnL'!AC89-SUM('Counter_PnL'!V89:'Counter_PnL'!AB89))</x:f>
        <x:v>0</x:v>
      </x:c>
      <x:c r="E89" s="79" t="n">
        <x:f>ABS('Counter_PnL'!AI89-SUM('Counter_PnL'!R89,'Counter_PnL'!T89,'Counter_PnL'!AC89,'Counter_PnL'!AE89,'Counter_PnL'!AG89,'Counter_PnL'!AH89))</x:f>
        <x:v>0</x:v>
      </x:c>
      <x:c r="F89" s="79" t="n">
        <x:f>ABS('Counter_PnL'!AK89-('Counter_PnL'!Q89+'Counter_PnL'!AI89))</x:f>
        <x:v>0</x:v>
      </x:c>
      <x:c r="G89" s="79" t="n">
        <x:f>ABS('Counter_PnL'!AT89-SUM('Counter_PnL'!AO89:'Counter_PnL'!AS89))</x:f>
        <x:v>0</x:v>
      </x:c>
      <x:c r="H89" s="79" t="n">
        <x:f>ABS('Counter_PnL'!AV89-('Counter_PnL'!AK89+'Counter_PnL'!AT89))</x:f>
        <x:v>0</x:v>
      </x:c>
      <x:c r="I89" s="79" t="n">
        <x:f>ABS('Counter_PnL'!BE89-SUM('Counter_PnL'!AX89:'Counter_PnL'!BB89,'Counter_PnL'!BD89))</x:f>
        <x:v>0</x:v>
      </x:c>
      <x:c r="J89" s="79" t="n">
        <x:f>ABS('Counter_PnL'!BL89-SUM('Counter_PnL'!AV89,'Counter_PnL'!BE89,'Counter_PnL'!BJ89,'Counter_PnL'!BK89))</x:f>
        <x:v>0</x:v>
      </x:c>
      <x:c r="K89" s="79" t="n">
        <x:f>ABS('Counter_PnL'!BO89-('Counter_PnL'!BL89+'Counter_PnL'!BN89))</x:f>
        <x:v>0</x:v>
      </x:c>
      <x:c r="L89" s="79" t="n">
        <x:f>MAX(ABS('Counter_PnL'!AW89-'Counter_PnL'!AV89/'Counter_PnL'!AK89),ABS('Counter_PnL'!BM89-'Counter_PnL'!BL89/'Counter_PnL'!AK89),ABS('Counter_PnL'!BP89-'Counter_PnL'!BO89/'Counter_PnL'!AK89))</x:f>
        <x:v>0</x:v>
      </x:c>
      <x:c r="M89" s="30" t="n">
        <x:f>IF(AND('Counter_PnL'!Q89&gt;0,'Counter_PnL'!AK89&gt;0,'Counter_PnL'!R89&lt;=0,'Counter_PnL'!T89&lt;=0,'Counter_PnL'!AT89&lt;=0,'Counter_PnL'!BE89&lt;=0,'Counter_PnL'!BJ89&lt;=0,'Counter_PnL'!BK89&lt;=0,'Counter_PnL'!BN89&lt;=0),0,1)</x:f>
        <x:v>0</x:v>
      </x:c>
    </x:row>
    <x:row r="90">
      <x:c r="A90" t="str">
        <x:f>'Counter_PnL'!D90</x:f>
        <x:v>CNCT0023</x:v>
      </x:c>
      <x:c r="B90" t="str">
        <x:f>'Counter_PnL'!C90</x:f>
        <x:v>2025 S1</x:v>
      </x:c>
      <x:c r="C90" s="30" t="n">
        <x:f>COUNTIFS('Counter_PnL'!$D$2:$D$641,A90,'Counter_PnL'!$C$2:$C$641,B90)</x:f>
        <x:v>1</x:v>
      </x:c>
      <x:c r="D90" s="79" t="n">
        <x:f>ABS('Counter_PnL'!AC90-SUM('Counter_PnL'!V90:'Counter_PnL'!AB90))</x:f>
        <x:v>0</x:v>
      </x:c>
      <x:c r="E90" s="79" t="n">
        <x:f>ABS('Counter_PnL'!AI90-SUM('Counter_PnL'!R90,'Counter_PnL'!T90,'Counter_PnL'!AC90,'Counter_PnL'!AE90,'Counter_PnL'!AG90,'Counter_PnL'!AH90))</x:f>
        <x:v>0</x:v>
      </x:c>
      <x:c r="F90" s="79" t="n">
        <x:f>ABS('Counter_PnL'!AK90-('Counter_PnL'!Q90+'Counter_PnL'!AI90))</x:f>
        <x:v>0</x:v>
      </x:c>
      <x:c r="G90" s="79" t="n">
        <x:f>ABS('Counter_PnL'!AT90-SUM('Counter_PnL'!AO90:'Counter_PnL'!AS90))</x:f>
        <x:v>0</x:v>
      </x:c>
      <x:c r="H90" s="79" t="n">
        <x:f>ABS('Counter_PnL'!AV90-('Counter_PnL'!AK90+'Counter_PnL'!AT90))</x:f>
        <x:v>0</x:v>
      </x:c>
      <x:c r="I90" s="79" t="n">
        <x:f>ABS('Counter_PnL'!BE90-SUM('Counter_PnL'!AX90:'Counter_PnL'!BB90,'Counter_PnL'!BD90))</x:f>
        <x:v>0</x:v>
      </x:c>
      <x:c r="J90" s="79" t="n">
        <x:f>ABS('Counter_PnL'!BL90-SUM('Counter_PnL'!AV90,'Counter_PnL'!BE90,'Counter_PnL'!BJ90,'Counter_PnL'!BK90))</x:f>
        <x:v>0</x:v>
      </x:c>
      <x:c r="K90" s="79" t="n">
        <x:f>ABS('Counter_PnL'!BO90-('Counter_PnL'!BL90+'Counter_PnL'!BN90))</x:f>
        <x:v>0</x:v>
      </x:c>
      <x:c r="L90" s="79" t="n">
        <x:f>MAX(ABS('Counter_PnL'!AW90-'Counter_PnL'!AV90/'Counter_PnL'!AK90),ABS('Counter_PnL'!BM90-'Counter_PnL'!BL90/'Counter_PnL'!AK90),ABS('Counter_PnL'!BP90-'Counter_PnL'!BO90/'Counter_PnL'!AK90))</x:f>
        <x:v>0</x:v>
      </x:c>
      <x:c r="M90" s="30" t="n">
        <x:f>IF(AND('Counter_PnL'!Q90&gt;0,'Counter_PnL'!AK90&gt;0,'Counter_PnL'!R90&lt;=0,'Counter_PnL'!T90&lt;=0,'Counter_PnL'!AT90&lt;=0,'Counter_PnL'!BE90&lt;=0,'Counter_PnL'!BJ90&lt;=0,'Counter_PnL'!BK90&lt;=0,'Counter_PnL'!BN90&lt;=0),0,1)</x:f>
        <x:v>0</x:v>
      </x:c>
    </x:row>
    <x:row r="91">
      <x:c r="A91" t="str">
        <x:f>'Counter_PnL'!D91</x:f>
        <x:v>CNCT0023</x:v>
      </x:c>
      <x:c r="B91" t="str">
        <x:f>'Counter_PnL'!C91</x:f>
        <x:v>2025 S2</x:v>
      </x:c>
      <x:c r="C91" s="30" t="n">
        <x:f>COUNTIFS('Counter_PnL'!$D$2:$D$641,A91,'Counter_PnL'!$C$2:$C$641,B91)</x:f>
        <x:v>1</x:v>
      </x:c>
      <x:c r="D91" s="79" t="n">
        <x:f>ABS('Counter_PnL'!AC91-SUM('Counter_PnL'!V91:'Counter_PnL'!AB91))</x:f>
        <x:v>0</x:v>
      </x:c>
      <x:c r="E91" s="79" t="n">
        <x:f>ABS('Counter_PnL'!AI91-SUM('Counter_PnL'!R91,'Counter_PnL'!T91,'Counter_PnL'!AC91,'Counter_PnL'!AE91,'Counter_PnL'!AG91,'Counter_PnL'!AH91))</x:f>
        <x:v>0</x:v>
      </x:c>
      <x:c r="F91" s="79" t="n">
        <x:f>ABS('Counter_PnL'!AK91-('Counter_PnL'!Q91+'Counter_PnL'!AI91))</x:f>
        <x:v>0</x:v>
      </x:c>
      <x:c r="G91" s="79" t="n">
        <x:f>ABS('Counter_PnL'!AT91-SUM('Counter_PnL'!AO91:'Counter_PnL'!AS91))</x:f>
        <x:v>0</x:v>
      </x:c>
      <x:c r="H91" s="79" t="n">
        <x:f>ABS('Counter_PnL'!AV91-('Counter_PnL'!AK91+'Counter_PnL'!AT91))</x:f>
        <x:v>0</x:v>
      </x:c>
      <x:c r="I91" s="79" t="n">
        <x:f>ABS('Counter_PnL'!BE91-SUM('Counter_PnL'!AX91:'Counter_PnL'!BB91,'Counter_PnL'!BD91))</x:f>
        <x:v>0</x:v>
      </x:c>
      <x:c r="J91" s="79" t="n">
        <x:f>ABS('Counter_PnL'!BL91-SUM('Counter_PnL'!AV91,'Counter_PnL'!BE91,'Counter_PnL'!BJ91,'Counter_PnL'!BK91))</x:f>
        <x:v>0</x:v>
      </x:c>
      <x:c r="K91" s="79" t="n">
        <x:f>ABS('Counter_PnL'!BO91-('Counter_PnL'!BL91+'Counter_PnL'!BN91))</x:f>
        <x:v>0</x:v>
      </x:c>
      <x:c r="L91" s="79" t="n">
        <x:f>MAX(ABS('Counter_PnL'!AW91-'Counter_PnL'!AV91/'Counter_PnL'!AK91),ABS('Counter_PnL'!BM91-'Counter_PnL'!BL91/'Counter_PnL'!AK91),ABS('Counter_PnL'!BP91-'Counter_PnL'!BO91/'Counter_PnL'!AK91))</x:f>
        <x:v>0</x:v>
      </x:c>
      <x:c r="M91" s="30" t="n">
        <x:f>IF(AND('Counter_PnL'!Q91&gt;0,'Counter_PnL'!AK91&gt;0,'Counter_PnL'!R91&lt;=0,'Counter_PnL'!T91&lt;=0,'Counter_PnL'!AT91&lt;=0,'Counter_PnL'!BE91&lt;=0,'Counter_PnL'!BJ91&lt;=0,'Counter_PnL'!BK91&lt;=0,'Counter_PnL'!BN91&lt;=0),0,1)</x:f>
        <x:v>0</x:v>
      </x:c>
    </x:row>
    <x:row r="92">
      <x:c r="A92" t="str">
        <x:f>'Counter_PnL'!D92</x:f>
        <x:v>CNCT0023</x:v>
      </x:c>
      <x:c r="B92" t="str">
        <x:f>'Counter_PnL'!C92</x:f>
        <x:v>2026 S1</x:v>
      </x:c>
      <x:c r="C92" s="30" t="n">
        <x:f>COUNTIFS('Counter_PnL'!$D$2:$D$641,A92,'Counter_PnL'!$C$2:$C$641,B92)</x:f>
        <x:v>1</x:v>
      </x:c>
      <x:c r="D92" s="79" t="n">
        <x:f>ABS('Counter_PnL'!AC92-SUM('Counter_PnL'!V92:'Counter_PnL'!AB92))</x:f>
        <x:v>0</x:v>
      </x:c>
      <x:c r="E92" s="79" t="n">
        <x:f>ABS('Counter_PnL'!AI92-SUM('Counter_PnL'!R92,'Counter_PnL'!T92,'Counter_PnL'!AC92,'Counter_PnL'!AE92,'Counter_PnL'!AG92,'Counter_PnL'!AH92))</x:f>
        <x:v>0</x:v>
      </x:c>
      <x:c r="F92" s="79" t="n">
        <x:f>ABS('Counter_PnL'!AK92-('Counter_PnL'!Q92+'Counter_PnL'!AI92))</x:f>
        <x:v>0</x:v>
      </x:c>
      <x:c r="G92" s="79" t="n">
        <x:f>ABS('Counter_PnL'!AT92-SUM('Counter_PnL'!AO92:'Counter_PnL'!AS92))</x:f>
        <x:v>0</x:v>
      </x:c>
      <x:c r="H92" s="79" t="n">
        <x:f>ABS('Counter_PnL'!AV92-('Counter_PnL'!AK92+'Counter_PnL'!AT92))</x:f>
        <x:v>0</x:v>
      </x:c>
      <x:c r="I92" s="79" t="n">
        <x:f>ABS('Counter_PnL'!BE92-SUM('Counter_PnL'!AX92:'Counter_PnL'!BB92,'Counter_PnL'!BD92))</x:f>
        <x:v>0</x:v>
      </x:c>
      <x:c r="J92" s="79" t="n">
        <x:f>ABS('Counter_PnL'!BL92-SUM('Counter_PnL'!AV92,'Counter_PnL'!BE92,'Counter_PnL'!BJ92,'Counter_PnL'!BK92))</x:f>
        <x:v>0</x:v>
      </x:c>
      <x:c r="K92" s="79" t="n">
        <x:f>ABS('Counter_PnL'!BO92-('Counter_PnL'!BL92+'Counter_PnL'!BN92))</x:f>
        <x:v>0</x:v>
      </x:c>
      <x:c r="L92" s="79" t="n">
        <x:f>MAX(ABS('Counter_PnL'!AW92-'Counter_PnL'!AV92/'Counter_PnL'!AK92),ABS('Counter_PnL'!BM92-'Counter_PnL'!BL92/'Counter_PnL'!AK92),ABS('Counter_PnL'!BP92-'Counter_PnL'!BO92/'Counter_PnL'!AK92))</x:f>
        <x:v>0</x:v>
      </x:c>
      <x:c r="M92" s="30" t="n">
        <x:f>IF(AND('Counter_PnL'!Q92&gt;0,'Counter_PnL'!AK92&gt;0,'Counter_PnL'!R92&lt;=0,'Counter_PnL'!T92&lt;=0,'Counter_PnL'!AT92&lt;=0,'Counter_PnL'!BE92&lt;=0,'Counter_PnL'!BJ92&lt;=0,'Counter_PnL'!BK92&lt;=0,'Counter_PnL'!BN92&lt;=0),0,1)</x:f>
        <x:v>0</x:v>
      </x:c>
    </x:row>
    <x:row r="93">
      <x:c r="A93" t="str">
        <x:f>'Counter_PnL'!D93</x:f>
        <x:v>CNCT0023</x:v>
      </x:c>
      <x:c r="B93" t="str">
        <x:f>'Counter_PnL'!C93</x:f>
        <x:v>2026 S2</x:v>
      </x:c>
      <x:c r="C93" s="30" t="n">
        <x:f>COUNTIFS('Counter_PnL'!$D$2:$D$641,A93,'Counter_PnL'!$C$2:$C$641,B93)</x:f>
        <x:v>1</x:v>
      </x:c>
      <x:c r="D93" s="79" t="n">
        <x:f>ABS('Counter_PnL'!AC93-SUM('Counter_PnL'!V93:'Counter_PnL'!AB93))</x:f>
        <x:v>0</x:v>
      </x:c>
      <x:c r="E93" s="79" t="n">
        <x:f>ABS('Counter_PnL'!AI93-SUM('Counter_PnL'!R93,'Counter_PnL'!T93,'Counter_PnL'!AC93,'Counter_PnL'!AE93,'Counter_PnL'!AG93,'Counter_PnL'!AH93))</x:f>
        <x:v>0</x:v>
      </x:c>
      <x:c r="F93" s="79" t="n">
        <x:f>ABS('Counter_PnL'!AK93-('Counter_PnL'!Q93+'Counter_PnL'!AI93))</x:f>
        <x:v>0</x:v>
      </x:c>
      <x:c r="G93" s="79" t="n">
        <x:f>ABS('Counter_PnL'!AT93-SUM('Counter_PnL'!AO93:'Counter_PnL'!AS93))</x:f>
        <x:v>0</x:v>
      </x:c>
      <x:c r="H93" s="79" t="n">
        <x:f>ABS('Counter_PnL'!AV93-('Counter_PnL'!AK93+'Counter_PnL'!AT93))</x:f>
        <x:v>0</x:v>
      </x:c>
      <x:c r="I93" s="79" t="n">
        <x:f>ABS('Counter_PnL'!BE93-SUM('Counter_PnL'!AX93:'Counter_PnL'!BB93,'Counter_PnL'!BD93))</x:f>
        <x:v>0</x:v>
      </x:c>
      <x:c r="J93" s="79" t="n">
        <x:f>ABS('Counter_PnL'!BL93-SUM('Counter_PnL'!AV93,'Counter_PnL'!BE93,'Counter_PnL'!BJ93,'Counter_PnL'!BK93))</x:f>
        <x:v>0</x:v>
      </x:c>
      <x:c r="K93" s="79" t="n">
        <x:f>ABS('Counter_PnL'!BO93-('Counter_PnL'!BL93+'Counter_PnL'!BN93))</x:f>
        <x:v>0</x:v>
      </x:c>
      <x:c r="L93" s="79" t="n">
        <x:f>MAX(ABS('Counter_PnL'!AW93-'Counter_PnL'!AV93/'Counter_PnL'!AK93),ABS('Counter_PnL'!BM93-'Counter_PnL'!BL93/'Counter_PnL'!AK93),ABS('Counter_PnL'!BP93-'Counter_PnL'!BO93/'Counter_PnL'!AK93))</x:f>
        <x:v>0</x:v>
      </x:c>
      <x:c r="M93" s="30" t="n">
        <x:f>IF(AND('Counter_PnL'!Q93&gt;0,'Counter_PnL'!AK93&gt;0,'Counter_PnL'!R93&lt;=0,'Counter_PnL'!T93&lt;=0,'Counter_PnL'!AT93&lt;=0,'Counter_PnL'!BE93&lt;=0,'Counter_PnL'!BJ93&lt;=0,'Counter_PnL'!BK93&lt;=0,'Counter_PnL'!BN93&lt;=0),0,1)</x:f>
        <x:v>0</x:v>
      </x:c>
    </x:row>
    <x:row r="94">
      <x:c r="A94" t="str">
        <x:f>'Counter_PnL'!D94</x:f>
        <x:v>CNCT0024</x:v>
      </x:c>
      <x:c r="B94" t="str">
        <x:f>'Counter_PnL'!C94</x:f>
        <x:v>2025 S1</x:v>
      </x:c>
      <x:c r="C94" s="30" t="n">
        <x:f>COUNTIFS('Counter_PnL'!$D$2:$D$641,A94,'Counter_PnL'!$C$2:$C$641,B94)</x:f>
        <x:v>1</x:v>
      </x:c>
      <x:c r="D94" s="79" t="n">
        <x:f>ABS('Counter_PnL'!AC94-SUM('Counter_PnL'!V94:'Counter_PnL'!AB94))</x:f>
        <x:v>0</x:v>
      </x:c>
      <x:c r="E94" s="79" t="n">
        <x:f>ABS('Counter_PnL'!AI94-SUM('Counter_PnL'!R94,'Counter_PnL'!T94,'Counter_PnL'!AC94,'Counter_PnL'!AE94,'Counter_PnL'!AG94,'Counter_PnL'!AH94))</x:f>
        <x:v>0</x:v>
      </x:c>
      <x:c r="F94" s="79" t="n">
        <x:f>ABS('Counter_PnL'!AK94-('Counter_PnL'!Q94+'Counter_PnL'!AI94))</x:f>
        <x:v>0</x:v>
      </x:c>
      <x:c r="G94" s="79" t="n">
        <x:f>ABS('Counter_PnL'!AT94-SUM('Counter_PnL'!AO94:'Counter_PnL'!AS94))</x:f>
        <x:v>0</x:v>
      </x:c>
      <x:c r="H94" s="79" t="n">
        <x:f>ABS('Counter_PnL'!AV94-('Counter_PnL'!AK94+'Counter_PnL'!AT94))</x:f>
        <x:v>0</x:v>
      </x:c>
      <x:c r="I94" s="79" t="n">
        <x:f>ABS('Counter_PnL'!BE94-SUM('Counter_PnL'!AX94:'Counter_PnL'!BB94,'Counter_PnL'!BD94))</x:f>
        <x:v>0</x:v>
      </x:c>
      <x:c r="J94" s="79" t="n">
        <x:f>ABS('Counter_PnL'!BL94-SUM('Counter_PnL'!AV94,'Counter_PnL'!BE94,'Counter_PnL'!BJ94,'Counter_PnL'!BK94))</x:f>
        <x:v>0</x:v>
      </x:c>
      <x:c r="K94" s="79" t="n">
        <x:f>ABS('Counter_PnL'!BO94-('Counter_PnL'!BL94+'Counter_PnL'!BN94))</x:f>
        <x:v>0</x:v>
      </x:c>
      <x:c r="L94" s="79" t="n">
        <x:f>MAX(ABS('Counter_PnL'!AW94-'Counter_PnL'!AV94/'Counter_PnL'!AK94),ABS('Counter_PnL'!BM94-'Counter_PnL'!BL94/'Counter_PnL'!AK94),ABS('Counter_PnL'!BP94-'Counter_PnL'!BO94/'Counter_PnL'!AK94))</x:f>
        <x:v>0</x:v>
      </x:c>
      <x:c r="M94" s="30" t="n">
        <x:f>IF(AND('Counter_PnL'!Q94&gt;0,'Counter_PnL'!AK94&gt;0,'Counter_PnL'!R94&lt;=0,'Counter_PnL'!T94&lt;=0,'Counter_PnL'!AT94&lt;=0,'Counter_PnL'!BE94&lt;=0,'Counter_PnL'!BJ94&lt;=0,'Counter_PnL'!BK94&lt;=0,'Counter_PnL'!BN94&lt;=0),0,1)</x:f>
        <x:v>0</x:v>
      </x:c>
    </x:row>
    <x:row r="95">
      <x:c r="A95" t="str">
        <x:f>'Counter_PnL'!D95</x:f>
        <x:v>CNCT0024</x:v>
      </x:c>
      <x:c r="B95" t="str">
        <x:f>'Counter_PnL'!C95</x:f>
        <x:v>2025 S2</x:v>
      </x:c>
      <x:c r="C95" s="30" t="n">
        <x:f>COUNTIFS('Counter_PnL'!$D$2:$D$641,A95,'Counter_PnL'!$C$2:$C$641,B95)</x:f>
        <x:v>1</x:v>
      </x:c>
      <x:c r="D95" s="79" t="n">
        <x:f>ABS('Counter_PnL'!AC95-SUM('Counter_PnL'!V95:'Counter_PnL'!AB95))</x:f>
        <x:v>0</x:v>
      </x:c>
      <x:c r="E95" s="79" t="n">
        <x:f>ABS('Counter_PnL'!AI95-SUM('Counter_PnL'!R95,'Counter_PnL'!T95,'Counter_PnL'!AC95,'Counter_PnL'!AE95,'Counter_PnL'!AG95,'Counter_PnL'!AH95))</x:f>
        <x:v>0</x:v>
      </x:c>
      <x:c r="F95" s="79" t="n">
        <x:f>ABS('Counter_PnL'!AK95-('Counter_PnL'!Q95+'Counter_PnL'!AI95))</x:f>
        <x:v>0</x:v>
      </x:c>
      <x:c r="G95" s="79" t="n">
        <x:f>ABS('Counter_PnL'!AT95-SUM('Counter_PnL'!AO95:'Counter_PnL'!AS95))</x:f>
        <x:v>0</x:v>
      </x:c>
      <x:c r="H95" s="79" t="n">
        <x:f>ABS('Counter_PnL'!AV95-('Counter_PnL'!AK95+'Counter_PnL'!AT95))</x:f>
        <x:v>0</x:v>
      </x:c>
      <x:c r="I95" s="79" t="n">
        <x:f>ABS('Counter_PnL'!BE95-SUM('Counter_PnL'!AX95:'Counter_PnL'!BB95,'Counter_PnL'!BD95))</x:f>
        <x:v>0</x:v>
      </x:c>
      <x:c r="J95" s="79" t="n">
        <x:f>ABS('Counter_PnL'!BL95-SUM('Counter_PnL'!AV95,'Counter_PnL'!BE95,'Counter_PnL'!BJ95,'Counter_PnL'!BK95))</x:f>
        <x:v>0</x:v>
      </x:c>
      <x:c r="K95" s="79" t="n">
        <x:f>ABS('Counter_PnL'!BO95-('Counter_PnL'!BL95+'Counter_PnL'!BN95))</x:f>
        <x:v>0</x:v>
      </x:c>
      <x:c r="L95" s="79" t="n">
        <x:f>MAX(ABS('Counter_PnL'!AW95-'Counter_PnL'!AV95/'Counter_PnL'!AK95),ABS('Counter_PnL'!BM95-'Counter_PnL'!BL95/'Counter_PnL'!AK95),ABS('Counter_PnL'!BP95-'Counter_PnL'!BO95/'Counter_PnL'!AK95))</x:f>
        <x:v>0</x:v>
      </x:c>
      <x:c r="M95" s="30" t="n">
        <x:f>IF(AND('Counter_PnL'!Q95&gt;0,'Counter_PnL'!AK95&gt;0,'Counter_PnL'!R95&lt;=0,'Counter_PnL'!T95&lt;=0,'Counter_PnL'!AT95&lt;=0,'Counter_PnL'!BE95&lt;=0,'Counter_PnL'!BJ95&lt;=0,'Counter_PnL'!BK95&lt;=0,'Counter_PnL'!BN95&lt;=0),0,1)</x:f>
        <x:v>0</x:v>
      </x:c>
    </x:row>
    <x:row r="96">
      <x:c r="A96" t="str">
        <x:f>'Counter_PnL'!D96</x:f>
        <x:v>CNCT0024</x:v>
      </x:c>
      <x:c r="B96" t="str">
        <x:f>'Counter_PnL'!C96</x:f>
        <x:v>2026 S1</x:v>
      </x:c>
      <x:c r="C96" s="30" t="n">
        <x:f>COUNTIFS('Counter_PnL'!$D$2:$D$641,A96,'Counter_PnL'!$C$2:$C$641,B96)</x:f>
        <x:v>1</x:v>
      </x:c>
      <x:c r="D96" s="79" t="n">
        <x:f>ABS('Counter_PnL'!AC96-SUM('Counter_PnL'!V96:'Counter_PnL'!AB96))</x:f>
        <x:v>0</x:v>
      </x:c>
      <x:c r="E96" s="79" t="n">
        <x:f>ABS('Counter_PnL'!AI96-SUM('Counter_PnL'!R96,'Counter_PnL'!T96,'Counter_PnL'!AC96,'Counter_PnL'!AE96,'Counter_PnL'!AG96,'Counter_PnL'!AH96))</x:f>
        <x:v>0</x:v>
      </x:c>
      <x:c r="F96" s="79" t="n">
        <x:f>ABS('Counter_PnL'!AK96-('Counter_PnL'!Q96+'Counter_PnL'!AI96))</x:f>
        <x:v>0</x:v>
      </x:c>
      <x:c r="G96" s="79" t="n">
        <x:f>ABS('Counter_PnL'!AT96-SUM('Counter_PnL'!AO96:'Counter_PnL'!AS96))</x:f>
        <x:v>0</x:v>
      </x:c>
      <x:c r="H96" s="79" t="n">
        <x:f>ABS('Counter_PnL'!AV96-('Counter_PnL'!AK96+'Counter_PnL'!AT96))</x:f>
        <x:v>0</x:v>
      </x:c>
      <x:c r="I96" s="79" t="n">
        <x:f>ABS('Counter_PnL'!BE96-SUM('Counter_PnL'!AX96:'Counter_PnL'!BB96,'Counter_PnL'!BD96))</x:f>
        <x:v>0</x:v>
      </x:c>
      <x:c r="J96" s="79" t="n">
        <x:f>ABS('Counter_PnL'!BL96-SUM('Counter_PnL'!AV96,'Counter_PnL'!BE96,'Counter_PnL'!BJ96,'Counter_PnL'!BK96))</x:f>
        <x:v>0</x:v>
      </x:c>
      <x:c r="K96" s="79" t="n">
        <x:f>ABS('Counter_PnL'!BO96-('Counter_PnL'!BL96+'Counter_PnL'!BN96))</x:f>
        <x:v>0</x:v>
      </x:c>
      <x:c r="L96" s="79" t="n">
        <x:f>MAX(ABS('Counter_PnL'!AW96-'Counter_PnL'!AV96/'Counter_PnL'!AK96),ABS('Counter_PnL'!BM96-'Counter_PnL'!BL96/'Counter_PnL'!AK96),ABS('Counter_PnL'!BP96-'Counter_PnL'!BO96/'Counter_PnL'!AK96))</x:f>
        <x:v>0</x:v>
      </x:c>
      <x:c r="M96" s="30" t="n">
        <x:f>IF(AND('Counter_PnL'!Q96&gt;0,'Counter_PnL'!AK96&gt;0,'Counter_PnL'!R96&lt;=0,'Counter_PnL'!T96&lt;=0,'Counter_PnL'!AT96&lt;=0,'Counter_PnL'!BE96&lt;=0,'Counter_PnL'!BJ96&lt;=0,'Counter_PnL'!BK96&lt;=0,'Counter_PnL'!BN96&lt;=0),0,1)</x:f>
        <x:v>0</x:v>
      </x:c>
    </x:row>
    <x:row r="97">
      <x:c r="A97" t="str">
        <x:f>'Counter_PnL'!D97</x:f>
        <x:v>CNCT0024</x:v>
      </x:c>
      <x:c r="B97" t="str">
        <x:f>'Counter_PnL'!C97</x:f>
        <x:v>2026 S2</x:v>
      </x:c>
      <x:c r="C97" s="30" t="n">
        <x:f>COUNTIFS('Counter_PnL'!$D$2:$D$641,A97,'Counter_PnL'!$C$2:$C$641,B97)</x:f>
        <x:v>1</x:v>
      </x:c>
      <x:c r="D97" s="79" t="n">
        <x:f>ABS('Counter_PnL'!AC97-SUM('Counter_PnL'!V97:'Counter_PnL'!AB97))</x:f>
        <x:v>0</x:v>
      </x:c>
      <x:c r="E97" s="79" t="n">
        <x:f>ABS('Counter_PnL'!AI97-SUM('Counter_PnL'!R97,'Counter_PnL'!T97,'Counter_PnL'!AC97,'Counter_PnL'!AE97,'Counter_PnL'!AG97,'Counter_PnL'!AH97))</x:f>
        <x:v>0</x:v>
      </x:c>
      <x:c r="F97" s="79" t="n">
        <x:f>ABS('Counter_PnL'!AK97-('Counter_PnL'!Q97+'Counter_PnL'!AI97))</x:f>
        <x:v>0</x:v>
      </x:c>
      <x:c r="G97" s="79" t="n">
        <x:f>ABS('Counter_PnL'!AT97-SUM('Counter_PnL'!AO97:'Counter_PnL'!AS97))</x:f>
        <x:v>0</x:v>
      </x:c>
      <x:c r="H97" s="79" t="n">
        <x:f>ABS('Counter_PnL'!AV97-('Counter_PnL'!AK97+'Counter_PnL'!AT97))</x:f>
        <x:v>0</x:v>
      </x:c>
      <x:c r="I97" s="79" t="n">
        <x:f>ABS('Counter_PnL'!BE97-SUM('Counter_PnL'!AX97:'Counter_PnL'!BB97,'Counter_PnL'!BD97))</x:f>
        <x:v>0</x:v>
      </x:c>
      <x:c r="J97" s="79" t="n">
        <x:f>ABS('Counter_PnL'!BL97-SUM('Counter_PnL'!AV97,'Counter_PnL'!BE97,'Counter_PnL'!BJ97,'Counter_PnL'!BK97))</x:f>
        <x:v>0</x:v>
      </x:c>
      <x:c r="K97" s="79" t="n">
        <x:f>ABS('Counter_PnL'!BO97-('Counter_PnL'!BL97+'Counter_PnL'!BN97))</x:f>
        <x:v>0</x:v>
      </x:c>
      <x:c r="L97" s="79" t="n">
        <x:f>MAX(ABS('Counter_PnL'!AW97-'Counter_PnL'!AV97/'Counter_PnL'!AK97),ABS('Counter_PnL'!BM97-'Counter_PnL'!BL97/'Counter_PnL'!AK97),ABS('Counter_PnL'!BP97-'Counter_PnL'!BO97/'Counter_PnL'!AK97))</x:f>
        <x:v>0</x:v>
      </x:c>
      <x:c r="M97" s="30" t="n">
        <x:f>IF(AND('Counter_PnL'!Q97&gt;0,'Counter_PnL'!AK97&gt;0,'Counter_PnL'!R97&lt;=0,'Counter_PnL'!T97&lt;=0,'Counter_PnL'!AT97&lt;=0,'Counter_PnL'!BE97&lt;=0,'Counter_PnL'!BJ97&lt;=0,'Counter_PnL'!BK97&lt;=0,'Counter_PnL'!BN97&lt;=0),0,1)</x:f>
        <x:v>0</x:v>
      </x:c>
    </x:row>
    <x:row r="98">
      <x:c r="A98" t="str">
        <x:f>'Counter_PnL'!D98</x:f>
        <x:v>CNCT0025</x:v>
      </x:c>
      <x:c r="B98" t="str">
        <x:f>'Counter_PnL'!C98</x:f>
        <x:v>2025 S1</x:v>
      </x:c>
      <x:c r="C98" s="30" t="n">
        <x:f>COUNTIFS('Counter_PnL'!$D$2:$D$641,A98,'Counter_PnL'!$C$2:$C$641,B98)</x:f>
        <x:v>1</x:v>
      </x:c>
      <x:c r="D98" s="79" t="n">
        <x:f>ABS('Counter_PnL'!AC98-SUM('Counter_PnL'!V98:'Counter_PnL'!AB98))</x:f>
        <x:v>0</x:v>
      </x:c>
      <x:c r="E98" s="79" t="n">
        <x:f>ABS('Counter_PnL'!AI98-SUM('Counter_PnL'!R98,'Counter_PnL'!T98,'Counter_PnL'!AC98,'Counter_PnL'!AE98,'Counter_PnL'!AG98,'Counter_PnL'!AH98))</x:f>
        <x:v>0</x:v>
      </x:c>
      <x:c r="F98" s="79" t="n">
        <x:f>ABS('Counter_PnL'!AK98-('Counter_PnL'!Q98+'Counter_PnL'!AI98))</x:f>
        <x:v>0</x:v>
      </x:c>
      <x:c r="G98" s="79" t="n">
        <x:f>ABS('Counter_PnL'!AT98-SUM('Counter_PnL'!AO98:'Counter_PnL'!AS98))</x:f>
        <x:v>0</x:v>
      </x:c>
      <x:c r="H98" s="79" t="n">
        <x:f>ABS('Counter_PnL'!AV98-('Counter_PnL'!AK98+'Counter_PnL'!AT98))</x:f>
        <x:v>0</x:v>
      </x:c>
      <x:c r="I98" s="79" t="n">
        <x:f>ABS('Counter_PnL'!BE98-SUM('Counter_PnL'!AX98:'Counter_PnL'!BB98,'Counter_PnL'!BD98))</x:f>
        <x:v>0</x:v>
      </x:c>
      <x:c r="J98" s="79" t="n">
        <x:f>ABS('Counter_PnL'!BL98-SUM('Counter_PnL'!AV98,'Counter_PnL'!BE98,'Counter_PnL'!BJ98,'Counter_PnL'!BK98))</x:f>
        <x:v>0</x:v>
      </x:c>
      <x:c r="K98" s="79" t="n">
        <x:f>ABS('Counter_PnL'!BO98-('Counter_PnL'!BL98+'Counter_PnL'!BN98))</x:f>
        <x:v>0</x:v>
      </x:c>
      <x:c r="L98" s="79" t="n">
        <x:f>MAX(ABS('Counter_PnL'!AW98-'Counter_PnL'!AV98/'Counter_PnL'!AK98),ABS('Counter_PnL'!BM98-'Counter_PnL'!BL98/'Counter_PnL'!AK98),ABS('Counter_PnL'!BP98-'Counter_PnL'!BO98/'Counter_PnL'!AK98))</x:f>
        <x:v>0</x:v>
      </x:c>
      <x:c r="M98" s="30" t="n">
        <x:f>IF(AND('Counter_PnL'!Q98&gt;0,'Counter_PnL'!AK98&gt;0,'Counter_PnL'!R98&lt;=0,'Counter_PnL'!T98&lt;=0,'Counter_PnL'!AT98&lt;=0,'Counter_PnL'!BE98&lt;=0,'Counter_PnL'!BJ98&lt;=0,'Counter_PnL'!BK98&lt;=0,'Counter_PnL'!BN98&lt;=0),0,1)</x:f>
        <x:v>0</x:v>
      </x:c>
    </x:row>
    <x:row r="99">
      <x:c r="A99" t="str">
        <x:f>'Counter_PnL'!D99</x:f>
        <x:v>CNCT0025</x:v>
      </x:c>
      <x:c r="B99" t="str">
        <x:f>'Counter_PnL'!C99</x:f>
        <x:v>2025 S2</x:v>
      </x:c>
      <x:c r="C99" s="30" t="n">
        <x:f>COUNTIFS('Counter_PnL'!$D$2:$D$641,A99,'Counter_PnL'!$C$2:$C$641,B99)</x:f>
        <x:v>1</x:v>
      </x:c>
      <x:c r="D99" s="79" t="n">
        <x:f>ABS('Counter_PnL'!AC99-SUM('Counter_PnL'!V99:'Counter_PnL'!AB99))</x:f>
        <x:v>0</x:v>
      </x:c>
      <x:c r="E99" s="79" t="n">
        <x:f>ABS('Counter_PnL'!AI99-SUM('Counter_PnL'!R99,'Counter_PnL'!T99,'Counter_PnL'!AC99,'Counter_PnL'!AE99,'Counter_PnL'!AG99,'Counter_PnL'!AH99))</x:f>
        <x:v>0</x:v>
      </x:c>
      <x:c r="F99" s="79" t="n">
        <x:f>ABS('Counter_PnL'!AK99-('Counter_PnL'!Q99+'Counter_PnL'!AI99))</x:f>
        <x:v>0</x:v>
      </x:c>
      <x:c r="G99" s="79" t="n">
        <x:f>ABS('Counter_PnL'!AT99-SUM('Counter_PnL'!AO99:'Counter_PnL'!AS99))</x:f>
        <x:v>0</x:v>
      </x:c>
      <x:c r="H99" s="79" t="n">
        <x:f>ABS('Counter_PnL'!AV99-('Counter_PnL'!AK99+'Counter_PnL'!AT99))</x:f>
        <x:v>0</x:v>
      </x:c>
      <x:c r="I99" s="79" t="n">
        <x:f>ABS('Counter_PnL'!BE99-SUM('Counter_PnL'!AX99:'Counter_PnL'!BB99,'Counter_PnL'!BD99))</x:f>
        <x:v>0</x:v>
      </x:c>
      <x:c r="J99" s="79" t="n">
        <x:f>ABS('Counter_PnL'!BL99-SUM('Counter_PnL'!AV99,'Counter_PnL'!BE99,'Counter_PnL'!BJ99,'Counter_PnL'!BK99))</x:f>
        <x:v>0</x:v>
      </x:c>
      <x:c r="K99" s="79" t="n">
        <x:f>ABS('Counter_PnL'!BO99-('Counter_PnL'!BL99+'Counter_PnL'!BN99))</x:f>
        <x:v>0</x:v>
      </x:c>
      <x:c r="L99" s="79" t="n">
        <x:f>MAX(ABS('Counter_PnL'!AW99-'Counter_PnL'!AV99/'Counter_PnL'!AK99),ABS('Counter_PnL'!BM99-'Counter_PnL'!BL99/'Counter_PnL'!AK99),ABS('Counter_PnL'!BP99-'Counter_PnL'!BO99/'Counter_PnL'!AK99))</x:f>
        <x:v>0</x:v>
      </x:c>
      <x:c r="M99" s="30" t="n">
        <x:f>IF(AND('Counter_PnL'!Q99&gt;0,'Counter_PnL'!AK99&gt;0,'Counter_PnL'!R99&lt;=0,'Counter_PnL'!T99&lt;=0,'Counter_PnL'!AT99&lt;=0,'Counter_PnL'!BE99&lt;=0,'Counter_PnL'!BJ99&lt;=0,'Counter_PnL'!BK99&lt;=0,'Counter_PnL'!BN99&lt;=0),0,1)</x:f>
        <x:v>0</x:v>
      </x:c>
    </x:row>
    <x:row r="100">
      <x:c r="A100" t="str">
        <x:f>'Counter_PnL'!D100</x:f>
        <x:v>CNCT0025</x:v>
      </x:c>
      <x:c r="B100" t="str">
        <x:f>'Counter_PnL'!C100</x:f>
        <x:v>2026 S1</x:v>
      </x:c>
      <x:c r="C100" s="30" t="n">
        <x:f>COUNTIFS('Counter_PnL'!$D$2:$D$641,A100,'Counter_PnL'!$C$2:$C$641,B100)</x:f>
        <x:v>1</x:v>
      </x:c>
      <x:c r="D100" s="79" t="n">
        <x:f>ABS('Counter_PnL'!AC100-SUM('Counter_PnL'!V100:'Counter_PnL'!AB100))</x:f>
        <x:v>0</x:v>
      </x:c>
      <x:c r="E100" s="79" t="n">
        <x:f>ABS('Counter_PnL'!AI100-SUM('Counter_PnL'!R100,'Counter_PnL'!T100,'Counter_PnL'!AC100,'Counter_PnL'!AE100,'Counter_PnL'!AG100,'Counter_PnL'!AH100))</x:f>
        <x:v>0</x:v>
      </x:c>
      <x:c r="F100" s="79" t="n">
        <x:f>ABS('Counter_PnL'!AK100-('Counter_PnL'!Q100+'Counter_PnL'!AI100))</x:f>
        <x:v>0</x:v>
      </x:c>
      <x:c r="G100" s="79" t="n">
        <x:f>ABS('Counter_PnL'!AT100-SUM('Counter_PnL'!AO100:'Counter_PnL'!AS100))</x:f>
        <x:v>0</x:v>
      </x:c>
      <x:c r="H100" s="79" t="n">
        <x:f>ABS('Counter_PnL'!AV100-('Counter_PnL'!AK100+'Counter_PnL'!AT100))</x:f>
        <x:v>0</x:v>
      </x:c>
      <x:c r="I100" s="79" t="n">
        <x:f>ABS('Counter_PnL'!BE100-SUM('Counter_PnL'!AX100:'Counter_PnL'!BB100,'Counter_PnL'!BD100))</x:f>
        <x:v>0</x:v>
      </x:c>
      <x:c r="J100" s="79" t="n">
        <x:f>ABS('Counter_PnL'!BL100-SUM('Counter_PnL'!AV100,'Counter_PnL'!BE100,'Counter_PnL'!BJ100,'Counter_PnL'!BK100))</x:f>
        <x:v>0</x:v>
      </x:c>
      <x:c r="K100" s="79" t="n">
        <x:f>ABS('Counter_PnL'!BO100-('Counter_PnL'!BL100+'Counter_PnL'!BN100))</x:f>
        <x:v>0</x:v>
      </x:c>
      <x:c r="L100" s="79" t="n">
        <x:f>MAX(ABS('Counter_PnL'!AW100-'Counter_PnL'!AV100/'Counter_PnL'!AK100),ABS('Counter_PnL'!BM100-'Counter_PnL'!BL100/'Counter_PnL'!AK100),ABS('Counter_PnL'!BP100-'Counter_PnL'!BO100/'Counter_PnL'!AK100))</x:f>
        <x:v>0</x:v>
      </x:c>
      <x:c r="M100" s="30" t="n">
        <x:f>IF(AND('Counter_PnL'!Q100&gt;0,'Counter_PnL'!AK100&gt;0,'Counter_PnL'!R100&lt;=0,'Counter_PnL'!T100&lt;=0,'Counter_PnL'!AT100&lt;=0,'Counter_PnL'!BE100&lt;=0,'Counter_PnL'!BJ100&lt;=0,'Counter_PnL'!BK100&lt;=0,'Counter_PnL'!BN100&lt;=0),0,1)</x:f>
        <x:v>0</x:v>
      </x:c>
    </x:row>
    <x:row r="101">
      <x:c r="A101" t="str">
        <x:f>'Counter_PnL'!D101</x:f>
        <x:v>CNCT0025</x:v>
      </x:c>
      <x:c r="B101" t="str">
        <x:f>'Counter_PnL'!C101</x:f>
        <x:v>2026 S2</x:v>
      </x:c>
      <x:c r="C101" s="30" t="n">
        <x:f>COUNTIFS('Counter_PnL'!$D$2:$D$641,A101,'Counter_PnL'!$C$2:$C$641,B101)</x:f>
        <x:v>1</x:v>
      </x:c>
      <x:c r="D101" s="79" t="n">
        <x:f>ABS('Counter_PnL'!AC101-SUM('Counter_PnL'!V101:'Counter_PnL'!AB101))</x:f>
        <x:v>0</x:v>
      </x:c>
      <x:c r="E101" s="79" t="n">
        <x:f>ABS('Counter_PnL'!AI101-SUM('Counter_PnL'!R101,'Counter_PnL'!T101,'Counter_PnL'!AC101,'Counter_PnL'!AE101,'Counter_PnL'!AG101,'Counter_PnL'!AH101))</x:f>
        <x:v>0</x:v>
      </x:c>
      <x:c r="F101" s="79" t="n">
        <x:f>ABS('Counter_PnL'!AK101-('Counter_PnL'!Q101+'Counter_PnL'!AI101))</x:f>
        <x:v>0</x:v>
      </x:c>
      <x:c r="G101" s="79" t="n">
        <x:f>ABS('Counter_PnL'!AT101-SUM('Counter_PnL'!AO101:'Counter_PnL'!AS101))</x:f>
        <x:v>0</x:v>
      </x:c>
      <x:c r="H101" s="79" t="n">
        <x:f>ABS('Counter_PnL'!AV101-('Counter_PnL'!AK101+'Counter_PnL'!AT101))</x:f>
        <x:v>0</x:v>
      </x:c>
      <x:c r="I101" s="79" t="n">
        <x:f>ABS('Counter_PnL'!BE101-SUM('Counter_PnL'!AX101:'Counter_PnL'!BB101,'Counter_PnL'!BD101))</x:f>
        <x:v>0</x:v>
      </x:c>
      <x:c r="J101" s="79" t="n">
        <x:f>ABS('Counter_PnL'!BL101-SUM('Counter_PnL'!AV101,'Counter_PnL'!BE101,'Counter_PnL'!BJ101,'Counter_PnL'!BK101))</x:f>
        <x:v>0</x:v>
      </x:c>
      <x:c r="K101" s="79" t="n">
        <x:f>ABS('Counter_PnL'!BO101-('Counter_PnL'!BL101+'Counter_PnL'!BN101))</x:f>
        <x:v>0</x:v>
      </x:c>
      <x:c r="L101" s="79" t="n">
        <x:f>MAX(ABS('Counter_PnL'!AW101-'Counter_PnL'!AV101/'Counter_PnL'!AK101),ABS('Counter_PnL'!BM101-'Counter_PnL'!BL101/'Counter_PnL'!AK101),ABS('Counter_PnL'!BP101-'Counter_PnL'!BO101/'Counter_PnL'!AK101))</x:f>
        <x:v>0</x:v>
      </x:c>
      <x:c r="M101" s="30" t="n">
        <x:f>IF(AND('Counter_PnL'!Q101&gt;0,'Counter_PnL'!AK101&gt;0,'Counter_PnL'!R101&lt;=0,'Counter_PnL'!T101&lt;=0,'Counter_PnL'!AT101&lt;=0,'Counter_PnL'!BE101&lt;=0,'Counter_PnL'!BJ101&lt;=0,'Counter_PnL'!BK101&lt;=0,'Counter_PnL'!BN101&lt;=0),0,1)</x:f>
        <x:v>0</x:v>
      </x:c>
    </x:row>
    <x:row r="102">
      <x:c r="A102" t="str">
        <x:f>'Counter_PnL'!D102</x:f>
        <x:v>CNCT0026</x:v>
      </x:c>
      <x:c r="B102" t="str">
        <x:f>'Counter_PnL'!C102</x:f>
        <x:v>2025 S1</x:v>
      </x:c>
      <x:c r="C102" s="30" t="n">
        <x:f>COUNTIFS('Counter_PnL'!$D$2:$D$641,A102,'Counter_PnL'!$C$2:$C$641,B102)</x:f>
        <x:v>1</x:v>
      </x:c>
      <x:c r="D102" s="79" t="n">
        <x:f>ABS('Counter_PnL'!AC102-SUM('Counter_PnL'!V102:'Counter_PnL'!AB102))</x:f>
        <x:v>0</x:v>
      </x:c>
      <x:c r="E102" s="79" t="n">
        <x:f>ABS('Counter_PnL'!AI102-SUM('Counter_PnL'!R102,'Counter_PnL'!T102,'Counter_PnL'!AC102,'Counter_PnL'!AE102,'Counter_PnL'!AG102,'Counter_PnL'!AH102))</x:f>
        <x:v>0</x:v>
      </x:c>
      <x:c r="F102" s="79" t="n">
        <x:f>ABS('Counter_PnL'!AK102-('Counter_PnL'!Q102+'Counter_PnL'!AI102))</x:f>
        <x:v>0</x:v>
      </x:c>
      <x:c r="G102" s="79" t="n">
        <x:f>ABS('Counter_PnL'!AT102-SUM('Counter_PnL'!AO102:'Counter_PnL'!AS102))</x:f>
        <x:v>0</x:v>
      </x:c>
      <x:c r="H102" s="79" t="n">
        <x:f>ABS('Counter_PnL'!AV102-('Counter_PnL'!AK102+'Counter_PnL'!AT102))</x:f>
        <x:v>0</x:v>
      </x:c>
      <x:c r="I102" s="79" t="n">
        <x:f>ABS('Counter_PnL'!BE102-SUM('Counter_PnL'!AX102:'Counter_PnL'!BB102,'Counter_PnL'!BD102))</x:f>
        <x:v>0</x:v>
      </x:c>
      <x:c r="J102" s="79" t="n">
        <x:f>ABS('Counter_PnL'!BL102-SUM('Counter_PnL'!AV102,'Counter_PnL'!BE102,'Counter_PnL'!BJ102,'Counter_PnL'!BK102))</x:f>
        <x:v>0</x:v>
      </x:c>
      <x:c r="K102" s="79" t="n">
        <x:f>ABS('Counter_PnL'!BO102-('Counter_PnL'!BL102+'Counter_PnL'!BN102))</x:f>
        <x:v>0</x:v>
      </x:c>
      <x:c r="L102" s="79" t="n">
        <x:f>MAX(ABS('Counter_PnL'!AW102-'Counter_PnL'!AV102/'Counter_PnL'!AK102),ABS('Counter_PnL'!BM102-'Counter_PnL'!BL102/'Counter_PnL'!AK102),ABS('Counter_PnL'!BP102-'Counter_PnL'!BO102/'Counter_PnL'!AK102))</x:f>
        <x:v>0</x:v>
      </x:c>
      <x:c r="M102" s="30" t="n">
        <x:f>IF(AND('Counter_PnL'!Q102&gt;0,'Counter_PnL'!AK102&gt;0,'Counter_PnL'!R102&lt;=0,'Counter_PnL'!T102&lt;=0,'Counter_PnL'!AT102&lt;=0,'Counter_PnL'!BE102&lt;=0,'Counter_PnL'!BJ102&lt;=0,'Counter_PnL'!BK102&lt;=0,'Counter_PnL'!BN102&lt;=0),0,1)</x:f>
        <x:v>0</x:v>
      </x:c>
    </x:row>
    <x:row r="103">
      <x:c r="A103" t="str">
        <x:f>'Counter_PnL'!D103</x:f>
        <x:v>CNCT0026</x:v>
      </x:c>
      <x:c r="B103" t="str">
        <x:f>'Counter_PnL'!C103</x:f>
        <x:v>2025 S2</x:v>
      </x:c>
      <x:c r="C103" s="30" t="n">
        <x:f>COUNTIFS('Counter_PnL'!$D$2:$D$641,A103,'Counter_PnL'!$C$2:$C$641,B103)</x:f>
        <x:v>1</x:v>
      </x:c>
      <x:c r="D103" s="79" t="n">
        <x:f>ABS('Counter_PnL'!AC103-SUM('Counter_PnL'!V103:'Counter_PnL'!AB103))</x:f>
        <x:v>0</x:v>
      </x:c>
      <x:c r="E103" s="79" t="n">
        <x:f>ABS('Counter_PnL'!AI103-SUM('Counter_PnL'!R103,'Counter_PnL'!T103,'Counter_PnL'!AC103,'Counter_PnL'!AE103,'Counter_PnL'!AG103,'Counter_PnL'!AH103))</x:f>
        <x:v>0</x:v>
      </x:c>
      <x:c r="F103" s="79" t="n">
        <x:f>ABS('Counter_PnL'!AK103-('Counter_PnL'!Q103+'Counter_PnL'!AI103))</x:f>
        <x:v>0</x:v>
      </x:c>
      <x:c r="G103" s="79" t="n">
        <x:f>ABS('Counter_PnL'!AT103-SUM('Counter_PnL'!AO103:'Counter_PnL'!AS103))</x:f>
        <x:v>0</x:v>
      </x:c>
      <x:c r="H103" s="79" t="n">
        <x:f>ABS('Counter_PnL'!AV103-('Counter_PnL'!AK103+'Counter_PnL'!AT103))</x:f>
        <x:v>0</x:v>
      </x:c>
      <x:c r="I103" s="79" t="n">
        <x:f>ABS('Counter_PnL'!BE103-SUM('Counter_PnL'!AX103:'Counter_PnL'!BB103,'Counter_PnL'!BD103))</x:f>
        <x:v>0</x:v>
      </x:c>
      <x:c r="J103" s="79" t="n">
        <x:f>ABS('Counter_PnL'!BL103-SUM('Counter_PnL'!AV103,'Counter_PnL'!BE103,'Counter_PnL'!BJ103,'Counter_PnL'!BK103))</x:f>
        <x:v>0</x:v>
      </x:c>
      <x:c r="K103" s="79" t="n">
        <x:f>ABS('Counter_PnL'!BO103-('Counter_PnL'!BL103+'Counter_PnL'!BN103))</x:f>
        <x:v>0</x:v>
      </x:c>
      <x:c r="L103" s="79" t="n">
        <x:f>MAX(ABS('Counter_PnL'!AW103-'Counter_PnL'!AV103/'Counter_PnL'!AK103),ABS('Counter_PnL'!BM103-'Counter_PnL'!BL103/'Counter_PnL'!AK103),ABS('Counter_PnL'!BP103-'Counter_PnL'!BO103/'Counter_PnL'!AK103))</x:f>
        <x:v>0</x:v>
      </x:c>
      <x:c r="M103" s="30" t="n">
        <x:f>IF(AND('Counter_PnL'!Q103&gt;0,'Counter_PnL'!AK103&gt;0,'Counter_PnL'!R103&lt;=0,'Counter_PnL'!T103&lt;=0,'Counter_PnL'!AT103&lt;=0,'Counter_PnL'!BE103&lt;=0,'Counter_PnL'!BJ103&lt;=0,'Counter_PnL'!BK103&lt;=0,'Counter_PnL'!BN103&lt;=0),0,1)</x:f>
        <x:v>0</x:v>
      </x:c>
    </x:row>
    <x:row r="104">
      <x:c r="A104" t="str">
        <x:f>'Counter_PnL'!D104</x:f>
        <x:v>CNCT0026</x:v>
      </x:c>
      <x:c r="B104" t="str">
        <x:f>'Counter_PnL'!C104</x:f>
        <x:v>2026 S1</x:v>
      </x:c>
      <x:c r="C104" s="30" t="n">
        <x:f>COUNTIFS('Counter_PnL'!$D$2:$D$641,A104,'Counter_PnL'!$C$2:$C$641,B104)</x:f>
        <x:v>1</x:v>
      </x:c>
      <x:c r="D104" s="79" t="n">
        <x:f>ABS('Counter_PnL'!AC104-SUM('Counter_PnL'!V104:'Counter_PnL'!AB104))</x:f>
        <x:v>0</x:v>
      </x:c>
      <x:c r="E104" s="79" t="n">
        <x:f>ABS('Counter_PnL'!AI104-SUM('Counter_PnL'!R104,'Counter_PnL'!T104,'Counter_PnL'!AC104,'Counter_PnL'!AE104,'Counter_PnL'!AG104,'Counter_PnL'!AH104))</x:f>
        <x:v>0</x:v>
      </x:c>
      <x:c r="F104" s="79" t="n">
        <x:f>ABS('Counter_PnL'!AK104-('Counter_PnL'!Q104+'Counter_PnL'!AI104))</x:f>
        <x:v>0</x:v>
      </x:c>
      <x:c r="G104" s="79" t="n">
        <x:f>ABS('Counter_PnL'!AT104-SUM('Counter_PnL'!AO104:'Counter_PnL'!AS104))</x:f>
        <x:v>0</x:v>
      </x:c>
      <x:c r="H104" s="79" t="n">
        <x:f>ABS('Counter_PnL'!AV104-('Counter_PnL'!AK104+'Counter_PnL'!AT104))</x:f>
        <x:v>0</x:v>
      </x:c>
      <x:c r="I104" s="79" t="n">
        <x:f>ABS('Counter_PnL'!BE104-SUM('Counter_PnL'!AX104:'Counter_PnL'!BB104,'Counter_PnL'!BD104))</x:f>
        <x:v>0</x:v>
      </x:c>
      <x:c r="J104" s="79" t="n">
        <x:f>ABS('Counter_PnL'!BL104-SUM('Counter_PnL'!AV104,'Counter_PnL'!BE104,'Counter_PnL'!BJ104,'Counter_PnL'!BK104))</x:f>
        <x:v>0</x:v>
      </x:c>
      <x:c r="K104" s="79" t="n">
        <x:f>ABS('Counter_PnL'!BO104-('Counter_PnL'!BL104+'Counter_PnL'!BN104))</x:f>
        <x:v>0</x:v>
      </x:c>
      <x:c r="L104" s="79" t="n">
        <x:f>MAX(ABS('Counter_PnL'!AW104-'Counter_PnL'!AV104/'Counter_PnL'!AK104),ABS('Counter_PnL'!BM104-'Counter_PnL'!BL104/'Counter_PnL'!AK104),ABS('Counter_PnL'!BP104-'Counter_PnL'!BO104/'Counter_PnL'!AK104))</x:f>
        <x:v>0</x:v>
      </x:c>
      <x:c r="M104" s="30" t="n">
        <x:f>IF(AND('Counter_PnL'!Q104&gt;0,'Counter_PnL'!AK104&gt;0,'Counter_PnL'!R104&lt;=0,'Counter_PnL'!T104&lt;=0,'Counter_PnL'!AT104&lt;=0,'Counter_PnL'!BE104&lt;=0,'Counter_PnL'!BJ104&lt;=0,'Counter_PnL'!BK104&lt;=0,'Counter_PnL'!BN104&lt;=0),0,1)</x:f>
        <x:v>0</x:v>
      </x:c>
    </x:row>
    <x:row r="105">
      <x:c r="A105" t="str">
        <x:f>'Counter_PnL'!D105</x:f>
        <x:v>CNCT0026</x:v>
      </x:c>
      <x:c r="B105" t="str">
        <x:f>'Counter_PnL'!C105</x:f>
        <x:v>2026 S2</x:v>
      </x:c>
      <x:c r="C105" s="30" t="n">
        <x:f>COUNTIFS('Counter_PnL'!$D$2:$D$641,A105,'Counter_PnL'!$C$2:$C$641,B105)</x:f>
        <x:v>1</x:v>
      </x:c>
      <x:c r="D105" s="79" t="n">
        <x:f>ABS('Counter_PnL'!AC105-SUM('Counter_PnL'!V105:'Counter_PnL'!AB105))</x:f>
        <x:v>0</x:v>
      </x:c>
      <x:c r="E105" s="79" t="n">
        <x:f>ABS('Counter_PnL'!AI105-SUM('Counter_PnL'!R105,'Counter_PnL'!T105,'Counter_PnL'!AC105,'Counter_PnL'!AE105,'Counter_PnL'!AG105,'Counter_PnL'!AH105))</x:f>
        <x:v>0</x:v>
      </x:c>
      <x:c r="F105" s="79" t="n">
        <x:f>ABS('Counter_PnL'!AK105-('Counter_PnL'!Q105+'Counter_PnL'!AI105))</x:f>
        <x:v>0</x:v>
      </x:c>
      <x:c r="G105" s="79" t="n">
        <x:f>ABS('Counter_PnL'!AT105-SUM('Counter_PnL'!AO105:'Counter_PnL'!AS105))</x:f>
        <x:v>0</x:v>
      </x:c>
      <x:c r="H105" s="79" t="n">
        <x:f>ABS('Counter_PnL'!AV105-('Counter_PnL'!AK105+'Counter_PnL'!AT105))</x:f>
        <x:v>0</x:v>
      </x:c>
      <x:c r="I105" s="79" t="n">
        <x:f>ABS('Counter_PnL'!BE105-SUM('Counter_PnL'!AX105:'Counter_PnL'!BB105,'Counter_PnL'!BD105))</x:f>
        <x:v>0</x:v>
      </x:c>
      <x:c r="J105" s="79" t="n">
        <x:f>ABS('Counter_PnL'!BL105-SUM('Counter_PnL'!AV105,'Counter_PnL'!BE105,'Counter_PnL'!BJ105,'Counter_PnL'!BK105))</x:f>
        <x:v>0</x:v>
      </x:c>
      <x:c r="K105" s="79" t="n">
        <x:f>ABS('Counter_PnL'!BO105-('Counter_PnL'!BL105+'Counter_PnL'!BN105))</x:f>
        <x:v>0</x:v>
      </x:c>
      <x:c r="L105" s="79" t="n">
        <x:f>MAX(ABS('Counter_PnL'!AW105-'Counter_PnL'!AV105/'Counter_PnL'!AK105),ABS('Counter_PnL'!BM105-'Counter_PnL'!BL105/'Counter_PnL'!AK105),ABS('Counter_PnL'!BP105-'Counter_PnL'!BO105/'Counter_PnL'!AK105))</x:f>
        <x:v>0</x:v>
      </x:c>
      <x:c r="M105" s="30" t="n">
        <x:f>IF(AND('Counter_PnL'!Q105&gt;0,'Counter_PnL'!AK105&gt;0,'Counter_PnL'!R105&lt;=0,'Counter_PnL'!T105&lt;=0,'Counter_PnL'!AT105&lt;=0,'Counter_PnL'!BE105&lt;=0,'Counter_PnL'!BJ105&lt;=0,'Counter_PnL'!BK105&lt;=0,'Counter_PnL'!BN105&lt;=0),0,1)</x:f>
        <x:v>0</x:v>
      </x:c>
    </x:row>
    <x:row r="106">
      <x:c r="A106" t="str">
        <x:f>'Counter_PnL'!D106</x:f>
        <x:v>CNCT0027</x:v>
      </x:c>
      <x:c r="B106" t="str">
        <x:f>'Counter_PnL'!C106</x:f>
        <x:v>2025 S1</x:v>
      </x:c>
      <x:c r="C106" s="30" t="n">
        <x:f>COUNTIFS('Counter_PnL'!$D$2:$D$641,A106,'Counter_PnL'!$C$2:$C$641,B106)</x:f>
        <x:v>1</x:v>
      </x:c>
      <x:c r="D106" s="79" t="n">
        <x:f>ABS('Counter_PnL'!AC106-SUM('Counter_PnL'!V106:'Counter_PnL'!AB106))</x:f>
        <x:v>0</x:v>
      </x:c>
      <x:c r="E106" s="79" t="n">
        <x:f>ABS('Counter_PnL'!AI106-SUM('Counter_PnL'!R106,'Counter_PnL'!T106,'Counter_PnL'!AC106,'Counter_PnL'!AE106,'Counter_PnL'!AG106,'Counter_PnL'!AH106))</x:f>
        <x:v>0</x:v>
      </x:c>
      <x:c r="F106" s="79" t="n">
        <x:f>ABS('Counter_PnL'!AK106-('Counter_PnL'!Q106+'Counter_PnL'!AI106))</x:f>
        <x:v>0</x:v>
      </x:c>
      <x:c r="G106" s="79" t="n">
        <x:f>ABS('Counter_PnL'!AT106-SUM('Counter_PnL'!AO106:'Counter_PnL'!AS106))</x:f>
        <x:v>0</x:v>
      </x:c>
      <x:c r="H106" s="79" t="n">
        <x:f>ABS('Counter_PnL'!AV106-('Counter_PnL'!AK106+'Counter_PnL'!AT106))</x:f>
        <x:v>0</x:v>
      </x:c>
      <x:c r="I106" s="79" t="n">
        <x:f>ABS('Counter_PnL'!BE106-SUM('Counter_PnL'!AX106:'Counter_PnL'!BB106,'Counter_PnL'!BD106))</x:f>
        <x:v>0</x:v>
      </x:c>
      <x:c r="J106" s="79" t="n">
        <x:f>ABS('Counter_PnL'!BL106-SUM('Counter_PnL'!AV106,'Counter_PnL'!BE106,'Counter_PnL'!BJ106,'Counter_PnL'!BK106))</x:f>
        <x:v>0</x:v>
      </x:c>
      <x:c r="K106" s="79" t="n">
        <x:f>ABS('Counter_PnL'!BO106-('Counter_PnL'!BL106+'Counter_PnL'!BN106))</x:f>
        <x:v>0</x:v>
      </x:c>
      <x:c r="L106" s="79" t="n">
        <x:f>MAX(ABS('Counter_PnL'!AW106-'Counter_PnL'!AV106/'Counter_PnL'!AK106),ABS('Counter_PnL'!BM106-'Counter_PnL'!BL106/'Counter_PnL'!AK106),ABS('Counter_PnL'!BP106-'Counter_PnL'!BO106/'Counter_PnL'!AK106))</x:f>
        <x:v>0</x:v>
      </x:c>
      <x:c r="M106" s="30" t="n">
        <x:f>IF(AND('Counter_PnL'!Q106&gt;0,'Counter_PnL'!AK106&gt;0,'Counter_PnL'!R106&lt;=0,'Counter_PnL'!T106&lt;=0,'Counter_PnL'!AT106&lt;=0,'Counter_PnL'!BE106&lt;=0,'Counter_PnL'!BJ106&lt;=0,'Counter_PnL'!BK106&lt;=0,'Counter_PnL'!BN106&lt;=0),0,1)</x:f>
        <x:v>0</x:v>
      </x:c>
    </x:row>
    <x:row r="107">
      <x:c r="A107" t="str">
        <x:f>'Counter_PnL'!D107</x:f>
        <x:v>CNCT0027</x:v>
      </x:c>
      <x:c r="B107" t="str">
        <x:f>'Counter_PnL'!C107</x:f>
        <x:v>2025 S2</x:v>
      </x:c>
      <x:c r="C107" s="30" t="n">
        <x:f>COUNTIFS('Counter_PnL'!$D$2:$D$641,A107,'Counter_PnL'!$C$2:$C$641,B107)</x:f>
        <x:v>1</x:v>
      </x:c>
      <x:c r="D107" s="79" t="n">
        <x:f>ABS('Counter_PnL'!AC107-SUM('Counter_PnL'!V107:'Counter_PnL'!AB107))</x:f>
        <x:v>0</x:v>
      </x:c>
      <x:c r="E107" s="79" t="n">
        <x:f>ABS('Counter_PnL'!AI107-SUM('Counter_PnL'!R107,'Counter_PnL'!T107,'Counter_PnL'!AC107,'Counter_PnL'!AE107,'Counter_PnL'!AG107,'Counter_PnL'!AH107))</x:f>
        <x:v>0</x:v>
      </x:c>
      <x:c r="F107" s="79" t="n">
        <x:f>ABS('Counter_PnL'!AK107-('Counter_PnL'!Q107+'Counter_PnL'!AI107))</x:f>
        <x:v>0</x:v>
      </x:c>
      <x:c r="G107" s="79" t="n">
        <x:f>ABS('Counter_PnL'!AT107-SUM('Counter_PnL'!AO107:'Counter_PnL'!AS107))</x:f>
        <x:v>0</x:v>
      </x:c>
      <x:c r="H107" s="79" t="n">
        <x:f>ABS('Counter_PnL'!AV107-('Counter_PnL'!AK107+'Counter_PnL'!AT107))</x:f>
        <x:v>0</x:v>
      </x:c>
      <x:c r="I107" s="79" t="n">
        <x:f>ABS('Counter_PnL'!BE107-SUM('Counter_PnL'!AX107:'Counter_PnL'!BB107,'Counter_PnL'!BD107))</x:f>
        <x:v>0</x:v>
      </x:c>
      <x:c r="J107" s="79" t="n">
        <x:f>ABS('Counter_PnL'!BL107-SUM('Counter_PnL'!AV107,'Counter_PnL'!BE107,'Counter_PnL'!BJ107,'Counter_PnL'!BK107))</x:f>
        <x:v>0</x:v>
      </x:c>
      <x:c r="K107" s="79" t="n">
        <x:f>ABS('Counter_PnL'!BO107-('Counter_PnL'!BL107+'Counter_PnL'!BN107))</x:f>
        <x:v>0</x:v>
      </x:c>
      <x:c r="L107" s="79" t="n">
        <x:f>MAX(ABS('Counter_PnL'!AW107-'Counter_PnL'!AV107/'Counter_PnL'!AK107),ABS('Counter_PnL'!BM107-'Counter_PnL'!BL107/'Counter_PnL'!AK107),ABS('Counter_PnL'!BP107-'Counter_PnL'!BO107/'Counter_PnL'!AK107))</x:f>
        <x:v>0</x:v>
      </x:c>
      <x:c r="M107" s="30" t="n">
        <x:f>IF(AND('Counter_PnL'!Q107&gt;0,'Counter_PnL'!AK107&gt;0,'Counter_PnL'!R107&lt;=0,'Counter_PnL'!T107&lt;=0,'Counter_PnL'!AT107&lt;=0,'Counter_PnL'!BE107&lt;=0,'Counter_PnL'!BJ107&lt;=0,'Counter_PnL'!BK107&lt;=0,'Counter_PnL'!BN107&lt;=0),0,1)</x:f>
        <x:v>0</x:v>
      </x:c>
    </x:row>
    <x:row r="108">
      <x:c r="A108" t="str">
        <x:f>'Counter_PnL'!D108</x:f>
        <x:v>CNCT0027</x:v>
      </x:c>
      <x:c r="B108" t="str">
        <x:f>'Counter_PnL'!C108</x:f>
        <x:v>2026 S1</x:v>
      </x:c>
      <x:c r="C108" s="30" t="n">
        <x:f>COUNTIFS('Counter_PnL'!$D$2:$D$641,A108,'Counter_PnL'!$C$2:$C$641,B108)</x:f>
        <x:v>1</x:v>
      </x:c>
      <x:c r="D108" s="79" t="n">
        <x:f>ABS('Counter_PnL'!AC108-SUM('Counter_PnL'!V108:'Counter_PnL'!AB108))</x:f>
        <x:v>0</x:v>
      </x:c>
      <x:c r="E108" s="79" t="n">
        <x:f>ABS('Counter_PnL'!AI108-SUM('Counter_PnL'!R108,'Counter_PnL'!T108,'Counter_PnL'!AC108,'Counter_PnL'!AE108,'Counter_PnL'!AG108,'Counter_PnL'!AH108))</x:f>
        <x:v>0</x:v>
      </x:c>
      <x:c r="F108" s="79" t="n">
        <x:f>ABS('Counter_PnL'!AK108-('Counter_PnL'!Q108+'Counter_PnL'!AI108))</x:f>
        <x:v>0</x:v>
      </x:c>
      <x:c r="G108" s="79" t="n">
        <x:f>ABS('Counter_PnL'!AT108-SUM('Counter_PnL'!AO108:'Counter_PnL'!AS108))</x:f>
        <x:v>0</x:v>
      </x:c>
      <x:c r="H108" s="79" t="n">
        <x:f>ABS('Counter_PnL'!AV108-('Counter_PnL'!AK108+'Counter_PnL'!AT108))</x:f>
        <x:v>0</x:v>
      </x:c>
      <x:c r="I108" s="79" t="n">
        <x:f>ABS('Counter_PnL'!BE108-SUM('Counter_PnL'!AX108:'Counter_PnL'!BB108,'Counter_PnL'!BD108))</x:f>
        <x:v>0</x:v>
      </x:c>
      <x:c r="J108" s="79" t="n">
        <x:f>ABS('Counter_PnL'!BL108-SUM('Counter_PnL'!AV108,'Counter_PnL'!BE108,'Counter_PnL'!BJ108,'Counter_PnL'!BK108))</x:f>
        <x:v>0</x:v>
      </x:c>
      <x:c r="K108" s="79" t="n">
        <x:f>ABS('Counter_PnL'!BO108-('Counter_PnL'!BL108+'Counter_PnL'!BN108))</x:f>
        <x:v>0</x:v>
      </x:c>
      <x:c r="L108" s="79" t="n">
        <x:f>MAX(ABS('Counter_PnL'!AW108-'Counter_PnL'!AV108/'Counter_PnL'!AK108),ABS('Counter_PnL'!BM108-'Counter_PnL'!BL108/'Counter_PnL'!AK108),ABS('Counter_PnL'!BP108-'Counter_PnL'!BO108/'Counter_PnL'!AK108))</x:f>
        <x:v>0</x:v>
      </x:c>
      <x:c r="M108" s="30" t="n">
        <x:f>IF(AND('Counter_PnL'!Q108&gt;0,'Counter_PnL'!AK108&gt;0,'Counter_PnL'!R108&lt;=0,'Counter_PnL'!T108&lt;=0,'Counter_PnL'!AT108&lt;=0,'Counter_PnL'!BE108&lt;=0,'Counter_PnL'!BJ108&lt;=0,'Counter_PnL'!BK108&lt;=0,'Counter_PnL'!BN108&lt;=0),0,1)</x:f>
        <x:v>0</x:v>
      </x:c>
    </x:row>
    <x:row r="109">
      <x:c r="A109" t="str">
        <x:f>'Counter_PnL'!D109</x:f>
        <x:v>CNCT0027</x:v>
      </x:c>
      <x:c r="B109" t="str">
        <x:f>'Counter_PnL'!C109</x:f>
        <x:v>2026 S2</x:v>
      </x:c>
      <x:c r="C109" s="30" t="n">
        <x:f>COUNTIFS('Counter_PnL'!$D$2:$D$641,A109,'Counter_PnL'!$C$2:$C$641,B109)</x:f>
        <x:v>1</x:v>
      </x:c>
      <x:c r="D109" s="79" t="n">
        <x:f>ABS('Counter_PnL'!AC109-SUM('Counter_PnL'!V109:'Counter_PnL'!AB109))</x:f>
        <x:v>0</x:v>
      </x:c>
      <x:c r="E109" s="79" t="n">
        <x:f>ABS('Counter_PnL'!AI109-SUM('Counter_PnL'!R109,'Counter_PnL'!T109,'Counter_PnL'!AC109,'Counter_PnL'!AE109,'Counter_PnL'!AG109,'Counter_PnL'!AH109))</x:f>
        <x:v>0</x:v>
      </x:c>
      <x:c r="F109" s="79" t="n">
        <x:f>ABS('Counter_PnL'!AK109-('Counter_PnL'!Q109+'Counter_PnL'!AI109))</x:f>
        <x:v>0</x:v>
      </x:c>
      <x:c r="G109" s="79" t="n">
        <x:f>ABS('Counter_PnL'!AT109-SUM('Counter_PnL'!AO109:'Counter_PnL'!AS109))</x:f>
        <x:v>0</x:v>
      </x:c>
      <x:c r="H109" s="79" t="n">
        <x:f>ABS('Counter_PnL'!AV109-('Counter_PnL'!AK109+'Counter_PnL'!AT109))</x:f>
        <x:v>0</x:v>
      </x:c>
      <x:c r="I109" s="79" t="n">
        <x:f>ABS('Counter_PnL'!BE109-SUM('Counter_PnL'!AX109:'Counter_PnL'!BB109,'Counter_PnL'!BD109))</x:f>
        <x:v>0</x:v>
      </x:c>
      <x:c r="J109" s="79" t="n">
        <x:f>ABS('Counter_PnL'!BL109-SUM('Counter_PnL'!AV109,'Counter_PnL'!BE109,'Counter_PnL'!BJ109,'Counter_PnL'!BK109))</x:f>
        <x:v>0</x:v>
      </x:c>
      <x:c r="K109" s="79" t="n">
        <x:f>ABS('Counter_PnL'!BO109-('Counter_PnL'!BL109+'Counter_PnL'!BN109))</x:f>
        <x:v>0</x:v>
      </x:c>
      <x:c r="L109" s="79" t="n">
        <x:f>MAX(ABS('Counter_PnL'!AW109-'Counter_PnL'!AV109/'Counter_PnL'!AK109),ABS('Counter_PnL'!BM109-'Counter_PnL'!BL109/'Counter_PnL'!AK109),ABS('Counter_PnL'!BP109-'Counter_PnL'!BO109/'Counter_PnL'!AK109))</x:f>
        <x:v>0</x:v>
      </x:c>
      <x:c r="M109" s="30" t="n">
        <x:f>IF(AND('Counter_PnL'!Q109&gt;0,'Counter_PnL'!AK109&gt;0,'Counter_PnL'!R109&lt;=0,'Counter_PnL'!T109&lt;=0,'Counter_PnL'!AT109&lt;=0,'Counter_PnL'!BE109&lt;=0,'Counter_PnL'!BJ109&lt;=0,'Counter_PnL'!BK109&lt;=0,'Counter_PnL'!BN109&lt;=0),0,1)</x:f>
        <x:v>0</x:v>
      </x:c>
    </x:row>
    <x:row r="110">
      <x:c r="A110" t="str">
        <x:f>'Counter_PnL'!D110</x:f>
        <x:v>CNCT0028</x:v>
      </x:c>
      <x:c r="B110" t="str">
        <x:f>'Counter_PnL'!C110</x:f>
        <x:v>2025 S1</x:v>
      </x:c>
      <x:c r="C110" s="30" t="n">
        <x:f>COUNTIFS('Counter_PnL'!$D$2:$D$641,A110,'Counter_PnL'!$C$2:$C$641,B110)</x:f>
        <x:v>1</x:v>
      </x:c>
      <x:c r="D110" s="79" t="n">
        <x:f>ABS('Counter_PnL'!AC110-SUM('Counter_PnL'!V110:'Counter_PnL'!AB110))</x:f>
        <x:v>0</x:v>
      </x:c>
      <x:c r="E110" s="79" t="n">
        <x:f>ABS('Counter_PnL'!AI110-SUM('Counter_PnL'!R110,'Counter_PnL'!T110,'Counter_PnL'!AC110,'Counter_PnL'!AE110,'Counter_PnL'!AG110,'Counter_PnL'!AH110))</x:f>
        <x:v>0</x:v>
      </x:c>
      <x:c r="F110" s="79" t="n">
        <x:f>ABS('Counter_PnL'!AK110-('Counter_PnL'!Q110+'Counter_PnL'!AI110))</x:f>
        <x:v>0</x:v>
      </x:c>
      <x:c r="G110" s="79" t="n">
        <x:f>ABS('Counter_PnL'!AT110-SUM('Counter_PnL'!AO110:'Counter_PnL'!AS110))</x:f>
        <x:v>0</x:v>
      </x:c>
      <x:c r="H110" s="79" t="n">
        <x:f>ABS('Counter_PnL'!AV110-('Counter_PnL'!AK110+'Counter_PnL'!AT110))</x:f>
        <x:v>0</x:v>
      </x:c>
      <x:c r="I110" s="79" t="n">
        <x:f>ABS('Counter_PnL'!BE110-SUM('Counter_PnL'!AX110:'Counter_PnL'!BB110,'Counter_PnL'!BD110))</x:f>
        <x:v>0</x:v>
      </x:c>
      <x:c r="J110" s="79" t="n">
        <x:f>ABS('Counter_PnL'!BL110-SUM('Counter_PnL'!AV110,'Counter_PnL'!BE110,'Counter_PnL'!BJ110,'Counter_PnL'!BK110))</x:f>
        <x:v>0</x:v>
      </x:c>
      <x:c r="K110" s="79" t="n">
        <x:f>ABS('Counter_PnL'!BO110-('Counter_PnL'!BL110+'Counter_PnL'!BN110))</x:f>
        <x:v>0</x:v>
      </x:c>
      <x:c r="L110" s="79" t="n">
        <x:f>MAX(ABS('Counter_PnL'!AW110-'Counter_PnL'!AV110/'Counter_PnL'!AK110),ABS('Counter_PnL'!BM110-'Counter_PnL'!BL110/'Counter_PnL'!AK110),ABS('Counter_PnL'!BP110-'Counter_PnL'!BO110/'Counter_PnL'!AK110))</x:f>
        <x:v>0</x:v>
      </x:c>
      <x:c r="M110" s="30" t="n">
        <x:f>IF(AND('Counter_PnL'!Q110&gt;0,'Counter_PnL'!AK110&gt;0,'Counter_PnL'!R110&lt;=0,'Counter_PnL'!T110&lt;=0,'Counter_PnL'!AT110&lt;=0,'Counter_PnL'!BE110&lt;=0,'Counter_PnL'!BJ110&lt;=0,'Counter_PnL'!BK110&lt;=0,'Counter_PnL'!BN110&lt;=0),0,1)</x:f>
        <x:v>0</x:v>
      </x:c>
    </x:row>
    <x:row r="111">
      <x:c r="A111" t="str">
        <x:f>'Counter_PnL'!D111</x:f>
        <x:v>CNCT0028</x:v>
      </x:c>
      <x:c r="B111" t="str">
        <x:f>'Counter_PnL'!C111</x:f>
        <x:v>2025 S2</x:v>
      </x:c>
      <x:c r="C111" s="30" t="n">
        <x:f>COUNTIFS('Counter_PnL'!$D$2:$D$641,A111,'Counter_PnL'!$C$2:$C$641,B111)</x:f>
        <x:v>1</x:v>
      </x:c>
      <x:c r="D111" s="79" t="n">
        <x:f>ABS('Counter_PnL'!AC111-SUM('Counter_PnL'!V111:'Counter_PnL'!AB111))</x:f>
        <x:v>0</x:v>
      </x:c>
      <x:c r="E111" s="79" t="n">
        <x:f>ABS('Counter_PnL'!AI111-SUM('Counter_PnL'!R111,'Counter_PnL'!T111,'Counter_PnL'!AC111,'Counter_PnL'!AE111,'Counter_PnL'!AG111,'Counter_PnL'!AH111))</x:f>
        <x:v>0</x:v>
      </x:c>
      <x:c r="F111" s="79" t="n">
        <x:f>ABS('Counter_PnL'!AK111-('Counter_PnL'!Q111+'Counter_PnL'!AI111))</x:f>
        <x:v>0</x:v>
      </x:c>
      <x:c r="G111" s="79" t="n">
        <x:f>ABS('Counter_PnL'!AT111-SUM('Counter_PnL'!AO111:'Counter_PnL'!AS111))</x:f>
        <x:v>0</x:v>
      </x:c>
      <x:c r="H111" s="79" t="n">
        <x:f>ABS('Counter_PnL'!AV111-('Counter_PnL'!AK111+'Counter_PnL'!AT111))</x:f>
        <x:v>0</x:v>
      </x:c>
      <x:c r="I111" s="79" t="n">
        <x:f>ABS('Counter_PnL'!BE111-SUM('Counter_PnL'!AX111:'Counter_PnL'!BB111,'Counter_PnL'!BD111))</x:f>
        <x:v>0</x:v>
      </x:c>
      <x:c r="J111" s="79" t="n">
        <x:f>ABS('Counter_PnL'!BL111-SUM('Counter_PnL'!AV111,'Counter_PnL'!BE111,'Counter_PnL'!BJ111,'Counter_PnL'!BK111))</x:f>
        <x:v>0</x:v>
      </x:c>
      <x:c r="K111" s="79" t="n">
        <x:f>ABS('Counter_PnL'!BO111-('Counter_PnL'!BL111+'Counter_PnL'!BN111))</x:f>
        <x:v>0</x:v>
      </x:c>
      <x:c r="L111" s="79" t="n">
        <x:f>MAX(ABS('Counter_PnL'!AW111-'Counter_PnL'!AV111/'Counter_PnL'!AK111),ABS('Counter_PnL'!BM111-'Counter_PnL'!BL111/'Counter_PnL'!AK111),ABS('Counter_PnL'!BP111-'Counter_PnL'!BO111/'Counter_PnL'!AK111))</x:f>
        <x:v>0</x:v>
      </x:c>
      <x:c r="M111" s="30" t="n">
        <x:f>IF(AND('Counter_PnL'!Q111&gt;0,'Counter_PnL'!AK111&gt;0,'Counter_PnL'!R111&lt;=0,'Counter_PnL'!T111&lt;=0,'Counter_PnL'!AT111&lt;=0,'Counter_PnL'!BE111&lt;=0,'Counter_PnL'!BJ111&lt;=0,'Counter_PnL'!BK111&lt;=0,'Counter_PnL'!BN111&lt;=0),0,1)</x:f>
        <x:v>0</x:v>
      </x:c>
    </x:row>
    <x:row r="112">
      <x:c r="A112" t="str">
        <x:f>'Counter_PnL'!D112</x:f>
        <x:v>CNCT0028</x:v>
      </x:c>
      <x:c r="B112" t="str">
        <x:f>'Counter_PnL'!C112</x:f>
        <x:v>2026 S1</x:v>
      </x:c>
      <x:c r="C112" s="30" t="n">
        <x:f>COUNTIFS('Counter_PnL'!$D$2:$D$641,A112,'Counter_PnL'!$C$2:$C$641,B112)</x:f>
        <x:v>1</x:v>
      </x:c>
      <x:c r="D112" s="79" t="n">
        <x:f>ABS('Counter_PnL'!AC112-SUM('Counter_PnL'!V112:'Counter_PnL'!AB112))</x:f>
        <x:v>0</x:v>
      </x:c>
      <x:c r="E112" s="79" t="n">
        <x:f>ABS('Counter_PnL'!AI112-SUM('Counter_PnL'!R112,'Counter_PnL'!T112,'Counter_PnL'!AC112,'Counter_PnL'!AE112,'Counter_PnL'!AG112,'Counter_PnL'!AH112))</x:f>
        <x:v>0</x:v>
      </x:c>
      <x:c r="F112" s="79" t="n">
        <x:f>ABS('Counter_PnL'!AK112-('Counter_PnL'!Q112+'Counter_PnL'!AI112))</x:f>
        <x:v>0</x:v>
      </x:c>
      <x:c r="G112" s="79" t="n">
        <x:f>ABS('Counter_PnL'!AT112-SUM('Counter_PnL'!AO112:'Counter_PnL'!AS112))</x:f>
        <x:v>0</x:v>
      </x:c>
      <x:c r="H112" s="79" t="n">
        <x:f>ABS('Counter_PnL'!AV112-('Counter_PnL'!AK112+'Counter_PnL'!AT112))</x:f>
        <x:v>0</x:v>
      </x:c>
      <x:c r="I112" s="79" t="n">
        <x:f>ABS('Counter_PnL'!BE112-SUM('Counter_PnL'!AX112:'Counter_PnL'!BB112,'Counter_PnL'!BD112))</x:f>
        <x:v>0</x:v>
      </x:c>
      <x:c r="J112" s="79" t="n">
        <x:f>ABS('Counter_PnL'!BL112-SUM('Counter_PnL'!AV112,'Counter_PnL'!BE112,'Counter_PnL'!BJ112,'Counter_PnL'!BK112))</x:f>
        <x:v>0</x:v>
      </x:c>
      <x:c r="K112" s="79" t="n">
        <x:f>ABS('Counter_PnL'!BO112-('Counter_PnL'!BL112+'Counter_PnL'!BN112))</x:f>
        <x:v>0</x:v>
      </x:c>
      <x:c r="L112" s="79" t="n">
        <x:f>MAX(ABS('Counter_PnL'!AW112-'Counter_PnL'!AV112/'Counter_PnL'!AK112),ABS('Counter_PnL'!BM112-'Counter_PnL'!BL112/'Counter_PnL'!AK112),ABS('Counter_PnL'!BP112-'Counter_PnL'!BO112/'Counter_PnL'!AK112))</x:f>
        <x:v>0</x:v>
      </x:c>
      <x:c r="M112" s="30" t="n">
        <x:f>IF(AND('Counter_PnL'!Q112&gt;0,'Counter_PnL'!AK112&gt;0,'Counter_PnL'!R112&lt;=0,'Counter_PnL'!T112&lt;=0,'Counter_PnL'!AT112&lt;=0,'Counter_PnL'!BE112&lt;=0,'Counter_PnL'!BJ112&lt;=0,'Counter_PnL'!BK112&lt;=0,'Counter_PnL'!BN112&lt;=0),0,1)</x:f>
        <x:v>0</x:v>
      </x:c>
    </x:row>
    <x:row r="113">
      <x:c r="A113" t="str">
        <x:f>'Counter_PnL'!D113</x:f>
        <x:v>CNCT0028</x:v>
      </x:c>
      <x:c r="B113" t="str">
        <x:f>'Counter_PnL'!C113</x:f>
        <x:v>2026 S2</x:v>
      </x:c>
      <x:c r="C113" s="30" t="n">
        <x:f>COUNTIFS('Counter_PnL'!$D$2:$D$641,A113,'Counter_PnL'!$C$2:$C$641,B113)</x:f>
        <x:v>1</x:v>
      </x:c>
      <x:c r="D113" s="79" t="n">
        <x:f>ABS('Counter_PnL'!AC113-SUM('Counter_PnL'!V113:'Counter_PnL'!AB113))</x:f>
        <x:v>0</x:v>
      </x:c>
      <x:c r="E113" s="79" t="n">
        <x:f>ABS('Counter_PnL'!AI113-SUM('Counter_PnL'!R113,'Counter_PnL'!T113,'Counter_PnL'!AC113,'Counter_PnL'!AE113,'Counter_PnL'!AG113,'Counter_PnL'!AH113))</x:f>
        <x:v>0</x:v>
      </x:c>
      <x:c r="F113" s="79" t="n">
        <x:f>ABS('Counter_PnL'!AK113-('Counter_PnL'!Q113+'Counter_PnL'!AI113))</x:f>
        <x:v>0</x:v>
      </x:c>
      <x:c r="G113" s="79" t="n">
        <x:f>ABS('Counter_PnL'!AT113-SUM('Counter_PnL'!AO113:'Counter_PnL'!AS113))</x:f>
        <x:v>0</x:v>
      </x:c>
      <x:c r="H113" s="79" t="n">
        <x:f>ABS('Counter_PnL'!AV113-('Counter_PnL'!AK113+'Counter_PnL'!AT113))</x:f>
        <x:v>0</x:v>
      </x:c>
      <x:c r="I113" s="79" t="n">
        <x:f>ABS('Counter_PnL'!BE113-SUM('Counter_PnL'!AX113:'Counter_PnL'!BB113,'Counter_PnL'!BD113))</x:f>
        <x:v>0</x:v>
      </x:c>
      <x:c r="J113" s="79" t="n">
        <x:f>ABS('Counter_PnL'!BL113-SUM('Counter_PnL'!AV113,'Counter_PnL'!BE113,'Counter_PnL'!BJ113,'Counter_PnL'!BK113))</x:f>
        <x:v>0</x:v>
      </x:c>
      <x:c r="K113" s="79" t="n">
        <x:f>ABS('Counter_PnL'!BO113-('Counter_PnL'!BL113+'Counter_PnL'!BN113))</x:f>
        <x:v>0</x:v>
      </x:c>
      <x:c r="L113" s="79" t="n">
        <x:f>MAX(ABS('Counter_PnL'!AW113-'Counter_PnL'!AV113/'Counter_PnL'!AK113),ABS('Counter_PnL'!BM113-'Counter_PnL'!BL113/'Counter_PnL'!AK113),ABS('Counter_PnL'!BP113-'Counter_PnL'!BO113/'Counter_PnL'!AK113))</x:f>
        <x:v>0</x:v>
      </x:c>
      <x:c r="M113" s="30" t="n">
        <x:f>IF(AND('Counter_PnL'!Q113&gt;0,'Counter_PnL'!AK113&gt;0,'Counter_PnL'!R113&lt;=0,'Counter_PnL'!T113&lt;=0,'Counter_PnL'!AT113&lt;=0,'Counter_PnL'!BE113&lt;=0,'Counter_PnL'!BJ113&lt;=0,'Counter_PnL'!BK113&lt;=0,'Counter_PnL'!BN113&lt;=0),0,1)</x:f>
        <x:v>0</x:v>
      </x:c>
    </x:row>
    <x:row r="114">
      <x:c r="A114" t="str">
        <x:f>'Counter_PnL'!D114</x:f>
        <x:v>CNCT0029</x:v>
      </x:c>
      <x:c r="B114" t="str">
        <x:f>'Counter_PnL'!C114</x:f>
        <x:v>2025 S1</x:v>
      </x:c>
      <x:c r="C114" s="30" t="n">
        <x:f>COUNTIFS('Counter_PnL'!$D$2:$D$641,A114,'Counter_PnL'!$C$2:$C$641,B114)</x:f>
        <x:v>1</x:v>
      </x:c>
      <x:c r="D114" s="79" t="n">
        <x:f>ABS('Counter_PnL'!AC114-SUM('Counter_PnL'!V114:'Counter_PnL'!AB114))</x:f>
        <x:v>0</x:v>
      </x:c>
      <x:c r="E114" s="79" t="n">
        <x:f>ABS('Counter_PnL'!AI114-SUM('Counter_PnL'!R114,'Counter_PnL'!T114,'Counter_PnL'!AC114,'Counter_PnL'!AE114,'Counter_PnL'!AG114,'Counter_PnL'!AH114))</x:f>
        <x:v>0</x:v>
      </x:c>
      <x:c r="F114" s="79" t="n">
        <x:f>ABS('Counter_PnL'!AK114-('Counter_PnL'!Q114+'Counter_PnL'!AI114))</x:f>
        <x:v>0</x:v>
      </x:c>
      <x:c r="G114" s="79" t="n">
        <x:f>ABS('Counter_PnL'!AT114-SUM('Counter_PnL'!AO114:'Counter_PnL'!AS114))</x:f>
        <x:v>0</x:v>
      </x:c>
      <x:c r="H114" s="79" t="n">
        <x:f>ABS('Counter_PnL'!AV114-('Counter_PnL'!AK114+'Counter_PnL'!AT114))</x:f>
        <x:v>0</x:v>
      </x:c>
      <x:c r="I114" s="79" t="n">
        <x:f>ABS('Counter_PnL'!BE114-SUM('Counter_PnL'!AX114:'Counter_PnL'!BB114,'Counter_PnL'!BD114))</x:f>
        <x:v>0</x:v>
      </x:c>
      <x:c r="J114" s="79" t="n">
        <x:f>ABS('Counter_PnL'!BL114-SUM('Counter_PnL'!AV114,'Counter_PnL'!BE114,'Counter_PnL'!BJ114,'Counter_PnL'!BK114))</x:f>
        <x:v>0</x:v>
      </x:c>
      <x:c r="K114" s="79" t="n">
        <x:f>ABS('Counter_PnL'!BO114-('Counter_PnL'!BL114+'Counter_PnL'!BN114))</x:f>
        <x:v>0</x:v>
      </x:c>
      <x:c r="L114" s="79" t="n">
        <x:f>MAX(ABS('Counter_PnL'!AW114-'Counter_PnL'!AV114/'Counter_PnL'!AK114),ABS('Counter_PnL'!BM114-'Counter_PnL'!BL114/'Counter_PnL'!AK114),ABS('Counter_PnL'!BP114-'Counter_PnL'!BO114/'Counter_PnL'!AK114))</x:f>
        <x:v>0</x:v>
      </x:c>
      <x:c r="M114" s="30" t="n">
        <x:f>IF(AND('Counter_PnL'!Q114&gt;0,'Counter_PnL'!AK114&gt;0,'Counter_PnL'!R114&lt;=0,'Counter_PnL'!T114&lt;=0,'Counter_PnL'!AT114&lt;=0,'Counter_PnL'!BE114&lt;=0,'Counter_PnL'!BJ114&lt;=0,'Counter_PnL'!BK114&lt;=0,'Counter_PnL'!BN114&lt;=0),0,1)</x:f>
        <x:v>0</x:v>
      </x:c>
    </x:row>
    <x:row r="115">
      <x:c r="A115" t="str">
        <x:f>'Counter_PnL'!D115</x:f>
        <x:v>CNCT0029</x:v>
      </x:c>
      <x:c r="B115" t="str">
        <x:f>'Counter_PnL'!C115</x:f>
        <x:v>2025 S2</x:v>
      </x:c>
      <x:c r="C115" s="30" t="n">
        <x:f>COUNTIFS('Counter_PnL'!$D$2:$D$641,A115,'Counter_PnL'!$C$2:$C$641,B115)</x:f>
        <x:v>1</x:v>
      </x:c>
      <x:c r="D115" s="79" t="n">
        <x:f>ABS('Counter_PnL'!AC115-SUM('Counter_PnL'!V115:'Counter_PnL'!AB115))</x:f>
        <x:v>0</x:v>
      </x:c>
      <x:c r="E115" s="79" t="n">
        <x:f>ABS('Counter_PnL'!AI115-SUM('Counter_PnL'!R115,'Counter_PnL'!T115,'Counter_PnL'!AC115,'Counter_PnL'!AE115,'Counter_PnL'!AG115,'Counter_PnL'!AH115))</x:f>
        <x:v>0</x:v>
      </x:c>
      <x:c r="F115" s="79" t="n">
        <x:f>ABS('Counter_PnL'!AK115-('Counter_PnL'!Q115+'Counter_PnL'!AI115))</x:f>
        <x:v>0</x:v>
      </x:c>
      <x:c r="G115" s="79" t="n">
        <x:f>ABS('Counter_PnL'!AT115-SUM('Counter_PnL'!AO115:'Counter_PnL'!AS115))</x:f>
        <x:v>0</x:v>
      </x:c>
      <x:c r="H115" s="79" t="n">
        <x:f>ABS('Counter_PnL'!AV115-('Counter_PnL'!AK115+'Counter_PnL'!AT115))</x:f>
        <x:v>0</x:v>
      </x:c>
      <x:c r="I115" s="79" t="n">
        <x:f>ABS('Counter_PnL'!BE115-SUM('Counter_PnL'!AX115:'Counter_PnL'!BB115,'Counter_PnL'!BD115))</x:f>
        <x:v>0</x:v>
      </x:c>
      <x:c r="J115" s="79" t="n">
        <x:f>ABS('Counter_PnL'!BL115-SUM('Counter_PnL'!AV115,'Counter_PnL'!BE115,'Counter_PnL'!BJ115,'Counter_PnL'!BK115))</x:f>
        <x:v>0</x:v>
      </x:c>
      <x:c r="K115" s="79" t="n">
        <x:f>ABS('Counter_PnL'!BO115-('Counter_PnL'!BL115+'Counter_PnL'!BN115))</x:f>
        <x:v>0</x:v>
      </x:c>
      <x:c r="L115" s="79" t="n">
        <x:f>MAX(ABS('Counter_PnL'!AW115-'Counter_PnL'!AV115/'Counter_PnL'!AK115),ABS('Counter_PnL'!BM115-'Counter_PnL'!BL115/'Counter_PnL'!AK115),ABS('Counter_PnL'!BP115-'Counter_PnL'!BO115/'Counter_PnL'!AK115))</x:f>
        <x:v>0</x:v>
      </x:c>
      <x:c r="M115" s="30" t="n">
        <x:f>IF(AND('Counter_PnL'!Q115&gt;0,'Counter_PnL'!AK115&gt;0,'Counter_PnL'!R115&lt;=0,'Counter_PnL'!T115&lt;=0,'Counter_PnL'!AT115&lt;=0,'Counter_PnL'!BE115&lt;=0,'Counter_PnL'!BJ115&lt;=0,'Counter_PnL'!BK115&lt;=0,'Counter_PnL'!BN115&lt;=0),0,1)</x:f>
        <x:v>0</x:v>
      </x:c>
    </x:row>
    <x:row r="116">
      <x:c r="A116" t="str">
        <x:f>'Counter_PnL'!D116</x:f>
        <x:v>CNCT0029</x:v>
      </x:c>
      <x:c r="B116" t="str">
        <x:f>'Counter_PnL'!C116</x:f>
        <x:v>2026 S1</x:v>
      </x:c>
      <x:c r="C116" s="30" t="n">
        <x:f>COUNTIFS('Counter_PnL'!$D$2:$D$641,A116,'Counter_PnL'!$C$2:$C$641,B116)</x:f>
        <x:v>1</x:v>
      </x:c>
      <x:c r="D116" s="79" t="n">
        <x:f>ABS('Counter_PnL'!AC116-SUM('Counter_PnL'!V116:'Counter_PnL'!AB116))</x:f>
        <x:v>0</x:v>
      </x:c>
      <x:c r="E116" s="79" t="n">
        <x:f>ABS('Counter_PnL'!AI116-SUM('Counter_PnL'!R116,'Counter_PnL'!T116,'Counter_PnL'!AC116,'Counter_PnL'!AE116,'Counter_PnL'!AG116,'Counter_PnL'!AH116))</x:f>
        <x:v>0</x:v>
      </x:c>
      <x:c r="F116" s="79" t="n">
        <x:f>ABS('Counter_PnL'!AK116-('Counter_PnL'!Q116+'Counter_PnL'!AI116))</x:f>
        <x:v>0</x:v>
      </x:c>
      <x:c r="G116" s="79" t="n">
        <x:f>ABS('Counter_PnL'!AT116-SUM('Counter_PnL'!AO116:'Counter_PnL'!AS116))</x:f>
        <x:v>0</x:v>
      </x:c>
      <x:c r="H116" s="79" t="n">
        <x:f>ABS('Counter_PnL'!AV116-('Counter_PnL'!AK116+'Counter_PnL'!AT116))</x:f>
        <x:v>0</x:v>
      </x:c>
      <x:c r="I116" s="79" t="n">
        <x:f>ABS('Counter_PnL'!BE116-SUM('Counter_PnL'!AX116:'Counter_PnL'!BB116,'Counter_PnL'!BD116))</x:f>
        <x:v>0</x:v>
      </x:c>
      <x:c r="J116" s="79" t="n">
        <x:f>ABS('Counter_PnL'!BL116-SUM('Counter_PnL'!AV116,'Counter_PnL'!BE116,'Counter_PnL'!BJ116,'Counter_PnL'!BK116))</x:f>
        <x:v>0</x:v>
      </x:c>
      <x:c r="K116" s="79" t="n">
        <x:f>ABS('Counter_PnL'!BO116-('Counter_PnL'!BL116+'Counter_PnL'!BN116))</x:f>
        <x:v>0</x:v>
      </x:c>
      <x:c r="L116" s="79" t="n">
        <x:f>MAX(ABS('Counter_PnL'!AW116-'Counter_PnL'!AV116/'Counter_PnL'!AK116),ABS('Counter_PnL'!BM116-'Counter_PnL'!BL116/'Counter_PnL'!AK116),ABS('Counter_PnL'!BP116-'Counter_PnL'!BO116/'Counter_PnL'!AK116))</x:f>
        <x:v>0</x:v>
      </x:c>
      <x:c r="M116" s="30" t="n">
        <x:f>IF(AND('Counter_PnL'!Q116&gt;0,'Counter_PnL'!AK116&gt;0,'Counter_PnL'!R116&lt;=0,'Counter_PnL'!T116&lt;=0,'Counter_PnL'!AT116&lt;=0,'Counter_PnL'!BE116&lt;=0,'Counter_PnL'!BJ116&lt;=0,'Counter_PnL'!BK116&lt;=0,'Counter_PnL'!BN116&lt;=0),0,1)</x:f>
        <x:v>0</x:v>
      </x:c>
    </x:row>
    <x:row r="117">
      <x:c r="A117" t="str">
        <x:f>'Counter_PnL'!D117</x:f>
        <x:v>CNCT0029</x:v>
      </x:c>
      <x:c r="B117" t="str">
        <x:f>'Counter_PnL'!C117</x:f>
        <x:v>2026 S2</x:v>
      </x:c>
      <x:c r="C117" s="30" t="n">
        <x:f>COUNTIFS('Counter_PnL'!$D$2:$D$641,A117,'Counter_PnL'!$C$2:$C$641,B117)</x:f>
        <x:v>1</x:v>
      </x:c>
      <x:c r="D117" s="79" t="n">
        <x:f>ABS('Counter_PnL'!AC117-SUM('Counter_PnL'!V117:'Counter_PnL'!AB117))</x:f>
        <x:v>0</x:v>
      </x:c>
      <x:c r="E117" s="79" t="n">
        <x:f>ABS('Counter_PnL'!AI117-SUM('Counter_PnL'!R117,'Counter_PnL'!T117,'Counter_PnL'!AC117,'Counter_PnL'!AE117,'Counter_PnL'!AG117,'Counter_PnL'!AH117))</x:f>
        <x:v>0</x:v>
      </x:c>
      <x:c r="F117" s="79" t="n">
        <x:f>ABS('Counter_PnL'!AK117-('Counter_PnL'!Q117+'Counter_PnL'!AI117))</x:f>
        <x:v>0</x:v>
      </x:c>
      <x:c r="G117" s="79" t="n">
        <x:f>ABS('Counter_PnL'!AT117-SUM('Counter_PnL'!AO117:'Counter_PnL'!AS117))</x:f>
        <x:v>0</x:v>
      </x:c>
      <x:c r="H117" s="79" t="n">
        <x:f>ABS('Counter_PnL'!AV117-('Counter_PnL'!AK117+'Counter_PnL'!AT117))</x:f>
        <x:v>0</x:v>
      </x:c>
      <x:c r="I117" s="79" t="n">
        <x:f>ABS('Counter_PnL'!BE117-SUM('Counter_PnL'!AX117:'Counter_PnL'!BB117,'Counter_PnL'!BD117))</x:f>
        <x:v>0</x:v>
      </x:c>
      <x:c r="J117" s="79" t="n">
        <x:f>ABS('Counter_PnL'!BL117-SUM('Counter_PnL'!AV117,'Counter_PnL'!BE117,'Counter_PnL'!BJ117,'Counter_PnL'!BK117))</x:f>
        <x:v>0</x:v>
      </x:c>
      <x:c r="K117" s="79" t="n">
        <x:f>ABS('Counter_PnL'!BO117-('Counter_PnL'!BL117+'Counter_PnL'!BN117))</x:f>
        <x:v>0</x:v>
      </x:c>
      <x:c r="L117" s="79" t="n">
        <x:f>MAX(ABS('Counter_PnL'!AW117-'Counter_PnL'!AV117/'Counter_PnL'!AK117),ABS('Counter_PnL'!BM117-'Counter_PnL'!BL117/'Counter_PnL'!AK117),ABS('Counter_PnL'!BP117-'Counter_PnL'!BO117/'Counter_PnL'!AK117))</x:f>
        <x:v>0</x:v>
      </x:c>
      <x:c r="M117" s="30" t="n">
        <x:f>IF(AND('Counter_PnL'!Q117&gt;0,'Counter_PnL'!AK117&gt;0,'Counter_PnL'!R117&lt;=0,'Counter_PnL'!T117&lt;=0,'Counter_PnL'!AT117&lt;=0,'Counter_PnL'!BE117&lt;=0,'Counter_PnL'!BJ117&lt;=0,'Counter_PnL'!BK117&lt;=0,'Counter_PnL'!BN117&lt;=0),0,1)</x:f>
        <x:v>0</x:v>
      </x:c>
    </x:row>
    <x:row r="118">
      <x:c r="A118" t="str">
        <x:f>'Counter_PnL'!D118</x:f>
        <x:v>CNCT0030</x:v>
      </x:c>
      <x:c r="B118" t="str">
        <x:f>'Counter_PnL'!C118</x:f>
        <x:v>2025 S1</x:v>
      </x:c>
      <x:c r="C118" s="30" t="n">
        <x:f>COUNTIFS('Counter_PnL'!$D$2:$D$641,A118,'Counter_PnL'!$C$2:$C$641,B118)</x:f>
        <x:v>1</x:v>
      </x:c>
      <x:c r="D118" s="79" t="n">
        <x:f>ABS('Counter_PnL'!AC118-SUM('Counter_PnL'!V118:'Counter_PnL'!AB118))</x:f>
        <x:v>0</x:v>
      </x:c>
      <x:c r="E118" s="79" t="n">
        <x:f>ABS('Counter_PnL'!AI118-SUM('Counter_PnL'!R118,'Counter_PnL'!T118,'Counter_PnL'!AC118,'Counter_PnL'!AE118,'Counter_PnL'!AG118,'Counter_PnL'!AH118))</x:f>
        <x:v>0</x:v>
      </x:c>
      <x:c r="F118" s="79" t="n">
        <x:f>ABS('Counter_PnL'!AK118-('Counter_PnL'!Q118+'Counter_PnL'!AI118))</x:f>
        <x:v>0</x:v>
      </x:c>
      <x:c r="G118" s="79" t="n">
        <x:f>ABS('Counter_PnL'!AT118-SUM('Counter_PnL'!AO118:'Counter_PnL'!AS118))</x:f>
        <x:v>0</x:v>
      </x:c>
      <x:c r="H118" s="79" t="n">
        <x:f>ABS('Counter_PnL'!AV118-('Counter_PnL'!AK118+'Counter_PnL'!AT118))</x:f>
        <x:v>0</x:v>
      </x:c>
      <x:c r="I118" s="79" t="n">
        <x:f>ABS('Counter_PnL'!BE118-SUM('Counter_PnL'!AX118:'Counter_PnL'!BB118,'Counter_PnL'!BD118))</x:f>
        <x:v>0</x:v>
      </x:c>
      <x:c r="J118" s="79" t="n">
        <x:f>ABS('Counter_PnL'!BL118-SUM('Counter_PnL'!AV118,'Counter_PnL'!BE118,'Counter_PnL'!BJ118,'Counter_PnL'!BK118))</x:f>
        <x:v>0</x:v>
      </x:c>
      <x:c r="K118" s="79" t="n">
        <x:f>ABS('Counter_PnL'!BO118-('Counter_PnL'!BL118+'Counter_PnL'!BN118))</x:f>
        <x:v>0</x:v>
      </x:c>
      <x:c r="L118" s="79" t="n">
        <x:f>MAX(ABS('Counter_PnL'!AW118-'Counter_PnL'!AV118/'Counter_PnL'!AK118),ABS('Counter_PnL'!BM118-'Counter_PnL'!BL118/'Counter_PnL'!AK118),ABS('Counter_PnL'!BP118-'Counter_PnL'!BO118/'Counter_PnL'!AK118))</x:f>
        <x:v>0</x:v>
      </x:c>
      <x:c r="M118" s="30" t="n">
        <x:f>IF(AND('Counter_PnL'!Q118&gt;0,'Counter_PnL'!AK118&gt;0,'Counter_PnL'!R118&lt;=0,'Counter_PnL'!T118&lt;=0,'Counter_PnL'!AT118&lt;=0,'Counter_PnL'!BE118&lt;=0,'Counter_PnL'!BJ118&lt;=0,'Counter_PnL'!BK118&lt;=0,'Counter_PnL'!BN118&lt;=0),0,1)</x:f>
        <x:v>0</x:v>
      </x:c>
    </x:row>
    <x:row r="119">
      <x:c r="A119" t="str">
        <x:f>'Counter_PnL'!D119</x:f>
        <x:v>CNCT0030</x:v>
      </x:c>
      <x:c r="B119" t="str">
        <x:f>'Counter_PnL'!C119</x:f>
        <x:v>2025 S2</x:v>
      </x:c>
      <x:c r="C119" s="30" t="n">
        <x:f>COUNTIFS('Counter_PnL'!$D$2:$D$641,A119,'Counter_PnL'!$C$2:$C$641,B119)</x:f>
        <x:v>1</x:v>
      </x:c>
      <x:c r="D119" s="79" t="n">
        <x:f>ABS('Counter_PnL'!AC119-SUM('Counter_PnL'!V119:'Counter_PnL'!AB119))</x:f>
        <x:v>0</x:v>
      </x:c>
      <x:c r="E119" s="79" t="n">
        <x:f>ABS('Counter_PnL'!AI119-SUM('Counter_PnL'!R119,'Counter_PnL'!T119,'Counter_PnL'!AC119,'Counter_PnL'!AE119,'Counter_PnL'!AG119,'Counter_PnL'!AH119))</x:f>
        <x:v>0</x:v>
      </x:c>
      <x:c r="F119" s="79" t="n">
        <x:f>ABS('Counter_PnL'!AK119-('Counter_PnL'!Q119+'Counter_PnL'!AI119))</x:f>
        <x:v>0</x:v>
      </x:c>
      <x:c r="G119" s="79" t="n">
        <x:f>ABS('Counter_PnL'!AT119-SUM('Counter_PnL'!AO119:'Counter_PnL'!AS119))</x:f>
        <x:v>0</x:v>
      </x:c>
      <x:c r="H119" s="79" t="n">
        <x:f>ABS('Counter_PnL'!AV119-('Counter_PnL'!AK119+'Counter_PnL'!AT119))</x:f>
        <x:v>0</x:v>
      </x:c>
      <x:c r="I119" s="79" t="n">
        <x:f>ABS('Counter_PnL'!BE119-SUM('Counter_PnL'!AX119:'Counter_PnL'!BB119,'Counter_PnL'!BD119))</x:f>
        <x:v>0</x:v>
      </x:c>
      <x:c r="J119" s="79" t="n">
        <x:f>ABS('Counter_PnL'!BL119-SUM('Counter_PnL'!AV119,'Counter_PnL'!BE119,'Counter_PnL'!BJ119,'Counter_PnL'!BK119))</x:f>
        <x:v>0</x:v>
      </x:c>
      <x:c r="K119" s="79" t="n">
        <x:f>ABS('Counter_PnL'!BO119-('Counter_PnL'!BL119+'Counter_PnL'!BN119))</x:f>
        <x:v>0</x:v>
      </x:c>
      <x:c r="L119" s="79" t="n">
        <x:f>MAX(ABS('Counter_PnL'!AW119-'Counter_PnL'!AV119/'Counter_PnL'!AK119),ABS('Counter_PnL'!BM119-'Counter_PnL'!BL119/'Counter_PnL'!AK119),ABS('Counter_PnL'!BP119-'Counter_PnL'!BO119/'Counter_PnL'!AK119))</x:f>
        <x:v>0</x:v>
      </x:c>
      <x:c r="M119" s="30" t="n">
        <x:f>IF(AND('Counter_PnL'!Q119&gt;0,'Counter_PnL'!AK119&gt;0,'Counter_PnL'!R119&lt;=0,'Counter_PnL'!T119&lt;=0,'Counter_PnL'!AT119&lt;=0,'Counter_PnL'!BE119&lt;=0,'Counter_PnL'!BJ119&lt;=0,'Counter_PnL'!BK119&lt;=0,'Counter_PnL'!BN119&lt;=0),0,1)</x:f>
        <x:v>0</x:v>
      </x:c>
    </x:row>
    <x:row r="120">
      <x:c r="A120" t="str">
        <x:f>'Counter_PnL'!D120</x:f>
        <x:v>CNCT0030</x:v>
      </x:c>
      <x:c r="B120" t="str">
        <x:f>'Counter_PnL'!C120</x:f>
        <x:v>2026 S1</x:v>
      </x:c>
      <x:c r="C120" s="30" t="n">
        <x:f>COUNTIFS('Counter_PnL'!$D$2:$D$641,A120,'Counter_PnL'!$C$2:$C$641,B120)</x:f>
        <x:v>1</x:v>
      </x:c>
      <x:c r="D120" s="79" t="n">
        <x:f>ABS('Counter_PnL'!AC120-SUM('Counter_PnL'!V120:'Counter_PnL'!AB120))</x:f>
        <x:v>0</x:v>
      </x:c>
      <x:c r="E120" s="79" t="n">
        <x:f>ABS('Counter_PnL'!AI120-SUM('Counter_PnL'!R120,'Counter_PnL'!T120,'Counter_PnL'!AC120,'Counter_PnL'!AE120,'Counter_PnL'!AG120,'Counter_PnL'!AH120))</x:f>
        <x:v>0</x:v>
      </x:c>
      <x:c r="F120" s="79" t="n">
        <x:f>ABS('Counter_PnL'!AK120-('Counter_PnL'!Q120+'Counter_PnL'!AI120))</x:f>
        <x:v>0</x:v>
      </x:c>
      <x:c r="G120" s="79" t="n">
        <x:f>ABS('Counter_PnL'!AT120-SUM('Counter_PnL'!AO120:'Counter_PnL'!AS120))</x:f>
        <x:v>0</x:v>
      </x:c>
      <x:c r="H120" s="79" t="n">
        <x:f>ABS('Counter_PnL'!AV120-('Counter_PnL'!AK120+'Counter_PnL'!AT120))</x:f>
        <x:v>0</x:v>
      </x:c>
      <x:c r="I120" s="79" t="n">
        <x:f>ABS('Counter_PnL'!BE120-SUM('Counter_PnL'!AX120:'Counter_PnL'!BB120,'Counter_PnL'!BD120))</x:f>
        <x:v>0</x:v>
      </x:c>
      <x:c r="J120" s="79" t="n">
        <x:f>ABS('Counter_PnL'!BL120-SUM('Counter_PnL'!AV120,'Counter_PnL'!BE120,'Counter_PnL'!BJ120,'Counter_PnL'!BK120))</x:f>
        <x:v>0</x:v>
      </x:c>
      <x:c r="K120" s="79" t="n">
        <x:f>ABS('Counter_PnL'!BO120-('Counter_PnL'!BL120+'Counter_PnL'!BN120))</x:f>
        <x:v>0</x:v>
      </x:c>
      <x:c r="L120" s="79" t="n">
        <x:f>MAX(ABS('Counter_PnL'!AW120-'Counter_PnL'!AV120/'Counter_PnL'!AK120),ABS('Counter_PnL'!BM120-'Counter_PnL'!BL120/'Counter_PnL'!AK120),ABS('Counter_PnL'!BP120-'Counter_PnL'!BO120/'Counter_PnL'!AK120))</x:f>
        <x:v>0</x:v>
      </x:c>
      <x:c r="M120" s="30" t="n">
        <x:f>IF(AND('Counter_PnL'!Q120&gt;0,'Counter_PnL'!AK120&gt;0,'Counter_PnL'!R120&lt;=0,'Counter_PnL'!T120&lt;=0,'Counter_PnL'!AT120&lt;=0,'Counter_PnL'!BE120&lt;=0,'Counter_PnL'!BJ120&lt;=0,'Counter_PnL'!BK120&lt;=0,'Counter_PnL'!BN120&lt;=0),0,1)</x:f>
        <x:v>0</x:v>
      </x:c>
    </x:row>
    <x:row r="121">
      <x:c r="A121" t="str">
        <x:f>'Counter_PnL'!D121</x:f>
        <x:v>CNCT0030</x:v>
      </x:c>
      <x:c r="B121" t="str">
        <x:f>'Counter_PnL'!C121</x:f>
        <x:v>2026 S2</x:v>
      </x:c>
      <x:c r="C121" s="30" t="n">
        <x:f>COUNTIFS('Counter_PnL'!$D$2:$D$641,A121,'Counter_PnL'!$C$2:$C$641,B121)</x:f>
        <x:v>1</x:v>
      </x:c>
      <x:c r="D121" s="79" t="n">
        <x:f>ABS('Counter_PnL'!AC121-SUM('Counter_PnL'!V121:'Counter_PnL'!AB121))</x:f>
        <x:v>0</x:v>
      </x:c>
      <x:c r="E121" s="79" t="n">
        <x:f>ABS('Counter_PnL'!AI121-SUM('Counter_PnL'!R121,'Counter_PnL'!T121,'Counter_PnL'!AC121,'Counter_PnL'!AE121,'Counter_PnL'!AG121,'Counter_PnL'!AH121))</x:f>
        <x:v>0</x:v>
      </x:c>
      <x:c r="F121" s="79" t="n">
        <x:f>ABS('Counter_PnL'!AK121-('Counter_PnL'!Q121+'Counter_PnL'!AI121))</x:f>
        <x:v>0</x:v>
      </x:c>
      <x:c r="G121" s="79" t="n">
        <x:f>ABS('Counter_PnL'!AT121-SUM('Counter_PnL'!AO121:'Counter_PnL'!AS121))</x:f>
        <x:v>0</x:v>
      </x:c>
      <x:c r="H121" s="79" t="n">
        <x:f>ABS('Counter_PnL'!AV121-('Counter_PnL'!AK121+'Counter_PnL'!AT121))</x:f>
        <x:v>0</x:v>
      </x:c>
      <x:c r="I121" s="79" t="n">
        <x:f>ABS('Counter_PnL'!BE121-SUM('Counter_PnL'!AX121:'Counter_PnL'!BB121,'Counter_PnL'!BD121))</x:f>
        <x:v>0</x:v>
      </x:c>
      <x:c r="J121" s="79" t="n">
        <x:f>ABS('Counter_PnL'!BL121-SUM('Counter_PnL'!AV121,'Counter_PnL'!BE121,'Counter_PnL'!BJ121,'Counter_PnL'!BK121))</x:f>
        <x:v>0</x:v>
      </x:c>
      <x:c r="K121" s="79" t="n">
        <x:f>ABS('Counter_PnL'!BO121-('Counter_PnL'!BL121+'Counter_PnL'!BN121))</x:f>
        <x:v>0</x:v>
      </x:c>
      <x:c r="L121" s="79" t="n">
        <x:f>MAX(ABS('Counter_PnL'!AW121-'Counter_PnL'!AV121/'Counter_PnL'!AK121),ABS('Counter_PnL'!BM121-'Counter_PnL'!BL121/'Counter_PnL'!AK121),ABS('Counter_PnL'!BP121-'Counter_PnL'!BO121/'Counter_PnL'!AK121))</x:f>
        <x:v>0</x:v>
      </x:c>
      <x:c r="M121" s="30" t="n">
        <x:f>IF(AND('Counter_PnL'!Q121&gt;0,'Counter_PnL'!AK121&gt;0,'Counter_PnL'!R121&lt;=0,'Counter_PnL'!T121&lt;=0,'Counter_PnL'!AT121&lt;=0,'Counter_PnL'!BE121&lt;=0,'Counter_PnL'!BJ121&lt;=0,'Counter_PnL'!BK121&lt;=0,'Counter_PnL'!BN121&lt;=0),0,1)</x:f>
        <x:v>0</x:v>
      </x:c>
    </x:row>
    <x:row r="122">
      <x:c r="A122" t="str">
        <x:f>'Counter_PnL'!D122</x:f>
        <x:v>CNCT0031</x:v>
      </x:c>
      <x:c r="B122" t="str">
        <x:f>'Counter_PnL'!C122</x:f>
        <x:v>2025 S1</x:v>
      </x:c>
      <x:c r="C122" s="30" t="n">
        <x:f>COUNTIFS('Counter_PnL'!$D$2:$D$641,A122,'Counter_PnL'!$C$2:$C$641,B122)</x:f>
        <x:v>1</x:v>
      </x:c>
      <x:c r="D122" s="79" t="n">
        <x:f>ABS('Counter_PnL'!AC122-SUM('Counter_PnL'!V122:'Counter_PnL'!AB122))</x:f>
        <x:v>0</x:v>
      </x:c>
      <x:c r="E122" s="79" t="n">
        <x:f>ABS('Counter_PnL'!AI122-SUM('Counter_PnL'!R122,'Counter_PnL'!T122,'Counter_PnL'!AC122,'Counter_PnL'!AE122,'Counter_PnL'!AG122,'Counter_PnL'!AH122))</x:f>
        <x:v>0</x:v>
      </x:c>
      <x:c r="F122" s="79" t="n">
        <x:f>ABS('Counter_PnL'!AK122-('Counter_PnL'!Q122+'Counter_PnL'!AI122))</x:f>
        <x:v>0</x:v>
      </x:c>
      <x:c r="G122" s="79" t="n">
        <x:f>ABS('Counter_PnL'!AT122-SUM('Counter_PnL'!AO122:'Counter_PnL'!AS122))</x:f>
        <x:v>0</x:v>
      </x:c>
      <x:c r="H122" s="79" t="n">
        <x:f>ABS('Counter_PnL'!AV122-('Counter_PnL'!AK122+'Counter_PnL'!AT122))</x:f>
        <x:v>0</x:v>
      </x:c>
      <x:c r="I122" s="79" t="n">
        <x:f>ABS('Counter_PnL'!BE122-SUM('Counter_PnL'!AX122:'Counter_PnL'!BB122,'Counter_PnL'!BD122))</x:f>
        <x:v>0</x:v>
      </x:c>
      <x:c r="J122" s="79" t="n">
        <x:f>ABS('Counter_PnL'!BL122-SUM('Counter_PnL'!AV122,'Counter_PnL'!BE122,'Counter_PnL'!BJ122,'Counter_PnL'!BK122))</x:f>
        <x:v>0</x:v>
      </x:c>
      <x:c r="K122" s="79" t="n">
        <x:f>ABS('Counter_PnL'!BO122-('Counter_PnL'!BL122+'Counter_PnL'!BN122))</x:f>
        <x:v>0</x:v>
      </x:c>
      <x:c r="L122" s="79" t="n">
        <x:f>MAX(ABS('Counter_PnL'!AW122-'Counter_PnL'!AV122/'Counter_PnL'!AK122),ABS('Counter_PnL'!BM122-'Counter_PnL'!BL122/'Counter_PnL'!AK122),ABS('Counter_PnL'!BP122-'Counter_PnL'!BO122/'Counter_PnL'!AK122))</x:f>
        <x:v>0</x:v>
      </x:c>
      <x:c r="M122" s="30" t="n">
        <x:f>IF(AND('Counter_PnL'!Q122&gt;0,'Counter_PnL'!AK122&gt;0,'Counter_PnL'!R122&lt;=0,'Counter_PnL'!T122&lt;=0,'Counter_PnL'!AT122&lt;=0,'Counter_PnL'!BE122&lt;=0,'Counter_PnL'!BJ122&lt;=0,'Counter_PnL'!BK122&lt;=0,'Counter_PnL'!BN122&lt;=0),0,1)</x:f>
        <x:v>0</x:v>
      </x:c>
    </x:row>
    <x:row r="123">
      <x:c r="A123" t="str">
        <x:f>'Counter_PnL'!D123</x:f>
        <x:v>CNCT0031</x:v>
      </x:c>
      <x:c r="B123" t="str">
        <x:f>'Counter_PnL'!C123</x:f>
        <x:v>2025 S2</x:v>
      </x:c>
      <x:c r="C123" s="30" t="n">
        <x:f>COUNTIFS('Counter_PnL'!$D$2:$D$641,A123,'Counter_PnL'!$C$2:$C$641,B123)</x:f>
        <x:v>1</x:v>
      </x:c>
      <x:c r="D123" s="79" t="n">
        <x:f>ABS('Counter_PnL'!AC123-SUM('Counter_PnL'!V123:'Counter_PnL'!AB123))</x:f>
        <x:v>0</x:v>
      </x:c>
      <x:c r="E123" s="79" t="n">
        <x:f>ABS('Counter_PnL'!AI123-SUM('Counter_PnL'!R123,'Counter_PnL'!T123,'Counter_PnL'!AC123,'Counter_PnL'!AE123,'Counter_PnL'!AG123,'Counter_PnL'!AH123))</x:f>
        <x:v>0</x:v>
      </x:c>
      <x:c r="F123" s="79" t="n">
        <x:f>ABS('Counter_PnL'!AK123-('Counter_PnL'!Q123+'Counter_PnL'!AI123))</x:f>
        <x:v>0</x:v>
      </x:c>
      <x:c r="G123" s="79" t="n">
        <x:f>ABS('Counter_PnL'!AT123-SUM('Counter_PnL'!AO123:'Counter_PnL'!AS123))</x:f>
        <x:v>0</x:v>
      </x:c>
      <x:c r="H123" s="79" t="n">
        <x:f>ABS('Counter_PnL'!AV123-('Counter_PnL'!AK123+'Counter_PnL'!AT123))</x:f>
        <x:v>0</x:v>
      </x:c>
      <x:c r="I123" s="79" t="n">
        <x:f>ABS('Counter_PnL'!BE123-SUM('Counter_PnL'!AX123:'Counter_PnL'!BB123,'Counter_PnL'!BD123))</x:f>
        <x:v>0</x:v>
      </x:c>
      <x:c r="J123" s="79" t="n">
        <x:f>ABS('Counter_PnL'!BL123-SUM('Counter_PnL'!AV123,'Counter_PnL'!BE123,'Counter_PnL'!BJ123,'Counter_PnL'!BK123))</x:f>
        <x:v>0</x:v>
      </x:c>
      <x:c r="K123" s="79" t="n">
        <x:f>ABS('Counter_PnL'!BO123-('Counter_PnL'!BL123+'Counter_PnL'!BN123))</x:f>
        <x:v>0</x:v>
      </x:c>
      <x:c r="L123" s="79" t="n">
        <x:f>MAX(ABS('Counter_PnL'!AW123-'Counter_PnL'!AV123/'Counter_PnL'!AK123),ABS('Counter_PnL'!BM123-'Counter_PnL'!BL123/'Counter_PnL'!AK123),ABS('Counter_PnL'!BP123-'Counter_PnL'!BO123/'Counter_PnL'!AK123))</x:f>
        <x:v>0</x:v>
      </x:c>
      <x:c r="M123" s="30" t="n">
        <x:f>IF(AND('Counter_PnL'!Q123&gt;0,'Counter_PnL'!AK123&gt;0,'Counter_PnL'!R123&lt;=0,'Counter_PnL'!T123&lt;=0,'Counter_PnL'!AT123&lt;=0,'Counter_PnL'!BE123&lt;=0,'Counter_PnL'!BJ123&lt;=0,'Counter_PnL'!BK123&lt;=0,'Counter_PnL'!BN123&lt;=0),0,1)</x:f>
        <x:v>0</x:v>
      </x:c>
    </x:row>
    <x:row r="124">
      <x:c r="A124" t="str">
        <x:f>'Counter_PnL'!D124</x:f>
        <x:v>CNCT0031</x:v>
      </x:c>
      <x:c r="B124" t="str">
        <x:f>'Counter_PnL'!C124</x:f>
        <x:v>2026 S1</x:v>
      </x:c>
      <x:c r="C124" s="30" t="n">
        <x:f>COUNTIFS('Counter_PnL'!$D$2:$D$641,A124,'Counter_PnL'!$C$2:$C$641,B124)</x:f>
        <x:v>1</x:v>
      </x:c>
      <x:c r="D124" s="79" t="n">
        <x:f>ABS('Counter_PnL'!AC124-SUM('Counter_PnL'!V124:'Counter_PnL'!AB124))</x:f>
        <x:v>0</x:v>
      </x:c>
      <x:c r="E124" s="79" t="n">
        <x:f>ABS('Counter_PnL'!AI124-SUM('Counter_PnL'!R124,'Counter_PnL'!T124,'Counter_PnL'!AC124,'Counter_PnL'!AE124,'Counter_PnL'!AG124,'Counter_PnL'!AH124))</x:f>
        <x:v>0</x:v>
      </x:c>
      <x:c r="F124" s="79" t="n">
        <x:f>ABS('Counter_PnL'!AK124-('Counter_PnL'!Q124+'Counter_PnL'!AI124))</x:f>
        <x:v>0</x:v>
      </x:c>
      <x:c r="G124" s="79" t="n">
        <x:f>ABS('Counter_PnL'!AT124-SUM('Counter_PnL'!AO124:'Counter_PnL'!AS124))</x:f>
        <x:v>0</x:v>
      </x:c>
      <x:c r="H124" s="79" t="n">
        <x:f>ABS('Counter_PnL'!AV124-('Counter_PnL'!AK124+'Counter_PnL'!AT124))</x:f>
        <x:v>0</x:v>
      </x:c>
      <x:c r="I124" s="79" t="n">
        <x:f>ABS('Counter_PnL'!BE124-SUM('Counter_PnL'!AX124:'Counter_PnL'!BB124,'Counter_PnL'!BD124))</x:f>
        <x:v>0</x:v>
      </x:c>
      <x:c r="J124" s="79" t="n">
        <x:f>ABS('Counter_PnL'!BL124-SUM('Counter_PnL'!AV124,'Counter_PnL'!BE124,'Counter_PnL'!BJ124,'Counter_PnL'!BK124))</x:f>
        <x:v>0</x:v>
      </x:c>
      <x:c r="K124" s="79" t="n">
        <x:f>ABS('Counter_PnL'!BO124-('Counter_PnL'!BL124+'Counter_PnL'!BN124))</x:f>
        <x:v>0</x:v>
      </x:c>
      <x:c r="L124" s="79" t="n">
        <x:f>MAX(ABS('Counter_PnL'!AW124-'Counter_PnL'!AV124/'Counter_PnL'!AK124),ABS('Counter_PnL'!BM124-'Counter_PnL'!BL124/'Counter_PnL'!AK124),ABS('Counter_PnL'!BP124-'Counter_PnL'!BO124/'Counter_PnL'!AK124))</x:f>
        <x:v>0</x:v>
      </x:c>
      <x:c r="M124" s="30" t="n">
        <x:f>IF(AND('Counter_PnL'!Q124&gt;0,'Counter_PnL'!AK124&gt;0,'Counter_PnL'!R124&lt;=0,'Counter_PnL'!T124&lt;=0,'Counter_PnL'!AT124&lt;=0,'Counter_PnL'!BE124&lt;=0,'Counter_PnL'!BJ124&lt;=0,'Counter_PnL'!BK124&lt;=0,'Counter_PnL'!BN124&lt;=0),0,1)</x:f>
        <x:v>0</x:v>
      </x:c>
    </x:row>
    <x:row r="125">
      <x:c r="A125" t="str">
        <x:f>'Counter_PnL'!D125</x:f>
        <x:v>CNCT0031</x:v>
      </x:c>
      <x:c r="B125" t="str">
        <x:f>'Counter_PnL'!C125</x:f>
        <x:v>2026 S2</x:v>
      </x:c>
      <x:c r="C125" s="30" t="n">
        <x:f>COUNTIFS('Counter_PnL'!$D$2:$D$641,A125,'Counter_PnL'!$C$2:$C$641,B125)</x:f>
        <x:v>1</x:v>
      </x:c>
      <x:c r="D125" s="79" t="n">
        <x:f>ABS('Counter_PnL'!AC125-SUM('Counter_PnL'!V125:'Counter_PnL'!AB125))</x:f>
        <x:v>0</x:v>
      </x:c>
      <x:c r="E125" s="79" t="n">
        <x:f>ABS('Counter_PnL'!AI125-SUM('Counter_PnL'!R125,'Counter_PnL'!T125,'Counter_PnL'!AC125,'Counter_PnL'!AE125,'Counter_PnL'!AG125,'Counter_PnL'!AH125))</x:f>
        <x:v>0</x:v>
      </x:c>
      <x:c r="F125" s="79" t="n">
        <x:f>ABS('Counter_PnL'!AK125-('Counter_PnL'!Q125+'Counter_PnL'!AI125))</x:f>
        <x:v>0</x:v>
      </x:c>
      <x:c r="G125" s="79" t="n">
        <x:f>ABS('Counter_PnL'!AT125-SUM('Counter_PnL'!AO125:'Counter_PnL'!AS125))</x:f>
        <x:v>0</x:v>
      </x:c>
      <x:c r="H125" s="79" t="n">
        <x:f>ABS('Counter_PnL'!AV125-('Counter_PnL'!AK125+'Counter_PnL'!AT125))</x:f>
        <x:v>0</x:v>
      </x:c>
      <x:c r="I125" s="79" t="n">
        <x:f>ABS('Counter_PnL'!BE125-SUM('Counter_PnL'!AX125:'Counter_PnL'!BB125,'Counter_PnL'!BD125))</x:f>
        <x:v>0</x:v>
      </x:c>
      <x:c r="J125" s="79" t="n">
        <x:f>ABS('Counter_PnL'!BL125-SUM('Counter_PnL'!AV125,'Counter_PnL'!BE125,'Counter_PnL'!BJ125,'Counter_PnL'!BK125))</x:f>
        <x:v>0</x:v>
      </x:c>
      <x:c r="K125" s="79" t="n">
        <x:f>ABS('Counter_PnL'!BO125-('Counter_PnL'!BL125+'Counter_PnL'!BN125))</x:f>
        <x:v>0</x:v>
      </x:c>
      <x:c r="L125" s="79" t="n">
        <x:f>MAX(ABS('Counter_PnL'!AW125-'Counter_PnL'!AV125/'Counter_PnL'!AK125),ABS('Counter_PnL'!BM125-'Counter_PnL'!BL125/'Counter_PnL'!AK125),ABS('Counter_PnL'!BP125-'Counter_PnL'!BO125/'Counter_PnL'!AK125))</x:f>
        <x:v>0</x:v>
      </x:c>
      <x:c r="M125" s="30" t="n">
        <x:f>IF(AND('Counter_PnL'!Q125&gt;0,'Counter_PnL'!AK125&gt;0,'Counter_PnL'!R125&lt;=0,'Counter_PnL'!T125&lt;=0,'Counter_PnL'!AT125&lt;=0,'Counter_PnL'!BE125&lt;=0,'Counter_PnL'!BJ125&lt;=0,'Counter_PnL'!BK125&lt;=0,'Counter_PnL'!BN125&lt;=0),0,1)</x:f>
        <x:v>0</x:v>
      </x:c>
    </x:row>
    <x:row r="126">
      <x:c r="A126" t="str">
        <x:f>'Counter_PnL'!D126</x:f>
        <x:v>CNCT0032</x:v>
      </x:c>
      <x:c r="B126" t="str">
        <x:f>'Counter_PnL'!C126</x:f>
        <x:v>2025 S1</x:v>
      </x:c>
      <x:c r="C126" s="30" t="n">
        <x:f>COUNTIFS('Counter_PnL'!$D$2:$D$641,A126,'Counter_PnL'!$C$2:$C$641,B126)</x:f>
        <x:v>1</x:v>
      </x:c>
      <x:c r="D126" s="79" t="n">
        <x:f>ABS('Counter_PnL'!AC126-SUM('Counter_PnL'!V126:'Counter_PnL'!AB126))</x:f>
        <x:v>0</x:v>
      </x:c>
      <x:c r="E126" s="79" t="n">
        <x:f>ABS('Counter_PnL'!AI126-SUM('Counter_PnL'!R126,'Counter_PnL'!T126,'Counter_PnL'!AC126,'Counter_PnL'!AE126,'Counter_PnL'!AG126,'Counter_PnL'!AH126))</x:f>
        <x:v>0</x:v>
      </x:c>
      <x:c r="F126" s="79" t="n">
        <x:f>ABS('Counter_PnL'!AK126-('Counter_PnL'!Q126+'Counter_PnL'!AI126))</x:f>
        <x:v>0</x:v>
      </x:c>
      <x:c r="G126" s="79" t="n">
        <x:f>ABS('Counter_PnL'!AT126-SUM('Counter_PnL'!AO126:'Counter_PnL'!AS126))</x:f>
        <x:v>0</x:v>
      </x:c>
      <x:c r="H126" s="79" t="n">
        <x:f>ABS('Counter_PnL'!AV126-('Counter_PnL'!AK126+'Counter_PnL'!AT126))</x:f>
        <x:v>0</x:v>
      </x:c>
      <x:c r="I126" s="79" t="n">
        <x:f>ABS('Counter_PnL'!BE126-SUM('Counter_PnL'!AX126:'Counter_PnL'!BB126,'Counter_PnL'!BD126))</x:f>
        <x:v>0</x:v>
      </x:c>
      <x:c r="J126" s="79" t="n">
        <x:f>ABS('Counter_PnL'!BL126-SUM('Counter_PnL'!AV126,'Counter_PnL'!BE126,'Counter_PnL'!BJ126,'Counter_PnL'!BK126))</x:f>
        <x:v>0</x:v>
      </x:c>
      <x:c r="K126" s="79" t="n">
        <x:f>ABS('Counter_PnL'!BO126-('Counter_PnL'!BL126+'Counter_PnL'!BN126))</x:f>
        <x:v>0</x:v>
      </x:c>
      <x:c r="L126" s="79" t="n">
        <x:f>MAX(ABS('Counter_PnL'!AW126-'Counter_PnL'!AV126/'Counter_PnL'!AK126),ABS('Counter_PnL'!BM126-'Counter_PnL'!BL126/'Counter_PnL'!AK126),ABS('Counter_PnL'!BP126-'Counter_PnL'!BO126/'Counter_PnL'!AK126))</x:f>
        <x:v>0</x:v>
      </x:c>
      <x:c r="M126" s="30" t="n">
        <x:f>IF(AND('Counter_PnL'!Q126&gt;0,'Counter_PnL'!AK126&gt;0,'Counter_PnL'!R126&lt;=0,'Counter_PnL'!T126&lt;=0,'Counter_PnL'!AT126&lt;=0,'Counter_PnL'!BE126&lt;=0,'Counter_PnL'!BJ126&lt;=0,'Counter_PnL'!BK126&lt;=0,'Counter_PnL'!BN126&lt;=0),0,1)</x:f>
        <x:v>0</x:v>
      </x:c>
    </x:row>
    <x:row r="127">
      <x:c r="A127" t="str">
        <x:f>'Counter_PnL'!D127</x:f>
        <x:v>CNCT0032</x:v>
      </x:c>
      <x:c r="B127" t="str">
        <x:f>'Counter_PnL'!C127</x:f>
        <x:v>2025 S2</x:v>
      </x:c>
      <x:c r="C127" s="30" t="n">
        <x:f>COUNTIFS('Counter_PnL'!$D$2:$D$641,A127,'Counter_PnL'!$C$2:$C$641,B127)</x:f>
        <x:v>1</x:v>
      </x:c>
      <x:c r="D127" s="79" t="n">
        <x:f>ABS('Counter_PnL'!AC127-SUM('Counter_PnL'!V127:'Counter_PnL'!AB127))</x:f>
        <x:v>0</x:v>
      </x:c>
      <x:c r="E127" s="79" t="n">
        <x:f>ABS('Counter_PnL'!AI127-SUM('Counter_PnL'!R127,'Counter_PnL'!T127,'Counter_PnL'!AC127,'Counter_PnL'!AE127,'Counter_PnL'!AG127,'Counter_PnL'!AH127))</x:f>
        <x:v>0</x:v>
      </x:c>
      <x:c r="F127" s="79" t="n">
        <x:f>ABS('Counter_PnL'!AK127-('Counter_PnL'!Q127+'Counter_PnL'!AI127))</x:f>
        <x:v>0</x:v>
      </x:c>
      <x:c r="G127" s="79" t="n">
        <x:f>ABS('Counter_PnL'!AT127-SUM('Counter_PnL'!AO127:'Counter_PnL'!AS127))</x:f>
        <x:v>0</x:v>
      </x:c>
      <x:c r="H127" s="79" t="n">
        <x:f>ABS('Counter_PnL'!AV127-('Counter_PnL'!AK127+'Counter_PnL'!AT127))</x:f>
        <x:v>0</x:v>
      </x:c>
      <x:c r="I127" s="79" t="n">
        <x:f>ABS('Counter_PnL'!BE127-SUM('Counter_PnL'!AX127:'Counter_PnL'!BB127,'Counter_PnL'!BD127))</x:f>
        <x:v>0</x:v>
      </x:c>
      <x:c r="J127" s="79" t="n">
        <x:f>ABS('Counter_PnL'!BL127-SUM('Counter_PnL'!AV127,'Counter_PnL'!BE127,'Counter_PnL'!BJ127,'Counter_PnL'!BK127))</x:f>
        <x:v>0</x:v>
      </x:c>
      <x:c r="K127" s="79" t="n">
        <x:f>ABS('Counter_PnL'!BO127-('Counter_PnL'!BL127+'Counter_PnL'!BN127))</x:f>
        <x:v>0</x:v>
      </x:c>
      <x:c r="L127" s="79" t="n">
        <x:f>MAX(ABS('Counter_PnL'!AW127-'Counter_PnL'!AV127/'Counter_PnL'!AK127),ABS('Counter_PnL'!BM127-'Counter_PnL'!BL127/'Counter_PnL'!AK127),ABS('Counter_PnL'!BP127-'Counter_PnL'!BO127/'Counter_PnL'!AK127))</x:f>
        <x:v>0</x:v>
      </x:c>
      <x:c r="M127" s="30" t="n">
        <x:f>IF(AND('Counter_PnL'!Q127&gt;0,'Counter_PnL'!AK127&gt;0,'Counter_PnL'!R127&lt;=0,'Counter_PnL'!T127&lt;=0,'Counter_PnL'!AT127&lt;=0,'Counter_PnL'!BE127&lt;=0,'Counter_PnL'!BJ127&lt;=0,'Counter_PnL'!BK127&lt;=0,'Counter_PnL'!BN127&lt;=0),0,1)</x:f>
        <x:v>0</x:v>
      </x:c>
    </x:row>
    <x:row r="128">
      <x:c r="A128" t="str">
        <x:f>'Counter_PnL'!D128</x:f>
        <x:v>CNCT0032</x:v>
      </x:c>
      <x:c r="B128" t="str">
        <x:f>'Counter_PnL'!C128</x:f>
        <x:v>2026 S1</x:v>
      </x:c>
      <x:c r="C128" s="30" t="n">
        <x:f>COUNTIFS('Counter_PnL'!$D$2:$D$641,A128,'Counter_PnL'!$C$2:$C$641,B128)</x:f>
        <x:v>1</x:v>
      </x:c>
      <x:c r="D128" s="79" t="n">
        <x:f>ABS('Counter_PnL'!AC128-SUM('Counter_PnL'!V128:'Counter_PnL'!AB128))</x:f>
        <x:v>0</x:v>
      </x:c>
      <x:c r="E128" s="79" t="n">
        <x:f>ABS('Counter_PnL'!AI128-SUM('Counter_PnL'!R128,'Counter_PnL'!T128,'Counter_PnL'!AC128,'Counter_PnL'!AE128,'Counter_PnL'!AG128,'Counter_PnL'!AH128))</x:f>
        <x:v>0</x:v>
      </x:c>
      <x:c r="F128" s="79" t="n">
        <x:f>ABS('Counter_PnL'!AK128-('Counter_PnL'!Q128+'Counter_PnL'!AI128))</x:f>
        <x:v>0</x:v>
      </x:c>
      <x:c r="G128" s="79" t="n">
        <x:f>ABS('Counter_PnL'!AT128-SUM('Counter_PnL'!AO128:'Counter_PnL'!AS128))</x:f>
        <x:v>0</x:v>
      </x:c>
      <x:c r="H128" s="79" t="n">
        <x:f>ABS('Counter_PnL'!AV128-('Counter_PnL'!AK128+'Counter_PnL'!AT128))</x:f>
        <x:v>0</x:v>
      </x:c>
      <x:c r="I128" s="79" t="n">
        <x:f>ABS('Counter_PnL'!BE128-SUM('Counter_PnL'!AX128:'Counter_PnL'!BB128,'Counter_PnL'!BD128))</x:f>
        <x:v>0</x:v>
      </x:c>
      <x:c r="J128" s="79" t="n">
        <x:f>ABS('Counter_PnL'!BL128-SUM('Counter_PnL'!AV128,'Counter_PnL'!BE128,'Counter_PnL'!BJ128,'Counter_PnL'!BK128))</x:f>
        <x:v>0</x:v>
      </x:c>
      <x:c r="K128" s="79" t="n">
        <x:f>ABS('Counter_PnL'!BO128-('Counter_PnL'!BL128+'Counter_PnL'!BN128))</x:f>
        <x:v>0</x:v>
      </x:c>
      <x:c r="L128" s="79" t="n">
        <x:f>MAX(ABS('Counter_PnL'!AW128-'Counter_PnL'!AV128/'Counter_PnL'!AK128),ABS('Counter_PnL'!BM128-'Counter_PnL'!BL128/'Counter_PnL'!AK128),ABS('Counter_PnL'!BP128-'Counter_PnL'!BO128/'Counter_PnL'!AK128))</x:f>
        <x:v>0</x:v>
      </x:c>
      <x:c r="M128" s="30" t="n">
        <x:f>IF(AND('Counter_PnL'!Q128&gt;0,'Counter_PnL'!AK128&gt;0,'Counter_PnL'!R128&lt;=0,'Counter_PnL'!T128&lt;=0,'Counter_PnL'!AT128&lt;=0,'Counter_PnL'!BE128&lt;=0,'Counter_PnL'!BJ128&lt;=0,'Counter_PnL'!BK128&lt;=0,'Counter_PnL'!BN128&lt;=0),0,1)</x:f>
        <x:v>0</x:v>
      </x:c>
    </x:row>
    <x:row r="129">
      <x:c r="A129" t="str">
        <x:f>'Counter_PnL'!D129</x:f>
        <x:v>CNCT0032</x:v>
      </x:c>
      <x:c r="B129" t="str">
        <x:f>'Counter_PnL'!C129</x:f>
        <x:v>2026 S2</x:v>
      </x:c>
      <x:c r="C129" s="30" t="n">
        <x:f>COUNTIFS('Counter_PnL'!$D$2:$D$641,A129,'Counter_PnL'!$C$2:$C$641,B129)</x:f>
        <x:v>1</x:v>
      </x:c>
      <x:c r="D129" s="79" t="n">
        <x:f>ABS('Counter_PnL'!AC129-SUM('Counter_PnL'!V129:'Counter_PnL'!AB129))</x:f>
        <x:v>0</x:v>
      </x:c>
      <x:c r="E129" s="79" t="n">
        <x:f>ABS('Counter_PnL'!AI129-SUM('Counter_PnL'!R129,'Counter_PnL'!T129,'Counter_PnL'!AC129,'Counter_PnL'!AE129,'Counter_PnL'!AG129,'Counter_PnL'!AH129))</x:f>
        <x:v>0</x:v>
      </x:c>
      <x:c r="F129" s="79" t="n">
        <x:f>ABS('Counter_PnL'!AK129-('Counter_PnL'!Q129+'Counter_PnL'!AI129))</x:f>
        <x:v>0</x:v>
      </x:c>
      <x:c r="G129" s="79" t="n">
        <x:f>ABS('Counter_PnL'!AT129-SUM('Counter_PnL'!AO129:'Counter_PnL'!AS129))</x:f>
        <x:v>0</x:v>
      </x:c>
      <x:c r="H129" s="79" t="n">
        <x:f>ABS('Counter_PnL'!AV129-('Counter_PnL'!AK129+'Counter_PnL'!AT129))</x:f>
        <x:v>0</x:v>
      </x:c>
      <x:c r="I129" s="79" t="n">
        <x:f>ABS('Counter_PnL'!BE129-SUM('Counter_PnL'!AX129:'Counter_PnL'!BB129,'Counter_PnL'!BD129))</x:f>
        <x:v>0</x:v>
      </x:c>
      <x:c r="J129" s="79" t="n">
        <x:f>ABS('Counter_PnL'!BL129-SUM('Counter_PnL'!AV129,'Counter_PnL'!BE129,'Counter_PnL'!BJ129,'Counter_PnL'!BK129))</x:f>
        <x:v>0</x:v>
      </x:c>
      <x:c r="K129" s="79" t="n">
        <x:f>ABS('Counter_PnL'!BO129-('Counter_PnL'!BL129+'Counter_PnL'!BN129))</x:f>
        <x:v>0</x:v>
      </x:c>
      <x:c r="L129" s="79" t="n">
        <x:f>MAX(ABS('Counter_PnL'!AW129-'Counter_PnL'!AV129/'Counter_PnL'!AK129),ABS('Counter_PnL'!BM129-'Counter_PnL'!BL129/'Counter_PnL'!AK129),ABS('Counter_PnL'!BP129-'Counter_PnL'!BO129/'Counter_PnL'!AK129))</x:f>
        <x:v>0</x:v>
      </x:c>
      <x:c r="M129" s="30" t="n">
        <x:f>IF(AND('Counter_PnL'!Q129&gt;0,'Counter_PnL'!AK129&gt;0,'Counter_PnL'!R129&lt;=0,'Counter_PnL'!T129&lt;=0,'Counter_PnL'!AT129&lt;=0,'Counter_PnL'!BE129&lt;=0,'Counter_PnL'!BJ129&lt;=0,'Counter_PnL'!BK129&lt;=0,'Counter_PnL'!BN129&lt;=0),0,1)</x:f>
        <x:v>0</x:v>
      </x:c>
    </x:row>
    <x:row r="130">
      <x:c r="A130" t="str">
        <x:f>'Counter_PnL'!D130</x:f>
        <x:v>CNCT0033</x:v>
      </x:c>
      <x:c r="B130" t="str">
        <x:f>'Counter_PnL'!C130</x:f>
        <x:v>2025 S1</x:v>
      </x:c>
      <x:c r="C130" s="30" t="n">
        <x:f>COUNTIFS('Counter_PnL'!$D$2:$D$641,A130,'Counter_PnL'!$C$2:$C$641,B130)</x:f>
        <x:v>1</x:v>
      </x:c>
      <x:c r="D130" s="79" t="n">
        <x:f>ABS('Counter_PnL'!AC130-SUM('Counter_PnL'!V130:'Counter_PnL'!AB130))</x:f>
        <x:v>0</x:v>
      </x:c>
      <x:c r="E130" s="79" t="n">
        <x:f>ABS('Counter_PnL'!AI130-SUM('Counter_PnL'!R130,'Counter_PnL'!T130,'Counter_PnL'!AC130,'Counter_PnL'!AE130,'Counter_PnL'!AG130,'Counter_PnL'!AH130))</x:f>
        <x:v>0</x:v>
      </x:c>
      <x:c r="F130" s="79" t="n">
        <x:f>ABS('Counter_PnL'!AK130-('Counter_PnL'!Q130+'Counter_PnL'!AI130))</x:f>
        <x:v>0</x:v>
      </x:c>
      <x:c r="G130" s="79" t="n">
        <x:f>ABS('Counter_PnL'!AT130-SUM('Counter_PnL'!AO130:'Counter_PnL'!AS130))</x:f>
        <x:v>0</x:v>
      </x:c>
      <x:c r="H130" s="79" t="n">
        <x:f>ABS('Counter_PnL'!AV130-('Counter_PnL'!AK130+'Counter_PnL'!AT130))</x:f>
        <x:v>0</x:v>
      </x:c>
      <x:c r="I130" s="79" t="n">
        <x:f>ABS('Counter_PnL'!BE130-SUM('Counter_PnL'!AX130:'Counter_PnL'!BB130,'Counter_PnL'!BD130))</x:f>
        <x:v>0</x:v>
      </x:c>
      <x:c r="J130" s="79" t="n">
        <x:f>ABS('Counter_PnL'!BL130-SUM('Counter_PnL'!AV130,'Counter_PnL'!BE130,'Counter_PnL'!BJ130,'Counter_PnL'!BK130))</x:f>
        <x:v>0</x:v>
      </x:c>
      <x:c r="K130" s="79" t="n">
        <x:f>ABS('Counter_PnL'!BO130-('Counter_PnL'!BL130+'Counter_PnL'!BN130))</x:f>
        <x:v>0</x:v>
      </x:c>
      <x:c r="L130" s="79" t="n">
        <x:f>MAX(ABS('Counter_PnL'!AW130-'Counter_PnL'!AV130/'Counter_PnL'!AK130),ABS('Counter_PnL'!BM130-'Counter_PnL'!BL130/'Counter_PnL'!AK130),ABS('Counter_PnL'!BP130-'Counter_PnL'!BO130/'Counter_PnL'!AK130))</x:f>
        <x:v>0</x:v>
      </x:c>
      <x:c r="M130" s="30" t="n">
        <x:f>IF(AND('Counter_PnL'!Q130&gt;0,'Counter_PnL'!AK130&gt;0,'Counter_PnL'!R130&lt;=0,'Counter_PnL'!T130&lt;=0,'Counter_PnL'!AT130&lt;=0,'Counter_PnL'!BE130&lt;=0,'Counter_PnL'!BJ130&lt;=0,'Counter_PnL'!BK130&lt;=0,'Counter_PnL'!BN130&lt;=0),0,1)</x:f>
        <x:v>0</x:v>
      </x:c>
    </x:row>
    <x:row r="131">
      <x:c r="A131" t="str">
        <x:f>'Counter_PnL'!D131</x:f>
        <x:v>CNCT0033</x:v>
      </x:c>
      <x:c r="B131" t="str">
        <x:f>'Counter_PnL'!C131</x:f>
        <x:v>2025 S2</x:v>
      </x:c>
      <x:c r="C131" s="30" t="n">
        <x:f>COUNTIFS('Counter_PnL'!$D$2:$D$641,A131,'Counter_PnL'!$C$2:$C$641,B131)</x:f>
        <x:v>1</x:v>
      </x:c>
      <x:c r="D131" s="79" t="n">
        <x:f>ABS('Counter_PnL'!AC131-SUM('Counter_PnL'!V131:'Counter_PnL'!AB131))</x:f>
        <x:v>0</x:v>
      </x:c>
      <x:c r="E131" s="79" t="n">
        <x:f>ABS('Counter_PnL'!AI131-SUM('Counter_PnL'!R131,'Counter_PnL'!T131,'Counter_PnL'!AC131,'Counter_PnL'!AE131,'Counter_PnL'!AG131,'Counter_PnL'!AH131))</x:f>
        <x:v>0</x:v>
      </x:c>
      <x:c r="F131" s="79" t="n">
        <x:f>ABS('Counter_PnL'!AK131-('Counter_PnL'!Q131+'Counter_PnL'!AI131))</x:f>
        <x:v>0</x:v>
      </x:c>
      <x:c r="G131" s="79" t="n">
        <x:f>ABS('Counter_PnL'!AT131-SUM('Counter_PnL'!AO131:'Counter_PnL'!AS131))</x:f>
        <x:v>0</x:v>
      </x:c>
      <x:c r="H131" s="79" t="n">
        <x:f>ABS('Counter_PnL'!AV131-('Counter_PnL'!AK131+'Counter_PnL'!AT131))</x:f>
        <x:v>0</x:v>
      </x:c>
      <x:c r="I131" s="79" t="n">
        <x:f>ABS('Counter_PnL'!BE131-SUM('Counter_PnL'!AX131:'Counter_PnL'!BB131,'Counter_PnL'!BD131))</x:f>
        <x:v>0</x:v>
      </x:c>
      <x:c r="J131" s="79" t="n">
        <x:f>ABS('Counter_PnL'!BL131-SUM('Counter_PnL'!AV131,'Counter_PnL'!BE131,'Counter_PnL'!BJ131,'Counter_PnL'!BK131))</x:f>
        <x:v>0</x:v>
      </x:c>
      <x:c r="K131" s="79" t="n">
        <x:f>ABS('Counter_PnL'!BO131-('Counter_PnL'!BL131+'Counter_PnL'!BN131))</x:f>
        <x:v>0</x:v>
      </x:c>
      <x:c r="L131" s="79" t="n">
        <x:f>MAX(ABS('Counter_PnL'!AW131-'Counter_PnL'!AV131/'Counter_PnL'!AK131),ABS('Counter_PnL'!BM131-'Counter_PnL'!BL131/'Counter_PnL'!AK131),ABS('Counter_PnL'!BP131-'Counter_PnL'!BO131/'Counter_PnL'!AK131))</x:f>
        <x:v>0</x:v>
      </x:c>
      <x:c r="M131" s="30" t="n">
        <x:f>IF(AND('Counter_PnL'!Q131&gt;0,'Counter_PnL'!AK131&gt;0,'Counter_PnL'!R131&lt;=0,'Counter_PnL'!T131&lt;=0,'Counter_PnL'!AT131&lt;=0,'Counter_PnL'!BE131&lt;=0,'Counter_PnL'!BJ131&lt;=0,'Counter_PnL'!BK131&lt;=0,'Counter_PnL'!BN131&lt;=0),0,1)</x:f>
        <x:v>0</x:v>
      </x:c>
    </x:row>
    <x:row r="132">
      <x:c r="A132" t="str">
        <x:f>'Counter_PnL'!D132</x:f>
        <x:v>CNCT0033</x:v>
      </x:c>
      <x:c r="B132" t="str">
        <x:f>'Counter_PnL'!C132</x:f>
        <x:v>2026 S1</x:v>
      </x:c>
      <x:c r="C132" s="30" t="n">
        <x:f>COUNTIFS('Counter_PnL'!$D$2:$D$641,A132,'Counter_PnL'!$C$2:$C$641,B132)</x:f>
        <x:v>1</x:v>
      </x:c>
      <x:c r="D132" s="79" t="n">
        <x:f>ABS('Counter_PnL'!AC132-SUM('Counter_PnL'!V132:'Counter_PnL'!AB132))</x:f>
        <x:v>0</x:v>
      </x:c>
      <x:c r="E132" s="79" t="n">
        <x:f>ABS('Counter_PnL'!AI132-SUM('Counter_PnL'!R132,'Counter_PnL'!T132,'Counter_PnL'!AC132,'Counter_PnL'!AE132,'Counter_PnL'!AG132,'Counter_PnL'!AH132))</x:f>
        <x:v>0</x:v>
      </x:c>
      <x:c r="F132" s="79" t="n">
        <x:f>ABS('Counter_PnL'!AK132-('Counter_PnL'!Q132+'Counter_PnL'!AI132))</x:f>
        <x:v>0</x:v>
      </x:c>
      <x:c r="G132" s="79" t="n">
        <x:f>ABS('Counter_PnL'!AT132-SUM('Counter_PnL'!AO132:'Counter_PnL'!AS132))</x:f>
        <x:v>0</x:v>
      </x:c>
      <x:c r="H132" s="79" t="n">
        <x:f>ABS('Counter_PnL'!AV132-('Counter_PnL'!AK132+'Counter_PnL'!AT132))</x:f>
        <x:v>0</x:v>
      </x:c>
      <x:c r="I132" s="79" t="n">
        <x:f>ABS('Counter_PnL'!BE132-SUM('Counter_PnL'!AX132:'Counter_PnL'!BB132,'Counter_PnL'!BD132))</x:f>
        <x:v>0</x:v>
      </x:c>
      <x:c r="J132" s="79" t="n">
        <x:f>ABS('Counter_PnL'!BL132-SUM('Counter_PnL'!AV132,'Counter_PnL'!BE132,'Counter_PnL'!BJ132,'Counter_PnL'!BK132))</x:f>
        <x:v>0</x:v>
      </x:c>
      <x:c r="K132" s="79" t="n">
        <x:f>ABS('Counter_PnL'!BO132-('Counter_PnL'!BL132+'Counter_PnL'!BN132))</x:f>
        <x:v>0</x:v>
      </x:c>
      <x:c r="L132" s="79" t="n">
        <x:f>MAX(ABS('Counter_PnL'!AW132-'Counter_PnL'!AV132/'Counter_PnL'!AK132),ABS('Counter_PnL'!BM132-'Counter_PnL'!BL132/'Counter_PnL'!AK132),ABS('Counter_PnL'!BP132-'Counter_PnL'!BO132/'Counter_PnL'!AK132))</x:f>
        <x:v>0</x:v>
      </x:c>
      <x:c r="M132" s="30" t="n">
        <x:f>IF(AND('Counter_PnL'!Q132&gt;0,'Counter_PnL'!AK132&gt;0,'Counter_PnL'!R132&lt;=0,'Counter_PnL'!T132&lt;=0,'Counter_PnL'!AT132&lt;=0,'Counter_PnL'!BE132&lt;=0,'Counter_PnL'!BJ132&lt;=0,'Counter_PnL'!BK132&lt;=0,'Counter_PnL'!BN132&lt;=0),0,1)</x:f>
        <x:v>0</x:v>
      </x:c>
    </x:row>
    <x:row r="133">
      <x:c r="A133" t="str">
        <x:f>'Counter_PnL'!D133</x:f>
        <x:v>CNCT0033</x:v>
      </x:c>
      <x:c r="B133" t="str">
        <x:f>'Counter_PnL'!C133</x:f>
        <x:v>2026 S2</x:v>
      </x:c>
      <x:c r="C133" s="30" t="n">
        <x:f>COUNTIFS('Counter_PnL'!$D$2:$D$641,A133,'Counter_PnL'!$C$2:$C$641,B133)</x:f>
        <x:v>1</x:v>
      </x:c>
      <x:c r="D133" s="79" t="n">
        <x:f>ABS('Counter_PnL'!AC133-SUM('Counter_PnL'!V133:'Counter_PnL'!AB133))</x:f>
        <x:v>0</x:v>
      </x:c>
      <x:c r="E133" s="79" t="n">
        <x:f>ABS('Counter_PnL'!AI133-SUM('Counter_PnL'!R133,'Counter_PnL'!T133,'Counter_PnL'!AC133,'Counter_PnL'!AE133,'Counter_PnL'!AG133,'Counter_PnL'!AH133))</x:f>
        <x:v>0</x:v>
      </x:c>
      <x:c r="F133" s="79" t="n">
        <x:f>ABS('Counter_PnL'!AK133-('Counter_PnL'!Q133+'Counter_PnL'!AI133))</x:f>
        <x:v>0</x:v>
      </x:c>
      <x:c r="G133" s="79" t="n">
        <x:f>ABS('Counter_PnL'!AT133-SUM('Counter_PnL'!AO133:'Counter_PnL'!AS133))</x:f>
        <x:v>0</x:v>
      </x:c>
      <x:c r="H133" s="79" t="n">
        <x:f>ABS('Counter_PnL'!AV133-('Counter_PnL'!AK133+'Counter_PnL'!AT133))</x:f>
        <x:v>0</x:v>
      </x:c>
      <x:c r="I133" s="79" t="n">
        <x:f>ABS('Counter_PnL'!BE133-SUM('Counter_PnL'!AX133:'Counter_PnL'!BB133,'Counter_PnL'!BD133))</x:f>
        <x:v>0</x:v>
      </x:c>
      <x:c r="J133" s="79" t="n">
        <x:f>ABS('Counter_PnL'!BL133-SUM('Counter_PnL'!AV133,'Counter_PnL'!BE133,'Counter_PnL'!BJ133,'Counter_PnL'!BK133))</x:f>
        <x:v>0</x:v>
      </x:c>
      <x:c r="K133" s="79" t="n">
        <x:f>ABS('Counter_PnL'!BO133-('Counter_PnL'!BL133+'Counter_PnL'!BN133))</x:f>
        <x:v>0</x:v>
      </x:c>
      <x:c r="L133" s="79" t="n">
        <x:f>MAX(ABS('Counter_PnL'!AW133-'Counter_PnL'!AV133/'Counter_PnL'!AK133),ABS('Counter_PnL'!BM133-'Counter_PnL'!BL133/'Counter_PnL'!AK133),ABS('Counter_PnL'!BP133-'Counter_PnL'!BO133/'Counter_PnL'!AK133))</x:f>
        <x:v>0</x:v>
      </x:c>
      <x:c r="M133" s="30" t="n">
        <x:f>IF(AND('Counter_PnL'!Q133&gt;0,'Counter_PnL'!AK133&gt;0,'Counter_PnL'!R133&lt;=0,'Counter_PnL'!T133&lt;=0,'Counter_PnL'!AT133&lt;=0,'Counter_PnL'!BE133&lt;=0,'Counter_PnL'!BJ133&lt;=0,'Counter_PnL'!BK133&lt;=0,'Counter_PnL'!BN133&lt;=0),0,1)</x:f>
        <x:v>0</x:v>
      </x:c>
    </x:row>
    <x:row r="134">
      <x:c r="A134" t="str">
        <x:f>'Counter_PnL'!D134</x:f>
        <x:v>CNCT0034</x:v>
      </x:c>
      <x:c r="B134" t="str">
        <x:f>'Counter_PnL'!C134</x:f>
        <x:v>2025 S1</x:v>
      </x:c>
      <x:c r="C134" s="30" t="n">
        <x:f>COUNTIFS('Counter_PnL'!$D$2:$D$641,A134,'Counter_PnL'!$C$2:$C$641,B134)</x:f>
        <x:v>1</x:v>
      </x:c>
      <x:c r="D134" s="79" t="n">
        <x:f>ABS('Counter_PnL'!AC134-SUM('Counter_PnL'!V134:'Counter_PnL'!AB134))</x:f>
        <x:v>0</x:v>
      </x:c>
      <x:c r="E134" s="79" t="n">
        <x:f>ABS('Counter_PnL'!AI134-SUM('Counter_PnL'!R134,'Counter_PnL'!T134,'Counter_PnL'!AC134,'Counter_PnL'!AE134,'Counter_PnL'!AG134,'Counter_PnL'!AH134))</x:f>
        <x:v>0</x:v>
      </x:c>
      <x:c r="F134" s="79" t="n">
        <x:f>ABS('Counter_PnL'!AK134-('Counter_PnL'!Q134+'Counter_PnL'!AI134))</x:f>
        <x:v>0</x:v>
      </x:c>
      <x:c r="G134" s="79" t="n">
        <x:f>ABS('Counter_PnL'!AT134-SUM('Counter_PnL'!AO134:'Counter_PnL'!AS134))</x:f>
        <x:v>0</x:v>
      </x:c>
      <x:c r="H134" s="79" t="n">
        <x:f>ABS('Counter_PnL'!AV134-('Counter_PnL'!AK134+'Counter_PnL'!AT134))</x:f>
        <x:v>0</x:v>
      </x:c>
      <x:c r="I134" s="79" t="n">
        <x:f>ABS('Counter_PnL'!BE134-SUM('Counter_PnL'!AX134:'Counter_PnL'!BB134,'Counter_PnL'!BD134))</x:f>
        <x:v>0</x:v>
      </x:c>
      <x:c r="J134" s="79" t="n">
        <x:f>ABS('Counter_PnL'!BL134-SUM('Counter_PnL'!AV134,'Counter_PnL'!BE134,'Counter_PnL'!BJ134,'Counter_PnL'!BK134))</x:f>
        <x:v>0</x:v>
      </x:c>
      <x:c r="K134" s="79" t="n">
        <x:f>ABS('Counter_PnL'!BO134-('Counter_PnL'!BL134+'Counter_PnL'!BN134))</x:f>
        <x:v>0</x:v>
      </x:c>
      <x:c r="L134" s="79" t="n">
        <x:f>MAX(ABS('Counter_PnL'!AW134-'Counter_PnL'!AV134/'Counter_PnL'!AK134),ABS('Counter_PnL'!BM134-'Counter_PnL'!BL134/'Counter_PnL'!AK134),ABS('Counter_PnL'!BP134-'Counter_PnL'!BO134/'Counter_PnL'!AK134))</x:f>
        <x:v>0</x:v>
      </x:c>
      <x:c r="M134" s="30" t="n">
        <x:f>IF(AND('Counter_PnL'!Q134&gt;0,'Counter_PnL'!AK134&gt;0,'Counter_PnL'!R134&lt;=0,'Counter_PnL'!T134&lt;=0,'Counter_PnL'!AT134&lt;=0,'Counter_PnL'!BE134&lt;=0,'Counter_PnL'!BJ134&lt;=0,'Counter_PnL'!BK134&lt;=0,'Counter_PnL'!BN134&lt;=0),0,1)</x:f>
        <x:v>0</x:v>
      </x:c>
    </x:row>
    <x:row r="135">
      <x:c r="A135" t="str">
        <x:f>'Counter_PnL'!D135</x:f>
        <x:v>CNCT0034</x:v>
      </x:c>
      <x:c r="B135" t="str">
        <x:f>'Counter_PnL'!C135</x:f>
        <x:v>2025 S2</x:v>
      </x:c>
      <x:c r="C135" s="30" t="n">
        <x:f>COUNTIFS('Counter_PnL'!$D$2:$D$641,A135,'Counter_PnL'!$C$2:$C$641,B135)</x:f>
        <x:v>1</x:v>
      </x:c>
      <x:c r="D135" s="79" t="n">
        <x:f>ABS('Counter_PnL'!AC135-SUM('Counter_PnL'!V135:'Counter_PnL'!AB135))</x:f>
        <x:v>0</x:v>
      </x:c>
      <x:c r="E135" s="79" t="n">
        <x:f>ABS('Counter_PnL'!AI135-SUM('Counter_PnL'!R135,'Counter_PnL'!T135,'Counter_PnL'!AC135,'Counter_PnL'!AE135,'Counter_PnL'!AG135,'Counter_PnL'!AH135))</x:f>
        <x:v>0</x:v>
      </x:c>
      <x:c r="F135" s="79" t="n">
        <x:f>ABS('Counter_PnL'!AK135-('Counter_PnL'!Q135+'Counter_PnL'!AI135))</x:f>
        <x:v>0</x:v>
      </x:c>
      <x:c r="G135" s="79" t="n">
        <x:f>ABS('Counter_PnL'!AT135-SUM('Counter_PnL'!AO135:'Counter_PnL'!AS135))</x:f>
        <x:v>0</x:v>
      </x:c>
      <x:c r="H135" s="79" t="n">
        <x:f>ABS('Counter_PnL'!AV135-('Counter_PnL'!AK135+'Counter_PnL'!AT135))</x:f>
        <x:v>0</x:v>
      </x:c>
      <x:c r="I135" s="79" t="n">
        <x:f>ABS('Counter_PnL'!BE135-SUM('Counter_PnL'!AX135:'Counter_PnL'!BB135,'Counter_PnL'!BD135))</x:f>
        <x:v>0</x:v>
      </x:c>
      <x:c r="J135" s="79" t="n">
        <x:f>ABS('Counter_PnL'!BL135-SUM('Counter_PnL'!AV135,'Counter_PnL'!BE135,'Counter_PnL'!BJ135,'Counter_PnL'!BK135))</x:f>
        <x:v>0</x:v>
      </x:c>
      <x:c r="K135" s="79" t="n">
        <x:f>ABS('Counter_PnL'!BO135-('Counter_PnL'!BL135+'Counter_PnL'!BN135))</x:f>
        <x:v>0</x:v>
      </x:c>
      <x:c r="L135" s="79" t="n">
        <x:f>MAX(ABS('Counter_PnL'!AW135-'Counter_PnL'!AV135/'Counter_PnL'!AK135),ABS('Counter_PnL'!BM135-'Counter_PnL'!BL135/'Counter_PnL'!AK135),ABS('Counter_PnL'!BP135-'Counter_PnL'!BO135/'Counter_PnL'!AK135))</x:f>
        <x:v>0</x:v>
      </x:c>
      <x:c r="M135" s="30" t="n">
        <x:f>IF(AND('Counter_PnL'!Q135&gt;0,'Counter_PnL'!AK135&gt;0,'Counter_PnL'!R135&lt;=0,'Counter_PnL'!T135&lt;=0,'Counter_PnL'!AT135&lt;=0,'Counter_PnL'!BE135&lt;=0,'Counter_PnL'!BJ135&lt;=0,'Counter_PnL'!BK135&lt;=0,'Counter_PnL'!BN135&lt;=0),0,1)</x:f>
        <x:v>0</x:v>
      </x:c>
    </x:row>
    <x:row r="136">
      <x:c r="A136" t="str">
        <x:f>'Counter_PnL'!D136</x:f>
        <x:v>CNCT0034</x:v>
      </x:c>
      <x:c r="B136" t="str">
        <x:f>'Counter_PnL'!C136</x:f>
        <x:v>2026 S1</x:v>
      </x:c>
      <x:c r="C136" s="30" t="n">
        <x:f>COUNTIFS('Counter_PnL'!$D$2:$D$641,A136,'Counter_PnL'!$C$2:$C$641,B136)</x:f>
        <x:v>1</x:v>
      </x:c>
      <x:c r="D136" s="79" t="n">
        <x:f>ABS('Counter_PnL'!AC136-SUM('Counter_PnL'!V136:'Counter_PnL'!AB136))</x:f>
        <x:v>0</x:v>
      </x:c>
      <x:c r="E136" s="79" t="n">
        <x:f>ABS('Counter_PnL'!AI136-SUM('Counter_PnL'!R136,'Counter_PnL'!T136,'Counter_PnL'!AC136,'Counter_PnL'!AE136,'Counter_PnL'!AG136,'Counter_PnL'!AH136))</x:f>
        <x:v>0</x:v>
      </x:c>
      <x:c r="F136" s="79" t="n">
        <x:f>ABS('Counter_PnL'!AK136-('Counter_PnL'!Q136+'Counter_PnL'!AI136))</x:f>
        <x:v>0</x:v>
      </x:c>
      <x:c r="G136" s="79" t="n">
        <x:f>ABS('Counter_PnL'!AT136-SUM('Counter_PnL'!AO136:'Counter_PnL'!AS136))</x:f>
        <x:v>0</x:v>
      </x:c>
      <x:c r="H136" s="79" t="n">
        <x:f>ABS('Counter_PnL'!AV136-('Counter_PnL'!AK136+'Counter_PnL'!AT136))</x:f>
        <x:v>0</x:v>
      </x:c>
      <x:c r="I136" s="79" t="n">
        <x:f>ABS('Counter_PnL'!BE136-SUM('Counter_PnL'!AX136:'Counter_PnL'!BB136,'Counter_PnL'!BD136))</x:f>
        <x:v>0</x:v>
      </x:c>
      <x:c r="J136" s="79" t="n">
        <x:f>ABS('Counter_PnL'!BL136-SUM('Counter_PnL'!AV136,'Counter_PnL'!BE136,'Counter_PnL'!BJ136,'Counter_PnL'!BK136))</x:f>
        <x:v>0</x:v>
      </x:c>
      <x:c r="K136" s="79" t="n">
        <x:f>ABS('Counter_PnL'!BO136-('Counter_PnL'!BL136+'Counter_PnL'!BN136))</x:f>
        <x:v>0</x:v>
      </x:c>
      <x:c r="L136" s="79" t="n">
        <x:f>MAX(ABS('Counter_PnL'!AW136-'Counter_PnL'!AV136/'Counter_PnL'!AK136),ABS('Counter_PnL'!BM136-'Counter_PnL'!BL136/'Counter_PnL'!AK136),ABS('Counter_PnL'!BP136-'Counter_PnL'!BO136/'Counter_PnL'!AK136))</x:f>
        <x:v>0</x:v>
      </x:c>
      <x:c r="M136" s="30" t="n">
        <x:f>IF(AND('Counter_PnL'!Q136&gt;0,'Counter_PnL'!AK136&gt;0,'Counter_PnL'!R136&lt;=0,'Counter_PnL'!T136&lt;=0,'Counter_PnL'!AT136&lt;=0,'Counter_PnL'!BE136&lt;=0,'Counter_PnL'!BJ136&lt;=0,'Counter_PnL'!BK136&lt;=0,'Counter_PnL'!BN136&lt;=0),0,1)</x:f>
        <x:v>0</x:v>
      </x:c>
    </x:row>
    <x:row r="137">
      <x:c r="A137" t="str">
        <x:f>'Counter_PnL'!D137</x:f>
        <x:v>CNCT0034</x:v>
      </x:c>
      <x:c r="B137" t="str">
        <x:f>'Counter_PnL'!C137</x:f>
        <x:v>2026 S2</x:v>
      </x:c>
      <x:c r="C137" s="30" t="n">
        <x:f>COUNTIFS('Counter_PnL'!$D$2:$D$641,A137,'Counter_PnL'!$C$2:$C$641,B137)</x:f>
        <x:v>1</x:v>
      </x:c>
      <x:c r="D137" s="79" t="n">
        <x:f>ABS('Counter_PnL'!AC137-SUM('Counter_PnL'!V137:'Counter_PnL'!AB137))</x:f>
        <x:v>0</x:v>
      </x:c>
      <x:c r="E137" s="79" t="n">
        <x:f>ABS('Counter_PnL'!AI137-SUM('Counter_PnL'!R137,'Counter_PnL'!T137,'Counter_PnL'!AC137,'Counter_PnL'!AE137,'Counter_PnL'!AG137,'Counter_PnL'!AH137))</x:f>
        <x:v>0</x:v>
      </x:c>
      <x:c r="F137" s="79" t="n">
        <x:f>ABS('Counter_PnL'!AK137-('Counter_PnL'!Q137+'Counter_PnL'!AI137))</x:f>
        <x:v>0</x:v>
      </x:c>
      <x:c r="G137" s="79" t="n">
        <x:f>ABS('Counter_PnL'!AT137-SUM('Counter_PnL'!AO137:'Counter_PnL'!AS137))</x:f>
        <x:v>0</x:v>
      </x:c>
      <x:c r="H137" s="79" t="n">
        <x:f>ABS('Counter_PnL'!AV137-('Counter_PnL'!AK137+'Counter_PnL'!AT137))</x:f>
        <x:v>0</x:v>
      </x:c>
      <x:c r="I137" s="79" t="n">
        <x:f>ABS('Counter_PnL'!BE137-SUM('Counter_PnL'!AX137:'Counter_PnL'!BB137,'Counter_PnL'!BD137))</x:f>
        <x:v>0</x:v>
      </x:c>
      <x:c r="J137" s="79" t="n">
        <x:f>ABS('Counter_PnL'!BL137-SUM('Counter_PnL'!AV137,'Counter_PnL'!BE137,'Counter_PnL'!BJ137,'Counter_PnL'!BK137))</x:f>
        <x:v>0</x:v>
      </x:c>
      <x:c r="K137" s="79" t="n">
        <x:f>ABS('Counter_PnL'!BO137-('Counter_PnL'!BL137+'Counter_PnL'!BN137))</x:f>
        <x:v>0</x:v>
      </x:c>
      <x:c r="L137" s="79" t="n">
        <x:f>MAX(ABS('Counter_PnL'!AW137-'Counter_PnL'!AV137/'Counter_PnL'!AK137),ABS('Counter_PnL'!BM137-'Counter_PnL'!BL137/'Counter_PnL'!AK137),ABS('Counter_PnL'!BP137-'Counter_PnL'!BO137/'Counter_PnL'!AK137))</x:f>
        <x:v>0</x:v>
      </x:c>
      <x:c r="M137" s="30" t="n">
        <x:f>IF(AND('Counter_PnL'!Q137&gt;0,'Counter_PnL'!AK137&gt;0,'Counter_PnL'!R137&lt;=0,'Counter_PnL'!T137&lt;=0,'Counter_PnL'!AT137&lt;=0,'Counter_PnL'!BE137&lt;=0,'Counter_PnL'!BJ137&lt;=0,'Counter_PnL'!BK137&lt;=0,'Counter_PnL'!BN137&lt;=0),0,1)</x:f>
        <x:v>0</x:v>
      </x:c>
    </x:row>
    <x:row r="138">
      <x:c r="A138" t="str">
        <x:f>'Counter_PnL'!D138</x:f>
        <x:v>CNCT0035</x:v>
      </x:c>
      <x:c r="B138" t="str">
        <x:f>'Counter_PnL'!C138</x:f>
        <x:v>2025 S1</x:v>
      </x:c>
      <x:c r="C138" s="30" t="n">
        <x:f>COUNTIFS('Counter_PnL'!$D$2:$D$641,A138,'Counter_PnL'!$C$2:$C$641,B138)</x:f>
        <x:v>1</x:v>
      </x:c>
      <x:c r="D138" s="79" t="n">
        <x:f>ABS('Counter_PnL'!AC138-SUM('Counter_PnL'!V138:'Counter_PnL'!AB138))</x:f>
        <x:v>0</x:v>
      </x:c>
      <x:c r="E138" s="79" t="n">
        <x:f>ABS('Counter_PnL'!AI138-SUM('Counter_PnL'!R138,'Counter_PnL'!T138,'Counter_PnL'!AC138,'Counter_PnL'!AE138,'Counter_PnL'!AG138,'Counter_PnL'!AH138))</x:f>
        <x:v>0</x:v>
      </x:c>
      <x:c r="F138" s="79" t="n">
        <x:f>ABS('Counter_PnL'!AK138-('Counter_PnL'!Q138+'Counter_PnL'!AI138))</x:f>
        <x:v>0</x:v>
      </x:c>
      <x:c r="G138" s="79" t="n">
        <x:f>ABS('Counter_PnL'!AT138-SUM('Counter_PnL'!AO138:'Counter_PnL'!AS138))</x:f>
        <x:v>0</x:v>
      </x:c>
      <x:c r="H138" s="79" t="n">
        <x:f>ABS('Counter_PnL'!AV138-('Counter_PnL'!AK138+'Counter_PnL'!AT138))</x:f>
        <x:v>0</x:v>
      </x:c>
      <x:c r="I138" s="79" t="n">
        <x:f>ABS('Counter_PnL'!BE138-SUM('Counter_PnL'!AX138:'Counter_PnL'!BB138,'Counter_PnL'!BD138))</x:f>
        <x:v>0</x:v>
      </x:c>
      <x:c r="J138" s="79" t="n">
        <x:f>ABS('Counter_PnL'!BL138-SUM('Counter_PnL'!AV138,'Counter_PnL'!BE138,'Counter_PnL'!BJ138,'Counter_PnL'!BK138))</x:f>
        <x:v>0</x:v>
      </x:c>
      <x:c r="K138" s="79" t="n">
        <x:f>ABS('Counter_PnL'!BO138-('Counter_PnL'!BL138+'Counter_PnL'!BN138))</x:f>
        <x:v>0</x:v>
      </x:c>
      <x:c r="L138" s="79" t="n">
        <x:f>MAX(ABS('Counter_PnL'!AW138-'Counter_PnL'!AV138/'Counter_PnL'!AK138),ABS('Counter_PnL'!BM138-'Counter_PnL'!BL138/'Counter_PnL'!AK138),ABS('Counter_PnL'!BP138-'Counter_PnL'!BO138/'Counter_PnL'!AK138))</x:f>
        <x:v>0</x:v>
      </x:c>
      <x:c r="M138" s="30" t="n">
        <x:f>IF(AND('Counter_PnL'!Q138&gt;0,'Counter_PnL'!AK138&gt;0,'Counter_PnL'!R138&lt;=0,'Counter_PnL'!T138&lt;=0,'Counter_PnL'!AT138&lt;=0,'Counter_PnL'!BE138&lt;=0,'Counter_PnL'!BJ138&lt;=0,'Counter_PnL'!BK138&lt;=0,'Counter_PnL'!BN138&lt;=0),0,1)</x:f>
        <x:v>0</x:v>
      </x:c>
    </x:row>
    <x:row r="139">
      <x:c r="A139" t="str">
        <x:f>'Counter_PnL'!D139</x:f>
        <x:v>CNCT0035</x:v>
      </x:c>
      <x:c r="B139" t="str">
        <x:f>'Counter_PnL'!C139</x:f>
        <x:v>2025 S2</x:v>
      </x:c>
      <x:c r="C139" s="30" t="n">
        <x:f>COUNTIFS('Counter_PnL'!$D$2:$D$641,A139,'Counter_PnL'!$C$2:$C$641,B139)</x:f>
        <x:v>1</x:v>
      </x:c>
      <x:c r="D139" s="79" t="n">
        <x:f>ABS('Counter_PnL'!AC139-SUM('Counter_PnL'!V139:'Counter_PnL'!AB139))</x:f>
        <x:v>0</x:v>
      </x:c>
      <x:c r="E139" s="79" t="n">
        <x:f>ABS('Counter_PnL'!AI139-SUM('Counter_PnL'!R139,'Counter_PnL'!T139,'Counter_PnL'!AC139,'Counter_PnL'!AE139,'Counter_PnL'!AG139,'Counter_PnL'!AH139))</x:f>
        <x:v>0</x:v>
      </x:c>
      <x:c r="F139" s="79" t="n">
        <x:f>ABS('Counter_PnL'!AK139-('Counter_PnL'!Q139+'Counter_PnL'!AI139))</x:f>
        <x:v>0</x:v>
      </x:c>
      <x:c r="G139" s="79" t="n">
        <x:f>ABS('Counter_PnL'!AT139-SUM('Counter_PnL'!AO139:'Counter_PnL'!AS139))</x:f>
        <x:v>0</x:v>
      </x:c>
      <x:c r="H139" s="79" t="n">
        <x:f>ABS('Counter_PnL'!AV139-('Counter_PnL'!AK139+'Counter_PnL'!AT139))</x:f>
        <x:v>0</x:v>
      </x:c>
      <x:c r="I139" s="79" t="n">
        <x:f>ABS('Counter_PnL'!BE139-SUM('Counter_PnL'!AX139:'Counter_PnL'!BB139,'Counter_PnL'!BD139))</x:f>
        <x:v>0</x:v>
      </x:c>
      <x:c r="J139" s="79" t="n">
        <x:f>ABS('Counter_PnL'!BL139-SUM('Counter_PnL'!AV139,'Counter_PnL'!BE139,'Counter_PnL'!BJ139,'Counter_PnL'!BK139))</x:f>
        <x:v>0</x:v>
      </x:c>
      <x:c r="K139" s="79" t="n">
        <x:f>ABS('Counter_PnL'!BO139-('Counter_PnL'!BL139+'Counter_PnL'!BN139))</x:f>
        <x:v>0</x:v>
      </x:c>
      <x:c r="L139" s="79" t="n">
        <x:f>MAX(ABS('Counter_PnL'!AW139-'Counter_PnL'!AV139/'Counter_PnL'!AK139),ABS('Counter_PnL'!BM139-'Counter_PnL'!BL139/'Counter_PnL'!AK139),ABS('Counter_PnL'!BP139-'Counter_PnL'!BO139/'Counter_PnL'!AK139))</x:f>
        <x:v>0</x:v>
      </x:c>
      <x:c r="M139" s="30" t="n">
        <x:f>IF(AND('Counter_PnL'!Q139&gt;0,'Counter_PnL'!AK139&gt;0,'Counter_PnL'!R139&lt;=0,'Counter_PnL'!T139&lt;=0,'Counter_PnL'!AT139&lt;=0,'Counter_PnL'!BE139&lt;=0,'Counter_PnL'!BJ139&lt;=0,'Counter_PnL'!BK139&lt;=0,'Counter_PnL'!BN139&lt;=0),0,1)</x:f>
        <x:v>0</x:v>
      </x:c>
    </x:row>
    <x:row r="140">
      <x:c r="A140" t="str">
        <x:f>'Counter_PnL'!D140</x:f>
        <x:v>CNCT0035</x:v>
      </x:c>
      <x:c r="B140" t="str">
        <x:f>'Counter_PnL'!C140</x:f>
        <x:v>2026 S1</x:v>
      </x:c>
      <x:c r="C140" s="30" t="n">
        <x:f>COUNTIFS('Counter_PnL'!$D$2:$D$641,A140,'Counter_PnL'!$C$2:$C$641,B140)</x:f>
        <x:v>1</x:v>
      </x:c>
      <x:c r="D140" s="79" t="n">
        <x:f>ABS('Counter_PnL'!AC140-SUM('Counter_PnL'!V140:'Counter_PnL'!AB140))</x:f>
        <x:v>0</x:v>
      </x:c>
      <x:c r="E140" s="79" t="n">
        <x:f>ABS('Counter_PnL'!AI140-SUM('Counter_PnL'!R140,'Counter_PnL'!T140,'Counter_PnL'!AC140,'Counter_PnL'!AE140,'Counter_PnL'!AG140,'Counter_PnL'!AH140))</x:f>
        <x:v>0</x:v>
      </x:c>
      <x:c r="F140" s="79" t="n">
        <x:f>ABS('Counter_PnL'!AK140-('Counter_PnL'!Q140+'Counter_PnL'!AI140))</x:f>
        <x:v>0</x:v>
      </x:c>
      <x:c r="G140" s="79" t="n">
        <x:f>ABS('Counter_PnL'!AT140-SUM('Counter_PnL'!AO140:'Counter_PnL'!AS140))</x:f>
        <x:v>0</x:v>
      </x:c>
      <x:c r="H140" s="79" t="n">
        <x:f>ABS('Counter_PnL'!AV140-('Counter_PnL'!AK140+'Counter_PnL'!AT140))</x:f>
        <x:v>0</x:v>
      </x:c>
      <x:c r="I140" s="79" t="n">
        <x:f>ABS('Counter_PnL'!BE140-SUM('Counter_PnL'!AX140:'Counter_PnL'!BB140,'Counter_PnL'!BD140))</x:f>
        <x:v>0</x:v>
      </x:c>
      <x:c r="J140" s="79" t="n">
        <x:f>ABS('Counter_PnL'!BL140-SUM('Counter_PnL'!AV140,'Counter_PnL'!BE140,'Counter_PnL'!BJ140,'Counter_PnL'!BK140))</x:f>
        <x:v>0</x:v>
      </x:c>
      <x:c r="K140" s="79" t="n">
        <x:f>ABS('Counter_PnL'!BO140-('Counter_PnL'!BL140+'Counter_PnL'!BN140))</x:f>
        <x:v>0</x:v>
      </x:c>
      <x:c r="L140" s="79" t="n">
        <x:f>MAX(ABS('Counter_PnL'!AW140-'Counter_PnL'!AV140/'Counter_PnL'!AK140),ABS('Counter_PnL'!BM140-'Counter_PnL'!BL140/'Counter_PnL'!AK140),ABS('Counter_PnL'!BP140-'Counter_PnL'!BO140/'Counter_PnL'!AK140))</x:f>
        <x:v>0</x:v>
      </x:c>
      <x:c r="M140" s="30" t="n">
        <x:f>IF(AND('Counter_PnL'!Q140&gt;0,'Counter_PnL'!AK140&gt;0,'Counter_PnL'!R140&lt;=0,'Counter_PnL'!T140&lt;=0,'Counter_PnL'!AT140&lt;=0,'Counter_PnL'!BE140&lt;=0,'Counter_PnL'!BJ140&lt;=0,'Counter_PnL'!BK140&lt;=0,'Counter_PnL'!BN140&lt;=0),0,1)</x:f>
        <x:v>0</x:v>
      </x:c>
    </x:row>
    <x:row r="141">
      <x:c r="A141" t="str">
        <x:f>'Counter_PnL'!D141</x:f>
        <x:v>CNCT0035</x:v>
      </x:c>
      <x:c r="B141" t="str">
        <x:f>'Counter_PnL'!C141</x:f>
        <x:v>2026 S2</x:v>
      </x:c>
      <x:c r="C141" s="30" t="n">
        <x:f>COUNTIFS('Counter_PnL'!$D$2:$D$641,A141,'Counter_PnL'!$C$2:$C$641,B141)</x:f>
        <x:v>1</x:v>
      </x:c>
      <x:c r="D141" s="79" t="n">
        <x:f>ABS('Counter_PnL'!AC141-SUM('Counter_PnL'!V141:'Counter_PnL'!AB141))</x:f>
        <x:v>0</x:v>
      </x:c>
      <x:c r="E141" s="79" t="n">
        <x:f>ABS('Counter_PnL'!AI141-SUM('Counter_PnL'!R141,'Counter_PnL'!T141,'Counter_PnL'!AC141,'Counter_PnL'!AE141,'Counter_PnL'!AG141,'Counter_PnL'!AH141))</x:f>
        <x:v>0</x:v>
      </x:c>
      <x:c r="F141" s="79" t="n">
        <x:f>ABS('Counter_PnL'!AK141-('Counter_PnL'!Q141+'Counter_PnL'!AI141))</x:f>
        <x:v>0</x:v>
      </x:c>
      <x:c r="G141" s="79" t="n">
        <x:f>ABS('Counter_PnL'!AT141-SUM('Counter_PnL'!AO141:'Counter_PnL'!AS141))</x:f>
        <x:v>0</x:v>
      </x:c>
      <x:c r="H141" s="79" t="n">
        <x:f>ABS('Counter_PnL'!AV141-('Counter_PnL'!AK141+'Counter_PnL'!AT141))</x:f>
        <x:v>0</x:v>
      </x:c>
      <x:c r="I141" s="79" t="n">
        <x:f>ABS('Counter_PnL'!BE141-SUM('Counter_PnL'!AX141:'Counter_PnL'!BB141,'Counter_PnL'!BD141))</x:f>
        <x:v>0</x:v>
      </x:c>
      <x:c r="J141" s="79" t="n">
        <x:f>ABS('Counter_PnL'!BL141-SUM('Counter_PnL'!AV141,'Counter_PnL'!BE141,'Counter_PnL'!BJ141,'Counter_PnL'!BK141))</x:f>
        <x:v>0</x:v>
      </x:c>
      <x:c r="K141" s="79" t="n">
        <x:f>ABS('Counter_PnL'!BO141-('Counter_PnL'!BL141+'Counter_PnL'!BN141))</x:f>
        <x:v>0</x:v>
      </x:c>
      <x:c r="L141" s="79" t="n">
        <x:f>MAX(ABS('Counter_PnL'!AW141-'Counter_PnL'!AV141/'Counter_PnL'!AK141),ABS('Counter_PnL'!BM141-'Counter_PnL'!BL141/'Counter_PnL'!AK141),ABS('Counter_PnL'!BP141-'Counter_PnL'!BO141/'Counter_PnL'!AK141))</x:f>
        <x:v>0</x:v>
      </x:c>
      <x:c r="M141" s="30" t="n">
        <x:f>IF(AND('Counter_PnL'!Q141&gt;0,'Counter_PnL'!AK141&gt;0,'Counter_PnL'!R141&lt;=0,'Counter_PnL'!T141&lt;=0,'Counter_PnL'!AT141&lt;=0,'Counter_PnL'!BE141&lt;=0,'Counter_PnL'!BJ141&lt;=0,'Counter_PnL'!BK141&lt;=0,'Counter_PnL'!BN141&lt;=0),0,1)</x:f>
        <x:v>0</x:v>
      </x:c>
    </x:row>
    <x:row r="142">
      <x:c r="A142" t="str">
        <x:f>'Counter_PnL'!D142</x:f>
        <x:v>CNCT0036</x:v>
      </x:c>
      <x:c r="B142" t="str">
        <x:f>'Counter_PnL'!C142</x:f>
        <x:v>2025 S1</x:v>
      </x:c>
      <x:c r="C142" s="30" t="n">
        <x:f>COUNTIFS('Counter_PnL'!$D$2:$D$641,A142,'Counter_PnL'!$C$2:$C$641,B142)</x:f>
        <x:v>1</x:v>
      </x:c>
      <x:c r="D142" s="79" t="n">
        <x:f>ABS('Counter_PnL'!AC142-SUM('Counter_PnL'!V142:'Counter_PnL'!AB142))</x:f>
        <x:v>0</x:v>
      </x:c>
      <x:c r="E142" s="79" t="n">
        <x:f>ABS('Counter_PnL'!AI142-SUM('Counter_PnL'!R142,'Counter_PnL'!T142,'Counter_PnL'!AC142,'Counter_PnL'!AE142,'Counter_PnL'!AG142,'Counter_PnL'!AH142))</x:f>
        <x:v>0</x:v>
      </x:c>
      <x:c r="F142" s="79" t="n">
        <x:f>ABS('Counter_PnL'!AK142-('Counter_PnL'!Q142+'Counter_PnL'!AI142))</x:f>
        <x:v>0</x:v>
      </x:c>
      <x:c r="G142" s="79" t="n">
        <x:f>ABS('Counter_PnL'!AT142-SUM('Counter_PnL'!AO142:'Counter_PnL'!AS142))</x:f>
        <x:v>0</x:v>
      </x:c>
      <x:c r="H142" s="79" t="n">
        <x:f>ABS('Counter_PnL'!AV142-('Counter_PnL'!AK142+'Counter_PnL'!AT142))</x:f>
        <x:v>0</x:v>
      </x:c>
      <x:c r="I142" s="79" t="n">
        <x:f>ABS('Counter_PnL'!BE142-SUM('Counter_PnL'!AX142:'Counter_PnL'!BB142,'Counter_PnL'!BD142))</x:f>
        <x:v>0</x:v>
      </x:c>
      <x:c r="J142" s="79" t="n">
        <x:f>ABS('Counter_PnL'!BL142-SUM('Counter_PnL'!AV142,'Counter_PnL'!BE142,'Counter_PnL'!BJ142,'Counter_PnL'!BK142))</x:f>
        <x:v>0</x:v>
      </x:c>
      <x:c r="K142" s="79" t="n">
        <x:f>ABS('Counter_PnL'!BO142-('Counter_PnL'!BL142+'Counter_PnL'!BN142))</x:f>
        <x:v>0</x:v>
      </x:c>
      <x:c r="L142" s="79" t="n">
        <x:f>MAX(ABS('Counter_PnL'!AW142-'Counter_PnL'!AV142/'Counter_PnL'!AK142),ABS('Counter_PnL'!BM142-'Counter_PnL'!BL142/'Counter_PnL'!AK142),ABS('Counter_PnL'!BP142-'Counter_PnL'!BO142/'Counter_PnL'!AK142))</x:f>
        <x:v>0</x:v>
      </x:c>
      <x:c r="M142" s="30" t="n">
        <x:f>IF(AND('Counter_PnL'!Q142&gt;0,'Counter_PnL'!AK142&gt;0,'Counter_PnL'!R142&lt;=0,'Counter_PnL'!T142&lt;=0,'Counter_PnL'!AT142&lt;=0,'Counter_PnL'!BE142&lt;=0,'Counter_PnL'!BJ142&lt;=0,'Counter_PnL'!BK142&lt;=0,'Counter_PnL'!BN142&lt;=0),0,1)</x:f>
        <x:v>0</x:v>
      </x:c>
    </x:row>
    <x:row r="143">
      <x:c r="A143" t="str">
        <x:f>'Counter_PnL'!D143</x:f>
        <x:v>CNCT0036</x:v>
      </x:c>
      <x:c r="B143" t="str">
        <x:f>'Counter_PnL'!C143</x:f>
        <x:v>2025 S2</x:v>
      </x:c>
      <x:c r="C143" s="30" t="n">
        <x:f>COUNTIFS('Counter_PnL'!$D$2:$D$641,A143,'Counter_PnL'!$C$2:$C$641,B143)</x:f>
        <x:v>1</x:v>
      </x:c>
      <x:c r="D143" s="79" t="n">
        <x:f>ABS('Counter_PnL'!AC143-SUM('Counter_PnL'!V143:'Counter_PnL'!AB143))</x:f>
        <x:v>0</x:v>
      </x:c>
      <x:c r="E143" s="79" t="n">
        <x:f>ABS('Counter_PnL'!AI143-SUM('Counter_PnL'!R143,'Counter_PnL'!T143,'Counter_PnL'!AC143,'Counter_PnL'!AE143,'Counter_PnL'!AG143,'Counter_PnL'!AH143))</x:f>
        <x:v>0</x:v>
      </x:c>
      <x:c r="F143" s="79" t="n">
        <x:f>ABS('Counter_PnL'!AK143-('Counter_PnL'!Q143+'Counter_PnL'!AI143))</x:f>
        <x:v>0</x:v>
      </x:c>
      <x:c r="G143" s="79" t="n">
        <x:f>ABS('Counter_PnL'!AT143-SUM('Counter_PnL'!AO143:'Counter_PnL'!AS143))</x:f>
        <x:v>0</x:v>
      </x:c>
      <x:c r="H143" s="79" t="n">
        <x:f>ABS('Counter_PnL'!AV143-('Counter_PnL'!AK143+'Counter_PnL'!AT143))</x:f>
        <x:v>0</x:v>
      </x:c>
      <x:c r="I143" s="79" t="n">
        <x:f>ABS('Counter_PnL'!BE143-SUM('Counter_PnL'!AX143:'Counter_PnL'!BB143,'Counter_PnL'!BD143))</x:f>
        <x:v>0</x:v>
      </x:c>
      <x:c r="J143" s="79" t="n">
        <x:f>ABS('Counter_PnL'!BL143-SUM('Counter_PnL'!AV143,'Counter_PnL'!BE143,'Counter_PnL'!BJ143,'Counter_PnL'!BK143))</x:f>
        <x:v>0</x:v>
      </x:c>
      <x:c r="K143" s="79" t="n">
        <x:f>ABS('Counter_PnL'!BO143-('Counter_PnL'!BL143+'Counter_PnL'!BN143))</x:f>
        <x:v>0</x:v>
      </x:c>
      <x:c r="L143" s="79" t="n">
        <x:f>MAX(ABS('Counter_PnL'!AW143-'Counter_PnL'!AV143/'Counter_PnL'!AK143),ABS('Counter_PnL'!BM143-'Counter_PnL'!BL143/'Counter_PnL'!AK143),ABS('Counter_PnL'!BP143-'Counter_PnL'!BO143/'Counter_PnL'!AK143))</x:f>
        <x:v>0</x:v>
      </x:c>
      <x:c r="M143" s="30" t="n">
        <x:f>IF(AND('Counter_PnL'!Q143&gt;0,'Counter_PnL'!AK143&gt;0,'Counter_PnL'!R143&lt;=0,'Counter_PnL'!T143&lt;=0,'Counter_PnL'!AT143&lt;=0,'Counter_PnL'!BE143&lt;=0,'Counter_PnL'!BJ143&lt;=0,'Counter_PnL'!BK143&lt;=0,'Counter_PnL'!BN143&lt;=0),0,1)</x:f>
        <x:v>0</x:v>
      </x:c>
    </x:row>
    <x:row r="144">
      <x:c r="A144" t="str">
        <x:f>'Counter_PnL'!D144</x:f>
        <x:v>CNCT0036</x:v>
      </x:c>
      <x:c r="B144" t="str">
        <x:f>'Counter_PnL'!C144</x:f>
        <x:v>2026 S1</x:v>
      </x:c>
      <x:c r="C144" s="30" t="n">
        <x:f>COUNTIFS('Counter_PnL'!$D$2:$D$641,A144,'Counter_PnL'!$C$2:$C$641,B144)</x:f>
        <x:v>1</x:v>
      </x:c>
      <x:c r="D144" s="79" t="n">
        <x:f>ABS('Counter_PnL'!AC144-SUM('Counter_PnL'!V144:'Counter_PnL'!AB144))</x:f>
        <x:v>0</x:v>
      </x:c>
      <x:c r="E144" s="79" t="n">
        <x:f>ABS('Counter_PnL'!AI144-SUM('Counter_PnL'!R144,'Counter_PnL'!T144,'Counter_PnL'!AC144,'Counter_PnL'!AE144,'Counter_PnL'!AG144,'Counter_PnL'!AH144))</x:f>
        <x:v>0</x:v>
      </x:c>
      <x:c r="F144" s="79" t="n">
        <x:f>ABS('Counter_PnL'!AK144-('Counter_PnL'!Q144+'Counter_PnL'!AI144))</x:f>
        <x:v>0</x:v>
      </x:c>
      <x:c r="G144" s="79" t="n">
        <x:f>ABS('Counter_PnL'!AT144-SUM('Counter_PnL'!AO144:'Counter_PnL'!AS144))</x:f>
        <x:v>0</x:v>
      </x:c>
      <x:c r="H144" s="79" t="n">
        <x:f>ABS('Counter_PnL'!AV144-('Counter_PnL'!AK144+'Counter_PnL'!AT144))</x:f>
        <x:v>0</x:v>
      </x:c>
      <x:c r="I144" s="79" t="n">
        <x:f>ABS('Counter_PnL'!BE144-SUM('Counter_PnL'!AX144:'Counter_PnL'!BB144,'Counter_PnL'!BD144))</x:f>
        <x:v>0</x:v>
      </x:c>
      <x:c r="J144" s="79" t="n">
        <x:f>ABS('Counter_PnL'!BL144-SUM('Counter_PnL'!AV144,'Counter_PnL'!BE144,'Counter_PnL'!BJ144,'Counter_PnL'!BK144))</x:f>
        <x:v>0</x:v>
      </x:c>
      <x:c r="K144" s="79" t="n">
        <x:f>ABS('Counter_PnL'!BO144-('Counter_PnL'!BL144+'Counter_PnL'!BN144))</x:f>
        <x:v>0</x:v>
      </x:c>
      <x:c r="L144" s="79" t="n">
        <x:f>MAX(ABS('Counter_PnL'!AW144-'Counter_PnL'!AV144/'Counter_PnL'!AK144),ABS('Counter_PnL'!BM144-'Counter_PnL'!BL144/'Counter_PnL'!AK144),ABS('Counter_PnL'!BP144-'Counter_PnL'!BO144/'Counter_PnL'!AK144))</x:f>
        <x:v>0</x:v>
      </x:c>
      <x:c r="M144" s="30" t="n">
        <x:f>IF(AND('Counter_PnL'!Q144&gt;0,'Counter_PnL'!AK144&gt;0,'Counter_PnL'!R144&lt;=0,'Counter_PnL'!T144&lt;=0,'Counter_PnL'!AT144&lt;=0,'Counter_PnL'!BE144&lt;=0,'Counter_PnL'!BJ144&lt;=0,'Counter_PnL'!BK144&lt;=0,'Counter_PnL'!BN144&lt;=0),0,1)</x:f>
        <x:v>0</x:v>
      </x:c>
    </x:row>
    <x:row r="145">
      <x:c r="A145" t="str">
        <x:f>'Counter_PnL'!D145</x:f>
        <x:v>CNCT0036</x:v>
      </x:c>
      <x:c r="B145" t="str">
        <x:f>'Counter_PnL'!C145</x:f>
        <x:v>2026 S2</x:v>
      </x:c>
      <x:c r="C145" s="30" t="n">
        <x:f>COUNTIFS('Counter_PnL'!$D$2:$D$641,A145,'Counter_PnL'!$C$2:$C$641,B145)</x:f>
        <x:v>1</x:v>
      </x:c>
      <x:c r="D145" s="79" t="n">
        <x:f>ABS('Counter_PnL'!AC145-SUM('Counter_PnL'!V145:'Counter_PnL'!AB145))</x:f>
        <x:v>0</x:v>
      </x:c>
      <x:c r="E145" s="79" t="n">
        <x:f>ABS('Counter_PnL'!AI145-SUM('Counter_PnL'!R145,'Counter_PnL'!T145,'Counter_PnL'!AC145,'Counter_PnL'!AE145,'Counter_PnL'!AG145,'Counter_PnL'!AH145))</x:f>
        <x:v>0</x:v>
      </x:c>
      <x:c r="F145" s="79" t="n">
        <x:f>ABS('Counter_PnL'!AK145-('Counter_PnL'!Q145+'Counter_PnL'!AI145))</x:f>
        <x:v>0</x:v>
      </x:c>
      <x:c r="G145" s="79" t="n">
        <x:f>ABS('Counter_PnL'!AT145-SUM('Counter_PnL'!AO145:'Counter_PnL'!AS145))</x:f>
        <x:v>0</x:v>
      </x:c>
      <x:c r="H145" s="79" t="n">
        <x:f>ABS('Counter_PnL'!AV145-('Counter_PnL'!AK145+'Counter_PnL'!AT145))</x:f>
        <x:v>0</x:v>
      </x:c>
      <x:c r="I145" s="79" t="n">
        <x:f>ABS('Counter_PnL'!BE145-SUM('Counter_PnL'!AX145:'Counter_PnL'!BB145,'Counter_PnL'!BD145))</x:f>
        <x:v>0</x:v>
      </x:c>
      <x:c r="J145" s="79" t="n">
        <x:f>ABS('Counter_PnL'!BL145-SUM('Counter_PnL'!AV145,'Counter_PnL'!BE145,'Counter_PnL'!BJ145,'Counter_PnL'!BK145))</x:f>
        <x:v>0</x:v>
      </x:c>
      <x:c r="K145" s="79" t="n">
        <x:f>ABS('Counter_PnL'!BO145-('Counter_PnL'!BL145+'Counter_PnL'!BN145))</x:f>
        <x:v>0</x:v>
      </x:c>
      <x:c r="L145" s="79" t="n">
        <x:f>MAX(ABS('Counter_PnL'!AW145-'Counter_PnL'!AV145/'Counter_PnL'!AK145),ABS('Counter_PnL'!BM145-'Counter_PnL'!BL145/'Counter_PnL'!AK145),ABS('Counter_PnL'!BP145-'Counter_PnL'!BO145/'Counter_PnL'!AK145))</x:f>
        <x:v>0</x:v>
      </x:c>
      <x:c r="M145" s="30" t="n">
        <x:f>IF(AND('Counter_PnL'!Q145&gt;0,'Counter_PnL'!AK145&gt;0,'Counter_PnL'!R145&lt;=0,'Counter_PnL'!T145&lt;=0,'Counter_PnL'!AT145&lt;=0,'Counter_PnL'!BE145&lt;=0,'Counter_PnL'!BJ145&lt;=0,'Counter_PnL'!BK145&lt;=0,'Counter_PnL'!BN145&lt;=0),0,1)</x:f>
        <x:v>0</x:v>
      </x:c>
    </x:row>
    <x:row r="146">
      <x:c r="A146" t="str">
        <x:f>'Counter_PnL'!D146</x:f>
        <x:v>CNCT0037</x:v>
      </x:c>
      <x:c r="B146" t="str">
        <x:f>'Counter_PnL'!C146</x:f>
        <x:v>2025 S1</x:v>
      </x:c>
      <x:c r="C146" s="30" t="n">
        <x:f>COUNTIFS('Counter_PnL'!$D$2:$D$641,A146,'Counter_PnL'!$C$2:$C$641,B146)</x:f>
        <x:v>1</x:v>
      </x:c>
      <x:c r="D146" s="79" t="n">
        <x:f>ABS('Counter_PnL'!AC146-SUM('Counter_PnL'!V146:'Counter_PnL'!AB146))</x:f>
        <x:v>0</x:v>
      </x:c>
      <x:c r="E146" s="79" t="n">
        <x:f>ABS('Counter_PnL'!AI146-SUM('Counter_PnL'!R146,'Counter_PnL'!T146,'Counter_PnL'!AC146,'Counter_PnL'!AE146,'Counter_PnL'!AG146,'Counter_PnL'!AH146))</x:f>
        <x:v>0</x:v>
      </x:c>
      <x:c r="F146" s="79" t="n">
        <x:f>ABS('Counter_PnL'!AK146-('Counter_PnL'!Q146+'Counter_PnL'!AI146))</x:f>
        <x:v>0</x:v>
      </x:c>
      <x:c r="G146" s="79" t="n">
        <x:f>ABS('Counter_PnL'!AT146-SUM('Counter_PnL'!AO146:'Counter_PnL'!AS146))</x:f>
        <x:v>0</x:v>
      </x:c>
      <x:c r="H146" s="79" t="n">
        <x:f>ABS('Counter_PnL'!AV146-('Counter_PnL'!AK146+'Counter_PnL'!AT146))</x:f>
        <x:v>0</x:v>
      </x:c>
      <x:c r="I146" s="79" t="n">
        <x:f>ABS('Counter_PnL'!BE146-SUM('Counter_PnL'!AX146:'Counter_PnL'!BB146,'Counter_PnL'!BD146))</x:f>
        <x:v>0</x:v>
      </x:c>
      <x:c r="J146" s="79" t="n">
        <x:f>ABS('Counter_PnL'!BL146-SUM('Counter_PnL'!AV146,'Counter_PnL'!BE146,'Counter_PnL'!BJ146,'Counter_PnL'!BK146))</x:f>
        <x:v>0</x:v>
      </x:c>
      <x:c r="K146" s="79" t="n">
        <x:f>ABS('Counter_PnL'!BO146-('Counter_PnL'!BL146+'Counter_PnL'!BN146))</x:f>
        <x:v>0</x:v>
      </x:c>
      <x:c r="L146" s="79" t="n">
        <x:f>MAX(ABS('Counter_PnL'!AW146-'Counter_PnL'!AV146/'Counter_PnL'!AK146),ABS('Counter_PnL'!BM146-'Counter_PnL'!BL146/'Counter_PnL'!AK146),ABS('Counter_PnL'!BP146-'Counter_PnL'!BO146/'Counter_PnL'!AK146))</x:f>
        <x:v>0</x:v>
      </x:c>
      <x:c r="M146" s="30" t="n">
        <x:f>IF(AND('Counter_PnL'!Q146&gt;0,'Counter_PnL'!AK146&gt;0,'Counter_PnL'!R146&lt;=0,'Counter_PnL'!T146&lt;=0,'Counter_PnL'!AT146&lt;=0,'Counter_PnL'!BE146&lt;=0,'Counter_PnL'!BJ146&lt;=0,'Counter_PnL'!BK146&lt;=0,'Counter_PnL'!BN146&lt;=0),0,1)</x:f>
        <x:v>0</x:v>
      </x:c>
    </x:row>
    <x:row r="147">
      <x:c r="A147" t="str">
        <x:f>'Counter_PnL'!D147</x:f>
        <x:v>CNCT0037</x:v>
      </x:c>
      <x:c r="B147" t="str">
        <x:f>'Counter_PnL'!C147</x:f>
        <x:v>2025 S2</x:v>
      </x:c>
      <x:c r="C147" s="30" t="n">
        <x:f>COUNTIFS('Counter_PnL'!$D$2:$D$641,A147,'Counter_PnL'!$C$2:$C$641,B147)</x:f>
        <x:v>1</x:v>
      </x:c>
      <x:c r="D147" s="79" t="n">
        <x:f>ABS('Counter_PnL'!AC147-SUM('Counter_PnL'!V147:'Counter_PnL'!AB147))</x:f>
        <x:v>0</x:v>
      </x:c>
      <x:c r="E147" s="79" t="n">
        <x:f>ABS('Counter_PnL'!AI147-SUM('Counter_PnL'!R147,'Counter_PnL'!T147,'Counter_PnL'!AC147,'Counter_PnL'!AE147,'Counter_PnL'!AG147,'Counter_PnL'!AH147))</x:f>
        <x:v>0</x:v>
      </x:c>
      <x:c r="F147" s="79" t="n">
        <x:f>ABS('Counter_PnL'!AK147-('Counter_PnL'!Q147+'Counter_PnL'!AI147))</x:f>
        <x:v>0</x:v>
      </x:c>
      <x:c r="G147" s="79" t="n">
        <x:f>ABS('Counter_PnL'!AT147-SUM('Counter_PnL'!AO147:'Counter_PnL'!AS147))</x:f>
        <x:v>0</x:v>
      </x:c>
      <x:c r="H147" s="79" t="n">
        <x:f>ABS('Counter_PnL'!AV147-('Counter_PnL'!AK147+'Counter_PnL'!AT147))</x:f>
        <x:v>0</x:v>
      </x:c>
      <x:c r="I147" s="79" t="n">
        <x:f>ABS('Counter_PnL'!BE147-SUM('Counter_PnL'!AX147:'Counter_PnL'!BB147,'Counter_PnL'!BD147))</x:f>
        <x:v>0</x:v>
      </x:c>
      <x:c r="J147" s="79" t="n">
        <x:f>ABS('Counter_PnL'!BL147-SUM('Counter_PnL'!AV147,'Counter_PnL'!BE147,'Counter_PnL'!BJ147,'Counter_PnL'!BK147))</x:f>
        <x:v>0</x:v>
      </x:c>
      <x:c r="K147" s="79" t="n">
        <x:f>ABS('Counter_PnL'!BO147-('Counter_PnL'!BL147+'Counter_PnL'!BN147))</x:f>
        <x:v>0</x:v>
      </x:c>
      <x:c r="L147" s="79" t="n">
        <x:f>MAX(ABS('Counter_PnL'!AW147-'Counter_PnL'!AV147/'Counter_PnL'!AK147),ABS('Counter_PnL'!BM147-'Counter_PnL'!BL147/'Counter_PnL'!AK147),ABS('Counter_PnL'!BP147-'Counter_PnL'!BO147/'Counter_PnL'!AK147))</x:f>
        <x:v>0</x:v>
      </x:c>
      <x:c r="M147" s="30" t="n">
        <x:f>IF(AND('Counter_PnL'!Q147&gt;0,'Counter_PnL'!AK147&gt;0,'Counter_PnL'!R147&lt;=0,'Counter_PnL'!T147&lt;=0,'Counter_PnL'!AT147&lt;=0,'Counter_PnL'!BE147&lt;=0,'Counter_PnL'!BJ147&lt;=0,'Counter_PnL'!BK147&lt;=0,'Counter_PnL'!BN147&lt;=0),0,1)</x:f>
        <x:v>0</x:v>
      </x:c>
    </x:row>
    <x:row r="148">
      <x:c r="A148" t="str">
        <x:f>'Counter_PnL'!D148</x:f>
        <x:v>CNCT0037</x:v>
      </x:c>
      <x:c r="B148" t="str">
        <x:f>'Counter_PnL'!C148</x:f>
        <x:v>2026 S1</x:v>
      </x:c>
      <x:c r="C148" s="30" t="n">
        <x:f>COUNTIFS('Counter_PnL'!$D$2:$D$641,A148,'Counter_PnL'!$C$2:$C$641,B148)</x:f>
        <x:v>1</x:v>
      </x:c>
      <x:c r="D148" s="79" t="n">
        <x:f>ABS('Counter_PnL'!AC148-SUM('Counter_PnL'!V148:'Counter_PnL'!AB148))</x:f>
        <x:v>0</x:v>
      </x:c>
      <x:c r="E148" s="79" t="n">
        <x:f>ABS('Counter_PnL'!AI148-SUM('Counter_PnL'!R148,'Counter_PnL'!T148,'Counter_PnL'!AC148,'Counter_PnL'!AE148,'Counter_PnL'!AG148,'Counter_PnL'!AH148))</x:f>
        <x:v>0</x:v>
      </x:c>
      <x:c r="F148" s="79" t="n">
        <x:f>ABS('Counter_PnL'!AK148-('Counter_PnL'!Q148+'Counter_PnL'!AI148))</x:f>
        <x:v>0</x:v>
      </x:c>
      <x:c r="G148" s="79" t="n">
        <x:f>ABS('Counter_PnL'!AT148-SUM('Counter_PnL'!AO148:'Counter_PnL'!AS148))</x:f>
        <x:v>0</x:v>
      </x:c>
      <x:c r="H148" s="79" t="n">
        <x:f>ABS('Counter_PnL'!AV148-('Counter_PnL'!AK148+'Counter_PnL'!AT148))</x:f>
        <x:v>0</x:v>
      </x:c>
      <x:c r="I148" s="79" t="n">
        <x:f>ABS('Counter_PnL'!BE148-SUM('Counter_PnL'!AX148:'Counter_PnL'!BB148,'Counter_PnL'!BD148))</x:f>
        <x:v>0</x:v>
      </x:c>
      <x:c r="J148" s="79" t="n">
        <x:f>ABS('Counter_PnL'!BL148-SUM('Counter_PnL'!AV148,'Counter_PnL'!BE148,'Counter_PnL'!BJ148,'Counter_PnL'!BK148))</x:f>
        <x:v>0</x:v>
      </x:c>
      <x:c r="K148" s="79" t="n">
        <x:f>ABS('Counter_PnL'!BO148-('Counter_PnL'!BL148+'Counter_PnL'!BN148))</x:f>
        <x:v>0</x:v>
      </x:c>
      <x:c r="L148" s="79" t="n">
        <x:f>MAX(ABS('Counter_PnL'!AW148-'Counter_PnL'!AV148/'Counter_PnL'!AK148),ABS('Counter_PnL'!BM148-'Counter_PnL'!BL148/'Counter_PnL'!AK148),ABS('Counter_PnL'!BP148-'Counter_PnL'!BO148/'Counter_PnL'!AK148))</x:f>
        <x:v>0</x:v>
      </x:c>
      <x:c r="M148" s="30" t="n">
        <x:f>IF(AND('Counter_PnL'!Q148&gt;0,'Counter_PnL'!AK148&gt;0,'Counter_PnL'!R148&lt;=0,'Counter_PnL'!T148&lt;=0,'Counter_PnL'!AT148&lt;=0,'Counter_PnL'!BE148&lt;=0,'Counter_PnL'!BJ148&lt;=0,'Counter_PnL'!BK148&lt;=0,'Counter_PnL'!BN148&lt;=0),0,1)</x:f>
        <x:v>0</x:v>
      </x:c>
    </x:row>
    <x:row r="149">
      <x:c r="A149" t="str">
        <x:f>'Counter_PnL'!D149</x:f>
        <x:v>CNCT0037</x:v>
      </x:c>
      <x:c r="B149" t="str">
        <x:f>'Counter_PnL'!C149</x:f>
        <x:v>2026 S2</x:v>
      </x:c>
      <x:c r="C149" s="30" t="n">
        <x:f>COUNTIFS('Counter_PnL'!$D$2:$D$641,A149,'Counter_PnL'!$C$2:$C$641,B149)</x:f>
        <x:v>1</x:v>
      </x:c>
      <x:c r="D149" s="79" t="n">
        <x:f>ABS('Counter_PnL'!AC149-SUM('Counter_PnL'!V149:'Counter_PnL'!AB149))</x:f>
        <x:v>0</x:v>
      </x:c>
      <x:c r="E149" s="79" t="n">
        <x:f>ABS('Counter_PnL'!AI149-SUM('Counter_PnL'!R149,'Counter_PnL'!T149,'Counter_PnL'!AC149,'Counter_PnL'!AE149,'Counter_PnL'!AG149,'Counter_PnL'!AH149))</x:f>
        <x:v>0</x:v>
      </x:c>
      <x:c r="F149" s="79" t="n">
        <x:f>ABS('Counter_PnL'!AK149-('Counter_PnL'!Q149+'Counter_PnL'!AI149))</x:f>
        <x:v>0</x:v>
      </x:c>
      <x:c r="G149" s="79" t="n">
        <x:f>ABS('Counter_PnL'!AT149-SUM('Counter_PnL'!AO149:'Counter_PnL'!AS149))</x:f>
        <x:v>0</x:v>
      </x:c>
      <x:c r="H149" s="79" t="n">
        <x:f>ABS('Counter_PnL'!AV149-('Counter_PnL'!AK149+'Counter_PnL'!AT149))</x:f>
        <x:v>0</x:v>
      </x:c>
      <x:c r="I149" s="79" t="n">
        <x:f>ABS('Counter_PnL'!BE149-SUM('Counter_PnL'!AX149:'Counter_PnL'!BB149,'Counter_PnL'!BD149))</x:f>
        <x:v>0</x:v>
      </x:c>
      <x:c r="J149" s="79" t="n">
        <x:f>ABS('Counter_PnL'!BL149-SUM('Counter_PnL'!AV149,'Counter_PnL'!BE149,'Counter_PnL'!BJ149,'Counter_PnL'!BK149))</x:f>
        <x:v>0</x:v>
      </x:c>
      <x:c r="K149" s="79" t="n">
        <x:f>ABS('Counter_PnL'!BO149-('Counter_PnL'!BL149+'Counter_PnL'!BN149))</x:f>
        <x:v>0</x:v>
      </x:c>
      <x:c r="L149" s="79" t="n">
        <x:f>MAX(ABS('Counter_PnL'!AW149-'Counter_PnL'!AV149/'Counter_PnL'!AK149),ABS('Counter_PnL'!BM149-'Counter_PnL'!BL149/'Counter_PnL'!AK149),ABS('Counter_PnL'!BP149-'Counter_PnL'!BO149/'Counter_PnL'!AK149))</x:f>
        <x:v>0</x:v>
      </x:c>
      <x:c r="M149" s="30" t="n">
        <x:f>IF(AND('Counter_PnL'!Q149&gt;0,'Counter_PnL'!AK149&gt;0,'Counter_PnL'!R149&lt;=0,'Counter_PnL'!T149&lt;=0,'Counter_PnL'!AT149&lt;=0,'Counter_PnL'!BE149&lt;=0,'Counter_PnL'!BJ149&lt;=0,'Counter_PnL'!BK149&lt;=0,'Counter_PnL'!BN149&lt;=0),0,1)</x:f>
        <x:v>0</x:v>
      </x:c>
    </x:row>
    <x:row r="150">
      <x:c r="A150" t="str">
        <x:f>'Counter_PnL'!D150</x:f>
        <x:v>CNCT0038</x:v>
      </x:c>
      <x:c r="B150" t="str">
        <x:f>'Counter_PnL'!C150</x:f>
        <x:v>2025 S1</x:v>
      </x:c>
      <x:c r="C150" s="30" t="n">
        <x:f>COUNTIFS('Counter_PnL'!$D$2:$D$641,A150,'Counter_PnL'!$C$2:$C$641,B150)</x:f>
        <x:v>1</x:v>
      </x:c>
      <x:c r="D150" s="79" t="n">
        <x:f>ABS('Counter_PnL'!AC150-SUM('Counter_PnL'!V150:'Counter_PnL'!AB150))</x:f>
        <x:v>0</x:v>
      </x:c>
      <x:c r="E150" s="79" t="n">
        <x:f>ABS('Counter_PnL'!AI150-SUM('Counter_PnL'!R150,'Counter_PnL'!T150,'Counter_PnL'!AC150,'Counter_PnL'!AE150,'Counter_PnL'!AG150,'Counter_PnL'!AH150))</x:f>
        <x:v>0</x:v>
      </x:c>
      <x:c r="F150" s="79" t="n">
        <x:f>ABS('Counter_PnL'!AK150-('Counter_PnL'!Q150+'Counter_PnL'!AI150))</x:f>
        <x:v>0</x:v>
      </x:c>
      <x:c r="G150" s="79" t="n">
        <x:f>ABS('Counter_PnL'!AT150-SUM('Counter_PnL'!AO150:'Counter_PnL'!AS150))</x:f>
        <x:v>0</x:v>
      </x:c>
      <x:c r="H150" s="79" t="n">
        <x:f>ABS('Counter_PnL'!AV150-('Counter_PnL'!AK150+'Counter_PnL'!AT150))</x:f>
        <x:v>0</x:v>
      </x:c>
      <x:c r="I150" s="79" t="n">
        <x:f>ABS('Counter_PnL'!BE150-SUM('Counter_PnL'!AX150:'Counter_PnL'!BB150,'Counter_PnL'!BD150))</x:f>
        <x:v>0</x:v>
      </x:c>
      <x:c r="J150" s="79" t="n">
        <x:f>ABS('Counter_PnL'!BL150-SUM('Counter_PnL'!AV150,'Counter_PnL'!BE150,'Counter_PnL'!BJ150,'Counter_PnL'!BK150))</x:f>
        <x:v>0</x:v>
      </x:c>
      <x:c r="K150" s="79" t="n">
        <x:f>ABS('Counter_PnL'!BO150-('Counter_PnL'!BL150+'Counter_PnL'!BN150))</x:f>
        <x:v>0</x:v>
      </x:c>
      <x:c r="L150" s="79" t="n">
        <x:f>MAX(ABS('Counter_PnL'!AW150-'Counter_PnL'!AV150/'Counter_PnL'!AK150),ABS('Counter_PnL'!BM150-'Counter_PnL'!BL150/'Counter_PnL'!AK150),ABS('Counter_PnL'!BP150-'Counter_PnL'!BO150/'Counter_PnL'!AK150))</x:f>
        <x:v>0</x:v>
      </x:c>
      <x:c r="M150" s="30" t="n">
        <x:f>IF(AND('Counter_PnL'!Q150&gt;0,'Counter_PnL'!AK150&gt;0,'Counter_PnL'!R150&lt;=0,'Counter_PnL'!T150&lt;=0,'Counter_PnL'!AT150&lt;=0,'Counter_PnL'!BE150&lt;=0,'Counter_PnL'!BJ150&lt;=0,'Counter_PnL'!BK150&lt;=0,'Counter_PnL'!BN150&lt;=0),0,1)</x:f>
        <x:v>0</x:v>
      </x:c>
    </x:row>
    <x:row r="151">
      <x:c r="A151" t="str">
        <x:f>'Counter_PnL'!D151</x:f>
        <x:v>CNCT0038</x:v>
      </x:c>
      <x:c r="B151" t="str">
        <x:f>'Counter_PnL'!C151</x:f>
        <x:v>2025 S2</x:v>
      </x:c>
      <x:c r="C151" s="30" t="n">
        <x:f>COUNTIFS('Counter_PnL'!$D$2:$D$641,A151,'Counter_PnL'!$C$2:$C$641,B151)</x:f>
        <x:v>1</x:v>
      </x:c>
      <x:c r="D151" s="79" t="n">
        <x:f>ABS('Counter_PnL'!AC151-SUM('Counter_PnL'!V151:'Counter_PnL'!AB151))</x:f>
        <x:v>0</x:v>
      </x:c>
      <x:c r="E151" s="79" t="n">
        <x:f>ABS('Counter_PnL'!AI151-SUM('Counter_PnL'!R151,'Counter_PnL'!T151,'Counter_PnL'!AC151,'Counter_PnL'!AE151,'Counter_PnL'!AG151,'Counter_PnL'!AH151))</x:f>
        <x:v>0</x:v>
      </x:c>
      <x:c r="F151" s="79" t="n">
        <x:f>ABS('Counter_PnL'!AK151-('Counter_PnL'!Q151+'Counter_PnL'!AI151))</x:f>
        <x:v>0</x:v>
      </x:c>
      <x:c r="G151" s="79" t="n">
        <x:f>ABS('Counter_PnL'!AT151-SUM('Counter_PnL'!AO151:'Counter_PnL'!AS151))</x:f>
        <x:v>0</x:v>
      </x:c>
      <x:c r="H151" s="79" t="n">
        <x:f>ABS('Counter_PnL'!AV151-('Counter_PnL'!AK151+'Counter_PnL'!AT151))</x:f>
        <x:v>0</x:v>
      </x:c>
      <x:c r="I151" s="79" t="n">
        <x:f>ABS('Counter_PnL'!BE151-SUM('Counter_PnL'!AX151:'Counter_PnL'!BB151,'Counter_PnL'!BD151))</x:f>
        <x:v>0</x:v>
      </x:c>
      <x:c r="J151" s="79" t="n">
        <x:f>ABS('Counter_PnL'!BL151-SUM('Counter_PnL'!AV151,'Counter_PnL'!BE151,'Counter_PnL'!BJ151,'Counter_PnL'!BK151))</x:f>
        <x:v>0</x:v>
      </x:c>
      <x:c r="K151" s="79" t="n">
        <x:f>ABS('Counter_PnL'!BO151-('Counter_PnL'!BL151+'Counter_PnL'!BN151))</x:f>
        <x:v>0</x:v>
      </x:c>
      <x:c r="L151" s="79" t="n">
        <x:f>MAX(ABS('Counter_PnL'!AW151-'Counter_PnL'!AV151/'Counter_PnL'!AK151),ABS('Counter_PnL'!BM151-'Counter_PnL'!BL151/'Counter_PnL'!AK151),ABS('Counter_PnL'!BP151-'Counter_PnL'!BO151/'Counter_PnL'!AK151))</x:f>
        <x:v>0</x:v>
      </x:c>
      <x:c r="M151" s="30" t="n">
        <x:f>IF(AND('Counter_PnL'!Q151&gt;0,'Counter_PnL'!AK151&gt;0,'Counter_PnL'!R151&lt;=0,'Counter_PnL'!T151&lt;=0,'Counter_PnL'!AT151&lt;=0,'Counter_PnL'!BE151&lt;=0,'Counter_PnL'!BJ151&lt;=0,'Counter_PnL'!BK151&lt;=0,'Counter_PnL'!BN151&lt;=0),0,1)</x:f>
        <x:v>0</x:v>
      </x:c>
    </x:row>
    <x:row r="152">
      <x:c r="A152" t="str">
        <x:f>'Counter_PnL'!D152</x:f>
        <x:v>CNCT0038</x:v>
      </x:c>
      <x:c r="B152" t="str">
        <x:f>'Counter_PnL'!C152</x:f>
        <x:v>2026 S1</x:v>
      </x:c>
      <x:c r="C152" s="30" t="n">
        <x:f>COUNTIFS('Counter_PnL'!$D$2:$D$641,A152,'Counter_PnL'!$C$2:$C$641,B152)</x:f>
        <x:v>1</x:v>
      </x:c>
      <x:c r="D152" s="79" t="n">
        <x:f>ABS('Counter_PnL'!AC152-SUM('Counter_PnL'!V152:'Counter_PnL'!AB152))</x:f>
        <x:v>0</x:v>
      </x:c>
      <x:c r="E152" s="79" t="n">
        <x:f>ABS('Counter_PnL'!AI152-SUM('Counter_PnL'!R152,'Counter_PnL'!T152,'Counter_PnL'!AC152,'Counter_PnL'!AE152,'Counter_PnL'!AG152,'Counter_PnL'!AH152))</x:f>
        <x:v>0</x:v>
      </x:c>
      <x:c r="F152" s="79" t="n">
        <x:f>ABS('Counter_PnL'!AK152-('Counter_PnL'!Q152+'Counter_PnL'!AI152))</x:f>
        <x:v>0</x:v>
      </x:c>
      <x:c r="G152" s="79" t="n">
        <x:f>ABS('Counter_PnL'!AT152-SUM('Counter_PnL'!AO152:'Counter_PnL'!AS152))</x:f>
        <x:v>0</x:v>
      </x:c>
      <x:c r="H152" s="79" t="n">
        <x:f>ABS('Counter_PnL'!AV152-('Counter_PnL'!AK152+'Counter_PnL'!AT152))</x:f>
        <x:v>0</x:v>
      </x:c>
      <x:c r="I152" s="79" t="n">
        <x:f>ABS('Counter_PnL'!BE152-SUM('Counter_PnL'!AX152:'Counter_PnL'!BB152,'Counter_PnL'!BD152))</x:f>
        <x:v>0</x:v>
      </x:c>
      <x:c r="J152" s="79" t="n">
        <x:f>ABS('Counter_PnL'!BL152-SUM('Counter_PnL'!AV152,'Counter_PnL'!BE152,'Counter_PnL'!BJ152,'Counter_PnL'!BK152))</x:f>
        <x:v>0</x:v>
      </x:c>
      <x:c r="K152" s="79" t="n">
        <x:f>ABS('Counter_PnL'!BO152-('Counter_PnL'!BL152+'Counter_PnL'!BN152))</x:f>
        <x:v>0</x:v>
      </x:c>
      <x:c r="L152" s="79" t="n">
        <x:f>MAX(ABS('Counter_PnL'!AW152-'Counter_PnL'!AV152/'Counter_PnL'!AK152),ABS('Counter_PnL'!BM152-'Counter_PnL'!BL152/'Counter_PnL'!AK152),ABS('Counter_PnL'!BP152-'Counter_PnL'!BO152/'Counter_PnL'!AK152))</x:f>
        <x:v>0</x:v>
      </x:c>
      <x:c r="M152" s="30" t="n">
        <x:f>IF(AND('Counter_PnL'!Q152&gt;0,'Counter_PnL'!AK152&gt;0,'Counter_PnL'!R152&lt;=0,'Counter_PnL'!T152&lt;=0,'Counter_PnL'!AT152&lt;=0,'Counter_PnL'!BE152&lt;=0,'Counter_PnL'!BJ152&lt;=0,'Counter_PnL'!BK152&lt;=0,'Counter_PnL'!BN152&lt;=0),0,1)</x:f>
        <x:v>0</x:v>
      </x:c>
    </x:row>
    <x:row r="153">
      <x:c r="A153" t="str">
        <x:f>'Counter_PnL'!D153</x:f>
        <x:v>CNCT0038</x:v>
      </x:c>
      <x:c r="B153" t="str">
        <x:f>'Counter_PnL'!C153</x:f>
        <x:v>2026 S2</x:v>
      </x:c>
      <x:c r="C153" s="30" t="n">
        <x:f>COUNTIFS('Counter_PnL'!$D$2:$D$641,A153,'Counter_PnL'!$C$2:$C$641,B153)</x:f>
        <x:v>1</x:v>
      </x:c>
      <x:c r="D153" s="79" t="n">
        <x:f>ABS('Counter_PnL'!AC153-SUM('Counter_PnL'!V153:'Counter_PnL'!AB153))</x:f>
        <x:v>0</x:v>
      </x:c>
      <x:c r="E153" s="79" t="n">
        <x:f>ABS('Counter_PnL'!AI153-SUM('Counter_PnL'!R153,'Counter_PnL'!T153,'Counter_PnL'!AC153,'Counter_PnL'!AE153,'Counter_PnL'!AG153,'Counter_PnL'!AH153))</x:f>
        <x:v>0</x:v>
      </x:c>
      <x:c r="F153" s="79" t="n">
        <x:f>ABS('Counter_PnL'!AK153-('Counter_PnL'!Q153+'Counter_PnL'!AI153))</x:f>
        <x:v>0</x:v>
      </x:c>
      <x:c r="G153" s="79" t="n">
        <x:f>ABS('Counter_PnL'!AT153-SUM('Counter_PnL'!AO153:'Counter_PnL'!AS153))</x:f>
        <x:v>0</x:v>
      </x:c>
      <x:c r="H153" s="79" t="n">
        <x:f>ABS('Counter_PnL'!AV153-('Counter_PnL'!AK153+'Counter_PnL'!AT153))</x:f>
        <x:v>0</x:v>
      </x:c>
      <x:c r="I153" s="79" t="n">
        <x:f>ABS('Counter_PnL'!BE153-SUM('Counter_PnL'!AX153:'Counter_PnL'!BB153,'Counter_PnL'!BD153))</x:f>
        <x:v>0</x:v>
      </x:c>
      <x:c r="J153" s="79" t="n">
        <x:f>ABS('Counter_PnL'!BL153-SUM('Counter_PnL'!AV153,'Counter_PnL'!BE153,'Counter_PnL'!BJ153,'Counter_PnL'!BK153))</x:f>
        <x:v>0</x:v>
      </x:c>
      <x:c r="K153" s="79" t="n">
        <x:f>ABS('Counter_PnL'!BO153-('Counter_PnL'!BL153+'Counter_PnL'!BN153))</x:f>
        <x:v>0</x:v>
      </x:c>
      <x:c r="L153" s="79" t="n">
        <x:f>MAX(ABS('Counter_PnL'!AW153-'Counter_PnL'!AV153/'Counter_PnL'!AK153),ABS('Counter_PnL'!BM153-'Counter_PnL'!BL153/'Counter_PnL'!AK153),ABS('Counter_PnL'!BP153-'Counter_PnL'!BO153/'Counter_PnL'!AK153))</x:f>
        <x:v>0</x:v>
      </x:c>
      <x:c r="M153" s="30" t="n">
        <x:f>IF(AND('Counter_PnL'!Q153&gt;0,'Counter_PnL'!AK153&gt;0,'Counter_PnL'!R153&lt;=0,'Counter_PnL'!T153&lt;=0,'Counter_PnL'!AT153&lt;=0,'Counter_PnL'!BE153&lt;=0,'Counter_PnL'!BJ153&lt;=0,'Counter_PnL'!BK153&lt;=0,'Counter_PnL'!BN153&lt;=0),0,1)</x:f>
        <x:v>0</x:v>
      </x:c>
    </x:row>
    <x:row r="154">
      <x:c r="A154" t="str">
        <x:f>'Counter_PnL'!D154</x:f>
        <x:v>CNCT0039</x:v>
      </x:c>
      <x:c r="B154" t="str">
        <x:f>'Counter_PnL'!C154</x:f>
        <x:v>2025 S1</x:v>
      </x:c>
      <x:c r="C154" s="30" t="n">
        <x:f>COUNTIFS('Counter_PnL'!$D$2:$D$641,A154,'Counter_PnL'!$C$2:$C$641,B154)</x:f>
        <x:v>1</x:v>
      </x:c>
      <x:c r="D154" s="79" t="n">
        <x:f>ABS('Counter_PnL'!AC154-SUM('Counter_PnL'!V154:'Counter_PnL'!AB154))</x:f>
        <x:v>0</x:v>
      </x:c>
      <x:c r="E154" s="79" t="n">
        <x:f>ABS('Counter_PnL'!AI154-SUM('Counter_PnL'!R154,'Counter_PnL'!T154,'Counter_PnL'!AC154,'Counter_PnL'!AE154,'Counter_PnL'!AG154,'Counter_PnL'!AH154))</x:f>
        <x:v>0</x:v>
      </x:c>
      <x:c r="F154" s="79" t="n">
        <x:f>ABS('Counter_PnL'!AK154-('Counter_PnL'!Q154+'Counter_PnL'!AI154))</x:f>
        <x:v>0</x:v>
      </x:c>
      <x:c r="G154" s="79" t="n">
        <x:f>ABS('Counter_PnL'!AT154-SUM('Counter_PnL'!AO154:'Counter_PnL'!AS154))</x:f>
        <x:v>0</x:v>
      </x:c>
      <x:c r="H154" s="79" t="n">
        <x:f>ABS('Counter_PnL'!AV154-('Counter_PnL'!AK154+'Counter_PnL'!AT154))</x:f>
        <x:v>0</x:v>
      </x:c>
      <x:c r="I154" s="79" t="n">
        <x:f>ABS('Counter_PnL'!BE154-SUM('Counter_PnL'!AX154:'Counter_PnL'!BB154,'Counter_PnL'!BD154))</x:f>
        <x:v>0</x:v>
      </x:c>
      <x:c r="J154" s="79" t="n">
        <x:f>ABS('Counter_PnL'!BL154-SUM('Counter_PnL'!AV154,'Counter_PnL'!BE154,'Counter_PnL'!BJ154,'Counter_PnL'!BK154))</x:f>
        <x:v>0</x:v>
      </x:c>
      <x:c r="K154" s="79" t="n">
        <x:f>ABS('Counter_PnL'!BO154-('Counter_PnL'!BL154+'Counter_PnL'!BN154))</x:f>
        <x:v>0</x:v>
      </x:c>
      <x:c r="L154" s="79" t="n">
        <x:f>MAX(ABS('Counter_PnL'!AW154-'Counter_PnL'!AV154/'Counter_PnL'!AK154),ABS('Counter_PnL'!BM154-'Counter_PnL'!BL154/'Counter_PnL'!AK154),ABS('Counter_PnL'!BP154-'Counter_PnL'!BO154/'Counter_PnL'!AK154))</x:f>
        <x:v>0</x:v>
      </x:c>
      <x:c r="M154" s="30" t="n">
        <x:f>IF(AND('Counter_PnL'!Q154&gt;0,'Counter_PnL'!AK154&gt;0,'Counter_PnL'!R154&lt;=0,'Counter_PnL'!T154&lt;=0,'Counter_PnL'!AT154&lt;=0,'Counter_PnL'!BE154&lt;=0,'Counter_PnL'!BJ154&lt;=0,'Counter_PnL'!BK154&lt;=0,'Counter_PnL'!BN154&lt;=0),0,1)</x:f>
        <x:v>0</x:v>
      </x:c>
    </x:row>
    <x:row r="155">
      <x:c r="A155" t="str">
        <x:f>'Counter_PnL'!D155</x:f>
        <x:v>CNCT0039</x:v>
      </x:c>
      <x:c r="B155" t="str">
        <x:f>'Counter_PnL'!C155</x:f>
        <x:v>2025 S2</x:v>
      </x:c>
      <x:c r="C155" s="30" t="n">
        <x:f>COUNTIFS('Counter_PnL'!$D$2:$D$641,A155,'Counter_PnL'!$C$2:$C$641,B155)</x:f>
        <x:v>1</x:v>
      </x:c>
      <x:c r="D155" s="79" t="n">
        <x:f>ABS('Counter_PnL'!AC155-SUM('Counter_PnL'!V155:'Counter_PnL'!AB155))</x:f>
        <x:v>0</x:v>
      </x:c>
      <x:c r="E155" s="79" t="n">
        <x:f>ABS('Counter_PnL'!AI155-SUM('Counter_PnL'!R155,'Counter_PnL'!T155,'Counter_PnL'!AC155,'Counter_PnL'!AE155,'Counter_PnL'!AG155,'Counter_PnL'!AH155))</x:f>
        <x:v>0</x:v>
      </x:c>
      <x:c r="F155" s="79" t="n">
        <x:f>ABS('Counter_PnL'!AK155-('Counter_PnL'!Q155+'Counter_PnL'!AI155))</x:f>
        <x:v>0</x:v>
      </x:c>
      <x:c r="G155" s="79" t="n">
        <x:f>ABS('Counter_PnL'!AT155-SUM('Counter_PnL'!AO155:'Counter_PnL'!AS155))</x:f>
        <x:v>0</x:v>
      </x:c>
      <x:c r="H155" s="79" t="n">
        <x:f>ABS('Counter_PnL'!AV155-('Counter_PnL'!AK155+'Counter_PnL'!AT155))</x:f>
        <x:v>0</x:v>
      </x:c>
      <x:c r="I155" s="79" t="n">
        <x:f>ABS('Counter_PnL'!BE155-SUM('Counter_PnL'!AX155:'Counter_PnL'!BB155,'Counter_PnL'!BD155))</x:f>
        <x:v>0</x:v>
      </x:c>
      <x:c r="J155" s="79" t="n">
        <x:f>ABS('Counter_PnL'!BL155-SUM('Counter_PnL'!AV155,'Counter_PnL'!BE155,'Counter_PnL'!BJ155,'Counter_PnL'!BK155))</x:f>
        <x:v>0</x:v>
      </x:c>
      <x:c r="K155" s="79" t="n">
        <x:f>ABS('Counter_PnL'!BO155-('Counter_PnL'!BL155+'Counter_PnL'!BN155))</x:f>
        <x:v>0</x:v>
      </x:c>
      <x:c r="L155" s="79" t="n">
        <x:f>MAX(ABS('Counter_PnL'!AW155-'Counter_PnL'!AV155/'Counter_PnL'!AK155),ABS('Counter_PnL'!BM155-'Counter_PnL'!BL155/'Counter_PnL'!AK155),ABS('Counter_PnL'!BP155-'Counter_PnL'!BO155/'Counter_PnL'!AK155))</x:f>
        <x:v>0</x:v>
      </x:c>
      <x:c r="M155" s="30" t="n">
        <x:f>IF(AND('Counter_PnL'!Q155&gt;0,'Counter_PnL'!AK155&gt;0,'Counter_PnL'!R155&lt;=0,'Counter_PnL'!T155&lt;=0,'Counter_PnL'!AT155&lt;=0,'Counter_PnL'!BE155&lt;=0,'Counter_PnL'!BJ155&lt;=0,'Counter_PnL'!BK155&lt;=0,'Counter_PnL'!BN155&lt;=0),0,1)</x:f>
        <x:v>0</x:v>
      </x:c>
    </x:row>
    <x:row r="156">
      <x:c r="A156" t="str">
        <x:f>'Counter_PnL'!D156</x:f>
        <x:v>CNCT0039</x:v>
      </x:c>
      <x:c r="B156" t="str">
        <x:f>'Counter_PnL'!C156</x:f>
        <x:v>2026 S1</x:v>
      </x:c>
      <x:c r="C156" s="30" t="n">
        <x:f>COUNTIFS('Counter_PnL'!$D$2:$D$641,A156,'Counter_PnL'!$C$2:$C$641,B156)</x:f>
        <x:v>1</x:v>
      </x:c>
      <x:c r="D156" s="79" t="n">
        <x:f>ABS('Counter_PnL'!AC156-SUM('Counter_PnL'!V156:'Counter_PnL'!AB156))</x:f>
        <x:v>0</x:v>
      </x:c>
      <x:c r="E156" s="79" t="n">
        <x:f>ABS('Counter_PnL'!AI156-SUM('Counter_PnL'!R156,'Counter_PnL'!T156,'Counter_PnL'!AC156,'Counter_PnL'!AE156,'Counter_PnL'!AG156,'Counter_PnL'!AH156))</x:f>
        <x:v>0</x:v>
      </x:c>
      <x:c r="F156" s="79" t="n">
        <x:f>ABS('Counter_PnL'!AK156-('Counter_PnL'!Q156+'Counter_PnL'!AI156))</x:f>
        <x:v>0</x:v>
      </x:c>
      <x:c r="G156" s="79" t="n">
        <x:f>ABS('Counter_PnL'!AT156-SUM('Counter_PnL'!AO156:'Counter_PnL'!AS156))</x:f>
        <x:v>0</x:v>
      </x:c>
      <x:c r="H156" s="79" t="n">
        <x:f>ABS('Counter_PnL'!AV156-('Counter_PnL'!AK156+'Counter_PnL'!AT156))</x:f>
        <x:v>0</x:v>
      </x:c>
      <x:c r="I156" s="79" t="n">
        <x:f>ABS('Counter_PnL'!BE156-SUM('Counter_PnL'!AX156:'Counter_PnL'!BB156,'Counter_PnL'!BD156))</x:f>
        <x:v>0</x:v>
      </x:c>
      <x:c r="J156" s="79" t="n">
        <x:f>ABS('Counter_PnL'!BL156-SUM('Counter_PnL'!AV156,'Counter_PnL'!BE156,'Counter_PnL'!BJ156,'Counter_PnL'!BK156))</x:f>
        <x:v>0</x:v>
      </x:c>
      <x:c r="K156" s="79" t="n">
        <x:f>ABS('Counter_PnL'!BO156-('Counter_PnL'!BL156+'Counter_PnL'!BN156))</x:f>
        <x:v>0</x:v>
      </x:c>
      <x:c r="L156" s="79" t="n">
        <x:f>MAX(ABS('Counter_PnL'!AW156-'Counter_PnL'!AV156/'Counter_PnL'!AK156),ABS('Counter_PnL'!BM156-'Counter_PnL'!BL156/'Counter_PnL'!AK156),ABS('Counter_PnL'!BP156-'Counter_PnL'!BO156/'Counter_PnL'!AK156))</x:f>
        <x:v>0</x:v>
      </x:c>
      <x:c r="M156" s="30" t="n">
        <x:f>IF(AND('Counter_PnL'!Q156&gt;0,'Counter_PnL'!AK156&gt;0,'Counter_PnL'!R156&lt;=0,'Counter_PnL'!T156&lt;=0,'Counter_PnL'!AT156&lt;=0,'Counter_PnL'!BE156&lt;=0,'Counter_PnL'!BJ156&lt;=0,'Counter_PnL'!BK156&lt;=0,'Counter_PnL'!BN156&lt;=0),0,1)</x:f>
        <x:v>0</x:v>
      </x:c>
    </x:row>
    <x:row r="157">
      <x:c r="A157" t="str">
        <x:f>'Counter_PnL'!D157</x:f>
        <x:v>CNCT0039</x:v>
      </x:c>
      <x:c r="B157" t="str">
        <x:f>'Counter_PnL'!C157</x:f>
        <x:v>2026 S2</x:v>
      </x:c>
      <x:c r="C157" s="30" t="n">
        <x:f>COUNTIFS('Counter_PnL'!$D$2:$D$641,A157,'Counter_PnL'!$C$2:$C$641,B157)</x:f>
        <x:v>1</x:v>
      </x:c>
      <x:c r="D157" s="79" t="n">
        <x:f>ABS('Counter_PnL'!AC157-SUM('Counter_PnL'!V157:'Counter_PnL'!AB157))</x:f>
        <x:v>0</x:v>
      </x:c>
      <x:c r="E157" s="79" t="n">
        <x:f>ABS('Counter_PnL'!AI157-SUM('Counter_PnL'!R157,'Counter_PnL'!T157,'Counter_PnL'!AC157,'Counter_PnL'!AE157,'Counter_PnL'!AG157,'Counter_PnL'!AH157))</x:f>
        <x:v>0</x:v>
      </x:c>
      <x:c r="F157" s="79" t="n">
        <x:f>ABS('Counter_PnL'!AK157-('Counter_PnL'!Q157+'Counter_PnL'!AI157))</x:f>
        <x:v>0</x:v>
      </x:c>
      <x:c r="G157" s="79" t="n">
        <x:f>ABS('Counter_PnL'!AT157-SUM('Counter_PnL'!AO157:'Counter_PnL'!AS157))</x:f>
        <x:v>0</x:v>
      </x:c>
      <x:c r="H157" s="79" t="n">
        <x:f>ABS('Counter_PnL'!AV157-('Counter_PnL'!AK157+'Counter_PnL'!AT157))</x:f>
        <x:v>0</x:v>
      </x:c>
      <x:c r="I157" s="79" t="n">
        <x:f>ABS('Counter_PnL'!BE157-SUM('Counter_PnL'!AX157:'Counter_PnL'!BB157,'Counter_PnL'!BD157))</x:f>
        <x:v>0</x:v>
      </x:c>
      <x:c r="J157" s="79" t="n">
        <x:f>ABS('Counter_PnL'!BL157-SUM('Counter_PnL'!AV157,'Counter_PnL'!BE157,'Counter_PnL'!BJ157,'Counter_PnL'!BK157))</x:f>
        <x:v>0</x:v>
      </x:c>
      <x:c r="K157" s="79" t="n">
        <x:f>ABS('Counter_PnL'!BO157-('Counter_PnL'!BL157+'Counter_PnL'!BN157))</x:f>
        <x:v>0</x:v>
      </x:c>
      <x:c r="L157" s="79" t="n">
        <x:f>MAX(ABS('Counter_PnL'!AW157-'Counter_PnL'!AV157/'Counter_PnL'!AK157),ABS('Counter_PnL'!BM157-'Counter_PnL'!BL157/'Counter_PnL'!AK157),ABS('Counter_PnL'!BP157-'Counter_PnL'!BO157/'Counter_PnL'!AK157))</x:f>
        <x:v>0</x:v>
      </x:c>
      <x:c r="M157" s="30" t="n">
        <x:f>IF(AND('Counter_PnL'!Q157&gt;0,'Counter_PnL'!AK157&gt;0,'Counter_PnL'!R157&lt;=0,'Counter_PnL'!T157&lt;=0,'Counter_PnL'!AT157&lt;=0,'Counter_PnL'!BE157&lt;=0,'Counter_PnL'!BJ157&lt;=0,'Counter_PnL'!BK157&lt;=0,'Counter_PnL'!BN157&lt;=0),0,1)</x:f>
        <x:v>0</x:v>
      </x:c>
    </x:row>
    <x:row r="158">
      <x:c r="A158" t="str">
        <x:f>'Counter_PnL'!D158</x:f>
        <x:v>CNCT0040</x:v>
      </x:c>
      <x:c r="B158" t="str">
        <x:f>'Counter_PnL'!C158</x:f>
        <x:v>2025 S1</x:v>
      </x:c>
      <x:c r="C158" s="30" t="n">
        <x:f>COUNTIFS('Counter_PnL'!$D$2:$D$641,A158,'Counter_PnL'!$C$2:$C$641,B158)</x:f>
        <x:v>1</x:v>
      </x:c>
      <x:c r="D158" s="79" t="n">
        <x:f>ABS('Counter_PnL'!AC158-SUM('Counter_PnL'!V158:'Counter_PnL'!AB158))</x:f>
        <x:v>0</x:v>
      </x:c>
      <x:c r="E158" s="79" t="n">
        <x:f>ABS('Counter_PnL'!AI158-SUM('Counter_PnL'!R158,'Counter_PnL'!T158,'Counter_PnL'!AC158,'Counter_PnL'!AE158,'Counter_PnL'!AG158,'Counter_PnL'!AH158))</x:f>
        <x:v>0</x:v>
      </x:c>
      <x:c r="F158" s="79" t="n">
        <x:f>ABS('Counter_PnL'!AK158-('Counter_PnL'!Q158+'Counter_PnL'!AI158))</x:f>
        <x:v>0</x:v>
      </x:c>
      <x:c r="G158" s="79" t="n">
        <x:f>ABS('Counter_PnL'!AT158-SUM('Counter_PnL'!AO158:'Counter_PnL'!AS158))</x:f>
        <x:v>0</x:v>
      </x:c>
      <x:c r="H158" s="79" t="n">
        <x:f>ABS('Counter_PnL'!AV158-('Counter_PnL'!AK158+'Counter_PnL'!AT158))</x:f>
        <x:v>0</x:v>
      </x:c>
      <x:c r="I158" s="79" t="n">
        <x:f>ABS('Counter_PnL'!BE158-SUM('Counter_PnL'!AX158:'Counter_PnL'!BB158,'Counter_PnL'!BD158))</x:f>
        <x:v>0</x:v>
      </x:c>
      <x:c r="J158" s="79" t="n">
        <x:f>ABS('Counter_PnL'!BL158-SUM('Counter_PnL'!AV158,'Counter_PnL'!BE158,'Counter_PnL'!BJ158,'Counter_PnL'!BK158))</x:f>
        <x:v>0</x:v>
      </x:c>
      <x:c r="K158" s="79" t="n">
        <x:f>ABS('Counter_PnL'!BO158-('Counter_PnL'!BL158+'Counter_PnL'!BN158))</x:f>
        <x:v>0</x:v>
      </x:c>
      <x:c r="L158" s="79" t="n">
        <x:f>MAX(ABS('Counter_PnL'!AW158-'Counter_PnL'!AV158/'Counter_PnL'!AK158),ABS('Counter_PnL'!BM158-'Counter_PnL'!BL158/'Counter_PnL'!AK158),ABS('Counter_PnL'!BP158-'Counter_PnL'!BO158/'Counter_PnL'!AK158))</x:f>
        <x:v>0</x:v>
      </x:c>
      <x:c r="M158" s="30" t="n">
        <x:f>IF(AND('Counter_PnL'!Q158&gt;0,'Counter_PnL'!AK158&gt;0,'Counter_PnL'!R158&lt;=0,'Counter_PnL'!T158&lt;=0,'Counter_PnL'!AT158&lt;=0,'Counter_PnL'!BE158&lt;=0,'Counter_PnL'!BJ158&lt;=0,'Counter_PnL'!BK158&lt;=0,'Counter_PnL'!BN158&lt;=0),0,1)</x:f>
        <x:v>0</x:v>
      </x:c>
    </x:row>
    <x:row r="159">
      <x:c r="A159" t="str">
        <x:f>'Counter_PnL'!D159</x:f>
        <x:v>CNCT0040</x:v>
      </x:c>
      <x:c r="B159" t="str">
        <x:f>'Counter_PnL'!C159</x:f>
        <x:v>2025 S2</x:v>
      </x:c>
      <x:c r="C159" s="30" t="n">
        <x:f>COUNTIFS('Counter_PnL'!$D$2:$D$641,A159,'Counter_PnL'!$C$2:$C$641,B159)</x:f>
        <x:v>1</x:v>
      </x:c>
      <x:c r="D159" s="79" t="n">
        <x:f>ABS('Counter_PnL'!AC159-SUM('Counter_PnL'!V159:'Counter_PnL'!AB159))</x:f>
        <x:v>0</x:v>
      </x:c>
      <x:c r="E159" s="79" t="n">
        <x:f>ABS('Counter_PnL'!AI159-SUM('Counter_PnL'!R159,'Counter_PnL'!T159,'Counter_PnL'!AC159,'Counter_PnL'!AE159,'Counter_PnL'!AG159,'Counter_PnL'!AH159))</x:f>
        <x:v>0</x:v>
      </x:c>
      <x:c r="F159" s="79" t="n">
        <x:f>ABS('Counter_PnL'!AK159-('Counter_PnL'!Q159+'Counter_PnL'!AI159))</x:f>
        <x:v>0</x:v>
      </x:c>
      <x:c r="G159" s="79" t="n">
        <x:f>ABS('Counter_PnL'!AT159-SUM('Counter_PnL'!AO159:'Counter_PnL'!AS159))</x:f>
        <x:v>0</x:v>
      </x:c>
      <x:c r="H159" s="79" t="n">
        <x:f>ABS('Counter_PnL'!AV159-('Counter_PnL'!AK159+'Counter_PnL'!AT159))</x:f>
        <x:v>0</x:v>
      </x:c>
      <x:c r="I159" s="79" t="n">
        <x:f>ABS('Counter_PnL'!BE159-SUM('Counter_PnL'!AX159:'Counter_PnL'!BB159,'Counter_PnL'!BD159))</x:f>
        <x:v>0</x:v>
      </x:c>
      <x:c r="J159" s="79" t="n">
        <x:f>ABS('Counter_PnL'!BL159-SUM('Counter_PnL'!AV159,'Counter_PnL'!BE159,'Counter_PnL'!BJ159,'Counter_PnL'!BK159))</x:f>
        <x:v>0</x:v>
      </x:c>
      <x:c r="K159" s="79" t="n">
        <x:f>ABS('Counter_PnL'!BO159-('Counter_PnL'!BL159+'Counter_PnL'!BN159))</x:f>
        <x:v>0</x:v>
      </x:c>
      <x:c r="L159" s="79" t="n">
        <x:f>MAX(ABS('Counter_PnL'!AW159-'Counter_PnL'!AV159/'Counter_PnL'!AK159),ABS('Counter_PnL'!BM159-'Counter_PnL'!BL159/'Counter_PnL'!AK159),ABS('Counter_PnL'!BP159-'Counter_PnL'!BO159/'Counter_PnL'!AK159))</x:f>
        <x:v>0</x:v>
      </x:c>
      <x:c r="M159" s="30" t="n">
        <x:f>IF(AND('Counter_PnL'!Q159&gt;0,'Counter_PnL'!AK159&gt;0,'Counter_PnL'!R159&lt;=0,'Counter_PnL'!T159&lt;=0,'Counter_PnL'!AT159&lt;=0,'Counter_PnL'!BE159&lt;=0,'Counter_PnL'!BJ159&lt;=0,'Counter_PnL'!BK159&lt;=0,'Counter_PnL'!BN159&lt;=0),0,1)</x:f>
        <x:v>0</x:v>
      </x:c>
    </x:row>
    <x:row r="160">
      <x:c r="A160" t="str">
        <x:f>'Counter_PnL'!D160</x:f>
        <x:v>CNCT0040</x:v>
      </x:c>
      <x:c r="B160" t="str">
        <x:f>'Counter_PnL'!C160</x:f>
        <x:v>2026 S1</x:v>
      </x:c>
      <x:c r="C160" s="30" t="n">
        <x:f>COUNTIFS('Counter_PnL'!$D$2:$D$641,A160,'Counter_PnL'!$C$2:$C$641,B160)</x:f>
        <x:v>1</x:v>
      </x:c>
      <x:c r="D160" s="79" t="n">
        <x:f>ABS('Counter_PnL'!AC160-SUM('Counter_PnL'!V160:'Counter_PnL'!AB160))</x:f>
        <x:v>0</x:v>
      </x:c>
      <x:c r="E160" s="79" t="n">
        <x:f>ABS('Counter_PnL'!AI160-SUM('Counter_PnL'!R160,'Counter_PnL'!T160,'Counter_PnL'!AC160,'Counter_PnL'!AE160,'Counter_PnL'!AG160,'Counter_PnL'!AH160))</x:f>
        <x:v>0</x:v>
      </x:c>
      <x:c r="F160" s="79" t="n">
        <x:f>ABS('Counter_PnL'!AK160-('Counter_PnL'!Q160+'Counter_PnL'!AI160))</x:f>
        <x:v>0</x:v>
      </x:c>
      <x:c r="G160" s="79" t="n">
        <x:f>ABS('Counter_PnL'!AT160-SUM('Counter_PnL'!AO160:'Counter_PnL'!AS160))</x:f>
        <x:v>0</x:v>
      </x:c>
      <x:c r="H160" s="79" t="n">
        <x:f>ABS('Counter_PnL'!AV160-('Counter_PnL'!AK160+'Counter_PnL'!AT160))</x:f>
        <x:v>0</x:v>
      </x:c>
      <x:c r="I160" s="79" t="n">
        <x:f>ABS('Counter_PnL'!BE160-SUM('Counter_PnL'!AX160:'Counter_PnL'!BB160,'Counter_PnL'!BD160))</x:f>
        <x:v>0</x:v>
      </x:c>
      <x:c r="J160" s="79" t="n">
        <x:f>ABS('Counter_PnL'!BL160-SUM('Counter_PnL'!AV160,'Counter_PnL'!BE160,'Counter_PnL'!BJ160,'Counter_PnL'!BK160))</x:f>
        <x:v>0</x:v>
      </x:c>
      <x:c r="K160" s="79" t="n">
        <x:f>ABS('Counter_PnL'!BO160-('Counter_PnL'!BL160+'Counter_PnL'!BN160))</x:f>
        <x:v>0</x:v>
      </x:c>
      <x:c r="L160" s="79" t="n">
        <x:f>MAX(ABS('Counter_PnL'!AW160-'Counter_PnL'!AV160/'Counter_PnL'!AK160),ABS('Counter_PnL'!BM160-'Counter_PnL'!BL160/'Counter_PnL'!AK160),ABS('Counter_PnL'!BP160-'Counter_PnL'!BO160/'Counter_PnL'!AK160))</x:f>
        <x:v>0</x:v>
      </x:c>
      <x:c r="M160" s="30" t="n">
        <x:f>IF(AND('Counter_PnL'!Q160&gt;0,'Counter_PnL'!AK160&gt;0,'Counter_PnL'!R160&lt;=0,'Counter_PnL'!T160&lt;=0,'Counter_PnL'!AT160&lt;=0,'Counter_PnL'!BE160&lt;=0,'Counter_PnL'!BJ160&lt;=0,'Counter_PnL'!BK160&lt;=0,'Counter_PnL'!BN160&lt;=0),0,1)</x:f>
        <x:v>0</x:v>
      </x:c>
    </x:row>
    <x:row r="161">
      <x:c r="A161" t="str">
        <x:f>'Counter_PnL'!D161</x:f>
        <x:v>CNCT0040</x:v>
      </x:c>
      <x:c r="B161" t="str">
        <x:f>'Counter_PnL'!C161</x:f>
        <x:v>2026 S2</x:v>
      </x:c>
      <x:c r="C161" s="30" t="n">
        <x:f>COUNTIFS('Counter_PnL'!$D$2:$D$641,A161,'Counter_PnL'!$C$2:$C$641,B161)</x:f>
        <x:v>1</x:v>
      </x:c>
      <x:c r="D161" s="79" t="n">
        <x:f>ABS('Counter_PnL'!AC161-SUM('Counter_PnL'!V161:'Counter_PnL'!AB161))</x:f>
        <x:v>0</x:v>
      </x:c>
      <x:c r="E161" s="79" t="n">
        <x:f>ABS('Counter_PnL'!AI161-SUM('Counter_PnL'!R161,'Counter_PnL'!T161,'Counter_PnL'!AC161,'Counter_PnL'!AE161,'Counter_PnL'!AG161,'Counter_PnL'!AH161))</x:f>
        <x:v>0</x:v>
      </x:c>
      <x:c r="F161" s="79" t="n">
        <x:f>ABS('Counter_PnL'!AK161-('Counter_PnL'!Q161+'Counter_PnL'!AI161))</x:f>
        <x:v>0</x:v>
      </x:c>
      <x:c r="G161" s="79" t="n">
        <x:f>ABS('Counter_PnL'!AT161-SUM('Counter_PnL'!AO161:'Counter_PnL'!AS161))</x:f>
        <x:v>0</x:v>
      </x:c>
      <x:c r="H161" s="79" t="n">
        <x:f>ABS('Counter_PnL'!AV161-('Counter_PnL'!AK161+'Counter_PnL'!AT161))</x:f>
        <x:v>0</x:v>
      </x:c>
      <x:c r="I161" s="79" t="n">
        <x:f>ABS('Counter_PnL'!BE161-SUM('Counter_PnL'!AX161:'Counter_PnL'!BB161,'Counter_PnL'!BD161))</x:f>
        <x:v>0</x:v>
      </x:c>
      <x:c r="J161" s="79" t="n">
        <x:f>ABS('Counter_PnL'!BL161-SUM('Counter_PnL'!AV161,'Counter_PnL'!BE161,'Counter_PnL'!BJ161,'Counter_PnL'!BK161))</x:f>
        <x:v>0</x:v>
      </x:c>
      <x:c r="K161" s="79" t="n">
        <x:f>ABS('Counter_PnL'!BO161-('Counter_PnL'!BL161+'Counter_PnL'!BN161))</x:f>
        <x:v>0</x:v>
      </x:c>
      <x:c r="L161" s="79" t="n">
        <x:f>MAX(ABS('Counter_PnL'!AW161-'Counter_PnL'!AV161/'Counter_PnL'!AK161),ABS('Counter_PnL'!BM161-'Counter_PnL'!BL161/'Counter_PnL'!AK161),ABS('Counter_PnL'!BP161-'Counter_PnL'!BO161/'Counter_PnL'!AK161))</x:f>
        <x:v>0</x:v>
      </x:c>
      <x:c r="M161" s="30" t="n">
        <x:f>IF(AND('Counter_PnL'!Q161&gt;0,'Counter_PnL'!AK161&gt;0,'Counter_PnL'!R161&lt;=0,'Counter_PnL'!T161&lt;=0,'Counter_PnL'!AT161&lt;=0,'Counter_PnL'!BE161&lt;=0,'Counter_PnL'!BJ161&lt;=0,'Counter_PnL'!BK161&lt;=0,'Counter_PnL'!BN161&lt;=0),0,1)</x:f>
        <x:v>0</x:v>
      </x:c>
    </x:row>
    <x:row r="162">
      <x:c r="A162" t="str">
        <x:f>'Counter_PnL'!D162</x:f>
        <x:v>CNCT0041</x:v>
      </x:c>
      <x:c r="B162" t="str">
        <x:f>'Counter_PnL'!C162</x:f>
        <x:v>2025 S1</x:v>
      </x:c>
      <x:c r="C162" s="30" t="n">
        <x:f>COUNTIFS('Counter_PnL'!$D$2:$D$641,A162,'Counter_PnL'!$C$2:$C$641,B162)</x:f>
        <x:v>1</x:v>
      </x:c>
      <x:c r="D162" s="79" t="n">
        <x:f>ABS('Counter_PnL'!AC162-SUM('Counter_PnL'!V162:'Counter_PnL'!AB162))</x:f>
        <x:v>0</x:v>
      </x:c>
      <x:c r="E162" s="79" t="n">
        <x:f>ABS('Counter_PnL'!AI162-SUM('Counter_PnL'!R162,'Counter_PnL'!T162,'Counter_PnL'!AC162,'Counter_PnL'!AE162,'Counter_PnL'!AG162,'Counter_PnL'!AH162))</x:f>
        <x:v>0</x:v>
      </x:c>
      <x:c r="F162" s="79" t="n">
        <x:f>ABS('Counter_PnL'!AK162-('Counter_PnL'!Q162+'Counter_PnL'!AI162))</x:f>
        <x:v>0</x:v>
      </x:c>
      <x:c r="G162" s="79" t="n">
        <x:f>ABS('Counter_PnL'!AT162-SUM('Counter_PnL'!AO162:'Counter_PnL'!AS162))</x:f>
        <x:v>0</x:v>
      </x:c>
      <x:c r="H162" s="79" t="n">
        <x:f>ABS('Counter_PnL'!AV162-('Counter_PnL'!AK162+'Counter_PnL'!AT162))</x:f>
        <x:v>0</x:v>
      </x:c>
      <x:c r="I162" s="79" t="n">
        <x:f>ABS('Counter_PnL'!BE162-SUM('Counter_PnL'!AX162:'Counter_PnL'!BB162,'Counter_PnL'!BD162))</x:f>
        <x:v>0</x:v>
      </x:c>
      <x:c r="J162" s="79" t="n">
        <x:f>ABS('Counter_PnL'!BL162-SUM('Counter_PnL'!AV162,'Counter_PnL'!BE162,'Counter_PnL'!BJ162,'Counter_PnL'!BK162))</x:f>
        <x:v>0</x:v>
      </x:c>
      <x:c r="K162" s="79" t="n">
        <x:f>ABS('Counter_PnL'!BO162-('Counter_PnL'!BL162+'Counter_PnL'!BN162))</x:f>
        <x:v>0</x:v>
      </x:c>
      <x:c r="L162" s="79" t="n">
        <x:f>MAX(ABS('Counter_PnL'!AW162-'Counter_PnL'!AV162/'Counter_PnL'!AK162),ABS('Counter_PnL'!BM162-'Counter_PnL'!BL162/'Counter_PnL'!AK162),ABS('Counter_PnL'!BP162-'Counter_PnL'!BO162/'Counter_PnL'!AK162))</x:f>
        <x:v>0</x:v>
      </x:c>
      <x:c r="M162" s="30" t="n">
        <x:f>IF(AND('Counter_PnL'!Q162&gt;0,'Counter_PnL'!AK162&gt;0,'Counter_PnL'!R162&lt;=0,'Counter_PnL'!T162&lt;=0,'Counter_PnL'!AT162&lt;=0,'Counter_PnL'!BE162&lt;=0,'Counter_PnL'!BJ162&lt;=0,'Counter_PnL'!BK162&lt;=0,'Counter_PnL'!BN162&lt;=0),0,1)</x:f>
        <x:v>0</x:v>
      </x:c>
    </x:row>
    <x:row r="163">
      <x:c r="A163" t="str">
        <x:f>'Counter_PnL'!D163</x:f>
        <x:v>CNCT0041</x:v>
      </x:c>
      <x:c r="B163" t="str">
        <x:f>'Counter_PnL'!C163</x:f>
        <x:v>2025 S2</x:v>
      </x:c>
      <x:c r="C163" s="30" t="n">
        <x:f>COUNTIFS('Counter_PnL'!$D$2:$D$641,A163,'Counter_PnL'!$C$2:$C$641,B163)</x:f>
        <x:v>1</x:v>
      </x:c>
      <x:c r="D163" s="79" t="n">
        <x:f>ABS('Counter_PnL'!AC163-SUM('Counter_PnL'!V163:'Counter_PnL'!AB163))</x:f>
        <x:v>0</x:v>
      </x:c>
      <x:c r="E163" s="79" t="n">
        <x:f>ABS('Counter_PnL'!AI163-SUM('Counter_PnL'!R163,'Counter_PnL'!T163,'Counter_PnL'!AC163,'Counter_PnL'!AE163,'Counter_PnL'!AG163,'Counter_PnL'!AH163))</x:f>
        <x:v>0</x:v>
      </x:c>
      <x:c r="F163" s="79" t="n">
        <x:f>ABS('Counter_PnL'!AK163-('Counter_PnL'!Q163+'Counter_PnL'!AI163))</x:f>
        <x:v>0</x:v>
      </x:c>
      <x:c r="G163" s="79" t="n">
        <x:f>ABS('Counter_PnL'!AT163-SUM('Counter_PnL'!AO163:'Counter_PnL'!AS163))</x:f>
        <x:v>0</x:v>
      </x:c>
      <x:c r="H163" s="79" t="n">
        <x:f>ABS('Counter_PnL'!AV163-('Counter_PnL'!AK163+'Counter_PnL'!AT163))</x:f>
        <x:v>0</x:v>
      </x:c>
      <x:c r="I163" s="79" t="n">
        <x:f>ABS('Counter_PnL'!BE163-SUM('Counter_PnL'!AX163:'Counter_PnL'!BB163,'Counter_PnL'!BD163))</x:f>
        <x:v>0</x:v>
      </x:c>
      <x:c r="J163" s="79" t="n">
        <x:f>ABS('Counter_PnL'!BL163-SUM('Counter_PnL'!AV163,'Counter_PnL'!BE163,'Counter_PnL'!BJ163,'Counter_PnL'!BK163))</x:f>
        <x:v>0</x:v>
      </x:c>
      <x:c r="K163" s="79" t="n">
        <x:f>ABS('Counter_PnL'!BO163-('Counter_PnL'!BL163+'Counter_PnL'!BN163))</x:f>
        <x:v>0</x:v>
      </x:c>
      <x:c r="L163" s="79" t="n">
        <x:f>MAX(ABS('Counter_PnL'!AW163-'Counter_PnL'!AV163/'Counter_PnL'!AK163),ABS('Counter_PnL'!BM163-'Counter_PnL'!BL163/'Counter_PnL'!AK163),ABS('Counter_PnL'!BP163-'Counter_PnL'!BO163/'Counter_PnL'!AK163))</x:f>
        <x:v>0</x:v>
      </x:c>
      <x:c r="M163" s="30" t="n">
        <x:f>IF(AND('Counter_PnL'!Q163&gt;0,'Counter_PnL'!AK163&gt;0,'Counter_PnL'!R163&lt;=0,'Counter_PnL'!T163&lt;=0,'Counter_PnL'!AT163&lt;=0,'Counter_PnL'!BE163&lt;=0,'Counter_PnL'!BJ163&lt;=0,'Counter_PnL'!BK163&lt;=0,'Counter_PnL'!BN163&lt;=0),0,1)</x:f>
        <x:v>0</x:v>
      </x:c>
    </x:row>
    <x:row r="164">
      <x:c r="A164" t="str">
        <x:f>'Counter_PnL'!D164</x:f>
        <x:v>CNCT0041</x:v>
      </x:c>
      <x:c r="B164" t="str">
        <x:f>'Counter_PnL'!C164</x:f>
        <x:v>2026 S1</x:v>
      </x:c>
      <x:c r="C164" s="30" t="n">
        <x:f>COUNTIFS('Counter_PnL'!$D$2:$D$641,A164,'Counter_PnL'!$C$2:$C$641,B164)</x:f>
        <x:v>1</x:v>
      </x:c>
      <x:c r="D164" s="79" t="n">
        <x:f>ABS('Counter_PnL'!AC164-SUM('Counter_PnL'!V164:'Counter_PnL'!AB164))</x:f>
        <x:v>0</x:v>
      </x:c>
      <x:c r="E164" s="79" t="n">
        <x:f>ABS('Counter_PnL'!AI164-SUM('Counter_PnL'!R164,'Counter_PnL'!T164,'Counter_PnL'!AC164,'Counter_PnL'!AE164,'Counter_PnL'!AG164,'Counter_PnL'!AH164))</x:f>
        <x:v>0</x:v>
      </x:c>
      <x:c r="F164" s="79" t="n">
        <x:f>ABS('Counter_PnL'!AK164-('Counter_PnL'!Q164+'Counter_PnL'!AI164))</x:f>
        <x:v>0</x:v>
      </x:c>
      <x:c r="G164" s="79" t="n">
        <x:f>ABS('Counter_PnL'!AT164-SUM('Counter_PnL'!AO164:'Counter_PnL'!AS164))</x:f>
        <x:v>0</x:v>
      </x:c>
      <x:c r="H164" s="79" t="n">
        <x:f>ABS('Counter_PnL'!AV164-('Counter_PnL'!AK164+'Counter_PnL'!AT164))</x:f>
        <x:v>0</x:v>
      </x:c>
      <x:c r="I164" s="79" t="n">
        <x:f>ABS('Counter_PnL'!BE164-SUM('Counter_PnL'!AX164:'Counter_PnL'!BB164,'Counter_PnL'!BD164))</x:f>
        <x:v>0</x:v>
      </x:c>
      <x:c r="J164" s="79" t="n">
        <x:f>ABS('Counter_PnL'!BL164-SUM('Counter_PnL'!AV164,'Counter_PnL'!BE164,'Counter_PnL'!BJ164,'Counter_PnL'!BK164))</x:f>
        <x:v>0</x:v>
      </x:c>
      <x:c r="K164" s="79" t="n">
        <x:f>ABS('Counter_PnL'!BO164-('Counter_PnL'!BL164+'Counter_PnL'!BN164))</x:f>
        <x:v>0</x:v>
      </x:c>
      <x:c r="L164" s="79" t="n">
        <x:f>MAX(ABS('Counter_PnL'!AW164-'Counter_PnL'!AV164/'Counter_PnL'!AK164),ABS('Counter_PnL'!BM164-'Counter_PnL'!BL164/'Counter_PnL'!AK164),ABS('Counter_PnL'!BP164-'Counter_PnL'!BO164/'Counter_PnL'!AK164))</x:f>
        <x:v>0</x:v>
      </x:c>
      <x:c r="M164" s="30" t="n">
        <x:f>IF(AND('Counter_PnL'!Q164&gt;0,'Counter_PnL'!AK164&gt;0,'Counter_PnL'!R164&lt;=0,'Counter_PnL'!T164&lt;=0,'Counter_PnL'!AT164&lt;=0,'Counter_PnL'!BE164&lt;=0,'Counter_PnL'!BJ164&lt;=0,'Counter_PnL'!BK164&lt;=0,'Counter_PnL'!BN164&lt;=0),0,1)</x:f>
        <x:v>0</x:v>
      </x:c>
    </x:row>
    <x:row r="165">
      <x:c r="A165" t="str">
        <x:f>'Counter_PnL'!D165</x:f>
        <x:v>CNCT0041</x:v>
      </x:c>
      <x:c r="B165" t="str">
        <x:f>'Counter_PnL'!C165</x:f>
        <x:v>2026 S2</x:v>
      </x:c>
      <x:c r="C165" s="30" t="n">
        <x:f>COUNTIFS('Counter_PnL'!$D$2:$D$641,A165,'Counter_PnL'!$C$2:$C$641,B165)</x:f>
        <x:v>1</x:v>
      </x:c>
      <x:c r="D165" s="79" t="n">
        <x:f>ABS('Counter_PnL'!AC165-SUM('Counter_PnL'!V165:'Counter_PnL'!AB165))</x:f>
        <x:v>0</x:v>
      </x:c>
      <x:c r="E165" s="79" t="n">
        <x:f>ABS('Counter_PnL'!AI165-SUM('Counter_PnL'!R165,'Counter_PnL'!T165,'Counter_PnL'!AC165,'Counter_PnL'!AE165,'Counter_PnL'!AG165,'Counter_PnL'!AH165))</x:f>
        <x:v>0</x:v>
      </x:c>
      <x:c r="F165" s="79" t="n">
        <x:f>ABS('Counter_PnL'!AK165-('Counter_PnL'!Q165+'Counter_PnL'!AI165))</x:f>
        <x:v>0</x:v>
      </x:c>
      <x:c r="G165" s="79" t="n">
        <x:f>ABS('Counter_PnL'!AT165-SUM('Counter_PnL'!AO165:'Counter_PnL'!AS165))</x:f>
        <x:v>0</x:v>
      </x:c>
      <x:c r="H165" s="79" t="n">
        <x:f>ABS('Counter_PnL'!AV165-('Counter_PnL'!AK165+'Counter_PnL'!AT165))</x:f>
        <x:v>0</x:v>
      </x:c>
      <x:c r="I165" s="79" t="n">
        <x:f>ABS('Counter_PnL'!BE165-SUM('Counter_PnL'!AX165:'Counter_PnL'!BB165,'Counter_PnL'!BD165))</x:f>
        <x:v>0</x:v>
      </x:c>
      <x:c r="J165" s="79" t="n">
        <x:f>ABS('Counter_PnL'!BL165-SUM('Counter_PnL'!AV165,'Counter_PnL'!BE165,'Counter_PnL'!BJ165,'Counter_PnL'!BK165))</x:f>
        <x:v>0</x:v>
      </x:c>
      <x:c r="K165" s="79" t="n">
        <x:f>ABS('Counter_PnL'!BO165-('Counter_PnL'!BL165+'Counter_PnL'!BN165))</x:f>
        <x:v>0</x:v>
      </x:c>
      <x:c r="L165" s="79" t="n">
        <x:f>MAX(ABS('Counter_PnL'!AW165-'Counter_PnL'!AV165/'Counter_PnL'!AK165),ABS('Counter_PnL'!BM165-'Counter_PnL'!BL165/'Counter_PnL'!AK165),ABS('Counter_PnL'!BP165-'Counter_PnL'!BO165/'Counter_PnL'!AK165))</x:f>
        <x:v>0</x:v>
      </x:c>
      <x:c r="M165" s="30" t="n">
        <x:f>IF(AND('Counter_PnL'!Q165&gt;0,'Counter_PnL'!AK165&gt;0,'Counter_PnL'!R165&lt;=0,'Counter_PnL'!T165&lt;=0,'Counter_PnL'!AT165&lt;=0,'Counter_PnL'!BE165&lt;=0,'Counter_PnL'!BJ165&lt;=0,'Counter_PnL'!BK165&lt;=0,'Counter_PnL'!BN165&lt;=0),0,1)</x:f>
        <x:v>0</x:v>
      </x:c>
    </x:row>
    <x:row r="166">
      <x:c r="A166" t="str">
        <x:f>'Counter_PnL'!D166</x:f>
        <x:v>CNCT0042</x:v>
      </x:c>
      <x:c r="B166" t="str">
        <x:f>'Counter_PnL'!C166</x:f>
        <x:v>2025 S1</x:v>
      </x:c>
      <x:c r="C166" s="30" t="n">
        <x:f>COUNTIFS('Counter_PnL'!$D$2:$D$641,A166,'Counter_PnL'!$C$2:$C$641,B166)</x:f>
        <x:v>1</x:v>
      </x:c>
      <x:c r="D166" s="79" t="n">
        <x:f>ABS('Counter_PnL'!AC166-SUM('Counter_PnL'!V166:'Counter_PnL'!AB166))</x:f>
        <x:v>0</x:v>
      </x:c>
      <x:c r="E166" s="79" t="n">
        <x:f>ABS('Counter_PnL'!AI166-SUM('Counter_PnL'!R166,'Counter_PnL'!T166,'Counter_PnL'!AC166,'Counter_PnL'!AE166,'Counter_PnL'!AG166,'Counter_PnL'!AH166))</x:f>
        <x:v>0</x:v>
      </x:c>
      <x:c r="F166" s="79" t="n">
        <x:f>ABS('Counter_PnL'!AK166-('Counter_PnL'!Q166+'Counter_PnL'!AI166))</x:f>
        <x:v>0</x:v>
      </x:c>
      <x:c r="G166" s="79" t="n">
        <x:f>ABS('Counter_PnL'!AT166-SUM('Counter_PnL'!AO166:'Counter_PnL'!AS166))</x:f>
        <x:v>0</x:v>
      </x:c>
      <x:c r="H166" s="79" t="n">
        <x:f>ABS('Counter_PnL'!AV166-('Counter_PnL'!AK166+'Counter_PnL'!AT166))</x:f>
        <x:v>0</x:v>
      </x:c>
      <x:c r="I166" s="79" t="n">
        <x:f>ABS('Counter_PnL'!BE166-SUM('Counter_PnL'!AX166:'Counter_PnL'!BB166,'Counter_PnL'!BD166))</x:f>
        <x:v>0</x:v>
      </x:c>
      <x:c r="J166" s="79" t="n">
        <x:f>ABS('Counter_PnL'!BL166-SUM('Counter_PnL'!AV166,'Counter_PnL'!BE166,'Counter_PnL'!BJ166,'Counter_PnL'!BK166))</x:f>
        <x:v>0</x:v>
      </x:c>
      <x:c r="K166" s="79" t="n">
        <x:f>ABS('Counter_PnL'!BO166-('Counter_PnL'!BL166+'Counter_PnL'!BN166))</x:f>
        <x:v>0</x:v>
      </x:c>
      <x:c r="L166" s="79" t="n">
        <x:f>MAX(ABS('Counter_PnL'!AW166-'Counter_PnL'!AV166/'Counter_PnL'!AK166),ABS('Counter_PnL'!BM166-'Counter_PnL'!BL166/'Counter_PnL'!AK166),ABS('Counter_PnL'!BP166-'Counter_PnL'!BO166/'Counter_PnL'!AK166))</x:f>
        <x:v>0</x:v>
      </x:c>
      <x:c r="M166" s="30" t="n">
        <x:f>IF(AND('Counter_PnL'!Q166&gt;0,'Counter_PnL'!AK166&gt;0,'Counter_PnL'!R166&lt;=0,'Counter_PnL'!T166&lt;=0,'Counter_PnL'!AT166&lt;=0,'Counter_PnL'!BE166&lt;=0,'Counter_PnL'!BJ166&lt;=0,'Counter_PnL'!BK166&lt;=0,'Counter_PnL'!BN166&lt;=0),0,1)</x:f>
        <x:v>0</x:v>
      </x:c>
    </x:row>
    <x:row r="167">
      <x:c r="A167" t="str">
        <x:f>'Counter_PnL'!D167</x:f>
        <x:v>CNCT0042</x:v>
      </x:c>
      <x:c r="B167" t="str">
        <x:f>'Counter_PnL'!C167</x:f>
        <x:v>2025 S2</x:v>
      </x:c>
      <x:c r="C167" s="30" t="n">
        <x:f>COUNTIFS('Counter_PnL'!$D$2:$D$641,A167,'Counter_PnL'!$C$2:$C$641,B167)</x:f>
        <x:v>1</x:v>
      </x:c>
      <x:c r="D167" s="79" t="n">
        <x:f>ABS('Counter_PnL'!AC167-SUM('Counter_PnL'!V167:'Counter_PnL'!AB167))</x:f>
        <x:v>0</x:v>
      </x:c>
      <x:c r="E167" s="79" t="n">
        <x:f>ABS('Counter_PnL'!AI167-SUM('Counter_PnL'!R167,'Counter_PnL'!T167,'Counter_PnL'!AC167,'Counter_PnL'!AE167,'Counter_PnL'!AG167,'Counter_PnL'!AH167))</x:f>
        <x:v>0</x:v>
      </x:c>
      <x:c r="F167" s="79" t="n">
        <x:f>ABS('Counter_PnL'!AK167-('Counter_PnL'!Q167+'Counter_PnL'!AI167))</x:f>
        <x:v>0</x:v>
      </x:c>
      <x:c r="G167" s="79" t="n">
        <x:f>ABS('Counter_PnL'!AT167-SUM('Counter_PnL'!AO167:'Counter_PnL'!AS167))</x:f>
        <x:v>0</x:v>
      </x:c>
      <x:c r="H167" s="79" t="n">
        <x:f>ABS('Counter_PnL'!AV167-('Counter_PnL'!AK167+'Counter_PnL'!AT167))</x:f>
        <x:v>0</x:v>
      </x:c>
      <x:c r="I167" s="79" t="n">
        <x:f>ABS('Counter_PnL'!BE167-SUM('Counter_PnL'!AX167:'Counter_PnL'!BB167,'Counter_PnL'!BD167))</x:f>
        <x:v>0</x:v>
      </x:c>
      <x:c r="J167" s="79" t="n">
        <x:f>ABS('Counter_PnL'!BL167-SUM('Counter_PnL'!AV167,'Counter_PnL'!BE167,'Counter_PnL'!BJ167,'Counter_PnL'!BK167))</x:f>
        <x:v>0</x:v>
      </x:c>
      <x:c r="K167" s="79" t="n">
        <x:f>ABS('Counter_PnL'!BO167-('Counter_PnL'!BL167+'Counter_PnL'!BN167))</x:f>
        <x:v>0</x:v>
      </x:c>
      <x:c r="L167" s="79" t="n">
        <x:f>MAX(ABS('Counter_PnL'!AW167-'Counter_PnL'!AV167/'Counter_PnL'!AK167),ABS('Counter_PnL'!BM167-'Counter_PnL'!BL167/'Counter_PnL'!AK167),ABS('Counter_PnL'!BP167-'Counter_PnL'!BO167/'Counter_PnL'!AK167))</x:f>
        <x:v>0</x:v>
      </x:c>
      <x:c r="M167" s="30" t="n">
        <x:f>IF(AND('Counter_PnL'!Q167&gt;0,'Counter_PnL'!AK167&gt;0,'Counter_PnL'!R167&lt;=0,'Counter_PnL'!T167&lt;=0,'Counter_PnL'!AT167&lt;=0,'Counter_PnL'!BE167&lt;=0,'Counter_PnL'!BJ167&lt;=0,'Counter_PnL'!BK167&lt;=0,'Counter_PnL'!BN167&lt;=0),0,1)</x:f>
        <x:v>0</x:v>
      </x:c>
    </x:row>
    <x:row r="168">
      <x:c r="A168" t="str">
        <x:f>'Counter_PnL'!D168</x:f>
        <x:v>CNCT0042</x:v>
      </x:c>
      <x:c r="B168" t="str">
        <x:f>'Counter_PnL'!C168</x:f>
        <x:v>2026 S1</x:v>
      </x:c>
      <x:c r="C168" s="30" t="n">
        <x:f>COUNTIFS('Counter_PnL'!$D$2:$D$641,A168,'Counter_PnL'!$C$2:$C$641,B168)</x:f>
        <x:v>1</x:v>
      </x:c>
      <x:c r="D168" s="79" t="n">
        <x:f>ABS('Counter_PnL'!AC168-SUM('Counter_PnL'!V168:'Counter_PnL'!AB168))</x:f>
        <x:v>0</x:v>
      </x:c>
      <x:c r="E168" s="79" t="n">
        <x:f>ABS('Counter_PnL'!AI168-SUM('Counter_PnL'!R168,'Counter_PnL'!T168,'Counter_PnL'!AC168,'Counter_PnL'!AE168,'Counter_PnL'!AG168,'Counter_PnL'!AH168))</x:f>
        <x:v>0</x:v>
      </x:c>
      <x:c r="F168" s="79" t="n">
        <x:f>ABS('Counter_PnL'!AK168-('Counter_PnL'!Q168+'Counter_PnL'!AI168))</x:f>
        <x:v>0</x:v>
      </x:c>
      <x:c r="G168" s="79" t="n">
        <x:f>ABS('Counter_PnL'!AT168-SUM('Counter_PnL'!AO168:'Counter_PnL'!AS168))</x:f>
        <x:v>0</x:v>
      </x:c>
      <x:c r="H168" s="79" t="n">
        <x:f>ABS('Counter_PnL'!AV168-('Counter_PnL'!AK168+'Counter_PnL'!AT168))</x:f>
        <x:v>0</x:v>
      </x:c>
      <x:c r="I168" s="79" t="n">
        <x:f>ABS('Counter_PnL'!BE168-SUM('Counter_PnL'!AX168:'Counter_PnL'!BB168,'Counter_PnL'!BD168))</x:f>
        <x:v>0</x:v>
      </x:c>
      <x:c r="J168" s="79" t="n">
        <x:f>ABS('Counter_PnL'!BL168-SUM('Counter_PnL'!AV168,'Counter_PnL'!BE168,'Counter_PnL'!BJ168,'Counter_PnL'!BK168))</x:f>
        <x:v>0</x:v>
      </x:c>
      <x:c r="K168" s="79" t="n">
        <x:f>ABS('Counter_PnL'!BO168-('Counter_PnL'!BL168+'Counter_PnL'!BN168))</x:f>
        <x:v>0</x:v>
      </x:c>
      <x:c r="L168" s="79" t="n">
        <x:f>MAX(ABS('Counter_PnL'!AW168-'Counter_PnL'!AV168/'Counter_PnL'!AK168),ABS('Counter_PnL'!BM168-'Counter_PnL'!BL168/'Counter_PnL'!AK168),ABS('Counter_PnL'!BP168-'Counter_PnL'!BO168/'Counter_PnL'!AK168))</x:f>
        <x:v>0</x:v>
      </x:c>
      <x:c r="M168" s="30" t="n">
        <x:f>IF(AND('Counter_PnL'!Q168&gt;0,'Counter_PnL'!AK168&gt;0,'Counter_PnL'!R168&lt;=0,'Counter_PnL'!T168&lt;=0,'Counter_PnL'!AT168&lt;=0,'Counter_PnL'!BE168&lt;=0,'Counter_PnL'!BJ168&lt;=0,'Counter_PnL'!BK168&lt;=0,'Counter_PnL'!BN168&lt;=0),0,1)</x:f>
        <x:v>0</x:v>
      </x:c>
    </x:row>
    <x:row r="169">
      <x:c r="A169" t="str">
        <x:f>'Counter_PnL'!D169</x:f>
        <x:v>CNCT0042</x:v>
      </x:c>
      <x:c r="B169" t="str">
        <x:f>'Counter_PnL'!C169</x:f>
        <x:v>2026 S2</x:v>
      </x:c>
      <x:c r="C169" s="30" t="n">
        <x:f>COUNTIFS('Counter_PnL'!$D$2:$D$641,A169,'Counter_PnL'!$C$2:$C$641,B169)</x:f>
        <x:v>1</x:v>
      </x:c>
      <x:c r="D169" s="79" t="n">
        <x:f>ABS('Counter_PnL'!AC169-SUM('Counter_PnL'!V169:'Counter_PnL'!AB169))</x:f>
        <x:v>0</x:v>
      </x:c>
      <x:c r="E169" s="79" t="n">
        <x:f>ABS('Counter_PnL'!AI169-SUM('Counter_PnL'!R169,'Counter_PnL'!T169,'Counter_PnL'!AC169,'Counter_PnL'!AE169,'Counter_PnL'!AG169,'Counter_PnL'!AH169))</x:f>
        <x:v>0</x:v>
      </x:c>
      <x:c r="F169" s="79" t="n">
        <x:f>ABS('Counter_PnL'!AK169-('Counter_PnL'!Q169+'Counter_PnL'!AI169))</x:f>
        <x:v>0</x:v>
      </x:c>
      <x:c r="G169" s="79" t="n">
        <x:f>ABS('Counter_PnL'!AT169-SUM('Counter_PnL'!AO169:'Counter_PnL'!AS169))</x:f>
        <x:v>0</x:v>
      </x:c>
      <x:c r="H169" s="79" t="n">
        <x:f>ABS('Counter_PnL'!AV169-('Counter_PnL'!AK169+'Counter_PnL'!AT169))</x:f>
        <x:v>0</x:v>
      </x:c>
      <x:c r="I169" s="79" t="n">
        <x:f>ABS('Counter_PnL'!BE169-SUM('Counter_PnL'!AX169:'Counter_PnL'!BB169,'Counter_PnL'!BD169))</x:f>
        <x:v>0</x:v>
      </x:c>
      <x:c r="J169" s="79" t="n">
        <x:f>ABS('Counter_PnL'!BL169-SUM('Counter_PnL'!AV169,'Counter_PnL'!BE169,'Counter_PnL'!BJ169,'Counter_PnL'!BK169))</x:f>
        <x:v>0</x:v>
      </x:c>
      <x:c r="K169" s="79" t="n">
        <x:f>ABS('Counter_PnL'!BO169-('Counter_PnL'!BL169+'Counter_PnL'!BN169))</x:f>
        <x:v>0</x:v>
      </x:c>
      <x:c r="L169" s="79" t="n">
        <x:f>MAX(ABS('Counter_PnL'!AW169-'Counter_PnL'!AV169/'Counter_PnL'!AK169),ABS('Counter_PnL'!BM169-'Counter_PnL'!BL169/'Counter_PnL'!AK169),ABS('Counter_PnL'!BP169-'Counter_PnL'!BO169/'Counter_PnL'!AK169))</x:f>
        <x:v>0</x:v>
      </x:c>
      <x:c r="M169" s="30" t="n">
        <x:f>IF(AND('Counter_PnL'!Q169&gt;0,'Counter_PnL'!AK169&gt;0,'Counter_PnL'!R169&lt;=0,'Counter_PnL'!T169&lt;=0,'Counter_PnL'!AT169&lt;=0,'Counter_PnL'!BE169&lt;=0,'Counter_PnL'!BJ169&lt;=0,'Counter_PnL'!BK169&lt;=0,'Counter_PnL'!BN169&lt;=0),0,1)</x:f>
        <x:v>0</x:v>
      </x:c>
    </x:row>
    <x:row r="170">
      <x:c r="A170" t="str">
        <x:f>'Counter_PnL'!D170</x:f>
        <x:v>CNCT0043</x:v>
      </x:c>
      <x:c r="B170" t="str">
        <x:f>'Counter_PnL'!C170</x:f>
        <x:v>2025 S1</x:v>
      </x:c>
      <x:c r="C170" s="30" t="n">
        <x:f>COUNTIFS('Counter_PnL'!$D$2:$D$641,A170,'Counter_PnL'!$C$2:$C$641,B170)</x:f>
        <x:v>1</x:v>
      </x:c>
      <x:c r="D170" s="79" t="n">
        <x:f>ABS('Counter_PnL'!AC170-SUM('Counter_PnL'!V170:'Counter_PnL'!AB170))</x:f>
        <x:v>0</x:v>
      </x:c>
      <x:c r="E170" s="79" t="n">
        <x:f>ABS('Counter_PnL'!AI170-SUM('Counter_PnL'!R170,'Counter_PnL'!T170,'Counter_PnL'!AC170,'Counter_PnL'!AE170,'Counter_PnL'!AG170,'Counter_PnL'!AH170))</x:f>
        <x:v>0</x:v>
      </x:c>
      <x:c r="F170" s="79" t="n">
        <x:f>ABS('Counter_PnL'!AK170-('Counter_PnL'!Q170+'Counter_PnL'!AI170))</x:f>
        <x:v>0</x:v>
      </x:c>
      <x:c r="G170" s="79" t="n">
        <x:f>ABS('Counter_PnL'!AT170-SUM('Counter_PnL'!AO170:'Counter_PnL'!AS170))</x:f>
        <x:v>0</x:v>
      </x:c>
      <x:c r="H170" s="79" t="n">
        <x:f>ABS('Counter_PnL'!AV170-('Counter_PnL'!AK170+'Counter_PnL'!AT170))</x:f>
        <x:v>0</x:v>
      </x:c>
      <x:c r="I170" s="79" t="n">
        <x:f>ABS('Counter_PnL'!BE170-SUM('Counter_PnL'!AX170:'Counter_PnL'!BB170,'Counter_PnL'!BD170))</x:f>
        <x:v>0</x:v>
      </x:c>
      <x:c r="J170" s="79" t="n">
        <x:f>ABS('Counter_PnL'!BL170-SUM('Counter_PnL'!AV170,'Counter_PnL'!BE170,'Counter_PnL'!BJ170,'Counter_PnL'!BK170))</x:f>
        <x:v>0</x:v>
      </x:c>
      <x:c r="K170" s="79" t="n">
        <x:f>ABS('Counter_PnL'!BO170-('Counter_PnL'!BL170+'Counter_PnL'!BN170))</x:f>
        <x:v>0</x:v>
      </x:c>
      <x:c r="L170" s="79" t="n">
        <x:f>MAX(ABS('Counter_PnL'!AW170-'Counter_PnL'!AV170/'Counter_PnL'!AK170),ABS('Counter_PnL'!BM170-'Counter_PnL'!BL170/'Counter_PnL'!AK170),ABS('Counter_PnL'!BP170-'Counter_PnL'!BO170/'Counter_PnL'!AK170))</x:f>
        <x:v>0</x:v>
      </x:c>
      <x:c r="M170" s="30" t="n">
        <x:f>IF(AND('Counter_PnL'!Q170&gt;0,'Counter_PnL'!AK170&gt;0,'Counter_PnL'!R170&lt;=0,'Counter_PnL'!T170&lt;=0,'Counter_PnL'!AT170&lt;=0,'Counter_PnL'!BE170&lt;=0,'Counter_PnL'!BJ170&lt;=0,'Counter_PnL'!BK170&lt;=0,'Counter_PnL'!BN170&lt;=0),0,1)</x:f>
        <x:v>0</x:v>
      </x:c>
    </x:row>
    <x:row r="171">
      <x:c r="A171" t="str">
        <x:f>'Counter_PnL'!D171</x:f>
        <x:v>CNCT0043</x:v>
      </x:c>
      <x:c r="B171" t="str">
        <x:f>'Counter_PnL'!C171</x:f>
        <x:v>2025 S2</x:v>
      </x:c>
      <x:c r="C171" s="30" t="n">
        <x:f>COUNTIFS('Counter_PnL'!$D$2:$D$641,A171,'Counter_PnL'!$C$2:$C$641,B171)</x:f>
        <x:v>1</x:v>
      </x:c>
      <x:c r="D171" s="79" t="n">
        <x:f>ABS('Counter_PnL'!AC171-SUM('Counter_PnL'!V171:'Counter_PnL'!AB171))</x:f>
        <x:v>0</x:v>
      </x:c>
      <x:c r="E171" s="79" t="n">
        <x:f>ABS('Counter_PnL'!AI171-SUM('Counter_PnL'!R171,'Counter_PnL'!T171,'Counter_PnL'!AC171,'Counter_PnL'!AE171,'Counter_PnL'!AG171,'Counter_PnL'!AH171))</x:f>
        <x:v>0</x:v>
      </x:c>
      <x:c r="F171" s="79" t="n">
        <x:f>ABS('Counter_PnL'!AK171-('Counter_PnL'!Q171+'Counter_PnL'!AI171))</x:f>
        <x:v>0</x:v>
      </x:c>
      <x:c r="G171" s="79" t="n">
        <x:f>ABS('Counter_PnL'!AT171-SUM('Counter_PnL'!AO171:'Counter_PnL'!AS171))</x:f>
        <x:v>0</x:v>
      </x:c>
      <x:c r="H171" s="79" t="n">
        <x:f>ABS('Counter_PnL'!AV171-('Counter_PnL'!AK171+'Counter_PnL'!AT171))</x:f>
        <x:v>0</x:v>
      </x:c>
      <x:c r="I171" s="79" t="n">
        <x:f>ABS('Counter_PnL'!BE171-SUM('Counter_PnL'!AX171:'Counter_PnL'!BB171,'Counter_PnL'!BD171))</x:f>
        <x:v>0</x:v>
      </x:c>
      <x:c r="J171" s="79" t="n">
        <x:f>ABS('Counter_PnL'!BL171-SUM('Counter_PnL'!AV171,'Counter_PnL'!BE171,'Counter_PnL'!BJ171,'Counter_PnL'!BK171))</x:f>
        <x:v>0</x:v>
      </x:c>
      <x:c r="K171" s="79" t="n">
        <x:f>ABS('Counter_PnL'!BO171-('Counter_PnL'!BL171+'Counter_PnL'!BN171))</x:f>
        <x:v>0</x:v>
      </x:c>
      <x:c r="L171" s="79" t="n">
        <x:f>MAX(ABS('Counter_PnL'!AW171-'Counter_PnL'!AV171/'Counter_PnL'!AK171),ABS('Counter_PnL'!BM171-'Counter_PnL'!BL171/'Counter_PnL'!AK171),ABS('Counter_PnL'!BP171-'Counter_PnL'!BO171/'Counter_PnL'!AK171))</x:f>
        <x:v>0</x:v>
      </x:c>
      <x:c r="M171" s="30" t="n">
        <x:f>IF(AND('Counter_PnL'!Q171&gt;0,'Counter_PnL'!AK171&gt;0,'Counter_PnL'!R171&lt;=0,'Counter_PnL'!T171&lt;=0,'Counter_PnL'!AT171&lt;=0,'Counter_PnL'!BE171&lt;=0,'Counter_PnL'!BJ171&lt;=0,'Counter_PnL'!BK171&lt;=0,'Counter_PnL'!BN171&lt;=0),0,1)</x:f>
        <x:v>0</x:v>
      </x:c>
    </x:row>
    <x:row r="172">
      <x:c r="A172" t="str">
        <x:f>'Counter_PnL'!D172</x:f>
        <x:v>CNCT0043</x:v>
      </x:c>
      <x:c r="B172" t="str">
        <x:f>'Counter_PnL'!C172</x:f>
        <x:v>2026 S1</x:v>
      </x:c>
      <x:c r="C172" s="30" t="n">
        <x:f>COUNTIFS('Counter_PnL'!$D$2:$D$641,A172,'Counter_PnL'!$C$2:$C$641,B172)</x:f>
        <x:v>1</x:v>
      </x:c>
      <x:c r="D172" s="79" t="n">
        <x:f>ABS('Counter_PnL'!AC172-SUM('Counter_PnL'!V172:'Counter_PnL'!AB172))</x:f>
        <x:v>0</x:v>
      </x:c>
      <x:c r="E172" s="79" t="n">
        <x:f>ABS('Counter_PnL'!AI172-SUM('Counter_PnL'!R172,'Counter_PnL'!T172,'Counter_PnL'!AC172,'Counter_PnL'!AE172,'Counter_PnL'!AG172,'Counter_PnL'!AH172))</x:f>
        <x:v>0</x:v>
      </x:c>
      <x:c r="F172" s="79" t="n">
        <x:f>ABS('Counter_PnL'!AK172-('Counter_PnL'!Q172+'Counter_PnL'!AI172))</x:f>
        <x:v>0</x:v>
      </x:c>
      <x:c r="G172" s="79" t="n">
        <x:f>ABS('Counter_PnL'!AT172-SUM('Counter_PnL'!AO172:'Counter_PnL'!AS172))</x:f>
        <x:v>0</x:v>
      </x:c>
      <x:c r="H172" s="79" t="n">
        <x:f>ABS('Counter_PnL'!AV172-('Counter_PnL'!AK172+'Counter_PnL'!AT172))</x:f>
        <x:v>0</x:v>
      </x:c>
      <x:c r="I172" s="79" t="n">
        <x:f>ABS('Counter_PnL'!BE172-SUM('Counter_PnL'!AX172:'Counter_PnL'!BB172,'Counter_PnL'!BD172))</x:f>
        <x:v>0</x:v>
      </x:c>
      <x:c r="J172" s="79" t="n">
        <x:f>ABS('Counter_PnL'!BL172-SUM('Counter_PnL'!AV172,'Counter_PnL'!BE172,'Counter_PnL'!BJ172,'Counter_PnL'!BK172))</x:f>
        <x:v>0</x:v>
      </x:c>
      <x:c r="K172" s="79" t="n">
        <x:f>ABS('Counter_PnL'!BO172-('Counter_PnL'!BL172+'Counter_PnL'!BN172))</x:f>
        <x:v>0</x:v>
      </x:c>
      <x:c r="L172" s="79" t="n">
        <x:f>MAX(ABS('Counter_PnL'!AW172-'Counter_PnL'!AV172/'Counter_PnL'!AK172),ABS('Counter_PnL'!BM172-'Counter_PnL'!BL172/'Counter_PnL'!AK172),ABS('Counter_PnL'!BP172-'Counter_PnL'!BO172/'Counter_PnL'!AK172))</x:f>
        <x:v>0</x:v>
      </x:c>
      <x:c r="M172" s="30" t="n">
        <x:f>IF(AND('Counter_PnL'!Q172&gt;0,'Counter_PnL'!AK172&gt;0,'Counter_PnL'!R172&lt;=0,'Counter_PnL'!T172&lt;=0,'Counter_PnL'!AT172&lt;=0,'Counter_PnL'!BE172&lt;=0,'Counter_PnL'!BJ172&lt;=0,'Counter_PnL'!BK172&lt;=0,'Counter_PnL'!BN172&lt;=0),0,1)</x:f>
        <x:v>0</x:v>
      </x:c>
    </x:row>
    <x:row r="173">
      <x:c r="A173" t="str">
        <x:f>'Counter_PnL'!D173</x:f>
        <x:v>CNCT0043</x:v>
      </x:c>
      <x:c r="B173" t="str">
        <x:f>'Counter_PnL'!C173</x:f>
        <x:v>2026 S2</x:v>
      </x:c>
      <x:c r="C173" s="30" t="n">
        <x:f>COUNTIFS('Counter_PnL'!$D$2:$D$641,A173,'Counter_PnL'!$C$2:$C$641,B173)</x:f>
        <x:v>1</x:v>
      </x:c>
      <x:c r="D173" s="79" t="n">
        <x:f>ABS('Counter_PnL'!AC173-SUM('Counter_PnL'!V173:'Counter_PnL'!AB173))</x:f>
        <x:v>0</x:v>
      </x:c>
      <x:c r="E173" s="79" t="n">
        <x:f>ABS('Counter_PnL'!AI173-SUM('Counter_PnL'!R173,'Counter_PnL'!T173,'Counter_PnL'!AC173,'Counter_PnL'!AE173,'Counter_PnL'!AG173,'Counter_PnL'!AH173))</x:f>
        <x:v>0</x:v>
      </x:c>
      <x:c r="F173" s="79" t="n">
        <x:f>ABS('Counter_PnL'!AK173-('Counter_PnL'!Q173+'Counter_PnL'!AI173))</x:f>
        <x:v>0</x:v>
      </x:c>
      <x:c r="G173" s="79" t="n">
        <x:f>ABS('Counter_PnL'!AT173-SUM('Counter_PnL'!AO173:'Counter_PnL'!AS173))</x:f>
        <x:v>0</x:v>
      </x:c>
      <x:c r="H173" s="79" t="n">
        <x:f>ABS('Counter_PnL'!AV173-('Counter_PnL'!AK173+'Counter_PnL'!AT173))</x:f>
        <x:v>0</x:v>
      </x:c>
      <x:c r="I173" s="79" t="n">
        <x:f>ABS('Counter_PnL'!BE173-SUM('Counter_PnL'!AX173:'Counter_PnL'!BB173,'Counter_PnL'!BD173))</x:f>
        <x:v>0</x:v>
      </x:c>
      <x:c r="J173" s="79" t="n">
        <x:f>ABS('Counter_PnL'!BL173-SUM('Counter_PnL'!AV173,'Counter_PnL'!BE173,'Counter_PnL'!BJ173,'Counter_PnL'!BK173))</x:f>
        <x:v>0</x:v>
      </x:c>
      <x:c r="K173" s="79" t="n">
        <x:f>ABS('Counter_PnL'!BO173-('Counter_PnL'!BL173+'Counter_PnL'!BN173))</x:f>
        <x:v>0</x:v>
      </x:c>
      <x:c r="L173" s="79" t="n">
        <x:f>MAX(ABS('Counter_PnL'!AW173-'Counter_PnL'!AV173/'Counter_PnL'!AK173),ABS('Counter_PnL'!BM173-'Counter_PnL'!BL173/'Counter_PnL'!AK173),ABS('Counter_PnL'!BP173-'Counter_PnL'!BO173/'Counter_PnL'!AK173))</x:f>
        <x:v>0</x:v>
      </x:c>
      <x:c r="M173" s="30" t="n">
        <x:f>IF(AND('Counter_PnL'!Q173&gt;0,'Counter_PnL'!AK173&gt;0,'Counter_PnL'!R173&lt;=0,'Counter_PnL'!T173&lt;=0,'Counter_PnL'!AT173&lt;=0,'Counter_PnL'!BE173&lt;=0,'Counter_PnL'!BJ173&lt;=0,'Counter_PnL'!BK173&lt;=0,'Counter_PnL'!BN173&lt;=0),0,1)</x:f>
        <x:v>0</x:v>
      </x:c>
    </x:row>
    <x:row r="174">
      <x:c r="A174" t="str">
        <x:f>'Counter_PnL'!D174</x:f>
        <x:v>CNCT0044</x:v>
      </x:c>
      <x:c r="B174" t="str">
        <x:f>'Counter_PnL'!C174</x:f>
        <x:v>2025 S1</x:v>
      </x:c>
      <x:c r="C174" s="30" t="n">
        <x:f>COUNTIFS('Counter_PnL'!$D$2:$D$641,A174,'Counter_PnL'!$C$2:$C$641,B174)</x:f>
        <x:v>1</x:v>
      </x:c>
      <x:c r="D174" s="79" t="n">
        <x:f>ABS('Counter_PnL'!AC174-SUM('Counter_PnL'!V174:'Counter_PnL'!AB174))</x:f>
        <x:v>0</x:v>
      </x:c>
      <x:c r="E174" s="79" t="n">
        <x:f>ABS('Counter_PnL'!AI174-SUM('Counter_PnL'!R174,'Counter_PnL'!T174,'Counter_PnL'!AC174,'Counter_PnL'!AE174,'Counter_PnL'!AG174,'Counter_PnL'!AH174))</x:f>
        <x:v>0</x:v>
      </x:c>
      <x:c r="F174" s="79" t="n">
        <x:f>ABS('Counter_PnL'!AK174-('Counter_PnL'!Q174+'Counter_PnL'!AI174))</x:f>
        <x:v>0</x:v>
      </x:c>
      <x:c r="G174" s="79" t="n">
        <x:f>ABS('Counter_PnL'!AT174-SUM('Counter_PnL'!AO174:'Counter_PnL'!AS174))</x:f>
        <x:v>0</x:v>
      </x:c>
      <x:c r="H174" s="79" t="n">
        <x:f>ABS('Counter_PnL'!AV174-('Counter_PnL'!AK174+'Counter_PnL'!AT174))</x:f>
        <x:v>0</x:v>
      </x:c>
      <x:c r="I174" s="79" t="n">
        <x:f>ABS('Counter_PnL'!BE174-SUM('Counter_PnL'!AX174:'Counter_PnL'!BB174,'Counter_PnL'!BD174))</x:f>
        <x:v>0</x:v>
      </x:c>
      <x:c r="J174" s="79" t="n">
        <x:f>ABS('Counter_PnL'!BL174-SUM('Counter_PnL'!AV174,'Counter_PnL'!BE174,'Counter_PnL'!BJ174,'Counter_PnL'!BK174))</x:f>
        <x:v>0</x:v>
      </x:c>
      <x:c r="K174" s="79" t="n">
        <x:f>ABS('Counter_PnL'!BO174-('Counter_PnL'!BL174+'Counter_PnL'!BN174))</x:f>
        <x:v>0</x:v>
      </x:c>
      <x:c r="L174" s="79" t="n">
        <x:f>MAX(ABS('Counter_PnL'!AW174-'Counter_PnL'!AV174/'Counter_PnL'!AK174),ABS('Counter_PnL'!BM174-'Counter_PnL'!BL174/'Counter_PnL'!AK174),ABS('Counter_PnL'!BP174-'Counter_PnL'!BO174/'Counter_PnL'!AK174))</x:f>
        <x:v>0</x:v>
      </x:c>
      <x:c r="M174" s="30" t="n">
        <x:f>IF(AND('Counter_PnL'!Q174&gt;0,'Counter_PnL'!AK174&gt;0,'Counter_PnL'!R174&lt;=0,'Counter_PnL'!T174&lt;=0,'Counter_PnL'!AT174&lt;=0,'Counter_PnL'!BE174&lt;=0,'Counter_PnL'!BJ174&lt;=0,'Counter_PnL'!BK174&lt;=0,'Counter_PnL'!BN174&lt;=0),0,1)</x:f>
        <x:v>0</x:v>
      </x:c>
    </x:row>
    <x:row r="175">
      <x:c r="A175" t="str">
        <x:f>'Counter_PnL'!D175</x:f>
        <x:v>CNCT0044</x:v>
      </x:c>
      <x:c r="B175" t="str">
        <x:f>'Counter_PnL'!C175</x:f>
        <x:v>2025 S2</x:v>
      </x:c>
      <x:c r="C175" s="30" t="n">
        <x:f>COUNTIFS('Counter_PnL'!$D$2:$D$641,A175,'Counter_PnL'!$C$2:$C$641,B175)</x:f>
        <x:v>1</x:v>
      </x:c>
      <x:c r="D175" s="79" t="n">
        <x:f>ABS('Counter_PnL'!AC175-SUM('Counter_PnL'!V175:'Counter_PnL'!AB175))</x:f>
        <x:v>0</x:v>
      </x:c>
      <x:c r="E175" s="79" t="n">
        <x:f>ABS('Counter_PnL'!AI175-SUM('Counter_PnL'!R175,'Counter_PnL'!T175,'Counter_PnL'!AC175,'Counter_PnL'!AE175,'Counter_PnL'!AG175,'Counter_PnL'!AH175))</x:f>
        <x:v>0</x:v>
      </x:c>
      <x:c r="F175" s="79" t="n">
        <x:f>ABS('Counter_PnL'!AK175-('Counter_PnL'!Q175+'Counter_PnL'!AI175))</x:f>
        <x:v>0</x:v>
      </x:c>
      <x:c r="G175" s="79" t="n">
        <x:f>ABS('Counter_PnL'!AT175-SUM('Counter_PnL'!AO175:'Counter_PnL'!AS175))</x:f>
        <x:v>0</x:v>
      </x:c>
      <x:c r="H175" s="79" t="n">
        <x:f>ABS('Counter_PnL'!AV175-('Counter_PnL'!AK175+'Counter_PnL'!AT175))</x:f>
        <x:v>0</x:v>
      </x:c>
      <x:c r="I175" s="79" t="n">
        <x:f>ABS('Counter_PnL'!BE175-SUM('Counter_PnL'!AX175:'Counter_PnL'!BB175,'Counter_PnL'!BD175))</x:f>
        <x:v>0</x:v>
      </x:c>
      <x:c r="J175" s="79" t="n">
        <x:f>ABS('Counter_PnL'!BL175-SUM('Counter_PnL'!AV175,'Counter_PnL'!BE175,'Counter_PnL'!BJ175,'Counter_PnL'!BK175))</x:f>
        <x:v>0</x:v>
      </x:c>
      <x:c r="K175" s="79" t="n">
        <x:f>ABS('Counter_PnL'!BO175-('Counter_PnL'!BL175+'Counter_PnL'!BN175))</x:f>
        <x:v>0</x:v>
      </x:c>
      <x:c r="L175" s="79" t="n">
        <x:f>MAX(ABS('Counter_PnL'!AW175-'Counter_PnL'!AV175/'Counter_PnL'!AK175),ABS('Counter_PnL'!BM175-'Counter_PnL'!BL175/'Counter_PnL'!AK175),ABS('Counter_PnL'!BP175-'Counter_PnL'!BO175/'Counter_PnL'!AK175))</x:f>
        <x:v>0</x:v>
      </x:c>
      <x:c r="M175" s="30" t="n">
        <x:f>IF(AND('Counter_PnL'!Q175&gt;0,'Counter_PnL'!AK175&gt;0,'Counter_PnL'!R175&lt;=0,'Counter_PnL'!T175&lt;=0,'Counter_PnL'!AT175&lt;=0,'Counter_PnL'!BE175&lt;=0,'Counter_PnL'!BJ175&lt;=0,'Counter_PnL'!BK175&lt;=0,'Counter_PnL'!BN175&lt;=0),0,1)</x:f>
        <x:v>0</x:v>
      </x:c>
    </x:row>
    <x:row r="176">
      <x:c r="A176" t="str">
        <x:f>'Counter_PnL'!D176</x:f>
        <x:v>CNCT0044</x:v>
      </x:c>
      <x:c r="B176" t="str">
        <x:f>'Counter_PnL'!C176</x:f>
        <x:v>2026 S1</x:v>
      </x:c>
      <x:c r="C176" s="30" t="n">
        <x:f>COUNTIFS('Counter_PnL'!$D$2:$D$641,A176,'Counter_PnL'!$C$2:$C$641,B176)</x:f>
        <x:v>1</x:v>
      </x:c>
      <x:c r="D176" s="79" t="n">
        <x:f>ABS('Counter_PnL'!AC176-SUM('Counter_PnL'!V176:'Counter_PnL'!AB176))</x:f>
        <x:v>0</x:v>
      </x:c>
      <x:c r="E176" s="79" t="n">
        <x:f>ABS('Counter_PnL'!AI176-SUM('Counter_PnL'!R176,'Counter_PnL'!T176,'Counter_PnL'!AC176,'Counter_PnL'!AE176,'Counter_PnL'!AG176,'Counter_PnL'!AH176))</x:f>
        <x:v>0</x:v>
      </x:c>
      <x:c r="F176" s="79" t="n">
        <x:f>ABS('Counter_PnL'!AK176-('Counter_PnL'!Q176+'Counter_PnL'!AI176))</x:f>
        <x:v>0</x:v>
      </x:c>
      <x:c r="G176" s="79" t="n">
        <x:f>ABS('Counter_PnL'!AT176-SUM('Counter_PnL'!AO176:'Counter_PnL'!AS176))</x:f>
        <x:v>0</x:v>
      </x:c>
      <x:c r="H176" s="79" t="n">
        <x:f>ABS('Counter_PnL'!AV176-('Counter_PnL'!AK176+'Counter_PnL'!AT176))</x:f>
        <x:v>0</x:v>
      </x:c>
      <x:c r="I176" s="79" t="n">
        <x:f>ABS('Counter_PnL'!BE176-SUM('Counter_PnL'!AX176:'Counter_PnL'!BB176,'Counter_PnL'!BD176))</x:f>
        <x:v>0</x:v>
      </x:c>
      <x:c r="J176" s="79" t="n">
        <x:f>ABS('Counter_PnL'!BL176-SUM('Counter_PnL'!AV176,'Counter_PnL'!BE176,'Counter_PnL'!BJ176,'Counter_PnL'!BK176))</x:f>
        <x:v>0</x:v>
      </x:c>
      <x:c r="K176" s="79" t="n">
        <x:f>ABS('Counter_PnL'!BO176-('Counter_PnL'!BL176+'Counter_PnL'!BN176))</x:f>
        <x:v>0</x:v>
      </x:c>
      <x:c r="L176" s="79" t="n">
        <x:f>MAX(ABS('Counter_PnL'!AW176-'Counter_PnL'!AV176/'Counter_PnL'!AK176),ABS('Counter_PnL'!BM176-'Counter_PnL'!BL176/'Counter_PnL'!AK176),ABS('Counter_PnL'!BP176-'Counter_PnL'!BO176/'Counter_PnL'!AK176))</x:f>
        <x:v>0</x:v>
      </x:c>
      <x:c r="M176" s="30" t="n">
        <x:f>IF(AND('Counter_PnL'!Q176&gt;0,'Counter_PnL'!AK176&gt;0,'Counter_PnL'!R176&lt;=0,'Counter_PnL'!T176&lt;=0,'Counter_PnL'!AT176&lt;=0,'Counter_PnL'!BE176&lt;=0,'Counter_PnL'!BJ176&lt;=0,'Counter_PnL'!BK176&lt;=0,'Counter_PnL'!BN176&lt;=0),0,1)</x:f>
        <x:v>0</x:v>
      </x:c>
    </x:row>
    <x:row r="177">
      <x:c r="A177" t="str">
        <x:f>'Counter_PnL'!D177</x:f>
        <x:v>CNCT0044</x:v>
      </x:c>
      <x:c r="B177" t="str">
        <x:f>'Counter_PnL'!C177</x:f>
        <x:v>2026 S2</x:v>
      </x:c>
      <x:c r="C177" s="30" t="n">
        <x:f>COUNTIFS('Counter_PnL'!$D$2:$D$641,A177,'Counter_PnL'!$C$2:$C$641,B177)</x:f>
        <x:v>1</x:v>
      </x:c>
      <x:c r="D177" s="79" t="n">
        <x:f>ABS('Counter_PnL'!AC177-SUM('Counter_PnL'!V177:'Counter_PnL'!AB177))</x:f>
        <x:v>0</x:v>
      </x:c>
      <x:c r="E177" s="79" t="n">
        <x:f>ABS('Counter_PnL'!AI177-SUM('Counter_PnL'!R177,'Counter_PnL'!T177,'Counter_PnL'!AC177,'Counter_PnL'!AE177,'Counter_PnL'!AG177,'Counter_PnL'!AH177))</x:f>
        <x:v>0</x:v>
      </x:c>
      <x:c r="F177" s="79" t="n">
        <x:f>ABS('Counter_PnL'!AK177-('Counter_PnL'!Q177+'Counter_PnL'!AI177))</x:f>
        <x:v>0</x:v>
      </x:c>
      <x:c r="G177" s="79" t="n">
        <x:f>ABS('Counter_PnL'!AT177-SUM('Counter_PnL'!AO177:'Counter_PnL'!AS177))</x:f>
        <x:v>0</x:v>
      </x:c>
      <x:c r="H177" s="79" t="n">
        <x:f>ABS('Counter_PnL'!AV177-('Counter_PnL'!AK177+'Counter_PnL'!AT177))</x:f>
        <x:v>0</x:v>
      </x:c>
      <x:c r="I177" s="79" t="n">
        <x:f>ABS('Counter_PnL'!BE177-SUM('Counter_PnL'!AX177:'Counter_PnL'!BB177,'Counter_PnL'!BD177))</x:f>
        <x:v>0</x:v>
      </x:c>
      <x:c r="J177" s="79" t="n">
        <x:f>ABS('Counter_PnL'!BL177-SUM('Counter_PnL'!AV177,'Counter_PnL'!BE177,'Counter_PnL'!BJ177,'Counter_PnL'!BK177))</x:f>
        <x:v>0</x:v>
      </x:c>
      <x:c r="K177" s="79" t="n">
        <x:f>ABS('Counter_PnL'!BO177-('Counter_PnL'!BL177+'Counter_PnL'!BN177))</x:f>
        <x:v>0</x:v>
      </x:c>
      <x:c r="L177" s="79" t="n">
        <x:f>MAX(ABS('Counter_PnL'!AW177-'Counter_PnL'!AV177/'Counter_PnL'!AK177),ABS('Counter_PnL'!BM177-'Counter_PnL'!BL177/'Counter_PnL'!AK177),ABS('Counter_PnL'!BP177-'Counter_PnL'!BO177/'Counter_PnL'!AK177))</x:f>
        <x:v>0</x:v>
      </x:c>
      <x:c r="M177" s="30" t="n">
        <x:f>IF(AND('Counter_PnL'!Q177&gt;0,'Counter_PnL'!AK177&gt;0,'Counter_PnL'!R177&lt;=0,'Counter_PnL'!T177&lt;=0,'Counter_PnL'!AT177&lt;=0,'Counter_PnL'!BE177&lt;=0,'Counter_PnL'!BJ177&lt;=0,'Counter_PnL'!BK177&lt;=0,'Counter_PnL'!BN177&lt;=0),0,1)</x:f>
        <x:v>0</x:v>
      </x:c>
    </x:row>
    <x:row r="178">
      <x:c r="A178" t="str">
        <x:f>'Counter_PnL'!D178</x:f>
        <x:v>CNCT0045</x:v>
      </x:c>
      <x:c r="B178" t="str">
        <x:f>'Counter_PnL'!C178</x:f>
        <x:v>2025 S1</x:v>
      </x:c>
      <x:c r="C178" s="30" t="n">
        <x:f>COUNTIFS('Counter_PnL'!$D$2:$D$641,A178,'Counter_PnL'!$C$2:$C$641,B178)</x:f>
        <x:v>1</x:v>
      </x:c>
      <x:c r="D178" s="79" t="n">
        <x:f>ABS('Counter_PnL'!AC178-SUM('Counter_PnL'!V178:'Counter_PnL'!AB178))</x:f>
        <x:v>0</x:v>
      </x:c>
      <x:c r="E178" s="79" t="n">
        <x:f>ABS('Counter_PnL'!AI178-SUM('Counter_PnL'!R178,'Counter_PnL'!T178,'Counter_PnL'!AC178,'Counter_PnL'!AE178,'Counter_PnL'!AG178,'Counter_PnL'!AH178))</x:f>
        <x:v>0</x:v>
      </x:c>
      <x:c r="F178" s="79" t="n">
        <x:f>ABS('Counter_PnL'!AK178-('Counter_PnL'!Q178+'Counter_PnL'!AI178))</x:f>
        <x:v>0</x:v>
      </x:c>
      <x:c r="G178" s="79" t="n">
        <x:f>ABS('Counter_PnL'!AT178-SUM('Counter_PnL'!AO178:'Counter_PnL'!AS178))</x:f>
        <x:v>0</x:v>
      </x:c>
      <x:c r="H178" s="79" t="n">
        <x:f>ABS('Counter_PnL'!AV178-('Counter_PnL'!AK178+'Counter_PnL'!AT178))</x:f>
        <x:v>0</x:v>
      </x:c>
      <x:c r="I178" s="79" t="n">
        <x:f>ABS('Counter_PnL'!BE178-SUM('Counter_PnL'!AX178:'Counter_PnL'!BB178,'Counter_PnL'!BD178))</x:f>
        <x:v>0</x:v>
      </x:c>
      <x:c r="J178" s="79" t="n">
        <x:f>ABS('Counter_PnL'!BL178-SUM('Counter_PnL'!AV178,'Counter_PnL'!BE178,'Counter_PnL'!BJ178,'Counter_PnL'!BK178))</x:f>
        <x:v>0</x:v>
      </x:c>
      <x:c r="K178" s="79" t="n">
        <x:f>ABS('Counter_PnL'!BO178-('Counter_PnL'!BL178+'Counter_PnL'!BN178))</x:f>
        <x:v>0</x:v>
      </x:c>
      <x:c r="L178" s="79" t="n">
        <x:f>MAX(ABS('Counter_PnL'!AW178-'Counter_PnL'!AV178/'Counter_PnL'!AK178),ABS('Counter_PnL'!BM178-'Counter_PnL'!BL178/'Counter_PnL'!AK178),ABS('Counter_PnL'!BP178-'Counter_PnL'!BO178/'Counter_PnL'!AK178))</x:f>
        <x:v>0</x:v>
      </x:c>
      <x:c r="M178" s="30" t="n">
        <x:f>IF(AND('Counter_PnL'!Q178&gt;0,'Counter_PnL'!AK178&gt;0,'Counter_PnL'!R178&lt;=0,'Counter_PnL'!T178&lt;=0,'Counter_PnL'!AT178&lt;=0,'Counter_PnL'!BE178&lt;=0,'Counter_PnL'!BJ178&lt;=0,'Counter_PnL'!BK178&lt;=0,'Counter_PnL'!BN178&lt;=0),0,1)</x:f>
        <x:v>0</x:v>
      </x:c>
    </x:row>
    <x:row r="179">
      <x:c r="A179" t="str">
        <x:f>'Counter_PnL'!D179</x:f>
        <x:v>CNCT0045</x:v>
      </x:c>
      <x:c r="B179" t="str">
        <x:f>'Counter_PnL'!C179</x:f>
        <x:v>2025 S2</x:v>
      </x:c>
      <x:c r="C179" s="30" t="n">
        <x:f>COUNTIFS('Counter_PnL'!$D$2:$D$641,A179,'Counter_PnL'!$C$2:$C$641,B179)</x:f>
        <x:v>1</x:v>
      </x:c>
      <x:c r="D179" s="79" t="n">
        <x:f>ABS('Counter_PnL'!AC179-SUM('Counter_PnL'!V179:'Counter_PnL'!AB179))</x:f>
        <x:v>0</x:v>
      </x:c>
      <x:c r="E179" s="79" t="n">
        <x:f>ABS('Counter_PnL'!AI179-SUM('Counter_PnL'!R179,'Counter_PnL'!T179,'Counter_PnL'!AC179,'Counter_PnL'!AE179,'Counter_PnL'!AG179,'Counter_PnL'!AH179))</x:f>
        <x:v>0</x:v>
      </x:c>
      <x:c r="F179" s="79" t="n">
        <x:f>ABS('Counter_PnL'!AK179-('Counter_PnL'!Q179+'Counter_PnL'!AI179))</x:f>
        <x:v>0</x:v>
      </x:c>
      <x:c r="G179" s="79" t="n">
        <x:f>ABS('Counter_PnL'!AT179-SUM('Counter_PnL'!AO179:'Counter_PnL'!AS179))</x:f>
        <x:v>0</x:v>
      </x:c>
      <x:c r="H179" s="79" t="n">
        <x:f>ABS('Counter_PnL'!AV179-('Counter_PnL'!AK179+'Counter_PnL'!AT179))</x:f>
        <x:v>0</x:v>
      </x:c>
      <x:c r="I179" s="79" t="n">
        <x:f>ABS('Counter_PnL'!BE179-SUM('Counter_PnL'!AX179:'Counter_PnL'!BB179,'Counter_PnL'!BD179))</x:f>
        <x:v>0</x:v>
      </x:c>
      <x:c r="J179" s="79" t="n">
        <x:f>ABS('Counter_PnL'!BL179-SUM('Counter_PnL'!AV179,'Counter_PnL'!BE179,'Counter_PnL'!BJ179,'Counter_PnL'!BK179))</x:f>
        <x:v>0</x:v>
      </x:c>
      <x:c r="K179" s="79" t="n">
        <x:f>ABS('Counter_PnL'!BO179-('Counter_PnL'!BL179+'Counter_PnL'!BN179))</x:f>
        <x:v>0</x:v>
      </x:c>
      <x:c r="L179" s="79" t="n">
        <x:f>MAX(ABS('Counter_PnL'!AW179-'Counter_PnL'!AV179/'Counter_PnL'!AK179),ABS('Counter_PnL'!BM179-'Counter_PnL'!BL179/'Counter_PnL'!AK179),ABS('Counter_PnL'!BP179-'Counter_PnL'!BO179/'Counter_PnL'!AK179))</x:f>
        <x:v>0</x:v>
      </x:c>
      <x:c r="M179" s="30" t="n">
        <x:f>IF(AND('Counter_PnL'!Q179&gt;0,'Counter_PnL'!AK179&gt;0,'Counter_PnL'!R179&lt;=0,'Counter_PnL'!T179&lt;=0,'Counter_PnL'!AT179&lt;=0,'Counter_PnL'!BE179&lt;=0,'Counter_PnL'!BJ179&lt;=0,'Counter_PnL'!BK179&lt;=0,'Counter_PnL'!BN179&lt;=0),0,1)</x:f>
        <x:v>0</x:v>
      </x:c>
    </x:row>
    <x:row r="180">
      <x:c r="A180" t="str">
        <x:f>'Counter_PnL'!D180</x:f>
        <x:v>CNCT0045</x:v>
      </x:c>
      <x:c r="B180" t="str">
        <x:f>'Counter_PnL'!C180</x:f>
        <x:v>2026 S1</x:v>
      </x:c>
      <x:c r="C180" s="30" t="n">
        <x:f>COUNTIFS('Counter_PnL'!$D$2:$D$641,A180,'Counter_PnL'!$C$2:$C$641,B180)</x:f>
        <x:v>1</x:v>
      </x:c>
      <x:c r="D180" s="79" t="n">
        <x:f>ABS('Counter_PnL'!AC180-SUM('Counter_PnL'!V180:'Counter_PnL'!AB180))</x:f>
        <x:v>0</x:v>
      </x:c>
      <x:c r="E180" s="79" t="n">
        <x:f>ABS('Counter_PnL'!AI180-SUM('Counter_PnL'!R180,'Counter_PnL'!T180,'Counter_PnL'!AC180,'Counter_PnL'!AE180,'Counter_PnL'!AG180,'Counter_PnL'!AH180))</x:f>
        <x:v>0</x:v>
      </x:c>
      <x:c r="F180" s="79" t="n">
        <x:f>ABS('Counter_PnL'!AK180-('Counter_PnL'!Q180+'Counter_PnL'!AI180))</x:f>
        <x:v>0</x:v>
      </x:c>
      <x:c r="G180" s="79" t="n">
        <x:f>ABS('Counter_PnL'!AT180-SUM('Counter_PnL'!AO180:'Counter_PnL'!AS180))</x:f>
        <x:v>0</x:v>
      </x:c>
      <x:c r="H180" s="79" t="n">
        <x:f>ABS('Counter_PnL'!AV180-('Counter_PnL'!AK180+'Counter_PnL'!AT180))</x:f>
        <x:v>0</x:v>
      </x:c>
      <x:c r="I180" s="79" t="n">
        <x:f>ABS('Counter_PnL'!BE180-SUM('Counter_PnL'!AX180:'Counter_PnL'!BB180,'Counter_PnL'!BD180))</x:f>
        <x:v>0</x:v>
      </x:c>
      <x:c r="J180" s="79" t="n">
        <x:f>ABS('Counter_PnL'!BL180-SUM('Counter_PnL'!AV180,'Counter_PnL'!BE180,'Counter_PnL'!BJ180,'Counter_PnL'!BK180))</x:f>
        <x:v>0</x:v>
      </x:c>
      <x:c r="K180" s="79" t="n">
        <x:f>ABS('Counter_PnL'!BO180-('Counter_PnL'!BL180+'Counter_PnL'!BN180))</x:f>
        <x:v>0</x:v>
      </x:c>
      <x:c r="L180" s="79" t="n">
        <x:f>MAX(ABS('Counter_PnL'!AW180-'Counter_PnL'!AV180/'Counter_PnL'!AK180),ABS('Counter_PnL'!BM180-'Counter_PnL'!BL180/'Counter_PnL'!AK180),ABS('Counter_PnL'!BP180-'Counter_PnL'!BO180/'Counter_PnL'!AK180))</x:f>
        <x:v>0</x:v>
      </x:c>
      <x:c r="M180" s="30" t="n">
        <x:f>IF(AND('Counter_PnL'!Q180&gt;0,'Counter_PnL'!AK180&gt;0,'Counter_PnL'!R180&lt;=0,'Counter_PnL'!T180&lt;=0,'Counter_PnL'!AT180&lt;=0,'Counter_PnL'!BE180&lt;=0,'Counter_PnL'!BJ180&lt;=0,'Counter_PnL'!BK180&lt;=0,'Counter_PnL'!BN180&lt;=0),0,1)</x:f>
        <x:v>0</x:v>
      </x:c>
    </x:row>
    <x:row r="181">
      <x:c r="A181" t="str">
        <x:f>'Counter_PnL'!D181</x:f>
        <x:v>CNCT0045</x:v>
      </x:c>
      <x:c r="B181" t="str">
        <x:f>'Counter_PnL'!C181</x:f>
        <x:v>2026 S2</x:v>
      </x:c>
      <x:c r="C181" s="30" t="n">
        <x:f>COUNTIFS('Counter_PnL'!$D$2:$D$641,A181,'Counter_PnL'!$C$2:$C$641,B181)</x:f>
        <x:v>1</x:v>
      </x:c>
      <x:c r="D181" s="79" t="n">
        <x:f>ABS('Counter_PnL'!AC181-SUM('Counter_PnL'!V181:'Counter_PnL'!AB181))</x:f>
        <x:v>0</x:v>
      </x:c>
      <x:c r="E181" s="79" t="n">
        <x:f>ABS('Counter_PnL'!AI181-SUM('Counter_PnL'!R181,'Counter_PnL'!T181,'Counter_PnL'!AC181,'Counter_PnL'!AE181,'Counter_PnL'!AG181,'Counter_PnL'!AH181))</x:f>
        <x:v>0</x:v>
      </x:c>
      <x:c r="F181" s="79" t="n">
        <x:f>ABS('Counter_PnL'!AK181-('Counter_PnL'!Q181+'Counter_PnL'!AI181))</x:f>
        <x:v>0</x:v>
      </x:c>
      <x:c r="G181" s="79" t="n">
        <x:f>ABS('Counter_PnL'!AT181-SUM('Counter_PnL'!AO181:'Counter_PnL'!AS181))</x:f>
        <x:v>0</x:v>
      </x:c>
      <x:c r="H181" s="79" t="n">
        <x:f>ABS('Counter_PnL'!AV181-('Counter_PnL'!AK181+'Counter_PnL'!AT181))</x:f>
        <x:v>0</x:v>
      </x:c>
      <x:c r="I181" s="79" t="n">
        <x:f>ABS('Counter_PnL'!BE181-SUM('Counter_PnL'!AX181:'Counter_PnL'!BB181,'Counter_PnL'!BD181))</x:f>
        <x:v>0</x:v>
      </x:c>
      <x:c r="J181" s="79" t="n">
        <x:f>ABS('Counter_PnL'!BL181-SUM('Counter_PnL'!AV181,'Counter_PnL'!BE181,'Counter_PnL'!BJ181,'Counter_PnL'!BK181))</x:f>
        <x:v>0</x:v>
      </x:c>
      <x:c r="K181" s="79" t="n">
        <x:f>ABS('Counter_PnL'!BO181-('Counter_PnL'!BL181+'Counter_PnL'!BN181))</x:f>
        <x:v>0</x:v>
      </x:c>
      <x:c r="L181" s="79" t="n">
        <x:f>MAX(ABS('Counter_PnL'!AW181-'Counter_PnL'!AV181/'Counter_PnL'!AK181),ABS('Counter_PnL'!BM181-'Counter_PnL'!BL181/'Counter_PnL'!AK181),ABS('Counter_PnL'!BP181-'Counter_PnL'!BO181/'Counter_PnL'!AK181))</x:f>
        <x:v>0</x:v>
      </x:c>
      <x:c r="M181" s="30" t="n">
        <x:f>IF(AND('Counter_PnL'!Q181&gt;0,'Counter_PnL'!AK181&gt;0,'Counter_PnL'!R181&lt;=0,'Counter_PnL'!T181&lt;=0,'Counter_PnL'!AT181&lt;=0,'Counter_PnL'!BE181&lt;=0,'Counter_PnL'!BJ181&lt;=0,'Counter_PnL'!BK181&lt;=0,'Counter_PnL'!BN181&lt;=0),0,1)</x:f>
        <x:v>0</x:v>
      </x:c>
    </x:row>
    <x:row r="182">
      <x:c r="A182" t="str">
        <x:f>'Counter_PnL'!D182</x:f>
        <x:v>CNCT0046</x:v>
      </x:c>
      <x:c r="B182" t="str">
        <x:f>'Counter_PnL'!C182</x:f>
        <x:v>2025 S1</x:v>
      </x:c>
      <x:c r="C182" s="30" t="n">
        <x:f>COUNTIFS('Counter_PnL'!$D$2:$D$641,A182,'Counter_PnL'!$C$2:$C$641,B182)</x:f>
        <x:v>1</x:v>
      </x:c>
      <x:c r="D182" s="79" t="n">
        <x:f>ABS('Counter_PnL'!AC182-SUM('Counter_PnL'!V182:'Counter_PnL'!AB182))</x:f>
        <x:v>0</x:v>
      </x:c>
      <x:c r="E182" s="79" t="n">
        <x:f>ABS('Counter_PnL'!AI182-SUM('Counter_PnL'!R182,'Counter_PnL'!T182,'Counter_PnL'!AC182,'Counter_PnL'!AE182,'Counter_PnL'!AG182,'Counter_PnL'!AH182))</x:f>
        <x:v>0</x:v>
      </x:c>
      <x:c r="F182" s="79" t="n">
        <x:f>ABS('Counter_PnL'!AK182-('Counter_PnL'!Q182+'Counter_PnL'!AI182))</x:f>
        <x:v>0</x:v>
      </x:c>
      <x:c r="G182" s="79" t="n">
        <x:f>ABS('Counter_PnL'!AT182-SUM('Counter_PnL'!AO182:'Counter_PnL'!AS182))</x:f>
        <x:v>0</x:v>
      </x:c>
      <x:c r="H182" s="79" t="n">
        <x:f>ABS('Counter_PnL'!AV182-('Counter_PnL'!AK182+'Counter_PnL'!AT182))</x:f>
        <x:v>0</x:v>
      </x:c>
      <x:c r="I182" s="79" t="n">
        <x:f>ABS('Counter_PnL'!BE182-SUM('Counter_PnL'!AX182:'Counter_PnL'!BB182,'Counter_PnL'!BD182))</x:f>
        <x:v>0</x:v>
      </x:c>
      <x:c r="J182" s="79" t="n">
        <x:f>ABS('Counter_PnL'!BL182-SUM('Counter_PnL'!AV182,'Counter_PnL'!BE182,'Counter_PnL'!BJ182,'Counter_PnL'!BK182))</x:f>
        <x:v>0</x:v>
      </x:c>
      <x:c r="K182" s="79" t="n">
        <x:f>ABS('Counter_PnL'!BO182-('Counter_PnL'!BL182+'Counter_PnL'!BN182))</x:f>
        <x:v>0</x:v>
      </x:c>
      <x:c r="L182" s="79" t="n">
        <x:f>MAX(ABS('Counter_PnL'!AW182-'Counter_PnL'!AV182/'Counter_PnL'!AK182),ABS('Counter_PnL'!BM182-'Counter_PnL'!BL182/'Counter_PnL'!AK182),ABS('Counter_PnL'!BP182-'Counter_PnL'!BO182/'Counter_PnL'!AK182))</x:f>
        <x:v>0</x:v>
      </x:c>
      <x:c r="M182" s="30" t="n">
        <x:f>IF(AND('Counter_PnL'!Q182&gt;0,'Counter_PnL'!AK182&gt;0,'Counter_PnL'!R182&lt;=0,'Counter_PnL'!T182&lt;=0,'Counter_PnL'!AT182&lt;=0,'Counter_PnL'!BE182&lt;=0,'Counter_PnL'!BJ182&lt;=0,'Counter_PnL'!BK182&lt;=0,'Counter_PnL'!BN182&lt;=0),0,1)</x:f>
        <x:v>0</x:v>
      </x:c>
    </x:row>
    <x:row r="183">
      <x:c r="A183" t="str">
        <x:f>'Counter_PnL'!D183</x:f>
        <x:v>CNCT0046</x:v>
      </x:c>
      <x:c r="B183" t="str">
        <x:f>'Counter_PnL'!C183</x:f>
        <x:v>2025 S2</x:v>
      </x:c>
      <x:c r="C183" s="30" t="n">
        <x:f>COUNTIFS('Counter_PnL'!$D$2:$D$641,A183,'Counter_PnL'!$C$2:$C$641,B183)</x:f>
        <x:v>1</x:v>
      </x:c>
      <x:c r="D183" s="79" t="n">
        <x:f>ABS('Counter_PnL'!AC183-SUM('Counter_PnL'!V183:'Counter_PnL'!AB183))</x:f>
        <x:v>0</x:v>
      </x:c>
      <x:c r="E183" s="79" t="n">
        <x:f>ABS('Counter_PnL'!AI183-SUM('Counter_PnL'!R183,'Counter_PnL'!T183,'Counter_PnL'!AC183,'Counter_PnL'!AE183,'Counter_PnL'!AG183,'Counter_PnL'!AH183))</x:f>
        <x:v>0</x:v>
      </x:c>
      <x:c r="F183" s="79" t="n">
        <x:f>ABS('Counter_PnL'!AK183-('Counter_PnL'!Q183+'Counter_PnL'!AI183))</x:f>
        <x:v>0</x:v>
      </x:c>
      <x:c r="G183" s="79" t="n">
        <x:f>ABS('Counter_PnL'!AT183-SUM('Counter_PnL'!AO183:'Counter_PnL'!AS183))</x:f>
        <x:v>0</x:v>
      </x:c>
      <x:c r="H183" s="79" t="n">
        <x:f>ABS('Counter_PnL'!AV183-('Counter_PnL'!AK183+'Counter_PnL'!AT183))</x:f>
        <x:v>0</x:v>
      </x:c>
      <x:c r="I183" s="79" t="n">
        <x:f>ABS('Counter_PnL'!BE183-SUM('Counter_PnL'!AX183:'Counter_PnL'!BB183,'Counter_PnL'!BD183))</x:f>
        <x:v>0</x:v>
      </x:c>
      <x:c r="J183" s="79" t="n">
        <x:f>ABS('Counter_PnL'!BL183-SUM('Counter_PnL'!AV183,'Counter_PnL'!BE183,'Counter_PnL'!BJ183,'Counter_PnL'!BK183))</x:f>
        <x:v>0</x:v>
      </x:c>
      <x:c r="K183" s="79" t="n">
        <x:f>ABS('Counter_PnL'!BO183-('Counter_PnL'!BL183+'Counter_PnL'!BN183))</x:f>
        <x:v>0</x:v>
      </x:c>
      <x:c r="L183" s="79" t="n">
        <x:f>MAX(ABS('Counter_PnL'!AW183-'Counter_PnL'!AV183/'Counter_PnL'!AK183),ABS('Counter_PnL'!BM183-'Counter_PnL'!BL183/'Counter_PnL'!AK183),ABS('Counter_PnL'!BP183-'Counter_PnL'!BO183/'Counter_PnL'!AK183))</x:f>
        <x:v>0</x:v>
      </x:c>
      <x:c r="M183" s="30" t="n">
        <x:f>IF(AND('Counter_PnL'!Q183&gt;0,'Counter_PnL'!AK183&gt;0,'Counter_PnL'!R183&lt;=0,'Counter_PnL'!T183&lt;=0,'Counter_PnL'!AT183&lt;=0,'Counter_PnL'!BE183&lt;=0,'Counter_PnL'!BJ183&lt;=0,'Counter_PnL'!BK183&lt;=0,'Counter_PnL'!BN183&lt;=0),0,1)</x:f>
        <x:v>0</x:v>
      </x:c>
    </x:row>
    <x:row r="184">
      <x:c r="A184" t="str">
        <x:f>'Counter_PnL'!D184</x:f>
        <x:v>CNCT0046</x:v>
      </x:c>
      <x:c r="B184" t="str">
        <x:f>'Counter_PnL'!C184</x:f>
        <x:v>2026 S1</x:v>
      </x:c>
      <x:c r="C184" s="30" t="n">
        <x:f>COUNTIFS('Counter_PnL'!$D$2:$D$641,A184,'Counter_PnL'!$C$2:$C$641,B184)</x:f>
        <x:v>1</x:v>
      </x:c>
      <x:c r="D184" s="79" t="n">
        <x:f>ABS('Counter_PnL'!AC184-SUM('Counter_PnL'!V184:'Counter_PnL'!AB184))</x:f>
        <x:v>0</x:v>
      </x:c>
      <x:c r="E184" s="79" t="n">
        <x:f>ABS('Counter_PnL'!AI184-SUM('Counter_PnL'!R184,'Counter_PnL'!T184,'Counter_PnL'!AC184,'Counter_PnL'!AE184,'Counter_PnL'!AG184,'Counter_PnL'!AH184))</x:f>
        <x:v>0</x:v>
      </x:c>
      <x:c r="F184" s="79" t="n">
        <x:f>ABS('Counter_PnL'!AK184-('Counter_PnL'!Q184+'Counter_PnL'!AI184))</x:f>
        <x:v>0</x:v>
      </x:c>
      <x:c r="G184" s="79" t="n">
        <x:f>ABS('Counter_PnL'!AT184-SUM('Counter_PnL'!AO184:'Counter_PnL'!AS184))</x:f>
        <x:v>0</x:v>
      </x:c>
      <x:c r="H184" s="79" t="n">
        <x:f>ABS('Counter_PnL'!AV184-('Counter_PnL'!AK184+'Counter_PnL'!AT184))</x:f>
        <x:v>0</x:v>
      </x:c>
      <x:c r="I184" s="79" t="n">
        <x:f>ABS('Counter_PnL'!BE184-SUM('Counter_PnL'!AX184:'Counter_PnL'!BB184,'Counter_PnL'!BD184))</x:f>
        <x:v>0</x:v>
      </x:c>
      <x:c r="J184" s="79" t="n">
        <x:f>ABS('Counter_PnL'!BL184-SUM('Counter_PnL'!AV184,'Counter_PnL'!BE184,'Counter_PnL'!BJ184,'Counter_PnL'!BK184))</x:f>
        <x:v>0</x:v>
      </x:c>
      <x:c r="K184" s="79" t="n">
        <x:f>ABS('Counter_PnL'!BO184-('Counter_PnL'!BL184+'Counter_PnL'!BN184))</x:f>
        <x:v>0</x:v>
      </x:c>
      <x:c r="L184" s="79" t="n">
        <x:f>MAX(ABS('Counter_PnL'!AW184-'Counter_PnL'!AV184/'Counter_PnL'!AK184),ABS('Counter_PnL'!BM184-'Counter_PnL'!BL184/'Counter_PnL'!AK184),ABS('Counter_PnL'!BP184-'Counter_PnL'!BO184/'Counter_PnL'!AK184))</x:f>
        <x:v>0</x:v>
      </x:c>
      <x:c r="M184" s="30" t="n">
        <x:f>IF(AND('Counter_PnL'!Q184&gt;0,'Counter_PnL'!AK184&gt;0,'Counter_PnL'!R184&lt;=0,'Counter_PnL'!T184&lt;=0,'Counter_PnL'!AT184&lt;=0,'Counter_PnL'!BE184&lt;=0,'Counter_PnL'!BJ184&lt;=0,'Counter_PnL'!BK184&lt;=0,'Counter_PnL'!BN184&lt;=0),0,1)</x:f>
        <x:v>0</x:v>
      </x:c>
    </x:row>
    <x:row r="185">
      <x:c r="A185" t="str">
        <x:f>'Counter_PnL'!D185</x:f>
        <x:v>CNCT0046</x:v>
      </x:c>
      <x:c r="B185" t="str">
        <x:f>'Counter_PnL'!C185</x:f>
        <x:v>2026 S2</x:v>
      </x:c>
      <x:c r="C185" s="30" t="n">
        <x:f>COUNTIFS('Counter_PnL'!$D$2:$D$641,A185,'Counter_PnL'!$C$2:$C$641,B185)</x:f>
        <x:v>1</x:v>
      </x:c>
      <x:c r="D185" s="79" t="n">
        <x:f>ABS('Counter_PnL'!AC185-SUM('Counter_PnL'!V185:'Counter_PnL'!AB185))</x:f>
        <x:v>0</x:v>
      </x:c>
      <x:c r="E185" s="79" t="n">
        <x:f>ABS('Counter_PnL'!AI185-SUM('Counter_PnL'!R185,'Counter_PnL'!T185,'Counter_PnL'!AC185,'Counter_PnL'!AE185,'Counter_PnL'!AG185,'Counter_PnL'!AH185))</x:f>
        <x:v>0</x:v>
      </x:c>
      <x:c r="F185" s="79" t="n">
        <x:f>ABS('Counter_PnL'!AK185-('Counter_PnL'!Q185+'Counter_PnL'!AI185))</x:f>
        <x:v>0</x:v>
      </x:c>
      <x:c r="G185" s="79" t="n">
        <x:f>ABS('Counter_PnL'!AT185-SUM('Counter_PnL'!AO185:'Counter_PnL'!AS185))</x:f>
        <x:v>0</x:v>
      </x:c>
      <x:c r="H185" s="79" t="n">
        <x:f>ABS('Counter_PnL'!AV185-('Counter_PnL'!AK185+'Counter_PnL'!AT185))</x:f>
        <x:v>0</x:v>
      </x:c>
      <x:c r="I185" s="79" t="n">
        <x:f>ABS('Counter_PnL'!BE185-SUM('Counter_PnL'!AX185:'Counter_PnL'!BB185,'Counter_PnL'!BD185))</x:f>
        <x:v>0</x:v>
      </x:c>
      <x:c r="J185" s="79" t="n">
        <x:f>ABS('Counter_PnL'!BL185-SUM('Counter_PnL'!AV185,'Counter_PnL'!BE185,'Counter_PnL'!BJ185,'Counter_PnL'!BK185))</x:f>
        <x:v>0</x:v>
      </x:c>
      <x:c r="K185" s="79" t="n">
        <x:f>ABS('Counter_PnL'!BO185-('Counter_PnL'!BL185+'Counter_PnL'!BN185))</x:f>
        <x:v>0</x:v>
      </x:c>
      <x:c r="L185" s="79" t="n">
        <x:f>MAX(ABS('Counter_PnL'!AW185-'Counter_PnL'!AV185/'Counter_PnL'!AK185),ABS('Counter_PnL'!BM185-'Counter_PnL'!BL185/'Counter_PnL'!AK185),ABS('Counter_PnL'!BP185-'Counter_PnL'!BO185/'Counter_PnL'!AK185))</x:f>
        <x:v>0</x:v>
      </x:c>
      <x:c r="M185" s="30" t="n">
        <x:f>IF(AND('Counter_PnL'!Q185&gt;0,'Counter_PnL'!AK185&gt;0,'Counter_PnL'!R185&lt;=0,'Counter_PnL'!T185&lt;=0,'Counter_PnL'!AT185&lt;=0,'Counter_PnL'!BE185&lt;=0,'Counter_PnL'!BJ185&lt;=0,'Counter_PnL'!BK185&lt;=0,'Counter_PnL'!BN185&lt;=0),0,1)</x:f>
        <x:v>0</x:v>
      </x:c>
    </x:row>
    <x:row r="186">
      <x:c r="A186" t="str">
        <x:f>'Counter_PnL'!D186</x:f>
        <x:v>CNCT0047</x:v>
      </x:c>
      <x:c r="B186" t="str">
        <x:f>'Counter_PnL'!C186</x:f>
        <x:v>2025 S1</x:v>
      </x:c>
      <x:c r="C186" s="30" t="n">
        <x:f>COUNTIFS('Counter_PnL'!$D$2:$D$641,A186,'Counter_PnL'!$C$2:$C$641,B186)</x:f>
        <x:v>1</x:v>
      </x:c>
      <x:c r="D186" s="79" t="n">
        <x:f>ABS('Counter_PnL'!AC186-SUM('Counter_PnL'!V186:'Counter_PnL'!AB186))</x:f>
        <x:v>0</x:v>
      </x:c>
      <x:c r="E186" s="79" t="n">
        <x:f>ABS('Counter_PnL'!AI186-SUM('Counter_PnL'!R186,'Counter_PnL'!T186,'Counter_PnL'!AC186,'Counter_PnL'!AE186,'Counter_PnL'!AG186,'Counter_PnL'!AH186))</x:f>
        <x:v>0</x:v>
      </x:c>
      <x:c r="F186" s="79" t="n">
        <x:f>ABS('Counter_PnL'!AK186-('Counter_PnL'!Q186+'Counter_PnL'!AI186))</x:f>
        <x:v>0</x:v>
      </x:c>
      <x:c r="G186" s="79" t="n">
        <x:f>ABS('Counter_PnL'!AT186-SUM('Counter_PnL'!AO186:'Counter_PnL'!AS186))</x:f>
        <x:v>0</x:v>
      </x:c>
      <x:c r="H186" s="79" t="n">
        <x:f>ABS('Counter_PnL'!AV186-('Counter_PnL'!AK186+'Counter_PnL'!AT186))</x:f>
        <x:v>0</x:v>
      </x:c>
      <x:c r="I186" s="79" t="n">
        <x:f>ABS('Counter_PnL'!BE186-SUM('Counter_PnL'!AX186:'Counter_PnL'!BB186,'Counter_PnL'!BD186))</x:f>
        <x:v>0</x:v>
      </x:c>
      <x:c r="J186" s="79" t="n">
        <x:f>ABS('Counter_PnL'!BL186-SUM('Counter_PnL'!AV186,'Counter_PnL'!BE186,'Counter_PnL'!BJ186,'Counter_PnL'!BK186))</x:f>
        <x:v>0</x:v>
      </x:c>
      <x:c r="K186" s="79" t="n">
        <x:f>ABS('Counter_PnL'!BO186-('Counter_PnL'!BL186+'Counter_PnL'!BN186))</x:f>
        <x:v>0</x:v>
      </x:c>
      <x:c r="L186" s="79" t="n">
        <x:f>MAX(ABS('Counter_PnL'!AW186-'Counter_PnL'!AV186/'Counter_PnL'!AK186),ABS('Counter_PnL'!BM186-'Counter_PnL'!BL186/'Counter_PnL'!AK186),ABS('Counter_PnL'!BP186-'Counter_PnL'!BO186/'Counter_PnL'!AK186))</x:f>
        <x:v>0</x:v>
      </x:c>
      <x:c r="M186" s="30" t="n">
        <x:f>IF(AND('Counter_PnL'!Q186&gt;0,'Counter_PnL'!AK186&gt;0,'Counter_PnL'!R186&lt;=0,'Counter_PnL'!T186&lt;=0,'Counter_PnL'!AT186&lt;=0,'Counter_PnL'!BE186&lt;=0,'Counter_PnL'!BJ186&lt;=0,'Counter_PnL'!BK186&lt;=0,'Counter_PnL'!BN186&lt;=0),0,1)</x:f>
        <x:v>0</x:v>
      </x:c>
    </x:row>
    <x:row r="187">
      <x:c r="A187" t="str">
        <x:f>'Counter_PnL'!D187</x:f>
        <x:v>CNCT0047</x:v>
      </x:c>
      <x:c r="B187" t="str">
        <x:f>'Counter_PnL'!C187</x:f>
        <x:v>2025 S2</x:v>
      </x:c>
      <x:c r="C187" s="30" t="n">
        <x:f>COUNTIFS('Counter_PnL'!$D$2:$D$641,A187,'Counter_PnL'!$C$2:$C$641,B187)</x:f>
        <x:v>1</x:v>
      </x:c>
      <x:c r="D187" s="79" t="n">
        <x:f>ABS('Counter_PnL'!AC187-SUM('Counter_PnL'!V187:'Counter_PnL'!AB187))</x:f>
        <x:v>0</x:v>
      </x:c>
      <x:c r="E187" s="79" t="n">
        <x:f>ABS('Counter_PnL'!AI187-SUM('Counter_PnL'!R187,'Counter_PnL'!T187,'Counter_PnL'!AC187,'Counter_PnL'!AE187,'Counter_PnL'!AG187,'Counter_PnL'!AH187))</x:f>
        <x:v>0</x:v>
      </x:c>
      <x:c r="F187" s="79" t="n">
        <x:f>ABS('Counter_PnL'!AK187-('Counter_PnL'!Q187+'Counter_PnL'!AI187))</x:f>
        <x:v>0</x:v>
      </x:c>
      <x:c r="G187" s="79" t="n">
        <x:f>ABS('Counter_PnL'!AT187-SUM('Counter_PnL'!AO187:'Counter_PnL'!AS187))</x:f>
        <x:v>0</x:v>
      </x:c>
      <x:c r="H187" s="79" t="n">
        <x:f>ABS('Counter_PnL'!AV187-('Counter_PnL'!AK187+'Counter_PnL'!AT187))</x:f>
        <x:v>0</x:v>
      </x:c>
      <x:c r="I187" s="79" t="n">
        <x:f>ABS('Counter_PnL'!BE187-SUM('Counter_PnL'!AX187:'Counter_PnL'!BB187,'Counter_PnL'!BD187))</x:f>
        <x:v>0</x:v>
      </x:c>
      <x:c r="J187" s="79" t="n">
        <x:f>ABS('Counter_PnL'!BL187-SUM('Counter_PnL'!AV187,'Counter_PnL'!BE187,'Counter_PnL'!BJ187,'Counter_PnL'!BK187))</x:f>
        <x:v>0</x:v>
      </x:c>
      <x:c r="K187" s="79" t="n">
        <x:f>ABS('Counter_PnL'!BO187-('Counter_PnL'!BL187+'Counter_PnL'!BN187))</x:f>
        <x:v>0</x:v>
      </x:c>
      <x:c r="L187" s="79" t="n">
        <x:f>MAX(ABS('Counter_PnL'!AW187-'Counter_PnL'!AV187/'Counter_PnL'!AK187),ABS('Counter_PnL'!BM187-'Counter_PnL'!BL187/'Counter_PnL'!AK187),ABS('Counter_PnL'!BP187-'Counter_PnL'!BO187/'Counter_PnL'!AK187))</x:f>
        <x:v>0</x:v>
      </x:c>
      <x:c r="M187" s="30" t="n">
        <x:f>IF(AND('Counter_PnL'!Q187&gt;0,'Counter_PnL'!AK187&gt;0,'Counter_PnL'!R187&lt;=0,'Counter_PnL'!T187&lt;=0,'Counter_PnL'!AT187&lt;=0,'Counter_PnL'!BE187&lt;=0,'Counter_PnL'!BJ187&lt;=0,'Counter_PnL'!BK187&lt;=0,'Counter_PnL'!BN187&lt;=0),0,1)</x:f>
        <x:v>0</x:v>
      </x:c>
    </x:row>
    <x:row r="188">
      <x:c r="A188" t="str">
        <x:f>'Counter_PnL'!D188</x:f>
        <x:v>CNCT0047</x:v>
      </x:c>
      <x:c r="B188" t="str">
        <x:f>'Counter_PnL'!C188</x:f>
        <x:v>2026 S1</x:v>
      </x:c>
      <x:c r="C188" s="30" t="n">
        <x:f>COUNTIFS('Counter_PnL'!$D$2:$D$641,A188,'Counter_PnL'!$C$2:$C$641,B188)</x:f>
        <x:v>1</x:v>
      </x:c>
      <x:c r="D188" s="79" t="n">
        <x:f>ABS('Counter_PnL'!AC188-SUM('Counter_PnL'!V188:'Counter_PnL'!AB188))</x:f>
        <x:v>0</x:v>
      </x:c>
      <x:c r="E188" s="79" t="n">
        <x:f>ABS('Counter_PnL'!AI188-SUM('Counter_PnL'!R188,'Counter_PnL'!T188,'Counter_PnL'!AC188,'Counter_PnL'!AE188,'Counter_PnL'!AG188,'Counter_PnL'!AH188))</x:f>
        <x:v>0</x:v>
      </x:c>
      <x:c r="F188" s="79" t="n">
        <x:f>ABS('Counter_PnL'!AK188-('Counter_PnL'!Q188+'Counter_PnL'!AI188))</x:f>
        <x:v>0</x:v>
      </x:c>
      <x:c r="G188" s="79" t="n">
        <x:f>ABS('Counter_PnL'!AT188-SUM('Counter_PnL'!AO188:'Counter_PnL'!AS188))</x:f>
        <x:v>0</x:v>
      </x:c>
      <x:c r="H188" s="79" t="n">
        <x:f>ABS('Counter_PnL'!AV188-('Counter_PnL'!AK188+'Counter_PnL'!AT188))</x:f>
        <x:v>0</x:v>
      </x:c>
      <x:c r="I188" s="79" t="n">
        <x:f>ABS('Counter_PnL'!BE188-SUM('Counter_PnL'!AX188:'Counter_PnL'!BB188,'Counter_PnL'!BD188))</x:f>
        <x:v>0</x:v>
      </x:c>
      <x:c r="J188" s="79" t="n">
        <x:f>ABS('Counter_PnL'!BL188-SUM('Counter_PnL'!AV188,'Counter_PnL'!BE188,'Counter_PnL'!BJ188,'Counter_PnL'!BK188))</x:f>
        <x:v>0</x:v>
      </x:c>
      <x:c r="K188" s="79" t="n">
        <x:f>ABS('Counter_PnL'!BO188-('Counter_PnL'!BL188+'Counter_PnL'!BN188))</x:f>
        <x:v>0</x:v>
      </x:c>
      <x:c r="L188" s="79" t="n">
        <x:f>MAX(ABS('Counter_PnL'!AW188-'Counter_PnL'!AV188/'Counter_PnL'!AK188),ABS('Counter_PnL'!BM188-'Counter_PnL'!BL188/'Counter_PnL'!AK188),ABS('Counter_PnL'!BP188-'Counter_PnL'!BO188/'Counter_PnL'!AK188))</x:f>
        <x:v>0</x:v>
      </x:c>
      <x:c r="M188" s="30" t="n">
        <x:f>IF(AND('Counter_PnL'!Q188&gt;0,'Counter_PnL'!AK188&gt;0,'Counter_PnL'!R188&lt;=0,'Counter_PnL'!T188&lt;=0,'Counter_PnL'!AT188&lt;=0,'Counter_PnL'!BE188&lt;=0,'Counter_PnL'!BJ188&lt;=0,'Counter_PnL'!BK188&lt;=0,'Counter_PnL'!BN188&lt;=0),0,1)</x:f>
        <x:v>0</x:v>
      </x:c>
    </x:row>
    <x:row r="189">
      <x:c r="A189" t="str">
        <x:f>'Counter_PnL'!D189</x:f>
        <x:v>CNCT0047</x:v>
      </x:c>
      <x:c r="B189" t="str">
        <x:f>'Counter_PnL'!C189</x:f>
        <x:v>2026 S2</x:v>
      </x:c>
      <x:c r="C189" s="30" t="n">
        <x:f>COUNTIFS('Counter_PnL'!$D$2:$D$641,A189,'Counter_PnL'!$C$2:$C$641,B189)</x:f>
        <x:v>1</x:v>
      </x:c>
      <x:c r="D189" s="79" t="n">
        <x:f>ABS('Counter_PnL'!AC189-SUM('Counter_PnL'!V189:'Counter_PnL'!AB189))</x:f>
        <x:v>0</x:v>
      </x:c>
      <x:c r="E189" s="79" t="n">
        <x:f>ABS('Counter_PnL'!AI189-SUM('Counter_PnL'!R189,'Counter_PnL'!T189,'Counter_PnL'!AC189,'Counter_PnL'!AE189,'Counter_PnL'!AG189,'Counter_PnL'!AH189))</x:f>
        <x:v>0</x:v>
      </x:c>
      <x:c r="F189" s="79" t="n">
        <x:f>ABS('Counter_PnL'!AK189-('Counter_PnL'!Q189+'Counter_PnL'!AI189))</x:f>
        <x:v>0</x:v>
      </x:c>
      <x:c r="G189" s="79" t="n">
        <x:f>ABS('Counter_PnL'!AT189-SUM('Counter_PnL'!AO189:'Counter_PnL'!AS189))</x:f>
        <x:v>0</x:v>
      </x:c>
      <x:c r="H189" s="79" t="n">
        <x:f>ABS('Counter_PnL'!AV189-('Counter_PnL'!AK189+'Counter_PnL'!AT189))</x:f>
        <x:v>0</x:v>
      </x:c>
      <x:c r="I189" s="79" t="n">
        <x:f>ABS('Counter_PnL'!BE189-SUM('Counter_PnL'!AX189:'Counter_PnL'!BB189,'Counter_PnL'!BD189))</x:f>
        <x:v>0</x:v>
      </x:c>
      <x:c r="J189" s="79" t="n">
        <x:f>ABS('Counter_PnL'!BL189-SUM('Counter_PnL'!AV189,'Counter_PnL'!BE189,'Counter_PnL'!BJ189,'Counter_PnL'!BK189))</x:f>
        <x:v>0</x:v>
      </x:c>
      <x:c r="K189" s="79" t="n">
        <x:f>ABS('Counter_PnL'!BO189-('Counter_PnL'!BL189+'Counter_PnL'!BN189))</x:f>
        <x:v>0</x:v>
      </x:c>
      <x:c r="L189" s="79" t="n">
        <x:f>MAX(ABS('Counter_PnL'!AW189-'Counter_PnL'!AV189/'Counter_PnL'!AK189),ABS('Counter_PnL'!BM189-'Counter_PnL'!BL189/'Counter_PnL'!AK189),ABS('Counter_PnL'!BP189-'Counter_PnL'!BO189/'Counter_PnL'!AK189))</x:f>
        <x:v>0</x:v>
      </x:c>
      <x:c r="M189" s="30" t="n">
        <x:f>IF(AND('Counter_PnL'!Q189&gt;0,'Counter_PnL'!AK189&gt;0,'Counter_PnL'!R189&lt;=0,'Counter_PnL'!T189&lt;=0,'Counter_PnL'!AT189&lt;=0,'Counter_PnL'!BE189&lt;=0,'Counter_PnL'!BJ189&lt;=0,'Counter_PnL'!BK189&lt;=0,'Counter_PnL'!BN189&lt;=0),0,1)</x:f>
        <x:v>0</x:v>
      </x:c>
    </x:row>
    <x:row r="190">
      <x:c r="A190" t="str">
        <x:f>'Counter_PnL'!D190</x:f>
        <x:v>CNCT0048</x:v>
      </x:c>
      <x:c r="B190" t="str">
        <x:f>'Counter_PnL'!C190</x:f>
        <x:v>2025 S1</x:v>
      </x:c>
      <x:c r="C190" s="30" t="n">
        <x:f>COUNTIFS('Counter_PnL'!$D$2:$D$641,A190,'Counter_PnL'!$C$2:$C$641,B190)</x:f>
        <x:v>1</x:v>
      </x:c>
      <x:c r="D190" s="79" t="n">
        <x:f>ABS('Counter_PnL'!AC190-SUM('Counter_PnL'!V190:'Counter_PnL'!AB190))</x:f>
        <x:v>0</x:v>
      </x:c>
      <x:c r="E190" s="79" t="n">
        <x:f>ABS('Counter_PnL'!AI190-SUM('Counter_PnL'!R190,'Counter_PnL'!T190,'Counter_PnL'!AC190,'Counter_PnL'!AE190,'Counter_PnL'!AG190,'Counter_PnL'!AH190))</x:f>
        <x:v>0</x:v>
      </x:c>
      <x:c r="F190" s="79" t="n">
        <x:f>ABS('Counter_PnL'!AK190-('Counter_PnL'!Q190+'Counter_PnL'!AI190))</x:f>
        <x:v>0</x:v>
      </x:c>
      <x:c r="G190" s="79" t="n">
        <x:f>ABS('Counter_PnL'!AT190-SUM('Counter_PnL'!AO190:'Counter_PnL'!AS190))</x:f>
        <x:v>0</x:v>
      </x:c>
      <x:c r="H190" s="79" t="n">
        <x:f>ABS('Counter_PnL'!AV190-('Counter_PnL'!AK190+'Counter_PnL'!AT190))</x:f>
        <x:v>0</x:v>
      </x:c>
      <x:c r="I190" s="79" t="n">
        <x:f>ABS('Counter_PnL'!BE190-SUM('Counter_PnL'!AX190:'Counter_PnL'!BB190,'Counter_PnL'!BD190))</x:f>
        <x:v>0</x:v>
      </x:c>
      <x:c r="J190" s="79" t="n">
        <x:f>ABS('Counter_PnL'!BL190-SUM('Counter_PnL'!AV190,'Counter_PnL'!BE190,'Counter_PnL'!BJ190,'Counter_PnL'!BK190))</x:f>
        <x:v>0</x:v>
      </x:c>
      <x:c r="K190" s="79" t="n">
        <x:f>ABS('Counter_PnL'!BO190-('Counter_PnL'!BL190+'Counter_PnL'!BN190))</x:f>
        <x:v>0</x:v>
      </x:c>
      <x:c r="L190" s="79" t="n">
        <x:f>MAX(ABS('Counter_PnL'!AW190-'Counter_PnL'!AV190/'Counter_PnL'!AK190),ABS('Counter_PnL'!BM190-'Counter_PnL'!BL190/'Counter_PnL'!AK190),ABS('Counter_PnL'!BP190-'Counter_PnL'!BO190/'Counter_PnL'!AK190))</x:f>
        <x:v>0</x:v>
      </x:c>
      <x:c r="M190" s="30" t="n">
        <x:f>IF(AND('Counter_PnL'!Q190&gt;0,'Counter_PnL'!AK190&gt;0,'Counter_PnL'!R190&lt;=0,'Counter_PnL'!T190&lt;=0,'Counter_PnL'!AT190&lt;=0,'Counter_PnL'!BE190&lt;=0,'Counter_PnL'!BJ190&lt;=0,'Counter_PnL'!BK190&lt;=0,'Counter_PnL'!BN190&lt;=0),0,1)</x:f>
        <x:v>0</x:v>
      </x:c>
    </x:row>
    <x:row r="191">
      <x:c r="A191" t="str">
        <x:f>'Counter_PnL'!D191</x:f>
        <x:v>CNCT0048</x:v>
      </x:c>
      <x:c r="B191" t="str">
        <x:f>'Counter_PnL'!C191</x:f>
        <x:v>2025 S2</x:v>
      </x:c>
      <x:c r="C191" s="30" t="n">
        <x:f>COUNTIFS('Counter_PnL'!$D$2:$D$641,A191,'Counter_PnL'!$C$2:$C$641,B191)</x:f>
        <x:v>1</x:v>
      </x:c>
      <x:c r="D191" s="79" t="n">
        <x:f>ABS('Counter_PnL'!AC191-SUM('Counter_PnL'!V191:'Counter_PnL'!AB191))</x:f>
        <x:v>0</x:v>
      </x:c>
      <x:c r="E191" s="79" t="n">
        <x:f>ABS('Counter_PnL'!AI191-SUM('Counter_PnL'!R191,'Counter_PnL'!T191,'Counter_PnL'!AC191,'Counter_PnL'!AE191,'Counter_PnL'!AG191,'Counter_PnL'!AH191))</x:f>
        <x:v>0</x:v>
      </x:c>
      <x:c r="F191" s="79" t="n">
        <x:f>ABS('Counter_PnL'!AK191-('Counter_PnL'!Q191+'Counter_PnL'!AI191))</x:f>
        <x:v>0</x:v>
      </x:c>
      <x:c r="G191" s="79" t="n">
        <x:f>ABS('Counter_PnL'!AT191-SUM('Counter_PnL'!AO191:'Counter_PnL'!AS191))</x:f>
        <x:v>0</x:v>
      </x:c>
      <x:c r="H191" s="79" t="n">
        <x:f>ABS('Counter_PnL'!AV191-('Counter_PnL'!AK191+'Counter_PnL'!AT191))</x:f>
        <x:v>0</x:v>
      </x:c>
      <x:c r="I191" s="79" t="n">
        <x:f>ABS('Counter_PnL'!BE191-SUM('Counter_PnL'!AX191:'Counter_PnL'!BB191,'Counter_PnL'!BD191))</x:f>
        <x:v>0</x:v>
      </x:c>
      <x:c r="J191" s="79" t="n">
        <x:f>ABS('Counter_PnL'!BL191-SUM('Counter_PnL'!AV191,'Counter_PnL'!BE191,'Counter_PnL'!BJ191,'Counter_PnL'!BK191))</x:f>
        <x:v>0</x:v>
      </x:c>
      <x:c r="K191" s="79" t="n">
        <x:f>ABS('Counter_PnL'!BO191-('Counter_PnL'!BL191+'Counter_PnL'!BN191))</x:f>
        <x:v>0</x:v>
      </x:c>
      <x:c r="L191" s="79" t="n">
        <x:f>MAX(ABS('Counter_PnL'!AW191-'Counter_PnL'!AV191/'Counter_PnL'!AK191),ABS('Counter_PnL'!BM191-'Counter_PnL'!BL191/'Counter_PnL'!AK191),ABS('Counter_PnL'!BP191-'Counter_PnL'!BO191/'Counter_PnL'!AK191))</x:f>
        <x:v>0</x:v>
      </x:c>
      <x:c r="M191" s="30" t="n">
        <x:f>IF(AND('Counter_PnL'!Q191&gt;0,'Counter_PnL'!AK191&gt;0,'Counter_PnL'!R191&lt;=0,'Counter_PnL'!T191&lt;=0,'Counter_PnL'!AT191&lt;=0,'Counter_PnL'!BE191&lt;=0,'Counter_PnL'!BJ191&lt;=0,'Counter_PnL'!BK191&lt;=0,'Counter_PnL'!BN191&lt;=0),0,1)</x:f>
        <x:v>0</x:v>
      </x:c>
    </x:row>
    <x:row r="192">
      <x:c r="A192" t="str">
        <x:f>'Counter_PnL'!D192</x:f>
        <x:v>CNCT0048</x:v>
      </x:c>
      <x:c r="B192" t="str">
        <x:f>'Counter_PnL'!C192</x:f>
        <x:v>2026 S1</x:v>
      </x:c>
      <x:c r="C192" s="30" t="n">
        <x:f>COUNTIFS('Counter_PnL'!$D$2:$D$641,A192,'Counter_PnL'!$C$2:$C$641,B192)</x:f>
        <x:v>1</x:v>
      </x:c>
      <x:c r="D192" s="79" t="n">
        <x:f>ABS('Counter_PnL'!AC192-SUM('Counter_PnL'!V192:'Counter_PnL'!AB192))</x:f>
        <x:v>0</x:v>
      </x:c>
      <x:c r="E192" s="79" t="n">
        <x:f>ABS('Counter_PnL'!AI192-SUM('Counter_PnL'!R192,'Counter_PnL'!T192,'Counter_PnL'!AC192,'Counter_PnL'!AE192,'Counter_PnL'!AG192,'Counter_PnL'!AH192))</x:f>
        <x:v>0</x:v>
      </x:c>
      <x:c r="F192" s="79" t="n">
        <x:f>ABS('Counter_PnL'!AK192-('Counter_PnL'!Q192+'Counter_PnL'!AI192))</x:f>
        <x:v>0</x:v>
      </x:c>
      <x:c r="G192" s="79" t="n">
        <x:f>ABS('Counter_PnL'!AT192-SUM('Counter_PnL'!AO192:'Counter_PnL'!AS192))</x:f>
        <x:v>0</x:v>
      </x:c>
      <x:c r="H192" s="79" t="n">
        <x:f>ABS('Counter_PnL'!AV192-('Counter_PnL'!AK192+'Counter_PnL'!AT192))</x:f>
        <x:v>0</x:v>
      </x:c>
      <x:c r="I192" s="79" t="n">
        <x:f>ABS('Counter_PnL'!BE192-SUM('Counter_PnL'!AX192:'Counter_PnL'!BB192,'Counter_PnL'!BD192))</x:f>
        <x:v>0</x:v>
      </x:c>
      <x:c r="J192" s="79" t="n">
        <x:f>ABS('Counter_PnL'!BL192-SUM('Counter_PnL'!AV192,'Counter_PnL'!BE192,'Counter_PnL'!BJ192,'Counter_PnL'!BK192))</x:f>
        <x:v>0</x:v>
      </x:c>
      <x:c r="K192" s="79" t="n">
        <x:f>ABS('Counter_PnL'!BO192-('Counter_PnL'!BL192+'Counter_PnL'!BN192))</x:f>
        <x:v>0</x:v>
      </x:c>
      <x:c r="L192" s="79" t="n">
        <x:f>MAX(ABS('Counter_PnL'!AW192-'Counter_PnL'!AV192/'Counter_PnL'!AK192),ABS('Counter_PnL'!BM192-'Counter_PnL'!BL192/'Counter_PnL'!AK192),ABS('Counter_PnL'!BP192-'Counter_PnL'!BO192/'Counter_PnL'!AK192))</x:f>
        <x:v>0</x:v>
      </x:c>
      <x:c r="M192" s="30" t="n">
        <x:f>IF(AND('Counter_PnL'!Q192&gt;0,'Counter_PnL'!AK192&gt;0,'Counter_PnL'!R192&lt;=0,'Counter_PnL'!T192&lt;=0,'Counter_PnL'!AT192&lt;=0,'Counter_PnL'!BE192&lt;=0,'Counter_PnL'!BJ192&lt;=0,'Counter_PnL'!BK192&lt;=0,'Counter_PnL'!BN192&lt;=0),0,1)</x:f>
        <x:v>0</x:v>
      </x:c>
    </x:row>
    <x:row r="193">
      <x:c r="A193" t="str">
        <x:f>'Counter_PnL'!D193</x:f>
        <x:v>CNCT0048</x:v>
      </x:c>
      <x:c r="B193" t="str">
        <x:f>'Counter_PnL'!C193</x:f>
        <x:v>2026 S2</x:v>
      </x:c>
      <x:c r="C193" s="30" t="n">
        <x:f>COUNTIFS('Counter_PnL'!$D$2:$D$641,A193,'Counter_PnL'!$C$2:$C$641,B193)</x:f>
        <x:v>1</x:v>
      </x:c>
      <x:c r="D193" s="79" t="n">
        <x:f>ABS('Counter_PnL'!AC193-SUM('Counter_PnL'!V193:'Counter_PnL'!AB193))</x:f>
        <x:v>0</x:v>
      </x:c>
      <x:c r="E193" s="79" t="n">
        <x:f>ABS('Counter_PnL'!AI193-SUM('Counter_PnL'!R193,'Counter_PnL'!T193,'Counter_PnL'!AC193,'Counter_PnL'!AE193,'Counter_PnL'!AG193,'Counter_PnL'!AH193))</x:f>
        <x:v>0</x:v>
      </x:c>
      <x:c r="F193" s="79" t="n">
        <x:f>ABS('Counter_PnL'!AK193-('Counter_PnL'!Q193+'Counter_PnL'!AI193))</x:f>
        <x:v>0</x:v>
      </x:c>
      <x:c r="G193" s="79" t="n">
        <x:f>ABS('Counter_PnL'!AT193-SUM('Counter_PnL'!AO193:'Counter_PnL'!AS193))</x:f>
        <x:v>0</x:v>
      </x:c>
      <x:c r="H193" s="79" t="n">
        <x:f>ABS('Counter_PnL'!AV193-('Counter_PnL'!AK193+'Counter_PnL'!AT193))</x:f>
        <x:v>0</x:v>
      </x:c>
      <x:c r="I193" s="79" t="n">
        <x:f>ABS('Counter_PnL'!BE193-SUM('Counter_PnL'!AX193:'Counter_PnL'!BB193,'Counter_PnL'!BD193))</x:f>
        <x:v>0</x:v>
      </x:c>
      <x:c r="J193" s="79" t="n">
        <x:f>ABS('Counter_PnL'!BL193-SUM('Counter_PnL'!AV193,'Counter_PnL'!BE193,'Counter_PnL'!BJ193,'Counter_PnL'!BK193))</x:f>
        <x:v>0</x:v>
      </x:c>
      <x:c r="K193" s="79" t="n">
        <x:f>ABS('Counter_PnL'!BO193-('Counter_PnL'!BL193+'Counter_PnL'!BN193))</x:f>
        <x:v>0</x:v>
      </x:c>
      <x:c r="L193" s="79" t="n">
        <x:f>MAX(ABS('Counter_PnL'!AW193-'Counter_PnL'!AV193/'Counter_PnL'!AK193),ABS('Counter_PnL'!BM193-'Counter_PnL'!BL193/'Counter_PnL'!AK193),ABS('Counter_PnL'!BP193-'Counter_PnL'!BO193/'Counter_PnL'!AK193))</x:f>
        <x:v>0</x:v>
      </x:c>
      <x:c r="M193" s="30" t="n">
        <x:f>IF(AND('Counter_PnL'!Q193&gt;0,'Counter_PnL'!AK193&gt;0,'Counter_PnL'!R193&lt;=0,'Counter_PnL'!T193&lt;=0,'Counter_PnL'!AT193&lt;=0,'Counter_PnL'!BE193&lt;=0,'Counter_PnL'!BJ193&lt;=0,'Counter_PnL'!BK193&lt;=0,'Counter_PnL'!BN193&lt;=0),0,1)</x:f>
        <x:v>0</x:v>
      </x:c>
    </x:row>
    <x:row r="194">
      <x:c r="A194" t="str">
        <x:f>'Counter_PnL'!D194</x:f>
        <x:v>CNCT0049</x:v>
      </x:c>
      <x:c r="B194" t="str">
        <x:f>'Counter_PnL'!C194</x:f>
        <x:v>2025 S1</x:v>
      </x:c>
      <x:c r="C194" s="30" t="n">
        <x:f>COUNTIFS('Counter_PnL'!$D$2:$D$641,A194,'Counter_PnL'!$C$2:$C$641,B194)</x:f>
        <x:v>1</x:v>
      </x:c>
      <x:c r="D194" s="79" t="n">
        <x:f>ABS('Counter_PnL'!AC194-SUM('Counter_PnL'!V194:'Counter_PnL'!AB194))</x:f>
        <x:v>0</x:v>
      </x:c>
      <x:c r="E194" s="79" t="n">
        <x:f>ABS('Counter_PnL'!AI194-SUM('Counter_PnL'!R194,'Counter_PnL'!T194,'Counter_PnL'!AC194,'Counter_PnL'!AE194,'Counter_PnL'!AG194,'Counter_PnL'!AH194))</x:f>
        <x:v>0</x:v>
      </x:c>
      <x:c r="F194" s="79" t="n">
        <x:f>ABS('Counter_PnL'!AK194-('Counter_PnL'!Q194+'Counter_PnL'!AI194))</x:f>
        <x:v>0</x:v>
      </x:c>
      <x:c r="G194" s="79" t="n">
        <x:f>ABS('Counter_PnL'!AT194-SUM('Counter_PnL'!AO194:'Counter_PnL'!AS194))</x:f>
        <x:v>0</x:v>
      </x:c>
      <x:c r="H194" s="79" t="n">
        <x:f>ABS('Counter_PnL'!AV194-('Counter_PnL'!AK194+'Counter_PnL'!AT194))</x:f>
        <x:v>0</x:v>
      </x:c>
      <x:c r="I194" s="79" t="n">
        <x:f>ABS('Counter_PnL'!BE194-SUM('Counter_PnL'!AX194:'Counter_PnL'!BB194,'Counter_PnL'!BD194))</x:f>
        <x:v>0</x:v>
      </x:c>
      <x:c r="J194" s="79" t="n">
        <x:f>ABS('Counter_PnL'!BL194-SUM('Counter_PnL'!AV194,'Counter_PnL'!BE194,'Counter_PnL'!BJ194,'Counter_PnL'!BK194))</x:f>
        <x:v>0</x:v>
      </x:c>
      <x:c r="K194" s="79" t="n">
        <x:f>ABS('Counter_PnL'!BO194-('Counter_PnL'!BL194+'Counter_PnL'!BN194))</x:f>
        <x:v>0</x:v>
      </x:c>
      <x:c r="L194" s="79" t="n">
        <x:f>MAX(ABS('Counter_PnL'!AW194-'Counter_PnL'!AV194/'Counter_PnL'!AK194),ABS('Counter_PnL'!BM194-'Counter_PnL'!BL194/'Counter_PnL'!AK194),ABS('Counter_PnL'!BP194-'Counter_PnL'!BO194/'Counter_PnL'!AK194))</x:f>
        <x:v>0</x:v>
      </x:c>
      <x:c r="M194" s="30" t="n">
        <x:f>IF(AND('Counter_PnL'!Q194&gt;0,'Counter_PnL'!AK194&gt;0,'Counter_PnL'!R194&lt;=0,'Counter_PnL'!T194&lt;=0,'Counter_PnL'!AT194&lt;=0,'Counter_PnL'!BE194&lt;=0,'Counter_PnL'!BJ194&lt;=0,'Counter_PnL'!BK194&lt;=0,'Counter_PnL'!BN194&lt;=0),0,1)</x:f>
        <x:v>0</x:v>
      </x:c>
    </x:row>
    <x:row r="195">
      <x:c r="A195" t="str">
        <x:f>'Counter_PnL'!D195</x:f>
        <x:v>CNCT0049</x:v>
      </x:c>
      <x:c r="B195" t="str">
        <x:f>'Counter_PnL'!C195</x:f>
        <x:v>2025 S2</x:v>
      </x:c>
      <x:c r="C195" s="30" t="n">
        <x:f>COUNTIFS('Counter_PnL'!$D$2:$D$641,A195,'Counter_PnL'!$C$2:$C$641,B195)</x:f>
        <x:v>1</x:v>
      </x:c>
      <x:c r="D195" s="79" t="n">
        <x:f>ABS('Counter_PnL'!AC195-SUM('Counter_PnL'!V195:'Counter_PnL'!AB195))</x:f>
        <x:v>0</x:v>
      </x:c>
      <x:c r="E195" s="79" t="n">
        <x:f>ABS('Counter_PnL'!AI195-SUM('Counter_PnL'!R195,'Counter_PnL'!T195,'Counter_PnL'!AC195,'Counter_PnL'!AE195,'Counter_PnL'!AG195,'Counter_PnL'!AH195))</x:f>
        <x:v>0</x:v>
      </x:c>
      <x:c r="F195" s="79" t="n">
        <x:f>ABS('Counter_PnL'!AK195-('Counter_PnL'!Q195+'Counter_PnL'!AI195))</x:f>
        <x:v>0</x:v>
      </x:c>
      <x:c r="G195" s="79" t="n">
        <x:f>ABS('Counter_PnL'!AT195-SUM('Counter_PnL'!AO195:'Counter_PnL'!AS195))</x:f>
        <x:v>0</x:v>
      </x:c>
      <x:c r="H195" s="79" t="n">
        <x:f>ABS('Counter_PnL'!AV195-('Counter_PnL'!AK195+'Counter_PnL'!AT195))</x:f>
        <x:v>0</x:v>
      </x:c>
      <x:c r="I195" s="79" t="n">
        <x:f>ABS('Counter_PnL'!BE195-SUM('Counter_PnL'!AX195:'Counter_PnL'!BB195,'Counter_PnL'!BD195))</x:f>
        <x:v>0</x:v>
      </x:c>
      <x:c r="J195" s="79" t="n">
        <x:f>ABS('Counter_PnL'!BL195-SUM('Counter_PnL'!AV195,'Counter_PnL'!BE195,'Counter_PnL'!BJ195,'Counter_PnL'!BK195))</x:f>
        <x:v>0</x:v>
      </x:c>
      <x:c r="K195" s="79" t="n">
        <x:f>ABS('Counter_PnL'!BO195-('Counter_PnL'!BL195+'Counter_PnL'!BN195))</x:f>
        <x:v>0</x:v>
      </x:c>
      <x:c r="L195" s="79" t="n">
        <x:f>MAX(ABS('Counter_PnL'!AW195-'Counter_PnL'!AV195/'Counter_PnL'!AK195),ABS('Counter_PnL'!BM195-'Counter_PnL'!BL195/'Counter_PnL'!AK195),ABS('Counter_PnL'!BP195-'Counter_PnL'!BO195/'Counter_PnL'!AK195))</x:f>
        <x:v>0</x:v>
      </x:c>
      <x:c r="M195" s="30" t="n">
        <x:f>IF(AND('Counter_PnL'!Q195&gt;0,'Counter_PnL'!AK195&gt;0,'Counter_PnL'!R195&lt;=0,'Counter_PnL'!T195&lt;=0,'Counter_PnL'!AT195&lt;=0,'Counter_PnL'!BE195&lt;=0,'Counter_PnL'!BJ195&lt;=0,'Counter_PnL'!BK195&lt;=0,'Counter_PnL'!BN195&lt;=0),0,1)</x:f>
        <x:v>0</x:v>
      </x:c>
    </x:row>
    <x:row r="196">
      <x:c r="A196" t="str">
        <x:f>'Counter_PnL'!D196</x:f>
        <x:v>CNCT0049</x:v>
      </x:c>
      <x:c r="B196" t="str">
        <x:f>'Counter_PnL'!C196</x:f>
        <x:v>2026 S1</x:v>
      </x:c>
      <x:c r="C196" s="30" t="n">
        <x:f>COUNTIFS('Counter_PnL'!$D$2:$D$641,A196,'Counter_PnL'!$C$2:$C$641,B196)</x:f>
        <x:v>1</x:v>
      </x:c>
      <x:c r="D196" s="79" t="n">
        <x:f>ABS('Counter_PnL'!AC196-SUM('Counter_PnL'!V196:'Counter_PnL'!AB196))</x:f>
        <x:v>0</x:v>
      </x:c>
      <x:c r="E196" s="79" t="n">
        <x:f>ABS('Counter_PnL'!AI196-SUM('Counter_PnL'!R196,'Counter_PnL'!T196,'Counter_PnL'!AC196,'Counter_PnL'!AE196,'Counter_PnL'!AG196,'Counter_PnL'!AH196))</x:f>
        <x:v>0</x:v>
      </x:c>
      <x:c r="F196" s="79" t="n">
        <x:f>ABS('Counter_PnL'!AK196-('Counter_PnL'!Q196+'Counter_PnL'!AI196))</x:f>
        <x:v>0</x:v>
      </x:c>
      <x:c r="G196" s="79" t="n">
        <x:f>ABS('Counter_PnL'!AT196-SUM('Counter_PnL'!AO196:'Counter_PnL'!AS196))</x:f>
        <x:v>0</x:v>
      </x:c>
      <x:c r="H196" s="79" t="n">
        <x:f>ABS('Counter_PnL'!AV196-('Counter_PnL'!AK196+'Counter_PnL'!AT196))</x:f>
        <x:v>0</x:v>
      </x:c>
      <x:c r="I196" s="79" t="n">
        <x:f>ABS('Counter_PnL'!BE196-SUM('Counter_PnL'!AX196:'Counter_PnL'!BB196,'Counter_PnL'!BD196))</x:f>
        <x:v>0</x:v>
      </x:c>
      <x:c r="J196" s="79" t="n">
        <x:f>ABS('Counter_PnL'!BL196-SUM('Counter_PnL'!AV196,'Counter_PnL'!BE196,'Counter_PnL'!BJ196,'Counter_PnL'!BK196))</x:f>
        <x:v>0</x:v>
      </x:c>
      <x:c r="K196" s="79" t="n">
        <x:f>ABS('Counter_PnL'!BO196-('Counter_PnL'!BL196+'Counter_PnL'!BN196))</x:f>
        <x:v>0</x:v>
      </x:c>
      <x:c r="L196" s="79" t="n">
        <x:f>MAX(ABS('Counter_PnL'!AW196-'Counter_PnL'!AV196/'Counter_PnL'!AK196),ABS('Counter_PnL'!BM196-'Counter_PnL'!BL196/'Counter_PnL'!AK196),ABS('Counter_PnL'!BP196-'Counter_PnL'!BO196/'Counter_PnL'!AK196))</x:f>
        <x:v>0</x:v>
      </x:c>
      <x:c r="M196" s="30" t="n">
        <x:f>IF(AND('Counter_PnL'!Q196&gt;0,'Counter_PnL'!AK196&gt;0,'Counter_PnL'!R196&lt;=0,'Counter_PnL'!T196&lt;=0,'Counter_PnL'!AT196&lt;=0,'Counter_PnL'!BE196&lt;=0,'Counter_PnL'!BJ196&lt;=0,'Counter_PnL'!BK196&lt;=0,'Counter_PnL'!BN196&lt;=0),0,1)</x:f>
        <x:v>0</x:v>
      </x:c>
    </x:row>
    <x:row r="197">
      <x:c r="A197" t="str">
        <x:f>'Counter_PnL'!D197</x:f>
        <x:v>CNCT0049</x:v>
      </x:c>
      <x:c r="B197" t="str">
        <x:f>'Counter_PnL'!C197</x:f>
        <x:v>2026 S2</x:v>
      </x:c>
      <x:c r="C197" s="30" t="n">
        <x:f>COUNTIFS('Counter_PnL'!$D$2:$D$641,A197,'Counter_PnL'!$C$2:$C$641,B197)</x:f>
        <x:v>1</x:v>
      </x:c>
      <x:c r="D197" s="79" t="n">
        <x:f>ABS('Counter_PnL'!AC197-SUM('Counter_PnL'!V197:'Counter_PnL'!AB197))</x:f>
        <x:v>0</x:v>
      </x:c>
      <x:c r="E197" s="79" t="n">
        <x:f>ABS('Counter_PnL'!AI197-SUM('Counter_PnL'!R197,'Counter_PnL'!T197,'Counter_PnL'!AC197,'Counter_PnL'!AE197,'Counter_PnL'!AG197,'Counter_PnL'!AH197))</x:f>
        <x:v>0</x:v>
      </x:c>
      <x:c r="F197" s="79" t="n">
        <x:f>ABS('Counter_PnL'!AK197-('Counter_PnL'!Q197+'Counter_PnL'!AI197))</x:f>
        <x:v>0</x:v>
      </x:c>
      <x:c r="G197" s="79" t="n">
        <x:f>ABS('Counter_PnL'!AT197-SUM('Counter_PnL'!AO197:'Counter_PnL'!AS197))</x:f>
        <x:v>0</x:v>
      </x:c>
      <x:c r="H197" s="79" t="n">
        <x:f>ABS('Counter_PnL'!AV197-('Counter_PnL'!AK197+'Counter_PnL'!AT197))</x:f>
        <x:v>0</x:v>
      </x:c>
      <x:c r="I197" s="79" t="n">
        <x:f>ABS('Counter_PnL'!BE197-SUM('Counter_PnL'!AX197:'Counter_PnL'!BB197,'Counter_PnL'!BD197))</x:f>
        <x:v>0</x:v>
      </x:c>
      <x:c r="J197" s="79" t="n">
        <x:f>ABS('Counter_PnL'!BL197-SUM('Counter_PnL'!AV197,'Counter_PnL'!BE197,'Counter_PnL'!BJ197,'Counter_PnL'!BK197))</x:f>
        <x:v>0</x:v>
      </x:c>
      <x:c r="K197" s="79" t="n">
        <x:f>ABS('Counter_PnL'!BO197-('Counter_PnL'!BL197+'Counter_PnL'!BN197))</x:f>
        <x:v>0</x:v>
      </x:c>
      <x:c r="L197" s="79" t="n">
        <x:f>MAX(ABS('Counter_PnL'!AW197-'Counter_PnL'!AV197/'Counter_PnL'!AK197),ABS('Counter_PnL'!BM197-'Counter_PnL'!BL197/'Counter_PnL'!AK197),ABS('Counter_PnL'!BP197-'Counter_PnL'!BO197/'Counter_PnL'!AK197))</x:f>
        <x:v>0</x:v>
      </x:c>
      <x:c r="M197" s="30" t="n">
        <x:f>IF(AND('Counter_PnL'!Q197&gt;0,'Counter_PnL'!AK197&gt;0,'Counter_PnL'!R197&lt;=0,'Counter_PnL'!T197&lt;=0,'Counter_PnL'!AT197&lt;=0,'Counter_PnL'!BE197&lt;=0,'Counter_PnL'!BJ197&lt;=0,'Counter_PnL'!BK197&lt;=0,'Counter_PnL'!BN197&lt;=0),0,1)</x:f>
        <x:v>0</x:v>
      </x:c>
    </x:row>
    <x:row r="198">
      <x:c r="A198" t="str">
        <x:f>'Counter_PnL'!D198</x:f>
        <x:v>CNCT0050</x:v>
      </x:c>
      <x:c r="B198" t="str">
        <x:f>'Counter_PnL'!C198</x:f>
        <x:v>2025 S1</x:v>
      </x:c>
      <x:c r="C198" s="30" t="n">
        <x:f>COUNTIFS('Counter_PnL'!$D$2:$D$641,A198,'Counter_PnL'!$C$2:$C$641,B198)</x:f>
        <x:v>1</x:v>
      </x:c>
      <x:c r="D198" s="79" t="n">
        <x:f>ABS('Counter_PnL'!AC198-SUM('Counter_PnL'!V198:'Counter_PnL'!AB198))</x:f>
        <x:v>0</x:v>
      </x:c>
      <x:c r="E198" s="79" t="n">
        <x:f>ABS('Counter_PnL'!AI198-SUM('Counter_PnL'!R198,'Counter_PnL'!T198,'Counter_PnL'!AC198,'Counter_PnL'!AE198,'Counter_PnL'!AG198,'Counter_PnL'!AH198))</x:f>
        <x:v>0</x:v>
      </x:c>
      <x:c r="F198" s="79" t="n">
        <x:f>ABS('Counter_PnL'!AK198-('Counter_PnL'!Q198+'Counter_PnL'!AI198))</x:f>
        <x:v>0</x:v>
      </x:c>
      <x:c r="G198" s="79" t="n">
        <x:f>ABS('Counter_PnL'!AT198-SUM('Counter_PnL'!AO198:'Counter_PnL'!AS198))</x:f>
        <x:v>0</x:v>
      </x:c>
      <x:c r="H198" s="79" t="n">
        <x:f>ABS('Counter_PnL'!AV198-('Counter_PnL'!AK198+'Counter_PnL'!AT198))</x:f>
        <x:v>0</x:v>
      </x:c>
      <x:c r="I198" s="79" t="n">
        <x:f>ABS('Counter_PnL'!BE198-SUM('Counter_PnL'!AX198:'Counter_PnL'!BB198,'Counter_PnL'!BD198))</x:f>
        <x:v>0</x:v>
      </x:c>
      <x:c r="J198" s="79" t="n">
        <x:f>ABS('Counter_PnL'!BL198-SUM('Counter_PnL'!AV198,'Counter_PnL'!BE198,'Counter_PnL'!BJ198,'Counter_PnL'!BK198))</x:f>
        <x:v>0</x:v>
      </x:c>
      <x:c r="K198" s="79" t="n">
        <x:f>ABS('Counter_PnL'!BO198-('Counter_PnL'!BL198+'Counter_PnL'!BN198))</x:f>
        <x:v>0</x:v>
      </x:c>
      <x:c r="L198" s="79" t="n">
        <x:f>MAX(ABS('Counter_PnL'!AW198-'Counter_PnL'!AV198/'Counter_PnL'!AK198),ABS('Counter_PnL'!BM198-'Counter_PnL'!BL198/'Counter_PnL'!AK198),ABS('Counter_PnL'!BP198-'Counter_PnL'!BO198/'Counter_PnL'!AK198))</x:f>
        <x:v>0</x:v>
      </x:c>
      <x:c r="M198" s="30" t="n">
        <x:f>IF(AND('Counter_PnL'!Q198&gt;0,'Counter_PnL'!AK198&gt;0,'Counter_PnL'!R198&lt;=0,'Counter_PnL'!T198&lt;=0,'Counter_PnL'!AT198&lt;=0,'Counter_PnL'!BE198&lt;=0,'Counter_PnL'!BJ198&lt;=0,'Counter_PnL'!BK198&lt;=0,'Counter_PnL'!BN198&lt;=0),0,1)</x:f>
        <x:v>0</x:v>
      </x:c>
    </x:row>
    <x:row r="199">
      <x:c r="A199" t="str">
        <x:f>'Counter_PnL'!D199</x:f>
        <x:v>CNCT0050</x:v>
      </x:c>
      <x:c r="B199" t="str">
        <x:f>'Counter_PnL'!C199</x:f>
        <x:v>2025 S2</x:v>
      </x:c>
      <x:c r="C199" s="30" t="n">
        <x:f>COUNTIFS('Counter_PnL'!$D$2:$D$641,A199,'Counter_PnL'!$C$2:$C$641,B199)</x:f>
        <x:v>1</x:v>
      </x:c>
      <x:c r="D199" s="79" t="n">
        <x:f>ABS('Counter_PnL'!AC199-SUM('Counter_PnL'!V199:'Counter_PnL'!AB199))</x:f>
        <x:v>0</x:v>
      </x:c>
      <x:c r="E199" s="79" t="n">
        <x:f>ABS('Counter_PnL'!AI199-SUM('Counter_PnL'!R199,'Counter_PnL'!T199,'Counter_PnL'!AC199,'Counter_PnL'!AE199,'Counter_PnL'!AG199,'Counter_PnL'!AH199))</x:f>
        <x:v>0</x:v>
      </x:c>
      <x:c r="F199" s="79" t="n">
        <x:f>ABS('Counter_PnL'!AK199-('Counter_PnL'!Q199+'Counter_PnL'!AI199))</x:f>
        <x:v>0</x:v>
      </x:c>
      <x:c r="G199" s="79" t="n">
        <x:f>ABS('Counter_PnL'!AT199-SUM('Counter_PnL'!AO199:'Counter_PnL'!AS199))</x:f>
        <x:v>0</x:v>
      </x:c>
      <x:c r="H199" s="79" t="n">
        <x:f>ABS('Counter_PnL'!AV199-('Counter_PnL'!AK199+'Counter_PnL'!AT199))</x:f>
        <x:v>0</x:v>
      </x:c>
      <x:c r="I199" s="79" t="n">
        <x:f>ABS('Counter_PnL'!BE199-SUM('Counter_PnL'!AX199:'Counter_PnL'!BB199,'Counter_PnL'!BD199))</x:f>
        <x:v>0</x:v>
      </x:c>
      <x:c r="J199" s="79" t="n">
        <x:f>ABS('Counter_PnL'!BL199-SUM('Counter_PnL'!AV199,'Counter_PnL'!BE199,'Counter_PnL'!BJ199,'Counter_PnL'!BK199))</x:f>
        <x:v>0</x:v>
      </x:c>
      <x:c r="K199" s="79" t="n">
        <x:f>ABS('Counter_PnL'!BO199-('Counter_PnL'!BL199+'Counter_PnL'!BN199))</x:f>
        <x:v>0</x:v>
      </x:c>
      <x:c r="L199" s="79" t="n">
        <x:f>MAX(ABS('Counter_PnL'!AW199-'Counter_PnL'!AV199/'Counter_PnL'!AK199),ABS('Counter_PnL'!BM199-'Counter_PnL'!BL199/'Counter_PnL'!AK199),ABS('Counter_PnL'!BP199-'Counter_PnL'!BO199/'Counter_PnL'!AK199))</x:f>
        <x:v>0</x:v>
      </x:c>
      <x:c r="M199" s="30" t="n">
        <x:f>IF(AND('Counter_PnL'!Q199&gt;0,'Counter_PnL'!AK199&gt;0,'Counter_PnL'!R199&lt;=0,'Counter_PnL'!T199&lt;=0,'Counter_PnL'!AT199&lt;=0,'Counter_PnL'!BE199&lt;=0,'Counter_PnL'!BJ199&lt;=0,'Counter_PnL'!BK199&lt;=0,'Counter_PnL'!BN199&lt;=0),0,1)</x:f>
        <x:v>0</x:v>
      </x:c>
    </x:row>
    <x:row r="200">
      <x:c r="A200" t="str">
        <x:f>'Counter_PnL'!D200</x:f>
        <x:v>CNCT0050</x:v>
      </x:c>
      <x:c r="B200" t="str">
        <x:f>'Counter_PnL'!C200</x:f>
        <x:v>2026 S1</x:v>
      </x:c>
      <x:c r="C200" s="30" t="n">
        <x:f>COUNTIFS('Counter_PnL'!$D$2:$D$641,A200,'Counter_PnL'!$C$2:$C$641,B200)</x:f>
        <x:v>1</x:v>
      </x:c>
      <x:c r="D200" s="79" t="n">
        <x:f>ABS('Counter_PnL'!AC200-SUM('Counter_PnL'!V200:'Counter_PnL'!AB200))</x:f>
        <x:v>0</x:v>
      </x:c>
      <x:c r="E200" s="79" t="n">
        <x:f>ABS('Counter_PnL'!AI200-SUM('Counter_PnL'!R200,'Counter_PnL'!T200,'Counter_PnL'!AC200,'Counter_PnL'!AE200,'Counter_PnL'!AG200,'Counter_PnL'!AH200))</x:f>
        <x:v>0</x:v>
      </x:c>
      <x:c r="F200" s="79" t="n">
        <x:f>ABS('Counter_PnL'!AK200-('Counter_PnL'!Q200+'Counter_PnL'!AI200))</x:f>
        <x:v>0</x:v>
      </x:c>
      <x:c r="G200" s="79" t="n">
        <x:f>ABS('Counter_PnL'!AT200-SUM('Counter_PnL'!AO200:'Counter_PnL'!AS200))</x:f>
        <x:v>0</x:v>
      </x:c>
      <x:c r="H200" s="79" t="n">
        <x:f>ABS('Counter_PnL'!AV200-('Counter_PnL'!AK200+'Counter_PnL'!AT200))</x:f>
        <x:v>0</x:v>
      </x:c>
      <x:c r="I200" s="79" t="n">
        <x:f>ABS('Counter_PnL'!BE200-SUM('Counter_PnL'!AX200:'Counter_PnL'!BB200,'Counter_PnL'!BD200))</x:f>
        <x:v>0</x:v>
      </x:c>
      <x:c r="J200" s="79" t="n">
        <x:f>ABS('Counter_PnL'!BL200-SUM('Counter_PnL'!AV200,'Counter_PnL'!BE200,'Counter_PnL'!BJ200,'Counter_PnL'!BK200))</x:f>
        <x:v>0</x:v>
      </x:c>
      <x:c r="K200" s="79" t="n">
        <x:f>ABS('Counter_PnL'!BO200-('Counter_PnL'!BL200+'Counter_PnL'!BN200))</x:f>
        <x:v>0</x:v>
      </x:c>
      <x:c r="L200" s="79" t="n">
        <x:f>MAX(ABS('Counter_PnL'!AW200-'Counter_PnL'!AV200/'Counter_PnL'!AK200),ABS('Counter_PnL'!BM200-'Counter_PnL'!BL200/'Counter_PnL'!AK200),ABS('Counter_PnL'!BP200-'Counter_PnL'!BO200/'Counter_PnL'!AK200))</x:f>
        <x:v>0</x:v>
      </x:c>
      <x:c r="M200" s="30" t="n">
        <x:f>IF(AND('Counter_PnL'!Q200&gt;0,'Counter_PnL'!AK200&gt;0,'Counter_PnL'!R200&lt;=0,'Counter_PnL'!T200&lt;=0,'Counter_PnL'!AT200&lt;=0,'Counter_PnL'!BE200&lt;=0,'Counter_PnL'!BJ200&lt;=0,'Counter_PnL'!BK200&lt;=0,'Counter_PnL'!BN200&lt;=0),0,1)</x:f>
        <x:v>0</x:v>
      </x:c>
    </x:row>
    <x:row r="201">
      <x:c r="A201" t="str">
        <x:f>'Counter_PnL'!D201</x:f>
        <x:v>CNCT0050</x:v>
      </x:c>
      <x:c r="B201" t="str">
        <x:f>'Counter_PnL'!C201</x:f>
        <x:v>2026 S2</x:v>
      </x:c>
      <x:c r="C201" s="30" t="n">
        <x:f>COUNTIFS('Counter_PnL'!$D$2:$D$641,A201,'Counter_PnL'!$C$2:$C$641,B201)</x:f>
        <x:v>1</x:v>
      </x:c>
      <x:c r="D201" s="79" t="n">
        <x:f>ABS('Counter_PnL'!AC201-SUM('Counter_PnL'!V201:'Counter_PnL'!AB201))</x:f>
        <x:v>0</x:v>
      </x:c>
      <x:c r="E201" s="79" t="n">
        <x:f>ABS('Counter_PnL'!AI201-SUM('Counter_PnL'!R201,'Counter_PnL'!T201,'Counter_PnL'!AC201,'Counter_PnL'!AE201,'Counter_PnL'!AG201,'Counter_PnL'!AH201))</x:f>
        <x:v>0</x:v>
      </x:c>
      <x:c r="F201" s="79" t="n">
        <x:f>ABS('Counter_PnL'!AK201-('Counter_PnL'!Q201+'Counter_PnL'!AI201))</x:f>
        <x:v>0</x:v>
      </x:c>
      <x:c r="G201" s="79" t="n">
        <x:f>ABS('Counter_PnL'!AT201-SUM('Counter_PnL'!AO201:'Counter_PnL'!AS201))</x:f>
        <x:v>0</x:v>
      </x:c>
      <x:c r="H201" s="79" t="n">
        <x:f>ABS('Counter_PnL'!AV201-('Counter_PnL'!AK201+'Counter_PnL'!AT201))</x:f>
        <x:v>0</x:v>
      </x:c>
      <x:c r="I201" s="79" t="n">
        <x:f>ABS('Counter_PnL'!BE201-SUM('Counter_PnL'!AX201:'Counter_PnL'!BB201,'Counter_PnL'!BD201))</x:f>
        <x:v>0</x:v>
      </x:c>
      <x:c r="J201" s="79" t="n">
        <x:f>ABS('Counter_PnL'!BL201-SUM('Counter_PnL'!AV201,'Counter_PnL'!BE201,'Counter_PnL'!BJ201,'Counter_PnL'!BK201))</x:f>
        <x:v>0</x:v>
      </x:c>
      <x:c r="K201" s="79" t="n">
        <x:f>ABS('Counter_PnL'!BO201-('Counter_PnL'!BL201+'Counter_PnL'!BN201))</x:f>
        <x:v>0</x:v>
      </x:c>
      <x:c r="L201" s="79" t="n">
        <x:f>MAX(ABS('Counter_PnL'!AW201-'Counter_PnL'!AV201/'Counter_PnL'!AK201),ABS('Counter_PnL'!BM201-'Counter_PnL'!BL201/'Counter_PnL'!AK201),ABS('Counter_PnL'!BP201-'Counter_PnL'!BO201/'Counter_PnL'!AK201))</x:f>
        <x:v>0</x:v>
      </x:c>
      <x:c r="M201" s="30" t="n">
        <x:f>IF(AND('Counter_PnL'!Q201&gt;0,'Counter_PnL'!AK201&gt;0,'Counter_PnL'!R201&lt;=0,'Counter_PnL'!T201&lt;=0,'Counter_PnL'!AT201&lt;=0,'Counter_PnL'!BE201&lt;=0,'Counter_PnL'!BJ201&lt;=0,'Counter_PnL'!BK201&lt;=0,'Counter_PnL'!BN201&lt;=0),0,1)</x:f>
        <x:v>0</x:v>
      </x:c>
    </x:row>
    <x:row r="202">
      <x:c r="A202" t="str">
        <x:f>'Counter_PnL'!D202</x:f>
        <x:v>CNCT0051</x:v>
      </x:c>
      <x:c r="B202" t="str">
        <x:f>'Counter_PnL'!C202</x:f>
        <x:v>2025 S1</x:v>
      </x:c>
      <x:c r="C202" s="30" t="n">
        <x:f>COUNTIFS('Counter_PnL'!$D$2:$D$641,A202,'Counter_PnL'!$C$2:$C$641,B202)</x:f>
        <x:v>1</x:v>
      </x:c>
      <x:c r="D202" s="79" t="n">
        <x:f>ABS('Counter_PnL'!AC202-SUM('Counter_PnL'!V202:'Counter_PnL'!AB202))</x:f>
        <x:v>0</x:v>
      </x:c>
      <x:c r="E202" s="79" t="n">
        <x:f>ABS('Counter_PnL'!AI202-SUM('Counter_PnL'!R202,'Counter_PnL'!T202,'Counter_PnL'!AC202,'Counter_PnL'!AE202,'Counter_PnL'!AG202,'Counter_PnL'!AH202))</x:f>
        <x:v>0</x:v>
      </x:c>
      <x:c r="F202" s="79" t="n">
        <x:f>ABS('Counter_PnL'!AK202-('Counter_PnL'!Q202+'Counter_PnL'!AI202))</x:f>
        <x:v>0</x:v>
      </x:c>
      <x:c r="G202" s="79" t="n">
        <x:f>ABS('Counter_PnL'!AT202-SUM('Counter_PnL'!AO202:'Counter_PnL'!AS202))</x:f>
        <x:v>0</x:v>
      </x:c>
      <x:c r="H202" s="79" t="n">
        <x:f>ABS('Counter_PnL'!AV202-('Counter_PnL'!AK202+'Counter_PnL'!AT202))</x:f>
        <x:v>0</x:v>
      </x:c>
      <x:c r="I202" s="79" t="n">
        <x:f>ABS('Counter_PnL'!BE202-SUM('Counter_PnL'!AX202:'Counter_PnL'!BB202,'Counter_PnL'!BD202))</x:f>
        <x:v>0</x:v>
      </x:c>
      <x:c r="J202" s="79" t="n">
        <x:f>ABS('Counter_PnL'!BL202-SUM('Counter_PnL'!AV202,'Counter_PnL'!BE202,'Counter_PnL'!BJ202,'Counter_PnL'!BK202))</x:f>
        <x:v>0</x:v>
      </x:c>
      <x:c r="K202" s="79" t="n">
        <x:f>ABS('Counter_PnL'!BO202-('Counter_PnL'!BL202+'Counter_PnL'!BN202))</x:f>
        <x:v>0</x:v>
      </x:c>
      <x:c r="L202" s="79" t="n">
        <x:f>MAX(ABS('Counter_PnL'!AW202-'Counter_PnL'!AV202/'Counter_PnL'!AK202),ABS('Counter_PnL'!BM202-'Counter_PnL'!BL202/'Counter_PnL'!AK202),ABS('Counter_PnL'!BP202-'Counter_PnL'!BO202/'Counter_PnL'!AK202))</x:f>
        <x:v>0</x:v>
      </x:c>
      <x:c r="M202" s="30" t="n">
        <x:f>IF(AND('Counter_PnL'!Q202&gt;0,'Counter_PnL'!AK202&gt;0,'Counter_PnL'!R202&lt;=0,'Counter_PnL'!T202&lt;=0,'Counter_PnL'!AT202&lt;=0,'Counter_PnL'!BE202&lt;=0,'Counter_PnL'!BJ202&lt;=0,'Counter_PnL'!BK202&lt;=0,'Counter_PnL'!BN202&lt;=0),0,1)</x:f>
        <x:v>0</x:v>
      </x:c>
    </x:row>
    <x:row r="203">
      <x:c r="A203" t="str">
        <x:f>'Counter_PnL'!D203</x:f>
        <x:v>CNCT0051</x:v>
      </x:c>
      <x:c r="B203" t="str">
        <x:f>'Counter_PnL'!C203</x:f>
        <x:v>2025 S2</x:v>
      </x:c>
      <x:c r="C203" s="30" t="n">
        <x:f>COUNTIFS('Counter_PnL'!$D$2:$D$641,A203,'Counter_PnL'!$C$2:$C$641,B203)</x:f>
        <x:v>1</x:v>
      </x:c>
      <x:c r="D203" s="79" t="n">
        <x:f>ABS('Counter_PnL'!AC203-SUM('Counter_PnL'!V203:'Counter_PnL'!AB203))</x:f>
        <x:v>0</x:v>
      </x:c>
      <x:c r="E203" s="79" t="n">
        <x:f>ABS('Counter_PnL'!AI203-SUM('Counter_PnL'!R203,'Counter_PnL'!T203,'Counter_PnL'!AC203,'Counter_PnL'!AE203,'Counter_PnL'!AG203,'Counter_PnL'!AH203))</x:f>
        <x:v>0</x:v>
      </x:c>
      <x:c r="F203" s="79" t="n">
        <x:f>ABS('Counter_PnL'!AK203-('Counter_PnL'!Q203+'Counter_PnL'!AI203))</x:f>
        <x:v>0</x:v>
      </x:c>
      <x:c r="G203" s="79" t="n">
        <x:f>ABS('Counter_PnL'!AT203-SUM('Counter_PnL'!AO203:'Counter_PnL'!AS203))</x:f>
        <x:v>0</x:v>
      </x:c>
      <x:c r="H203" s="79" t="n">
        <x:f>ABS('Counter_PnL'!AV203-('Counter_PnL'!AK203+'Counter_PnL'!AT203))</x:f>
        <x:v>0</x:v>
      </x:c>
      <x:c r="I203" s="79" t="n">
        <x:f>ABS('Counter_PnL'!BE203-SUM('Counter_PnL'!AX203:'Counter_PnL'!BB203,'Counter_PnL'!BD203))</x:f>
        <x:v>0</x:v>
      </x:c>
      <x:c r="J203" s="79" t="n">
        <x:f>ABS('Counter_PnL'!BL203-SUM('Counter_PnL'!AV203,'Counter_PnL'!BE203,'Counter_PnL'!BJ203,'Counter_PnL'!BK203))</x:f>
        <x:v>0</x:v>
      </x:c>
      <x:c r="K203" s="79" t="n">
        <x:f>ABS('Counter_PnL'!BO203-('Counter_PnL'!BL203+'Counter_PnL'!BN203))</x:f>
        <x:v>0</x:v>
      </x:c>
      <x:c r="L203" s="79" t="n">
        <x:f>MAX(ABS('Counter_PnL'!AW203-'Counter_PnL'!AV203/'Counter_PnL'!AK203),ABS('Counter_PnL'!BM203-'Counter_PnL'!BL203/'Counter_PnL'!AK203),ABS('Counter_PnL'!BP203-'Counter_PnL'!BO203/'Counter_PnL'!AK203))</x:f>
        <x:v>0</x:v>
      </x:c>
      <x:c r="M203" s="30" t="n">
        <x:f>IF(AND('Counter_PnL'!Q203&gt;0,'Counter_PnL'!AK203&gt;0,'Counter_PnL'!R203&lt;=0,'Counter_PnL'!T203&lt;=0,'Counter_PnL'!AT203&lt;=0,'Counter_PnL'!BE203&lt;=0,'Counter_PnL'!BJ203&lt;=0,'Counter_PnL'!BK203&lt;=0,'Counter_PnL'!BN203&lt;=0),0,1)</x:f>
        <x:v>0</x:v>
      </x:c>
    </x:row>
    <x:row r="204">
      <x:c r="A204" t="str">
        <x:f>'Counter_PnL'!D204</x:f>
        <x:v>CNCT0051</x:v>
      </x:c>
      <x:c r="B204" t="str">
        <x:f>'Counter_PnL'!C204</x:f>
        <x:v>2026 S1</x:v>
      </x:c>
      <x:c r="C204" s="30" t="n">
        <x:f>COUNTIFS('Counter_PnL'!$D$2:$D$641,A204,'Counter_PnL'!$C$2:$C$641,B204)</x:f>
        <x:v>1</x:v>
      </x:c>
      <x:c r="D204" s="79" t="n">
        <x:f>ABS('Counter_PnL'!AC204-SUM('Counter_PnL'!V204:'Counter_PnL'!AB204))</x:f>
        <x:v>0</x:v>
      </x:c>
      <x:c r="E204" s="79" t="n">
        <x:f>ABS('Counter_PnL'!AI204-SUM('Counter_PnL'!R204,'Counter_PnL'!T204,'Counter_PnL'!AC204,'Counter_PnL'!AE204,'Counter_PnL'!AG204,'Counter_PnL'!AH204))</x:f>
        <x:v>0</x:v>
      </x:c>
      <x:c r="F204" s="79" t="n">
        <x:f>ABS('Counter_PnL'!AK204-('Counter_PnL'!Q204+'Counter_PnL'!AI204))</x:f>
        <x:v>0</x:v>
      </x:c>
      <x:c r="G204" s="79" t="n">
        <x:f>ABS('Counter_PnL'!AT204-SUM('Counter_PnL'!AO204:'Counter_PnL'!AS204))</x:f>
        <x:v>0</x:v>
      </x:c>
      <x:c r="H204" s="79" t="n">
        <x:f>ABS('Counter_PnL'!AV204-('Counter_PnL'!AK204+'Counter_PnL'!AT204))</x:f>
        <x:v>0</x:v>
      </x:c>
      <x:c r="I204" s="79" t="n">
        <x:f>ABS('Counter_PnL'!BE204-SUM('Counter_PnL'!AX204:'Counter_PnL'!BB204,'Counter_PnL'!BD204))</x:f>
        <x:v>0</x:v>
      </x:c>
      <x:c r="J204" s="79" t="n">
        <x:f>ABS('Counter_PnL'!BL204-SUM('Counter_PnL'!AV204,'Counter_PnL'!BE204,'Counter_PnL'!BJ204,'Counter_PnL'!BK204))</x:f>
        <x:v>0</x:v>
      </x:c>
      <x:c r="K204" s="79" t="n">
        <x:f>ABS('Counter_PnL'!BO204-('Counter_PnL'!BL204+'Counter_PnL'!BN204))</x:f>
        <x:v>0</x:v>
      </x:c>
      <x:c r="L204" s="79" t="n">
        <x:f>MAX(ABS('Counter_PnL'!AW204-'Counter_PnL'!AV204/'Counter_PnL'!AK204),ABS('Counter_PnL'!BM204-'Counter_PnL'!BL204/'Counter_PnL'!AK204),ABS('Counter_PnL'!BP204-'Counter_PnL'!BO204/'Counter_PnL'!AK204))</x:f>
        <x:v>0</x:v>
      </x:c>
      <x:c r="M204" s="30" t="n">
        <x:f>IF(AND('Counter_PnL'!Q204&gt;0,'Counter_PnL'!AK204&gt;0,'Counter_PnL'!R204&lt;=0,'Counter_PnL'!T204&lt;=0,'Counter_PnL'!AT204&lt;=0,'Counter_PnL'!BE204&lt;=0,'Counter_PnL'!BJ204&lt;=0,'Counter_PnL'!BK204&lt;=0,'Counter_PnL'!BN204&lt;=0),0,1)</x:f>
        <x:v>0</x:v>
      </x:c>
    </x:row>
    <x:row r="205">
      <x:c r="A205" t="str">
        <x:f>'Counter_PnL'!D205</x:f>
        <x:v>CNCT0051</x:v>
      </x:c>
      <x:c r="B205" t="str">
        <x:f>'Counter_PnL'!C205</x:f>
        <x:v>2026 S2</x:v>
      </x:c>
      <x:c r="C205" s="30" t="n">
        <x:f>COUNTIFS('Counter_PnL'!$D$2:$D$641,A205,'Counter_PnL'!$C$2:$C$641,B205)</x:f>
        <x:v>1</x:v>
      </x:c>
      <x:c r="D205" s="79" t="n">
        <x:f>ABS('Counter_PnL'!AC205-SUM('Counter_PnL'!V205:'Counter_PnL'!AB205))</x:f>
        <x:v>0</x:v>
      </x:c>
      <x:c r="E205" s="79" t="n">
        <x:f>ABS('Counter_PnL'!AI205-SUM('Counter_PnL'!R205,'Counter_PnL'!T205,'Counter_PnL'!AC205,'Counter_PnL'!AE205,'Counter_PnL'!AG205,'Counter_PnL'!AH205))</x:f>
        <x:v>0</x:v>
      </x:c>
      <x:c r="F205" s="79" t="n">
        <x:f>ABS('Counter_PnL'!AK205-('Counter_PnL'!Q205+'Counter_PnL'!AI205))</x:f>
        <x:v>0</x:v>
      </x:c>
      <x:c r="G205" s="79" t="n">
        <x:f>ABS('Counter_PnL'!AT205-SUM('Counter_PnL'!AO205:'Counter_PnL'!AS205))</x:f>
        <x:v>0</x:v>
      </x:c>
      <x:c r="H205" s="79" t="n">
        <x:f>ABS('Counter_PnL'!AV205-('Counter_PnL'!AK205+'Counter_PnL'!AT205))</x:f>
        <x:v>0</x:v>
      </x:c>
      <x:c r="I205" s="79" t="n">
        <x:f>ABS('Counter_PnL'!BE205-SUM('Counter_PnL'!AX205:'Counter_PnL'!BB205,'Counter_PnL'!BD205))</x:f>
        <x:v>0</x:v>
      </x:c>
      <x:c r="J205" s="79" t="n">
        <x:f>ABS('Counter_PnL'!BL205-SUM('Counter_PnL'!AV205,'Counter_PnL'!BE205,'Counter_PnL'!BJ205,'Counter_PnL'!BK205))</x:f>
        <x:v>0</x:v>
      </x:c>
      <x:c r="K205" s="79" t="n">
        <x:f>ABS('Counter_PnL'!BO205-('Counter_PnL'!BL205+'Counter_PnL'!BN205))</x:f>
        <x:v>0</x:v>
      </x:c>
      <x:c r="L205" s="79" t="n">
        <x:f>MAX(ABS('Counter_PnL'!AW205-'Counter_PnL'!AV205/'Counter_PnL'!AK205),ABS('Counter_PnL'!BM205-'Counter_PnL'!BL205/'Counter_PnL'!AK205),ABS('Counter_PnL'!BP205-'Counter_PnL'!BO205/'Counter_PnL'!AK205))</x:f>
        <x:v>0</x:v>
      </x:c>
      <x:c r="M205" s="30" t="n">
        <x:f>IF(AND('Counter_PnL'!Q205&gt;0,'Counter_PnL'!AK205&gt;0,'Counter_PnL'!R205&lt;=0,'Counter_PnL'!T205&lt;=0,'Counter_PnL'!AT205&lt;=0,'Counter_PnL'!BE205&lt;=0,'Counter_PnL'!BJ205&lt;=0,'Counter_PnL'!BK205&lt;=0,'Counter_PnL'!BN205&lt;=0),0,1)</x:f>
        <x:v>0</x:v>
      </x:c>
    </x:row>
    <x:row r="206">
      <x:c r="A206" t="str">
        <x:f>'Counter_PnL'!D206</x:f>
        <x:v>CNCT0052</x:v>
      </x:c>
      <x:c r="B206" t="str">
        <x:f>'Counter_PnL'!C206</x:f>
        <x:v>2025 S1</x:v>
      </x:c>
      <x:c r="C206" s="30" t="n">
        <x:f>COUNTIFS('Counter_PnL'!$D$2:$D$641,A206,'Counter_PnL'!$C$2:$C$641,B206)</x:f>
        <x:v>1</x:v>
      </x:c>
      <x:c r="D206" s="79" t="n">
        <x:f>ABS('Counter_PnL'!AC206-SUM('Counter_PnL'!V206:'Counter_PnL'!AB206))</x:f>
        <x:v>0</x:v>
      </x:c>
      <x:c r="E206" s="79" t="n">
        <x:f>ABS('Counter_PnL'!AI206-SUM('Counter_PnL'!R206,'Counter_PnL'!T206,'Counter_PnL'!AC206,'Counter_PnL'!AE206,'Counter_PnL'!AG206,'Counter_PnL'!AH206))</x:f>
        <x:v>0</x:v>
      </x:c>
      <x:c r="F206" s="79" t="n">
        <x:f>ABS('Counter_PnL'!AK206-('Counter_PnL'!Q206+'Counter_PnL'!AI206))</x:f>
        <x:v>0</x:v>
      </x:c>
      <x:c r="G206" s="79" t="n">
        <x:f>ABS('Counter_PnL'!AT206-SUM('Counter_PnL'!AO206:'Counter_PnL'!AS206))</x:f>
        <x:v>0</x:v>
      </x:c>
      <x:c r="H206" s="79" t="n">
        <x:f>ABS('Counter_PnL'!AV206-('Counter_PnL'!AK206+'Counter_PnL'!AT206))</x:f>
        <x:v>0</x:v>
      </x:c>
      <x:c r="I206" s="79" t="n">
        <x:f>ABS('Counter_PnL'!BE206-SUM('Counter_PnL'!AX206:'Counter_PnL'!BB206,'Counter_PnL'!BD206))</x:f>
        <x:v>0</x:v>
      </x:c>
      <x:c r="J206" s="79" t="n">
        <x:f>ABS('Counter_PnL'!BL206-SUM('Counter_PnL'!AV206,'Counter_PnL'!BE206,'Counter_PnL'!BJ206,'Counter_PnL'!BK206))</x:f>
        <x:v>0</x:v>
      </x:c>
      <x:c r="K206" s="79" t="n">
        <x:f>ABS('Counter_PnL'!BO206-('Counter_PnL'!BL206+'Counter_PnL'!BN206))</x:f>
        <x:v>0</x:v>
      </x:c>
      <x:c r="L206" s="79" t="n">
        <x:f>MAX(ABS('Counter_PnL'!AW206-'Counter_PnL'!AV206/'Counter_PnL'!AK206),ABS('Counter_PnL'!BM206-'Counter_PnL'!BL206/'Counter_PnL'!AK206),ABS('Counter_PnL'!BP206-'Counter_PnL'!BO206/'Counter_PnL'!AK206))</x:f>
        <x:v>0</x:v>
      </x:c>
      <x:c r="M206" s="30" t="n">
        <x:f>IF(AND('Counter_PnL'!Q206&gt;0,'Counter_PnL'!AK206&gt;0,'Counter_PnL'!R206&lt;=0,'Counter_PnL'!T206&lt;=0,'Counter_PnL'!AT206&lt;=0,'Counter_PnL'!BE206&lt;=0,'Counter_PnL'!BJ206&lt;=0,'Counter_PnL'!BK206&lt;=0,'Counter_PnL'!BN206&lt;=0),0,1)</x:f>
        <x:v>0</x:v>
      </x:c>
    </x:row>
    <x:row r="207">
      <x:c r="A207" t="str">
        <x:f>'Counter_PnL'!D207</x:f>
        <x:v>CNCT0052</x:v>
      </x:c>
      <x:c r="B207" t="str">
        <x:f>'Counter_PnL'!C207</x:f>
        <x:v>2025 S2</x:v>
      </x:c>
      <x:c r="C207" s="30" t="n">
        <x:f>COUNTIFS('Counter_PnL'!$D$2:$D$641,A207,'Counter_PnL'!$C$2:$C$641,B207)</x:f>
        <x:v>1</x:v>
      </x:c>
      <x:c r="D207" s="79" t="n">
        <x:f>ABS('Counter_PnL'!AC207-SUM('Counter_PnL'!V207:'Counter_PnL'!AB207))</x:f>
        <x:v>0</x:v>
      </x:c>
      <x:c r="E207" s="79" t="n">
        <x:f>ABS('Counter_PnL'!AI207-SUM('Counter_PnL'!R207,'Counter_PnL'!T207,'Counter_PnL'!AC207,'Counter_PnL'!AE207,'Counter_PnL'!AG207,'Counter_PnL'!AH207))</x:f>
        <x:v>0</x:v>
      </x:c>
      <x:c r="F207" s="79" t="n">
        <x:f>ABS('Counter_PnL'!AK207-('Counter_PnL'!Q207+'Counter_PnL'!AI207))</x:f>
        <x:v>0</x:v>
      </x:c>
      <x:c r="G207" s="79" t="n">
        <x:f>ABS('Counter_PnL'!AT207-SUM('Counter_PnL'!AO207:'Counter_PnL'!AS207))</x:f>
        <x:v>0</x:v>
      </x:c>
      <x:c r="H207" s="79" t="n">
        <x:f>ABS('Counter_PnL'!AV207-('Counter_PnL'!AK207+'Counter_PnL'!AT207))</x:f>
        <x:v>0</x:v>
      </x:c>
      <x:c r="I207" s="79" t="n">
        <x:f>ABS('Counter_PnL'!BE207-SUM('Counter_PnL'!AX207:'Counter_PnL'!BB207,'Counter_PnL'!BD207))</x:f>
        <x:v>0</x:v>
      </x:c>
      <x:c r="J207" s="79" t="n">
        <x:f>ABS('Counter_PnL'!BL207-SUM('Counter_PnL'!AV207,'Counter_PnL'!BE207,'Counter_PnL'!BJ207,'Counter_PnL'!BK207))</x:f>
        <x:v>0</x:v>
      </x:c>
      <x:c r="K207" s="79" t="n">
        <x:f>ABS('Counter_PnL'!BO207-('Counter_PnL'!BL207+'Counter_PnL'!BN207))</x:f>
        <x:v>0</x:v>
      </x:c>
      <x:c r="L207" s="79" t="n">
        <x:f>MAX(ABS('Counter_PnL'!AW207-'Counter_PnL'!AV207/'Counter_PnL'!AK207),ABS('Counter_PnL'!BM207-'Counter_PnL'!BL207/'Counter_PnL'!AK207),ABS('Counter_PnL'!BP207-'Counter_PnL'!BO207/'Counter_PnL'!AK207))</x:f>
        <x:v>0</x:v>
      </x:c>
      <x:c r="M207" s="30" t="n">
        <x:f>IF(AND('Counter_PnL'!Q207&gt;0,'Counter_PnL'!AK207&gt;0,'Counter_PnL'!R207&lt;=0,'Counter_PnL'!T207&lt;=0,'Counter_PnL'!AT207&lt;=0,'Counter_PnL'!BE207&lt;=0,'Counter_PnL'!BJ207&lt;=0,'Counter_PnL'!BK207&lt;=0,'Counter_PnL'!BN207&lt;=0),0,1)</x:f>
        <x:v>0</x:v>
      </x:c>
    </x:row>
    <x:row r="208">
      <x:c r="A208" t="str">
        <x:f>'Counter_PnL'!D208</x:f>
        <x:v>CNCT0052</x:v>
      </x:c>
      <x:c r="B208" t="str">
        <x:f>'Counter_PnL'!C208</x:f>
        <x:v>2026 S1</x:v>
      </x:c>
      <x:c r="C208" s="30" t="n">
        <x:f>COUNTIFS('Counter_PnL'!$D$2:$D$641,A208,'Counter_PnL'!$C$2:$C$641,B208)</x:f>
        <x:v>1</x:v>
      </x:c>
      <x:c r="D208" s="79" t="n">
        <x:f>ABS('Counter_PnL'!AC208-SUM('Counter_PnL'!V208:'Counter_PnL'!AB208))</x:f>
        <x:v>0</x:v>
      </x:c>
      <x:c r="E208" s="79" t="n">
        <x:f>ABS('Counter_PnL'!AI208-SUM('Counter_PnL'!R208,'Counter_PnL'!T208,'Counter_PnL'!AC208,'Counter_PnL'!AE208,'Counter_PnL'!AG208,'Counter_PnL'!AH208))</x:f>
        <x:v>0</x:v>
      </x:c>
      <x:c r="F208" s="79" t="n">
        <x:f>ABS('Counter_PnL'!AK208-('Counter_PnL'!Q208+'Counter_PnL'!AI208))</x:f>
        <x:v>0</x:v>
      </x:c>
      <x:c r="G208" s="79" t="n">
        <x:f>ABS('Counter_PnL'!AT208-SUM('Counter_PnL'!AO208:'Counter_PnL'!AS208))</x:f>
        <x:v>0</x:v>
      </x:c>
      <x:c r="H208" s="79" t="n">
        <x:f>ABS('Counter_PnL'!AV208-('Counter_PnL'!AK208+'Counter_PnL'!AT208))</x:f>
        <x:v>0</x:v>
      </x:c>
      <x:c r="I208" s="79" t="n">
        <x:f>ABS('Counter_PnL'!BE208-SUM('Counter_PnL'!AX208:'Counter_PnL'!BB208,'Counter_PnL'!BD208))</x:f>
        <x:v>0</x:v>
      </x:c>
      <x:c r="J208" s="79" t="n">
        <x:f>ABS('Counter_PnL'!BL208-SUM('Counter_PnL'!AV208,'Counter_PnL'!BE208,'Counter_PnL'!BJ208,'Counter_PnL'!BK208))</x:f>
        <x:v>0</x:v>
      </x:c>
      <x:c r="K208" s="79" t="n">
        <x:f>ABS('Counter_PnL'!BO208-('Counter_PnL'!BL208+'Counter_PnL'!BN208))</x:f>
        <x:v>0</x:v>
      </x:c>
      <x:c r="L208" s="79" t="n">
        <x:f>MAX(ABS('Counter_PnL'!AW208-'Counter_PnL'!AV208/'Counter_PnL'!AK208),ABS('Counter_PnL'!BM208-'Counter_PnL'!BL208/'Counter_PnL'!AK208),ABS('Counter_PnL'!BP208-'Counter_PnL'!BO208/'Counter_PnL'!AK208))</x:f>
        <x:v>0</x:v>
      </x:c>
      <x:c r="M208" s="30" t="n">
        <x:f>IF(AND('Counter_PnL'!Q208&gt;0,'Counter_PnL'!AK208&gt;0,'Counter_PnL'!R208&lt;=0,'Counter_PnL'!T208&lt;=0,'Counter_PnL'!AT208&lt;=0,'Counter_PnL'!BE208&lt;=0,'Counter_PnL'!BJ208&lt;=0,'Counter_PnL'!BK208&lt;=0,'Counter_PnL'!BN208&lt;=0),0,1)</x:f>
        <x:v>0</x:v>
      </x:c>
    </x:row>
    <x:row r="209">
      <x:c r="A209" t="str">
        <x:f>'Counter_PnL'!D209</x:f>
        <x:v>CNCT0052</x:v>
      </x:c>
      <x:c r="B209" t="str">
        <x:f>'Counter_PnL'!C209</x:f>
        <x:v>2026 S2</x:v>
      </x:c>
      <x:c r="C209" s="30" t="n">
        <x:f>COUNTIFS('Counter_PnL'!$D$2:$D$641,A209,'Counter_PnL'!$C$2:$C$641,B209)</x:f>
        <x:v>1</x:v>
      </x:c>
      <x:c r="D209" s="79" t="n">
        <x:f>ABS('Counter_PnL'!AC209-SUM('Counter_PnL'!V209:'Counter_PnL'!AB209))</x:f>
        <x:v>0</x:v>
      </x:c>
      <x:c r="E209" s="79" t="n">
        <x:f>ABS('Counter_PnL'!AI209-SUM('Counter_PnL'!R209,'Counter_PnL'!T209,'Counter_PnL'!AC209,'Counter_PnL'!AE209,'Counter_PnL'!AG209,'Counter_PnL'!AH209))</x:f>
        <x:v>0</x:v>
      </x:c>
      <x:c r="F209" s="79" t="n">
        <x:f>ABS('Counter_PnL'!AK209-('Counter_PnL'!Q209+'Counter_PnL'!AI209))</x:f>
        <x:v>0</x:v>
      </x:c>
      <x:c r="G209" s="79" t="n">
        <x:f>ABS('Counter_PnL'!AT209-SUM('Counter_PnL'!AO209:'Counter_PnL'!AS209))</x:f>
        <x:v>0</x:v>
      </x:c>
      <x:c r="H209" s="79" t="n">
        <x:f>ABS('Counter_PnL'!AV209-('Counter_PnL'!AK209+'Counter_PnL'!AT209))</x:f>
        <x:v>0</x:v>
      </x:c>
      <x:c r="I209" s="79" t="n">
        <x:f>ABS('Counter_PnL'!BE209-SUM('Counter_PnL'!AX209:'Counter_PnL'!BB209,'Counter_PnL'!BD209))</x:f>
        <x:v>0</x:v>
      </x:c>
      <x:c r="J209" s="79" t="n">
        <x:f>ABS('Counter_PnL'!BL209-SUM('Counter_PnL'!AV209,'Counter_PnL'!BE209,'Counter_PnL'!BJ209,'Counter_PnL'!BK209))</x:f>
        <x:v>0</x:v>
      </x:c>
      <x:c r="K209" s="79" t="n">
        <x:f>ABS('Counter_PnL'!BO209-('Counter_PnL'!BL209+'Counter_PnL'!BN209))</x:f>
        <x:v>0</x:v>
      </x:c>
      <x:c r="L209" s="79" t="n">
        <x:f>MAX(ABS('Counter_PnL'!AW209-'Counter_PnL'!AV209/'Counter_PnL'!AK209),ABS('Counter_PnL'!BM209-'Counter_PnL'!BL209/'Counter_PnL'!AK209),ABS('Counter_PnL'!BP209-'Counter_PnL'!BO209/'Counter_PnL'!AK209))</x:f>
        <x:v>0</x:v>
      </x:c>
      <x:c r="M209" s="30" t="n">
        <x:f>IF(AND('Counter_PnL'!Q209&gt;0,'Counter_PnL'!AK209&gt;0,'Counter_PnL'!R209&lt;=0,'Counter_PnL'!T209&lt;=0,'Counter_PnL'!AT209&lt;=0,'Counter_PnL'!BE209&lt;=0,'Counter_PnL'!BJ209&lt;=0,'Counter_PnL'!BK209&lt;=0,'Counter_PnL'!BN209&lt;=0),0,1)</x:f>
        <x:v>0</x:v>
      </x:c>
    </x:row>
    <x:row r="210">
      <x:c r="A210" t="str">
        <x:f>'Counter_PnL'!D210</x:f>
        <x:v>CNCT0053</x:v>
      </x:c>
      <x:c r="B210" t="str">
        <x:f>'Counter_PnL'!C210</x:f>
        <x:v>2025 S1</x:v>
      </x:c>
      <x:c r="C210" s="30" t="n">
        <x:f>COUNTIFS('Counter_PnL'!$D$2:$D$641,A210,'Counter_PnL'!$C$2:$C$641,B210)</x:f>
        <x:v>1</x:v>
      </x:c>
      <x:c r="D210" s="79" t="n">
        <x:f>ABS('Counter_PnL'!AC210-SUM('Counter_PnL'!V210:'Counter_PnL'!AB210))</x:f>
        <x:v>0</x:v>
      </x:c>
      <x:c r="E210" s="79" t="n">
        <x:f>ABS('Counter_PnL'!AI210-SUM('Counter_PnL'!R210,'Counter_PnL'!T210,'Counter_PnL'!AC210,'Counter_PnL'!AE210,'Counter_PnL'!AG210,'Counter_PnL'!AH210))</x:f>
        <x:v>0</x:v>
      </x:c>
      <x:c r="F210" s="79" t="n">
        <x:f>ABS('Counter_PnL'!AK210-('Counter_PnL'!Q210+'Counter_PnL'!AI210))</x:f>
        <x:v>0</x:v>
      </x:c>
      <x:c r="G210" s="79" t="n">
        <x:f>ABS('Counter_PnL'!AT210-SUM('Counter_PnL'!AO210:'Counter_PnL'!AS210))</x:f>
        <x:v>0</x:v>
      </x:c>
      <x:c r="H210" s="79" t="n">
        <x:f>ABS('Counter_PnL'!AV210-('Counter_PnL'!AK210+'Counter_PnL'!AT210))</x:f>
        <x:v>0</x:v>
      </x:c>
      <x:c r="I210" s="79" t="n">
        <x:f>ABS('Counter_PnL'!BE210-SUM('Counter_PnL'!AX210:'Counter_PnL'!BB210,'Counter_PnL'!BD210))</x:f>
        <x:v>0</x:v>
      </x:c>
      <x:c r="J210" s="79" t="n">
        <x:f>ABS('Counter_PnL'!BL210-SUM('Counter_PnL'!AV210,'Counter_PnL'!BE210,'Counter_PnL'!BJ210,'Counter_PnL'!BK210))</x:f>
        <x:v>0</x:v>
      </x:c>
      <x:c r="K210" s="79" t="n">
        <x:f>ABS('Counter_PnL'!BO210-('Counter_PnL'!BL210+'Counter_PnL'!BN210))</x:f>
        <x:v>0</x:v>
      </x:c>
      <x:c r="L210" s="79" t="n">
        <x:f>MAX(ABS('Counter_PnL'!AW210-'Counter_PnL'!AV210/'Counter_PnL'!AK210),ABS('Counter_PnL'!BM210-'Counter_PnL'!BL210/'Counter_PnL'!AK210),ABS('Counter_PnL'!BP210-'Counter_PnL'!BO210/'Counter_PnL'!AK210))</x:f>
        <x:v>0</x:v>
      </x:c>
      <x:c r="M210" s="30" t="n">
        <x:f>IF(AND('Counter_PnL'!Q210&gt;0,'Counter_PnL'!AK210&gt;0,'Counter_PnL'!R210&lt;=0,'Counter_PnL'!T210&lt;=0,'Counter_PnL'!AT210&lt;=0,'Counter_PnL'!BE210&lt;=0,'Counter_PnL'!BJ210&lt;=0,'Counter_PnL'!BK210&lt;=0,'Counter_PnL'!BN210&lt;=0),0,1)</x:f>
        <x:v>0</x:v>
      </x:c>
    </x:row>
    <x:row r="211">
      <x:c r="A211" t="str">
        <x:f>'Counter_PnL'!D211</x:f>
        <x:v>CNCT0053</x:v>
      </x:c>
      <x:c r="B211" t="str">
        <x:f>'Counter_PnL'!C211</x:f>
        <x:v>2025 S2</x:v>
      </x:c>
      <x:c r="C211" s="30" t="n">
        <x:f>COUNTIFS('Counter_PnL'!$D$2:$D$641,A211,'Counter_PnL'!$C$2:$C$641,B211)</x:f>
        <x:v>1</x:v>
      </x:c>
      <x:c r="D211" s="79" t="n">
        <x:f>ABS('Counter_PnL'!AC211-SUM('Counter_PnL'!V211:'Counter_PnL'!AB211))</x:f>
        <x:v>0</x:v>
      </x:c>
      <x:c r="E211" s="79" t="n">
        <x:f>ABS('Counter_PnL'!AI211-SUM('Counter_PnL'!R211,'Counter_PnL'!T211,'Counter_PnL'!AC211,'Counter_PnL'!AE211,'Counter_PnL'!AG211,'Counter_PnL'!AH211))</x:f>
        <x:v>0</x:v>
      </x:c>
      <x:c r="F211" s="79" t="n">
        <x:f>ABS('Counter_PnL'!AK211-('Counter_PnL'!Q211+'Counter_PnL'!AI211))</x:f>
        <x:v>0</x:v>
      </x:c>
      <x:c r="G211" s="79" t="n">
        <x:f>ABS('Counter_PnL'!AT211-SUM('Counter_PnL'!AO211:'Counter_PnL'!AS211))</x:f>
        <x:v>0</x:v>
      </x:c>
      <x:c r="H211" s="79" t="n">
        <x:f>ABS('Counter_PnL'!AV211-('Counter_PnL'!AK211+'Counter_PnL'!AT211))</x:f>
        <x:v>0</x:v>
      </x:c>
      <x:c r="I211" s="79" t="n">
        <x:f>ABS('Counter_PnL'!BE211-SUM('Counter_PnL'!AX211:'Counter_PnL'!BB211,'Counter_PnL'!BD211))</x:f>
        <x:v>0</x:v>
      </x:c>
      <x:c r="J211" s="79" t="n">
        <x:f>ABS('Counter_PnL'!BL211-SUM('Counter_PnL'!AV211,'Counter_PnL'!BE211,'Counter_PnL'!BJ211,'Counter_PnL'!BK211))</x:f>
        <x:v>0</x:v>
      </x:c>
      <x:c r="K211" s="79" t="n">
        <x:f>ABS('Counter_PnL'!BO211-('Counter_PnL'!BL211+'Counter_PnL'!BN211))</x:f>
        <x:v>0</x:v>
      </x:c>
      <x:c r="L211" s="79" t="n">
        <x:f>MAX(ABS('Counter_PnL'!AW211-'Counter_PnL'!AV211/'Counter_PnL'!AK211),ABS('Counter_PnL'!BM211-'Counter_PnL'!BL211/'Counter_PnL'!AK211),ABS('Counter_PnL'!BP211-'Counter_PnL'!BO211/'Counter_PnL'!AK211))</x:f>
        <x:v>0</x:v>
      </x:c>
      <x:c r="M211" s="30" t="n">
        <x:f>IF(AND('Counter_PnL'!Q211&gt;0,'Counter_PnL'!AK211&gt;0,'Counter_PnL'!R211&lt;=0,'Counter_PnL'!T211&lt;=0,'Counter_PnL'!AT211&lt;=0,'Counter_PnL'!BE211&lt;=0,'Counter_PnL'!BJ211&lt;=0,'Counter_PnL'!BK211&lt;=0,'Counter_PnL'!BN211&lt;=0),0,1)</x:f>
        <x:v>0</x:v>
      </x:c>
    </x:row>
    <x:row r="212">
      <x:c r="A212" t="str">
        <x:f>'Counter_PnL'!D212</x:f>
        <x:v>CNCT0053</x:v>
      </x:c>
      <x:c r="B212" t="str">
        <x:f>'Counter_PnL'!C212</x:f>
        <x:v>2026 S1</x:v>
      </x:c>
      <x:c r="C212" s="30" t="n">
        <x:f>COUNTIFS('Counter_PnL'!$D$2:$D$641,A212,'Counter_PnL'!$C$2:$C$641,B212)</x:f>
        <x:v>1</x:v>
      </x:c>
      <x:c r="D212" s="79" t="n">
        <x:f>ABS('Counter_PnL'!AC212-SUM('Counter_PnL'!V212:'Counter_PnL'!AB212))</x:f>
        <x:v>0</x:v>
      </x:c>
      <x:c r="E212" s="79" t="n">
        <x:f>ABS('Counter_PnL'!AI212-SUM('Counter_PnL'!R212,'Counter_PnL'!T212,'Counter_PnL'!AC212,'Counter_PnL'!AE212,'Counter_PnL'!AG212,'Counter_PnL'!AH212))</x:f>
        <x:v>0</x:v>
      </x:c>
      <x:c r="F212" s="79" t="n">
        <x:f>ABS('Counter_PnL'!AK212-('Counter_PnL'!Q212+'Counter_PnL'!AI212))</x:f>
        <x:v>0</x:v>
      </x:c>
      <x:c r="G212" s="79" t="n">
        <x:f>ABS('Counter_PnL'!AT212-SUM('Counter_PnL'!AO212:'Counter_PnL'!AS212))</x:f>
        <x:v>0</x:v>
      </x:c>
      <x:c r="H212" s="79" t="n">
        <x:f>ABS('Counter_PnL'!AV212-('Counter_PnL'!AK212+'Counter_PnL'!AT212))</x:f>
        <x:v>0</x:v>
      </x:c>
      <x:c r="I212" s="79" t="n">
        <x:f>ABS('Counter_PnL'!BE212-SUM('Counter_PnL'!AX212:'Counter_PnL'!BB212,'Counter_PnL'!BD212))</x:f>
        <x:v>0</x:v>
      </x:c>
      <x:c r="J212" s="79" t="n">
        <x:f>ABS('Counter_PnL'!BL212-SUM('Counter_PnL'!AV212,'Counter_PnL'!BE212,'Counter_PnL'!BJ212,'Counter_PnL'!BK212))</x:f>
        <x:v>0</x:v>
      </x:c>
      <x:c r="K212" s="79" t="n">
        <x:f>ABS('Counter_PnL'!BO212-('Counter_PnL'!BL212+'Counter_PnL'!BN212))</x:f>
        <x:v>0</x:v>
      </x:c>
      <x:c r="L212" s="79" t="n">
        <x:f>MAX(ABS('Counter_PnL'!AW212-'Counter_PnL'!AV212/'Counter_PnL'!AK212),ABS('Counter_PnL'!BM212-'Counter_PnL'!BL212/'Counter_PnL'!AK212),ABS('Counter_PnL'!BP212-'Counter_PnL'!BO212/'Counter_PnL'!AK212))</x:f>
        <x:v>0</x:v>
      </x:c>
      <x:c r="M212" s="30" t="n">
        <x:f>IF(AND('Counter_PnL'!Q212&gt;0,'Counter_PnL'!AK212&gt;0,'Counter_PnL'!R212&lt;=0,'Counter_PnL'!T212&lt;=0,'Counter_PnL'!AT212&lt;=0,'Counter_PnL'!BE212&lt;=0,'Counter_PnL'!BJ212&lt;=0,'Counter_PnL'!BK212&lt;=0,'Counter_PnL'!BN212&lt;=0),0,1)</x:f>
        <x:v>0</x:v>
      </x:c>
    </x:row>
    <x:row r="213">
      <x:c r="A213" t="str">
        <x:f>'Counter_PnL'!D213</x:f>
        <x:v>CNCT0053</x:v>
      </x:c>
      <x:c r="B213" t="str">
        <x:f>'Counter_PnL'!C213</x:f>
        <x:v>2026 S2</x:v>
      </x:c>
      <x:c r="C213" s="30" t="n">
        <x:f>COUNTIFS('Counter_PnL'!$D$2:$D$641,A213,'Counter_PnL'!$C$2:$C$641,B213)</x:f>
        <x:v>1</x:v>
      </x:c>
      <x:c r="D213" s="79" t="n">
        <x:f>ABS('Counter_PnL'!AC213-SUM('Counter_PnL'!V213:'Counter_PnL'!AB213))</x:f>
        <x:v>0</x:v>
      </x:c>
      <x:c r="E213" s="79" t="n">
        <x:f>ABS('Counter_PnL'!AI213-SUM('Counter_PnL'!R213,'Counter_PnL'!T213,'Counter_PnL'!AC213,'Counter_PnL'!AE213,'Counter_PnL'!AG213,'Counter_PnL'!AH213))</x:f>
        <x:v>0</x:v>
      </x:c>
      <x:c r="F213" s="79" t="n">
        <x:f>ABS('Counter_PnL'!AK213-('Counter_PnL'!Q213+'Counter_PnL'!AI213))</x:f>
        <x:v>0</x:v>
      </x:c>
      <x:c r="G213" s="79" t="n">
        <x:f>ABS('Counter_PnL'!AT213-SUM('Counter_PnL'!AO213:'Counter_PnL'!AS213))</x:f>
        <x:v>0</x:v>
      </x:c>
      <x:c r="H213" s="79" t="n">
        <x:f>ABS('Counter_PnL'!AV213-('Counter_PnL'!AK213+'Counter_PnL'!AT213))</x:f>
        <x:v>0</x:v>
      </x:c>
      <x:c r="I213" s="79" t="n">
        <x:f>ABS('Counter_PnL'!BE213-SUM('Counter_PnL'!AX213:'Counter_PnL'!BB213,'Counter_PnL'!BD213))</x:f>
        <x:v>0</x:v>
      </x:c>
      <x:c r="J213" s="79" t="n">
        <x:f>ABS('Counter_PnL'!BL213-SUM('Counter_PnL'!AV213,'Counter_PnL'!BE213,'Counter_PnL'!BJ213,'Counter_PnL'!BK213))</x:f>
        <x:v>0</x:v>
      </x:c>
      <x:c r="K213" s="79" t="n">
        <x:f>ABS('Counter_PnL'!BO213-('Counter_PnL'!BL213+'Counter_PnL'!BN213))</x:f>
        <x:v>0</x:v>
      </x:c>
      <x:c r="L213" s="79" t="n">
        <x:f>MAX(ABS('Counter_PnL'!AW213-'Counter_PnL'!AV213/'Counter_PnL'!AK213),ABS('Counter_PnL'!BM213-'Counter_PnL'!BL213/'Counter_PnL'!AK213),ABS('Counter_PnL'!BP213-'Counter_PnL'!BO213/'Counter_PnL'!AK213))</x:f>
        <x:v>0</x:v>
      </x:c>
      <x:c r="M213" s="30" t="n">
        <x:f>IF(AND('Counter_PnL'!Q213&gt;0,'Counter_PnL'!AK213&gt;0,'Counter_PnL'!R213&lt;=0,'Counter_PnL'!T213&lt;=0,'Counter_PnL'!AT213&lt;=0,'Counter_PnL'!BE213&lt;=0,'Counter_PnL'!BJ213&lt;=0,'Counter_PnL'!BK213&lt;=0,'Counter_PnL'!BN213&lt;=0),0,1)</x:f>
        <x:v>0</x:v>
      </x:c>
    </x:row>
    <x:row r="214">
      <x:c r="A214" t="str">
        <x:f>'Counter_PnL'!D214</x:f>
        <x:v>CNCT0054</x:v>
      </x:c>
      <x:c r="B214" t="str">
        <x:f>'Counter_PnL'!C214</x:f>
        <x:v>2025 S1</x:v>
      </x:c>
      <x:c r="C214" s="30" t="n">
        <x:f>COUNTIFS('Counter_PnL'!$D$2:$D$641,A214,'Counter_PnL'!$C$2:$C$641,B214)</x:f>
        <x:v>1</x:v>
      </x:c>
      <x:c r="D214" s="79" t="n">
        <x:f>ABS('Counter_PnL'!AC214-SUM('Counter_PnL'!V214:'Counter_PnL'!AB214))</x:f>
        <x:v>0</x:v>
      </x:c>
      <x:c r="E214" s="79" t="n">
        <x:f>ABS('Counter_PnL'!AI214-SUM('Counter_PnL'!R214,'Counter_PnL'!T214,'Counter_PnL'!AC214,'Counter_PnL'!AE214,'Counter_PnL'!AG214,'Counter_PnL'!AH214))</x:f>
        <x:v>0</x:v>
      </x:c>
      <x:c r="F214" s="79" t="n">
        <x:f>ABS('Counter_PnL'!AK214-('Counter_PnL'!Q214+'Counter_PnL'!AI214))</x:f>
        <x:v>0</x:v>
      </x:c>
      <x:c r="G214" s="79" t="n">
        <x:f>ABS('Counter_PnL'!AT214-SUM('Counter_PnL'!AO214:'Counter_PnL'!AS214))</x:f>
        <x:v>0</x:v>
      </x:c>
      <x:c r="H214" s="79" t="n">
        <x:f>ABS('Counter_PnL'!AV214-('Counter_PnL'!AK214+'Counter_PnL'!AT214))</x:f>
        <x:v>0</x:v>
      </x:c>
      <x:c r="I214" s="79" t="n">
        <x:f>ABS('Counter_PnL'!BE214-SUM('Counter_PnL'!AX214:'Counter_PnL'!BB214,'Counter_PnL'!BD214))</x:f>
        <x:v>0</x:v>
      </x:c>
      <x:c r="J214" s="79" t="n">
        <x:f>ABS('Counter_PnL'!BL214-SUM('Counter_PnL'!AV214,'Counter_PnL'!BE214,'Counter_PnL'!BJ214,'Counter_PnL'!BK214))</x:f>
        <x:v>0</x:v>
      </x:c>
      <x:c r="K214" s="79" t="n">
        <x:f>ABS('Counter_PnL'!BO214-('Counter_PnL'!BL214+'Counter_PnL'!BN214))</x:f>
        <x:v>0</x:v>
      </x:c>
      <x:c r="L214" s="79" t="n">
        <x:f>MAX(ABS('Counter_PnL'!AW214-'Counter_PnL'!AV214/'Counter_PnL'!AK214),ABS('Counter_PnL'!BM214-'Counter_PnL'!BL214/'Counter_PnL'!AK214),ABS('Counter_PnL'!BP214-'Counter_PnL'!BO214/'Counter_PnL'!AK214))</x:f>
        <x:v>0</x:v>
      </x:c>
      <x:c r="M214" s="30" t="n">
        <x:f>IF(AND('Counter_PnL'!Q214&gt;0,'Counter_PnL'!AK214&gt;0,'Counter_PnL'!R214&lt;=0,'Counter_PnL'!T214&lt;=0,'Counter_PnL'!AT214&lt;=0,'Counter_PnL'!BE214&lt;=0,'Counter_PnL'!BJ214&lt;=0,'Counter_PnL'!BK214&lt;=0,'Counter_PnL'!BN214&lt;=0),0,1)</x:f>
        <x:v>0</x:v>
      </x:c>
    </x:row>
    <x:row r="215">
      <x:c r="A215" t="str">
        <x:f>'Counter_PnL'!D215</x:f>
        <x:v>CNCT0054</x:v>
      </x:c>
      <x:c r="B215" t="str">
        <x:f>'Counter_PnL'!C215</x:f>
        <x:v>2025 S2</x:v>
      </x:c>
      <x:c r="C215" s="30" t="n">
        <x:f>COUNTIFS('Counter_PnL'!$D$2:$D$641,A215,'Counter_PnL'!$C$2:$C$641,B215)</x:f>
        <x:v>1</x:v>
      </x:c>
      <x:c r="D215" s="79" t="n">
        <x:f>ABS('Counter_PnL'!AC215-SUM('Counter_PnL'!V215:'Counter_PnL'!AB215))</x:f>
        <x:v>0</x:v>
      </x:c>
      <x:c r="E215" s="79" t="n">
        <x:f>ABS('Counter_PnL'!AI215-SUM('Counter_PnL'!R215,'Counter_PnL'!T215,'Counter_PnL'!AC215,'Counter_PnL'!AE215,'Counter_PnL'!AG215,'Counter_PnL'!AH215))</x:f>
        <x:v>0</x:v>
      </x:c>
      <x:c r="F215" s="79" t="n">
        <x:f>ABS('Counter_PnL'!AK215-('Counter_PnL'!Q215+'Counter_PnL'!AI215))</x:f>
        <x:v>0</x:v>
      </x:c>
      <x:c r="G215" s="79" t="n">
        <x:f>ABS('Counter_PnL'!AT215-SUM('Counter_PnL'!AO215:'Counter_PnL'!AS215))</x:f>
        <x:v>0</x:v>
      </x:c>
      <x:c r="H215" s="79" t="n">
        <x:f>ABS('Counter_PnL'!AV215-('Counter_PnL'!AK215+'Counter_PnL'!AT215))</x:f>
        <x:v>0</x:v>
      </x:c>
      <x:c r="I215" s="79" t="n">
        <x:f>ABS('Counter_PnL'!BE215-SUM('Counter_PnL'!AX215:'Counter_PnL'!BB215,'Counter_PnL'!BD215))</x:f>
        <x:v>0</x:v>
      </x:c>
      <x:c r="J215" s="79" t="n">
        <x:f>ABS('Counter_PnL'!BL215-SUM('Counter_PnL'!AV215,'Counter_PnL'!BE215,'Counter_PnL'!BJ215,'Counter_PnL'!BK215))</x:f>
        <x:v>0</x:v>
      </x:c>
      <x:c r="K215" s="79" t="n">
        <x:f>ABS('Counter_PnL'!BO215-('Counter_PnL'!BL215+'Counter_PnL'!BN215))</x:f>
        <x:v>0</x:v>
      </x:c>
      <x:c r="L215" s="79" t="n">
        <x:f>MAX(ABS('Counter_PnL'!AW215-'Counter_PnL'!AV215/'Counter_PnL'!AK215),ABS('Counter_PnL'!BM215-'Counter_PnL'!BL215/'Counter_PnL'!AK215),ABS('Counter_PnL'!BP215-'Counter_PnL'!BO215/'Counter_PnL'!AK215))</x:f>
        <x:v>0</x:v>
      </x:c>
      <x:c r="M215" s="30" t="n">
        <x:f>IF(AND('Counter_PnL'!Q215&gt;0,'Counter_PnL'!AK215&gt;0,'Counter_PnL'!R215&lt;=0,'Counter_PnL'!T215&lt;=0,'Counter_PnL'!AT215&lt;=0,'Counter_PnL'!BE215&lt;=0,'Counter_PnL'!BJ215&lt;=0,'Counter_PnL'!BK215&lt;=0,'Counter_PnL'!BN215&lt;=0),0,1)</x:f>
        <x:v>0</x:v>
      </x:c>
    </x:row>
    <x:row r="216">
      <x:c r="A216" t="str">
        <x:f>'Counter_PnL'!D216</x:f>
        <x:v>CNCT0054</x:v>
      </x:c>
      <x:c r="B216" t="str">
        <x:f>'Counter_PnL'!C216</x:f>
        <x:v>2026 S1</x:v>
      </x:c>
      <x:c r="C216" s="30" t="n">
        <x:f>COUNTIFS('Counter_PnL'!$D$2:$D$641,A216,'Counter_PnL'!$C$2:$C$641,B216)</x:f>
        <x:v>1</x:v>
      </x:c>
      <x:c r="D216" s="79" t="n">
        <x:f>ABS('Counter_PnL'!AC216-SUM('Counter_PnL'!V216:'Counter_PnL'!AB216))</x:f>
        <x:v>0</x:v>
      </x:c>
      <x:c r="E216" s="79" t="n">
        <x:f>ABS('Counter_PnL'!AI216-SUM('Counter_PnL'!R216,'Counter_PnL'!T216,'Counter_PnL'!AC216,'Counter_PnL'!AE216,'Counter_PnL'!AG216,'Counter_PnL'!AH216))</x:f>
        <x:v>0</x:v>
      </x:c>
      <x:c r="F216" s="79" t="n">
        <x:f>ABS('Counter_PnL'!AK216-('Counter_PnL'!Q216+'Counter_PnL'!AI216))</x:f>
        <x:v>0</x:v>
      </x:c>
      <x:c r="G216" s="79" t="n">
        <x:f>ABS('Counter_PnL'!AT216-SUM('Counter_PnL'!AO216:'Counter_PnL'!AS216))</x:f>
        <x:v>0</x:v>
      </x:c>
      <x:c r="H216" s="79" t="n">
        <x:f>ABS('Counter_PnL'!AV216-('Counter_PnL'!AK216+'Counter_PnL'!AT216))</x:f>
        <x:v>0</x:v>
      </x:c>
      <x:c r="I216" s="79" t="n">
        <x:f>ABS('Counter_PnL'!BE216-SUM('Counter_PnL'!AX216:'Counter_PnL'!BB216,'Counter_PnL'!BD216))</x:f>
        <x:v>0</x:v>
      </x:c>
      <x:c r="J216" s="79" t="n">
        <x:f>ABS('Counter_PnL'!BL216-SUM('Counter_PnL'!AV216,'Counter_PnL'!BE216,'Counter_PnL'!BJ216,'Counter_PnL'!BK216))</x:f>
        <x:v>0</x:v>
      </x:c>
      <x:c r="K216" s="79" t="n">
        <x:f>ABS('Counter_PnL'!BO216-('Counter_PnL'!BL216+'Counter_PnL'!BN216))</x:f>
        <x:v>0</x:v>
      </x:c>
      <x:c r="L216" s="79" t="n">
        <x:f>MAX(ABS('Counter_PnL'!AW216-'Counter_PnL'!AV216/'Counter_PnL'!AK216),ABS('Counter_PnL'!BM216-'Counter_PnL'!BL216/'Counter_PnL'!AK216),ABS('Counter_PnL'!BP216-'Counter_PnL'!BO216/'Counter_PnL'!AK216))</x:f>
        <x:v>0</x:v>
      </x:c>
      <x:c r="M216" s="30" t="n">
        <x:f>IF(AND('Counter_PnL'!Q216&gt;0,'Counter_PnL'!AK216&gt;0,'Counter_PnL'!R216&lt;=0,'Counter_PnL'!T216&lt;=0,'Counter_PnL'!AT216&lt;=0,'Counter_PnL'!BE216&lt;=0,'Counter_PnL'!BJ216&lt;=0,'Counter_PnL'!BK216&lt;=0,'Counter_PnL'!BN216&lt;=0),0,1)</x:f>
        <x:v>0</x:v>
      </x:c>
    </x:row>
    <x:row r="217">
      <x:c r="A217" t="str">
        <x:f>'Counter_PnL'!D217</x:f>
        <x:v>CNCT0054</x:v>
      </x:c>
      <x:c r="B217" t="str">
        <x:f>'Counter_PnL'!C217</x:f>
        <x:v>2026 S2</x:v>
      </x:c>
      <x:c r="C217" s="30" t="n">
        <x:f>COUNTIFS('Counter_PnL'!$D$2:$D$641,A217,'Counter_PnL'!$C$2:$C$641,B217)</x:f>
        <x:v>1</x:v>
      </x:c>
      <x:c r="D217" s="79" t="n">
        <x:f>ABS('Counter_PnL'!AC217-SUM('Counter_PnL'!V217:'Counter_PnL'!AB217))</x:f>
        <x:v>0</x:v>
      </x:c>
      <x:c r="E217" s="79" t="n">
        <x:f>ABS('Counter_PnL'!AI217-SUM('Counter_PnL'!R217,'Counter_PnL'!T217,'Counter_PnL'!AC217,'Counter_PnL'!AE217,'Counter_PnL'!AG217,'Counter_PnL'!AH217))</x:f>
        <x:v>0</x:v>
      </x:c>
      <x:c r="F217" s="79" t="n">
        <x:f>ABS('Counter_PnL'!AK217-('Counter_PnL'!Q217+'Counter_PnL'!AI217))</x:f>
        <x:v>0</x:v>
      </x:c>
      <x:c r="G217" s="79" t="n">
        <x:f>ABS('Counter_PnL'!AT217-SUM('Counter_PnL'!AO217:'Counter_PnL'!AS217))</x:f>
        <x:v>0</x:v>
      </x:c>
      <x:c r="H217" s="79" t="n">
        <x:f>ABS('Counter_PnL'!AV217-('Counter_PnL'!AK217+'Counter_PnL'!AT217))</x:f>
        <x:v>0</x:v>
      </x:c>
      <x:c r="I217" s="79" t="n">
        <x:f>ABS('Counter_PnL'!BE217-SUM('Counter_PnL'!AX217:'Counter_PnL'!BB217,'Counter_PnL'!BD217))</x:f>
        <x:v>0</x:v>
      </x:c>
      <x:c r="J217" s="79" t="n">
        <x:f>ABS('Counter_PnL'!BL217-SUM('Counter_PnL'!AV217,'Counter_PnL'!BE217,'Counter_PnL'!BJ217,'Counter_PnL'!BK217))</x:f>
        <x:v>0</x:v>
      </x:c>
      <x:c r="K217" s="79" t="n">
        <x:f>ABS('Counter_PnL'!BO217-('Counter_PnL'!BL217+'Counter_PnL'!BN217))</x:f>
        <x:v>0</x:v>
      </x:c>
      <x:c r="L217" s="79" t="n">
        <x:f>MAX(ABS('Counter_PnL'!AW217-'Counter_PnL'!AV217/'Counter_PnL'!AK217),ABS('Counter_PnL'!BM217-'Counter_PnL'!BL217/'Counter_PnL'!AK217),ABS('Counter_PnL'!BP217-'Counter_PnL'!BO217/'Counter_PnL'!AK217))</x:f>
        <x:v>0</x:v>
      </x:c>
      <x:c r="M217" s="30" t="n">
        <x:f>IF(AND('Counter_PnL'!Q217&gt;0,'Counter_PnL'!AK217&gt;0,'Counter_PnL'!R217&lt;=0,'Counter_PnL'!T217&lt;=0,'Counter_PnL'!AT217&lt;=0,'Counter_PnL'!BE217&lt;=0,'Counter_PnL'!BJ217&lt;=0,'Counter_PnL'!BK217&lt;=0,'Counter_PnL'!BN217&lt;=0),0,1)</x:f>
        <x:v>0</x:v>
      </x:c>
    </x:row>
    <x:row r="218">
      <x:c r="A218" t="str">
        <x:f>'Counter_PnL'!D218</x:f>
        <x:v>CNCT0055</x:v>
      </x:c>
      <x:c r="B218" t="str">
        <x:f>'Counter_PnL'!C218</x:f>
        <x:v>2025 S1</x:v>
      </x:c>
      <x:c r="C218" s="30" t="n">
        <x:f>COUNTIFS('Counter_PnL'!$D$2:$D$641,A218,'Counter_PnL'!$C$2:$C$641,B218)</x:f>
        <x:v>1</x:v>
      </x:c>
      <x:c r="D218" s="79" t="n">
        <x:f>ABS('Counter_PnL'!AC218-SUM('Counter_PnL'!V218:'Counter_PnL'!AB218))</x:f>
        <x:v>0</x:v>
      </x:c>
      <x:c r="E218" s="79" t="n">
        <x:f>ABS('Counter_PnL'!AI218-SUM('Counter_PnL'!R218,'Counter_PnL'!T218,'Counter_PnL'!AC218,'Counter_PnL'!AE218,'Counter_PnL'!AG218,'Counter_PnL'!AH218))</x:f>
        <x:v>0</x:v>
      </x:c>
      <x:c r="F218" s="79" t="n">
        <x:f>ABS('Counter_PnL'!AK218-('Counter_PnL'!Q218+'Counter_PnL'!AI218))</x:f>
        <x:v>0</x:v>
      </x:c>
      <x:c r="G218" s="79" t="n">
        <x:f>ABS('Counter_PnL'!AT218-SUM('Counter_PnL'!AO218:'Counter_PnL'!AS218))</x:f>
        <x:v>0</x:v>
      </x:c>
      <x:c r="H218" s="79" t="n">
        <x:f>ABS('Counter_PnL'!AV218-('Counter_PnL'!AK218+'Counter_PnL'!AT218))</x:f>
        <x:v>0</x:v>
      </x:c>
      <x:c r="I218" s="79" t="n">
        <x:f>ABS('Counter_PnL'!BE218-SUM('Counter_PnL'!AX218:'Counter_PnL'!BB218,'Counter_PnL'!BD218))</x:f>
        <x:v>0</x:v>
      </x:c>
      <x:c r="J218" s="79" t="n">
        <x:f>ABS('Counter_PnL'!BL218-SUM('Counter_PnL'!AV218,'Counter_PnL'!BE218,'Counter_PnL'!BJ218,'Counter_PnL'!BK218))</x:f>
        <x:v>0</x:v>
      </x:c>
      <x:c r="K218" s="79" t="n">
        <x:f>ABS('Counter_PnL'!BO218-('Counter_PnL'!BL218+'Counter_PnL'!BN218))</x:f>
        <x:v>0</x:v>
      </x:c>
      <x:c r="L218" s="79" t="n">
        <x:f>MAX(ABS('Counter_PnL'!AW218-'Counter_PnL'!AV218/'Counter_PnL'!AK218),ABS('Counter_PnL'!BM218-'Counter_PnL'!BL218/'Counter_PnL'!AK218),ABS('Counter_PnL'!BP218-'Counter_PnL'!BO218/'Counter_PnL'!AK218))</x:f>
        <x:v>0</x:v>
      </x:c>
      <x:c r="M218" s="30" t="n">
        <x:f>IF(AND('Counter_PnL'!Q218&gt;0,'Counter_PnL'!AK218&gt;0,'Counter_PnL'!R218&lt;=0,'Counter_PnL'!T218&lt;=0,'Counter_PnL'!AT218&lt;=0,'Counter_PnL'!BE218&lt;=0,'Counter_PnL'!BJ218&lt;=0,'Counter_PnL'!BK218&lt;=0,'Counter_PnL'!BN218&lt;=0),0,1)</x:f>
        <x:v>0</x:v>
      </x:c>
    </x:row>
    <x:row r="219">
      <x:c r="A219" t="str">
        <x:f>'Counter_PnL'!D219</x:f>
        <x:v>CNCT0055</x:v>
      </x:c>
      <x:c r="B219" t="str">
        <x:f>'Counter_PnL'!C219</x:f>
        <x:v>2025 S2</x:v>
      </x:c>
      <x:c r="C219" s="30" t="n">
        <x:f>COUNTIFS('Counter_PnL'!$D$2:$D$641,A219,'Counter_PnL'!$C$2:$C$641,B219)</x:f>
        <x:v>1</x:v>
      </x:c>
      <x:c r="D219" s="79" t="n">
        <x:f>ABS('Counter_PnL'!AC219-SUM('Counter_PnL'!V219:'Counter_PnL'!AB219))</x:f>
        <x:v>0</x:v>
      </x:c>
      <x:c r="E219" s="79" t="n">
        <x:f>ABS('Counter_PnL'!AI219-SUM('Counter_PnL'!R219,'Counter_PnL'!T219,'Counter_PnL'!AC219,'Counter_PnL'!AE219,'Counter_PnL'!AG219,'Counter_PnL'!AH219))</x:f>
        <x:v>0</x:v>
      </x:c>
      <x:c r="F219" s="79" t="n">
        <x:f>ABS('Counter_PnL'!AK219-('Counter_PnL'!Q219+'Counter_PnL'!AI219))</x:f>
        <x:v>0</x:v>
      </x:c>
      <x:c r="G219" s="79" t="n">
        <x:f>ABS('Counter_PnL'!AT219-SUM('Counter_PnL'!AO219:'Counter_PnL'!AS219))</x:f>
        <x:v>0</x:v>
      </x:c>
      <x:c r="H219" s="79" t="n">
        <x:f>ABS('Counter_PnL'!AV219-('Counter_PnL'!AK219+'Counter_PnL'!AT219))</x:f>
        <x:v>0</x:v>
      </x:c>
      <x:c r="I219" s="79" t="n">
        <x:f>ABS('Counter_PnL'!BE219-SUM('Counter_PnL'!AX219:'Counter_PnL'!BB219,'Counter_PnL'!BD219))</x:f>
        <x:v>0</x:v>
      </x:c>
      <x:c r="J219" s="79" t="n">
        <x:f>ABS('Counter_PnL'!BL219-SUM('Counter_PnL'!AV219,'Counter_PnL'!BE219,'Counter_PnL'!BJ219,'Counter_PnL'!BK219))</x:f>
        <x:v>0</x:v>
      </x:c>
      <x:c r="K219" s="79" t="n">
        <x:f>ABS('Counter_PnL'!BO219-('Counter_PnL'!BL219+'Counter_PnL'!BN219))</x:f>
        <x:v>0</x:v>
      </x:c>
      <x:c r="L219" s="79" t="n">
        <x:f>MAX(ABS('Counter_PnL'!AW219-'Counter_PnL'!AV219/'Counter_PnL'!AK219),ABS('Counter_PnL'!BM219-'Counter_PnL'!BL219/'Counter_PnL'!AK219),ABS('Counter_PnL'!BP219-'Counter_PnL'!BO219/'Counter_PnL'!AK219))</x:f>
        <x:v>0</x:v>
      </x:c>
      <x:c r="M219" s="30" t="n">
        <x:f>IF(AND('Counter_PnL'!Q219&gt;0,'Counter_PnL'!AK219&gt;0,'Counter_PnL'!R219&lt;=0,'Counter_PnL'!T219&lt;=0,'Counter_PnL'!AT219&lt;=0,'Counter_PnL'!BE219&lt;=0,'Counter_PnL'!BJ219&lt;=0,'Counter_PnL'!BK219&lt;=0,'Counter_PnL'!BN219&lt;=0),0,1)</x:f>
        <x:v>0</x:v>
      </x:c>
    </x:row>
    <x:row r="220">
      <x:c r="A220" t="str">
        <x:f>'Counter_PnL'!D220</x:f>
        <x:v>CNCT0055</x:v>
      </x:c>
      <x:c r="B220" t="str">
        <x:f>'Counter_PnL'!C220</x:f>
        <x:v>2026 S1</x:v>
      </x:c>
      <x:c r="C220" s="30" t="n">
        <x:f>COUNTIFS('Counter_PnL'!$D$2:$D$641,A220,'Counter_PnL'!$C$2:$C$641,B220)</x:f>
        <x:v>1</x:v>
      </x:c>
      <x:c r="D220" s="79" t="n">
        <x:f>ABS('Counter_PnL'!AC220-SUM('Counter_PnL'!V220:'Counter_PnL'!AB220))</x:f>
        <x:v>0</x:v>
      </x:c>
      <x:c r="E220" s="79" t="n">
        <x:f>ABS('Counter_PnL'!AI220-SUM('Counter_PnL'!R220,'Counter_PnL'!T220,'Counter_PnL'!AC220,'Counter_PnL'!AE220,'Counter_PnL'!AG220,'Counter_PnL'!AH220))</x:f>
        <x:v>0</x:v>
      </x:c>
      <x:c r="F220" s="79" t="n">
        <x:f>ABS('Counter_PnL'!AK220-('Counter_PnL'!Q220+'Counter_PnL'!AI220))</x:f>
        <x:v>0</x:v>
      </x:c>
      <x:c r="G220" s="79" t="n">
        <x:f>ABS('Counter_PnL'!AT220-SUM('Counter_PnL'!AO220:'Counter_PnL'!AS220))</x:f>
        <x:v>0</x:v>
      </x:c>
      <x:c r="H220" s="79" t="n">
        <x:f>ABS('Counter_PnL'!AV220-('Counter_PnL'!AK220+'Counter_PnL'!AT220))</x:f>
        <x:v>0</x:v>
      </x:c>
      <x:c r="I220" s="79" t="n">
        <x:f>ABS('Counter_PnL'!BE220-SUM('Counter_PnL'!AX220:'Counter_PnL'!BB220,'Counter_PnL'!BD220))</x:f>
        <x:v>0</x:v>
      </x:c>
      <x:c r="J220" s="79" t="n">
        <x:f>ABS('Counter_PnL'!BL220-SUM('Counter_PnL'!AV220,'Counter_PnL'!BE220,'Counter_PnL'!BJ220,'Counter_PnL'!BK220))</x:f>
        <x:v>0</x:v>
      </x:c>
      <x:c r="K220" s="79" t="n">
        <x:f>ABS('Counter_PnL'!BO220-('Counter_PnL'!BL220+'Counter_PnL'!BN220))</x:f>
        <x:v>0</x:v>
      </x:c>
      <x:c r="L220" s="79" t="n">
        <x:f>MAX(ABS('Counter_PnL'!AW220-'Counter_PnL'!AV220/'Counter_PnL'!AK220),ABS('Counter_PnL'!BM220-'Counter_PnL'!BL220/'Counter_PnL'!AK220),ABS('Counter_PnL'!BP220-'Counter_PnL'!BO220/'Counter_PnL'!AK220))</x:f>
        <x:v>0</x:v>
      </x:c>
      <x:c r="M220" s="30" t="n">
        <x:f>IF(AND('Counter_PnL'!Q220&gt;0,'Counter_PnL'!AK220&gt;0,'Counter_PnL'!R220&lt;=0,'Counter_PnL'!T220&lt;=0,'Counter_PnL'!AT220&lt;=0,'Counter_PnL'!BE220&lt;=0,'Counter_PnL'!BJ220&lt;=0,'Counter_PnL'!BK220&lt;=0,'Counter_PnL'!BN220&lt;=0),0,1)</x:f>
        <x:v>0</x:v>
      </x:c>
    </x:row>
    <x:row r="221">
      <x:c r="A221" t="str">
        <x:f>'Counter_PnL'!D221</x:f>
        <x:v>CNCT0055</x:v>
      </x:c>
      <x:c r="B221" t="str">
        <x:f>'Counter_PnL'!C221</x:f>
        <x:v>2026 S2</x:v>
      </x:c>
      <x:c r="C221" s="30" t="n">
        <x:f>COUNTIFS('Counter_PnL'!$D$2:$D$641,A221,'Counter_PnL'!$C$2:$C$641,B221)</x:f>
        <x:v>1</x:v>
      </x:c>
      <x:c r="D221" s="79" t="n">
        <x:f>ABS('Counter_PnL'!AC221-SUM('Counter_PnL'!V221:'Counter_PnL'!AB221))</x:f>
        <x:v>0</x:v>
      </x:c>
      <x:c r="E221" s="79" t="n">
        <x:f>ABS('Counter_PnL'!AI221-SUM('Counter_PnL'!R221,'Counter_PnL'!T221,'Counter_PnL'!AC221,'Counter_PnL'!AE221,'Counter_PnL'!AG221,'Counter_PnL'!AH221))</x:f>
        <x:v>0</x:v>
      </x:c>
      <x:c r="F221" s="79" t="n">
        <x:f>ABS('Counter_PnL'!AK221-('Counter_PnL'!Q221+'Counter_PnL'!AI221))</x:f>
        <x:v>0</x:v>
      </x:c>
      <x:c r="G221" s="79" t="n">
        <x:f>ABS('Counter_PnL'!AT221-SUM('Counter_PnL'!AO221:'Counter_PnL'!AS221))</x:f>
        <x:v>0</x:v>
      </x:c>
      <x:c r="H221" s="79" t="n">
        <x:f>ABS('Counter_PnL'!AV221-('Counter_PnL'!AK221+'Counter_PnL'!AT221))</x:f>
        <x:v>0</x:v>
      </x:c>
      <x:c r="I221" s="79" t="n">
        <x:f>ABS('Counter_PnL'!BE221-SUM('Counter_PnL'!AX221:'Counter_PnL'!BB221,'Counter_PnL'!BD221))</x:f>
        <x:v>0</x:v>
      </x:c>
      <x:c r="J221" s="79" t="n">
        <x:f>ABS('Counter_PnL'!BL221-SUM('Counter_PnL'!AV221,'Counter_PnL'!BE221,'Counter_PnL'!BJ221,'Counter_PnL'!BK221))</x:f>
        <x:v>0</x:v>
      </x:c>
      <x:c r="K221" s="79" t="n">
        <x:f>ABS('Counter_PnL'!BO221-('Counter_PnL'!BL221+'Counter_PnL'!BN221))</x:f>
        <x:v>0</x:v>
      </x:c>
      <x:c r="L221" s="79" t="n">
        <x:f>MAX(ABS('Counter_PnL'!AW221-'Counter_PnL'!AV221/'Counter_PnL'!AK221),ABS('Counter_PnL'!BM221-'Counter_PnL'!BL221/'Counter_PnL'!AK221),ABS('Counter_PnL'!BP221-'Counter_PnL'!BO221/'Counter_PnL'!AK221))</x:f>
        <x:v>0</x:v>
      </x:c>
      <x:c r="M221" s="30" t="n">
        <x:f>IF(AND('Counter_PnL'!Q221&gt;0,'Counter_PnL'!AK221&gt;0,'Counter_PnL'!R221&lt;=0,'Counter_PnL'!T221&lt;=0,'Counter_PnL'!AT221&lt;=0,'Counter_PnL'!BE221&lt;=0,'Counter_PnL'!BJ221&lt;=0,'Counter_PnL'!BK221&lt;=0,'Counter_PnL'!BN221&lt;=0),0,1)</x:f>
        <x:v>0</x:v>
      </x:c>
    </x:row>
    <x:row r="222">
      <x:c r="A222" t="str">
        <x:f>'Counter_PnL'!D222</x:f>
        <x:v>CNCT0056</x:v>
      </x:c>
      <x:c r="B222" t="str">
        <x:f>'Counter_PnL'!C222</x:f>
        <x:v>2025 S1</x:v>
      </x:c>
      <x:c r="C222" s="30" t="n">
        <x:f>COUNTIFS('Counter_PnL'!$D$2:$D$641,A222,'Counter_PnL'!$C$2:$C$641,B222)</x:f>
        <x:v>1</x:v>
      </x:c>
      <x:c r="D222" s="79" t="n">
        <x:f>ABS('Counter_PnL'!AC222-SUM('Counter_PnL'!V222:'Counter_PnL'!AB222))</x:f>
        <x:v>0</x:v>
      </x:c>
      <x:c r="E222" s="79" t="n">
        <x:f>ABS('Counter_PnL'!AI222-SUM('Counter_PnL'!R222,'Counter_PnL'!T222,'Counter_PnL'!AC222,'Counter_PnL'!AE222,'Counter_PnL'!AG222,'Counter_PnL'!AH222))</x:f>
        <x:v>0</x:v>
      </x:c>
      <x:c r="F222" s="79" t="n">
        <x:f>ABS('Counter_PnL'!AK222-('Counter_PnL'!Q222+'Counter_PnL'!AI222))</x:f>
        <x:v>0</x:v>
      </x:c>
      <x:c r="G222" s="79" t="n">
        <x:f>ABS('Counter_PnL'!AT222-SUM('Counter_PnL'!AO222:'Counter_PnL'!AS222))</x:f>
        <x:v>0</x:v>
      </x:c>
      <x:c r="H222" s="79" t="n">
        <x:f>ABS('Counter_PnL'!AV222-('Counter_PnL'!AK222+'Counter_PnL'!AT222))</x:f>
        <x:v>0</x:v>
      </x:c>
      <x:c r="I222" s="79" t="n">
        <x:f>ABS('Counter_PnL'!BE222-SUM('Counter_PnL'!AX222:'Counter_PnL'!BB222,'Counter_PnL'!BD222))</x:f>
        <x:v>0</x:v>
      </x:c>
      <x:c r="J222" s="79" t="n">
        <x:f>ABS('Counter_PnL'!BL222-SUM('Counter_PnL'!AV222,'Counter_PnL'!BE222,'Counter_PnL'!BJ222,'Counter_PnL'!BK222))</x:f>
        <x:v>0</x:v>
      </x:c>
      <x:c r="K222" s="79" t="n">
        <x:f>ABS('Counter_PnL'!BO222-('Counter_PnL'!BL222+'Counter_PnL'!BN222))</x:f>
        <x:v>0</x:v>
      </x:c>
      <x:c r="L222" s="79" t="n">
        <x:f>MAX(ABS('Counter_PnL'!AW222-'Counter_PnL'!AV222/'Counter_PnL'!AK222),ABS('Counter_PnL'!BM222-'Counter_PnL'!BL222/'Counter_PnL'!AK222),ABS('Counter_PnL'!BP222-'Counter_PnL'!BO222/'Counter_PnL'!AK222))</x:f>
        <x:v>0</x:v>
      </x:c>
      <x:c r="M222" s="30" t="n">
        <x:f>IF(AND('Counter_PnL'!Q222&gt;0,'Counter_PnL'!AK222&gt;0,'Counter_PnL'!R222&lt;=0,'Counter_PnL'!T222&lt;=0,'Counter_PnL'!AT222&lt;=0,'Counter_PnL'!BE222&lt;=0,'Counter_PnL'!BJ222&lt;=0,'Counter_PnL'!BK222&lt;=0,'Counter_PnL'!BN222&lt;=0),0,1)</x:f>
        <x:v>0</x:v>
      </x:c>
    </x:row>
    <x:row r="223">
      <x:c r="A223" t="str">
        <x:f>'Counter_PnL'!D223</x:f>
        <x:v>CNCT0056</x:v>
      </x:c>
      <x:c r="B223" t="str">
        <x:f>'Counter_PnL'!C223</x:f>
        <x:v>2025 S2</x:v>
      </x:c>
      <x:c r="C223" s="30" t="n">
        <x:f>COUNTIFS('Counter_PnL'!$D$2:$D$641,A223,'Counter_PnL'!$C$2:$C$641,B223)</x:f>
        <x:v>1</x:v>
      </x:c>
      <x:c r="D223" s="79" t="n">
        <x:f>ABS('Counter_PnL'!AC223-SUM('Counter_PnL'!V223:'Counter_PnL'!AB223))</x:f>
        <x:v>0</x:v>
      </x:c>
      <x:c r="E223" s="79" t="n">
        <x:f>ABS('Counter_PnL'!AI223-SUM('Counter_PnL'!R223,'Counter_PnL'!T223,'Counter_PnL'!AC223,'Counter_PnL'!AE223,'Counter_PnL'!AG223,'Counter_PnL'!AH223))</x:f>
        <x:v>0</x:v>
      </x:c>
      <x:c r="F223" s="79" t="n">
        <x:f>ABS('Counter_PnL'!AK223-('Counter_PnL'!Q223+'Counter_PnL'!AI223))</x:f>
        <x:v>0</x:v>
      </x:c>
      <x:c r="G223" s="79" t="n">
        <x:f>ABS('Counter_PnL'!AT223-SUM('Counter_PnL'!AO223:'Counter_PnL'!AS223))</x:f>
        <x:v>0</x:v>
      </x:c>
      <x:c r="H223" s="79" t="n">
        <x:f>ABS('Counter_PnL'!AV223-('Counter_PnL'!AK223+'Counter_PnL'!AT223))</x:f>
        <x:v>0</x:v>
      </x:c>
      <x:c r="I223" s="79" t="n">
        <x:f>ABS('Counter_PnL'!BE223-SUM('Counter_PnL'!AX223:'Counter_PnL'!BB223,'Counter_PnL'!BD223))</x:f>
        <x:v>0</x:v>
      </x:c>
      <x:c r="J223" s="79" t="n">
        <x:f>ABS('Counter_PnL'!BL223-SUM('Counter_PnL'!AV223,'Counter_PnL'!BE223,'Counter_PnL'!BJ223,'Counter_PnL'!BK223))</x:f>
        <x:v>0</x:v>
      </x:c>
      <x:c r="K223" s="79" t="n">
        <x:f>ABS('Counter_PnL'!BO223-('Counter_PnL'!BL223+'Counter_PnL'!BN223))</x:f>
        <x:v>0</x:v>
      </x:c>
      <x:c r="L223" s="79" t="n">
        <x:f>MAX(ABS('Counter_PnL'!AW223-'Counter_PnL'!AV223/'Counter_PnL'!AK223),ABS('Counter_PnL'!BM223-'Counter_PnL'!BL223/'Counter_PnL'!AK223),ABS('Counter_PnL'!BP223-'Counter_PnL'!BO223/'Counter_PnL'!AK223))</x:f>
        <x:v>0</x:v>
      </x:c>
      <x:c r="M223" s="30" t="n">
        <x:f>IF(AND('Counter_PnL'!Q223&gt;0,'Counter_PnL'!AK223&gt;0,'Counter_PnL'!R223&lt;=0,'Counter_PnL'!T223&lt;=0,'Counter_PnL'!AT223&lt;=0,'Counter_PnL'!BE223&lt;=0,'Counter_PnL'!BJ223&lt;=0,'Counter_PnL'!BK223&lt;=0,'Counter_PnL'!BN223&lt;=0),0,1)</x:f>
        <x:v>0</x:v>
      </x:c>
    </x:row>
    <x:row r="224">
      <x:c r="A224" t="str">
        <x:f>'Counter_PnL'!D224</x:f>
        <x:v>CNCT0056</x:v>
      </x:c>
      <x:c r="B224" t="str">
        <x:f>'Counter_PnL'!C224</x:f>
        <x:v>2026 S1</x:v>
      </x:c>
      <x:c r="C224" s="30" t="n">
        <x:f>COUNTIFS('Counter_PnL'!$D$2:$D$641,A224,'Counter_PnL'!$C$2:$C$641,B224)</x:f>
        <x:v>1</x:v>
      </x:c>
      <x:c r="D224" s="79" t="n">
        <x:f>ABS('Counter_PnL'!AC224-SUM('Counter_PnL'!V224:'Counter_PnL'!AB224))</x:f>
        <x:v>0</x:v>
      </x:c>
      <x:c r="E224" s="79" t="n">
        <x:f>ABS('Counter_PnL'!AI224-SUM('Counter_PnL'!R224,'Counter_PnL'!T224,'Counter_PnL'!AC224,'Counter_PnL'!AE224,'Counter_PnL'!AG224,'Counter_PnL'!AH224))</x:f>
        <x:v>0</x:v>
      </x:c>
      <x:c r="F224" s="79" t="n">
        <x:f>ABS('Counter_PnL'!AK224-('Counter_PnL'!Q224+'Counter_PnL'!AI224))</x:f>
        <x:v>0</x:v>
      </x:c>
      <x:c r="G224" s="79" t="n">
        <x:f>ABS('Counter_PnL'!AT224-SUM('Counter_PnL'!AO224:'Counter_PnL'!AS224))</x:f>
        <x:v>0</x:v>
      </x:c>
      <x:c r="H224" s="79" t="n">
        <x:f>ABS('Counter_PnL'!AV224-('Counter_PnL'!AK224+'Counter_PnL'!AT224))</x:f>
        <x:v>0</x:v>
      </x:c>
      <x:c r="I224" s="79" t="n">
        <x:f>ABS('Counter_PnL'!BE224-SUM('Counter_PnL'!AX224:'Counter_PnL'!BB224,'Counter_PnL'!BD224))</x:f>
        <x:v>0</x:v>
      </x:c>
      <x:c r="J224" s="79" t="n">
        <x:f>ABS('Counter_PnL'!BL224-SUM('Counter_PnL'!AV224,'Counter_PnL'!BE224,'Counter_PnL'!BJ224,'Counter_PnL'!BK224))</x:f>
        <x:v>0</x:v>
      </x:c>
      <x:c r="K224" s="79" t="n">
        <x:f>ABS('Counter_PnL'!BO224-('Counter_PnL'!BL224+'Counter_PnL'!BN224))</x:f>
        <x:v>0</x:v>
      </x:c>
      <x:c r="L224" s="79" t="n">
        <x:f>MAX(ABS('Counter_PnL'!AW224-'Counter_PnL'!AV224/'Counter_PnL'!AK224),ABS('Counter_PnL'!BM224-'Counter_PnL'!BL224/'Counter_PnL'!AK224),ABS('Counter_PnL'!BP224-'Counter_PnL'!BO224/'Counter_PnL'!AK224))</x:f>
        <x:v>0</x:v>
      </x:c>
      <x:c r="M224" s="30" t="n">
        <x:f>IF(AND('Counter_PnL'!Q224&gt;0,'Counter_PnL'!AK224&gt;0,'Counter_PnL'!R224&lt;=0,'Counter_PnL'!T224&lt;=0,'Counter_PnL'!AT224&lt;=0,'Counter_PnL'!BE224&lt;=0,'Counter_PnL'!BJ224&lt;=0,'Counter_PnL'!BK224&lt;=0,'Counter_PnL'!BN224&lt;=0),0,1)</x:f>
        <x:v>0</x:v>
      </x:c>
    </x:row>
    <x:row r="225">
      <x:c r="A225" t="str">
        <x:f>'Counter_PnL'!D225</x:f>
        <x:v>CNCT0056</x:v>
      </x:c>
      <x:c r="B225" t="str">
        <x:f>'Counter_PnL'!C225</x:f>
        <x:v>2026 S2</x:v>
      </x:c>
      <x:c r="C225" s="30" t="n">
        <x:f>COUNTIFS('Counter_PnL'!$D$2:$D$641,A225,'Counter_PnL'!$C$2:$C$641,B225)</x:f>
        <x:v>1</x:v>
      </x:c>
      <x:c r="D225" s="79" t="n">
        <x:f>ABS('Counter_PnL'!AC225-SUM('Counter_PnL'!V225:'Counter_PnL'!AB225))</x:f>
        <x:v>0</x:v>
      </x:c>
      <x:c r="E225" s="79" t="n">
        <x:f>ABS('Counter_PnL'!AI225-SUM('Counter_PnL'!R225,'Counter_PnL'!T225,'Counter_PnL'!AC225,'Counter_PnL'!AE225,'Counter_PnL'!AG225,'Counter_PnL'!AH225))</x:f>
        <x:v>0</x:v>
      </x:c>
      <x:c r="F225" s="79" t="n">
        <x:f>ABS('Counter_PnL'!AK225-('Counter_PnL'!Q225+'Counter_PnL'!AI225))</x:f>
        <x:v>0</x:v>
      </x:c>
      <x:c r="G225" s="79" t="n">
        <x:f>ABS('Counter_PnL'!AT225-SUM('Counter_PnL'!AO225:'Counter_PnL'!AS225))</x:f>
        <x:v>0</x:v>
      </x:c>
      <x:c r="H225" s="79" t="n">
        <x:f>ABS('Counter_PnL'!AV225-('Counter_PnL'!AK225+'Counter_PnL'!AT225))</x:f>
        <x:v>0</x:v>
      </x:c>
      <x:c r="I225" s="79" t="n">
        <x:f>ABS('Counter_PnL'!BE225-SUM('Counter_PnL'!AX225:'Counter_PnL'!BB225,'Counter_PnL'!BD225))</x:f>
        <x:v>0</x:v>
      </x:c>
      <x:c r="J225" s="79" t="n">
        <x:f>ABS('Counter_PnL'!BL225-SUM('Counter_PnL'!AV225,'Counter_PnL'!BE225,'Counter_PnL'!BJ225,'Counter_PnL'!BK225))</x:f>
        <x:v>0</x:v>
      </x:c>
      <x:c r="K225" s="79" t="n">
        <x:f>ABS('Counter_PnL'!BO225-('Counter_PnL'!BL225+'Counter_PnL'!BN225))</x:f>
        <x:v>0</x:v>
      </x:c>
      <x:c r="L225" s="79" t="n">
        <x:f>MAX(ABS('Counter_PnL'!AW225-'Counter_PnL'!AV225/'Counter_PnL'!AK225),ABS('Counter_PnL'!BM225-'Counter_PnL'!BL225/'Counter_PnL'!AK225),ABS('Counter_PnL'!BP225-'Counter_PnL'!BO225/'Counter_PnL'!AK225))</x:f>
        <x:v>0</x:v>
      </x:c>
      <x:c r="M225" s="30" t="n">
        <x:f>IF(AND('Counter_PnL'!Q225&gt;0,'Counter_PnL'!AK225&gt;0,'Counter_PnL'!R225&lt;=0,'Counter_PnL'!T225&lt;=0,'Counter_PnL'!AT225&lt;=0,'Counter_PnL'!BE225&lt;=0,'Counter_PnL'!BJ225&lt;=0,'Counter_PnL'!BK225&lt;=0,'Counter_PnL'!BN225&lt;=0),0,1)</x:f>
        <x:v>0</x:v>
      </x:c>
    </x:row>
    <x:row r="226">
      <x:c r="A226" t="str">
        <x:f>'Counter_PnL'!D226</x:f>
        <x:v>CNCT0057</x:v>
      </x:c>
      <x:c r="B226" t="str">
        <x:f>'Counter_PnL'!C226</x:f>
        <x:v>2025 S1</x:v>
      </x:c>
      <x:c r="C226" s="30" t="n">
        <x:f>COUNTIFS('Counter_PnL'!$D$2:$D$641,A226,'Counter_PnL'!$C$2:$C$641,B226)</x:f>
        <x:v>1</x:v>
      </x:c>
      <x:c r="D226" s="79" t="n">
        <x:f>ABS('Counter_PnL'!AC226-SUM('Counter_PnL'!V226:'Counter_PnL'!AB226))</x:f>
        <x:v>0</x:v>
      </x:c>
      <x:c r="E226" s="79" t="n">
        <x:f>ABS('Counter_PnL'!AI226-SUM('Counter_PnL'!R226,'Counter_PnL'!T226,'Counter_PnL'!AC226,'Counter_PnL'!AE226,'Counter_PnL'!AG226,'Counter_PnL'!AH226))</x:f>
        <x:v>0</x:v>
      </x:c>
      <x:c r="F226" s="79" t="n">
        <x:f>ABS('Counter_PnL'!AK226-('Counter_PnL'!Q226+'Counter_PnL'!AI226))</x:f>
        <x:v>0</x:v>
      </x:c>
      <x:c r="G226" s="79" t="n">
        <x:f>ABS('Counter_PnL'!AT226-SUM('Counter_PnL'!AO226:'Counter_PnL'!AS226))</x:f>
        <x:v>0</x:v>
      </x:c>
      <x:c r="H226" s="79" t="n">
        <x:f>ABS('Counter_PnL'!AV226-('Counter_PnL'!AK226+'Counter_PnL'!AT226))</x:f>
        <x:v>0</x:v>
      </x:c>
      <x:c r="I226" s="79" t="n">
        <x:f>ABS('Counter_PnL'!BE226-SUM('Counter_PnL'!AX226:'Counter_PnL'!BB226,'Counter_PnL'!BD226))</x:f>
        <x:v>0</x:v>
      </x:c>
      <x:c r="J226" s="79" t="n">
        <x:f>ABS('Counter_PnL'!BL226-SUM('Counter_PnL'!AV226,'Counter_PnL'!BE226,'Counter_PnL'!BJ226,'Counter_PnL'!BK226))</x:f>
        <x:v>0</x:v>
      </x:c>
      <x:c r="K226" s="79" t="n">
        <x:f>ABS('Counter_PnL'!BO226-('Counter_PnL'!BL226+'Counter_PnL'!BN226))</x:f>
        <x:v>0</x:v>
      </x:c>
      <x:c r="L226" s="79" t="n">
        <x:f>MAX(ABS('Counter_PnL'!AW226-'Counter_PnL'!AV226/'Counter_PnL'!AK226),ABS('Counter_PnL'!BM226-'Counter_PnL'!BL226/'Counter_PnL'!AK226),ABS('Counter_PnL'!BP226-'Counter_PnL'!BO226/'Counter_PnL'!AK226))</x:f>
        <x:v>0</x:v>
      </x:c>
      <x:c r="M226" s="30" t="n">
        <x:f>IF(AND('Counter_PnL'!Q226&gt;0,'Counter_PnL'!AK226&gt;0,'Counter_PnL'!R226&lt;=0,'Counter_PnL'!T226&lt;=0,'Counter_PnL'!AT226&lt;=0,'Counter_PnL'!BE226&lt;=0,'Counter_PnL'!BJ226&lt;=0,'Counter_PnL'!BK226&lt;=0,'Counter_PnL'!BN226&lt;=0),0,1)</x:f>
        <x:v>0</x:v>
      </x:c>
    </x:row>
    <x:row r="227">
      <x:c r="A227" t="str">
        <x:f>'Counter_PnL'!D227</x:f>
        <x:v>CNCT0057</x:v>
      </x:c>
      <x:c r="B227" t="str">
        <x:f>'Counter_PnL'!C227</x:f>
        <x:v>2025 S2</x:v>
      </x:c>
      <x:c r="C227" s="30" t="n">
        <x:f>COUNTIFS('Counter_PnL'!$D$2:$D$641,A227,'Counter_PnL'!$C$2:$C$641,B227)</x:f>
        <x:v>1</x:v>
      </x:c>
      <x:c r="D227" s="79" t="n">
        <x:f>ABS('Counter_PnL'!AC227-SUM('Counter_PnL'!V227:'Counter_PnL'!AB227))</x:f>
        <x:v>0</x:v>
      </x:c>
      <x:c r="E227" s="79" t="n">
        <x:f>ABS('Counter_PnL'!AI227-SUM('Counter_PnL'!R227,'Counter_PnL'!T227,'Counter_PnL'!AC227,'Counter_PnL'!AE227,'Counter_PnL'!AG227,'Counter_PnL'!AH227))</x:f>
        <x:v>0</x:v>
      </x:c>
      <x:c r="F227" s="79" t="n">
        <x:f>ABS('Counter_PnL'!AK227-('Counter_PnL'!Q227+'Counter_PnL'!AI227))</x:f>
        <x:v>0</x:v>
      </x:c>
      <x:c r="G227" s="79" t="n">
        <x:f>ABS('Counter_PnL'!AT227-SUM('Counter_PnL'!AO227:'Counter_PnL'!AS227))</x:f>
        <x:v>0</x:v>
      </x:c>
      <x:c r="H227" s="79" t="n">
        <x:f>ABS('Counter_PnL'!AV227-('Counter_PnL'!AK227+'Counter_PnL'!AT227))</x:f>
        <x:v>0</x:v>
      </x:c>
      <x:c r="I227" s="79" t="n">
        <x:f>ABS('Counter_PnL'!BE227-SUM('Counter_PnL'!AX227:'Counter_PnL'!BB227,'Counter_PnL'!BD227))</x:f>
        <x:v>0</x:v>
      </x:c>
      <x:c r="J227" s="79" t="n">
        <x:f>ABS('Counter_PnL'!BL227-SUM('Counter_PnL'!AV227,'Counter_PnL'!BE227,'Counter_PnL'!BJ227,'Counter_PnL'!BK227))</x:f>
        <x:v>0</x:v>
      </x:c>
      <x:c r="K227" s="79" t="n">
        <x:f>ABS('Counter_PnL'!BO227-('Counter_PnL'!BL227+'Counter_PnL'!BN227))</x:f>
        <x:v>0</x:v>
      </x:c>
      <x:c r="L227" s="79" t="n">
        <x:f>MAX(ABS('Counter_PnL'!AW227-'Counter_PnL'!AV227/'Counter_PnL'!AK227),ABS('Counter_PnL'!BM227-'Counter_PnL'!BL227/'Counter_PnL'!AK227),ABS('Counter_PnL'!BP227-'Counter_PnL'!BO227/'Counter_PnL'!AK227))</x:f>
        <x:v>0</x:v>
      </x:c>
      <x:c r="M227" s="30" t="n">
        <x:f>IF(AND('Counter_PnL'!Q227&gt;0,'Counter_PnL'!AK227&gt;0,'Counter_PnL'!R227&lt;=0,'Counter_PnL'!T227&lt;=0,'Counter_PnL'!AT227&lt;=0,'Counter_PnL'!BE227&lt;=0,'Counter_PnL'!BJ227&lt;=0,'Counter_PnL'!BK227&lt;=0,'Counter_PnL'!BN227&lt;=0),0,1)</x:f>
        <x:v>0</x:v>
      </x:c>
    </x:row>
    <x:row r="228">
      <x:c r="A228" t="str">
        <x:f>'Counter_PnL'!D228</x:f>
        <x:v>CNCT0057</x:v>
      </x:c>
      <x:c r="B228" t="str">
        <x:f>'Counter_PnL'!C228</x:f>
        <x:v>2026 S1</x:v>
      </x:c>
      <x:c r="C228" s="30" t="n">
        <x:f>COUNTIFS('Counter_PnL'!$D$2:$D$641,A228,'Counter_PnL'!$C$2:$C$641,B228)</x:f>
        <x:v>1</x:v>
      </x:c>
      <x:c r="D228" s="79" t="n">
        <x:f>ABS('Counter_PnL'!AC228-SUM('Counter_PnL'!V228:'Counter_PnL'!AB228))</x:f>
        <x:v>0</x:v>
      </x:c>
      <x:c r="E228" s="79" t="n">
        <x:f>ABS('Counter_PnL'!AI228-SUM('Counter_PnL'!R228,'Counter_PnL'!T228,'Counter_PnL'!AC228,'Counter_PnL'!AE228,'Counter_PnL'!AG228,'Counter_PnL'!AH228))</x:f>
        <x:v>0</x:v>
      </x:c>
      <x:c r="F228" s="79" t="n">
        <x:f>ABS('Counter_PnL'!AK228-('Counter_PnL'!Q228+'Counter_PnL'!AI228))</x:f>
        <x:v>0</x:v>
      </x:c>
      <x:c r="G228" s="79" t="n">
        <x:f>ABS('Counter_PnL'!AT228-SUM('Counter_PnL'!AO228:'Counter_PnL'!AS228))</x:f>
        <x:v>0</x:v>
      </x:c>
      <x:c r="H228" s="79" t="n">
        <x:f>ABS('Counter_PnL'!AV228-('Counter_PnL'!AK228+'Counter_PnL'!AT228))</x:f>
        <x:v>0</x:v>
      </x:c>
      <x:c r="I228" s="79" t="n">
        <x:f>ABS('Counter_PnL'!BE228-SUM('Counter_PnL'!AX228:'Counter_PnL'!BB228,'Counter_PnL'!BD228))</x:f>
        <x:v>0</x:v>
      </x:c>
      <x:c r="J228" s="79" t="n">
        <x:f>ABS('Counter_PnL'!BL228-SUM('Counter_PnL'!AV228,'Counter_PnL'!BE228,'Counter_PnL'!BJ228,'Counter_PnL'!BK228))</x:f>
        <x:v>0</x:v>
      </x:c>
      <x:c r="K228" s="79" t="n">
        <x:f>ABS('Counter_PnL'!BO228-('Counter_PnL'!BL228+'Counter_PnL'!BN228))</x:f>
        <x:v>0</x:v>
      </x:c>
      <x:c r="L228" s="79" t="n">
        <x:f>MAX(ABS('Counter_PnL'!AW228-'Counter_PnL'!AV228/'Counter_PnL'!AK228),ABS('Counter_PnL'!BM228-'Counter_PnL'!BL228/'Counter_PnL'!AK228),ABS('Counter_PnL'!BP228-'Counter_PnL'!BO228/'Counter_PnL'!AK228))</x:f>
        <x:v>0</x:v>
      </x:c>
      <x:c r="M228" s="30" t="n">
        <x:f>IF(AND('Counter_PnL'!Q228&gt;0,'Counter_PnL'!AK228&gt;0,'Counter_PnL'!R228&lt;=0,'Counter_PnL'!T228&lt;=0,'Counter_PnL'!AT228&lt;=0,'Counter_PnL'!BE228&lt;=0,'Counter_PnL'!BJ228&lt;=0,'Counter_PnL'!BK228&lt;=0,'Counter_PnL'!BN228&lt;=0),0,1)</x:f>
        <x:v>0</x:v>
      </x:c>
    </x:row>
    <x:row r="229">
      <x:c r="A229" t="str">
        <x:f>'Counter_PnL'!D229</x:f>
        <x:v>CNCT0057</x:v>
      </x:c>
      <x:c r="B229" t="str">
        <x:f>'Counter_PnL'!C229</x:f>
        <x:v>2026 S2</x:v>
      </x:c>
      <x:c r="C229" s="30" t="n">
        <x:f>COUNTIFS('Counter_PnL'!$D$2:$D$641,A229,'Counter_PnL'!$C$2:$C$641,B229)</x:f>
        <x:v>1</x:v>
      </x:c>
      <x:c r="D229" s="79" t="n">
        <x:f>ABS('Counter_PnL'!AC229-SUM('Counter_PnL'!V229:'Counter_PnL'!AB229))</x:f>
        <x:v>0</x:v>
      </x:c>
      <x:c r="E229" s="79" t="n">
        <x:f>ABS('Counter_PnL'!AI229-SUM('Counter_PnL'!R229,'Counter_PnL'!T229,'Counter_PnL'!AC229,'Counter_PnL'!AE229,'Counter_PnL'!AG229,'Counter_PnL'!AH229))</x:f>
        <x:v>0</x:v>
      </x:c>
      <x:c r="F229" s="79" t="n">
        <x:f>ABS('Counter_PnL'!AK229-('Counter_PnL'!Q229+'Counter_PnL'!AI229))</x:f>
        <x:v>0</x:v>
      </x:c>
      <x:c r="G229" s="79" t="n">
        <x:f>ABS('Counter_PnL'!AT229-SUM('Counter_PnL'!AO229:'Counter_PnL'!AS229))</x:f>
        <x:v>0</x:v>
      </x:c>
      <x:c r="H229" s="79" t="n">
        <x:f>ABS('Counter_PnL'!AV229-('Counter_PnL'!AK229+'Counter_PnL'!AT229))</x:f>
        <x:v>0</x:v>
      </x:c>
      <x:c r="I229" s="79" t="n">
        <x:f>ABS('Counter_PnL'!BE229-SUM('Counter_PnL'!AX229:'Counter_PnL'!BB229,'Counter_PnL'!BD229))</x:f>
        <x:v>0</x:v>
      </x:c>
      <x:c r="J229" s="79" t="n">
        <x:f>ABS('Counter_PnL'!BL229-SUM('Counter_PnL'!AV229,'Counter_PnL'!BE229,'Counter_PnL'!BJ229,'Counter_PnL'!BK229))</x:f>
        <x:v>0</x:v>
      </x:c>
      <x:c r="K229" s="79" t="n">
        <x:f>ABS('Counter_PnL'!BO229-('Counter_PnL'!BL229+'Counter_PnL'!BN229))</x:f>
        <x:v>0</x:v>
      </x:c>
      <x:c r="L229" s="79" t="n">
        <x:f>MAX(ABS('Counter_PnL'!AW229-'Counter_PnL'!AV229/'Counter_PnL'!AK229),ABS('Counter_PnL'!BM229-'Counter_PnL'!BL229/'Counter_PnL'!AK229),ABS('Counter_PnL'!BP229-'Counter_PnL'!BO229/'Counter_PnL'!AK229))</x:f>
        <x:v>0</x:v>
      </x:c>
      <x:c r="M229" s="30" t="n">
        <x:f>IF(AND('Counter_PnL'!Q229&gt;0,'Counter_PnL'!AK229&gt;0,'Counter_PnL'!R229&lt;=0,'Counter_PnL'!T229&lt;=0,'Counter_PnL'!AT229&lt;=0,'Counter_PnL'!BE229&lt;=0,'Counter_PnL'!BJ229&lt;=0,'Counter_PnL'!BK229&lt;=0,'Counter_PnL'!BN229&lt;=0),0,1)</x:f>
        <x:v>0</x:v>
      </x:c>
    </x:row>
    <x:row r="230">
      <x:c r="A230" t="str">
        <x:f>'Counter_PnL'!D230</x:f>
        <x:v>CNCT0058</x:v>
      </x:c>
      <x:c r="B230" t="str">
        <x:f>'Counter_PnL'!C230</x:f>
        <x:v>2025 S1</x:v>
      </x:c>
      <x:c r="C230" s="30" t="n">
        <x:f>COUNTIFS('Counter_PnL'!$D$2:$D$641,A230,'Counter_PnL'!$C$2:$C$641,B230)</x:f>
        <x:v>1</x:v>
      </x:c>
      <x:c r="D230" s="79" t="n">
        <x:f>ABS('Counter_PnL'!AC230-SUM('Counter_PnL'!V230:'Counter_PnL'!AB230))</x:f>
        <x:v>0</x:v>
      </x:c>
      <x:c r="E230" s="79" t="n">
        <x:f>ABS('Counter_PnL'!AI230-SUM('Counter_PnL'!R230,'Counter_PnL'!T230,'Counter_PnL'!AC230,'Counter_PnL'!AE230,'Counter_PnL'!AG230,'Counter_PnL'!AH230))</x:f>
        <x:v>0</x:v>
      </x:c>
      <x:c r="F230" s="79" t="n">
        <x:f>ABS('Counter_PnL'!AK230-('Counter_PnL'!Q230+'Counter_PnL'!AI230))</x:f>
        <x:v>0</x:v>
      </x:c>
      <x:c r="G230" s="79" t="n">
        <x:f>ABS('Counter_PnL'!AT230-SUM('Counter_PnL'!AO230:'Counter_PnL'!AS230))</x:f>
        <x:v>0</x:v>
      </x:c>
      <x:c r="H230" s="79" t="n">
        <x:f>ABS('Counter_PnL'!AV230-('Counter_PnL'!AK230+'Counter_PnL'!AT230))</x:f>
        <x:v>0</x:v>
      </x:c>
      <x:c r="I230" s="79" t="n">
        <x:f>ABS('Counter_PnL'!BE230-SUM('Counter_PnL'!AX230:'Counter_PnL'!BB230,'Counter_PnL'!BD230))</x:f>
        <x:v>0</x:v>
      </x:c>
      <x:c r="J230" s="79" t="n">
        <x:f>ABS('Counter_PnL'!BL230-SUM('Counter_PnL'!AV230,'Counter_PnL'!BE230,'Counter_PnL'!BJ230,'Counter_PnL'!BK230))</x:f>
        <x:v>0</x:v>
      </x:c>
      <x:c r="K230" s="79" t="n">
        <x:f>ABS('Counter_PnL'!BO230-('Counter_PnL'!BL230+'Counter_PnL'!BN230))</x:f>
        <x:v>0</x:v>
      </x:c>
      <x:c r="L230" s="79" t="n">
        <x:f>MAX(ABS('Counter_PnL'!AW230-'Counter_PnL'!AV230/'Counter_PnL'!AK230),ABS('Counter_PnL'!BM230-'Counter_PnL'!BL230/'Counter_PnL'!AK230),ABS('Counter_PnL'!BP230-'Counter_PnL'!BO230/'Counter_PnL'!AK230))</x:f>
        <x:v>0</x:v>
      </x:c>
      <x:c r="M230" s="30" t="n">
        <x:f>IF(AND('Counter_PnL'!Q230&gt;0,'Counter_PnL'!AK230&gt;0,'Counter_PnL'!R230&lt;=0,'Counter_PnL'!T230&lt;=0,'Counter_PnL'!AT230&lt;=0,'Counter_PnL'!BE230&lt;=0,'Counter_PnL'!BJ230&lt;=0,'Counter_PnL'!BK230&lt;=0,'Counter_PnL'!BN230&lt;=0),0,1)</x:f>
        <x:v>0</x:v>
      </x:c>
    </x:row>
    <x:row r="231">
      <x:c r="A231" t="str">
        <x:f>'Counter_PnL'!D231</x:f>
        <x:v>CNCT0058</x:v>
      </x:c>
      <x:c r="B231" t="str">
        <x:f>'Counter_PnL'!C231</x:f>
        <x:v>2025 S2</x:v>
      </x:c>
      <x:c r="C231" s="30" t="n">
        <x:f>COUNTIFS('Counter_PnL'!$D$2:$D$641,A231,'Counter_PnL'!$C$2:$C$641,B231)</x:f>
        <x:v>1</x:v>
      </x:c>
      <x:c r="D231" s="79" t="n">
        <x:f>ABS('Counter_PnL'!AC231-SUM('Counter_PnL'!V231:'Counter_PnL'!AB231))</x:f>
        <x:v>0</x:v>
      </x:c>
      <x:c r="E231" s="79" t="n">
        <x:f>ABS('Counter_PnL'!AI231-SUM('Counter_PnL'!R231,'Counter_PnL'!T231,'Counter_PnL'!AC231,'Counter_PnL'!AE231,'Counter_PnL'!AG231,'Counter_PnL'!AH231))</x:f>
        <x:v>0</x:v>
      </x:c>
      <x:c r="F231" s="79" t="n">
        <x:f>ABS('Counter_PnL'!AK231-('Counter_PnL'!Q231+'Counter_PnL'!AI231))</x:f>
        <x:v>0</x:v>
      </x:c>
      <x:c r="G231" s="79" t="n">
        <x:f>ABS('Counter_PnL'!AT231-SUM('Counter_PnL'!AO231:'Counter_PnL'!AS231))</x:f>
        <x:v>0</x:v>
      </x:c>
      <x:c r="H231" s="79" t="n">
        <x:f>ABS('Counter_PnL'!AV231-('Counter_PnL'!AK231+'Counter_PnL'!AT231))</x:f>
        <x:v>0</x:v>
      </x:c>
      <x:c r="I231" s="79" t="n">
        <x:f>ABS('Counter_PnL'!BE231-SUM('Counter_PnL'!AX231:'Counter_PnL'!BB231,'Counter_PnL'!BD231))</x:f>
        <x:v>0</x:v>
      </x:c>
      <x:c r="J231" s="79" t="n">
        <x:f>ABS('Counter_PnL'!BL231-SUM('Counter_PnL'!AV231,'Counter_PnL'!BE231,'Counter_PnL'!BJ231,'Counter_PnL'!BK231))</x:f>
        <x:v>0</x:v>
      </x:c>
      <x:c r="K231" s="79" t="n">
        <x:f>ABS('Counter_PnL'!BO231-('Counter_PnL'!BL231+'Counter_PnL'!BN231))</x:f>
        <x:v>0</x:v>
      </x:c>
      <x:c r="L231" s="79" t="n">
        <x:f>MAX(ABS('Counter_PnL'!AW231-'Counter_PnL'!AV231/'Counter_PnL'!AK231),ABS('Counter_PnL'!BM231-'Counter_PnL'!BL231/'Counter_PnL'!AK231),ABS('Counter_PnL'!BP231-'Counter_PnL'!BO231/'Counter_PnL'!AK231))</x:f>
        <x:v>0</x:v>
      </x:c>
      <x:c r="M231" s="30" t="n">
        <x:f>IF(AND('Counter_PnL'!Q231&gt;0,'Counter_PnL'!AK231&gt;0,'Counter_PnL'!R231&lt;=0,'Counter_PnL'!T231&lt;=0,'Counter_PnL'!AT231&lt;=0,'Counter_PnL'!BE231&lt;=0,'Counter_PnL'!BJ231&lt;=0,'Counter_PnL'!BK231&lt;=0,'Counter_PnL'!BN231&lt;=0),0,1)</x:f>
        <x:v>0</x:v>
      </x:c>
    </x:row>
    <x:row r="232">
      <x:c r="A232" t="str">
        <x:f>'Counter_PnL'!D232</x:f>
        <x:v>CNCT0058</x:v>
      </x:c>
      <x:c r="B232" t="str">
        <x:f>'Counter_PnL'!C232</x:f>
        <x:v>2026 S1</x:v>
      </x:c>
      <x:c r="C232" s="30" t="n">
        <x:f>COUNTIFS('Counter_PnL'!$D$2:$D$641,A232,'Counter_PnL'!$C$2:$C$641,B232)</x:f>
        <x:v>1</x:v>
      </x:c>
      <x:c r="D232" s="79" t="n">
        <x:f>ABS('Counter_PnL'!AC232-SUM('Counter_PnL'!V232:'Counter_PnL'!AB232))</x:f>
        <x:v>0</x:v>
      </x:c>
      <x:c r="E232" s="79" t="n">
        <x:f>ABS('Counter_PnL'!AI232-SUM('Counter_PnL'!R232,'Counter_PnL'!T232,'Counter_PnL'!AC232,'Counter_PnL'!AE232,'Counter_PnL'!AG232,'Counter_PnL'!AH232))</x:f>
        <x:v>0</x:v>
      </x:c>
      <x:c r="F232" s="79" t="n">
        <x:f>ABS('Counter_PnL'!AK232-('Counter_PnL'!Q232+'Counter_PnL'!AI232))</x:f>
        <x:v>0</x:v>
      </x:c>
      <x:c r="G232" s="79" t="n">
        <x:f>ABS('Counter_PnL'!AT232-SUM('Counter_PnL'!AO232:'Counter_PnL'!AS232))</x:f>
        <x:v>0</x:v>
      </x:c>
      <x:c r="H232" s="79" t="n">
        <x:f>ABS('Counter_PnL'!AV232-('Counter_PnL'!AK232+'Counter_PnL'!AT232))</x:f>
        <x:v>0</x:v>
      </x:c>
      <x:c r="I232" s="79" t="n">
        <x:f>ABS('Counter_PnL'!BE232-SUM('Counter_PnL'!AX232:'Counter_PnL'!BB232,'Counter_PnL'!BD232))</x:f>
        <x:v>0</x:v>
      </x:c>
      <x:c r="J232" s="79" t="n">
        <x:f>ABS('Counter_PnL'!BL232-SUM('Counter_PnL'!AV232,'Counter_PnL'!BE232,'Counter_PnL'!BJ232,'Counter_PnL'!BK232))</x:f>
        <x:v>0</x:v>
      </x:c>
      <x:c r="K232" s="79" t="n">
        <x:f>ABS('Counter_PnL'!BO232-('Counter_PnL'!BL232+'Counter_PnL'!BN232))</x:f>
        <x:v>0</x:v>
      </x:c>
      <x:c r="L232" s="79" t="n">
        <x:f>MAX(ABS('Counter_PnL'!AW232-'Counter_PnL'!AV232/'Counter_PnL'!AK232),ABS('Counter_PnL'!BM232-'Counter_PnL'!BL232/'Counter_PnL'!AK232),ABS('Counter_PnL'!BP232-'Counter_PnL'!BO232/'Counter_PnL'!AK232))</x:f>
        <x:v>0</x:v>
      </x:c>
      <x:c r="M232" s="30" t="n">
        <x:f>IF(AND('Counter_PnL'!Q232&gt;0,'Counter_PnL'!AK232&gt;0,'Counter_PnL'!R232&lt;=0,'Counter_PnL'!T232&lt;=0,'Counter_PnL'!AT232&lt;=0,'Counter_PnL'!BE232&lt;=0,'Counter_PnL'!BJ232&lt;=0,'Counter_PnL'!BK232&lt;=0,'Counter_PnL'!BN232&lt;=0),0,1)</x:f>
        <x:v>0</x:v>
      </x:c>
    </x:row>
    <x:row r="233">
      <x:c r="A233" t="str">
        <x:f>'Counter_PnL'!D233</x:f>
        <x:v>CNCT0058</x:v>
      </x:c>
      <x:c r="B233" t="str">
        <x:f>'Counter_PnL'!C233</x:f>
        <x:v>2026 S2</x:v>
      </x:c>
      <x:c r="C233" s="30" t="n">
        <x:f>COUNTIFS('Counter_PnL'!$D$2:$D$641,A233,'Counter_PnL'!$C$2:$C$641,B233)</x:f>
        <x:v>1</x:v>
      </x:c>
      <x:c r="D233" s="79" t="n">
        <x:f>ABS('Counter_PnL'!AC233-SUM('Counter_PnL'!V233:'Counter_PnL'!AB233))</x:f>
        <x:v>0</x:v>
      </x:c>
      <x:c r="E233" s="79" t="n">
        <x:f>ABS('Counter_PnL'!AI233-SUM('Counter_PnL'!R233,'Counter_PnL'!T233,'Counter_PnL'!AC233,'Counter_PnL'!AE233,'Counter_PnL'!AG233,'Counter_PnL'!AH233))</x:f>
        <x:v>0</x:v>
      </x:c>
      <x:c r="F233" s="79" t="n">
        <x:f>ABS('Counter_PnL'!AK233-('Counter_PnL'!Q233+'Counter_PnL'!AI233))</x:f>
        <x:v>0</x:v>
      </x:c>
      <x:c r="G233" s="79" t="n">
        <x:f>ABS('Counter_PnL'!AT233-SUM('Counter_PnL'!AO233:'Counter_PnL'!AS233))</x:f>
        <x:v>0</x:v>
      </x:c>
      <x:c r="H233" s="79" t="n">
        <x:f>ABS('Counter_PnL'!AV233-('Counter_PnL'!AK233+'Counter_PnL'!AT233))</x:f>
        <x:v>0</x:v>
      </x:c>
      <x:c r="I233" s="79" t="n">
        <x:f>ABS('Counter_PnL'!BE233-SUM('Counter_PnL'!AX233:'Counter_PnL'!BB233,'Counter_PnL'!BD233))</x:f>
        <x:v>0</x:v>
      </x:c>
      <x:c r="J233" s="79" t="n">
        <x:f>ABS('Counter_PnL'!BL233-SUM('Counter_PnL'!AV233,'Counter_PnL'!BE233,'Counter_PnL'!BJ233,'Counter_PnL'!BK233))</x:f>
        <x:v>0</x:v>
      </x:c>
      <x:c r="K233" s="79" t="n">
        <x:f>ABS('Counter_PnL'!BO233-('Counter_PnL'!BL233+'Counter_PnL'!BN233))</x:f>
        <x:v>0</x:v>
      </x:c>
      <x:c r="L233" s="79" t="n">
        <x:f>MAX(ABS('Counter_PnL'!AW233-'Counter_PnL'!AV233/'Counter_PnL'!AK233),ABS('Counter_PnL'!BM233-'Counter_PnL'!BL233/'Counter_PnL'!AK233),ABS('Counter_PnL'!BP233-'Counter_PnL'!BO233/'Counter_PnL'!AK233))</x:f>
        <x:v>0</x:v>
      </x:c>
      <x:c r="M233" s="30" t="n">
        <x:f>IF(AND('Counter_PnL'!Q233&gt;0,'Counter_PnL'!AK233&gt;0,'Counter_PnL'!R233&lt;=0,'Counter_PnL'!T233&lt;=0,'Counter_PnL'!AT233&lt;=0,'Counter_PnL'!BE233&lt;=0,'Counter_PnL'!BJ233&lt;=0,'Counter_PnL'!BK233&lt;=0,'Counter_PnL'!BN233&lt;=0),0,1)</x:f>
        <x:v>0</x:v>
      </x:c>
    </x:row>
    <x:row r="234">
      <x:c r="A234" t="str">
        <x:f>'Counter_PnL'!D234</x:f>
        <x:v>CNCT0059</x:v>
      </x:c>
      <x:c r="B234" t="str">
        <x:f>'Counter_PnL'!C234</x:f>
        <x:v>2025 S1</x:v>
      </x:c>
      <x:c r="C234" s="30" t="n">
        <x:f>COUNTIFS('Counter_PnL'!$D$2:$D$641,A234,'Counter_PnL'!$C$2:$C$641,B234)</x:f>
        <x:v>1</x:v>
      </x:c>
      <x:c r="D234" s="79" t="n">
        <x:f>ABS('Counter_PnL'!AC234-SUM('Counter_PnL'!V234:'Counter_PnL'!AB234))</x:f>
        <x:v>0</x:v>
      </x:c>
      <x:c r="E234" s="79" t="n">
        <x:f>ABS('Counter_PnL'!AI234-SUM('Counter_PnL'!R234,'Counter_PnL'!T234,'Counter_PnL'!AC234,'Counter_PnL'!AE234,'Counter_PnL'!AG234,'Counter_PnL'!AH234))</x:f>
        <x:v>0</x:v>
      </x:c>
      <x:c r="F234" s="79" t="n">
        <x:f>ABS('Counter_PnL'!AK234-('Counter_PnL'!Q234+'Counter_PnL'!AI234))</x:f>
        <x:v>0</x:v>
      </x:c>
      <x:c r="G234" s="79" t="n">
        <x:f>ABS('Counter_PnL'!AT234-SUM('Counter_PnL'!AO234:'Counter_PnL'!AS234))</x:f>
        <x:v>0</x:v>
      </x:c>
      <x:c r="H234" s="79" t="n">
        <x:f>ABS('Counter_PnL'!AV234-('Counter_PnL'!AK234+'Counter_PnL'!AT234))</x:f>
        <x:v>0</x:v>
      </x:c>
      <x:c r="I234" s="79" t="n">
        <x:f>ABS('Counter_PnL'!BE234-SUM('Counter_PnL'!AX234:'Counter_PnL'!BB234,'Counter_PnL'!BD234))</x:f>
        <x:v>0</x:v>
      </x:c>
      <x:c r="J234" s="79" t="n">
        <x:f>ABS('Counter_PnL'!BL234-SUM('Counter_PnL'!AV234,'Counter_PnL'!BE234,'Counter_PnL'!BJ234,'Counter_PnL'!BK234))</x:f>
        <x:v>0</x:v>
      </x:c>
      <x:c r="K234" s="79" t="n">
        <x:f>ABS('Counter_PnL'!BO234-('Counter_PnL'!BL234+'Counter_PnL'!BN234))</x:f>
        <x:v>0</x:v>
      </x:c>
      <x:c r="L234" s="79" t="n">
        <x:f>MAX(ABS('Counter_PnL'!AW234-'Counter_PnL'!AV234/'Counter_PnL'!AK234),ABS('Counter_PnL'!BM234-'Counter_PnL'!BL234/'Counter_PnL'!AK234),ABS('Counter_PnL'!BP234-'Counter_PnL'!BO234/'Counter_PnL'!AK234))</x:f>
        <x:v>0</x:v>
      </x:c>
      <x:c r="M234" s="30" t="n">
        <x:f>IF(AND('Counter_PnL'!Q234&gt;0,'Counter_PnL'!AK234&gt;0,'Counter_PnL'!R234&lt;=0,'Counter_PnL'!T234&lt;=0,'Counter_PnL'!AT234&lt;=0,'Counter_PnL'!BE234&lt;=0,'Counter_PnL'!BJ234&lt;=0,'Counter_PnL'!BK234&lt;=0,'Counter_PnL'!BN234&lt;=0),0,1)</x:f>
        <x:v>0</x:v>
      </x:c>
    </x:row>
    <x:row r="235">
      <x:c r="A235" t="str">
        <x:f>'Counter_PnL'!D235</x:f>
        <x:v>CNCT0059</x:v>
      </x:c>
      <x:c r="B235" t="str">
        <x:f>'Counter_PnL'!C235</x:f>
        <x:v>2025 S2</x:v>
      </x:c>
      <x:c r="C235" s="30" t="n">
        <x:f>COUNTIFS('Counter_PnL'!$D$2:$D$641,A235,'Counter_PnL'!$C$2:$C$641,B235)</x:f>
        <x:v>1</x:v>
      </x:c>
      <x:c r="D235" s="79" t="n">
        <x:f>ABS('Counter_PnL'!AC235-SUM('Counter_PnL'!V235:'Counter_PnL'!AB235))</x:f>
        <x:v>0</x:v>
      </x:c>
      <x:c r="E235" s="79" t="n">
        <x:f>ABS('Counter_PnL'!AI235-SUM('Counter_PnL'!R235,'Counter_PnL'!T235,'Counter_PnL'!AC235,'Counter_PnL'!AE235,'Counter_PnL'!AG235,'Counter_PnL'!AH235))</x:f>
        <x:v>0</x:v>
      </x:c>
      <x:c r="F235" s="79" t="n">
        <x:f>ABS('Counter_PnL'!AK235-('Counter_PnL'!Q235+'Counter_PnL'!AI235))</x:f>
        <x:v>0</x:v>
      </x:c>
      <x:c r="G235" s="79" t="n">
        <x:f>ABS('Counter_PnL'!AT235-SUM('Counter_PnL'!AO235:'Counter_PnL'!AS235))</x:f>
        <x:v>0</x:v>
      </x:c>
      <x:c r="H235" s="79" t="n">
        <x:f>ABS('Counter_PnL'!AV235-('Counter_PnL'!AK235+'Counter_PnL'!AT235))</x:f>
        <x:v>0</x:v>
      </x:c>
      <x:c r="I235" s="79" t="n">
        <x:f>ABS('Counter_PnL'!BE235-SUM('Counter_PnL'!AX235:'Counter_PnL'!BB235,'Counter_PnL'!BD235))</x:f>
        <x:v>0</x:v>
      </x:c>
      <x:c r="J235" s="79" t="n">
        <x:f>ABS('Counter_PnL'!BL235-SUM('Counter_PnL'!AV235,'Counter_PnL'!BE235,'Counter_PnL'!BJ235,'Counter_PnL'!BK235))</x:f>
        <x:v>0</x:v>
      </x:c>
      <x:c r="K235" s="79" t="n">
        <x:f>ABS('Counter_PnL'!BO235-('Counter_PnL'!BL235+'Counter_PnL'!BN235))</x:f>
        <x:v>0</x:v>
      </x:c>
      <x:c r="L235" s="79" t="n">
        <x:f>MAX(ABS('Counter_PnL'!AW235-'Counter_PnL'!AV235/'Counter_PnL'!AK235),ABS('Counter_PnL'!BM235-'Counter_PnL'!BL235/'Counter_PnL'!AK235),ABS('Counter_PnL'!BP235-'Counter_PnL'!BO235/'Counter_PnL'!AK235))</x:f>
        <x:v>0</x:v>
      </x:c>
      <x:c r="M235" s="30" t="n">
        <x:f>IF(AND('Counter_PnL'!Q235&gt;0,'Counter_PnL'!AK235&gt;0,'Counter_PnL'!R235&lt;=0,'Counter_PnL'!T235&lt;=0,'Counter_PnL'!AT235&lt;=0,'Counter_PnL'!BE235&lt;=0,'Counter_PnL'!BJ235&lt;=0,'Counter_PnL'!BK235&lt;=0,'Counter_PnL'!BN235&lt;=0),0,1)</x:f>
        <x:v>0</x:v>
      </x:c>
    </x:row>
    <x:row r="236">
      <x:c r="A236" t="str">
        <x:f>'Counter_PnL'!D236</x:f>
        <x:v>CNCT0059</x:v>
      </x:c>
      <x:c r="B236" t="str">
        <x:f>'Counter_PnL'!C236</x:f>
        <x:v>2026 S1</x:v>
      </x:c>
      <x:c r="C236" s="30" t="n">
        <x:f>COUNTIFS('Counter_PnL'!$D$2:$D$641,A236,'Counter_PnL'!$C$2:$C$641,B236)</x:f>
        <x:v>1</x:v>
      </x:c>
      <x:c r="D236" s="79" t="n">
        <x:f>ABS('Counter_PnL'!AC236-SUM('Counter_PnL'!V236:'Counter_PnL'!AB236))</x:f>
        <x:v>0</x:v>
      </x:c>
      <x:c r="E236" s="79" t="n">
        <x:f>ABS('Counter_PnL'!AI236-SUM('Counter_PnL'!R236,'Counter_PnL'!T236,'Counter_PnL'!AC236,'Counter_PnL'!AE236,'Counter_PnL'!AG236,'Counter_PnL'!AH236))</x:f>
        <x:v>0</x:v>
      </x:c>
      <x:c r="F236" s="79" t="n">
        <x:f>ABS('Counter_PnL'!AK236-('Counter_PnL'!Q236+'Counter_PnL'!AI236))</x:f>
        <x:v>0</x:v>
      </x:c>
      <x:c r="G236" s="79" t="n">
        <x:f>ABS('Counter_PnL'!AT236-SUM('Counter_PnL'!AO236:'Counter_PnL'!AS236))</x:f>
        <x:v>0</x:v>
      </x:c>
      <x:c r="H236" s="79" t="n">
        <x:f>ABS('Counter_PnL'!AV236-('Counter_PnL'!AK236+'Counter_PnL'!AT236))</x:f>
        <x:v>0</x:v>
      </x:c>
      <x:c r="I236" s="79" t="n">
        <x:f>ABS('Counter_PnL'!BE236-SUM('Counter_PnL'!AX236:'Counter_PnL'!BB236,'Counter_PnL'!BD236))</x:f>
        <x:v>0</x:v>
      </x:c>
      <x:c r="J236" s="79" t="n">
        <x:f>ABS('Counter_PnL'!BL236-SUM('Counter_PnL'!AV236,'Counter_PnL'!BE236,'Counter_PnL'!BJ236,'Counter_PnL'!BK236))</x:f>
        <x:v>0</x:v>
      </x:c>
      <x:c r="K236" s="79" t="n">
        <x:f>ABS('Counter_PnL'!BO236-('Counter_PnL'!BL236+'Counter_PnL'!BN236))</x:f>
        <x:v>0</x:v>
      </x:c>
      <x:c r="L236" s="79" t="n">
        <x:f>MAX(ABS('Counter_PnL'!AW236-'Counter_PnL'!AV236/'Counter_PnL'!AK236),ABS('Counter_PnL'!BM236-'Counter_PnL'!BL236/'Counter_PnL'!AK236),ABS('Counter_PnL'!BP236-'Counter_PnL'!BO236/'Counter_PnL'!AK236))</x:f>
        <x:v>0</x:v>
      </x:c>
      <x:c r="M236" s="30" t="n">
        <x:f>IF(AND('Counter_PnL'!Q236&gt;0,'Counter_PnL'!AK236&gt;0,'Counter_PnL'!R236&lt;=0,'Counter_PnL'!T236&lt;=0,'Counter_PnL'!AT236&lt;=0,'Counter_PnL'!BE236&lt;=0,'Counter_PnL'!BJ236&lt;=0,'Counter_PnL'!BK236&lt;=0,'Counter_PnL'!BN236&lt;=0),0,1)</x:f>
        <x:v>0</x:v>
      </x:c>
    </x:row>
    <x:row r="237">
      <x:c r="A237" t="str">
        <x:f>'Counter_PnL'!D237</x:f>
        <x:v>CNCT0059</x:v>
      </x:c>
      <x:c r="B237" t="str">
        <x:f>'Counter_PnL'!C237</x:f>
        <x:v>2026 S2</x:v>
      </x:c>
      <x:c r="C237" s="30" t="n">
        <x:f>COUNTIFS('Counter_PnL'!$D$2:$D$641,A237,'Counter_PnL'!$C$2:$C$641,B237)</x:f>
        <x:v>1</x:v>
      </x:c>
      <x:c r="D237" s="79" t="n">
        <x:f>ABS('Counter_PnL'!AC237-SUM('Counter_PnL'!V237:'Counter_PnL'!AB237))</x:f>
        <x:v>0</x:v>
      </x:c>
      <x:c r="E237" s="79" t="n">
        <x:f>ABS('Counter_PnL'!AI237-SUM('Counter_PnL'!R237,'Counter_PnL'!T237,'Counter_PnL'!AC237,'Counter_PnL'!AE237,'Counter_PnL'!AG237,'Counter_PnL'!AH237))</x:f>
        <x:v>0</x:v>
      </x:c>
      <x:c r="F237" s="79" t="n">
        <x:f>ABS('Counter_PnL'!AK237-('Counter_PnL'!Q237+'Counter_PnL'!AI237))</x:f>
        <x:v>0</x:v>
      </x:c>
      <x:c r="G237" s="79" t="n">
        <x:f>ABS('Counter_PnL'!AT237-SUM('Counter_PnL'!AO237:'Counter_PnL'!AS237))</x:f>
        <x:v>0</x:v>
      </x:c>
      <x:c r="H237" s="79" t="n">
        <x:f>ABS('Counter_PnL'!AV237-('Counter_PnL'!AK237+'Counter_PnL'!AT237))</x:f>
        <x:v>0</x:v>
      </x:c>
      <x:c r="I237" s="79" t="n">
        <x:f>ABS('Counter_PnL'!BE237-SUM('Counter_PnL'!AX237:'Counter_PnL'!BB237,'Counter_PnL'!BD237))</x:f>
        <x:v>0</x:v>
      </x:c>
      <x:c r="J237" s="79" t="n">
        <x:f>ABS('Counter_PnL'!BL237-SUM('Counter_PnL'!AV237,'Counter_PnL'!BE237,'Counter_PnL'!BJ237,'Counter_PnL'!BK237))</x:f>
        <x:v>0</x:v>
      </x:c>
      <x:c r="K237" s="79" t="n">
        <x:f>ABS('Counter_PnL'!BO237-('Counter_PnL'!BL237+'Counter_PnL'!BN237))</x:f>
        <x:v>0</x:v>
      </x:c>
      <x:c r="L237" s="79" t="n">
        <x:f>MAX(ABS('Counter_PnL'!AW237-'Counter_PnL'!AV237/'Counter_PnL'!AK237),ABS('Counter_PnL'!BM237-'Counter_PnL'!BL237/'Counter_PnL'!AK237),ABS('Counter_PnL'!BP237-'Counter_PnL'!BO237/'Counter_PnL'!AK237))</x:f>
        <x:v>0</x:v>
      </x:c>
      <x:c r="M237" s="30" t="n">
        <x:f>IF(AND('Counter_PnL'!Q237&gt;0,'Counter_PnL'!AK237&gt;0,'Counter_PnL'!R237&lt;=0,'Counter_PnL'!T237&lt;=0,'Counter_PnL'!AT237&lt;=0,'Counter_PnL'!BE237&lt;=0,'Counter_PnL'!BJ237&lt;=0,'Counter_PnL'!BK237&lt;=0,'Counter_PnL'!BN237&lt;=0),0,1)</x:f>
        <x:v>0</x:v>
      </x:c>
    </x:row>
    <x:row r="238">
      <x:c r="A238" t="str">
        <x:f>'Counter_PnL'!D238</x:f>
        <x:v>CNCT0060</x:v>
      </x:c>
      <x:c r="B238" t="str">
        <x:f>'Counter_PnL'!C238</x:f>
        <x:v>2025 S1</x:v>
      </x:c>
      <x:c r="C238" s="30" t="n">
        <x:f>COUNTIFS('Counter_PnL'!$D$2:$D$641,A238,'Counter_PnL'!$C$2:$C$641,B238)</x:f>
        <x:v>1</x:v>
      </x:c>
      <x:c r="D238" s="79" t="n">
        <x:f>ABS('Counter_PnL'!AC238-SUM('Counter_PnL'!V238:'Counter_PnL'!AB238))</x:f>
        <x:v>0</x:v>
      </x:c>
      <x:c r="E238" s="79" t="n">
        <x:f>ABS('Counter_PnL'!AI238-SUM('Counter_PnL'!R238,'Counter_PnL'!T238,'Counter_PnL'!AC238,'Counter_PnL'!AE238,'Counter_PnL'!AG238,'Counter_PnL'!AH238))</x:f>
        <x:v>0</x:v>
      </x:c>
      <x:c r="F238" s="79" t="n">
        <x:f>ABS('Counter_PnL'!AK238-('Counter_PnL'!Q238+'Counter_PnL'!AI238))</x:f>
        <x:v>0</x:v>
      </x:c>
      <x:c r="G238" s="79" t="n">
        <x:f>ABS('Counter_PnL'!AT238-SUM('Counter_PnL'!AO238:'Counter_PnL'!AS238))</x:f>
        <x:v>0</x:v>
      </x:c>
      <x:c r="H238" s="79" t="n">
        <x:f>ABS('Counter_PnL'!AV238-('Counter_PnL'!AK238+'Counter_PnL'!AT238))</x:f>
        <x:v>0</x:v>
      </x:c>
      <x:c r="I238" s="79" t="n">
        <x:f>ABS('Counter_PnL'!BE238-SUM('Counter_PnL'!AX238:'Counter_PnL'!BB238,'Counter_PnL'!BD238))</x:f>
        <x:v>0</x:v>
      </x:c>
      <x:c r="J238" s="79" t="n">
        <x:f>ABS('Counter_PnL'!BL238-SUM('Counter_PnL'!AV238,'Counter_PnL'!BE238,'Counter_PnL'!BJ238,'Counter_PnL'!BK238))</x:f>
        <x:v>0</x:v>
      </x:c>
      <x:c r="K238" s="79" t="n">
        <x:f>ABS('Counter_PnL'!BO238-('Counter_PnL'!BL238+'Counter_PnL'!BN238))</x:f>
        <x:v>0</x:v>
      </x:c>
      <x:c r="L238" s="79" t="n">
        <x:f>MAX(ABS('Counter_PnL'!AW238-'Counter_PnL'!AV238/'Counter_PnL'!AK238),ABS('Counter_PnL'!BM238-'Counter_PnL'!BL238/'Counter_PnL'!AK238),ABS('Counter_PnL'!BP238-'Counter_PnL'!BO238/'Counter_PnL'!AK238))</x:f>
        <x:v>0</x:v>
      </x:c>
      <x:c r="M238" s="30" t="n">
        <x:f>IF(AND('Counter_PnL'!Q238&gt;0,'Counter_PnL'!AK238&gt;0,'Counter_PnL'!R238&lt;=0,'Counter_PnL'!T238&lt;=0,'Counter_PnL'!AT238&lt;=0,'Counter_PnL'!BE238&lt;=0,'Counter_PnL'!BJ238&lt;=0,'Counter_PnL'!BK238&lt;=0,'Counter_PnL'!BN238&lt;=0),0,1)</x:f>
        <x:v>0</x:v>
      </x:c>
    </x:row>
    <x:row r="239">
      <x:c r="A239" t="str">
        <x:f>'Counter_PnL'!D239</x:f>
        <x:v>CNCT0060</x:v>
      </x:c>
      <x:c r="B239" t="str">
        <x:f>'Counter_PnL'!C239</x:f>
        <x:v>2025 S2</x:v>
      </x:c>
      <x:c r="C239" s="30" t="n">
        <x:f>COUNTIFS('Counter_PnL'!$D$2:$D$641,A239,'Counter_PnL'!$C$2:$C$641,B239)</x:f>
        <x:v>1</x:v>
      </x:c>
      <x:c r="D239" s="79" t="n">
        <x:f>ABS('Counter_PnL'!AC239-SUM('Counter_PnL'!V239:'Counter_PnL'!AB239))</x:f>
        <x:v>0</x:v>
      </x:c>
      <x:c r="E239" s="79" t="n">
        <x:f>ABS('Counter_PnL'!AI239-SUM('Counter_PnL'!R239,'Counter_PnL'!T239,'Counter_PnL'!AC239,'Counter_PnL'!AE239,'Counter_PnL'!AG239,'Counter_PnL'!AH239))</x:f>
        <x:v>0</x:v>
      </x:c>
      <x:c r="F239" s="79" t="n">
        <x:f>ABS('Counter_PnL'!AK239-('Counter_PnL'!Q239+'Counter_PnL'!AI239))</x:f>
        <x:v>0</x:v>
      </x:c>
      <x:c r="G239" s="79" t="n">
        <x:f>ABS('Counter_PnL'!AT239-SUM('Counter_PnL'!AO239:'Counter_PnL'!AS239))</x:f>
        <x:v>0</x:v>
      </x:c>
      <x:c r="H239" s="79" t="n">
        <x:f>ABS('Counter_PnL'!AV239-('Counter_PnL'!AK239+'Counter_PnL'!AT239))</x:f>
        <x:v>0</x:v>
      </x:c>
      <x:c r="I239" s="79" t="n">
        <x:f>ABS('Counter_PnL'!BE239-SUM('Counter_PnL'!AX239:'Counter_PnL'!BB239,'Counter_PnL'!BD239))</x:f>
        <x:v>0</x:v>
      </x:c>
      <x:c r="J239" s="79" t="n">
        <x:f>ABS('Counter_PnL'!BL239-SUM('Counter_PnL'!AV239,'Counter_PnL'!BE239,'Counter_PnL'!BJ239,'Counter_PnL'!BK239))</x:f>
        <x:v>0</x:v>
      </x:c>
      <x:c r="K239" s="79" t="n">
        <x:f>ABS('Counter_PnL'!BO239-('Counter_PnL'!BL239+'Counter_PnL'!BN239))</x:f>
        <x:v>0</x:v>
      </x:c>
      <x:c r="L239" s="79" t="n">
        <x:f>MAX(ABS('Counter_PnL'!AW239-'Counter_PnL'!AV239/'Counter_PnL'!AK239),ABS('Counter_PnL'!BM239-'Counter_PnL'!BL239/'Counter_PnL'!AK239),ABS('Counter_PnL'!BP239-'Counter_PnL'!BO239/'Counter_PnL'!AK239))</x:f>
        <x:v>0</x:v>
      </x:c>
      <x:c r="M239" s="30" t="n">
        <x:f>IF(AND('Counter_PnL'!Q239&gt;0,'Counter_PnL'!AK239&gt;0,'Counter_PnL'!R239&lt;=0,'Counter_PnL'!T239&lt;=0,'Counter_PnL'!AT239&lt;=0,'Counter_PnL'!BE239&lt;=0,'Counter_PnL'!BJ239&lt;=0,'Counter_PnL'!BK239&lt;=0,'Counter_PnL'!BN239&lt;=0),0,1)</x:f>
        <x:v>0</x:v>
      </x:c>
    </x:row>
    <x:row r="240">
      <x:c r="A240" t="str">
        <x:f>'Counter_PnL'!D240</x:f>
        <x:v>CNCT0060</x:v>
      </x:c>
      <x:c r="B240" t="str">
        <x:f>'Counter_PnL'!C240</x:f>
        <x:v>2026 S1</x:v>
      </x:c>
      <x:c r="C240" s="30" t="n">
        <x:f>COUNTIFS('Counter_PnL'!$D$2:$D$641,A240,'Counter_PnL'!$C$2:$C$641,B240)</x:f>
        <x:v>1</x:v>
      </x:c>
      <x:c r="D240" s="79" t="n">
        <x:f>ABS('Counter_PnL'!AC240-SUM('Counter_PnL'!V240:'Counter_PnL'!AB240))</x:f>
        <x:v>0</x:v>
      </x:c>
      <x:c r="E240" s="79" t="n">
        <x:f>ABS('Counter_PnL'!AI240-SUM('Counter_PnL'!R240,'Counter_PnL'!T240,'Counter_PnL'!AC240,'Counter_PnL'!AE240,'Counter_PnL'!AG240,'Counter_PnL'!AH240))</x:f>
        <x:v>0</x:v>
      </x:c>
      <x:c r="F240" s="79" t="n">
        <x:f>ABS('Counter_PnL'!AK240-('Counter_PnL'!Q240+'Counter_PnL'!AI240))</x:f>
        <x:v>0</x:v>
      </x:c>
      <x:c r="G240" s="79" t="n">
        <x:f>ABS('Counter_PnL'!AT240-SUM('Counter_PnL'!AO240:'Counter_PnL'!AS240))</x:f>
        <x:v>0</x:v>
      </x:c>
      <x:c r="H240" s="79" t="n">
        <x:f>ABS('Counter_PnL'!AV240-('Counter_PnL'!AK240+'Counter_PnL'!AT240))</x:f>
        <x:v>0</x:v>
      </x:c>
      <x:c r="I240" s="79" t="n">
        <x:f>ABS('Counter_PnL'!BE240-SUM('Counter_PnL'!AX240:'Counter_PnL'!BB240,'Counter_PnL'!BD240))</x:f>
        <x:v>0</x:v>
      </x:c>
      <x:c r="J240" s="79" t="n">
        <x:f>ABS('Counter_PnL'!BL240-SUM('Counter_PnL'!AV240,'Counter_PnL'!BE240,'Counter_PnL'!BJ240,'Counter_PnL'!BK240))</x:f>
        <x:v>0</x:v>
      </x:c>
      <x:c r="K240" s="79" t="n">
        <x:f>ABS('Counter_PnL'!BO240-('Counter_PnL'!BL240+'Counter_PnL'!BN240))</x:f>
        <x:v>0</x:v>
      </x:c>
      <x:c r="L240" s="79" t="n">
        <x:f>MAX(ABS('Counter_PnL'!AW240-'Counter_PnL'!AV240/'Counter_PnL'!AK240),ABS('Counter_PnL'!BM240-'Counter_PnL'!BL240/'Counter_PnL'!AK240),ABS('Counter_PnL'!BP240-'Counter_PnL'!BO240/'Counter_PnL'!AK240))</x:f>
        <x:v>0</x:v>
      </x:c>
      <x:c r="M240" s="30" t="n">
        <x:f>IF(AND('Counter_PnL'!Q240&gt;0,'Counter_PnL'!AK240&gt;0,'Counter_PnL'!R240&lt;=0,'Counter_PnL'!T240&lt;=0,'Counter_PnL'!AT240&lt;=0,'Counter_PnL'!BE240&lt;=0,'Counter_PnL'!BJ240&lt;=0,'Counter_PnL'!BK240&lt;=0,'Counter_PnL'!BN240&lt;=0),0,1)</x:f>
        <x:v>0</x:v>
      </x:c>
    </x:row>
    <x:row r="241">
      <x:c r="A241" t="str">
        <x:f>'Counter_PnL'!D241</x:f>
        <x:v>CNCT0060</x:v>
      </x:c>
      <x:c r="B241" t="str">
        <x:f>'Counter_PnL'!C241</x:f>
        <x:v>2026 S2</x:v>
      </x:c>
      <x:c r="C241" s="30" t="n">
        <x:f>COUNTIFS('Counter_PnL'!$D$2:$D$641,A241,'Counter_PnL'!$C$2:$C$641,B241)</x:f>
        <x:v>1</x:v>
      </x:c>
      <x:c r="D241" s="79" t="n">
        <x:f>ABS('Counter_PnL'!AC241-SUM('Counter_PnL'!V241:'Counter_PnL'!AB241))</x:f>
        <x:v>0</x:v>
      </x:c>
      <x:c r="E241" s="79" t="n">
        <x:f>ABS('Counter_PnL'!AI241-SUM('Counter_PnL'!R241,'Counter_PnL'!T241,'Counter_PnL'!AC241,'Counter_PnL'!AE241,'Counter_PnL'!AG241,'Counter_PnL'!AH241))</x:f>
        <x:v>0</x:v>
      </x:c>
      <x:c r="F241" s="79" t="n">
        <x:f>ABS('Counter_PnL'!AK241-('Counter_PnL'!Q241+'Counter_PnL'!AI241))</x:f>
        <x:v>0</x:v>
      </x:c>
      <x:c r="G241" s="79" t="n">
        <x:f>ABS('Counter_PnL'!AT241-SUM('Counter_PnL'!AO241:'Counter_PnL'!AS241))</x:f>
        <x:v>0</x:v>
      </x:c>
      <x:c r="H241" s="79" t="n">
        <x:f>ABS('Counter_PnL'!AV241-('Counter_PnL'!AK241+'Counter_PnL'!AT241))</x:f>
        <x:v>0</x:v>
      </x:c>
      <x:c r="I241" s="79" t="n">
        <x:f>ABS('Counter_PnL'!BE241-SUM('Counter_PnL'!AX241:'Counter_PnL'!BB241,'Counter_PnL'!BD241))</x:f>
        <x:v>0</x:v>
      </x:c>
      <x:c r="J241" s="79" t="n">
        <x:f>ABS('Counter_PnL'!BL241-SUM('Counter_PnL'!AV241,'Counter_PnL'!BE241,'Counter_PnL'!BJ241,'Counter_PnL'!BK241))</x:f>
        <x:v>0</x:v>
      </x:c>
      <x:c r="K241" s="79" t="n">
        <x:f>ABS('Counter_PnL'!BO241-('Counter_PnL'!BL241+'Counter_PnL'!BN241))</x:f>
        <x:v>0</x:v>
      </x:c>
      <x:c r="L241" s="79" t="n">
        <x:f>MAX(ABS('Counter_PnL'!AW241-'Counter_PnL'!AV241/'Counter_PnL'!AK241),ABS('Counter_PnL'!BM241-'Counter_PnL'!BL241/'Counter_PnL'!AK241),ABS('Counter_PnL'!BP241-'Counter_PnL'!BO241/'Counter_PnL'!AK241))</x:f>
        <x:v>0</x:v>
      </x:c>
      <x:c r="M241" s="30" t="n">
        <x:f>IF(AND('Counter_PnL'!Q241&gt;0,'Counter_PnL'!AK241&gt;0,'Counter_PnL'!R241&lt;=0,'Counter_PnL'!T241&lt;=0,'Counter_PnL'!AT241&lt;=0,'Counter_PnL'!BE241&lt;=0,'Counter_PnL'!BJ241&lt;=0,'Counter_PnL'!BK241&lt;=0,'Counter_PnL'!BN241&lt;=0),0,1)</x:f>
        <x:v>0</x:v>
      </x:c>
    </x:row>
    <x:row r="242">
      <x:c r="A242" t="str">
        <x:f>'Counter_PnL'!D242</x:f>
        <x:v>CNCT0061</x:v>
      </x:c>
      <x:c r="B242" t="str">
        <x:f>'Counter_PnL'!C242</x:f>
        <x:v>2025 S1</x:v>
      </x:c>
      <x:c r="C242" s="30" t="n">
        <x:f>COUNTIFS('Counter_PnL'!$D$2:$D$641,A242,'Counter_PnL'!$C$2:$C$641,B242)</x:f>
        <x:v>1</x:v>
      </x:c>
      <x:c r="D242" s="79" t="n">
        <x:f>ABS('Counter_PnL'!AC242-SUM('Counter_PnL'!V242:'Counter_PnL'!AB242))</x:f>
        <x:v>0</x:v>
      </x:c>
      <x:c r="E242" s="79" t="n">
        <x:f>ABS('Counter_PnL'!AI242-SUM('Counter_PnL'!R242,'Counter_PnL'!T242,'Counter_PnL'!AC242,'Counter_PnL'!AE242,'Counter_PnL'!AG242,'Counter_PnL'!AH242))</x:f>
        <x:v>0</x:v>
      </x:c>
      <x:c r="F242" s="79" t="n">
        <x:f>ABS('Counter_PnL'!AK242-('Counter_PnL'!Q242+'Counter_PnL'!AI242))</x:f>
        <x:v>0</x:v>
      </x:c>
      <x:c r="G242" s="79" t="n">
        <x:f>ABS('Counter_PnL'!AT242-SUM('Counter_PnL'!AO242:'Counter_PnL'!AS242))</x:f>
        <x:v>0</x:v>
      </x:c>
      <x:c r="H242" s="79" t="n">
        <x:f>ABS('Counter_PnL'!AV242-('Counter_PnL'!AK242+'Counter_PnL'!AT242))</x:f>
        <x:v>0</x:v>
      </x:c>
      <x:c r="I242" s="79" t="n">
        <x:f>ABS('Counter_PnL'!BE242-SUM('Counter_PnL'!AX242:'Counter_PnL'!BB242,'Counter_PnL'!BD242))</x:f>
        <x:v>0</x:v>
      </x:c>
      <x:c r="J242" s="79" t="n">
        <x:f>ABS('Counter_PnL'!BL242-SUM('Counter_PnL'!AV242,'Counter_PnL'!BE242,'Counter_PnL'!BJ242,'Counter_PnL'!BK242))</x:f>
        <x:v>0</x:v>
      </x:c>
      <x:c r="K242" s="79" t="n">
        <x:f>ABS('Counter_PnL'!BO242-('Counter_PnL'!BL242+'Counter_PnL'!BN242))</x:f>
        <x:v>0</x:v>
      </x:c>
      <x:c r="L242" s="79" t="n">
        <x:f>MAX(ABS('Counter_PnL'!AW242-'Counter_PnL'!AV242/'Counter_PnL'!AK242),ABS('Counter_PnL'!BM242-'Counter_PnL'!BL242/'Counter_PnL'!AK242),ABS('Counter_PnL'!BP242-'Counter_PnL'!BO242/'Counter_PnL'!AK242))</x:f>
        <x:v>0</x:v>
      </x:c>
      <x:c r="M242" s="30" t="n">
        <x:f>IF(AND('Counter_PnL'!Q242&gt;0,'Counter_PnL'!AK242&gt;0,'Counter_PnL'!R242&lt;=0,'Counter_PnL'!T242&lt;=0,'Counter_PnL'!AT242&lt;=0,'Counter_PnL'!BE242&lt;=0,'Counter_PnL'!BJ242&lt;=0,'Counter_PnL'!BK242&lt;=0,'Counter_PnL'!BN242&lt;=0),0,1)</x:f>
        <x:v>0</x:v>
      </x:c>
    </x:row>
    <x:row r="243">
      <x:c r="A243" t="str">
        <x:f>'Counter_PnL'!D243</x:f>
        <x:v>CNCT0061</x:v>
      </x:c>
      <x:c r="B243" t="str">
        <x:f>'Counter_PnL'!C243</x:f>
        <x:v>2025 S2</x:v>
      </x:c>
      <x:c r="C243" s="30" t="n">
        <x:f>COUNTIFS('Counter_PnL'!$D$2:$D$641,A243,'Counter_PnL'!$C$2:$C$641,B243)</x:f>
        <x:v>1</x:v>
      </x:c>
      <x:c r="D243" s="79" t="n">
        <x:f>ABS('Counter_PnL'!AC243-SUM('Counter_PnL'!V243:'Counter_PnL'!AB243))</x:f>
        <x:v>0</x:v>
      </x:c>
      <x:c r="E243" s="79" t="n">
        <x:f>ABS('Counter_PnL'!AI243-SUM('Counter_PnL'!R243,'Counter_PnL'!T243,'Counter_PnL'!AC243,'Counter_PnL'!AE243,'Counter_PnL'!AG243,'Counter_PnL'!AH243))</x:f>
        <x:v>0</x:v>
      </x:c>
      <x:c r="F243" s="79" t="n">
        <x:f>ABS('Counter_PnL'!AK243-('Counter_PnL'!Q243+'Counter_PnL'!AI243))</x:f>
        <x:v>0</x:v>
      </x:c>
      <x:c r="G243" s="79" t="n">
        <x:f>ABS('Counter_PnL'!AT243-SUM('Counter_PnL'!AO243:'Counter_PnL'!AS243))</x:f>
        <x:v>0</x:v>
      </x:c>
      <x:c r="H243" s="79" t="n">
        <x:f>ABS('Counter_PnL'!AV243-('Counter_PnL'!AK243+'Counter_PnL'!AT243))</x:f>
        <x:v>0</x:v>
      </x:c>
      <x:c r="I243" s="79" t="n">
        <x:f>ABS('Counter_PnL'!BE243-SUM('Counter_PnL'!AX243:'Counter_PnL'!BB243,'Counter_PnL'!BD243))</x:f>
        <x:v>0</x:v>
      </x:c>
      <x:c r="J243" s="79" t="n">
        <x:f>ABS('Counter_PnL'!BL243-SUM('Counter_PnL'!AV243,'Counter_PnL'!BE243,'Counter_PnL'!BJ243,'Counter_PnL'!BK243))</x:f>
        <x:v>0</x:v>
      </x:c>
      <x:c r="K243" s="79" t="n">
        <x:f>ABS('Counter_PnL'!BO243-('Counter_PnL'!BL243+'Counter_PnL'!BN243))</x:f>
        <x:v>0</x:v>
      </x:c>
      <x:c r="L243" s="79" t="n">
        <x:f>MAX(ABS('Counter_PnL'!AW243-'Counter_PnL'!AV243/'Counter_PnL'!AK243),ABS('Counter_PnL'!BM243-'Counter_PnL'!BL243/'Counter_PnL'!AK243),ABS('Counter_PnL'!BP243-'Counter_PnL'!BO243/'Counter_PnL'!AK243))</x:f>
        <x:v>0</x:v>
      </x:c>
      <x:c r="M243" s="30" t="n">
        <x:f>IF(AND('Counter_PnL'!Q243&gt;0,'Counter_PnL'!AK243&gt;0,'Counter_PnL'!R243&lt;=0,'Counter_PnL'!T243&lt;=0,'Counter_PnL'!AT243&lt;=0,'Counter_PnL'!BE243&lt;=0,'Counter_PnL'!BJ243&lt;=0,'Counter_PnL'!BK243&lt;=0,'Counter_PnL'!BN243&lt;=0),0,1)</x:f>
        <x:v>0</x:v>
      </x:c>
    </x:row>
    <x:row r="244">
      <x:c r="A244" t="str">
        <x:f>'Counter_PnL'!D244</x:f>
        <x:v>CNCT0061</x:v>
      </x:c>
      <x:c r="B244" t="str">
        <x:f>'Counter_PnL'!C244</x:f>
        <x:v>2026 S1</x:v>
      </x:c>
      <x:c r="C244" s="30" t="n">
        <x:f>COUNTIFS('Counter_PnL'!$D$2:$D$641,A244,'Counter_PnL'!$C$2:$C$641,B244)</x:f>
        <x:v>1</x:v>
      </x:c>
      <x:c r="D244" s="79" t="n">
        <x:f>ABS('Counter_PnL'!AC244-SUM('Counter_PnL'!V244:'Counter_PnL'!AB244))</x:f>
        <x:v>0</x:v>
      </x:c>
      <x:c r="E244" s="79" t="n">
        <x:f>ABS('Counter_PnL'!AI244-SUM('Counter_PnL'!R244,'Counter_PnL'!T244,'Counter_PnL'!AC244,'Counter_PnL'!AE244,'Counter_PnL'!AG244,'Counter_PnL'!AH244))</x:f>
        <x:v>0</x:v>
      </x:c>
      <x:c r="F244" s="79" t="n">
        <x:f>ABS('Counter_PnL'!AK244-('Counter_PnL'!Q244+'Counter_PnL'!AI244))</x:f>
        <x:v>0</x:v>
      </x:c>
      <x:c r="G244" s="79" t="n">
        <x:f>ABS('Counter_PnL'!AT244-SUM('Counter_PnL'!AO244:'Counter_PnL'!AS244))</x:f>
        <x:v>0</x:v>
      </x:c>
      <x:c r="H244" s="79" t="n">
        <x:f>ABS('Counter_PnL'!AV244-('Counter_PnL'!AK244+'Counter_PnL'!AT244))</x:f>
        <x:v>0</x:v>
      </x:c>
      <x:c r="I244" s="79" t="n">
        <x:f>ABS('Counter_PnL'!BE244-SUM('Counter_PnL'!AX244:'Counter_PnL'!BB244,'Counter_PnL'!BD244))</x:f>
        <x:v>0</x:v>
      </x:c>
      <x:c r="J244" s="79" t="n">
        <x:f>ABS('Counter_PnL'!BL244-SUM('Counter_PnL'!AV244,'Counter_PnL'!BE244,'Counter_PnL'!BJ244,'Counter_PnL'!BK244))</x:f>
        <x:v>0</x:v>
      </x:c>
      <x:c r="K244" s="79" t="n">
        <x:f>ABS('Counter_PnL'!BO244-('Counter_PnL'!BL244+'Counter_PnL'!BN244))</x:f>
        <x:v>0</x:v>
      </x:c>
      <x:c r="L244" s="79" t="n">
        <x:f>MAX(ABS('Counter_PnL'!AW244-'Counter_PnL'!AV244/'Counter_PnL'!AK244),ABS('Counter_PnL'!BM244-'Counter_PnL'!BL244/'Counter_PnL'!AK244),ABS('Counter_PnL'!BP244-'Counter_PnL'!BO244/'Counter_PnL'!AK244))</x:f>
        <x:v>0</x:v>
      </x:c>
      <x:c r="M244" s="30" t="n">
        <x:f>IF(AND('Counter_PnL'!Q244&gt;0,'Counter_PnL'!AK244&gt;0,'Counter_PnL'!R244&lt;=0,'Counter_PnL'!T244&lt;=0,'Counter_PnL'!AT244&lt;=0,'Counter_PnL'!BE244&lt;=0,'Counter_PnL'!BJ244&lt;=0,'Counter_PnL'!BK244&lt;=0,'Counter_PnL'!BN244&lt;=0),0,1)</x:f>
        <x:v>0</x:v>
      </x:c>
    </x:row>
    <x:row r="245">
      <x:c r="A245" t="str">
        <x:f>'Counter_PnL'!D245</x:f>
        <x:v>CNCT0061</x:v>
      </x:c>
      <x:c r="B245" t="str">
        <x:f>'Counter_PnL'!C245</x:f>
        <x:v>2026 S2</x:v>
      </x:c>
      <x:c r="C245" s="30" t="n">
        <x:f>COUNTIFS('Counter_PnL'!$D$2:$D$641,A245,'Counter_PnL'!$C$2:$C$641,B245)</x:f>
        <x:v>1</x:v>
      </x:c>
      <x:c r="D245" s="79" t="n">
        <x:f>ABS('Counter_PnL'!AC245-SUM('Counter_PnL'!V245:'Counter_PnL'!AB245))</x:f>
        <x:v>0</x:v>
      </x:c>
      <x:c r="E245" s="79" t="n">
        <x:f>ABS('Counter_PnL'!AI245-SUM('Counter_PnL'!R245,'Counter_PnL'!T245,'Counter_PnL'!AC245,'Counter_PnL'!AE245,'Counter_PnL'!AG245,'Counter_PnL'!AH245))</x:f>
        <x:v>0</x:v>
      </x:c>
      <x:c r="F245" s="79" t="n">
        <x:f>ABS('Counter_PnL'!AK245-('Counter_PnL'!Q245+'Counter_PnL'!AI245))</x:f>
        <x:v>0</x:v>
      </x:c>
      <x:c r="G245" s="79" t="n">
        <x:f>ABS('Counter_PnL'!AT245-SUM('Counter_PnL'!AO245:'Counter_PnL'!AS245))</x:f>
        <x:v>0</x:v>
      </x:c>
      <x:c r="H245" s="79" t="n">
        <x:f>ABS('Counter_PnL'!AV245-('Counter_PnL'!AK245+'Counter_PnL'!AT245))</x:f>
        <x:v>0</x:v>
      </x:c>
      <x:c r="I245" s="79" t="n">
        <x:f>ABS('Counter_PnL'!BE245-SUM('Counter_PnL'!AX245:'Counter_PnL'!BB245,'Counter_PnL'!BD245))</x:f>
        <x:v>0</x:v>
      </x:c>
      <x:c r="J245" s="79" t="n">
        <x:f>ABS('Counter_PnL'!BL245-SUM('Counter_PnL'!AV245,'Counter_PnL'!BE245,'Counter_PnL'!BJ245,'Counter_PnL'!BK245))</x:f>
        <x:v>0</x:v>
      </x:c>
      <x:c r="K245" s="79" t="n">
        <x:f>ABS('Counter_PnL'!BO245-('Counter_PnL'!BL245+'Counter_PnL'!BN245))</x:f>
        <x:v>0</x:v>
      </x:c>
      <x:c r="L245" s="79" t="n">
        <x:f>MAX(ABS('Counter_PnL'!AW245-'Counter_PnL'!AV245/'Counter_PnL'!AK245),ABS('Counter_PnL'!BM245-'Counter_PnL'!BL245/'Counter_PnL'!AK245),ABS('Counter_PnL'!BP245-'Counter_PnL'!BO245/'Counter_PnL'!AK245))</x:f>
        <x:v>0</x:v>
      </x:c>
      <x:c r="M245" s="30" t="n">
        <x:f>IF(AND('Counter_PnL'!Q245&gt;0,'Counter_PnL'!AK245&gt;0,'Counter_PnL'!R245&lt;=0,'Counter_PnL'!T245&lt;=0,'Counter_PnL'!AT245&lt;=0,'Counter_PnL'!BE245&lt;=0,'Counter_PnL'!BJ245&lt;=0,'Counter_PnL'!BK245&lt;=0,'Counter_PnL'!BN245&lt;=0),0,1)</x:f>
        <x:v>0</x:v>
      </x:c>
    </x:row>
    <x:row r="246">
      <x:c r="A246" t="str">
        <x:f>'Counter_PnL'!D246</x:f>
        <x:v>CNCT0062</x:v>
      </x:c>
      <x:c r="B246" t="str">
        <x:f>'Counter_PnL'!C246</x:f>
        <x:v>2025 S1</x:v>
      </x:c>
      <x:c r="C246" s="30" t="n">
        <x:f>COUNTIFS('Counter_PnL'!$D$2:$D$641,A246,'Counter_PnL'!$C$2:$C$641,B246)</x:f>
        <x:v>1</x:v>
      </x:c>
      <x:c r="D246" s="79" t="n">
        <x:f>ABS('Counter_PnL'!AC246-SUM('Counter_PnL'!V246:'Counter_PnL'!AB246))</x:f>
        <x:v>0</x:v>
      </x:c>
      <x:c r="E246" s="79" t="n">
        <x:f>ABS('Counter_PnL'!AI246-SUM('Counter_PnL'!R246,'Counter_PnL'!T246,'Counter_PnL'!AC246,'Counter_PnL'!AE246,'Counter_PnL'!AG246,'Counter_PnL'!AH246))</x:f>
        <x:v>0</x:v>
      </x:c>
      <x:c r="F246" s="79" t="n">
        <x:f>ABS('Counter_PnL'!AK246-('Counter_PnL'!Q246+'Counter_PnL'!AI246))</x:f>
        <x:v>0</x:v>
      </x:c>
      <x:c r="G246" s="79" t="n">
        <x:f>ABS('Counter_PnL'!AT246-SUM('Counter_PnL'!AO246:'Counter_PnL'!AS246))</x:f>
        <x:v>0</x:v>
      </x:c>
      <x:c r="H246" s="79" t="n">
        <x:f>ABS('Counter_PnL'!AV246-('Counter_PnL'!AK246+'Counter_PnL'!AT246))</x:f>
        <x:v>0</x:v>
      </x:c>
      <x:c r="I246" s="79" t="n">
        <x:f>ABS('Counter_PnL'!BE246-SUM('Counter_PnL'!AX246:'Counter_PnL'!BB246,'Counter_PnL'!BD246))</x:f>
        <x:v>0</x:v>
      </x:c>
      <x:c r="J246" s="79" t="n">
        <x:f>ABS('Counter_PnL'!BL246-SUM('Counter_PnL'!AV246,'Counter_PnL'!BE246,'Counter_PnL'!BJ246,'Counter_PnL'!BK246))</x:f>
        <x:v>0</x:v>
      </x:c>
      <x:c r="K246" s="79" t="n">
        <x:f>ABS('Counter_PnL'!BO246-('Counter_PnL'!BL246+'Counter_PnL'!BN246))</x:f>
        <x:v>0</x:v>
      </x:c>
      <x:c r="L246" s="79" t="n">
        <x:f>MAX(ABS('Counter_PnL'!AW246-'Counter_PnL'!AV246/'Counter_PnL'!AK246),ABS('Counter_PnL'!BM246-'Counter_PnL'!BL246/'Counter_PnL'!AK246),ABS('Counter_PnL'!BP246-'Counter_PnL'!BO246/'Counter_PnL'!AK246))</x:f>
        <x:v>0</x:v>
      </x:c>
      <x:c r="M246" s="30" t="n">
        <x:f>IF(AND('Counter_PnL'!Q246&gt;0,'Counter_PnL'!AK246&gt;0,'Counter_PnL'!R246&lt;=0,'Counter_PnL'!T246&lt;=0,'Counter_PnL'!AT246&lt;=0,'Counter_PnL'!BE246&lt;=0,'Counter_PnL'!BJ246&lt;=0,'Counter_PnL'!BK246&lt;=0,'Counter_PnL'!BN246&lt;=0),0,1)</x:f>
        <x:v>0</x:v>
      </x:c>
    </x:row>
    <x:row r="247">
      <x:c r="A247" t="str">
        <x:f>'Counter_PnL'!D247</x:f>
        <x:v>CNCT0062</x:v>
      </x:c>
      <x:c r="B247" t="str">
        <x:f>'Counter_PnL'!C247</x:f>
        <x:v>2025 S2</x:v>
      </x:c>
      <x:c r="C247" s="30" t="n">
        <x:f>COUNTIFS('Counter_PnL'!$D$2:$D$641,A247,'Counter_PnL'!$C$2:$C$641,B247)</x:f>
        <x:v>1</x:v>
      </x:c>
      <x:c r="D247" s="79" t="n">
        <x:f>ABS('Counter_PnL'!AC247-SUM('Counter_PnL'!V247:'Counter_PnL'!AB247))</x:f>
        <x:v>0</x:v>
      </x:c>
      <x:c r="E247" s="79" t="n">
        <x:f>ABS('Counter_PnL'!AI247-SUM('Counter_PnL'!R247,'Counter_PnL'!T247,'Counter_PnL'!AC247,'Counter_PnL'!AE247,'Counter_PnL'!AG247,'Counter_PnL'!AH247))</x:f>
        <x:v>0</x:v>
      </x:c>
      <x:c r="F247" s="79" t="n">
        <x:f>ABS('Counter_PnL'!AK247-('Counter_PnL'!Q247+'Counter_PnL'!AI247))</x:f>
        <x:v>0</x:v>
      </x:c>
      <x:c r="G247" s="79" t="n">
        <x:f>ABS('Counter_PnL'!AT247-SUM('Counter_PnL'!AO247:'Counter_PnL'!AS247))</x:f>
        <x:v>0</x:v>
      </x:c>
      <x:c r="H247" s="79" t="n">
        <x:f>ABS('Counter_PnL'!AV247-('Counter_PnL'!AK247+'Counter_PnL'!AT247))</x:f>
        <x:v>0</x:v>
      </x:c>
      <x:c r="I247" s="79" t="n">
        <x:f>ABS('Counter_PnL'!BE247-SUM('Counter_PnL'!AX247:'Counter_PnL'!BB247,'Counter_PnL'!BD247))</x:f>
        <x:v>0</x:v>
      </x:c>
      <x:c r="J247" s="79" t="n">
        <x:f>ABS('Counter_PnL'!BL247-SUM('Counter_PnL'!AV247,'Counter_PnL'!BE247,'Counter_PnL'!BJ247,'Counter_PnL'!BK247))</x:f>
        <x:v>0</x:v>
      </x:c>
      <x:c r="K247" s="79" t="n">
        <x:f>ABS('Counter_PnL'!BO247-('Counter_PnL'!BL247+'Counter_PnL'!BN247))</x:f>
        <x:v>0</x:v>
      </x:c>
      <x:c r="L247" s="79" t="n">
        <x:f>MAX(ABS('Counter_PnL'!AW247-'Counter_PnL'!AV247/'Counter_PnL'!AK247),ABS('Counter_PnL'!BM247-'Counter_PnL'!BL247/'Counter_PnL'!AK247),ABS('Counter_PnL'!BP247-'Counter_PnL'!BO247/'Counter_PnL'!AK247))</x:f>
        <x:v>0</x:v>
      </x:c>
      <x:c r="M247" s="30" t="n">
        <x:f>IF(AND('Counter_PnL'!Q247&gt;0,'Counter_PnL'!AK247&gt;0,'Counter_PnL'!R247&lt;=0,'Counter_PnL'!T247&lt;=0,'Counter_PnL'!AT247&lt;=0,'Counter_PnL'!BE247&lt;=0,'Counter_PnL'!BJ247&lt;=0,'Counter_PnL'!BK247&lt;=0,'Counter_PnL'!BN247&lt;=0),0,1)</x:f>
        <x:v>0</x:v>
      </x:c>
    </x:row>
    <x:row r="248">
      <x:c r="A248" t="str">
        <x:f>'Counter_PnL'!D248</x:f>
        <x:v>CNCT0062</x:v>
      </x:c>
      <x:c r="B248" t="str">
        <x:f>'Counter_PnL'!C248</x:f>
        <x:v>2026 S1</x:v>
      </x:c>
      <x:c r="C248" s="30" t="n">
        <x:f>COUNTIFS('Counter_PnL'!$D$2:$D$641,A248,'Counter_PnL'!$C$2:$C$641,B248)</x:f>
        <x:v>1</x:v>
      </x:c>
      <x:c r="D248" s="79" t="n">
        <x:f>ABS('Counter_PnL'!AC248-SUM('Counter_PnL'!V248:'Counter_PnL'!AB248))</x:f>
        <x:v>0</x:v>
      </x:c>
      <x:c r="E248" s="79" t="n">
        <x:f>ABS('Counter_PnL'!AI248-SUM('Counter_PnL'!R248,'Counter_PnL'!T248,'Counter_PnL'!AC248,'Counter_PnL'!AE248,'Counter_PnL'!AG248,'Counter_PnL'!AH248))</x:f>
        <x:v>0</x:v>
      </x:c>
      <x:c r="F248" s="79" t="n">
        <x:f>ABS('Counter_PnL'!AK248-('Counter_PnL'!Q248+'Counter_PnL'!AI248))</x:f>
        <x:v>0</x:v>
      </x:c>
      <x:c r="G248" s="79" t="n">
        <x:f>ABS('Counter_PnL'!AT248-SUM('Counter_PnL'!AO248:'Counter_PnL'!AS248))</x:f>
        <x:v>0</x:v>
      </x:c>
      <x:c r="H248" s="79" t="n">
        <x:f>ABS('Counter_PnL'!AV248-('Counter_PnL'!AK248+'Counter_PnL'!AT248))</x:f>
        <x:v>0</x:v>
      </x:c>
      <x:c r="I248" s="79" t="n">
        <x:f>ABS('Counter_PnL'!BE248-SUM('Counter_PnL'!AX248:'Counter_PnL'!BB248,'Counter_PnL'!BD248))</x:f>
        <x:v>0</x:v>
      </x:c>
      <x:c r="J248" s="79" t="n">
        <x:f>ABS('Counter_PnL'!BL248-SUM('Counter_PnL'!AV248,'Counter_PnL'!BE248,'Counter_PnL'!BJ248,'Counter_PnL'!BK248))</x:f>
        <x:v>0</x:v>
      </x:c>
      <x:c r="K248" s="79" t="n">
        <x:f>ABS('Counter_PnL'!BO248-('Counter_PnL'!BL248+'Counter_PnL'!BN248))</x:f>
        <x:v>0</x:v>
      </x:c>
      <x:c r="L248" s="79" t="n">
        <x:f>MAX(ABS('Counter_PnL'!AW248-'Counter_PnL'!AV248/'Counter_PnL'!AK248),ABS('Counter_PnL'!BM248-'Counter_PnL'!BL248/'Counter_PnL'!AK248),ABS('Counter_PnL'!BP248-'Counter_PnL'!BO248/'Counter_PnL'!AK248))</x:f>
        <x:v>0</x:v>
      </x:c>
      <x:c r="M248" s="30" t="n">
        <x:f>IF(AND('Counter_PnL'!Q248&gt;0,'Counter_PnL'!AK248&gt;0,'Counter_PnL'!R248&lt;=0,'Counter_PnL'!T248&lt;=0,'Counter_PnL'!AT248&lt;=0,'Counter_PnL'!BE248&lt;=0,'Counter_PnL'!BJ248&lt;=0,'Counter_PnL'!BK248&lt;=0,'Counter_PnL'!BN248&lt;=0),0,1)</x:f>
        <x:v>0</x:v>
      </x:c>
    </x:row>
    <x:row r="249">
      <x:c r="A249" t="str">
        <x:f>'Counter_PnL'!D249</x:f>
        <x:v>CNCT0062</x:v>
      </x:c>
      <x:c r="B249" t="str">
        <x:f>'Counter_PnL'!C249</x:f>
        <x:v>2026 S2</x:v>
      </x:c>
      <x:c r="C249" s="30" t="n">
        <x:f>COUNTIFS('Counter_PnL'!$D$2:$D$641,A249,'Counter_PnL'!$C$2:$C$641,B249)</x:f>
        <x:v>1</x:v>
      </x:c>
      <x:c r="D249" s="79" t="n">
        <x:f>ABS('Counter_PnL'!AC249-SUM('Counter_PnL'!V249:'Counter_PnL'!AB249))</x:f>
        <x:v>0</x:v>
      </x:c>
      <x:c r="E249" s="79" t="n">
        <x:f>ABS('Counter_PnL'!AI249-SUM('Counter_PnL'!R249,'Counter_PnL'!T249,'Counter_PnL'!AC249,'Counter_PnL'!AE249,'Counter_PnL'!AG249,'Counter_PnL'!AH249))</x:f>
        <x:v>0</x:v>
      </x:c>
      <x:c r="F249" s="79" t="n">
        <x:f>ABS('Counter_PnL'!AK249-('Counter_PnL'!Q249+'Counter_PnL'!AI249))</x:f>
        <x:v>0</x:v>
      </x:c>
      <x:c r="G249" s="79" t="n">
        <x:f>ABS('Counter_PnL'!AT249-SUM('Counter_PnL'!AO249:'Counter_PnL'!AS249))</x:f>
        <x:v>0</x:v>
      </x:c>
      <x:c r="H249" s="79" t="n">
        <x:f>ABS('Counter_PnL'!AV249-('Counter_PnL'!AK249+'Counter_PnL'!AT249))</x:f>
        <x:v>0</x:v>
      </x:c>
      <x:c r="I249" s="79" t="n">
        <x:f>ABS('Counter_PnL'!BE249-SUM('Counter_PnL'!AX249:'Counter_PnL'!BB249,'Counter_PnL'!BD249))</x:f>
        <x:v>0</x:v>
      </x:c>
      <x:c r="J249" s="79" t="n">
        <x:f>ABS('Counter_PnL'!BL249-SUM('Counter_PnL'!AV249,'Counter_PnL'!BE249,'Counter_PnL'!BJ249,'Counter_PnL'!BK249))</x:f>
        <x:v>0</x:v>
      </x:c>
      <x:c r="K249" s="79" t="n">
        <x:f>ABS('Counter_PnL'!BO249-('Counter_PnL'!BL249+'Counter_PnL'!BN249))</x:f>
        <x:v>0</x:v>
      </x:c>
      <x:c r="L249" s="79" t="n">
        <x:f>MAX(ABS('Counter_PnL'!AW249-'Counter_PnL'!AV249/'Counter_PnL'!AK249),ABS('Counter_PnL'!BM249-'Counter_PnL'!BL249/'Counter_PnL'!AK249),ABS('Counter_PnL'!BP249-'Counter_PnL'!BO249/'Counter_PnL'!AK249))</x:f>
        <x:v>0</x:v>
      </x:c>
      <x:c r="M249" s="30" t="n">
        <x:f>IF(AND('Counter_PnL'!Q249&gt;0,'Counter_PnL'!AK249&gt;0,'Counter_PnL'!R249&lt;=0,'Counter_PnL'!T249&lt;=0,'Counter_PnL'!AT249&lt;=0,'Counter_PnL'!BE249&lt;=0,'Counter_PnL'!BJ249&lt;=0,'Counter_PnL'!BK249&lt;=0,'Counter_PnL'!BN249&lt;=0),0,1)</x:f>
        <x:v>0</x:v>
      </x:c>
    </x:row>
    <x:row r="250">
      <x:c r="A250" t="str">
        <x:f>'Counter_PnL'!D250</x:f>
        <x:v>CNCT0063</x:v>
      </x:c>
      <x:c r="B250" t="str">
        <x:f>'Counter_PnL'!C250</x:f>
        <x:v>2025 S1</x:v>
      </x:c>
      <x:c r="C250" s="30" t="n">
        <x:f>COUNTIFS('Counter_PnL'!$D$2:$D$641,A250,'Counter_PnL'!$C$2:$C$641,B250)</x:f>
        <x:v>1</x:v>
      </x:c>
      <x:c r="D250" s="79" t="n">
        <x:f>ABS('Counter_PnL'!AC250-SUM('Counter_PnL'!V250:'Counter_PnL'!AB250))</x:f>
        <x:v>0</x:v>
      </x:c>
      <x:c r="E250" s="79" t="n">
        <x:f>ABS('Counter_PnL'!AI250-SUM('Counter_PnL'!R250,'Counter_PnL'!T250,'Counter_PnL'!AC250,'Counter_PnL'!AE250,'Counter_PnL'!AG250,'Counter_PnL'!AH250))</x:f>
        <x:v>0</x:v>
      </x:c>
      <x:c r="F250" s="79" t="n">
        <x:f>ABS('Counter_PnL'!AK250-('Counter_PnL'!Q250+'Counter_PnL'!AI250))</x:f>
        <x:v>0</x:v>
      </x:c>
      <x:c r="G250" s="79" t="n">
        <x:f>ABS('Counter_PnL'!AT250-SUM('Counter_PnL'!AO250:'Counter_PnL'!AS250))</x:f>
        <x:v>0</x:v>
      </x:c>
      <x:c r="H250" s="79" t="n">
        <x:f>ABS('Counter_PnL'!AV250-('Counter_PnL'!AK250+'Counter_PnL'!AT250))</x:f>
        <x:v>0</x:v>
      </x:c>
      <x:c r="I250" s="79" t="n">
        <x:f>ABS('Counter_PnL'!BE250-SUM('Counter_PnL'!AX250:'Counter_PnL'!BB250,'Counter_PnL'!BD250))</x:f>
        <x:v>0</x:v>
      </x:c>
      <x:c r="J250" s="79" t="n">
        <x:f>ABS('Counter_PnL'!BL250-SUM('Counter_PnL'!AV250,'Counter_PnL'!BE250,'Counter_PnL'!BJ250,'Counter_PnL'!BK250))</x:f>
        <x:v>0</x:v>
      </x:c>
      <x:c r="K250" s="79" t="n">
        <x:f>ABS('Counter_PnL'!BO250-('Counter_PnL'!BL250+'Counter_PnL'!BN250))</x:f>
        <x:v>0</x:v>
      </x:c>
      <x:c r="L250" s="79" t="n">
        <x:f>MAX(ABS('Counter_PnL'!AW250-'Counter_PnL'!AV250/'Counter_PnL'!AK250),ABS('Counter_PnL'!BM250-'Counter_PnL'!BL250/'Counter_PnL'!AK250),ABS('Counter_PnL'!BP250-'Counter_PnL'!BO250/'Counter_PnL'!AK250))</x:f>
        <x:v>0</x:v>
      </x:c>
      <x:c r="M250" s="30" t="n">
        <x:f>IF(AND('Counter_PnL'!Q250&gt;0,'Counter_PnL'!AK250&gt;0,'Counter_PnL'!R250&lt;=0,'Counter_PnL'!T250&lt;=0,'Counter_PnL'!AT250&lt;=0,'Counter_PnL'!BE250&lt;=0,'Counter_PnL'!BJ250&lt;=0,'Counter_PnL'!BK250&lt;=0,'Counter_PnL'!BN250&lt;=0),0,1)</x:f>
        <x:v>0</x:v>
      </x:c>
    </x:row>
    <x:row r="251">
      <x:c r="A251" t="str">
        <x:f>'Counter_PnL'!D251</x:f>
        <x:v>CNCT0063</x:v>
      </x:c>
      <x:c r="B251" t="str">
        <x:f>'Counter_PnL'!C251</x:f>
        <x:v>2025 S2</x:v>
      </x:c>
      <x:c r="C251" s="30" t="n">
        <x:f>COUNTIFS('Counter_PnL'!$D$2:$D$641,A251,'Counter_PnL'!$C$2:$C$641,B251)</x:f>
        <x:v>1</x:v>
      </x:c>
      <x:c r="D251" s="79" t="n">
        <x:f>ABS('Counter_PnL'!AC251-SUM('Counter_PnL'!V251:'Counter_PnL'!AB251))</x:f>
        <x:v>0</x:v>
      </x:c>
      <x:c r="E251" s="79" t="n">
        <x:f>ABS('Counter_PnL'!AI251-SUM('Counter_PnL'!R251,'Counter_PnL'!T251,'Counter_PnL'!AC251,'Counter_PnL'!AE251,'Counter_PnL'!AG251,'Counter_PnL'!AH251))</x:f>
        <x:v>0</x:v>
      </x:c>
      <x:c r="F251" s="79" t="n">
        <x:f>ABS('Counter_PnL'!AK251-('Counter_PnL'!Q251+'Counter_PnL'!AI251))</x:f>
        <x:v>0</x:v>
      </x:c>
      <x:c r="G251" s="79" t="n">
        <x:f>ABS('Counter_PnL'!AT251-SUM('Counter_PnL'!AO251:'Counter_PnL'!AS251))</x:f>
        <x:v>0</x:v>
      </x:c>
      <x:c r="H251" s="79" t="n">
        <x:f>ABS('Counter_PnL'!AV251-('Counter_PnL'!AK251+'Counter_PnL'!AT251))</x:f>
        <x:v>0</x:v>
      </x:c>
      <x:c r="I251" s="79" t="n">
        <x:f>ABS('Counter_PnL'!BE251-SUM('Counter_PnL'!AX251:'Counter_PnL'!BB251,'Counter_PnL'!BD251))</x:f>
        <x:v>0</x:v>
      </x:c>
      <x:c r="J251" s="79" t="n">
        <x:f>ABS('Counter_PnL'!BL251-SUM('Counter_PnL'!AV251,'Counter_PnL'!BE251,'Counter_PnL'!BJ251,'Counter_PnL'!BK251))</x:f>
        <x:v>0</x:v>
      </x:c>
      <x:c r="K251" s="79" t="n">
        <x:f>ABS('Counter_PnL'!BO251-('Counter_PnL'!BL251+'Counter_PnL'!BN251))</x:f>
        <x:v>0</x:v>
      </x:c>
      <x:c r="L251" s="79" t="n">
        <x:f>MAX(ABS('Counter_PnL'!AW251-'Counter_PnL'!AV251/'Counter_PnL'!AK251),ABS('Counter_PnL'!BM251-'Counter_PnL'!BL251/'Counter_PnL'!AK251),ABS('Counter_PnL'!BP251-'Counter_PnL'!BO251/'Counter_PnL'!AK251))</x:f>
        <x:v>0</x:v>
      </x:c>
      <x:c r="M251" s="30" t="n">
        <x:f>IF(AND('Counter_PnL'!Q251&gt;0,'Counter_PnL'!AK251&gt;0,'Counter_PnL'!R251&lt;=0,'Counter_PnL'!T251&lt;=0,'Counter_PnL'!AT251&lt;=0,'Counter_PnL'!BE251&lt;=0,'Counter_PnL'!BJ251&lt;=0,'Counter_PnL'!BK251&lt;=0,'Counter_PnL'!BN251&lt;=0),0,1)</x:f>
        <x:v>0</x:v>
      </x:c>
    </x:row>
    <x:row r="252">
      <x:c r="A252" t="str">
        <x:f>'Counter_PnL'!D252</x:f>
        <x:v>CNCT0063</x:v>
      </x:c>
      <x:c r="B252" t="str">
        <x:f>'Counter_PnL'!C252</x:f>
        <x:v>2026 S1</x:v>
      </x:c>
      <x:c r="C252" s="30" t="n">
        <x:f>COUNTIFS('Counter_PnL'!$D$2:$D$641,A252,'Counter_PnL'!$C$2:$C$641,B252)</x:f>
        <x:v>1</x:v>
      </x:c>
      <x:c r="D252" s="79" t="n">
        <x:f>ABS('Counter_PnL'!AC252-SUM('Counter_PnL'!V252:'Counter_PnL'!AB252))</x:f>
        <x:v>0</x:v>
      </x:c>
      <x:c r="E252" s="79" t="n">
        <x:f>ABS('Counter_PnL'!AI252-SUM('Counter_PnL'!R252,'Counter_PnL'!T252,'Counter_PnL'!AC252,'Counter_PnL'!AE252,'Counter_PnL'!AG252,'Counter_PnL'!AH252))</x:f>
        <x:v>0</x:v>
      </x:c>
      <x:c r="F252" s="79" t="n">
        <x:f>ABS('Counter_PnL'!AK252-('Counter_PnL'!Q252+'Counter_PnL'!AI252))</x:f>
        <x:v>0</x:v>
      </x:c>
      <x:c r="G252" s="79" t="n">
        <x:f>ABS('Counter_PnL'!AT252-SUM('Counter_PnL'!AO252:'Counter_PnL'!AS252))</x:f>
        <x:v>0</x:v>
      </x:c>
      <x:c r="H252" s="79" t="n">
        <x:f>ABS('Counter_PnL'!AV252-('Counter_PnL'!AK252+'Counter_PnL'!AT252))</x:f>
        <x:v>0</x:v>
      </x:c>
      <x:c r="I252" s="79" t="n">
        <x:f>ABS('Counter_PnL'!BE252-SUM('Counter_PnL'!AX252:'Counter_PnL'!BB252,'Counter_PnL'!BD252))</x:f>
        <x:v>0</x:v>
      </x:c>
      <x:c r="J252" s="79" t="n">
        <x:f>ABS('Counter_PnL'!BL252-SUM('Counter_PnL'!AV252,'Counter_PnL'!BE252,'Counter_PnL'!BJ252,'Counter_PnL'!BK252))</x:f>
        <x:v>0</x:v>
      </x:c>
      <x:c r="K252" s="79" t="n">
        <x:f>ABS('Counter_PnL'!BO252-('Counter_PnL'!BL252+'Counter_PnL'!BN252))</x:f>
        <x:v>0</x:v>
      </x:c>
      <x:c r="L252" s="79" t="n">
        <x:f>MAX(ABS('Counter_PnL'!AW252-'Counter_PnL'!AV252/'Counter_PnL'!AK252),ABS('Counter_PnL'!BM252-'Counter_PnL'!BL252/'Counter_PnL'!AK252),ABS('Counter_PnL'!BP252-'Counter_PnL'!BO252/'Counter_PnL'!AK252))</x:f>
        <x:v>0</x:v>
      </x:c>
      <x:c r="M252" s="30" t="n">
        <x:f>IF(AND('Counter_PnL'!Q252&gt;0,'Counter_PnL'!AK252&gt;0,'Counter_PnL'!R252&lt;=0,'Counter_PnL'!T252&lt;=0,'Counter_PnL'!AT252&lt;=0,'Counter_PnL'!BE252&lt;=0,'Counter_PnL'!BJ252&lt;=0,'Counter_PnL'!BK252&lt;=0,'Counter_PnL'!BN252&lt;=0),0,1)</x:f>
        <x:v>0</x:v>
      </x:c>
    </x:row>
    <x:row r="253">
      <x:c r="A253" t="str">
        <x:f>'Counter_PnL'!D253</x:f>
        <x:v>CNCT0063</x:v>
      </x:c>
      <x:c r="B253" t="str">
        <x:f>'Counter_PnL'!C253</x:f>
        <x:v>2026 S2</x:v>
      </x:c>
      <x:c r="C253" s="30" t="n">
        <x:f>COUNTIFS('Counter_PnL'!$D$2:$D$641,A253,'Counter_PnL'!$C$2:$C$641,B253)</x:f>
        <x:v>1</x:v>
      </x:c>
      <x:c r="D253" s="79" t="n">
        <x:f>ABS('Counter_PnL'!AC253-SUM('Counter_PnL'!V253:'Counter_PnL'!AB253))</x:f>
        <x:v>0</x:v>
      </x:c>
      <x:c r="E253" s="79" t="n">
        <x:f>ABS('Counter_PnL'!AI253-SUM('Counter_PnL'!R253,'Counter_PnL'!T253,'Counter_PnL'!AC253,'Counter_PnL'!AE253,'Counter_PnL'!AG253,'Counter_PnL'!AH253))</x:f>
        <x:v>0</x:v>
      </x:c>
      <x:c r="F253" s="79" t="n">
        <x:f>ABS('Counter_PnL'!AK253-('Counter_PnL'!Q253+'Counter_PnL'!AI253))</x:f>
        <x:v>0</x:v>
      </x:c>
      <x:c r="G253" s="79" t="n">
        <x:f>ABS('Counter_PnL'!AT253-SUM('Counter_PnL'!AO253:'Counter_PnL'!AS253))</x:f>
        <x:v>0</x:v>
      </x:c>
      <x:c r="H253" s="79" t="n">
        <x:f>ABS('Counter_PnL'!AV253-('Counter_PnL'!AK253+'Counter_PnL'!AT253))</x:f>
        <x:v>0</x:v>
      </x:c>
      <x:c r="I253" s="79" t="n">
        <x:f>ABS('Counter_PnL'!BE253-SUM('Counter_PnL'!AX253:'Counter_PnL'!BB253,'Counter_PnL'!BD253))</x:f>
        <x:v>0</x:v>
      </x:c>
      <x:c r="J253" s="79" t="n">
        <x:f>ABS('Counter_PnL'!BL253-SUM('Counter_PnL'!AV253,'Counter_PnL'!BE253,'Counter_PnL'!BJ253,'Counter_PnL'!BK253))</x:f>
        <x:v>0</x:v>
      </x:c>
      <x:c r="K253" s="79" t="n">
        <x:f>ABS('Counter_PnL'!BO253-('Counter_PnL'!BL253+'Counter_PnL'!BN253))</x:f>
        <x:v>0</x:v>
      </x:c>
      <x:c r="L253" s="79" t="n">
        <x:f>MAX(ABS('Counter_PnL'!AW253-'Counter_PnL'!AV253/'Counter_PnL'!AK253),ABS('Counter_PnL'!BM253-'Counter_PnL'!BL253/'Counter_PnL'!AK253),ABS('Counter_PnL'!BP253-'Counter_PnL'!BO253/'Counter_PnL'!AK253))</x:f>
        <x:v>0</x:v>
      </x:c>
      <x:c r="M253" s="30" t="n">
        <x:f>IF(AND('Counter_PnL'!Q253&gt;0,'Counter_PnL'!AK253&gt;0,'Counter_PnL'!R253&lt;=0,'Counter_PnL'!T253&lt;=0,'Counter_PnL'!AT253&lt;=0,'Counter_PnL'!BE253&lt;=0,'Counter_PnL'!BJ253&lt;=0,'Counter_PnL'!BK253&lt;=0,'Counter_PnL'!BN253&lt;=0),0,1)</x:f>
        <x:v>0</x:v>
      </x:c>
    </x:row>
    <x:row r="254">
      <x:c r="A254" t="str">
        <x:f>'Counter_PnL'!D254</x:f>
        <x:v>CNCT0064</x:v>
      </x:c>
      <x:c r="B254" t="str">
        <x:f>'Counter_PnL'!C254</x:f>
        <x:v>2025 S1</x:v>
      </x:c>
      <x:c r="C254" s="30" t="n">
        <x:f>COUNTIFS('Counter_PnL'!$D$2:$D$641,A254,'Counter_PnL'!$C$2:$C$641,B254)</x:f>
        <x:v>1</x:v>
      </x:c>
      <x:c r="D254" s="79" t="n">
        <x:f>ABS('Counter_PnL'!AC254-SUM('Counter_PnL'!V254:'Counter_PnL'!AB254))</x:f>
        <x:v>0</x:v>
      </x:c>
      <x:c r="E254" s="79" t="n">
        <x:f>ABS('Counter_PnL'!AI254-SUM('Counter_PnL'!R254,'Counter_PnL'!T254,'Counter_PnL'!AC254,'Counter_PnL'!AE254,'Counter_PnL'!AG254,'Counter_PnL'!AH254))</x:f>
        <x:v>0</x:v>
      </x:c>
      <x:c r="F254" s="79" t="n">
        <x:f>ABS('Counter_PnL'!AK254-('Counter_PnL'!Q254+'Counter_PnL'!AI254))</x:f>
        <x:v>0</x:v>
      </x:c>
      <x:c r="G254" s="79" t="n">
        <x:f>ABS('Counter_PnL'!AT254-SUM('Counter_PnL'!AO254:'Counter_PnL'!AS254))</x:f>
        <x:v>0</x:v>
      </x:c>
      <x:c r="H254" s="79" t="n">
        <x:f>ABS('Counter_PnL'!AV254-('Counter_PnL'!AK254+'Counter_PnL'!AT254))</x:f>
        <x:v>0</x:v>
      </x:c>
      <x:c r="I254" s="79" t="n">
        <x:f>ABS('Counter_PnL'!BE254-SUM('Counter_PnL'!AX254:'Counter_PnL'!BB254,'Counter_PnL'!BD254))</x:f>
        <x:v>0</x:v>
      </x:c>
      <x:c r="J254" s="79" t="n">
        <x:f>ABS('Counter_PnL'!BL254-SUM('Counter_PnL'!AV254,'Counter_PnL'!BE254,'Counter_PnL'!BJ254,'Counter_PnL'!BK254))</x:f>
        <x:v>0</x:v>
      </x:c>
      <x:c r="K254" s="79" t="n">
        <x:f>ABS('Counter_PnL'!BO254-('Counter_PnL'!BL254+'Counter_PnL'!BN254))</x:f>
        <x:v>0</x:v>
      </x:c>
      <x:c r="L254" s="79" t="n">
        <x:f>MAX(ABS('Counter_PnL'!AW254-'Counter_PnL'!AV254/'Counter_PnL'!AK254),ABS('Counter_PnL'!BM254-'Counter_PnL'!BL254/'Counter_PnL'!AK254),ABS('Counter_PnL'!BP254-'Counter_PnL'!BO254/'Counter_PnL'!AK254))</x:f>
        <x:v>0</x:v>
      </x:c>
      <x:c r="M254" s="30" t="n">
        <x:f>IF(AND('Counter_PnL'!Q254&gt;0,'Counter_PnL'!AK254&gt;0,'Counter_PnL'!R254&lt;=0,'Counter_PnL'!T254&lt;=0,'Counter_PnL'!AT254&lt;=0,'Counter_PnL'!BE254&lt;=0,'Counter_PnL'!BJ254&lt;=0,'Counter_PnL'!BK254&lt;=0,'Counter_PnL'!BN254&lt;=0),0,1)</x:f>
        <x:v>0</x:v>
      </x:c>
    </x:row>
    <x:row r="255">
      <x:c r="A255" t="str">
        <x:f>'Counter_PnL'!D255</x:f>
        <x:v>CNCT0064</x:v>
      </x:c>
      <x:c r="B255" t="str">
        <x:f>'Counter_PnL'!C255</x:f>
        <x:v>2025 S2</x:v>
      </x:c>
      <x:c r="C255" s="30" t="n">
        <x:f>COUNTIFS('Counter_PnL'!$D$2:$D$641,A255,'Counter_PnL'!$C$2:$C$641,B255)</x:f>
        <x:v>1</x:v>
      </x:c>
      <x:c r="D255" s="79" t="n">
        <x:f>ABS('Counter_PnL'!AC255-SUM('Counter_PnL'!V255:'Counter_PnL'!AB255))</x:f>
        <x:v>0</x:v>
      </x:c>
      <x:c r="E255" s="79" t="n">
        <x:f>ABS('Counter_PnL'!AI255-SUM('Counter_PnL'!R255,'Counter_PnL'!T255,'Counter_PnL'!AC255,'Counter_PnL'!AE255,'Counter_PnL'!AG255,'Counter_PnL'!AH255))</x:f>
        <x:v>0</x:v>
      </x:c>
      <x:c r="F255" s="79" t="n">
        <x:f>ABS('Counter_PnL'!AK255-('Counter_PnL'!Q255+'Counter_PnL'!AI255))</x:f>
        <x:v>0</x:v>
      </x:c>
      <x:c r="G255" s="79" t="n">
        <x:f>ABS('Counter_PnL'!AT255-SUM('Counter_PnL'!AO255:'Counter_PnL'!AS255))</x:f>
        <x:v>0</x:v>
      </x:c>
      <x:c r="H255" s="79" t="n">
        <x:f>ABS('Counter_PnL'!AV255-('Counter_PnL'!AK255+'Counter_PnL'!AT255))</x:f>
        <x:v>0</x:v>
      </x:c>
      <x:c r="I255" s="79" t="n">
        <x:f>ABS('Counter_PnL'!BE255-SUM('Counter_PnL'!AX255:'Counter_PnL'!BB255,'Counter_PnL'!BD255))</x:f>
        <x:v>0</x:v>
      </x:c>
      <x:c r="J255" s="79" t="n">
        <x:f>ABS('Counter_PnL'!BL255-SUM('Counter_PnL'!AV255,'Counter_PnL'!BE255,'Counter_PnL'!BJ255,'Counter_PnL'!BK255))</x:f>
        <x:v>0</x:v>
      </x:c>
      <x:c r="K255" s="79" t="n">
        <x:f>ABS('Counter_PnL'!BO255-('Counter_PnL'!BL255+'Counter_PnL'!BN255))</x:f>
        <x:v>0</x:v>
      </x:c>
      <x:c r="L255" s="79" t="n">
        <x:f>MAX(ABS('Counter_PnL'!AW255-'Counter_PnL'!AV255/'Counter_PnL'!AK255),ABS('Counter_PnL'!BM255-'Counter_PnL'!BL255/'Counter_PnL'!AK255),ABS('Counter_PnL'!BP255-'Counter_PnL'!BO255/'Counter_PnL'!AK255))</x:f>
        <x:v>0</x:v>
      </x:c>
      <x:c r="M255" s="30" t="n">
        <x:f>IF(AND('Counter_PnL'!Q255&gt;0,'Counter_PnL'!AK255&gt;0,'Counter_PnL'!R255&lt;=0,'Counter_PnL'!T255&lt;=0,'Counter_PnL'!AT255&lt;=0,'Counter_PnL'!BE255&lt;=0,'Counter_PnL'!BJ255&lt;=0,'Counter_PnL'!BK255&lt;=0,'Counter_PnL'!BN255&lt;=0),0,1)</x:f>
        <x:v>0</x:v>
      </x:c>
    </x:row>
    <x:row r="256">
      <x:c r="A256" t="str">
        <x:f>'Counter_PnL'!D256</x:f>
        <x:v>CNCT0064</x:v>
      </x:c>
      <x:c r="B256" t="str">
        <x:f>'Counter_PnL'!C256</x:f>
        <x:v>2026 S1</x:v>
      </x:c>
      <x:c r="C256" s="30" t="n">
        <x:f>COUNTIFS('Counter_PnL'!$D$2:$D$641,A256,'Counter_PnL'!$C$2:$C$641,B256)</x:f>
        <x:v>1</x:v>
      </x:c>
      <x:c r="D256" s="79" t="n">
        <x:f>ABS('Counter_PnL'!AC256-SUM('Counter_PnL'!V256:'Counter_PnL'!AB256))</x:f>
        <x:v>0</x:v>
      </x:c>
      <x:c r="E256" s="79" t="n">
        <x:f>ABS('Counter_PnL'!AI256-SUM('Counter_PnL'!R256,'Counter_PnL'!T256,'Counter_PnL'!AC256,'Counter_PnL'!AE256,'Counter_PnL'!AG256,'Counter_PnL'!AH256))</x:f>
        <x:v>0</x:v>
      </x:c>
      <x:c r="F256" s="79" t="n">
        <x:f>ABS('Counter_PnL'!AK256-('Counter_PnL'!Q256+'Counter_PnL'!AI256))</x:f>
        <x:v>0</x:v>
      </x:c>
      <x:c r="G256" s="79" t="n">
        <x:f>ABS('Counter_PnL'!AT256-SUM('Counter_PnL'!AO256:'Counter_PnL'!AS256))</x:f>
        <x:v>0</x:v>
      </x:c>
      <x:c r="H256" s="79" t="n">
        <x:f>ABS('Counter_PnL'!AV256-('Counter_PnL'!AK256+'Counter_PnL'!AT256))</x:f>
        <x:v>0</x:v>
      </x:c>
      <x:c r="I256" s="79" t="n">
        <x:f>ABS('Counter_PnL'!BE256-SUM('Counter_PnL'!AX256:'Counter_PnL'!BB256,'Counter_PnL'!BD256))</x:f>
        <x:v>0</x:v>
      </x:c>
      <x:c r="J256" s="79" t="n">
        <x:f>ABS('Counter_PnL'!BL256-SUM('Counter_PnL'!AV256,'Counter_PnL'!BE256,'Counter_PnL'!BJ256,'Counter_PnL'!BK256))</x:f>
        <x:v>0</x:v>
      </x:c>
      <x:c r="K256" s="79" t="n">
        <x:f>ABS('Counter_PnL'!BO256-('Counter_PnL'!BL256+'Counter_PnL'!BN256))</x:f>
        <x:v>0</x:v>
      </x:c>
      <x:c r="L256" s="79" t="n">
        <x:f>MAX(ABS('Counter_PnL'!AW256-'Counter_PnL'!AV256/'Counter_PnL'!AK256),ABS('Counter_PnL'!BM256-'Counter_PnL'!BL256/'Counter_PnL'!AK256),ABS('Counter_PnL'!BP256-'Counter_PnL'!BO256/'Counter_PnL'!AK256))</x:f>
        <x:v>0</x:v>
      </x:c>
      <x:c r="M256" s="30" t="n">
        <x:f>IF(AND('Counter_PnL'!Q256&gt;0,'Counter_PnL'!AK256&gt;0,'Counter_PnL'!R256&lt;=0,'Counter_PnL'!T256&lt;=0,'Counter_PnL'!AT256&lt;=0,'Counter_PnL'!BE256&lt;=0,'Counter_PnL'!BJ256&lt;=0,'Counter_PnL'!BK256&lt;=0,'Counter_PnL'!BN256&lt;=0),0,1)</x:f>
        <x:v>0</x:v>
      </x:c>
    </x:row>
    <x:row r="257">
      <x:c r="A257" t="str">
        <x:f>'Counter_PnL'!D257</x:f>
        <x:v>CNCT0064</x:v>
      </x:c>
      <x:c r="B257" t="str">
        <x:f>'Counter_PnL'!C257</x:f>
        <x:v>2026 S2</x:v>
      </x:c>
      <x:c r="C257" s="30" t="n">
        <x:f>COUNTIFS('Counter_PnL'!$D$2:$D$641,A257,'Counter_PnL'!$C$2:$C$641,B257)</x:f>
        <x:v>1</x:v>
      </x:c>
      <x:c r="D257" s="79" t="n">
        <x:f>ABS('Counter_PnL'!AC257-SUM('Counter_PnL'!V257:'Counter_PnL'!AB257))</x:f>
        <x:v>0</x:v>
      </x:c>
      <x:c r="E257" s="79" t="n">
        <x:f>ABS('Counter_PnL'!AI257-SUM('Counter_PnL'!R257,'Counter_PnL'!T257,'Counter_PnL'!AC257,'Counter_PnL'!AE257,'Counter_PnL'!AG257,'Counter_PnL'!AH257))</x:f>
        <x:v>0</x:v>
      </x:c>
      <x:c r="F257" s="79" t="n">
        <x:f>ABS('Counter_PnL'!AK257-('Counter_PnL'!Q257+'Counter_PnL'!AI257))</x:f>
        <x:v>0</x:v>
      </x:c>
      <x:c r="G257" s="79" t="n">
        <x:f>ABS('Counter_PnL'!AT257-SUM('Counter_PnL'!AO257:'Counter_PnL'!AS257))</x:f>
        <x:v>0</x:v>
      </x:c>
      <x:c r="H257" s="79" t="n">
        <x:f>ABS('Counter_PnL'!AV257-('Counter_PnL'!AK257+'Counter_PnL'!AT257))</x:f>
        <x:v>0</x:v>
      </x:c>
      <x:c r="I257" s="79" t="n">
        <x:f>ABS('Counter_PnL'!BE257-SUM('Counter_PnL'!AX257:'Counter_PnL'!BB257,'Counter_PnL'!BD257))</x:f>
        <x:v>0</x:v>
      </x:c>
      <x:c r="J257" s="79" t="n">
        <x:f>ABS('Counter_PnL'!BL257-SUM('Counter_PnL'!AV257,'Counter_PnL'!BE257,'Counter_PnL'!BJ257,'Counter_PnL'!BK257))</x:f>
        <x:v>0</x:v>
      </x:c>
      <x:c r="K257" s="79" t="n">
        <x:f>ABS('Counter_PnL'!BO257-('Counter_PnL'!BL257+'Counter_PnL'!BN257))</x:f>
        <x:v>0</x:v>
      </x:c>
      <x:c r="L257" s="79" t="n">
        <x:f>MAX(ABS('Counter_PnL'!AW257-'Counter_PnL'!AV257/'Counter_PnL'!AK257),ABS('Counter_PnL'!BM257-'Counter_PnL'!BL257/'Counter_PnL'!AK257),ABS('Counter_PnL'!BP257-'Counter_PnL'!BO257/'Counter_PnL'!AK257))</x:f>
        <x:v>0</x:v>
      </x:c>
      <x:c r="M257" s="30" t="n">
        <x:f>IF(AND('Counter_PnL'!Q257&gt;0,'Counter_PnL'!AK257&gt;0,'Counter_PnL'!R257&lt;=0,'Counter_PnL'!T257&lt;=0,'Counter_PnL'!AT257&lt;=0,'Counter_PnL'!BE257&lt;=0,'Counter_PnL'!BJ257&lt;=0,'Counter_PnL'!BK257&lt;=0,'Counter_PnL'!BN257&lt;=0),0,1)</x:f>
        <x:v>0</x:v>
      </x:c>
    </x:row>
    <x:row r="258">
      <x:c r="A258" t="str">
        <x:f>'Counter_PnL'!D258</x:f>
        <x:v>CNCT0065</x:v>
      </x:c>
      <x:c r="B258" t="str">
        <x:f>'Counter_PnL'!C258</x:f>
        <x:v>2025 S1</x:v>
      </x:c>
      <x:c r="C258" s="30" t="n">
        <x:f>COUNTIFS('Counter_PnL'!$D$2:$D$641,A258,'Counter_PnL'!$C$2:$C$641,B258)</x:f>
        <x:v>1</x:v>
      </x:c>
      <x:c r="D258" s="79" t="n">
        <x:f>ABS('Counter_PnL'!AC258-SUM('Counter_PnL'!V258:'Counter_PnL'!AB258))</x:f>
        <x:v>0</x:v>
      </x:c>
      <x:c r="E258" s="79" t="n">
        <x:f>ABS('Counter_PnL'!AI258-SUM('Counter_PnL'!R258,'Counter_PnL'!T258,'Counter_PnL'!AC258,'Counter_PnL'!AE258,'Counter_PnL'!AG258,'Counter_PnL'!AH258))</x:f>
        <x:v>0</x:v>
      </x:c>
      <x:c r="F258" s="79" t="n">
        <x:f>ABS('Counter_PnL'!AK258-('Counter_PnL'!Q258+'Counter_PnL'!AI258))</x:f>
        <x:v>0</x:v>
      </x:c>
      <x:c r="G258" s="79" t="n">
        <x:f>ABS('Counter_PnL'!AT258-SUM('Counter_PnL'!AO258:'Counter_PnL'!AS258))</x:f>
        <x:v>0</x:v>
      </x:c>
      <x:c r="H258" s="79" t="n">
        <x:f>ABS('Counter_PnL'!AV258-('Counter_PnL'!AK258+'Counter_PnL'!AT258))</x:f>
        <x:v>0</x:v>
      </x:c>
      <x:c r="I258" s="79" t="n">
        <x:f>ABS('Counter_PnL'!BE258-SUM('Counter_PnL'!AX258:'Counter_PnL'!BB258,'Counter_PnL'!BD258))</x:f>
        <x:v>0</x:v>
      </x:c>
      <x:c r="J258" s="79" t="n">
        <x:f>ABS('Counter_PnL'!BL258-SUM('Counter_PnL'!AV258,'Counter_PnL'!BE258,'Counter_PnL'!BJ258,'Counter_PnL'!BK258))</x:f>
        <x:v>0</x:v>
      </x:c>
      <x:c r="K258" s="79" t="n">
        <x:f>ABS('Counter_PnL'!BO258-('Counter_PnL'!BL258+'Counter_PnL'!BN258))</x:f>
        <x:v>0</x:v>
      </x:c>
      <x:c r="L258" s="79" t="n">
        <x:f>MAX(ABS('Counter_PnL'!AW258-'Counter_PnL'!AV258/'Counter_PnL'!AK258),ABS('Counter_PnL'!BM258-'Counter_PnL'!BL258/'Counter_PnL'!AK258),ABS('Counter_PnL'!BP258-'Counter_PnL'!BO258/'Counter_PnL'!AK258))</x:f>
        <x:v>0</x:v>
      </x:c>
      <x:c r="M258" s="30" t="n">
        <x:f>IF(AND('Counter_PnL'!Q258&gt;0,'Counter_PnL'!AK258&gt;0,'Counter_PnL'!R258&lt;=0,'Counter_PnL'!T258&lt;=0,'Counter_PnL'!AT258&lt;=0,'Counter_PnL'!BE258&lt;=0,'Counter_PnL'!BJ258&lt;=0,'Counter_PnL'!BK258&lt;=0,'Counter_PnL'!BN258&lt;=0),0,1)</x:f>
        <x:v>0</x:v>
      </x:c>
    </x:row>
    <x:row r="259">
      <x:c r="A259" t="str">
        <x:f>'Counter_PnL'!D259</x:f>
        <x:v>CNCT0065</x:v>
      </x:c>
      <x:c r="B259" t="str">
        <x:f>'Counter_PnL'!C259</x:f>
        <x:v>2025 S2</x:v>
      </x:c>
      <x:c r="C259" s="30" t="n">
        <x:f>COUNTIFS('Counter_PnL'!$D$2:$D$641,A259,'Counter_PnL'!$C$2:$C$641,B259)</x:f>
        <x:v>1</x:v>
      </x:c>
      <x:c r="D259" s="79" t="n">
        <x:f>ABS('Counter_PnL'!AC259-SUM('Counter_PnL'!V259:'Counter_PnL'!AB259))</x:f>
        <x:v>0</x:v>
      </x:c>
      <x:c r="E259" s="79" t="n">
        <x:f>ABS('Counter_PnL'!AI259-SUM('Counter_PnL'!R259,'Counter_PnL'!T259,'Counter_PnL'!AC259,'Counter_PnL'!AE259,'Counter_PnL'!AG259,'Counter_PnL'!AH259))</x:f>
        <x:v>0</x:v>
      </x:c>
      <x:c r="F259" s="79" t="n">
        <x:f>ABS('Counter_PnL'!AK259-('Counter_PnL'!Q259+'Counter_PnL'!AI259))</x:f>
        <x:v>0</x:v>
      </x:c>
      <x:c r="G259" s="79" t="n">
        <x:f>ABS('Counter_PnL'!AT259-SUM('Counter_PnL'!AO259:'Counter_PnL'!AS259))</x:f>
        <x:v>0</x:v>
      </x:c>
      <x:c r="H259" s="79" t="n">
        <x:f>ABS('Counter_PnL'!AV259-('Counter_PnL'!AK259+'Counter_PnL'!AT259))</x:f>
        <x:v>0</x:v>
      </x:c>
      <x:c r="I259" s="79" t="n">
        <x:f>ABS('Counter_PnL'!BE259-SUM('Counter_PnL'!AX259:'Counter_PnL'!BB259,'Counter_PnL'!BD259))</x:f>
        <x:v>0</x:v>
      </x:c>
      <x:c r="J259" s="79" t="n">
        <x:f>ABS('Counter_PnL'!BL259-SUM('Counter_PnL'!AV259,'Counter_PnL'!BE259,'Counter_PnL'!BJ259,'Counter_PnL'!BK259))</x:f>
        <x:v>0</x:v>
      </x:c>
      <x:c r="K259" s="79" t="n">
        <x:f>ABS('Counter_PnL'!BO259-('Counter_PnL'!BL259+'Counter_PnL'!BN259))</x:f>
        <x:v>0</x:v>
      </x:c>
      <x:c r="L259" s="79" t="n">
        <x:f>MAX(ABS('Counter_PnL'!AW259-'Counter_PnL'!AV259/'Counter_PnL'!AK259),ABS('Counter_PnL'!BM259-'Counter_PnL'!BL259/'Counter_PnL'!AK259),ABS('Counter_PnL'!BP259-'Counter_PnL'!BO259/'Counter_PnL'!AK259))</x:f>
        <x:v>0</x:v>
      </x:c>
      <x:c r="M259" s="30" t="n">
        <x:f>IF(AND('Counter_PnL'!Q259&gt;0,'Counter_PnL'!AK259&gt;0,'Counter_PnL'!R259&lt;=0,'Counter_PnL'!T259&lt;=0,'Counter_PnL'!AT259&lt;=0,'Counter_PnL'!BE259&lt;=0,'Counter_PnL'!BJ259&lt;=0,'Counter_PnL'!BK259&lt;=0,'Counter_PnL'!BN259&lt;=0),0,1)</x:f>
        <x:v>0</x:v>
      </x:c>
    </x:row>
    <x:row r="260">
      <x:c r="A260" t="str">
        <x:f>'Counter_PnL'!D260</x:f>
        <x:v>CNCT0065</x:v>
      </x:c>
      <x:c r="B260" t="str">
        <x:f>'Counter_PnL'!C260</x:f>
        <x:v>2026 S1</x:v>
      </x:c>
      <x:c r="C260" s="30" t="n">
        <x:f>COUNTIFS('Counter_PnL'!$D$2:$D$641,A260,'Counter_PnL'!$C$2:$C$641,B260)</x:f>
        <x:v>1</x:v>
      </x:c>
      <x:c r="D260" s="79" t="n">
        <x:f>ABS('Counter_PnL'!AC260-SUM('Counter_PnL'!V260:'Counter_PnL'!AB260))</x:f>
        <x:v>0</x:v>
      </x:c>
      <x:c r="E260" s="79" t="n">
        <x:f>ABS('Counter_PnL'!AI260-SUM('Counter_PnL'!R260,'Counter_PnL'!T260,'Counter_PnL'!AC260,'Counter_PnL'!AE260,'Counter_PnL'!AG260,'Counter_PnL'!AH260))</x:f>
        <x:v>0</x:v>
      </x:c>
      <x:c r="F260" s="79" t="n">
        <x:f>ABS('Counter_PnL'!AK260-('Counter_PnL'!Q260+'Counter_PnL'!AI260))</x:f>
        <x:v>0</x:v>
      </x:c>
      <x:c r="G260" s="79" t="n">
        <x:f>ABS('Counter_PnL'!AT260-SUM('Counter_PnL'!AO260:'Counter_PnL'!AS260))</x:f>
        <x:v>0</x:v>
      </x:c>
      <x:c r="H260" s="79" t="n">
        <x:f>ABS('Counter_PnL'!AV260-('Counter_PnL'!AK260+'Counter_PnL'!AT260))</x:f>
        <x:v>0</x:v>
      </x:c>
      <x:c r="I260" s="79" t="n">
        <x:f>ABS('Counter_PnL'!BE260-SUM('Counter_PnL'!AX260:'Counter_PnL'!BB260,'Counter_PnL'!BD260))</x:f>
        <x:v>0</x:v>
      </x:c>
      <x:c r="J260" s="79" t="n">
        <x:f>ABS('Counter_PnL'!BL260-SUM('Counter_PnL'!AV260,'Counter_PnL'!BE260,'Counter_PnL'!BJ260,'Counter_PnL'!BK260))</x:f>
        <x:v>0</x:v>
      </x:c>
      <x:c r="K260" s="79" t="n">
        <x:f>ABS('Counter_PnL'!BO260-('Counter_PnL'!BL260+'Counter_PnL'!BN260))</x:f>
        <x:v>0</x:v>
      </x:c>
      <x:c r="L260" s="79" t="n">
        <x:f>MAX(ABS('Counter_PnL'!AW260-'Counter_PnL'!AV260/'Counter_PnL'!AK260),ABS('Counter_PnL'!BM260-'Counter_PnL'!BL260/'Counter_PnL'!AK260),ABS('Counter_PnL'!BP260-'Counter_PnL'!BO260/'Counter_PnL'!AK260))</x:f>
        <x:v>0</x:v>
      </x:c>
      <x:c r="M260" s="30" t="n">
        <x:f>IF(AND('Counter_PnL'!Q260&gt;0,'Counter_PnL'!AK260&gt;0,'Counter_PnL'!R260&lt;=0,'Counter_PnL'!T260&lt;=0,'Counter_PnL'!AT260&lt;=0,'Counter_PnL'!BE260&lt;=0,'Counter_PnL'!BJ260&lt;=0,'Counter_PnL'!BK260&lt;=0,'Counter_PnL'!BN260&lt;=0),0,1)</x:f>
        <x:v>0</x:v>
      </x:c>
    </x:row>
    <x:row r="261">
      <x:c r="A261" t="str">
        <x:f>'Counter_PnL'!D261</x:f>
        <x:v>CNCT0065</x:v>
      </x:c>
      <x:c r="B261" t="str">
        <x:f>'Counter_PnL'!C261</x:f>
        <x:v>2026 S2</x:v>
      </x:c>
      <x:c r="C261" s="30" t="n">
        <x:f>COUNTIFS('Counter_PnL'!$D$2:$D$641,A261,'Counter_PnL'!$C$2:$C$641,B261)</x:f>
        <x:v>1</x:v>
      </x:c>
      <x:c r="D261" s="79" t="n">
        <x:f>ABS('Counter_PnL'!AC261-SUM('Counter_PnL'!V261:'Counter_PnL'!AB261))</x:f>
        <x:v>0</x:v>
      </x:c>
      <x:c r="E261" s="79" t="n">
        <x:f>ABS('Counter_PnL'!AI261-SUM('Counter_PnL'!R261,'Counter_PnL'!T261,'Counter_PnL'!AC261,'Counter_PnL'!AE261,'Counter_PnL'!AG261,'Counter_PnL'!AH261))</x:f>
        <x:v>0</x:v>
      </x:c>
      <x:c r="F261" s="79" t="n">
        <x:f>ABS('Counter_PnL'!AK261-('Counter_PnL'!Q261+'Counter_PnL'!AI261))</x:f>
        <x:v>0</x:v>
      </x:c>
      <x:c r="G261" s="79" t="n">
        <x:f>ABS('Counter_PnL'!AT261-SUM('Counter_PnL'!AO261:'Counter_PnL'!AS261))</x:f>
        <x:v>0</x:v>
      </x:c>
      <x:c r="H261" s="79" t="n">
        <x:f>ABS('Counter_PnL'!AV261-('Counter_PnL'!AK261+'Counter_PnL'!AT261))</x:f>
        <x:v>0</x:v>
      </x:c>
      <x:c r="I261" s="79" t="n">
        <x:f>ABS('Counter_PnL'!BE261-SUM('Counter_PnL'!AX261:'Counter_PnL'!BB261,'Counter_PnL'!BD261))</x:f>
        <x:v>0</x:v>
      </x:c>
      <x:c r="J261" s="79" t="n">
        <x:f>ABS('Counter_PnL'!BL261-SUM('Counter_PnL'!AV261,'Counter_PnL'!BE261,'Counter_PnL'!BJ261,'Counter_PnL'!BK261))</x:f>
        <x:v>0</x:v>
      </x:c>
      <x:c r="K261" s="79" t="n">
        <x:f>ABS('Counter_PnL'!BO261-('Counter_PnL'!BL261+'Counter_PnL'!BN261))</x:f>
        <x:v>0</x:v>
      </x:c>
      <x:c r="L261" s="79" t="n">
        <x:f>MAX(ABS('Counter_PnL'!AW261-'Counter_PnL'!AV261/'Counter_PnL'!AK261),ABS('Counter_PnL'!BM261-'Counter_PnL'!BL261/'Counter_PnL'!AK261),ABS('Counter_PnL'!BP261-'Counter_PnL'!BO261/'Counter_PnL'!AK261))</x:f>
        <x:v>0</x:v>
      </x:c>
      <x:c r="M261" s="30" t="n">
        <x:f>IF(AND('Counter_PnL'!Q261&gt;0,'Counter_PnL'!AK261&gt;0,'Counter_PnL'!R261&lt;=0,'Counter_PnL'!T261&lt;=0,'Counter_PnL'!AT261&lt;=0,'Counter_PnL'!BE261&lt;=0,'Counter_PnL'!BJ261&lt;=0,'Counter_PnL'!BK261&lt;=0,'Counter_PnL'!BN261&lt;=0),0,1)</x:f>
        <x:v>0</x:v>
      </x:c>
    </x:row>
    <x:row r="262">
      <x:c r="A262" t="str">
        <x:f>'Counter_PnL'!D262</x:f>
        <x:v>CNCT0066</x:v>
      </x:c>
      <x:c r="B262" t="str">
        <x:f>'Counter_PnL'!C262</x:f>
        <x:v>2025 S1</x:v>
      </x:c>
      <x:c r="C262" s="30" t="n">
        <x:f>COUNTIFS('Counter_PnL'!$D$2:$D$641,A262,'Counter_PnL'!$C$2:$C$641,B262)</x:f>
        <x:v>1</x:v>
      </x:c>
      <x:c r="D262" s="79" t="n">
        <x:f>ABS('Counter_PnL'!AC262-SUM('Counter_PnL'!V262:'Counter_PnL'!AB262))</x:f>
        <x:v>0</x:v>
      </x:c>
      <x:c r="E262" s="79" t="n">
        <x:f>ABS('Counter_PnL'!AI262-SUM('Counter_PnL'!R262,'Counter_PnL'!T262,'Counter_PnL'!AC262,'Counter_PnL'!AE262,'Counter_PnL'!AG262,'Counter_PnL'!AH262))</x:f>
        <x:v>0</x:v>
      </x:c>
      <x:c r="F262" s="79" t="n">
        <x:f>ABS('Counter_PnL'!AK262-('Counter_PnL'!Q262+'Counter_PnL'!AI262))</x:f>
        <x:v>0</x:v>
      </x:c>
      <x:c r="G262" s="79" t="n">
        <x:f>ABS('Counter_PnL'!AT262-SUM('Counter_PnL'!AO262:'Counter_PnL'!AS262))</x:f>
        <x:v>0</x:v>
      </x:c>
      <x:c r="H262" s="79" t="n">
        <x:f>ABS('Counter_PnL'!AV262-('Counter_PnL'!AK262+'Counter_PnL'!AT262))</x:f>
        <x:v>0</x:v>
      </x:c>
      <x:c r="I262" s="79" t="n">
        <x:f>ABS('Counter_PnL'!BE262-SUM('Counter_PnL'!AX262:'Counter_PnL'!BB262,'Counter_PnL'!BD262))</x:f>
        <x:v>0</x:v>
      </x:c>
      <x:c r="J262" s="79" t="n">
        <x:f>ABS('Counter_PnL'!BL262-SUM('Counter_PnL'!AV262,'Counter_PnL'!BE262,'Counter_PnL'!BJ262,'Counter_PnL'!BK262))</x:f>
        <x:v>0</x:v>
      </x:c>
      <x:c r="K262" s="79" t="n">
        <x:f>ABS('Counter_PnL'!BO262-('Counter_PnL'!BL262+'Counter_PnL'!BN262))</x:f>
        <x:v>0</x:v>
      </x:c>
      <x:c r="L262" s="79" t="n">
        <x:f>MAX(ABS('Counter_PnL'!AW262-'Counter_PnL'!AV262/'Counter_PnL'!AK262),ABS('Counter_PnL'!BM262-'Counter_PnL'!BL262/'Counter_PnL'!AK262),ABS('Counter_PnL'!BP262-'Counter_PnL'!BO262/'Counter_PnL'!AK262))</x:f>
        <x:v>0</x:v>
      </x:c>
      <x:c r="M262" s="30" t="n">
        <x:f>IF(AND('Counter_PnL'!Q262&gt;0,'Counter_PnL'!AK262&gt;0,'Counter_PnL'!R262&lt;=0,'Counter_PnL'!T262&lt;=0,'Counter_PnL'!AT262&lt;=0,'Counter_PnL'!BE262&lt;=0,'Counter_PnL'!BJ262&lt;=0,'Counter_PnL'!BK262&lt;=0,'Counter_PnL'!BN262&lt;=0),0,1)</x:f>
        <x:v>0</x:v>
      </x:c>
    </x:row>
    <x:row r="263">
      <x:c r="A263" t="str">
        <x:f>'Counter_PnL'!D263</x:f>
        <x:v>CNCT0066</x:v>
      </x:c>
      <x:c r="B263" t="str">
        <x:f>'Counter_PnL'!C263</x:f>
        <x:v>2025 S2</x:v>
      </x:c>
      <x:c r="C263" s="30" t="n">
        <x:f>COUNTIFS('Counter_PnL'!$D$2:$D$641,A263,'Counter_PnL'!$C$2:$C$641,B263)</x:f>
        <x:v>1</x:v>
      </x:c>
      <x:c r="D263" s="79" t="n">
        <x:f>ABS('Counter_PnL'!AC263-SUM('Counter_PnL'!V263:'Counter_PnL'!AB263))</x:f>
        <x:v>0</x:v>
      </x:c>
      <x:c r="E263" s="79" t="n">
        <x:f>ABS('Counter_PnL'!AI263-SUM('Counter_PnL'!R263,'Counter_PnL'!T263,'Counter_PnL'!AC263,'Counter_PnL'!AE263,'Counter_PnL'!AG263,'Counter_PnL'!AH263))</x:f>
        <x:v>0</x:v>
      </x:c>
      <x:c r="F263" s="79" t="n">
        <x:f>ABS('Counter_PnL'!AK263-('Counter_PnL'!Q263+'Counter_PnL'!AI263))</x:f>
        <x:v>0</x:v>
      </x:c>
      <x:c r="G263" s="79" t="n">
        <x:f>ABS('Counter_PnL'!AT263-SUM('Counter_PnL'!AO263:'Counter_PnL'!AS263))</x:f>
        <x:v>0</x:v>
      </x:c>
      <x:c r="H263" s="79" t="n">
        <x:f>ABS('Counter_PnL'!AV263-('Counter_PnL'!AK263+'Counter_PnL'!AT263))</x:f>
        <x:v>0</x:v>
      </x:c>
      <x:c r="I263" s="79" t="n">
        <x:f>ABS('Counter_PnL'!BE263-SUM('Counter_PnL'!AX263:'Counter_PnL'!BB263,'Counter_PnL'!BD263))</x:f>
        <x:v>0</x:v>
      </x:c>
      <x:c r="J263" s="79" t="n">
        <x:f>ABS('Counter_PnL'!BL263-SUM('Counter_PnL'!AV263,'Counter_PnL'!BE263,'Counter_PnL'!BJ263,'Counter_PnL'!BK263))</x:f>
        <x:v>0</x:v>
      </x:c>
      <x:c r="K263" s="79" t="n">
        <x:f>ABS('Counter_PnL'!BO263-('Counter_PnL'!BL263+'Counter_PnL'!BN263))</x:f>
        <x:v>0</x:v>
      </x:c>
      <x:c r="L263" s="79" t="n">
        <x:f>MAX(ABS('Counter_PnL'!AW263-'Counter_PnL'!AV263/'Counter_PnL'!AK263),ABS('Counter_PnL'!BM263-'Counter_PnL'!BL263/'Counter_PnL'!AK263),ABS('Counter_PnL'!BP263-'Counter_PnL'!BO263/'Counter_PnL'!AK263))</x:f>
        <x:v>0</x:v>
      </x:c>
      <x:c r="M263" s="30" t="n">
        <x:f>IF(AND('Counter_PnL'!Q263&gt;0,'Counter_PnL'!AK263&gt;0,'Counter_PnL'!R263&lt;=0,'Counter_PnL'!T263&lt;=0,'Counter_PnL'!AT263&lt;=0,'Counter_PnL'!BE263&lt;=0,'Counter_PnL'!BJ263&lt;=0,'Counter_PnL'!BK263&lt;=0,'Counter_PnL'!BN263&lt;=0),0,1)</x:f>
        <x:v>0</x:v>
      </x:c>
    </x:row>
    <x:row r="264">
      <x:c r="A264" t="str">
        <x:f>'Counter_PnL'!D264</x:f>
        <x:v>CNCT0066</x:v>
      </x:c>
      <x:c r="B264" t="str">
        <x:f>'Counter_PnL'!C264</x:f>
        <x:v>2026 S1</x:v>
      </x:c>
      <x:c r="C264" s="30" t="n">
        <x:f>COUNTIFS('Counter_PnL'!$D$2:$D$641,A264,'Counter_PnL'!$C$2:$C$641,B264)</x:f>
        <x:v>1</x:v>
      </x:c>
      <x:c r="D264" s="79" t="n">
        <x:f>ABS('Counter_PnL'!AC264-SUM('Counter_PnL'!V264:'Counter_PnL'!AB264))</x:f>
        <x:v>0</x:v>
      </x:c>
      <x:c r="E264" s="79" t="n">
        <x:f>ABS('Counter_PnL'!AI264-SUM('Counter_PnL'!R264,'Counter_PnL'!T264,'Counter_PnL'!AC264,'Counter_PnL'!AE264,'Counter_PnL'!AG264,'Counter_PnL'!AH264))</x:f>
        <x:v>0</x:v>
      </x:c>
      <x:c r="F264" s="79" t="n">
        <x:f>ABS('Counter_PnL'!AK264-('Counter_PnL'!Q264+'Counter_PnL'!AI264))</x:f>
        <x:v>0</x:v>
      </x:c>
      <x:c r="G264" s="79" t="n">
        <x:f>ABS('Counter_PnL'!AT264-SUM('Counter_PnL'!AO264:'Counter_PnL'!AS264))</x:f>
        <x:v>0</x:v>
      </x:c>
      <x:c r="H264" s="79" t="n">
        <x:f>ABS('Counter_PnL'!AV264-('Counter_PnL'!AK264+'Counter_PnL'!AT264))</x:f>
        <x:v>0</x:v>
      </x:c>
      <x:c r="I264" s="79" t="n">
        <x:f>ABS('Counter_PnL'!BE264-SUM('Counter_PnL'!AX264:'Counter_PnL'!BB264,'Counter_PnL'!BD264))</x:f>
        <x:v>0</x:v>
      </x:c>
      <x:c r="J264" s="79" t="n">
        <x:f>ABS('Counter_PnL'!BL264-SUM('Counter_PnL'!AV264,'Counter_PnL'!BE264,'Counter_PnL'!BJ264,'Counter_PnL'!BK264))</x:f>
        <x:v>0</x:v>
      </x:c>
      <x:c r="K264" s="79" t="n">
        <x:f>ABS('Counter_PnL'!BO264-('Counter_PnL'!BL264+'Counter_PnL'!BN264))</x:f>
        <x:v>0</x:v>
      </x:c>
      <x:c r="L264" s="79" t="n">
        <x:f>MAX(ABS('Counter_PnL'!AW264-'Counter_PnL'!AV264/'Counter_PnL'!AK264),ABS('Counter_PnL'!BM264-'Counter_PnL'!BL264/'Counter_PnL'!AK264),ABS('Counter_PnL'!BP264-'Counter_PnL'!BO264/'Counter_PnL'!AK264))</x:f>
        <x:v>0</x:v>
      </x:c>
      <x:c r="M264" s="30" t="n">
        <x:f>IF(AND('Counter_PnL'!Q264&gt;0,'Counter_PnL'!AK264&gt;0,'Counter_PnL'!R264&lt;=0,'Counter_PnL'!T264&lt;=0,'Counter_PnL'!AT264&lt;=0,'Counter_PnL'!BE264&lt;=0,'Counter_PnL'!BJ264&lt;=0,'Counter_PnL'!BK264&lt;=0,'Counter_PnL'!BN264&lt;=0),0,1)</x:f>
        <x:v>0</x:v>
      </x:c>
    </x:row>
    <x:row r="265">
      <x:c r="A265" t="str">
        <x:f>'Counter_PnL'!D265</x:f>
        <x:v>CNCT0066</x:v>
      </x:c>
      <x:c r="B265" t="str">
        <x:f>'Counter_PnL'!C265</x:f>
        <x:v>2026 S2</x:v>
      </x:c>
      <x:c r="C265" s="30" t="n">
        <x:f>COUNTIFS('Counter_PnL'!$D$2:$D$641,A265,'Counter_PnL'!$C$2:$C$641,B265)</x:f>
        <x:v>1</x:v>
      </x:c>
      <x:c r="D265" s="79" t="n">
        <x:f>ABS('Counter_PnL'!AC265-SUM('Counter_PnL'!V265:'Counter_PnL'!AB265))</x:f>
        <x:v>0</x:v>
      </x:c>
      <x:c r="E265" s="79" t="n">
        <x:f>ABS('Counter_PnL'!AI265-SUM('Counter_PnL'!R265,'Counter_PnL'!T265,'Counter_PnL'!AC265,'Counter_PnL'!AE265,'Counter_PnL'!AG265,'Counter_PnL'!AH265))</x:f>
        <x:v>0</x:v>
      </x:c>
      <x:c r="F265" s="79" t="n">
        <x:f>ABS('Counter_PnL'!AK265-('Counter_PnL'!Q265+'Counter_PnL'!AI265))</x:f>
        <x:v>0</x:v>
      </x:c>
      <x:c r="G265" s="79" t="n">
        <x:f>ABS('Counter_PnL'!AT265-SUM('Counter_PnL'!AO265:'Counter_PnL'!AS265))</x:f>
        <x:v>0</x:v>
      </x:c>
      <x:c r="H265" s="79" t="n">
        <x:f>ABS('Counter_PnL'!AV265-('Counter_PnL'!AK265+'Counter_PnL'!AT265))</x:f>
        <x:v>0</x:v>
      </x:c>
      <x:c r="I265" s="79" t="n">
        <x:f>ABS('Counter_PnL'!BE265-SUM('Counter_PnL'!AX265:'Counter_PnL'!BB265,'Counter_PnL'!BD265))</x:f>
        <x:v>0</x:v>
      </x:c>
      <x:c r="J265" s="79" t="n">
        <x:f>ABS('Counter_PnL'!BL265-SUM('Counter_PnL'!AV265,'Counter_PnL'!BE265,'Counter_PnL'!BJ265,'Counter_PnL'!BK265))</x:f>
        <x:v>0</x:v>
      </x:c>
      <x:c r="K265" s="79" t="n">
        <x:f>ABS('Counter_PnL'!BO265-('Counter_PnL'!BL265+'Counter_PnL'!BN265))</x:f>
        <x:v>0</x:v>
      </x:c>
      <x:c r="L265" s="79" t="n">
        <x:f>MAX(ABS('Counter_PnL'!AW265-'Counter_PnL'!AV265/'Counter_PnL'!AK265),ABS('Counter_PnL'!BM265-'Counter_PnL'!BL265/'Counter_PnL'!AK265),ABS('Counter_PnL'!BP265-'Counter_PnL'!BO265/'Counter_PnL'!AK265))</x:f>
        <x:v>0</x:v>
      </x:c>
      <x:c r="M265" s="30" t="n">
        <x:f>IF(AND('Counter_PnL'!Q265&gt;0,'Counter_PnL'!AK265&gt;0,'Counter_PnL'!R265&lt;=0,'Counter_PnL'!T265&lt;=0,'Counter_PnL'!AT265&lt;=0,'Counter_PnL'!BE265&lt;=0,'Counter_PnL'!BJ265&lt;=0,'Counter_PnL'!BK265&lt;=0,'Counter_PnL'!BN265&lt;=0),0,1)</x:f>
        <x:v>0</x:v>
      </x:c>
    </x:row>
    <x:row r="266">
      <x:c r="A266" t="str">
        <x:f>'Counter_PnL'!D266</x:f>
        <x:v>CNCT0067</x:v>
      </x:c>
      <x:c r="B266" t="str">
        <x:f>'Counter_PnL'!C266</x:f>
        <x:v>2025 S1</x:v>
      </x:c>
      <x:c r="C266" s="30" t="n">
        <x:f>COUNTIFS('Counter_PnL'!$D$2:$D$641,A266,'Counter_PnL'!$C$2:$C$641,B266)</x:f>
        <x:v>1</x:v>
      </x:c>
      <x:c r="D266" s="79" t="n">
        <x:f>ABS('Counter_PnL'!AC266-SUM('Counter_PnL'!V266:'Counter_PnL'!AB266))</x:f>
        <x:v>0</x:v>
      </x:c>
      <x:c r="E266" s="79" t="n">
        <x:f>ABS('Counter_PnL'!AI266-SUM('Counter_PnL'!R266,'Counter_PnL'!T266,'Counter_PnL'!AC266,'Counter_PnL'!AE266,'Counter_PnL'!AG266,'Counter_PnL'!AH266))</x:f>
        <x:v>0</x:v>
      </x:c>
      <x:c r="F266" s="79" t="n">
        <x:f>ABS('Counter_PnL'!AK266-('Counter_PnL'!Q266+'Counter_PnL'!AI266))</x:f>
        <x:v>0</x:v>
      </x:c>
      <x:c r="G266" s="79" t="n">
        <x:f>ABS('Counter_PnL'!AT266-SUM('Counter_PnL'!AO266:'Counter_PnL'!AS266))</x:f>
        <x:v>0</x:v>
      </x:c>
      <x:c r="H266" s="79" t="n">
        <x:f>ABS('Counter_PnL'!AV266-('Counter_PnL'!AK266+'Counter_PnL'!AT266))</x:f>
        <x:v>0</x:v>
      </x:c>
      <x:c r="I266" s="79" t="n">
        <x:f>ABS('Counter_PnL'!BE266-SUM('Counter_PnL'!AX266:'Counter_PnL'!BB266,'Counter_PnL'!BD266))</x:f>
        <x:v>0</x:v>
      </x:c>
      <x:c r="J266" s="79" t="n">
        <x:f>ABS('Counter_PnL'!BL266-SUM('Counter_PnL'!AV266,'Counter_PnL'!BE266,'Counter_PnL'!BJ266,'Counter_PnL'!BK266))</x:f>
        <x:v>0</x:v>
      </x:c>
      <x:c r="K266" s="79" t="n">
        <x:f>ABS('Counter_PnL'!BO266-('Counter_PnL'!BL266+'Counter_PnL'!BN266))</x:f>
        <x:v>0</x:v>
      </x:c>
      <x:c r="L266" s="79" t="n">
        <x:f>MAX(ABS('Counter_PnL'!AW266-'Counter_PnL'!AV266/'Counter_PnL'!AK266),ABS('Counter_PnL'!BM266-'Counter_PnL'!BL266/'Counter_PnL'!AK266),ABS('Counter_PnL'!BP266-'Counter_PnL'!BO266/'Counter_PnL'!AK266))</x:f>
        <x:v>0</x:v>
      </x:c>
      <x:c r="M266" s="30" t="n">
        <x:f>IF(AND('Counter_PnL'!Q266&gt;0,'Counter_PnL'!AK266&gt;0,'Counter_PnL'!R266&lt;=0,'Counter_PnL'!T266&lt;=0,'Counter_PnL'!AT266&lt;=0,'Counter_PnL'!BE266&lt;=0,'Counter_PnL'!BJ266&lt;=0,'Counter_PnL'!BK266&lt;=0,'Counter_PnL'!BN266&lt;=0),0,1)</x:f>
        <x:v>0</x:v>
      </x:c>
    </x:row>
    <x:row r="267">
      <x:c r="A267" t="str">
        <x:f>'Counter_PnL'!D267</x:f>
        <x:v>CNCT0067</x:v>
      </x:c>
      <x:c r="B267" t="str">
        <x:f>'Counter_PnL'!C267</x:f>
        <x:v>2025 S2</x:v>
      </x:c>
      <x:c r="C267" s="30" t="n">
        <x:f>COUNTIFS('Counter_PnL'!$D$2:$D$641,A267,'Counter_PnL'!$C$2:$C$641,B267)</x:f>
        <x:v>1</x:v>
      </x:c>
      <x:c r="D267" s="79" t="n">
        <x:f>ABS('Counter_PnL'!AC267-SUM('Counter_PnL'!V267:'Counter_PnL'!AB267))</x:f>
        <x:v>0</x:v>
      </x:c>
      <x:c r="E267" s="79" t="n">
        <x:f>ABS('Counter_PnL'!AI267-SUM('Counter_PnL'!R267,'Counter_PnL'!T267,'Counter_PnL'!AC267,'Counter_PnL'!AE267,'Counter_PnL'!AG267,'Counter_PnL'!AH267))</x:f>
        <x:v>0</x:v>
      </x:c>
      <x:c r="F267" s="79" t="n">
        <x:f>ABS('Counter_PnL'!AK267-('Counter_PnL'!Q267+'Counter_PnL'!AI267))</x:f>
        <x:v>0</x:v>
      </x:c>
      <x:c r="G267" s="79" t="n">
        <x:f>ABS('Counter_PnL'!AT267-SUM('Counter_PnL'!AO267:'Counter_PnL'!AS267))</x:f>
        <x:v>0</x:v>
      </x:c>
      <x:c r="H267" s="79" t="n">
        <x:f>ABS('Counter_PnL'!AV267-('Counter_PnL'!AK267+'Counter_PnL'!AT267))</x:f>
        <x:v>0</x:v>
      </x:c>
      <x:c r="I267" s="79" t="n">
        <x:f>ABS('Counter_PnL'!BE267-SUM('Counter_PnL'!AX267:'Counter_PnL'!BB267,'Counter_PnL'!BD267))</x:f>
        <x:v>0</x:v>
      </x:c>
      <x:c r="J267" s="79" t="n">
        <x:f>ABS('Counter_PnL'!BL267-SUM('Counter_PnL'!AV267,'Counter_PnL'!BE267,'Counter_PnL'!BJ267,'Counter_PnL'!BK267))</x:f>
        <x:v>0</x:v>
      </x:c>
      <x:c r="K267" s="79" t="n">
        <x:f>ABS('Counter_PnL'!BO267-('Counter_PnL'!BL267+'Counter_PnL'!BN267))</x:f>
        <x:v>0</x:v>
      </x:c>
      <x:c r="L267" s="79" t="n">
        <x:f>MAX(ABS('Counter_PnL'!AW267-'Counter_PnL'!AV267/'Counter_PnL'!AK267),ABS('Counter_PnL'!BM267-'Counter_PnL'!BL267/'Counter_PnL'!AK267),ABS('Counter_PnL'!BP267-'Counter_PnL'!BO267/'Counter_PnL'!AK267))</x:f>
        <x:v>0</x:v>
      </x:c>
      <x:c r="M267" s="30" t="n">
        <x:f>IF(AND('Counter_PnL'!Q267&gt;0,'Counter_PnL'!AK267&gt;0,'Counter_PnL'!R267&lt;=0,'Counter_PnL'!T267&lt;=0,'Counter_PnL'!AT267&lt;=0,'Counter_PnL'!BE267&lt;=0,'Counter_PnL'!BJ267&lt;=0,'Counter_PnL'!BK267&lt;=0,'Counter_PnL'!BN267&lt;=0),0,1)</x:f>
        <x:v>0</x:v>
      </x:c>
    </x:row>
    <x:row r="268">
      <x:c r="A268" t="str">
        <x:f>'Counter_PnL'!D268</x:f>
        <x:v>CNCT0067</x:v>
      </x:c>
      <x:c r="B268" t="str">
        <x:f>'Counter_PnL'!C268</x:f>
        <x:v>2026 S1</x:v>
      </x:c>
      <x:c r="C268" s="30" t="n">
        <x:f>COUNTIFS('Counter_PnL'!$D$2:$D$641,A268,'Counter_PnL'!$C$2:$C$641,B268)</x:f>
        <x:v>1</x:v>
      </x:c>
      <x:c r="D268" s="79" t="n">
        <x:f>ABS('Counter_PnL'!AC268-SUM('Counter_PnL'!V268:'Counter_PnL'!AB268))</x:f>
        <x:v>0</x:v>
      </x:c>
      <x:c r="E268" s="79" t="n">
        <x:f>ABS('Counter_PnL'!AI268-SUM('Counter_PnL'!R268,'Counter_PnL'!T268,'Counter_PnL'!AC268,'Counter_PnL'!AE268,'Counter_PnL'!AG268,'Counter_PnL'!AH268))</x:f>
        <x:v>0</x:v>
      </x:c>
      <x:c r="F268" s="79" t="n">
        <x:f>ABS('Counter_PnL'!AK268-('Counter_PnL'!Q268+'Counter_PnL'!AI268))</x:f>
        <x:v>0</x:v>
      </x:c>
      <x:c r="G268" s="79" t="n">
        <x:f>ABS('Counter_PnL'!AT268-SUM('Counter_PnL'!AO268:'Counter_PnL'!AS268))</x:f>
        <x:v>0</x:v>
      </x:c>
      <x:c r="H268" s="79" t="n">
        <x:f>ABS('Counter_PnL'!AV268-('Counter_PnL'!AK268+'Counter_PnL'!AT268))</x:f>
        <x:v>0</x:v>
      </x:c>
      <x:c r="I268" s="79" t="n">
        <x:f>ABS('Counter_PnL'!BE268-SUM('Counter_PnL'!AX268:'Counter_PnL'!BB268,'Counter_PnL'!BD268))</x:f>
        <x:v>0</x:v>
      </x:c>
      <x:c r="J268" s="79" t="n">
        <x:f>ABS('Counter_PnL'!BL268-SUM('Counter_PnL'!AV268,'Counter_PnL'!BE268,'Counter_PnL'!BJ268,'Counter_PnL'!BK268))</x:f>
        <x:v>0</x:v>
      </x:c>
      <x:c r="K268" s="79" t="n">
        <x:f>ABS('Counter_PnL'!BO268-('Counter_PnL'!BL268+'Counter_PnL'!BN268))</x:f>
        <x:v>0</x:v>
      </x:c>
      <x:c r="L268" s="79" t="n">
        <x:f>MAX(ABS('Counter_PnL'!AW268-'Counter_PnL'!AV268/'Counter_PnL'!AK268),ABS('Counter_PnL'!BM268-'Counter_PnL'!BL268/'Counter_PnL'!AK268),ABS('Counter_PnL'!BP268-'Counter_PnL'!BO268/'Counter_PnL'!AK268))</x:f>
        <x:v>0</x:v>
      </x:c>
      <x:c r="M268" s="30" t="n">
        <x:f>IF(AND('Counter_PnL'!Q268&gt;0,'Counter_PnL'!AK268&gt;0,'Counter_PnL'!R268&lt;=0,'Counter_PnL'!T268&lt;=0,'Counter_PnL'!AT268&lt;=0,'Counter_PnL'!BE268&lt;=0,'Counter_PnL'!BJ268&lt;=0,'Counter_PnL'!BK268&lt;=0,'Counter_PnL'!BN268&lt;=0),0,1)</x:f>
        <x:v>0</x:v>
      </x:c>
    </x:row>
    <x:row r="269">
      <x:c r="A269" t="str">
        <x:f>'Counter_PnL'!D269</x:f>
        <x:v>CNCT0067</x:v>
      </x:c>
      <x:c r="B269" t="str">
        <x:f>'Counter_PnL'!C269</x:f>
        <x:v>2026 S2</x:v>
      </x:c>
      <x:c r="C269" s="30" t="n">
        <x:f>COUNTIFS('Counter_PnL'!$D$2:$D$641,A269,'Counter_PnL'!$C$2:$C$641,B269)</x:f>
        <x:v>1</x:v>
      </x:c>
      <x:c r="D269" s="79" t="n">
        <x:f>ABS('Counter_PnL'!AC269-SUM('Counter_PnL'!V269:'Counter_PnL'!AB269))</x:f>
        <x:v>0</x:v>
      </x:c>
      <x:c r="E269" s="79" t="n">
        <x:f>ABS('Counter_PnL'!AI269-SUM('Counter_PnL'!R269,'Counter_PnL'!T269,'Counter_PnL'!AC269,'Counter_PnL'!AE269,'Counter_PnL'!AG269,'Counter_PnL'!AH269))</x:f>
        <x:v>0</x:v>
      </x:c>
      <x:c r="F269" s="79" t="n">
        <x:f>ABS('Counter_PnL'!AK269-('Counter_PnL'!Q269+'Counter_PnL'!AI269))</x:f>
        <x:v>0</x:v>
      </x:c>
      <x:c r="G269" s="79" t="n">
        <x:f>ABS('Counter_PnL'!AT269-SUM('Counter_PnL'!AO269:'Counter_PnL'!AS269))</x:f>
        <x:v>0</x:v>
      </x:c>
      <x:c r="H269" s="79" t="n">
        <x:f>ABS('Counter_PnL'!AV269-('Counter_PnL'!AK269+'Counter_PnL'!AT269))</x:f>
        <x:v>0</x:v>
      </x:c>
      <x:c r="I269" s="79" t="n">
        <x:f>ABS('Counter_PnL'!BE269-SUM('Counter_PnL'!AX269:'Counter_PnL'!BB269,'Counter_PnL'!BD269))</x:f>
        <x:v>0</x:v>
      </x:c>
      <x:c r="J269" s="79" t="n">
        <x:f>ABS('Counter_PnL'!BL269-SUM('Counter_PnL'!AV269,'Counter_PnL'!BE269,'Counter_PnL'!BJ269,'Counter_PnL'!BK269))</x:f>
        <x:v>0</x:v>
      </x:c>
      <x:c r="K269" s="79" t="n">
        <x:f>ABS('Counter_PnL'!BO269-('Counter_PnL'!BL269+'Counter_PnL'!BN269))</x:f>
        <x:v>0</x:v>
      </x:c>
      <x:c r="L269" s="79" t="n">
        <x:f>MAX(ABS('Counter_PnL'!AW269-'Counter_PnL'!AV269/'Counter_PnL'!AK269),ABS('Counter_PnL'!BM269-'Counter_PnL'!BL269/'Counter_PnL'!AK269),ABS('Counter_PnL'!BP269-'Counter_PnL'!BO269/'Counter_PnL'!AK269))</x:f>
        <x:v>0</x:v>
      </x:c>
      <x:c r="M269" s="30" t="n">
        <x:f>IF(AND('Counter_PnL'!Q269&gt;0,'Counter_PnL'!AK269&gt;0,'Counter_PnL'!R269&lt;=0,'Counter_PnL'!T269&lt;=0,'Counter_PnL'!AT269&lt;=0,'Counter_PnL'!BE269&lt;=0,'Counter_PnL'!BJ269&lt;=0,'Counter_PnL'!BK269&lt;=0,'Counter_PnL'!BN269&lt;=0),0,1)</x:f>
        <x:v>0</x:v>
      </x:c>
    </x:row>
    <x:row r="270">
      <x:c r="A270" t="str">
        <x:f>'Counter_PnL'!D270</x:f>
        <x:v>CNCT0068</x:v>
      </x:c>
      <x:c r="B270" t="str">
        <x:f>'Counter_PnL'!C270</x:f>
        <x:v>2025 S1</x:v>
      </x:c>
      <x:c r="C270" s="30" t="n">
        <x:f>COUNTIFS('Counter_PnL'!$D$2:$D$641,A270,'Counter_PnL'!$C$2:$C$641,B270)</x:f>
        <x:v>1</x:v>
      </x:c>
      <x:c r="D270" s="79" t="n">
        <x:f>ABS('Counter_PnL'!AC270-SUM('Counter_PnL'!V270:'Counter_PnL'!AB270))</x:f>
        <x:v>0</x:v>
      </x:c>
      <x:c r="E270" s="79" t="n">
        <x:f>ABS('Counter_PnL'!AI270-SUM('Counter_PnL'!R270,'Counter_PnL'!T270,'Counter_PnL'!AC270,'Counter_PnL'!AE270,'Counter_PnL'!AG270,'Counter_PnL'!AH270))</x:f>
        <x:v>0</x:v>
      </x:c>
      <x:c r="F270" s="79" t="n">
        <x:f>ABS('Counter_PnL'!AK270-('Counter_PnL'!Q270+'Counter_PnL'!AI270))</x:f>
        <x:v>0</x:v>
      </x:c>
      <x:c r="G270" s="79" t="n">
        <x:f>ABS('Counter_PnL'!AT270-SUM('Counter_PnL'!AO270:'Counter_PnL'!AS270))</x:f>
        <x:v>0</x:v>
      </x:c>
      <x:c r="H270" s="79" t="n">
        <x:f>ABS('Counter_PnL'!AV270-('Counter_PnL'!AK270+'Counter_PnL'!AT270))</x:f>
        <x:v>0</x:v>
      </x:c>
      <x:c r="I270" s="79" t="n">
        <x:f>ABS('Counter_PnL'!BE270-SUM('Counter_PnL'!AX270:'Counter_PnL'!BB270,'Counter_PnL'!BD270))</x:f>
        <x:v>0</x:v>
      </x:c>
      <x:c r="J270" s="79" t="n">
        <x:f>ABS('Counter_PnL'!BL270-SUM('Counter_PnL'!AV270,'Counter_PnL'!BE270,'Counter_PnL'!BJ270,'Counter_PnL'!BK270))</x:f>
        <x:v>0</x:v>
      </x:c>
      <x:c r="K270" s="79" t="n">
        <x:f>ABS('Counter_PnL'!BO270-('Counter_PnL'!BL270+'Counter_PnL'!BN270))</x:f>
        <x:v>0</x:v>
      </x:c>
      <x:c r="L270" s="79" t="n">
        <x:f>MAX(ABS('Counter_PnL'!AW270-'Counter_PnL'!AV270/'Counter_PnL'!AK270),ABS('Counter_PnL'!BM270-'Counter_PnL'!BL270/'Counter_PnL'!AK270),ABS('Counter_PnL'!BP270-'Counter_PnL'!BO270/'Counter_PnL'!AK270))</x:f>
        <x:v>0</x:v>
      </x:c>
      <x:c r="M270" s="30" t="n">
        <x:f>IF(AND('Counter_PnL'!Q270&gt;0,'Counter_PnL'!AK270&gt;0,'Counter_PnL'!R270&lt;=0,'Counter_PnL'!T270&lt;=0,'Counter_PnL'!AT270&lt;=0,'Counter_PnL'!BE270&lt;=0,'Counter_PnL'!BJ270&lt;=0,'Counter_PnL'!BK270&lt;=0,'Counter_PnL'!BN270&lt;=0),0,1)</x:f>
        <x:v>0</x:v>
      </x:c>
    </x:row>
    <x:row r="271">
      <x:c r="A271" t="str">
        <x:f>'Counter_PnL'!D271</x:f>
        <x:v>CNCT0068</x:v>
      </x:c>
      <x:c r="B271" t="str">
        <x:f>'Counter_PnL'!C271</x:f>
        <x:v>2025 S2</x:v>
      </x:c>
      <x:c r="C271" s="30" t="n">
        <x:f>COUNTIFS('Counter_PnL'!$D$2:$D$641,A271,'Counter_PnL'!$C$2:$C$641,B271)</x:f>
        <x:v>1</x:v>
      </x:c>
      <x:c r="D271" s="79" t="n">
        <x:f>ABS('Counter_PnL'!AC271-SUM('Counter_PnL'!V271:'Counter_PnL'!AB271))</x:f>
        <x:v>0</x:v>
      </x:c>
      <x:c r="E271" s="79" t="n">
        <x:f>ABS('Counter_PnL'!AI271-SUM('Counter_PnL'!R271,'Counter_PnL'!T271,'Counter_PnL'!AC271,'Counter_PnL'!AE271,'Counter_PnL'!AG271,'Counter_PnL'!AH271))</x:f>
        <x:v>0</x:v>
      </x:c>
      <x:c r="F271" s="79" t="n">
        <x:f>ABS('Counter_PnL'!AK271-('Counter_PnL'!Q271+'Counter_PnL'!AI271))</x:f>
        <x:v>0</x:v>
      </x:c>
      <x:c r="G271" s="79" t="n">
        <x:f>ABS('Counter_PnL'!AT271-SUM('Counter_PnL'!AO271:'Counter_PnL'!AS271))</x:f>
        <x:v>0</x:v>
      </x:c>
      <x:c r="H271" s="79" t="n">
        <x:f>ABS('Counter_PnL'!AV271-('Counter_PnL'!AK271+'Counter_PnL'!AT271))</x:f>
        <x:v>0</x:v>
      </x:c>
      <x:c r="I271" s="79" t="n">
        <x:f>ABS('Counter_PnL'!BE271-SUM('Counter_PnL'!AX271:'Counter_PnL'!BB271,'Counter_PnL'!BD271))</x:f>
        <x:v>0</x:v>
      </x:c>
      <x:c r="J271" s="79" t="n">
        <x:f>ABS('Counter_PnL'!BL271-SUM('Counter_PnL'!AV271,'Counter_PnL'!BE271,'Counter_PnL'!BJ271,'Counter_PnL'!BK271))</x:f>
        <x:v>0</x:v>
      </x:c>
      <x:c r="K271" s="79" t="n">
        <x:f>ABS('Counter_PnL'!BO271-('Counter_PnL'!BL271+'Counter_PnL'!BN271))</x:f>
        <x:v>0</x:v>
      </x:c>
      <x:c r="L271" s="79" t="n">
        <x:f>MAX(ABS('Counter_PnL'!AW271-'Counter_PnL'!AV271/'Counter_PnL'!AK271),ABS('Counter_PnL'!BM271-'Counter_PnL'!BL271/'Counter_PnL'!AK271),ABS('Counter_PnL'!BP271-'Counter_PnL'!BO271/'Counter_PnL'!AK271))</x:f>
        <x:v>0</x:v>
      </x:c>
      <x:c r="M271" s="30" t="n">
        <x:f>IF(AND('Counter_PnL'!Q271&gt;0,'Counter_PnL'!AK271&gt;0,'Counter_PnL'!R271&lt;=0,'Counter_PnL'!T271&lt;=0,'Counter_PnL'!AT271&lt;=0,'Counter_PnL'!BE271&lt;=0,'Counter_PnL'!BJ271&lt;=0,'Counter_PnL'!BK271&lt;=0,'Counter_PnL'!BN271&lt;=0),0,1)</x:f>
        <x:v>0</x:v>
      </x:c>
    </x:row>
    <x:row r="272">
      <x:c r="A272" t="str">
        <x:f>'Counter_PnL'!D272</x:f>
        <x:v>CNCT0068</x:v>
      </x:c>
      <x:c r="B272" t="str">
        <x:f>'Counter_PnL'!C272</x:f>
        <x:v>2026 S1</x:v>
      </x:c>
      <x:c r="C272" s="30" t="n">
        <x:f>COUNTIFS('Counter_PnL'!$D$2:$D$641,A272,'Counter_PnL'!$C$2:$C$641,B272)</x:f>
        <x:v>1</x:v>
      </x:c>
      <x:c r="D272" s="79" t="n">
        <x:f>ABS('Counter_PnL'!AC272-SUM('Counter_PnL'!V272:'Counter_PnL'!AB272))</x:f>
        <x:v>0</x:v>
      </x:c>
      <x:c r="E272" s="79" t="n">
        <x:f>ABS('Counter_PnL'!AI272-SUM('Counter_PnL'!R272,'Counter_PnL'!T272,'Counter_PnL'!AC272,'Counter_PnL'!AE272,'Counter_PnL'!AG272,'Counter_PnL'!AH272))</x:f>
        <x:v>0</x:v>
      </x:c>
      <x:c r="F272" s="79" t="n">
        <x:f>ABS('Counter_PnL'!AK272-('Counter_PnL'!Q272+'Counter_PnL'!AI272))</x:f>
        <x:v>0</x:v>
      </x:c>
      <x:c r="G272" s="79" t="n">
        <x:f>ABS('Counter_PnL'!AT272-SUM('Counter_PnL'!AO272:'Counter_PnL'!AS272))</x:f>
        <x:v>0</x:v>
      </x:c>
      <x:c r="H272" s="79" t="n">
        <x:f>ABS('Counter_PnL'!AV272-('Counter_PnL'!AK272+'Counter_PnL'!AT272))</x:f>
        <x:v>0</x:v>
      </x:c>
      <x:c r="I272" s="79" t="n">
        <x:f>ABS('Counter_PnL'!BE272-SUM('Counter_PnL'!AX272:'Counter_PnL'!BB272,'Counter_PnL'!BD272))</x:f>
        <x:v>0</x:v>
      </x:c>
      <x:c r="J272" s="79" t="n">
        <x:f>ABS('Counter_PnL'!BL272-SUM('Counter_PnL'!AV272,'Counter_PnL'!BE272,'Counter_PnL'!BJ272,'Counter_PnL'!BK272))</x:f>
        <x:v>0</x:v>
      </x:c>
      <x:c r="K272" s="79" t="n">
        <x:f>ABS('Counter_PnL'!BO272-('Counter_PnL'!BL272+'Counter_PnL'!BN272))</x:f>
        <x:v>0</x:v>
      </x:c>
      <x:c r="L272" s="79" t="n">
        <x:f>MAX(ABS('Counter_PnL'!AW272-'Counter_PnL'!AV272/'Counter_PnL'!AK272),ABS('Counter_PnL'!BM272-'Counter_PnL'!BL272/'Counter_PnL'!AK272),ABS('Counter_PnL'!BP272-'Counter_PnL'!BO272/'Counter_PnL'!AK272))</x:f>
        <x:v>0</x:v>
      </x:c>
      <x:c r="M272" s="30" t="n">
        <x:f>IF(AND('Counter_PnL'!Q272&gt;0,'Counter_PnL'!AK272&gt;0,'Counter_PnL'!R272&lt;=0,'Counter_PnL'!T272&lt;=0,'Counter_PnL'!AT272&lt;=0,'Counter_PnL'!BE272&lt;=0,'Counter_PnL'!BJ272&lt;=0,'Counter_PnL'!BK272&lt;=0,'Counter_PnL'!BN272&lt;=0),0,1)</x:f>
        <x:v>0</x:v>
      </x:c>
    </x:row>
    <x:row r="273">
      <x:c r="A273" t="str">
        <x:f>'Counter_PnL'!D273</x:f>
        <x:v>CNCT0068</x:v>
      </x:c>
      <x:c r="B273" t="str">
        <x:f>'Counter_PnL'!C273</x:f>
        <x:v>2026 S2</x:v>
      </x:c>
      <x:c r="C273" s="30" t="n">
        <x:f>COUNTIFS('Counter_PnL'!$D$2:$D$641,A273,'Counter_PnL'!$C$2:$C$641,B273)</x:f>
        <x:v>1</x:v>
      </x:c>
      <x:c r="D273" s="79" t="n">
        <x:f>ABS('Counter_PnL'!AC273-SUM('Counter_PnL'!V273:'Counter_PnL'!AB273))</x:f>
        <x:v>0</x:v>
      </x:c>
      <x:c r="E273" s="79" t="n">
        <x:f>ABS('Counter_PnL'!AI273-SUM('Counter_PnL'!R273,'Counter_PnL'!T273,'Counter_PnL'!AC273,'Counter_PnL'!AE273,'Counter_PnL'!AG273,'Counter_PnL'!AH273))</x:f>
        <x:v>0</x:v>
      </x:c>
      <x:c r="F273" s="79" t="n">
        <x:f>ABS('Counter_PnL'!AK273-('Counter_PnL'!Q273+'Counter_PnL'!AI273))</x:f>
        <x:v>0</x:v>
      </x:c>
      <x:c r="G273" s="79" t="n">
        <x:f>ABS('Counter_PnL'!AT273-SUM('Counter_PnL'!AO273:'Counter_PnL'!AS273))</x:f>
        <x:v>0</x:v>
      </x:c>
      <x:c r="H273" s="79" t="n">
        <x:f>ABS('Counter_PnL'!AV273-('Counter_PnL'!AK273+'Counter_PnL'!AT273))</x:f>
        <x:v>0</x:v>
      </x:c>
      <x:c r="I273" s="79" t="n">
        <x:f>ABS('Counter_PnL'!BE273-SUM('Counter_PnL'!AX273:'Counter_PnL'!BB273,'Counter_PnL'!BD273))</x:f>
        <x:v>0</x:v>
      </x:c>
      <x:c r="J273" s="79" t="n">
        <x:f>ABS('Counter_PnL'!BL273-SUM('Counter_PnL'!AV273,'Counter_PnL'!BE273,'Counter_PnL'!BJ273,'Counter_PnL'!BK273))</x:f>
        <x:v>0</x:v>
      </x:c>
      <x:c r="K273" s="79" t="n">
        <x:f>ABS('Counter_PnL'!BO273-('Counter_PnL'!BL273+'Counter_PnL'!BN273))</x:f>
        <x:v>0</x:v>
      </x:c>
      <x:c r="L273" s="79" t="n">
        <x:f>MAX(ABS('Counter_PnL'!AW273-'Counter_PnL'!AV273/'Counter_PnL'!AK273),ABS('Counter_PnL'!BM273-'Counter_PnL'!BL273/'Counter_PnL'!AK273),ABS('Counter_PnL'!BP273-'Counter_PnL'!BO273/'Counter_PnL'!AK273))</x:f>
        <x:v>0</x:v>
      </x:c>
      <x:c r="M273" s="30" t="n">
        <x:f>IF(AND('Counter_PnL'!Q273&gt;0,'Counter_PnL'!AK273&gt;0,'Counter_PnL'!R273&lt;=0,'Counter_PnL'!T273&lt;=0,'Counter_PnL'!AT273&lt;=0,'Counter_PnL'!BE273&lt;=0,'Counter_PnL'!BJ273&lt;=0,'Counter_PnL'!BK273&lt;=0,'Counter_PnL'!BN273&lt;=0),0,1)</x:f>
        <x:v>0</x:v>
      </x:c>
    </x:row>
    <x:row r="274">
      <x:c r="A274" t="str">
        <x:f>'Counter_PnL'!D274</x:f>
        <x:v>CNCT0069</x:v>
      </x:c>
      <x:c r="B274" t="str">
        <x:f>'Counter_PnL'!C274</x:f>
        <x:v>2025 S1</x:v>
      </x:c>
      <x:c r="C274" s="30" t="n">
        <x:f>COUNTIFS('Counter_PnL'!$D$2:$D$641,A274,'Counter_PnL'!$C$2:$C$641,B274)</x:f>
        <x:v>1</x:v>
      </x:c>
      <x:c r="D274" s="79" t="n">
        <x:f>ABS('Counter_PnL'!AC274-SUM('Counter_PnL'!V274:'Counter_PnL'!AB274))</x:f>
        <x:v>0</x:v>
      </x:c>
      <x:c r="E274" s="79" t="n">
        <x:f>ABS('Counter_PnL'!AI274-SUM('Counter_PnL'!R274,'Counter_PnL'!T274,'Counter_PnL'!AC274,'Counter_PnL'!AE274,'Counter_PnL'!AG274,'Counter_PnL'!AH274))</x:f>
        <x:v>0</x:v>
      </x:c>
      <x:c r="F274" s="79" t="n">
        <x:f>ABS('Counter_PnL'!AK274-('Counter_PnL'!Q274+'Counter_PnL'!AI274))</x:f>
        <x:v>0</x:v>
      </x:c>
      <x:c r="G274" s="79" t="n">
        <x:f>ABS('Counter_PnL'!AT274-SUM('Counter_PnL'!AO274:'Counter_PnL'!AS274))</x:f>
        <x:v>0</x:v>
      </x:c>
      <x:c r="H274" s="79" t="n">
        <x:f>ABS('Counter_PnL'!AV274-('Counter_PnL'!AK274+'Counter_PnL'!AT274))</x:f>
        <x:v>0</x:v>
      </x:c>
      <x:c r="I274" s="79" t="n">
        <x:f>ABS('Counter_PnL'!BE274-SUM('Counter_PnL'!AX274:'Counter_PnL'!BB274,'Counter_PnL'!BD274))</x:f>
        <x:v>0</x:v>
      </x:c>
      <x:c r="J274" s="79" t="n">
        <x:f>ABS('Counter_PnL'!BL274-SUM('Counter_PnL'!AV274,'Counter_PnL'!BE274,'Counter_PnL'!BJ274,'Counter_PnL'!BK274))</x:f>
        <x:v>0</x:v>
      </x:c>
      <x:c r="K274" s="79" t="n">
        <x:f>ABS('Counter_PnL'!BO274-('Counter_PnL'!BL274+'Counter_PnL'!BN274))</x:f>
        <x:v>0</x:v>
      </x:c>
      <x:c r="L274" s="79" t="n">
        <x:f>MAX(ABS('Counter_PnL'!AW274-'Counter_PnL'!AV274/'Counter_PnL'!AK274),ABS('Counter_PnL'!BM274-'Counter_PnL'!BL274/'Counter_PnL'!AK274),ABS('Counter_PnL'!BP274-'Counter_PnL'!BO274/'Counter_PnL'!AK274))</x:f>
        <x:v>0</x:v>
      </x:c>
      <x:c r="M274" s="30" t="n">
        <x:f>IF(AND('Counter_PnL'!Q274&gt;0,'Counter_PnL'!AK274&gt;0,'Counter_PnL'!R274&lt;=0,'Counter_PnL'!T274&lt;=0,'Counter_PnL'!AT274&lt;=0,'Counter_PnL'!BE274&lt;=0,'Counter_PnL'!BJ274&lt;=0,'Counter_PnL'!BK274&lt;=0,'Counter_PnL'!BN274&lt;=0),0,1)</x:f>
        <x:v>0</x:v>
      </x:c>
    </x:row>
    <x:row r="275">
      <x:c r="A275" t="str">
        <x:f>'Counter_PnL'!D275</x:f>
        <x:v>CNCT0069</x:v>
      </x:c>
      <x:c r="B275" t="str">
        <x:f>'Counter_PnL'!C275</x:f>
        <x:v>2025 S2</x:v>
      </x:c>
      <x:c r="C275" s="30" t="n">
        <x:f>COUNTIFS('Counter_PnL'!$D$2:$D$641,A275,'Counter_PnL'!$C$2:$C$641,B275)</x:f>
        <x:v>1</x:v>
      </x:c>
      <x:c r="D275" s="79" t="n">
        <x:f>ABS('Counter_PnL'!AC275-SUM('Counter_PnL'!V275:'Counter_PnL'!AB275))</x:f>
        <x:v>0</x:v>
      </x:c>
      <x:c r="E275" s="79" t="n">
        <x:f>ABS('Counter_PnL'!AI275-SUM('Counter_PnL'!R275,'Counter_PnL'!T275,'Counter_PnL'!AC275,'Counter_PnL'!AE275,'Counter_PnL'!AG275,'Counter_PnL'!AH275))</x:f>
        <x:v>0</x:v>
      </x:c>
      <x:c r="F275" s="79" t="n">
        <x:f>ABS('Counter_PnL'!AK275-('Counter_PnL'!Q275+'Counter_PnL'!AI275))</x:f>
        <x:v>0</x:v>
      </x:c>
      <x:c r="G275" s="79" t="n">
        <x:f>ABS('Counter_PnL'!AT275-SUM('Counter_PnL'!AO275:'Counter_PnL'!AS275))</x:f>
        <x:v>0</x:v>
      </x:c>
      <x:c r="H275" s="79" t="n">
        <x:f>ABS('Counter_PnL'!AV275-('Counter_PnL'!AK275+'Counter_PnL'!AT275))</x:f>
        <x:v>0</x:v>
      </x:c>
      <x:c r="I275" s="79" t="n">
        <x:f>ABS('Counter_PnL'!BE275-SUM('Counter_PnL'!AX275:'Counter_PnL'!BB275,'Counter_PnL'!BD275))</x:f>
        <x:v>0</x:v>
      </x:c>
      <x:c r="J275" s="79" t="n">
        <x:f>ABS('Counter_PnL'!BL275-SUM('Counter_PnL'!AV275,'Counter_PnL'!BE275,'Counter_PnL'!BJ275,'Counter_PnL'!BK275))</x:f>
        <x:v>0</x:v>
      </x:c>
      <x:c r="K275" s="79" t="n">
        <x:f>ABS('Counter_PnL'!BO275-('Counter_PnL'!BL275+'Counter_PnL'!BN275))</x:f>
        <x:v>0</x:v>
      </x:c>
      <x:c r="L275" s="79" t="n">
        <x:f>MAX(ABS('Counter_PnL'!AW275-'Counter_PnL'!AV275/'Counter_PnL'!AK275),ABS('Counter_PnL'!BM275-'Counter_PnL'!BL275/'Counter_PnL'!AK275),ABS('Counter_PnL'!BP275-'Counter_PnL'!BO275/'Counter_PnL'!AK275))</x:f>
        <x:v>0</x:v>
      </x:c>
      <x:c r="M275" s="30" t="n">
        <x:f>IF(AND('Counter_PnL'!Q275&gt;0,'Counter_PnL'!AK275&gt;0,'Counter_PnL'!R275&lt;=0,'Counter_PnL'!T275&lt;=0,'Counter_PnL'!AT275&lt;=0,'Counter_PnL'!BE275&lt;=0,'Counter_PnL'!BJ275&lt;=0,'Counter_PnL'!BK275&lt;=0,'Counter_PnL'!BN275&lt;=0),0,1)</x:f>
        <x:v>0</x:v>
      </x:c>
    </x:row>
    <x:row r="276">
      <x:c r="A276" t="str">
        <x:f>'Counter_PnL'!D276</x:f>
        <x:v>CNCT0069</x:v>
      </x:c>
      <x:c r="B276" t="str">
        <x:f>'Counter_PnL'!C276</x:f>
        <x:v>2026 S1</x:v>
      </x:c>
      <x:c r="C276" s="30" t="n">
        <x:f>COUNTIFS('Counter_PnL'!$D$2:$D$641,A276,'Counter_PnL'!$C$2:$C$641,B276)</x:f>
        <x:v>1</x:v>
      </x:c>
      <x:c r="D276" s="79" t="n">
        <x:f>ABS('Counter_PnL'!AC276-SUM('Counter_PnL'!V276:'Counter_PnL'!AB276))</x:f>
        <x:v>0</x:v>
      </x:c>
      <x:c r="E276" s="79" t="n">
        <x:f>ABS('Counter_PnL'!AI276-SUM('Counter_PnL'!R276,'Counter_PnL'!T276,'Counter_PnL'!AC276,'Counter_PnL'!AE276,'Counter_PnL'!AG276,'Counter_PnL'!AH276))</x:f>
        <x:v>0</x:v>
      </x:c>
      <x:c r="F276" s="79" t="n">
        <x:f>ABS('Counter_PnL'!AK276-('Counter_PnL'!Q276+'Counter_PnL'!AI276))</x:f>
        <x:v>0</x:v>
      </x:c>
      <x:c r="G276" s="79" t="n">
        <x:f>ABS('Counter_PnL'!AT276-SUM('Counter_PnL'!AO276:'Counter_PnL'!AS276))</x:f>
        <x:v>0</x:v>
      </x:c>
      <x:c r="H276" s="79" t="n">
        <x:f>ABS('Counter_PnL'!AV276-('Counter_PnL'!AK276+'Counter_PnL'!AT276))</x:f>
        <x:v>0</x:v>
      </x:c>
      <x:c r="I276" s="79" t="n">
        <x:f>ABS('Counter_PnL'!BE276-SUM('Counter_PnL'!AX276:'Counter_PnL'!BB276,'Counter_PnL'!BD276))</x:f>
        <x:v>0</x:v>
      </x:c>
      <x:c r="J276" s="79" t="n">
        <x:f>ABS('Counter_PnL'!BL276-SUM('Counter_PnL'!AV276,'Counter_PnL'!BE276,'Counter_PnL'!BJ276,'Counter_PnL'!BK276))</x:f>
        <x:v>0</x:v>
      </x:c>
      <x:c r="K276" s="79" t="n">
        <x:f>ABS('Counter_PnL'!BO276-('Counter_PnL'!BL276+'Counter_PnL'!BN276))</x:f>
        <x:v>0</x:v>
      </x:c>
      <x:c r="L276" s="79" t="n">
        <x:f>MAX(ABS('Counter_PnL'!AW276-'Counter_PnL'!AV276/'Counter_PnL'!AK276),ABS('Counter_PnL'!BM276-'Counter_PnL'!BL276/'Counter_PnL'!AK276),ABS('Counter_PnL'!BP276-'Counter_PnL'!BO276/'Counter_PnL'!AK276))</x:f>
        <x:v>0</x:v>
      </x:c>
      <x:c r="M276" s="30" t="n">
        <x:f>IF(AND('Counter_PnL'!Q276&gt;0,'Counter_PnL'!AK276&gt;0,'Counter_PnL'!R276&lt;=0,'Counter_PnL'!T276&lt;=0,'Counter_PnL'!AT276&lt;=0,'Counter_PnL'!BE276&lt;=0,'Counter_PnL'!BJ276&lt;=0,'Counter_PnL'!BK276&lt;=0,'Counter_PnL'!BN276&lt;=0),0,1)</x:f>
        <x:v>0</x:v>
      </x:c>
    </x:row>
    <x:row r="277">
      <x:c r="A277" t="str">
        <x:f>'Counter_PnL'!D277</x:f>
        <x:v>CNCT0069</x:v>
      </x:c>
      <x:c r="B277" t="str">
        <x:f>'Counter_PnL'!C277</x:f>
        <x:v>2026 S2</x:v>
      </x:c>
      <x:c r="C277" s="30" t="n">
        <x:f>COUNTIFS('Counter_PnL'!$D$2:$D$641,A277,'Counter_PnL'!$C$2:$C$641,B277)</x:f>
        <x:v>1</x:v>
      </x:c>
      <x:c r="D277" s="79" t="n">
        <x:f>ABS('Counter_PnL'!AC277-SUM('Counter_PnL'!V277:'Counter_PnL'!AB277))</x:f>
        <x:v>0</x:v>
      </x:c>
      <x:c r="E277" s="79" t="n">
        <x:f>ABS('Counter_PnL'!AI277-SUM('Counter_PnL'!R277,'Counter_PnL'!T277,'Counter_PnL'!AC277,'Counter_PnL'!AE277,'Counter_PnL'!AG277,'Counter_PnL'!AH277))</x:f>
        <x:v>0</x:v>
      </x:c>
      <x:c r="F277" s="79" t="n">
        <x:f>ABS('Counter_PnL'!AK277-('Counter_PnL'!Q277+'Counter_PnL'!AI277))</x:f>
        <x:v>0</x:v>
      </x:c>
      <x:c r="G277" s="79" t="n">
        <x:f>ABS('Counter_PnL'!AT277-SUM('Counter_PnL'!AO277:'Counter_PnL'!AS277))</x:f>
        <x:v>0</x:v>
      </x:c>
      <x:c r="H277" s="79" t="n">
        <x:f>ABS('Counter_PnL'!AV277-('Counter_PnL'!AK277+'Counter_PnL'!AT277))</x:f>
        <x:v>0</x:v>
      </x:c>
      <x:c r="I277" s="79" t="n">
        <x:f>ABS('Counter_PnL'!BE277-SUM('Counter_PnL'!AX277:'Counter_PnL'!BB277,'Counter_PnL'!BD277))</x:f>
        <x:v>0</x:v>
      </x:c>
      <x:c r="J277" s="79" t="n">
        <x:f>ABS('Counter_PnL'!BL277-SUM('Counter_PnL'!AV277,'Counter_PnL'!BE277,'Counter_PnL'!BJ277,'Counter_PnL'!BK277))</x:f>
        <x:v>0</x:v>
      </x:c>
      <x:c r="K277" s="79" t="n">
        <x:f>ABS('Counter_PnL'!BO277-('Counter_PnL'!BL277+'Counter_PnL'!BN277))</x:f>
        <x:v>0</x:v>
      </x:c>
      <x:c r="L277" s="79" t="n">
        <x:f>MAX(ABS('Counter_PnL'!AW277-'Counter_PnL'!AV277/'Counter_PnL'!AK277),ABS('Counter_PnL'!BM277-'Counter_PnL'!BL277/'Counter_PnL'!AK277),ABS('Counter_PnL'!BP277-'Counter_PnL'!BO277/'Counter_PnL'!AK277))</x:f>
        <x:v>0</x:v>
      </x:c>
      <x:c r="M277" s="30" t="n">
        <x:f>IF(AND('Counter_PnL'!Q277&gt;0,'Counter_PnL'!AK277&gt;0,'Counter_PnL'!R277&lt;=0,'Counter_PnL'!T277&lt;=0,'Counter_PnL'!AT277&lt;=0,'Counter_PnL'!BE277&lt;=0,'Counter_PnL'!BJ277&lt;=0,'Counter_PnL'!BK277&lt;=0,'Counter_PnL'!BN277&lt;=0),0,1)</x:f>
        <x:v>0</x:v>
      </x:c>
    </x:row>
    <x:row r="278">
      <x:c r="A278" t="str">
        <x:f>'Counter_PnL'!D278</x:f>
        <x:v>CNCT0070</x:v>
      </x:c>
      <x:c r="B278" t="str">
        <x:f>'Counter_PnL'!C278</x:f>
        <x:v>2025 S1</x:v>
      </x:c>
      <x:c r="C278" s="30" t="n">
        <x:f>COUNTIFS('Counter_PnL'!$D$2:$D$641,A278,'Counter_PnL'!$C$2:$C$641,B278)</x:f>
        <x:v>1</x:v>
      </x:c>
      <x:c r="D278" s="79" t="n">
        <x:f>ABS('Counter_PnL'!AC278-SUM('Counter_PnL'!V278:'Counter_PnL'!AB278))</x:f>
        <x:v>0</x:v>
      </x:c>
      <x:c r="E278" s="79" t="n">
        <x:f>ABS('Counter_PnL'!AI278-SUM('Counter_PnL'!R278,'Counter_PnL'!T278,'Counter_PnL'!AC278,'Counter_PnL'!AE278,'Counter_PnL'!AG278,'Counter_PnL'!AH278))</x:f>
        <x:v>0</x:v>
      </x:c>
      <x:c r="F278" s="79" t="n">
        <x:f>ABS('Counter_PnL'!AK278-('Counter_PnL'!Q278+'Counter_PnL'!AI278))</x:f>
        <x:v>0</x:v>
      </x:c>
      <x:c r="G278" s="79" t="n">
        <x:f>ABS('Counter_PnL'!AT278-SUM('Counter_PnL'!AO278:'Counter_PnL'!AS278))</x:f>
        <x:v>0</x:v>
      </x:c>
      <x:c r="H278" s="79" t="n">
        <x:f>ABS('Counter_PnL'!AV278-('Counter_PnL'!AK278+'Counter_PnL'!AT278))</x:f>
        <x:v>0</x:v>
      </x:c>
      <x:c r="I278" s="79" t="n">
        <x:f>ABS('Counter_PnL'!BE278-SUM('Counter_PnL'!AX278:'Counter_PnL'!BB278,'Counter_PnL'!BD278))</x:f>
        <x:v>0</x:v>
      </x:c>
      <x:c r="J278" s="79" t="n">
        <x:f>ABS('Counter_PnL'!BL278-SUM('Counter_PnL'!AV278,'Counter_PnL'!BE278,'Counter_PnL'!BJ278,'Counter_PnL'!BK278))</x:f>
        <x:v>0</x:v>
      </x:c>
      <x:c r="K278" s="79" t="n">
        <x:f>ABS('Counter_PnL'!BO278-('Counter_PnL'!BL278+'Counter_PnL'!BN278))</x:f>
        <x:v>0</x:v>
      </x:c>
      <x:c r="L278" s="79" t="n">
        <x:f>MAX(ABS('Counter_PnL'!AW278-'Counter_PnL'!AV278/'Counter_PnL'!AK278),ABS('Counter_PnL'!BM278-'Counter_PnL'!BL278/'Counter_PnL'!AK278),ABS('Counter_PnL'!BP278-'Counter_PnL'!BO278/'Counter_PnL'!AK278))</x:f>
        <x:v>0</x:v>
      </x:c>
      <x:c r="M278" s="30" t="n">
        <x:f>IF(AND('Counter_PnL'!Q278&gt;0,'Counter_PnL'!AK278&gt;0,'Counter_PnL'!R278&lt;=0,'Counter_PnL'!T278&lt;=0,'Counter_PnL'!AT278&lt;=0,'Counter_PnL'!BE278&lt;=0,'Counter_PnL'!BJ278&lt;=0,'Counter_PnL'!BK278&lt;=0,'Counter_PnL'!BN278&lt;=0),0,1)</x:f>
        <x:v>0</x:v>
      </x:c>
    </x:row>
    <x:row r="279">
      <x:c r="A279" t="str">
        <x:f>'Counter_PnL'!D279</x:f>
        <x:v>CNCT0070</x:v>
      </x:c>
      <x:c r="B279" t="str">
        <x:f>'Counter_PnL'!C279</x:f>
        <x:v>2025 S2</x:v>
      </x:c>
      <x:c r="C279" s="30" t="n">
        <x:f>COUNTIFS('Counter_PnL'!$D$2:$D$641,A279,'Counter_PnL'!$C$2:$C$641,B279)</x:f>
        <x:v>1</x:v>
      </x:c>
      <x:c r="D279" s="79" t="n">
        <x:f>ABS('Counter_PnL'!AC279-SUM('Counter_PnL'!V279:'Counter_PnL'!AB279))</x:f>
        <x:v>0</x:v>
      </x:c>
      <x:c r="E279" s="79" t="n">
        <x:f>ABS('Counter_PnL'!AI279-SUM('Counter_PnL'!R279,'Counter_PnL'!T279,'Counter_PnL'!AC279,'Counter_PnL'!AE279,'Counter_PnL'!AG279,'Counter_PnL'!AH279))</x:f>
        <x:v>0</x:v>
      </x:c>
      <x:c r="F279" s="79" t="n">
        <x:f>ABS('Counter_PnL'!AK279-('Counter_PnL'!Q279+'Counter_PnL'!AI279))</x:f>
        <x:v>0</x:v>
      </x:c>
      <x:c r="G279" s="79" t="n">
        <x:f>ABS('Counter_PnL'!AT279-SUM('Counter_PnL'!AO279:'Counter_PnL'!AS279))</x:f>
        <x:v>0</x:v>
      </x:c>
      <x:c r="H279" s="79" t="n">
        <x:f>ABS('Counter_PnL'!AV279-('Counter_PnL'!AK279+'Counter_PnL'!AT279))</x:f>
        <x:v>0</x:v>
      </x:c>
      <x:c r="I279" s="79" t="n">
        <x:f>ABS('Counter_PnL'!BE279-SUM('Counter_PnL'!AX279:'Counter_PnL'!BB279,'Counter_PnL'!BD279))</x:f>
        <x:v>0</x:v>
      </x:c>
      <x:c r="J279" s="79" t="n">
        <x:f>ABS('Counter_PnL'!BL279-SUM('Counter_PnL'!AV279,'Counter_PnL'!BE279,'Counter_PnL'!BJ279,'Counter_PnL'!BK279))</x:f>
        <x:v>0</x:v>
      </x:c>
      <x:c r="K279" s="79" t="n">
        <x:f>ABS('Counter_PnL'!BO279-('Counter_PnL'!BL279+'Counter_PnL'!BN279))</x:f>
        <x:v>0</x:v>
      </x:c>
      <x:c r="L279" s="79" t="n">
        <x:f>MAX(ABS('Counter_PnL'!AW279-'Counter_PnL'!AV279/'Counter_PnL'!AK279),ABS('Counter_PnL'!BM279-'Counter_PnL'!BL279/'Counter_PnL'!AK279),ABS('Counter_PnL'!BP279-'Counter_PnL'!BO279/'Counter_PnL'!AK279))</x:f>
        <x:v>0</x:v>
      </x:c>
      <x:c r="M279" s="30" t="n">
        <x:f>IF(AND('Counter_PnL'!Q279&gt;0,'Counter_PnL'!AK279&gt;0,'Counter_PnL'!R279&lt;=0,'Counter_PnL'!T279&lt;=0,'Counter_PnL'!AT279&lt;=0,'Counter_PnL'!BE279&lt;=0,'Counter_PnL'!BJ279&lt;=0,'Counter_PnL'!BK279&lt;=0,'Counter_PnL'!BN279&lt;=0),0,1)</x:f>
        <x:v>0</x:v>
      </x:c>
    </x:row>
    <x:row r="280">
      <x:c r="A280" t="str">
        <x:f>'Counter_PnL'!D280</x:f>
        <x:v>CNCT0070</x:v>
      </x:c>
      <x:c r="B280" t="str">
        <x:f>'Counter_PnL'!C280</x:f>
        <x:v>2026 S1</x:v>
      </x:c>
      <x:c r="C280" s="30" t="n">
        <x:f>COUNTIFS('Counter_PnL'!$D$2:$D$641,A280,'Counter_PnL'!$C$2:$C$641,B280)</x:f>
        <x:v>1</x:v>
      </x:c>
      <x:c r="D280" s="79" t="n">
        <x:f>ABS('Counter_PnL'!AC280-SUM('Counter_PnL'!V280:'Counter_PnL'!AB280))</x:f>
        <x:v>0</x:v>
      </x:c>
      <x:c r="E280" s="79" t="n">
        <x:f>ABS('Counter_PnL'!AI280-SUM('Counter_PnL'!R280,'Counter_PnL'!T280,'Counter_PnL'!AC280,'Counter_PnL'!AE280,'Counter_PnL'!AG280,'Counter_PnL'!AH280))</x:f>
        <x:v>0</x:v>
      </x:c>
      <x:c r="F280" s="79" t="n">
        <x:f>ABS('Counter_PnL'!AK280-('Counter_PnL'!Q280+'Counter_PnL'!AI280))</x:f>
        <x:v>0</x:v>
      </x:c>
      <x:c r="G280" s="79" t="n">
        <x:f>ABS('Counter_PnL'!AT280-SUM('Counter_PnL'!AO280:'Counter_PnL'!AS280))</x:f>
        <x:v>0</x:v>
      </x:c>
      <x:c r="H280" s="79" t="n">
        <x:f>ABS('Counter_PnL'!AV280-('Counter_PnL'!AK280+'Counter_PnL'!AT280))</x:f>
        <x:v>0</x:v>
      </x:c>
      <x:c r="I280" s="79" t="n">
        <x:f>ABS('Counter_PnL'!BE280-SUM('Counter_PnL'!AX280:'Counter_PnL'!BB280,'Counter_PnL'!BD280))</x:f>
        <x:v>0</x:v>
      </x:c>
      <x:c r="J280" s="79" t="n">
        <x:f>ABS('Counter_PnL'!BL280-SUM('Counter_PnL'!AV280,'Counter_PnL'!BE280,'Counter_PnL'!BJ280,'Counter_PnL'!BK280))</x:f>
        <x:v>0</x:v>
      </x:c>
      <x:c r="K280" s="79" t="n">
        <x:f>ABS('Counter_PnL'!BO280-('Counter_PnL'!BL280+'Counter_PnL'!BN280))</x:f>
        <x:v>0</x:v>
      </x:c>
      <x:c r="L280" s="79" t="n">
        <x:f>MAX(ABS('Counter_PnL'!AW280-'Counter_PnL'!AV280/'Counter_PnL'!AK280),ABS('Counter_PnL'!BM280-'Counter_PnL'!BL280/'Counter_PnL'!AK280),ABS('Counter_PnL'!BP280-'Counter_PnL'!BO280/'Counter_PnL'!AK280))</x:f>
        <x:v>0</x:v>
      </x:c>
      <x:c r="M280" s="30" t="n">
        <x:f>IF(AND('Counter_PnL'!Q280&gt;0,'Counter_PnL'!AK280&gt;0,'Counter_PnL'!R280&lt;=0,'Counter_PnL'!T280&lt;=0,'Counter_PnL'!AT280&lt;=0,'Counter_PnL'!BE280&lt;=0,'Counter_PnL'!BJ280&lt;=0,'Counter_PnL'!BK280&lt;=0,'Counter_PnL'!BN280&lt;=0),0,1)</x:f>
        <x:v>0</x:v>
      </x:c>
    </x:row>
    <x:row r="281">
      <x:c r="A281" t="str">
        <x:f>'Counter_PnL'!D281</x:f>
        <x:v>CNCT0070</x:v>
      </x:c>
      <x:c r="B281" t="str">
        <x:f>'Counter_PnL'!C281</x:f>
        <x:v>2026 S2</x:v>
      </x:c>
      <x:c r="C281" s="30" t="n">
        <x:f>COUNTIFS('Counter_PnL'!$D$2:$D$641,A281,'Counter_PnL'!$C$2:$C$641,B281)</x:f>
        <x:v>1</x:v>
      </x:c>
      <x:c r="D281" s="79" t="n">
        <x:f>ABS('Counter_PnL'!AC281-SUM('Counter_PnL'!V281:'Counter_PnL'!AB281))</x:f>
        <x:v>0</x:v>
      </x:c>
      <x:c r="E281" s="79" t="n">
        <x:f>ABS('Counter_PnL'!AI281-SUM('Counter_PnL'!R281,'Counter_PnL'!T281,'Counter_PnL'!AC281,'Counter_PnL'!AE281,'Counter_PnL'!AG281,'Counter_PnL'!AH281))</x:f>
        <x:v>0</x:v>
      </x:c>
      <x:c r="F281" s="79" t="n">
        <x:f>ABS('Counter_PnL'!AK281-('Counter_PnL'!Q281+'Counter_PnL'!AI281))</x:f>
        <x:v>0</x:v>
      </x:c>
      <x:c r="G281" s="79" t="n">
        <x:f>ABS('Counter_PnL'!AT281-SUM('Counter_PnL'!AO281:'Counter_PnL'!AS281))</x:f>
        <x:v>0</x:v>
      </x:c>
      <x:c r="H281" s="79" t="n">
        <x:f>ABS('Counter_PnL'!AV281-('Counter_PnL'!AK281+'Counter_PnL'!AT281))</x:f>
        <x:v>0</x:v>
      </x:c>
      <x:c r="I281" s="79" t="n">
        <x:f>ABS('Counter_PnL'!BE281-SUM('Counter_PnL'!AX281:'Counter_PnL'!BB281,'Counter_PnL'!BD281))</x:f>
        <x:v>0</x:v>
      </x:c>
      <x:c r="J281" s="79" t="n">
        <x:f>ABS('Counter_PnL'!BL281-SUM('Counter_PnL'!AV281,'Counter_PnL'!BE281,'Counter_PnL'!BJ281,'Counter_PnL'!BK281))</x:f>
        <x:v>0</x:v>
      </x:c>
      <x:c r="K281" s="79" t="n">
        <x:f>ABS('Counter_PnL'!BO281-('Counter_PnL'!BL281+'Counter_PnL'!BN281))</x:f>
        <x:v>0</x:v>
      </x:c>
      <x:c r="L281" s="79" t="n">
        <x:f>MAX(ABS('Counter_PnL'!AW281-'Counter_PnL'!AV281/'Counter_PnL'!AK281),ABS('Counter_PnL'!BM281-'Counter_PnL'!BL281/'Counter_PnL'!AK281),ABS('Counter_PnL'!BP281-'Counter_PnL'!BO281/'Counter_PnL'!AK281))</x:f>
        <x:v>0</x:v>
      </x:c>
      <x:c r="M281" s="30" t="n">
        <x:f>IF(AND('Counter_PnL'!Q281&gt;0,'Counter_PnL'!AK281&gt;0,'Counter_PnL'!R281&lt;=0,'Counter_PnL'!T281&lt;=0,'Counter_PnL'!AT281&lt;=0,'Counter_PnL'!BE281&lt;=0,'Counter_PnL'!BJ281&lt;=0,'Counter_PnL'!BK281&lt;=0,'Counter_PnL'!BN281&lt;=0),0,1)</x:f>
        <x:v>0</x:v>
      </x:c>
    </x:row>
    <x:row r="282">
      <x:c r="A282" t="str">
        <x:f>'Counter_PnL'!D282</x:f>
        <x:v>CNCT0071</x:v>
      </x:c>
      <x:c r="B282" t="str">
        <x:f>'Counter_PnL'!C282</x:f>
        <x:v>2025 S1</x:v>
      </x:c>
      <x:c r="C282" s="30" t="n">
        <x:f>COUNTIFS('Counter_PnL'!$D$2:$D$641,A282,'Counter_PnL'!$C$2:$C$641,B282)</x:f>
        <x:v>1</x:v>
      </x:c>
      <x:c r="D282" s="79" t="n">
        <x:f>ABS('Counter_PnL'!AC282-SUM('Counter_PnL'!V282:'Counter_PnL'!AB282))</x:f>
        <x:v>0</x:v>
      </x:c>
      <x:c r="E282" s="79" t="n">
        <x:f>ABS('Counter_PnL'!AI282-SUM('Counter_PnL'!R282,'Counter_PnL'!T282,'Counter_PnL'!AC282,'Counter_PnL'!AE282,'Counter_PnL'!AG282,'Counter_PnL'!AH282))</x:f>
        <x:v>0</x:v>
      </x:c>
      <x:c r="F282" s="79" t="n">
        <x:f>ABS('Counter_PnL'!AK282-('Counter_PnL'!Q282+'Counter_PnL'!AI282))</x:f>
        <x:v>0</x:v>
      </x:c>
      <x:c r="G282" s="79" t="n">
        <x:f>ABS('Counter_PnL'!AT282-SUM('Counter_PnL'!AO282:'Counter_PnL'!AS282))</x:f>
        <x:v>0</x:v>
      </x:c>
      <x:c r="H282" s="79" t="n">
        <x:f>ABS('Counter_PnL'!AV282-('Counter_PnL'!AK282+'Counter_PnL'!AT282))</x:f>
        <x:v>0</x:v>
      </x:c>
      <x:c r="I282" s="79" t="n">
        <x:f>ABS('Counter_PnL'!BE282-SUM('Counter_PnL'!AX282:'Counter_PnL'!BB282,'Counter_PnL'!BD282))</x:f>
        <x:v>0</x:v>
      </x:c>
      <x:c r="J282" s="79" t="n">
        <x:f>ABS('Counter_PnL'!BL282-SUM('Counter_PnL'!AV282,'Counter_PnL'!BE282,'Counter_PnL'!BJ282,'Counter_PnL'!BK282))</x:f>
        <x:v>0</x:v>
      </x:c>
      <x:c r="K282" s="79" t="n">
        <x:f>ABS('Counter_PnL'!BO282-('Counter_PnL'!BL282+'Counter_PnL'!BN282))</x:f>
        <x:v>0</x:v>
      </x:c>
      <x:c r="L282" s="79" t="n">
        <x:f>MAX(ABS('Counter_PnL'!AW282-'Counter_PnL'!AV282/'Counter_PnL'!AK282),ABS('Counter_PnL'!BM282-'Counter_PnL'!BL282/'Counter_PnL'!AK282),ABS('Counter_PnL'!BP282-'Counter_PnL'!BO282/'Counter_PnL'!AK282))</x:f>
        <x:v>0</x:v>
      </x:c>
      <x:c r="M282" s="30" t="n">
        <x:f>IF(AND('Counter_PnL'!Q282&gt;0,'Counter_PnL'!AK282&gt;0,'Counter_PnL'!R282&lt;=0,'Counter_PnL'!T282&lt;=0,'Counter_PnL'!AT282&lt;=0,'Counter_PnL'!BE282&lt;=0,'Counter_PnL'!BJ282&lt;=0,'Counter_PnL'!BK282&lt;=0,'Counter_PnL'!BN282&lt;=0),0,1)</x:f>
        <x:v>0</x:v>
      </x:c>
    </x:row>
    <x:row r="283">
      <x:c r="A283" t="str">
        <x:f>'Counter_PnL'!D283</x:f>
        <x:v>CNCT0071</x:v>
      </x:c>
      <x:c r="B283" t="str">
        <x:f>'Counter_PnL'!C283</x:f>
        <x:v>2025 S2</x:v>
      </x:c>
      <x:c r="C283" s="30" t="n">
        <x:f>COUNTIFS('Counter_PnL'!$D$2:$D$641,A283,'Counter_PnL'!$C$2:$C$641,B283)</x:f>
        <x:v>1</x:v>
      </x:c>
      <x:c r="D283" s="79" t="n">
        <x:f>ABS('Counter_PnL'!AC283-SUM('Counter_PnL'!V283:'Counter_PnL'!AB283))</x:f>
        <x:v>0</x:v>
      </x:c>
      <x:c r="E283" s="79" t="n">
        <x:f>ABS('Counter_PnL'!AI283-SUM('Counter_PnL'!R283,'Counter_PnL'!T283,'Counter_PnL'!AC283,'Counter_PnL'!AE283,'Counter_PnL'!AG283,'Counter_PnL'!AH283))</x:f>
        <x:v>0</x:v>
      </x:c>
      <x:c r="F283" s="79" t="n">
        <x:f>ABS('Counter_PnL'!AK283-('Counter_PnL'!Q283+'Counter_PnL'!AI283))</x:f>
        <x:v>0</x:v>
      </x:c>
      <x:c r="G283" s="79" t="n">
        <x:f>ABS('Counter_PnL'!AT283-SUM('Counter_PnL'!AO283:'Counter_PnL'!AS283))</x:f>
        <x:v>0</x:v>
      </x:c>
      <x:c r="H283" s="79" t="n">
        <x:f>ABS('Counter_PnL'!AV283-('Counter_PnL'!AK283+'Counter_PnL'!AT283))</x:f>
        <x:v>0</x:v>
      </x:c>
      <x:c r="I283" s="79" t="n">
        <x:f>ABS('Counter_PnL'!BE283-SUM('Counter_PnL'!AX283:'Counter_PnL'!BB283,'Counter_PnL'!BD283))</x:f>
        <x:v>0</x:v>
      </x:c>
      <x:c r="J283" s="79" t="n">
        <x:f>ABS('Counter_PnL'!BL283-SUM('Counter_PnL'!AV283,'Counter_PnL'!BE283,'Counter_PnL'!BJ283,'Counter_PnL'!BK283))</x:f>
        <x:v>0</x:v>
      </x:c>
      <x:c r="K283" s="79" t="n">
        <x:f>ABS('Counter_PnL'!BO283-('Counter_PnL'!BL283+'Counter_PnL'!BN283))</x:f>
        <x:v>0</x:v>
      </x:c>
      <x:c r="L283" s="79" t="n">
        <x:f>MAX(ABS('Counter_PnL'!AW283-'Counter_PnL'!AV283/'Counter_PnL'!AK283),ABS('Counter_PnL'!BM283-'Counter_PnL'!BL283/'Counter_PnL'!AK283),ABS('Counter_PnL'!BP283-'Counter_PnL'!BO283/'Counter_PnL'!AK283))</x:f>
        <x:v>0</x:v>
      </x:c>
      <x:c r="M283" s="30" t="n">
        <x:f>IF(AND('Counter_PnL'!Q283&gt;0,'Counter_PnL'!AK283&gt;0,'Counter_PnL'!R283&lt;=0,'Counter_PnL'!T283&lt;=0,'Counter_PnL'!AT283&lt;=0,'Counter_PnL'!BE283&lt;=0,'Counter_PnL'!BJ283&lt;=0,'Counter_PnL'!BK283&lt;=0,'Counter_PnL'!BN283&lt;=0),0,1)</x:f>
        <x:v>0</x:v>
      </x:c>
    </x:row>
    <x:row r="284">
      <x:c r="A284" t="str">
        <x:f>'Counter_PnL'!D284</x:f>
        <x:v>CNCT0071</x:v>
      </x:c>
      <x:c r="B284" t="str">
        <x:f>'Counter_PnL'!C284</x:f>
        <x:v>2026 S1</x:v>
      </x:c>
      <x:c r="C284" s="30" t="n">
        <x:f>COUNTIFS('Counter_PnL'!$D$2:$D$641,A284,'Counter_PnL'!$C$2:$C$641,B284)</x:f>
        <x:v>1</x:v>
      </x:c>
      <x:c r="D284" s="79" t="n">
        <x:f>ABS('Counter_PnL'!AC284-SUM('Counter_PnL'!V284:'Counter_PnL'!AB284))</x:f>
        <x:v>0</x:v>
      </x:c>
      <x:c r="E284" s="79" t="n">
        <x:f>ABS('Counter_PnL'!AI284-SUM('Counter_PnL'!R284,'Counter_PnL'!T284,'Counter_PnL'!AC284,'Counter_PnL'!AE284,'Counter_PnL'!AG284,'Counter_PnL'!AH284))</x:f>
        <x:v>0</x:v>
      </x:c>
      <x:c r="F284" s="79" t="n">
        <x:f>ABS('Counter_PnL'!AK284-('Counter_PnL'!Q284+'Counter_PnL'!AI284))</x:f>
        <x:v>0</x:v>
      </x:c>
      <x:c r="G284" s="79" t="n">
        <x:f>ABS('Counter_PnL'!AT284-SUM('Counter_PnL'!AO284:'Counter_PnL'!AS284))</x:f>
        <x:v>0</x:v>
      </x:c>
      <x:c r="H284" s="79" t="n">
        <x:f>ABS('Counter_PnL'!AV284-('Counter_PnL'!AK284+'Counter_PnL'!AT284))</x:f>
        <x:v>0</x:v>
      </x:c>
      <x:c r="I284" s="79" t="n">
        <x:f>ABS('Counter_PnL'!BE284-SUM('Counter_PnL'!AX284:'Counter_PnL'!BB284,'Counter_PnL'!BD284))</x:f>
        <x:v>0</x:v>
      </x:c>
      <x:c r="J284" s="79" t="n">
        <x:f>ABS('Counter_PnL'!BL284-SUM('Counter_PnL'!AV284,'Counter_PnL'!BE284,'Counter_PnL'!BJ284,'Counter_PnL'!BK284))</x:f>
        <x:v>0</x:v>
      </x:c>
      <x:c r="K284" s="79" t="n">
        <x:f>ABS('Counter_PnL'!BO284-('Counter_PnL'!BL284+'Counter_PnL'!BN284))</x:f>
        <x:v>0</x:v>
      </x:c>
      <x:c r="L284" s="79" t="n">
        <x:f>MAX(ABS('Counter_PnL'!AW284-'Counter_PnL'!AV284/'Counter_PnL'!AK284),ABS('Counter_PnL'!BM284-'Counter_PnL'!BL284/'Counter_PnL'!AK284),ABS('Counter_PnL'!BP284-'Counter_PnL'!BO284/'Counter_PnL'!AK284))</x:f>
        <x:v>0</x:v>
      </x:c>
      <x:c r="M284" s="30" t="n">
        <x:f>IF(AND('Counter_PnL'!Q284&gt;0,'Counter_PnL'!AK284&gt;0,'Counter_PnL'!R284&lt;=0,'Counter_PnL'!T284&lt;=0,'Counter_PnL'!AT284&lt;=0,'Counter_PnL'!BE284&lt;=0,'Counter_PnL'!BJ284&lt;=0,'Counter_PnL'!BK284&lt;=0,'Counter_PnL'!BN284&lt;=0),0,1)</x:f>
        <x:v>0</x:v>
      </x:c>
    </x:row>
    <x:row r="285">
      <x:c r="A285" t="str">
        <x:f>'Counter_PnL'!D285</x:f>
        <x:v>CNCT0071</x:v>
      </x:c>
      <x:c r="B285" t="str">
        <x:f>'Counter_PnL'!C285</x:f>
        <x:v>2026 S2</x:v>
      </x:c>
      <x:c r="C285" s="30" t="n">
        <x:f>COUNTIFS('Counter_PnL'!$D$2:$D$641,A285,'Counter_PnL'!$C$2:$C$641,B285)</x:f>
        <x:v>1</x:v>
      </x:c>
      <x:c r="D285" s="79" t="n">
        <x:f>ABS('Counter_PnL'!AC285-SUM('Counter_PnL'!V285:'Counter_PnL'!AB285))</x:f>
        <x:v>0</x:v>
      </x:c>
      <x:c r="E285" s="79" t="n">
        <x:f>ABS('Counter_PnL'!AI285-SUM('Counter_PnL'!R285,'Counter_PnL'!T285,'Counter_PnL'!AC285,'Counter_PnL'!AE285,'Counter_PnL'!AG285,'Counter_PnL'!AH285))</x:f>
        <x:v>0</x:v>
      </x:c>
      <x:c r="F285" s="79" t="n">
        <x:f>ABS('Counter_PnL'!AK285-('Counter_PnL'!Q285+'Counter_PnL'!AI285))</x:f>
        <x:v>0</x:v>
      </x:c>
      <x:c r="G285" s="79" t="n">
        <x:f>ABS('Counter_PnL'!AT285-SUM('Counter_PnL'!AO285:'Counter_PnL'!AS285))</x:f>
        <x:v>0</x:v>
      </x:c>
      <x:c r="H285" s="79" t="n">
        <x:f>ABS('Counter_PnL'!AV285-('Counter_PnL'!AK285+'Counter_PnL'!AT285))</x:f>
        <x:v>0</x:v>
      </x:c>
      <x:c r="I285" s="79" t="n">
        <x:f>ABS('Counter_PnL'!BE285-SUM('Counter_PnL'!AX285:'Counter_PnL'!BB285,'Counter_PnL'!BD285))</x:f>
        <x:v>0</x:v>
      </x:c>
      <x:c r="J285" s="79" t="n">
        <x:f>ABS('Counter_PnL'!BL285-SUM('Counter_PnL'!AV285,'Counter_PnL'!BE285,'Counter_PnL'!BJ285,'Counter_PnL'!BK285))</x:f>
        <x:v>0</x:v>
      </x:c>
      <x:c r="K285" s="79" t="n">
        <x:f>ABS('Counter_PnL'!BO285-('Counter_PnL'!BL285+'Counter_PnL'!BN285))</x:f>
        <x:v>0</x:v>
      </x:c>
      <x:c r="L285" s="79" t="n">
        <x:f>MAX(ABS('Counter_PnL'!AW285-'Counter_PnL'!AV285/'Counter_PnL'!AK285),ABS('Counter_PnL'!BM285-'Counter_PnL'!BL285/'Counter_PnL'!AK285),ABS('Counter_PnL'!BP285-'Counter_PnL'!BO285/'Counter_PnL'!AK285))</x:f>
        <x:v>0</x:v>
      </x:c>
      <x:c r="M285" s="30" t="n">
        <x:f>IF(AND('Counter_PnL'!Q285&gt;0,'Counter_PnL'!AK285&gt;0,'Counter_PnL'!R285&lt;=0,'Counter_PnL'!T285&lt;=0,'Counter_PnL'!AT285&lt;=0,'Counter_PnL'!BE285&lt;=0,'Counter_PnL'!BJ285&lt;=0,'Counter_PnL'!BK285&lt;=0,'Counter_PnL'!BN285&lt;=0),0,1)</x:f>
        <x:v>0</x:v>
      </x:c>
    </x:row>
    <x:row r="286">
      <x:c r="A286" t="str">
        <x:f>'Counter_PnL'!D286</x:f>
        <x:v>CNCT0072</x:v>
      </x:c>
      <x:c r="B286" t="str">
        <x:f>'Counter_PnL'!C286</x:f>
        <x:v>2025 S1</x:v>
      </x:c>
      <x:c r="C286" s="30" t="n">
        <x:f>COUNTIFS('Counter_PnL'!$D$2:$D$641,A286,'Counter_PnL'!$C$2:$C$641,B286)</x:f>
        <x:v>1</x:v>
      </x:c>
      <x:c r="D286" s="79" t="n">
        <x:f>ABS('Counter_PnL'!AC286-SUM('Counter_PnL'!V286:'Counter_PnL'!AB286))</x:f>
        <x:v>0</x:v>
      </x:c>
      <x:c r="E286" s="79" t="n">
        <x:f>ABS('Counter_PnL'!AI286-SUM('Counter_PnL'!R286,'Counter_PnL'!T286,'Counter_PnL'!AC286,'Counter_PnL'!AE286,'Counter_PnL'!AG286,'Counter_PnL'!AH286))</x:f>
        <x:v>0</x:v>
      </x:c>
      <x:c r="F286" s="79" t="n">
        <x:f>ABS('Counter_PnL'!AK286-('Counter_PnL'!Q286+'Counter_PnL'!AI286))</x:f>
        <x:v>0</x:v>
      </x:c>
      <x:c r="G286" s="79" t="n">
        <x:f>ABS('Counter_PnL'!AT286-SUM('Counter_PnL'!AO286:'Counter_PnL'!AS286))</x:f>
        <x:v>0</x:v>
      </x:c>
      <x:c r="H286" s="79" t="n">
        <x:f>ABS('Counter_PnL'!AV286-('Counter_PnL'!AK286+'Counter_PnL'!AT286))</x:f>
        <x:v>0</x:v>
      </x:c>
      <x:c r="I286" s="79" t="n">
        <x:f>ABS('Counter_PnL'!BE286-SUM('Counter_PnL'!AX286:'Counter_PnL'!BB286,'Counter_PnL'!BD286))</x:f>
        <x:v>0</x:v>
      </x:c>
      <x:c r="J286" s="79" t="n">
        <x:f>ABS('Counter_PnL'!BL286-SUM('Counter_PnL'!AV286,'Counter_PnL'!BE286,'Counter_PnL'!BJ286,'Counter_PnL'!BK286))</x:f>
        <x:v>0</x:v>
      </x:c>
      <x:c r="K286" s="79" t="n">
        <x:f>ABS('Counter_PnL'!BO286-('Counter_PnL'!BL286+'Counter_PnL'!BN286))</x:f>
        <x:v>0</x:v>
      </x:c>
      <x:c r="L286" s="79" t="n">
        <x:f>MAX(ABS('Counter_PnL'!AW286-'Counter_PnL'!AV286/'Counter_PnL'!AK286),ABS('Counter_PnL'!BM286-'Counter_PnL'!BL286/'Counter_PnL'!AK286),ABS('Counter_PnL'!BP286-'Counter_PnL'!BO286/'Counter_PnL'!AK286))</x:f>
        <x:v>0</x:v>
      </x:c>
      <x:c r="M286" s="30" t="n">
        <x:f>IF(AND('Counter_PnL'!Q286&gt;0,'Counter_PnL'!AK286&gt;0,'Counter_PnL'!R286&lt;=0,'Counter_PnL'!T286&lt;=0,'Counter_PnL'!AT286&lt;=0,'Counter_PnL'!BE286&lt;=0,'Counter_PnL'!BJ286&lt;=0,'Counter_PnL'!BK286&lt;=0,'Counter_PnL'!BN286&lt;=0),0,1)</x:f>
        <x:v>0</x:v>
      </x:c>
    </x:row>
    <x:row r="287">
      <x:c r="A287" t="str">
        <x:f>'Counter_PnL'!D287</x:f>
        <x:v>CNCT0072</x:v>
      </x:c>
      <x:c r="B287" t="str">
        <x:f>'Counter_PnL'!C287</x:f>
        <x:v>2025 S2</x:v>
      </x:c>
      <x:c r="C287" s="30" t="n">
        <x:f>COUNTIFS('Counter_PnL'!$D$2:$D$641,A287,'Counter_PnL'!$C$2:$C$641,B287)</x:f>
        <x:v>1</x:v>
      </x:c>
      <x:c r="D287" s="79" t="n">
        <x:f>ABS('Counter_PnL'!AC287-SUM('Counter_PnL'!V287:'Counter_PnL'!AB287))</x:f>
        <x:v>0</x:v>
      </x:c>
      <x:c r="E287" s="79" t="n">
        <x:f>ABS('Counter_PnL'!AI287-SUM('Counter_PnL'!R287,'Counter_PnL'!T287,'Counter_PnL'!AC287,'Counter_PnL'!AE287,'Counter_PnL'!AG287,'Counter_PnL'!AH287))</x:f>
        <x:v>0</x:v>
      </x:c>
      <x:c r="F287" s="79" t="n">
        <x:f>ABS('Counter_PnL'!AK287-('Counter_PnL'!Q287+'Counter_PnL'!AI287))</x:f>
        <x:v>0</x:v>
      </x:c>
      <x:c r="G287" s="79" t="n">
        <x:f>ABS('Counter_PnL'!AT287-SUM('Counter_PnL'!AO287:'Counter_PnL'!AS287))</x:f>
        <x:v>0</x:v>
      </x:c>
      <x:c r="H287" s="79" t="n">
        <x:f>ABS('Counter_PnL'!AV287-('Counter_PnL'!AK287+'Counter_PnL'!AT287))</x:f>
        <x:v>0</x:v>
      </x:c>
      <x:c r="I287" s="79" t="n">
        <x:f>ABS('Counter_PnL'!BE287-SUM('Counter_PnL'!AX287:'Counter_PnL'!BB287,'Counter_PnL'!BD287))</x:f>
        <x:v>0</x:v>
      </x:c>
      <x:c r="J287" s="79" t="n">
        <x:f>ABS('Counter_PnL'!BL287-SUM('Counter_PnL'!AV287,'Counter_PnL'!BE287,'Counter_PnL'!BJ287,'Counter_PnL'!BK287))</x:f>
        <x:v>0</x:v>
      </x:c>
      <x:c r="K287" s="79" t="n">
        <x:f>ABS('Counter_PnL'!BO287-('Counter_PnL'!BL287+'Counter_PnL'!BN287))</x:f>
        <x:v>0</x:v>
      </x:c>
      <x:c r="L287" s="79" t="n">
        <x:f>MAX(ABS('Counter_PnL'!AW287-'Counter_PnL'!AV287/'Counter_PnL'!AK287),ABS('Counter_PnL'!BM287-'Counter_PnL'!BL287/'Counter_PnL'!AK287),ABS('Counter_PnL'!BP287-'Counter_PnL'!BO287/'Counter_PnL'!AK287))</x:f>
        <x:v>0</x:v>
      </x:c>
      <x:c r="M287" s="30" t="n">
        <x:f>IF(AND('Counter_PnL'!Q287&gt;0,'Counter_PnL'!AK287&gt;0,'Counter_PnL'!R287&lt;=0,'Counter_PnL'!T287&lt;=0,'Counter_PnL'!AT287&lt;=0,'Counter_PnL'!BE287&lt;=0,'Counter_PnL'!BJ287&lt;=0,'Counter_PnL'!BK287&lt;=0,'Counter_PnL'!BN287&lt;=0),0,1)</x:f>
        <x:v>0</x:v>
      </x:c>
    </x:row>
    <x:row r="288">
      <x:c r="A288" t="str">
        <x:f>'Counter_PnL'!D288</x:f>
        <x:v>CNCT0072</x:v>
      </x:c>
      <x:c r="B288" t="str">
        <x:f>'Counter_PnL'!C288</x:f>
        <x:v>2026 S1</x:v>
      </x:c>
      <x:c r="C288" s="30" t="n">
        <x:f>COUNTIFS('Counter_PnL'!$D$2:$D$641,A288,'Counter_PnL'!$C$2:$C$641,B288)</x:f>
        <x:v>1</x:v>
      </x:c>
      <x:c r="D288" s="79" t="n">
        <x:f>ABS('Counter_PnL'!AC288-SUM('Counter_PnL'!V288:'Counter_PnL'!AB288))</x:f>
        <x:v>0</x:v>
      </x:c>
      <x:c r="E288" s="79" t="n">
        <x:f>ABS('Counter_PnL'!AI288-SUM('Counter_PnL'!R288,'Counter_PnL'!T288,'Counter_PnL'!AC288,'Counter_PnL'!AE288,'Counter_PnL'!AG288,'Counter_PnL'!AH288))</x:f>
        <x:v>0</x:v>
      </x:c>
      <x:c r="F288" s="79" t="n">
        <x:f>ABS('Counter_PnL'!AK288-('Counter_PnL'!Q288+'Counter_PnL'!AI288))</x:f>
        <x:v>0</x:v>
      </x:c>
      <x:c r="G288" s="79" t="n">
        <x:f>ABS('Counter_PnL'!AT288-SUM('Counter_PnL'!AO288:'Counter_PnL'!AS288))</x:f>
        <x:v>0</x:v>
      </x:c>
      <x:c r="H288" s="79" t="n">
        <x:f>ABS('Counter_PnL'!AV288-('Counter_PnL'!AK288+'Counter_PnL'!AT288))</x:f>
        <x:v>0</x:v>
      </x:c>
      <x:c r="I288" s="79" t="n">
        <x:f>ABS('Counter_PnL'!BE288-SUM('Counter_PnL'!AX288:'Counter_PnL'!BB288,'Counter_PnL'!BD288))</x:f>
        <x:v>0</x:v>
      </x:c>
      <x:c r="J288" s="79" t="n">
        <x:f>ABS('Counter_PnL'!BL288-SUM('Counter_PnL'!AV288,'Counter_PnL'!BE288,'Counter_PnL'!BJ288,'Counter_PnL'!BK288))</x:f>
        <x:v>0</x:v>
      </x:c>
      <x:c r="K288" s="79" t="n">
        <x:f>ABS('Counter_PnL'!BO288-('Counter_PnL'!BL288+'Counter_PnL'!BN288))</x:f>
        <x:v>0</x:v>
      </x:c>
      <x:c r="L288" s="79" t="n">
        <x:f>MAX(ABS('Counter_PnL'!AW288-'Counter_PnL'!AV288/'Counter_PnL'!AK288),ABS('Counter_PnL'!BM288-'Counter_PnL'!BL288/'Counter_PnL'!AK288),ABS('Counter_PnL'!BP288-'Counter_PnL'!BO288/'Counter_PnL'!AK288))</x:f>
        <x:v>0</x:v>
      </x:c>
      <x:c r="M288" s="30" t="n">
        <x:f>IF(AND('Counter_PnL'!Q288&gt;0,'Counter_PnL'!AK288&gt;0,'Counter_PnL'!R288&lt;=0,'Counter_PnL'!T288&lt;=0,'Counter_PnL'!AT288&lt;=0,'Counter_PnL'!BE288&lt;=0,'Counter_PnL'!BJ288&lt;=0,'Counter_PnL'!BK288&lt;=0,'Counter_PnL'!BN288&lt;=0),0,1)</x:f>
        <x:v>0</x:v>
      </x:c>
    </x:row>
    <x:row r="289">
      <x:c r="A289" t="str">
        <x:f>'Counter_PnL'!D289</x:f>
        <x:v>CNCT0072</x:v>
      </x:c>
      <x:c r="B289" t="str">
        <x:f>'Counter_PnL'!C289</x:f>
        <x:v>2026 S2</x:v>
      </x:c>
      <x:c r="C289" s="30" t="n">
        <x:f>COUNTIFS('Counter_PnL'!$D$2:$D$641,A289,'Counter_PnL'!$C$2:$C$641,B289)</x:f>
        <x:v>1</x:v>
      </x:c>
      <x:c r="D289" s="79" t="n">
        <x:f>ABS('Counter_PnL'!AC289-SUM('Counter_PnL'!V289:'Counter_PnL'!AB289))</x:f>
        <x:v>0</x:v>
      </x:c>
      <x:c r="E289" s="79" t="n">
        <x:f>ABS('Counter_PnL'!AI289-SUM('Counter_PnL'!R289,'Counter_PnL'!T289,'Counter_PnL'!AC289,'Counter_PnL'!AE289,'Counter_PnL'!AG289,'Counter_PnL'!AH289))</x:f>
        <x:v>0</x:v>
      </x:c>
      <x:c r="F289" s="79" t="n">
        <x:f>ABS('Counter_PnL'!AK289-('Counter_PnL'!Q289+'Counter_PnL'!AI289))</x:f>
        <x:v>0</x:v>
      </x:c>
      <x:c r="G289" s="79" t="n">
        <x:f>ABS('Counter_PnL'!AT289-SUM('Counter_PnL'!AO289:'Counter_PnL'!AS289))</x:f>
        <x:v>0</x:v>
      </x:c>
      <x:c r="H289" s="79" t="n">
        <x:f>ABS('Counter_PnL'!AV289-('Counter_PnL'!AK289+'Counter_PnL'!AT289))</x:f>
        <x:v>0</x:v>
      </x:c>
      <x:c r="I289" s="79" t="n">
        <x:f>ABS('Counter_PnL'!BE289-SUM('Counter_PnL'!AX289:'Counter_PnL'!BB289,'Counter_PnL'!BD289))</x:f>
        <x:v>0</x:v>
      </x:c>
      <x:c r="J289" s="79" t="n">
        <x:f>ABS('Counter_PnL'!BL289-SUM('Counter_PnL'!AV289,'Counter_PnL'!BE289,'Counter_PnL'!BJ289,'Counter_PnL'!BK289))</x:f>
        <x:v>0</x:v>
      </x:c>
      <x:c r="K289" s="79" t="n">
        <x:f>ABS('Counter_PnL'!BO289-('Counter_PnL'!BL289+'Counter_PnL'!BN289))</x:f>
        <x:v>0</x:v>
      </x:c>
      <x:c r="L289" s="79" t="n">
        <x:f>MAX(ABS('Counter_PnL'!AW289-'Counter_PnL'!AV289/'Counter_PnL'!AK289),ABS('Counter_PnL'!BM289-'Counter_PnL'!BL289/'Counter_PnL'!AK289),ABS('Counter_PnL'!BP289-'Counter_PnL'!BO289/'Counter_PnL'!AK289))</x:f>
        <x:v>0</x:v>
      </x:c>
      <x:c r="M289" s="30" t="n">
        <x:f>IF(AND('Counter_PnL'!Q289&gt;0,'Counter_PnL'!AK289&gt;0,'Counter_PnL'!R289&lt;=0,'Counter_PnL'!T289&lt;=0,'Counter_PnL'!AT289&lt;=0,'Counter_PnL'!BE289&lt;=0,'Counter_PnL'!BJ289&lt;=0,'Counter_PnL'!BK289&lt;=0,'Counter_PnL'!BN289&lt;=0),0,1)</x:f>
        <x:v>0</x:v>
      </x:c>
    </x:row>
    <x:row r="290">
      <x:c r="A290" t="str">
        <x:f>'Counter_PnL'!D290</x:f>
        <x:v>CNCT0073</x:v>
      </x:c>
      <x:c r="B290" t="str">
        <x:f>'Counter_PnL'!C290</x:f>
        <x:v>2025 S1</x:v>
      </x:c>
      <x:c r="C290" s="30" t="n">
        <x:f>COUNTIFS('Counter_PnL'!$D$2:$D$641,A290,'Counter_PnL'!$C$2:$C$641,B290)</x:f>
        <x:v>1</x:v>
      </x:c>
      <x:c r="D290" s="79" t="n">
        <x:f>ABS('Counter_PnL'!AC290-SUM('Counter_PnL'!V290:'Counter_PnL'!AB290))</x:f>
        <x:v>0</x:v>
      </x:c>
      <x:c r="E290" s="79" t="n">
        <x:f>ABS('Counter_PnL'!AI290-SUM('Counter_PnL'!R290,'Counter_PnL'!T290,'Counter_PnL'!AC290,'Counter_PnL'!AE290,'Counter_PnL'!AG290,'Counter_PnL'!AH290))</x:f>
        <x:v>0</x:v>
      </x:c>
      <x:c r="F290" s="79" t="n">
        <x:f>ABS('Counter_PnL'!AK290-('Counter_PnL'!Q290+'Counter_PnL'!AI290))</x:f>
        <x:v>0</x:v>
      </x:c>
      <x:c r="G290" s="79" t="n">
        <x:f>ABS('Counter_PnL'!AT290-SUM('Counter_PnL'!AO290:'Counter_PnL'!AS290))</x:f>
        <x:v>0</x:v>
      </x:c>
      <x:c r="H290" s="79" t="n">
        <x:f>ABS('Counter_PnL'!AV290-('Counter_PnL'!AK290+'Counter_PnL'!AT290))</x:f>
        <x:v>0</x:v>
      </x:c>
      <x:c r="I290" s="79" t="n">
        <x:f>ABS('Counter_PnL'!BE290-SUM('Counter_PnL'!AX290:'Counter_PnL'!BB290,'Counter_PnL'!BD290))</x:f>
        <x:v>0</x:v>
      </x:c>
      <x:c r="J290" s="79" t="n">
        <x:f>ABS('Counter_PnL'!BL290-SUM('Counter_PnL'!AV290,'Counter_PnL'!BE290,'Counter_PnL'!BJ290,'Counter_PnL'!BK290))</x:f>
        <x:v>0</x:v>
      </x:c>
      <x:c r="K290" s="79" t="n">
        <x:f>ABS('Counter_PnL'!BO290-('Counter_PnL'!BL290+'Counter_PnL'!BN290))</x:f>
        <x:v>0</x:v>
      </x:c>
      <x:c r="L290" s="79" t="n">
        <x:f>MAX(ABS('Counter_PnL'!AW290-'Counter_PnL'!AV290/'Counter_PnL'!AK290),ABS('Counter_PnL'!BM290-'Counter_PnL'!BL290/'Counter_PnL'!AK290),ABS('Counter_PnL'!BP290-'Counter_PnL'!BO290/'Counter_PnL'!AK290))</x:f>
        <x:v>0</x:v>
      </x:c>
      <x:c r="M290" s="30" t="n">
        <x:f>IF(AND('Counter_PnL'!Q290&gt;0,'Counter_PnL'!AK290&gt;0,'Counter_PnL'!R290&lt;=0,'Counter_PnL'!T290&lt;=0,'Counter_PnL'!AT290&lt;=0,'Counter_PnL'!BE290&lt;=0,'Counter_PnL'!BJ290&lt;=0,'Counter_PnL'!BK290&lt;=0,'Counter_PnL'!BN290&lt;=0),0,1)</x:f>
        <x:v>0</x:v>
      </x:c>
    </x:row>
    <x:row r="291">
      <x:c r="A291" t="str">
        <x:f>'Counter_PnL'!D291</x:f>
        <x:v>CNCT0073</x:v>
      </x:c>
      <x:c r="B291" t="str">
        <x:f>'Counter_PnL'!C291</x:f>
        <x:v>2025 S2</x:v>
      </x:c>
      <x:c r="C291" s="30" t="n">
        <x:f>COUNTIFS('Counter_PnL'!$D$2:$D$641,A291,'Counter_PnL'!$C$2:$C$641,B291)</x:f>
        <x:v>1</x:v>
      </x:c>
      <x:c r="D291" s="79" t="n">
        <x:f>ABS('Counter_PnL'!AC291-SUM('Counter_PnL'!V291:'Counter_PnL'!AB291))</x:f>
        <x:v>0</x:v>
      </x:c>
      <x:c r="E291" s="79" t="n">
        <x:f>ABS('Counter_PnL'!AI291-SUM('Counter_PnL'!R291,'Counter_PnL'!T291,'Counter_PnL'!AC291,'Counter_PnL'!AE291,'Counter_PnL'!AG291,'Counter_PnL'!AH291))</x:f>
        <x:v>0</x:v>
      </x:c>
      <x:c r="F291" s="79" t="n">
        <x:f>ABS('Counter_PnL'!AK291-('Counter_PnL'!Q291+'Counter_PnL'!AI291))</x:f>
        <x:v>0</x:v>
      </x:c>
      <x:c r="G291" s="79" t="n">
        <x:f>ABS('Counter_PnL'!AT291-SUM('Counter_PnL'!AO291:'Counter_PnL'!AS291))</x:f>
        <x:v>0</x:v>
      </x:c>
      <x:c r="H291" s="79" t="n">
        <x:f>ABS('Counter_PnL'!AV291-('Counter_PnL'!AK291+'Counter_PnL'!AT291))</x:f>
        <x:v>0</x:v>
      </x:c>
      <x:c r="I291" s="79" t="n">
        <x:f>ABS('Counter_PnL'!BE291-SUM('Counter_PnL'!AX291:'Counter_PnL'!BB291,'Counter_PnL'!BD291))</x:f>
        <x:v>0</x:v>
      </x:c>
      <x:c r="J291" s="79" t="n">
        <x:f>ABS('Counter_PnL'!BL291-SUM('Counter_PnL'!AV291,'Counter_PnL'!BE291,'Counter_PnL'!BJ291,'Counter_PnL'!BK291))</x:f>
        <x:v>0</x:v>
      </x:c>
      <x:c r="K291" s="79" t="n">
        <x:f>ABS('Counter_PnL'!BO291-('Counter_PnL'!BL291+'Counter_PnL'!BN291))</x:f>
        <x:v>0</x:v>
      </x:c>
      <x:c r="L291" s="79" t="n">
        <x:f>MAX(ABS('Counter_PnL'!AW291-'Counter_PnL'!AV291/'Counter_PnL'!AK291),ABS('Counter_PnL'!BM291-'Counter_PnL'!BL291/'Counter_PnL'!AK291),ABS('Counter_PnL'!BP291-'Counter_PnL'!BO291/'Counter_PnL'!AK291))</x:f>
        <x:v>0</x:v>
      </x:c>
      <x:c r="M291" s="30" t="n">
        <x:f>IF(AND('Counter_PnL'!Q291&gt;0,'Counter_PnL'!AK291&gt;0,'Counter_PnL'!R291&lt;=0,'Counter_PnL'!T291&lt;=0,'Counter_PnL'!AT291&lt;=0,'Counter_PnL'!BE291&lt;=0,'Counter_PnL'!BJ291&lt;=0,'Counter_PnL'!BK291&lt;=0,'Counter_PnL'!BN291&lt;=0),0,1)</x:f>
        <x:v>0</x:v>
      </x:c>
    </x:row>
    <x:row r="292">
      <x:c r="A292" t="str">
        <x:f>'Counter_PnL'!D292</x:f>
        <x:v>CNCT0073</x:v>
      </x:c>
      <x:c r="B292" t="str">
        <x:f>'Counter_PnL'!C292</x:f>
        <x:v>2026 S1</x:v>
      </x:c>
      <x:c r="C292" s="30" t="n">
        <x:f>COUNTIFS('Counter_PnL'!$D$2:$D$641,A292,'Counter_PnL'!$C$2:$C$641,B292)</x:f>
        <x:v>1</x:v>
      </x:c>
      <x:c r="D292" s="79" t="n">
        <x:f>ABS('Counter_PnL'!AC292-SUM('Counter_PnL'!V292:'Counter_PnL'!AB292))</x:f>
        <x:v>0</x:v>
      </x:c>
      <x:c r="E292" s="79" t="n">
        <x:f>ABS('Counter_PnL'!AI292-SUM('Counter_PnL'!R292,'Counter_PnL'!T292,'Counter_PnL'!AC292,'Counter_PnL'!AE292,'Counter_PnL'!AG292,'Counter_PnL'!AH292))</x:f>
        <x:v>0</x:v>
      </x:c>
      <x:c r="F292" s="79" t="n">
        <x:f>ABS('Counter_PnL'!AK292-('Counter_PnL'!Q292+'Counter_PnL'!AI292))</x:f>
        <x:v>0</x:v>
      </x:c>
      <x:c r="G292" s="79" t="n">
        <x:f>ABS('Counter_PnL'!AT292-SUM('Counter_PnL'!AO292:'Counter_PnL'!AS292))</x:f>
        <x:v>0</x:v>
      </x:c>
      <x:c r="H292" s="79" t="n">
        <x:f>ABS('Counter_PnL'!AV292-('Counter_PnL'!AK292+'Counter_PnL'!AT292))</x:f>
        <x:v>0</x:v>
      </x:c>
      <x:c r="I292" s="79" t="n">
        <x:f>ABS('Counter_PnL'!BE292-SUM('Counter_PnL'!AX292:'Counter_PnL'!BB292,'Counter_PnL'!BD292))</x:f>
        <x:v>0</x:v>
      </x:c>
      <x:c r="J292" s="79" t="n">
        <x:f>ABS('Counter_PnL'!BL292-SUM('Counter_PnL'!AV292,'Counter_PnL'!BE292,'Counter_PnL'!BJ292,'Counter_PnL'!BK292))</x:f>
        <x:v>0</x:v>
      </x:c>
      <x:c r="K292" s="79" t="n">
        <x:f>ABS('Counter_PnL'!BO292-('Counter_PnL'!BL292+'Counter_PnL'!BN292))</x:f>
        <x:v>0</x:v>
      </x:c>
      <x:c r="L292" s="79" t="n">
        <x:f>MAX(ABS('Counter_PnL'!AW292-'Counter_PnL'!AV292/'Counter_PnL'!AK292),ABS('Counter_PnL'!BM292-'Counter_PnL'!BL292/'Counter_PnL'!AK292),ABS('Counter_PnL'!BP292-'Counter_PnL'!BO292/'Counter_PnL'!AK292))</x:f>
        <x:v>0</x:v>
      </x:c>
      <x:c r="M292" s="30" t="n">
        <x:f>IF(AND('Counter_PnL'!Q292&gt;0,'Counter_PnL'!AK292&gt;0,'Counter_PnL'!R292&lt;=0,'Counter_PnL'!T292&lt;=0,'Counter_PnL'!AT292&lt;=0,'Counter_PnL'!BE292&lt;=0,'Counter_PnL'!BJ292&lt;=0,'Counter_PnL'!BK292&lt;=0,'Counter_PnL'!BN292&lt;=0),0,1)</x:f>
        <x:v>0</x:v>
      </x:c>
    </x:row>
    <x:row r="293">
      <x:c r="A293" t="str">
        <x:f>'Counter_PnL'!D293</x:f>
        <x:v>CNCT0073</x:v>
      </x:c>
      <x:c r="B293" t="str">
        <x:f>'Counter_PnL'!C293</x:f>
        <x:v>2026 S2</x:v>
      </x:c>
      <x:c r="C293" s="30" t="n">
        <x:f>COUNTIFS('Counter_PnL'!$D$2:$D$641,A293,'Counter_PnL'!$C$2:$C$641,B293)</x:f>
        <x:v>1</x:v>
      </x:c>
      <x:c r="D293" s="79" t="n">
        <x:f>ABS('Counter_PnL'!AC293-SUM('Counter_PnL'!V293:'Counter_PnL'!AB293))</x:f>
        <x:v>0</x:v>
      </x:c>
      <x:c r="E293" s="79" t="n">
        <x:f>ABS('Counter_PnL'!AI293-SUM('Counter_PnL'!R293,'Counter_PnL'!T293,'Counter_PnL'!AC293,'Counter_PnL'!AE293,'Counter_PnL'!AG293,'Counter_PnL'!AH293))</x:f>
        <x:v>0</x:v>
      </x:c>
      <x:c r="F293" s="79" t="n">
        <x:f>ABS('Counter_PnL'!AK293-('Counter_PnL'!Q293+'Counter_PnL'!AI293))</x:f>
        <x:v>0</x:v>
      </x:c>
      <x:c r="G293" s="79" t="n">
        <x:f>ABS('Counter_PnL'!AT293-SUM('Counter_PnL'!AO293:'Counter_PnL'!AS293))</x:f>
        <x:v>0</x:v>
      </x:c>
      <x:c r="H293" s="79" t="n">
        <x:f>ABS('Counter_PnL'!AV293-('Counter_PnL'!AK293+'Counter_PnL'!AT293))</x:f>
        <x:v>0</x:v>
      </x:c>
      <x:c r="I293" s="79" t="n">
        <x:f>ABS('Counter_PnL'!BE293-SUM('Counter_PnL'!AX293:'Counter_PnL'!BB293,'Counter_PnL'!BD293))</x:f>
        <x:v>0</x:v>
      </x:c>
      <x:c r="J293" s="79" t="n">
        <x:f>ABS('Counter_PnL'!BL293-SUM('Counter_PnL'!AV293,'Counter_PnL'!BE293,'Counter_PnL'!BJ293,'Counter_PnL'!BK293))</x:f>
        <x:v>0</x:v>
      </x:c>
      <x:c r="K293" s="79" t="n">
        <x:f>ABS('Counter_PnL'!BO293-('Counter_PnL'!BL293+'Counter_PnL'!BN293))</x:f>
        <x:v>0</x:v>
      </x:c>
      <x:c r="L293" s="79" t="n">
        <x:f>MAX(ABS('Counter_PnL'!AW293-'Counter_PnL'!AV293/'Counter_PnL'!AK293),ABS('Counter_PnL'!BM293-'Counter_PnL'!BL293/'Counter_PnL'!AK293),ABS('Counter_PnL'!BP293-'Counter_PnL'!BO293/'Counter_PnL'!AK293))</x:f>
        <x:v>0</x:v>
      </x:c>
      <x:c r="M293" s="30" t="n">
        <x:f>IF(AND('Counter_PnL'!Q293&gt;0,'Counter_PnL'!AK293&gt;0,'Counter_PnL'!R293&lt;=0,'Counter_PnL'!T293&lt;=0,'Counter_PnL'!AT293&lt;=0,'Counter_PnL'!BE293&lt;=0,'Counter_PnL'!BJ293&lt;=0,'Counter_PnL'!BK293&lt;=0,'Counter_PnL'!BN293&lt;=0),0,1)</x:f>
        <x:v>0</x:v>
      </x:c>
    </x:row>
    <x:row r="294">
      <x:c r="A294" t="str">
        <x:f>'Counter_PnL'!D294</x:f>
        <x:v>CNCT0074</x:v>
      </x:c>
      <x:c r="B294" t="str">
        <x:f>'Counter_PnL'!C294</x:f>
        <x:v>2025 S1</x:v>
      </x:c>
      <x:c r="C294" s="30" t="n">
        <x:f>COUNTIFS('Counter_PnL'!$D$2:$D$641,A294,'Counter_PnL'!$C$2:$C$641,B294)</x:f>
        <x:v>1</x:v>
      </x:c>
      <x:c r="D294" s="79" t="n">
        <x:f>ABS('Counter_PnL'!AC294-SUM('Counter_PnL'!V294:'Counter_PnL'!AB294))</x:f>
        <x:v>0</x:v>
      </x:c>
      <x:c r="E294" s="79" t="n">
        <x:f>ABS('Counter_PnL'!AI294-SUM('Counter_PnL'!R294,'Counter_PnL'!T294,'Counter_PnL'!AC294,'Counter_PnL'!AE294,'Counter_PnL'!AG294,'Counter_PnL'!AH294))</x:f>
        <x:v>0</x:v>
      </x:c>
      <x:c r="F294" s="79" t="n">
        <x:f>ABS('Counter_PnL'!AK294-('Counter_PnL'!Q294+'Counter_PnL'!AI294))</x:f>
        <x:v>0</x:v>
      </x:c>
      <x:c r="G294" s="79" t="n">
        <x:f>ABS('Counter_PnL'!AT294-SUM('Counter_PnL'!AO294:'Counter_PnL'!AS294))</x:f>
        <x:v>0</x:v>
      </x:c>
      <x:c r="H294" s="79" t="n">
        <x:f>ABS('Counter_PnL'!AV294-('Counter_PnL'!AK294+'Counter_PnL'!AT294))</x:f>
        <x:v>0</x:v>
      </x:c>
      <x:c r="I294" s="79" t="n">
        <x:f>ABS('Counter_PnL'!BE294-SUM('Counter_PnL'!AX294:'Counter_PnL'!BB294,'Counter_PnL'!BD294))</x:f>
        <x:v>0</x:v>
      </x:c>
      <x:c r="J294" s="79" t="n">
        <x:f>ABS('Counter_PnL'!BL294-SUM('Counter_PnL'!AV294,'Counter_PnL'!BE294,'Counter_PnL'!BJ294,'Counter_PnL'!BK294))</x:f>
        <x:v>0</x:v>
      </x:c>
      <x:c r="K294" s="79" t="n">
        <x:f>ABS('Counter_PnL'!BO294-('Counter_PnL'!BL294+'Counter_PnL'!BN294))</x:f>
        <x:v>0</x:v>
      </x:c>
      <x:c r="L294" s="79" t="n">
        <x:f>MAX(ABS('Counter_PnL'!AW294-'Counter_PnL'!AV294/'Counter_PnL'!AK294),ABS('Counter_PnL'!BM294-'Counter_PnL'!BL294/'Counter_PnL'!AK294),ABS('Counter_PnL'!BP294-'Counter_PnL'!BO294/'Counter_PnL'!AK294))</x:f>
        <x:v>0</x:v>
      </x:c>
      <x:c r="M294" s="30" t="n">
        <x:f>IF(AND('Counter_PnL'!Q294&gt;0,'Counter_PnL'!AK294&gt;0,'Counter_PnL'!R294&lt;=0,'Counter_PnL'!T294&lt;=0,'Counter_PnL'!AT294&lt;=0,'Counter_PnL'!BE294&lt;=0,'Counter_PnL'!BJ294&lt;=0,'Counter_PnL'!BK294&lt;=0,'Counter_PnL'!BN294&lt;=0),0,1)</x:f>
        <x:v>0</x:v>
      </x:c>
    </x:row>
    <x:row r="295">
      <x:c r="A295" t="str">
        <x:f>'Counter_PnL'!D295</x:f>
        <x:v>CNCT0074</x:v>
      </x:c>
      <x:c r="B295" t="str">
        <x:f>'Counter_PnL'!C295</x:f>
        <x:v>2025 S2</x:v>
      </x:c>
      <x:c r="C295" s="30" t="n">
        <x:f>COUNTIFS('Counter_PnL'!$D$2:$D$641,A295,'Counter_PnL'!$C$2:$C$641,B295)</x:f>
        <x:v>1</x:v>
      </x:c>
      <x:c r="D295" s="79" t="n">
        <x:f>ABS('Counter_PnL'!AC295-SUM('Counter_PnL'!V295:'Counter_PnL'!AB295))</x:f>
        <x:v>0</x:v>
      </x:c>
      <x:c r="E295" s="79" t="n">
        <x:f>ABS('Counter_PnL'!AI295-SUM('Counter_PnL'!R295,'Counter_PnL'!T295,'Counter_PnL'!AC295,'Counter_PnL'!AE295,'Counter_PnL'!AG295,'Counter_PnL'!AH295))</x:f>
        <x:v>0</x:v>
      </x:c>
      <x:c r="F295" s="79" t="n">
        <x:f>ABS('Counter_PnL'!AK295-('Counter_PnL'!Q295+'Counter_PnL'!AI295))</x:f>
        <x:v>0</x:v>
      </x:c>
      <x:c r="G295" s="79" t="n">
        <x:f>ABS('Counter_PnL'!AT295-SUM('Counter_PnL'!AO295:'Counter_PnL'!AS295))</x:f>
        <x:v>0</x:v>
      </x:c>
      <x:c r="H295" s="79" t="n">
        <x:f>ABS('Counter_PnL'!AV295-('Counter_PnL'!AK295+'Counter_PnL'!AT295))</x:f>
        <x:v>0</x:v>
      </x:c>
      <x:c r="I295" s="79" t="n">
        <x:f>ABS('Counter_PnL'!BE295-SUM('Counter_PnL'!AX295:'Counter_PnL'!BB295,'Counter_PnL'!BD295))</x:f>
        <x:v>0</x:v>
      </x:c>
      <x:c r="J295" s="79" t="n">
        <x:f>ABS('Counter_PnL'!BL295-SUM('Counter_PnL'!AV295,'Counter_PnL'!BE295,'Counter_PnL'!BJ295,'Counter_PnL'!BK295))</x:f>
        <x:v>0</x:v>
      </x:c>
      <x:c r="K295" s="79" t="n">
        <x:f>ABS('Counter_PnL'!BO295-('Counter_PnL'!BL295+'Counter_PnL'!BN295))</x:f>
        <x:v>0</x:v>
      </x:c>
      <x:c r="L295" s="79" t="n">
        <x:f>MAX(ABS('Counter_PnL'!AW295-'Counter_PnL'!AV295/'Counter_PnL'!AK295),ABS('Counter_PnL'!BM295-'Counter_PnL'!BL295/'Counter_PnL'!AK295),ABS('Counter_PnL'!BP295-'Counter_PnL'!BO295/'Counter_PnL'!AK295))</x:f>
        <x:v>0</x:v>
      </x:c>
      <x:c r="M295" s="30" t="n">
        <x:f>IF(AND('Counter_PnL'!Q295&gt;0,'Counter_PnL'!AK295&gt;0,'Counter_PnL'!R295&lt;=0,'Counter_PnL'!T295&lt;=0,'Counter_PnL'!AT295&lt;=0,'Counter_PnL'!BE295&lt;=0,'Counter_PnL'!BJ295&lt;=0,'Counter_PnL'!BK295&lt;=0,'Counter_PnL'!BN295&lt;=0),0,1)</x:f>
        <x:v>0</x:v>
      </x:c>
    </x:row>
    <x:row r="296">
      <x:c r="A296" t="str">
        <x:f>'Counter_PnL'!D296</x:f>
        <x:v>CNCT0074</x:v>
      </x:c>
      <x:c r="B296" t="str">
        <x:f>'Counter_PnL'!C296</x:f>
        <x:v>2026 S1</x:v>
      </x:c>
      <x:c r="C296" s="30" t="n">
        <x:f>COUNTIFS('Counter_PnL'!$D$2:$D$641,A296,'Counter_PnL'!$C$2:$C$641,B296)</x:f>
        <x:v>1</x:v>
      </x:c>
      <x:c r="D296" s="79" t="n">
        <x:f>ABS('Counter_PnL'!AC296-SUM('Counter_PnL'!V296:'Counter_PnL'!AB296))</x:f>
        <x:v>0</x:v>
      </x:c>
      <x:c r="E296" s="79" t="n">
        <x:f>ABS('Counter_PnL'!AI296-SUM('Counter_PnL'!R296,'Counter_PnL'!T296,'Counter_PnL'!AC296,'Counter_PnL'!AE296,'Counter_PnL'!AG296,'Counter_PnL'!AH296))</x:f>
        <x:v>0</x:v>
      </x:c>
      <x:c r="F296" s="79" t="n">
        <x:f>ABS('Counter_PnL'!AK296-('Counter_PnL'!Q296+'Counter_PnL'!AI296))</x:f>
        <x:v>0</x:v>
      </x:c>
      <x:c r="G296" s="79" t="n">
        <x:f>ABS('Counter_PnL'!AT296-SUM('Counter_PnL'!AO296:'Counter_PnL'!AS296))</x:f>
        <x:v>0</x:v>
      </x:c>
      <x:c r="H296" s="79" t="n">
        <x:f>ABS('Counter_PnL'!AV296-('Counter_PnL'!AK296+'Counter_PnL'!AT296))</x:f>
        <x:v>0</x:v>
      </x:c>
      <x:c r="I296" s="79" t="n">
        <x:f>ABS('Counter_PnL'!BE296-SUM('Counter_PnL'!AX296:'Counter_PnL'!BB296,'Counter_PnL'!BD296))</x:f>
        <x:v>0</x:v>
      </x:c>
      <x:c r="J296" s="79" t="n">
        <x:f>ABS('Counter_PnL'!BL296-SUM('Counter_PnL'!AV296,'Counter_PnL'!BE296,'Counter_PnL'!BJ296,'Counter_PnL'!BK296))</x:f>
        <x:v>0</x:v>
      </x:c>
      <x:c r="K296" s="79" t="n">
        <x:f>ABS('Counter_PnL'!BO296-('Counter_PnL'!BL296+'Counter_PnL'!BN296))</x:f>
        <x:v>0</x:v>
      </x:c>
      <x:c r="L296" s="79" t="n">
        <x:f>MAX(ABS('Counter_PnL'!AW296-'Counter_PnL'!AV296/'Counter_PnL'!AK296),ABS('Counter_PnL'!BM296-'Counter_PnL'!BL296/'Counter_PnL'!AK296),ABS('Counter_PnL'!BP296-'Counter_PnL'!BO296/'Counter_PnL'!AK296))</x:f>
        <x:v>0</x:v>
      </x:c>
      <x:c r="M296" s="30" t="n">
        <x:f>IF(AND('Counter_PnL'!Q296&gt;0,'Counter_PnL'!AK296&gt;0,'Counter_PnL'!R296&lt;=0,'Counter_PnL'!T296&lt;=0,'Counter_PnL'!AT296&lt;=0,'Counter_PnL'!BE296&lt;=0,'Counter_PnL'!BJ296&lt;=0,'Counter_PnL'!BK296&lt;=0,'Counter_PnL'!BN296&lt;=0),0,1)</x:f>
        <x:v>0</x:v>
      </x:c>
    </x:row>
    <x:row r="297">
      <x:c r="A297" t="str">
        <x:f>'Counter_PnL'!D297</x:f>
        <x:v>CNCT0074</x:v>
      </x:c>
      <x:c r="B297" t="str">
        <x:f>'Counter_PnL'!C297</x:f>
        <x:v>2026 S2</x:v>
      </x:c>
      <x:c r="C297" s="30" t="n">
        <x:f>COUNTIFS('Counter_PnL'!$D$2:$D$641,A297,'Counter_PnL'!$C$2:$C$641,B297)</x:f>
        <x:v>1</x:v>
      </x:c>
      <x:c r="D297" s="79" t="n">
        <x:f>ABS('Counter_PnL'!AC297-SUM('Counter_PnL'!V297:'Counter_PnL'!AB297))</x:f>
        <x:v>0</x:v>
      </x:c>
      <x:c r="E297" s="79" t="n">
        <x:f>ABS('Counter_PnL'!AI297-SUM('Counter_PnL'!R297,'Counter_PnL'!T297,'Counter_PnL'!AC297,'Counter_PnL'!AE297,'Counter_PnL'!AG297,'Counter_PnL'!AH297))</x:f>
        <x:v>0</x:v>
      </x:c>
      <x:c r="F297" s="79" t="n">
        <x:f>ABS('Counter_PnL'!AK297-('Counter_PnL'!Q297+'Counter_PnL'!AI297))</x:f>
        <x:v>0</x:v>
      </x:c>
      <x:c r="G297" s="79" t="n">
        <x:f>ABS('Counter_PnL'!AT297-SUM('Counter_PnL'!AO297:'Counter_PnL'!AS297))</x:f>
        <x:v>0</x:v>
      </x:c>
      <x:c r="H297" s="79" t="n">
        <x:f>ABS('Counter_PnL'!AV297-('Counter_PnL'!AK297+'Counter_PnL'!AT297))</x:f>
        <x:v>0</x:v>
      </x:c>
      <x:c r="I297" s="79" t="n">
        <x:f>ABS('Counter_PnL'!BE297-SUM('Counter_PnL'!AX297:'Counter_PnL'!BB297,'Counter_PnL'!BD297))</x:f>
        <x:v>0</x:v>
      </x:c>
      <x:c r="J297" s="79" t="n">
        <x:f>ABS('Counter_PnL'!BL297-SUM('Counter_PnL'!AV297,'Counter_PnL'!BE297,'Counter_PnL'!BJ297,'Counter_PnL'!BK297))</x:f>
        <x:v>0</x:v>
      </x:c>
      <x:c r="K297" s="79" t="n">
        <x:f>ABS('Counter_PnL'!BO297-('Counter_PnL'!BL297+'Counter_PnL'!BN297))</x:f>
        <x:v>0</x:v>
      </x:c>
      <x:c r="L297" s="79" t="n">
        <x:f>MAX(ABS('Counter_PnL'!AW297-'Counter_PnL'!AV297/'Counter_PnL'!AK297),ABS('Counter_PnL'!BM297-'Counter_PnL'!BL297/'Counter_PnL'!AK297),ABS('Counter_PnL'!BP297-'Counter_PnL'!BO297/'Counter_PnL'!AK297))</x:f>
        <x:v>0</x:v>
      </x:c>
      <x:c r="M297" s="30" t="n">
        <x:f>IF(AND('Counter_PnL'!Q297&gt;0,'Counter_PnL'!AK297&gt;0,'Counter_PnL'!R297&lt;=0,'Counter_PnL'!T297&lt;=0,'Counter_PnL'!AT297&lt;=0,'Counter_PnL'!BE297&lt;=0,'Counter_PnL'!BJ297&lt;=0,'Counter_PnL'!BK297&lt;=0,'Counter_PnL'!BN297&lt;=0),0,1)</x:f>
        <x:v>0</x:v>
      </x:c>
    </x:row>
    <x:row r="298">
      <x:c r="A298" t="str">
        <x:f>'Counter_PnL'!D298</x:f>
        <x:v>CNCT0075</x:v>
      </x:c>
      <x:c r="B298" t="str">
        <x:f>'Counter_PnL'!C298</x:f>
        <x:v>2025 S1</x:v>
      </x:c>
      <x:c r="C298" s="30" t="n">
        <x:f>COUNTIFS('Counter_PnL'!$D$2:$D$641,A298,'Counter_PnL'!$C$2:$C$641,B298)</x:f>
        <x:v>1</x:v>
      </x:c>
      <x:c r="D298" s="79" t="n">
        <x:f>ABS('Counter_PnL'!AC298-SUM('Counter_PnL'!V298:'Counter_PnL'!AB298))</x:f>
        <x:v>0</x:v>
      </x:c>
      <x:c r="E298" s="79" t="n">
        <x:f>ABS('Counter_PnL'!AI298-SUM('Counter_PnL'!R298,'Counter_PnL'!T298,'Counter_PnL'!AC298,'Counter_PnL'!AE298,'Counter_PnL'!AG298,'Counter_PnL'!AH298))</x:f>
        <x:v>0</x:v>
      </x:c>
      <x:c r="F298" s="79" t="n">
        <x:f>ABS('Counter_PnL'!AK298-('Counter_PnL'!Q298+'Counter_PnL'!AI298))</x:f>
        <x:v>0</x:v>
      </x:c>
      <x:c r="G298" s="79" t="n">
        <x:f>ABS('Counter_PnL'!AT298-SUM('Counter_PnL'!AO298:'Counter_PnL'!AS298))</x:f>
        <x:v>0</x:v>
      </x:c>
      <x:c r="H298" s="79" t="n">
        <x:f>ABS('Counter_PnL'!AV298-('Counter_PnL'!AK298+'Counter_PnL'!AT298))</x:f>
        <x:v>0</x:v>
      </x:c>
      <x:c r="I298" s="79" t="n">
        <x:f>ABS('Counter_PnL'!BE298-SUM('Counter_PnL'!AX298:'Counter_PnL'!BB298,'Counter_PnL'!BD298))</x:f>
        <x:v>0</x:v>
      </x:c>
      <x:c r="J298" s="79" t="n">
        <x:f>ABS('Counter_PnL'!BL298-SUM('Counter_PnL'!AV298,'Counter_PnL'!BE298,'Counter_PnL'!BJ298,'Counter_PnL'!BK298))</x:f>
        <x:v>0</x:v>
      </x:c>
      <x:c r="K298" s="79" t="n">
        <x:f>ABS('Counter_PnL'!BO298-('Counter_PnL'!BL298+'Counter_PnL'!BN298))</x:f>
        <x:v>0</x:v>
      </x:c>
      <x:c r="L298" s="79" t="n">
        <x:f>MAX(ABS('Counter_PnL'!AW298-'Counter_PnL'!AV298/'Counter_PnL'!AK298),ABS('Counter_PnL'!BM298-'Counter_PnL'!BL298/'Counter_PnL'!AK298),ABS('Counter_PnL'!BP298-'Counter_PnL'!BO298/'Counter_PnL'!AK298))</x:f>
        <x:v>0</x:v>
      </x:c>
      <x:c r="M298" s="30" t="n">
        <x:f>IF(AND('Counter_PnL'!Q298&gt;0,'Counter_PnL'!AK298&gt;0,'Counter_PnL'!R298&lt;=0,'Counter_PnL'!T298&lt;=0,'Counter_PnL'!AT298&lt;=0,'Counter_PnL'!BE298&lt;=0,'Counter_PnL'!BJ298&lt;=0,'Counter_PnL'!BK298&lt;=0,'Counter_PnL'!BN298&lt;=0),0,1)</x:f>
        <x:v>0</x:v>
      </x:c>
    </x:row>
    <x:row r="299">
      <x:c r="A299" t="str">
        <x:f>'Counter_PnL'!D299</x:f>
        <x:v>CNCT0075</x:v>
      </x:c>
      <x:c r="B299" t="str">
        <x:f>'Counter_PnL'!C299</x:f>
        <x:v>2025 S2</x:v>
      </x:c>
      <x:c r="C299" s="30" t="n">
        <x:f>COUNTIFS('Counter_PnL'!$D$2:$D$641,A299,'Counter_PnL'!$C$2:$C$641,B299)</x:f>
        <x:v>1</x:v>
      </x:c>
      <x:c r="D299" s="79" t="n">
        <x:f>ABS('Counter_PnL'!AC299-SUM('Counter_PnL'!V299:'Counter_PnL'!AB299))</x:f>
        <x:v>0</x:v>
      </x:c>
      <x:c r="E299" s="79" t="n">
        <x:f>ABS('Counter_PnL'!AI299-SUM('Counter_PnL'!R299,'Counter_PnL'!T299,'Counter_PnL'!AC299,'Counter_PnL'!AE299,'Counter_PnL'!AG299,'Counter_PnL'!AH299))</x:f>
        <x:v>0</x:v>
      </x:c>
      <x:c r="F299" s="79" t="n">
        <x:f>ABS('Counter_PnL'!AK299-('Counter_PnL'!Q299+'Counter_PnL'!AI299))</x:f>
        <x:v>0</x:v>
      </x:c>
      <x:c r="G299" s="79" t="n">
        <x:f>ABS('Counter_PnL'!AT299-SUM('Counter_PnL'!AO299:'Counter_PnL'!AS299))</x:f>
        <x:v>0</x:v>
      </x:c>
      <x:c r="H299" s="79" t="n">
        <x:f>ABS('Counter_PnL'!AV299-('Counter_PnL'!AK299+'Counter_PnL'!AT299))</x:f>
        <x:v>0</x:v>
      </x:c>
      <x:c r="I299" s="79" t="n">
        <x:f>ABS('Counter_PnL'!BE299-SUM('Counter_PnL'!AX299:'Counter_PnL'!BB299,'Counter_PnL'!BD299))</x:f>
        <x:v>0</x:v>
      </x:c>
      <x:c r="J299" s="79" t="n">
        <x:f>ABS('Counter_PnL'!BL299-SUM('Counter_PnL'!AV299,'Counter_PnL'!BE299,'Counter_PnL'!BJ299,'Counter_PnL'!BK299))</x:f>
        <x:v>0</x:v>
      </x:c>
      <x:c r="K299" s="79" t="n">
        <x:f>ABS('Counter_PnL'!BO299-('Counter_PnL'!BL299+'Counter_PnL'!BN299))</x:f>
        <x:v>0</x:v>
      </x:c>
      <x:c r="L299" s="79" t="n">
        <x:f>MAX(ABS('Counter_PnL'!AW299-'Counter_PnL'!AV299/'Counter_PnL'!AK299),ABS('Counter_PnL'!BM299-'Counter_PnL'!BL299/'Counter_PnL'!AK299),ABS('Counter_PnL'!BP299-'Counter_PnL'!BO299/'Counter_PnL'!AK299))</x:f>
        <x:v>0</x:v>
      </x:c>
      <x:c r="M299" s="30" t="n">
        <x:f>IF(AND('Counter_PnL'!Q299&gt;0,'Counter_PnL'!AK299&gt;0,'Counter_PnL'!R299&lt;=0,'Counter_PnL'!T299&lt;=0,'Counter_PnL'!AT299&lt;=0,'Counter_PnL'!BE299&lt;=0,'Counter_PnL'!BJ299&lt;=0,'Counter_PnL'!BK299&lt;=0,'Counter_PnL'!BN299&lt;=0),0,1)</x:f>
        <x:v>0</x:v>
      </x:c>
    </x:row>
    <x:row r="300">
      <x:c r="A300" t="str">
        <x:f>'Counter_PnL'!D300</x:f>
        <x:v>CNCT0075</x:v>
      </x:c>
      <x:c r="B300" t="str">
        <x:f>'Counter_PnL'!C300</x:f>
        <x:v>2026 S1</x:v>
      </x:c>
      <x:c r="C300" s="30" t="n">
        <x:f>COUNTIFS('Counter_PnL'!$D$2:$D$641,A300,'Counter_PnL'!$C$2:$C$641,B300)</x:f>
        <x:v>1</x:v>
      </x:c>
      <x:c r="D300" s="79" t="n">
        <x:f>ABS('Counter_PnL'!AC300-SUM('Counter_PnL'!V300:'Counter_PnL'!AB300))</x:f>
        <x:v>0</x:v>
      </x:c>
      <x:c r="E300" s="79" t="n">
        <x:f>ABS('Counter_PnL'!AI300-SUM('Counter_PnL'!R300,'Counter_PnL'!T300,'Counter_PnL'!AC300,'Counter_PnL'!AE300,'Counter_PnL'!AG300,'Counter_PnL'!AH300))</x:f>
        <x:v>0</x:v>
      </x:c>
      <x:c r="F300" s="79" t="n">
        <x:f>ABS('Counter_PnL'!AK300-('Counter_PnL'!Q300+'Counter_PnL'!AI300))</x:f>
        <x:v>0</x:v>
      </x:c>
      <x:c r="G300" s="79" t="n">
        <x:f>ABS('Counter_PnL'!AT300-SUM('Counter_PnL'!AO300:'Counter_PnL'!AS300))</x:f>
        <x:v>0</x:v>
      </x:c>
      <x:c r="H300" s="79" t="n">
        <x:f>ABS('Counter_PnL'!AV300-('Counter_PnL'!AK300+'Counter_PnL'!AT300))</x:f>
        <x:v>0</x:v>
      </x:c>
      <x:c r="I300" s="79" t="n">
        <x:f>ABS('Counter_PnL'!BE300-SUM('Counter_PnL'!AX300:'Counter_PnL'!BB300,'Counter_PnL'!BD300))</x:f>
        <x:v>0</x:v>
      </x:c>
      <x:c r="J300" s="79" t="n">
        <x:f>ABS('Counter_PnL'!BL300-SUM('Counter_PnL'!AV300,'Counter_PnL'!BE300,'Counter_PnL'!BJ300,'Counter_PnL'!BK300))</x:f>
        <x:v>0</x:v>
      </x:c>
      <x:c r="K300" s="79" t="n">
        <x:f>ABS('Counter_PnL'!BO300-('Counter_PnL'!BL300+'Counter_PnL'!BN300))</x:f>
        <x:v>0</x:v>
      </x:c>
      <x:c r="L300" s="79" t="n">
        <x:f>MAX(ABS('Counter_PnL'!AW300-'Counter_PnL'!AV300/'Counter_PnL'!AK300),ABS('Counter_PnL'!BM300-'Counter_PnL'!BL300/'Counter_PnL'!AK300),ABS('Counter_PnL'!BP300-'Counter_PnL'!BO300/'Counter_PnL'!AK300))</x:f>
        <x:v>0</x:v>
      </x:c>
      <x:c r="M300" s="30" t="n">
        <x:f>IF(AND('Counter_PnL'!Q300&gt;0,'Counter_PnL'!AK300&gt;0,'Counter_PnL'!R300&lt;=0,'Counter_PnL'!T300&lt;=0,'Counter_PnL'!AT300&lt;=0,'Counter_PnL'!BE300&lt;=0,'Counter_PnL'!BJ300&lt;=0,'Counter_PnL'!BK300&lt;=0,'Counter_PnL'!BN300&lt;=0),0,1)</x:f>
        <x:v>0</x:v>
      </x:c>
    </x:row>
    <x:row r="301">
      <x:c r="A301" t="str">
        <x:f>'Counter_PnL'!D301</x:f>
        <x:v>CNCT0075</x:v>
      </x:c>
      <x:c r="B301" t="str">
        <x:f>'Counter_PnL'!C301</x:f>
        <x:v>2026 S2</x:v>
      </x:c>
      <x:c r="C301" s="30" t="n">
        <x:f>COUNTIFS('Counter_PnL'!$D$2:$D$641,A301,'Counter_PnL'!$C$2:$C$641,B301)</x:f>
        <x:v>1</x:v>
      </x:c>
      <x:c r="D301" s="79" t="n">
        <x:f>ABS('Counter_PnL'!AC301-SUM('Counter_PnL'!V301:'Counter_PnL'!AB301))</x:f>
        <x:v>0</x:v>
      </x:c>
      <x:c r="E301" s="79" t="n">
        <x:f>ABS('Counter_PnL'!AI301-SUM('Counter_PnL'!R301,'Counter_PnL'!T301,'Counter_PnL'!AC301,'Counter_PnL'!AE301,'Counter_PnL'!AG301,'Counter_PnL'!AH301))</x:f>
        <x:v>0</x:v>
      </x:c>
      <x:c r="F301" s="79" t="n">
        <x:f>ABS('Counter_PnL'!AK301-('Counter_PnL'!Q301+'Counter_PnL'!AI301))</x:f>
        <x:v>0</x:v>
      </x:c>
      <x:c r="G301" s="79" t="n">
        <x:f>ABS('Counter_PnL'!AT301-SUM('Counter_PnL'!AO301:'Counter_PnL'!AS301))</x:f>
        <x:v>0</x:v>
      </x:c>
      <x:c r="H301" s="79" t="n">
        <x:f>ABS('Counter_PnL'!AV301-('Counter_PnL'!AK301+'Counter_PnL'!AT301))</x:f>
        <x:v>0</x:v>
      </x:c>
      <x:c r="I301" s="79" t="n">
        <x:f>ABS('Counter_PnL'!BE301-SUM('Counter_PnL'!AX301:'Counter_PnL'!BB301,'Counter_PnL'!BD301))</x:f>
        <x:v>0</x:v>
      </x:c>
      <x:c r="J301" s="79" t="n">
        <x:f>ABS('Counter_PnL'!BL301-SUM('Counter_PnL'!AV301,'Counter_PnL'!BE301,'Counter_PnL'!BJ301,'Counter_PnL'!BK301))</x:f>
        <x:v>0</x:v>
      </x:c>
      <x:c r="K301" s="79" t="n">
        <x:f>ABS('Counter_PnL'!BO301-('Counter_PnL'!BL301+'Counter_PnL'!BN301))</x:f>
        <x:v>0</x:v>
      </x:c>
      <x:c r="L301" s="79" t="n">
        <x:f>MAX(ABS('Counter_PnL'!AW301-'Counter_PnL'!AV301/'Counter_PnL'!AK301),ABS('Counter_PnL'!BM301-'Counter_PnL'!BL301/'Counter_PnL'!AK301),ABS('Counter_PnL'!BP301-'Counter_PnL'!BO301/'Counter_PnL'!AK301))</x:f>
        <x:v>0</x:v>
      </x:c>
      <x:c r="M301" s="30" t="n">
        <x:f>IF(AND('Counter_PnL'!Q301&gt;0,'Counter_PnL'!AK301&gt;0,'Counter_PnL'!R301&lt;=0,'Counter_PnL'!T301&lt;=0,'Counter_PnL'!AT301&lt;=0,'Counter_PnL'!BE301&lt;=0,'Counter_PnL'!BJ301&lt;=0,'Counter_PnL'!BK301&lt;=0,'Counter_PnL'!BN301&lt;=0),0,1)</x:f>
        <x:v>0</x:v>
      </x:c>
    </x:row>
    <x:row r="302">
      <x:c r="A302" t="str">
        <x:f>'Counter_PnL'!D302</x:f>
        <x:v>CNCT0076</x:v>
      </x:c>
      <x:c r="B302" t="str">
        <x:f>'Counter_PnL'!C302</x:f>
        <x:v>2025 S1</x:v>
      </x:c>
      <x:c r="C302" s="30" t="n">
        <x:f>COUNTIFS('Counter_PnL'!$D$2:$D$641,A302,'Counter_PnL'!$C$2:$C$641,B302)</x:f>
        <x:v>1</x:v>
      </x:c>
      <x:c r="D302" s="79" t="n">
        <x:f>ABS('Counter_PnL'!AC302-SUM('Counter_PnL'!V302:'Counter_PnL'!AB302))</x:f>
        <x:v>0</x:v>
      </x:c>
      <x:c r="E302" s="79" t="n">
        <x:f>ABS('Counter_PnL'!AI302-SUM('Counter_PnL'!R302,'Counter_PnL'!T302,'Counter_PnL'!AC302,'Counter_PnL'!AE302,'Counter_PnL'!AG302,'Counter_PnL'!AH302))</x:f>
        <x:v>0</x:v>
      </x:c>
      <x:c r="F302" s="79" t="n">
        <x:f>ABS('Counter_PnL'!AK302-('Counter_PnL'!Q302+'Counter_PnL'!AI302))</x:f>
        <x:v>0</x:v>
      </x:c>
      <x:c r="G302" s="79" t="n">
        <x:f>ABS('Counter_PnL'!AT302-SUM('Counter_PnL'!AO302:'Counter_PnL'!AS302))</x:f>
        <x:v>0</x:v>
      </x:c>
      <x:c r="H302" s="79" t="n">
        <x:f>ABS('Counter_PnL'!AV302-('Counter_PnL'!AK302+'Counter_PnL'!AT302))</x:f>
        <x:v>0</x:v>
      </x:c>
      <x:c r="I302" s="79" t="n">
        <x:f>ABS('Counter_PnL'!BE302-SUM('Counter_PnL'!AX302:'Counter_PnL'!BB302,'Counter_PnL'!BD302))</x:f>
        <x:v>0</x:v>
      </x:c>
      <x:c r="J302" s="79" t="n">
        <x:f>ABS('Counter_PnL'!BL302-SUM('Counter_PnL'!AV302,'Counter_PnL'!BE302,'Counter_PnL'!BJ302,'Counter_PnL'!BK302))</x:f>
        <x:v>0</x:v>
      </x:c>
      <x:c r="K302" s="79" t="n">
        <x:f>ABS('Counter_PnL'!BO302-('Counter_PnL'!BL302+'Counter_PnL'!BN302))</x:f>
        <x:v>0</x:v>
      </x:c>
      <x:c r="L302" s="79" t="n">
        <x:f>MAX(ABS('Counter_PnL'!AW302-'Counter_PnL'!AV302/'Counter_PnL'!AK302),ABS('Counter_PnL'!BM302-'Counter_PnL'!BL302/'Counter_PnL'!AK302),ABS('Counter_PnL'!BP302-'Counter_PnL'!BO302/'Counter_PnL'!AK302))</x:f>
        <x:v>0</x:v>
      </x:c>
      <x:c r="M302" s="30" t="n">
        <x:f>IF(AND('Counter_PnL'!Q302&gt;0,'Counter_PnL'!AK302&gt;0,'Counter_PnL'!R302&lt;=0,'Counter_PnL'!T302&lt;=0,'Counter_PnL'!AT302&lt;=0,'Counter_PnL'!BE302&lt;=0,'Counter_PnL'!BJ302&lt;=0,'Counter_PnL'!BK302&lt;=0,'Counter_PnL'!BN302&lt;=0),0,1)</x:f>
        <x:v>0</x:v>
      </x:c>
    </x:row>
    <x:row r="303">
      <x:c r="A303" t="str">
        <x:f>'Counter_PnL'!D303</x:f>
        <x:v>CNCT0076</x:v>
      </x:c>
      <x:c r="B303" t="str">
        <x:f>'Counter_PnL'!C303</x:f>
        <x:v>2025 S2</x:v>
      </x:c>
      <x:c r="C303" s="30" t="n">
        <x:f>COUNTIFS('Counter_PnL'!$D$2:$D$641,A303,'Counter_PnL'!$C$2:$C$641,B303)</x:f>
        <x:v>1</x:v>
      </x:c>
      <x:c r="D303" s="79" t="n">
        <x:f>ABS('Counter_PnL'!AC303-SUM('Counter_PnL'!V303:'Counter_PnL'!AB303))</x:f>
        <x:v>0</x:v>
      </x:c>
      <x:c r="E303" s="79" t="n">
        <x:f>ABS('Counter_PnL'!AI303-SUM('Counter_PnL'!R303,'Counter_PnL'!T303,'Counter_PnL'!AC303,'Counter_PnL'!AE303,'Counter_PnL'!AG303,'Counter_PnL'!AH303))</x:f>
        <x:v>0</x:v>
      </x:c>
      <x:c r="F303" s="79" t="n">
        <x:f>ABS('Counter_PnL'!AK303-('Counter_PnL'!Q303+'Counter_PnL'!AI303))</x:f>
        <x:v>0</x:v>
      </x:c>
      <x:c r="G303" s="79" t="n">
        <x:f>ABS('Counter_PnL'!AT303-SUM('Counter_PnL'!AO303:'Counter_PnL'!AS303))</x:f>
        <x:v>0</x:v>
      </x:c>
      <x:c r="H303" s="79" t="n">
        <x:f>ABS('Counter_PnL'!AV303-('Counter_PnL'!AK303+'Counter_PnL'!AT303))</x:f>
        <x:v>0</x:v>
      </x:c>
      <x:c r="I303" s="79" t="n">
        <x:f>ABS('Counter_PnL'!BE303-SUM('Counter_PnL'!AX303:'Counter_PnL'!BB303,'Counter_PnL'!BD303))</x:f>
        <x:v>0</x:v>
      </x:c>
      <x:c r="J303" s="79" t="n">
        <x:f>ABS('Counter_PnL'!BL303-SUM('Counter_PnL'!AV303,'Counter_PnL'!BE303,'Counter_PnL'!BJ303,'Counter_PnL'!BK303))</x:f>
        <x:v>0</x:v>
      </x:c>
      <x:c r="K303" s="79" t="n">
        <x:f>ABS('Counter_PnL'!BO303-('Counter_PnL'!BL303+'Counter_PnL'!BN303))</x:f>
        <x:v>0</x:v>
      </x:c>
      <x:c r="L303" s="79" t="n">
        <x:f>MAX(ABS('Counter_PnL'!AW303-'Counter_PnL'!AV303/'Counter_PnL'!AK303),ABS('Counter_PnL'!BM303-'Counter_PnL'!BL303/'Counter_PnL'!AK303),ABS('Counter_PnL'!BP303-'Counter_PnL'!BO303/'Counter_PnL'!AK303))</x:f>
        <x:v>0</x:v>
      </x:c>
      <x:c r="M303" s="30" t="n">
        <x:f>IF(AND('Counter_PnL'!Q303&gt;0,'Counter_PnL'!AK303&gt;0,'Counter_PnL'!R303&lt;=0,'Counter_PnL'!T303&lt;=0,'Counter_PnL'!AT303&lt;=0,'Counter_PnL'!BE303&lt;=0,'Counter_PnL'!BJ303&lt;=0,'Counter_PnL'!BK303&lt;=0,'Counter_PnL'!BN303&lt;=0),0,1)</x:f>
        <x:v>0</x:v>
      </x:c>
    </x:row>
    <x:row r="304">
      <x:c r="A304" t="str">
        <x:f>'Counter_PnL'!D304</x:f>
        <x:v>CNCT0076</x:v>
      </x:c>
      <x:c r="B304" t="str">
        <x:f>'Counter_PnL'!C304</x:f>
        <x:v>2026 S1</x:v>
      </x:c>
      <x:c r="C304" s="30" t="n">
        <x:f>COUNTIFS('Counter_PnL'!$D$2:$D$641,A304,'Counter_PnL'!$C$2:$C$641,B304)</x:f>
        <x:v>1</x:v>
      </x:c>
      <x:c r="D304" s="79" t="n">
        <x:f>ABS('Counter_PnL'!AC304-SUM('Counter_PnL'!V304:'Counter_PnL'!AB304))</x:f>
        <x:v>0</x:v>
      </x:c>
      <x:c r="E304" s="79" t="n">
        <x:f>ABS('Counter_PnL'!AI304-SUM('Counter_PnL'!R304,'Counter_PnL'!T304,'Counter_PnL'!AC304,'Counter_PnL'!AE304,'Counter_PnL'!AG304,'Counter_PnL'!AH304))</x:f>
        <x:v>0</x:v>
      </x:c>
      <x:c r="F304" s="79" t="n">
        <x:f>ABS('Counter_PnL'!AK304-('Counter_PnL'!Q304+'Counter_PnL'!AI304))</x:f>
        <x:v>0</x:v>
      </x:c>
      <x:c r="G304" s="79" t="n">
        <x:f>ABS('Counter_PnL'!AT304-SUM('Counter_PnL'!AO304:'Counter_PnL'!AS304))</x:f>
        <x:v>0</x:v>
      </x:c>
      <x:c r="H304" s="79" t="n">
        <x:f>ABS('Counter_PnL'!AV304-('Counter_PnL'!AK304+'Counter_PnL'!AT304))</x:f>
        <x:v>0</x:v>
      </x:c>
      <x:c r="I304" s="79" t="n">
        <x:f>ABS('Counter_PnL'!BE304-SUM('Counter_PnL'!AX304:'Counter_PnL'!BB304,'Counter_PnL'!BD304))</x:f>
        <x:v>0</x:v>
      </x:c>
      <x:c r="J304" s="79" t="n">
        <x:f>ABS('Counter_PnL'!BL304-SUM('Counter_PnL'!AV304,'Counter_PnL'!BE304,'Counter_PnL'!BJ304,'Counter_PnL'!BK304))</x:f>
        <x:v>0</x:v>
      </x:c>
      <x:c r="K304" s="79" t="n">
        <x:f>ABS('Counter_PnL'!BO304-('Counter_PnL'!BL304+'Counter_PnL'!BN304))</x:f>
        <x:v>0</x:v>
      </x:c>
      <x:c r="L304" s="79" t="n">
        <x:f>MAX(ABS('Counter_PnL'!AW304-'Counter_PnL'!AV304/'Counter_PnL'!AK304),ABS('Counter_PnL'!BM304-'Counter_PnL'!BL304/'Counter_PnL'!AK304),ABS('Counter_PnL'!BP304-'Counter_PnL'!BO304/'Counter_PnL'!AK304))</x:f>
        <x:v>0</x:v>
      </x:c>
      <x:c r="M304" s="30" t="n">
        <x:f>IF(AND('Counter_PnL'!Q304&gt;0,'Counter_PnL'!AK304&gt;0,'Counter_PnL'!R304&lt;=0,'Counter_PnL'!T304&lt;=0,'Counter_PnL'!AT304&lt;=0,'Counter_PnL'!BE304&lt;=0,'Counter_PnL'!BJ304&lt;=0,'Counter_PnL'!BK304&lt;=0,'Counter_PnL'!BN304&lt;=0),0,1)</x:f>
        <x:v>0</x:v>
      </x:c>
    </x:row>
    <x:row r="305">
      <x:c r="A305" t="str">
        <x:f>'Counter_PnL'!D305</x:f>
        <x:v>CNCT0076</x:v>
      </x:c>
      <x:c r="B305" t="str">
        <x:f>'Counter_PnL'!C305</x:f>
        <x:v>2026 S2</x:v>
      </x:c>
      <x:c r="C305" s="30" t="n">
        <x:f>COUNTIFS('Counter_PnL'!$D$2:$D$641,A305,'Counter_PnL'!$C$2:$C$641,B305)</x:f>
        <x:v>1</x:v>
      </x:c>
      <x:c r="D305" s="79" t="n">
        <x:f>ABS('Counter_PnL'!AC305-SUM('Counter_PnL'!V305:'Counter_PnL'!AB305))</x:f>
        <x:v>0</x:v>
      </x:c>
      <x:c r="E305" s="79" t="n">
        <x:f>ABS('Counter_PnL'!AI305-SUM('Counter_PnL'!R305,'Counter_PnL'!T305,'Counter_PnL'!AC305,'Counter_PnL'!AE305,'Counter_PnL'!AG305,'Counter_PnL'!AH305))</x:f>
        <x:v>0</x:v>
      </x:c>
      <x:c r="F305" s="79" t="n">
        <x:f>ABS('Counter_PnL'!AK305-('Counter_PnL'!Q305+'Counter_PnL'!AI305))</x:f>
        <x:v>0</x:v>
      </x:c>
      <x:c r="G305" s="79" t="n">
        <x:f>ABS('Counter_PnL'!AT305-SUM('Counter_PnL'!AO305:'Counter_PnL'!AS305))</x:f>
        <x:v>0</x:v>
      </x:c>
      <x:c r="H305" s="79" t="n">
        <x:f>ABS('Counter_PnL'!AV305-('Counter_PnL'!AK305+'Counter_PnL'!AT305))</x:f>
        <x:v>0</x:v>
      </x:c>
      <x:c r="I305" s="79" t="n">
        <x:f>ABS('Counter_PnL'!BE305-SUM('Counter_PnL'!AX305:'Counter_PnL'!BB305,'Counter_PnL'!BD305))</x:f>
        <x:v>0</x:v>
      </x:c>
      <x:c r="J305" s="79" t="n">
        <x:f>ABS('Counter_PnL'!BL305-SUM('Counter_PnL'!AV305,'Counter_PnL'!BE305,'Counter_PnL'!BJ305,'Counter_PnL'!BK305))</x:f>
        <x:v>0</x:v>
      </x:c>
      <x:c r="K305" s="79" t="n">
        <x:f>ABS('Counter_PnL'!BO305-('Counter_PnL'!BL305+'Counter_PnL'!BN305))</x:f>
        <x:v>0</x:v>
      </x:c>
      <x:c r="L305" s="79" t="n">
        <x:f>MAX(ABS('Counter_PnL'!AW305-'Counter_PnL'!AV305/'Counter_PnL'!AK305),ABS('Counter_PnL'!BM305-'Counter_PnL'!BL305/'Counter_PnL'!AK305),ABS('Counter_PnL'!BP305-'Counter_PnL'!BO305/'Counter_PnL'!AK305))</x:f>
        <x:v>0</x:v>
      </x:c>
      <x:c r="M305" s="30" t="n">
        <x:f>IF(AND('Counter_PnL'!Q305&gt;0,'Counter_PnL'!AK305&gt;0,'Counter_PnL'!R305&lt;=0,'Counter_PnL'!T305&lt;=0,'Counter_PnL'!AT305&lt;=0,'Counter_PnL'!BE305&lt;=0,'Counter_PnL'!BJ305&lt;=0,'Counter_PnL'!BK305&lt;=0,'Counter_PnL'!BN305&lt;=0),0,1)</x:f>
        <x:v>0</x:v>
      </x:c>
    </x:row>
    <x:row r="306">
      <x:c r="A306" t="str">
        <x:f>'Counter_PnL'!D306</x:f>
        <x:v>CNCT0077</x:v>
      </x:c>
      <x:c r="B306" t="str">
        <x:f>'Counter_PnL'!C306</x:f>
        <x:v>2025 S1</x:v>
      </x:c>
      <x:c r="C306" s="30" t="n">
        <x:f>COUNTIFS('Counter_PnL'!$D$2:$D$641,A306,'Counter_PnL'!$C$2:$C$641,B306)</x:f>
        <x:v>1</x:v>
      </x:c>
      <x:c r="D306" s="79" t="n">
        <x:f>ABS('Counter_PnL'!AC306-SUM('Counter_PnL'!V306:'Counter_PnL'!AB306))</x:f>
        <x:v>0</x:v>
      </x:c>
      <x:c r="E306" s="79" t="n">
        <x:f>ABS('Counter_PnL'!AI306-SUM('Counter_PnL'!R306,'Counter_PnL'!T306,'Counter_PnL'!AC306,'Counter_PnL'!AE306,'Counter_PnL'!AG306,'Counter_PnL'!AH306))</x:f>
        <x:v>0</x:v>
      </x:c>
      <x:c r="F306" s="79" t="n">
        <x:f>ABS('Counter_PnL'!AK306-('Counter_PnL'!Q306+'Counter_PnL'!AI306))</x:f>
        <x:v>0</x:v>
      </x:c>
      <x:c r="G306" s="79" t="n">
        <x:f>ABS('Counter_PnL'!AT306-SUM('Counter_PnL'!AO306:'Counter_PnL'!AS306))</x:f>
        <x:v>0</x:v>
      </x:c>
      <x:c r="H306" s="79" t="n">
        <x:f>ABS('Counter_PnL'!AV306-('Counter_PnL'!AK306+'Counter_PnL'!AT306))</x:f>
        <x:v>0</x:v>
      </x:c>
      <x:c r="I306" s="79" t="n">
        <x:f>ABS('Counter_PnL'!BE306-SUM('Counter_PnL'!AX306:'Counter_PnL'!BB306,'Counter_PnL'!BD306))</x:f>
        <x:v>0</x:v>
      </x:c>
      <x:c r="J306" s="79" t="n">
        <x:f>ABS('Counter_PnL'!BL306-SUM('Counter_PnL'!AV306,'Counter_PnL'!BE306,'Counter_PnL'!BJ306,'Counter_PnL'!BK306))</x:f>
        <x:v>0</x:v>
      </x:c>
      <x:c r="K306" s="79" t="n">
        <x:f>ABS('Counter_PnL'!BO306-('Counter_PnL'!BL306+'Counter_PnL'!BN306))</x:f>
        <x:v>0</x:v>
      </x:c>
      <x:c r="L306" s="79" t="n">
        <x:f>MAX(ABS('Counter_PnL'!AW306-'Counter_PnL'!AV306/'Counter_PnL'!AK306),ABS('Counter_PnL'!BM306-'Counter_PnL'!BL306/'Counter_PnL'!AK306),ABS('Counter_PnL'!BP306-'Counter_PnL'!BO306/'Counter_PnL'!AK306))</x:f>
        <x:v>0</x:v>
      </x:c>
      <x:c r="M306" s="30" t="n">
        <x:f>IF(AND('Counter_PnL'!Q306&gt;0,'Counter_PnL'!AK306&gt;0,'Counter_PnL'!R306&lt;=0,'Counter_PnL'!T306&lt;=0,'Counter_PnL'!AT306&lt;=0,'Counter_PnL'!BE306&lt;=0,'Counter_PnL'!BJ306&lt;=0,'Counter_PnL'!BK306&lt;=0,'Counter_PnL'!BN306&lt;=0),0,1)</x:f>
        <x:v>0</x:v>
      </x:c>
    </x:row>
    <x:row r="307">
      <x:c r="A307" t="str">
        <x:f>'Counter_PnL'!D307</x:f>
        <x:v>CNCT0077</x:v>
      </x:c>
      <x:c r="B307" t="str">
        <x:f>'Counter_PnL'!C307</x:f>
        <x:v>2025 S2</x:v>
      </x:c>
      <x:c r="C307" s="30" t="n">
        <x:f>COUNTIFS('Counter_PnL'!$D$2:$D$641,A307,'Counter_PnL'!$C$2:$C$641,B307)</x:f>
        <x:v>1</x:v>
      </x:c>
      <x:c r="D307" s="79" t="n">
        <x:f>ABS('Counter_PnL'!AC307-SUM('Counter_PnL'!V307:'Counter_PnL'!AB307))</x:f>
        <x:v>0</x:v>
      </x:c>
      <x:c r="E307" s="79" t="n">
        <x:f>ABS('Counter_PnL'!AI307-SUM('Counter_PnL'!R307,'Counter_PnL'!T307,'Counter_PnL'!AC307,'Counter_PnL'!AE307,'Counter_PnL'!AG307,'Counter_PnL'!AH307))</x:f>
        <x:v>0</x:v>
      </x:c>
      <x:c r="F307" s="79" t="n">
        <x:f>ABS('Counter_PnL'!AK307-('Counter_PnL'!Q307+'Counter_PnL'!AI307))</x:f>
        <x:v>0</x:v>
      </x:c>
      <x:c r="G307" s="79" t="n">
        <x:f>ABS('Counter_PnL'!AT307-SUM('Counter_PnL'!AO307:'Counter_PnL'!AS307))</x:f>
        <x:v>0</x:v>
      </x:c>
      <x:c r="H307" s="79" t="n">
        <x:f>ABS('Counter_PnL'!AV307-('Counter_PnL'!AK307+'Counter_PnL'!AT307))</x:f>
        <x:v>0</x:v>
      </x:c>
      <x:c r="I307" s="79" t="n">
        <x:f>ABS('Counter_PnL'!BE307-SUM('Counter_PnL'!AX307:'Counter_PnL'!BB307,'Counter_PnL'!BD307))</x:f>
        <x:v>0</x:v>
      </x:c>
      <x:c r="J307" s="79" t="n">
        <x:f>ABS('Counter_PnL'!BL307-SUM('Counter_PnL'!AV307,'Counter_PnL'!BE307,'Counter_PnL'!BJ307,'Counter_PnL'!BK307))</x:f>
        <x:v>0</x:v>
      </x:c>
      <x:c r="K307" s="79" t="n">
        <x:f>ABS('Counter_PnL'!BO307-('Counter_PnL'!BL307+'Counter_PnL'!BN307))</x:f>
        <x:v>0</x:v>
      </x:c>
      <x:c r="L307" s="79" t="n">
        <x:f>MAX(ABS('Counter_PnL'!AW307-'Counter_PnL'!AV307/'Counter_PnL'!AK307),ABS('Counter_PnL'!BM307-'Counter_PnL'!BL307/'Counter_PnL'!AK307),ABS('Counter_PnL'!BP307-'Counter_PnL'!BO307/'Counter_PnL'!AK307))</x:f>
        <x:v>0</x:v>
      </x:c>
      <x:c r="M307" s="30" t="n">
        <x:f>IF(AND('Counter_PnL'!Q307&gt;0,'Counter_PnL'!AK307&gt;0,'Counter_PnL'!R307&lt;=0,'Counter_PnL'!T307&lt;=0,'Counter_PnL'!AT307&lt;=0,'Counter_PnL'!BE307&lt;=0,'Counter_PnL'!BJ307&lt;=0,'Counter_PnL'!BK307&lt;=0,'Counter_PnL'!BN307&lt;=0),0,1)</x:f>
        <x:v>0</x:v>
      </x:c>
    </x:row>
    <x:row r="308">
      <x:c r="A308" t="str">
        <x:f>'Counter_PnL'!D308</x:f>
        <x:v>CNCT0077</x:v>
      </x:c>
      <x:c r="B308" t="str">
        <x:f>'Counter_PnL'!C308</x:f>
        <x:v>2026 S1</x:v>
      </x:c>
      <x:c r="C308" s="30" t="n">
        <x:f>COUNTIFS('Counter_PnL'!$D$2:$D$641,A308,'Counter_PnL'!$C$2:$C$641,B308)</x:f>
        <x:v>1</x:v>
      </x:c>
      <x:c r="D308" s="79" t="n">
        <x:f>ABS('Counter_PnL'!AC308-SUM('Counter_PnL'!V308:'Counter_PnL'!AB308))</x:f>
        <x:v>0</x:v>
      </x:c>
      <x:c r="E308" s="79" t="n">
        <x:f>ABS('Counter_PnL'!AI308-SUM('Counter_PnL'!R308,'Counter_PnL'!T308,'Counter_PnL'!AC308,'Counter_PnL'!AE308,'Counter_PnL'!AG308,'Counter_PnL'!AH308))</x:f>
        <x:v>0</x:v>
      </x:c>
      <x:c r="F308" s="79" t="n">
        <x:f>ABS('Counter_PnL'!AK308-('Counter_PnL'!Q308+'Counter_PnL'!AI308))</x:f>
        <x:v>0</x:v>
      </x:c>
      <x:c r="G308" s="79" t="n">
        <x:f>ABS('Counter_PnL'!AT308-SUM('Counter_PnL'!AO308:'Counter_PnL'!AS308))</x:f>
        <x:v>0</x:v>
      </x:c>
      <x:c r="H308" s="79" t="n">
        <x:f>ABS('Counter_PnL'!AV308-('Counter_PnL'!AK308+'Counter_PnL'!AT308))</x:f>
        <x:v>0</x:v>
      </x:c>
      <x:c r="I308" s="79" t="n">
        <x:f>ABS('Counter_PnL'!BE308-SUM('Counter_PnL'!AX308:'Counter_PnL'!BB308,'Counter_PnL'!BD308))</x:f>
        <x:v>0</x:v>
      </x:c>
      <x:c r="J308" s="79" t="n">
        <x:f>ABS('Counter_PnL'!BL308-SUM('Counter_PnL'!AV308,'Counter_PnL'!BE308,'Counter_PnL'!BJ308,'Counter_PnL'!BK308))</x:f>
        <x:v>0</x:v>
      </x:c>
      <x:c r="K308" s="79" t="n">
        <x:f>ABS('Counter_PnL'!BO308-('Counter_PnL'!BL308+'Counter_PnL'!BN308))</x:f>
        <x:v>0</x:v>
      </x:c>
      <x:c r="L308" s="79" t="n">
        <x:f>MAX(ABS('Counter_PnL'!AW308-'Counter_PnL'!AV308/'Counter_PnL'!AK308),ABS('Counter_PnL'!BM308-'Counter_PnL'!BL308/'Counter_PnL'!AK308),ABS('Counter_PnL'!BP308-'Counter_PnL'!BO308/'Counter_PnL'!AK308))</x:f>
        <x:v>0</x:v>
      </x:c>
      <x:c r="M308" s="30" t="n">
        <x:f>IF(AND('Counter_PnL'!Q308&gt;0,'Counter_PnL'!AK308&gt;0,'Counter_PnL'!R308&lt;=0,'Counter_PnL'!T308&lt;=0,'Counter_PnL'!AT308&lt;=0,'Counter_PnL'!BE308&lt;=0,'Counter_PnL'!BJ308&lt;=0,'Counter_PnL'!BK308&lt;=0,'Counter_PnL'!BN308&lt;=0),0,1)</x:f>
        <x:v>0</x:v>
      </x:c>
    </x:row>
    <x:row r="309">
      <x:c r="A309" t="str">
        <x:f>'Counter_PnL'!D309</x:f>
        <x:v>CNCT0077</x:v>
      </x:c>
      <x:c r="B309" t="str">
        <x:f>'Counter_PnL'!C309</x:f>
        <x:v>2026 S2</x:v>
      </x:c>
      <x:c r="C309" s="30" t="n">
        <x:f>COUNTIFS('Counter_PnL'!$D$2:$D$641,A309,'Counter_PnL'!$C$2:$C$641,B309)</x:f>
        <x:v>1</x:v>
      </x:c>
      <x:c r="D309" s="79" t="n">
        <x:f>ABS('Counter_PnL'!AC309-SUM('Counter_PnL'!V309:'Counter_PnL'!AB309))</x:f>
        <x:v>0</x:v>
      </x:c>
      <x:c r="E309" s="79" t="n">
        <x:f>ABS('Counter_PnL'!AI309-SUM('Counter_PnL'!R309,'Counter_PnL'!T309,'Counter_PnL'!AC309,'Counter_PnL'!AE309,'Counter_PnL'!AG309,'Counter_PnL'!AH309))</x:f>
        <x:v>0</x:v>
      </x:c>
      <x:c r="F309" s="79" t="n">
        <x:f>ABS('Counter_PnL'!AK309-('Counter_PnL'!Q309+'Counter_PnL'!AI309))</x:f>
        <x:v>0</x:v>
      </x:c>
      <x:c r="G309" s="79" t="n">
        <x:f>ABS('Counter_PnL'!AT309-SUM('Counter_PnL'!AO309:'Counter_PnL'!AS309))</x:f>
        <x:v>0</x:v>
      </x:c>
      <x:c r="H309" s="79" t="n">
        <x:f>ABS('Counter_PnL'!AV309-('Counter_PnL'!AK309+'Counter_PnL'!AT309))</x:f>
        <x:v>0</x:v>
      </x:c>
      <x:c r="I309" s="79" t="n">
        <x:f>ABS('Counter_PnL'!BE309-SUM('Counter_PnL'!AX309:'Counter_PnL'!BB309,'Counter_PnL'!BD309))</x:f>
        <x:v>0</x:v>
      </x:c>
      <x:c r="J309" s="79" t="n">
        <x:f>ABS('Counter_PnL'!BL309-SUM('Counter_PnL'!AV309,'Counter_PnL'!BE309,'Counter_PnL'!BJ309,'Counter_PnL'!BK309))</x:f>
        <x:v>0</x:v>
      </x:c>
      <x:c r="K309" s="79" t="n">
        <x:f>ABS('Counter_PnL'!BO309-('Counter_PnL'!BL309+'Counter_PnL'!BN309))</x:f>
        <x:v>0</x:v>
      </x:c>
      <x:c r="L309" s="79" t="n">
        <x:f>MAX(ABS('Counter_PnL'!AW309-'Counter_PnL'!AV309/'Counter_PnL'!AK309),ABS('Counter_PnL'!BM309-'Counter_PnL'!BL309/'Counter_PnL'!AK309),ABS('Counter_PnL'!BP309-'Counter_PnL'!BO309/'Counter_PnL'!AK309))</x:f>
        <x:v>0</x:v>
      </x:c>
      <x:c r="M309" s="30" t="n">
        <x:f>IF(AND('Counter_PnL'!Q309&gt;0,'Counter_PnL'!AK309&gt;0,'Counter_PnL'!R309&lt;=0,'Counter_PnL'!T309&lt;=0,'Counter_PnL'!AT309&lt;=0,'Counter_PnL'!BE309&lt;=0,'Counter_PnL'!BJ309&lt;=0,'Counter_PnL'!BK309&lt;=0,'Counter_PnL'!BN309&lt;=0),0,1)</x:f>
        <x:v>0</x:v>
      </x:c>
    </x:row>
    <x:row r="310">
      <x:c r="A310" t="str">
        <x:f>'Counter_PnL'!D310</x:f>
        <x:v>CNCT0078</x:v>
      </x:c>
      <x:c r="B310" t="str">
        <x:f>'Counter_PnL'!C310</x:f>
        <x:v>2025 S1</x:v>
      </x:c>
      <x:c r="C310" s="30" t="n">
        <x:f>COUNTIFS('Counter_PnL'!$D$2:$D$641,A310,'Counter_PnL'!$C$2:$C$641,B310)</x:f>
        <x:v>1</x:v>
      </x:c>
      <x:c r="D310" s="79" t="n">
        <x:f>ABS('Counter_PnL'!AC310-SUM('Counter_PnL'!V310:'Counter_PnL'!AB310))</x:f>
        <x:v>0</x:v>
      </x:c>
      <x:c r="E310" s="79" t="n">
        <x:f>ABS('Counter_PnL'!AI310-SUM('Counter_PnL'!R310,'Counter_PnL'!T310,'Counter_PnL'!AC310,'Counter_PnL'!AE310,'Counter_PnL'!AG310,'Counter_PnL'!AH310))</x:f>
        <x:v>0</x:v>
      </x:c>
      <x:c r="F310" s="79" t="n">
        <x:f>ABS('Counter_PnL'!AK310-('Counter_PnL'!Q310+'Counter_PnL'!AI310))</x:f>
        <x:v>0</x:v>
      </x:c>
      <x:c r="G310" s="79" t="n">
        <x:f>ABS('Counter_PnL'!AT310-SUM('Counter_PnL'!AO310:'Counter_PnL'!AS310))</x:f>
        <x:v>0</x:v>
      </x:c>
      <x:c r="H310" s="79" t="n">
        <x:f>ABS('Counter_PnL'!AV310-('Counter_PnL'!AK310+'Counter_PnL'!AT310))</x:f>
        <x:v>0</x:v>
      </x:c>
      <x:c r="I310" s="79" t="n">
        <x:f>ABS('Counter_PnL'!BE310-SUM('Counter_PnL'!AX310:'Counter_PnL'!BB310,'Counter_PnL'!BD310))</x:f>
        <x:v>0</x:v>
      </x:c>
      <x:c r="J310" s="79" t="n">
        <x:f>ABS('Counter_PnL'!BL310-SUM('Counter_PnL'!AV310,'Counter_PnL'!BE310,'Counter_PnL'!BJ310,'Counter_PnL'!BK310))</x:f>
        <x:v>0</x:v>
      </x:c>
      <x:c r="K310" s="79" t="n">
        <x:f>ABS('Counter_PnL'!BO310-('Counter_PnL'!BL310+'Counter_PnL'!BN310))</x:f>
        <x:v>0</x:v>
      </x:c>
      <x:c r="L310" s="79" t="n">
        <x:f>MAX(ABS('Counter_PnL'!AW310-'Counter_PnL'!AV310/'Counter_PnL'!AK310),ABS('Counter_PnL'!BM310-'Counter_PnL'!BL310/'Counter_PnL'!AK310),ABS('Counter_PnL'!BP310-'Counter_PnL'!BO310/'Counter_PnL'!AK310))</x:f>
        <x:v>0</x:v>
      </x:c>
      <x:c r="M310" s="30" t="n">
        <x:f>IF(AND('Counter_PnL'!Q310&gt;0,'Counter_PnL'!AK310&gt;0,'Counter_PnL'!R310&lt;=0,'Counter_PnL'!T310&lt;=0,'Counter_PnL'!AT310&lt;=0,'Counter_PnL'!BE310&lt;=0,'Counter_PnL'!BJ310&lt;=0,'Counter_PnL'!BK310&lt;=0,'Counter_PnL'!BN310&lt;=0),0,1)</x:f>
        <x:v>0</x:v>
      </x:c>
    </x:row>
    <x:row r="311">
      <x:c r="A311" t="str">
        <x:f>'Counter_PnL'!D311</x:f>
        <x:v>CNCT0078</x:v>
      </x:c>
      <x:c r="B311" t="str">
        <x:f>'Counter_PnL'!C311</x:f>
        <x:v>2025 S2</x:v>
      </x:c>
      <x:c r="C311" s="30" t="n">
        <x:f>COUNTIFS('Counter_PnL'!$D$2:$D$641,A311,'Counter_PnL'!$C$2:$C$641,B311)</x:f>
        <x:v>1</x:v>
      </x:c>
      <x:c r="D311" s="79" t="n">
        <x:f>ABS('Counter_PnL'!AC311-SUM('Counter_PnL'!V311:'Counter_PnL'!AB311))</x:f>
        <x:v>0</x:v>
      </x:c>
      <x:c r="E311" s="79" t="n">
        <x:f>ABS('Counter_PnL'!AI311-SUM('Counter_PnL'!R311,'Counter_PnL'!T311,'Counter_PnL'!AC311,'Counter_PnL'!AE311,'Counter_PnL'!AG311,'Counter_PnL'!AH311))</x:f>
        <x:v>0</x:v>
      </x:c>
      <x:c r="F311" s="79" t="n">
        <x:f>ABS('Counter_PnL'!AK311-('Counter_PnL'!Q311+'Counter_PnL'!AI311))</x:f>
        <x:v>0</x:v>
      </x:c>
      <x:c r="G311" s="79" t="n">
        <x:f>ABS('Counter_PnL'!AT311-SUM('Counter_PnL'!AO311:'Counter_PnL'!AS311))</x:f>
        <x:v>0</x:v>
      </x:c>
      <x:c r="H311" s="79" t="n">
        <x:f>ABS('Counter_PnL'!AV311-('Counter_PnL'!AK311+'Counter_PnL'!AT311))</x:f>
        <x:v>0</x:v>
      </x:c>
      <x:c r="I311" s="79" t="n">
        <x:f>ABS('Counter_PnL'!BE311-SUM('Counter_PnL'!AX311:'Counter_PnL'!BB311,'Counter_PnL'!BD311))</x:f>
        <x:v>0</x:v>
      </x:c>
      <x:c r="J311" s="79" t="n">
        <x:f>ABS('Counter_PnL'!BL311-SUM('Counter_PnL'!AV311,'Counter_PnL'!BE311,'Counter_PnL'!BJ311,'Counter_PnL'!BK311))</x:f>
        <x:v>0</x:v>
      </x:c>
      <x:c r="K311" s="79" t="n">
        <x:f>ABS('Counter_PnL'!BO311-('Counter_PnL'!BL311+'Counter_PnL'!BN311))</x:f>
        <x:v>0</x:v>
      </x:c>
      <x:c r="L311" s="79" t="n">
        <x:f>MAX(ABS('Counter_PnL'!AW311-'Counter_PnL'!AV311/'Counter_PnL'!AK311),ABS('Counter_PnL'!BM311-'Counter_PnL'!BL311/'Counter_PnL'!AK311),ABS('Counter_PnL'!BP311-'Counter_PnL'!BO311/'Counter_PnL'!AK311))</x:f>
        <x:v>0</x:v>
      </x:c>
      <x:c r="M311" s="30" t="n">
        <x:f>IF(AND('Counter_PnL'!Q311&gt;0,'Counter_PnL'!AK311&gt;0,'Counter_PnL'!R311&lt;=0,'Counter_PnL'!T311&lt;=0,'Counter_PnL'!AT311&lt;=0,'Counter_PnL'!BE311&lt;=0,'Counter_PnL'!BJ311&lt;=0,'Counter_PnL'!BK311&lt;=0,'Counter_PnL'!BN311&lt;=0),0,1)</x:f>
        <x:v>0</x:v>
      </x:c>
    </x:row>
    <x:row r="312">
      <x:c r="A312" t="str">
        <x:f>'Counter_PnL'!D312</x:f>
        <x:v>CNCT0078</x:v>
      </x:c>
      <x:c r="B312" t="str">
        <x:f>'Counter_PnL'!C312</x:f>
        <x:v>2026 S1</x:v>
      </x:c>
      <x:c r="C312" s="30" t="n">
        <x:f>COUNTIFS('Counter_PnL'!$D$2:$D$641,A312,'Counter_PnL'!$C$2:$C$641,B312)</x:f>
        <x:v>1</x:v>
      </x:c>
      <x:c r="D312" s="79" t="n">
        <x:f>ABS('Counter_PnL'!AC312-SUM('Counter_PnL'!V312:'Counter_PnL'!AB312))</x:f>
        <x:v>0</x:v>
      </x:c>
      <x:c r="E312" s="79" t="n">
        <x:f>ABS('Counter_PnL'!AI312-SUM('Counter_PnL'!R312,'Counter_PnL'!T312,'Counter_PnL'!AC312,'Counter_PnL'!AE312,'Counter_PnL'!AG312,'Counter_PnL'!AH312))</x:f>
        <x:v>0</x:v>
      </x:c>
      <x:c r="F312" s="79" t="n">
        <x:f>ABS('Counter_PnL'!AK312-('Counter_PnL'!Q312+'Counter_PnL'!AI312))</x:f>
        <x:v>0</x:v>
      </x:c>
      <x:c r="G312" s="79" t="n">
        <x:f>ABS('Counter_PnL'!AT312-SUM('Counter_PnL'!AO312:'Counter_PnL'!AS312))</x:f>
        <x:v>0</x:v>
      </x:c>
      <x:c r="H312" s="79" t="n">
        <x:f>ABS('Counter_PnL'!AV312-('Counter_PnL'!AK312+'Counter_PnL'!AT312))</x:f>
        <x:v>0</x:v>
      </x:c>
      <x:c r="I312" s="79" t="n">
        <x:f>ABS('Counter_PnL'!BE312-SUM('Counter_PnL'!AX312:'Counter_PnL'!BB312,'Counter_PnL'!BD312))</x:f>
        <x:v>0</x:v>
      </x:c>
      <x:c r="J312" s="79" t="n">
        <x:f>ABS('Counter_PnL'!BL312-SUM('Counter_PnL'!AV312,'Counter_PnL'!BE312,'Counter_PnL'!BJ312,'Counter_PnL'!BK312))</x:f>
        <x:v>0</x:v>
      </x:c>
      <x:c r="K312" s="79" t="n">
        <x:f>ABS('Counter_PnL'!BO312-('Counter_PnL'!BL312+'Counter_PnL'!BN312))</x:f>
        <x:v>0</x:v>
      </x:c>
      <x:c r="L312" s="79" t="n">
        <x:f>MAX(ABS('Counter_PnL'!AW312-'Counter_PnL'!AV312/'Counter_PnL'!AK312),ABS('Counter_PnL'!BM312-'Counter_PnL'!BL312/'Counter_PnL'!AK312),ABS('Counter_PnL'!BP312-'Counter_PnL'!BO312/'Counter_PnL'!AK312))</x:f>
        <x:v>0</x:v>
      </x:c>
      <x:c r="M312" s="30" t="n">
        <x:f>IF(AND('Counter_PnL'!Q312&gt;0,'Counter_PnL'!AK312&gt;0,'Counter_PnL'!R312&lt;=0,'Counter_PnL'!T312&lt;=0,'Counter_PnL'!AT312&lt;=0,'Counter_PnL'!BE312&lt;=0,'Counter_PnL'!BJ312&lt;=0,'Counter_PnL'!BK312&lt;=0,'Counter_PnL'!BN312&lt;=0),0,1)</x:f>
        <x:v>0</x:v>
      </x:c>
    </x:row>
    <x:row r="313">
      <x:c r="A313" t="str">
        <x:f>'Counter_PnL'!D313</x:f>
        <x:v>CNCT0078</x:v>
      </x:c>
      <x:c r="B313" t="str">
        <x:f>'Counter_PnL'!C313</x:f>
        <x:v>2026 S2</x:v>
      </x:c>
      <x:c r="C313" s="30" t="n">
        <x:f>COUNTIFS('Counter_PnL'!$D$2:$D$641,A313,'Counter_PnL'!$C$2:$C$641,B313)</x:f>
        <x:v>1</x:v>
      </x:c>
      <x:c r="D313" s="79" t="n">
        <x:f>ABS('Counter_PnL'!AC313-SUM('Counter_PnL'!V313:'Counter_PnL'!AB313))</x:f>
        <x:v>0</x:v>
      </x:c>
      <x:c r="E313" s="79" t="n">
        <x:f>ABS('Counter_PnL'!AI313-SUM('Counter_PnL'!R313,'Counter_PnL'!T313,'Counter_PnL'!AC313,'Counter_PnL'!AE313,'Counter_PnL'!AG313,'Counter_PnL'!AH313))</x:f>
        <x:v>0</x:v>
      </x:c>
      <x:c r="F313" s="79" t="n">
        <x:f>ABS('Counter_PnL'!AK313-('Counter_PnL'!Q313+'Counter_PnL'!AI313))</x:f>
        <x:v>0</x:v>
      </x:c>
      <x:c r="G313" s="79" t="n">
        <x:f>ABS('Counter_PnL'!AT313-SUM('Counter_PnL'!AO313:'Counter_PnL'!AS313))</x:f>
        <x:v>0</x:v>
      </x:c>
      <x:c r="H313" s="79" t="n">
        <x:f>ABS('Counter_PnL'!AV313-('Counter_PnL'!AK313+'Counter_PnL'!AT313))</x:f>
        <x:v>0</x:v>
      </x:c>
      <x:c r="I313" s="79" t="n">
        <x:f>ABS('Counter_PnL'!BE313-SUM('Counter_PnL'!AX313:'Counter_PnL'!BB313,'Counter_PnL'!BD313))</x:f>
        <x:v>0</x:v>
      </x:c>
      <x:c r="J313" s="79" t="n">
        <x:f>ABS('Counter_PnL'!BL313-SUM('Counter_PnL'!AV313,'Counter_PnL'!BE313,'Counter_PnL'!BJ313,'Counter_PnL'!BK313))</x:f>
        <x:v>0</x:v>
      </x:c>
      <x:c r="K313" s="79" t="n">
        <x:f>ABS('Counter_PnL'!BO313-('Counter_PnL'!BL313+'Counter_PnL'!BN313))</x:f>
        <x:v>0</x:v>
      </x:c>
      <x:c r="L313" s="79" t="n">
        <x:f>MAX(ABS('Counter_PnL'!AW313-'Counter_PnL'!AV313/'Counter_PnL'!AK313),ABS('Counter_PnL'!BM313-'Counter_PnL'!BL313/'Counter_PnL'!AK313),ABS('Counter_PnL'!BP313-'Counter_PnL'!BO313/'Counter_PnL'!AK313))</x:f>
        <x:v>0</x:v>
      </x:c>
      <x:c r="M313" s="30" t="n">
        <x:f>IF(AND('Counter_PnL'!Q313&gt;0,'Counter_PnL'!AK313&gt;0,'Counter_PnL'!R313&lt;=0,'Counter_PnL'!T313&lt;=0,'Counter_PnL'!AT313&lt;=0,'Counter_PnL'!BE313&lt;=0,'Counter_PnL'!BJ313&lt;=0,'Counter_PnL'!BK313&lt;=0,'Counter_PnL'!BN313&lt;=0),0,1)</x:f>
        <x:v>0</x:v>
      </x:c>
    </x:row>
    <x:row r="314">
      <x:c r="A314" t="str">
        <x:f>'Counter_PnL'!D314</x:f>
        <x:v>CNCT0079</x:v>
      </x:c>
      <x:c r="B314" t="str">
        <x:f>'Counter_PnL'!C314</x:f>
        <x:v>2025 S1</x:v>
      </x:c>
      <x:c r="C314" s="30" t="n">
        <x:f>COUNTIFS('Counter_PnL'!$D$2:$D$641,A314,'Counter_PnL'!$C$2:$C$641,B314)</x:f>
        <x:v>1</x:v>
      </x:c>
      <x:c r="D314" s="79" t="n">
        <x:f>ABS('Counter_PnL'!AC314-SUM('Counter_PnL'!V314:'Counter_PnL'!AB314))</x:f>
        <x:v>0</x:v>
      </x:c>
      <x:c r="E314" s="79" t="n">
        <x:f>ABS('Counter_PnL'!AI314-SUM('Counter_PnL'!R314,'Counter_PnL'!T314,'Counter_PnL'!AC314,'Counter_PnL'!AE314,'Counter_PnL'!AG314,'Counter_PnL'!AH314))</x:f>
        <x:v>0</x:v>
      </x:c>
      <x:c r="F314" s="79" t="n">
        <x:f>ABS('Counter_PnL'!AK314-('Counter_PnL'!Q314+'Counter_PnL'!AI314))</x:f>
        <x:v>0</x:v>
      </x:c>
      <x:c r="G314" s="79" t="n">
        <x:f>ABS('Counter_PnL'!AT314-SUM('Counter_PnL'!AO314:'Counter_PnL'!AS314))</x:f>
        <x:v>0</x:v>
      </x:c>
      <x:c r="H314" s="79" t="n">
        <x:f>ABS('Counter_PnL'!AV314-('Counter_PnL'!AK314+'Counter_PnL'!AT314))</x:f>
        <x:v>0</x:v>
      </x:c>
      <x:c r="I314" s="79" t="n">
        <x:f>ABS('Counter_PnL'!BE314-SUM('Counter_PnL'!AX314:'Counter_PnL'!BB314,'Counter_PnL'!BD314))</x:f>
        <x:v>0</x:v>
      </x:c>
      <x:c r="J314" s="79" t="n">
        <x:f>ABS('Counter_PnL'!BL314-SUM('Counter_PnL'!AV314,'Counter_PnL'!BE314,'Counter_PnL'!BJ314,'Counter_PnL'!BK314))</x:f>
        <x:v>0</x:v>
      </x:c>
      <x:c r="K314" s="79" t="n">
        <x:f>ABS('Counter_PnL'!BO314-('Counter_PnL'!BL314+'Counter_PnL'!BN314))</x:f>
        <x:v>0</x:v>
      </x:c>
      <x:c r="L314" s="79" t="n">
        <x:f>MAX(ABS('Counter_PnL'!AW314-'Counter_PnL'!AV314/'Counter_PnL'!AK314),ABS('Counter_PnL'!BM314-'Counter_PnL'!BL314/'Counter_PnL'!AK314),ABS('Counter_PnL'!BP314-'Counter_PnL'!BO314/'Counter_PnL'!AK314))</x:f>
        <x:v>0</x:v>
      </x:c>
      <x:c r="M314" s="30" t="n">
        <x:f>IF(AND('Counter_PnL'!Q314&gt;0,'Counter_PnL'!AK314&gt;0,'Counter_PnL'!R314&lt;=0,'Counter_PnL'!T314&lt;=0,'Counter_PnL'!AT314&lt;=0,'Counter_PnL'!BE314&lt;=0,'Counter_PnL'!BJ314&lt;=0,'Counter_PnL'!BK314&lt;=0,'Counter_PnL'!BN314&lt;=0),0,1)</x:f>
        <x:v>0</x:v>
      </x:c>
    </x:row>
    <x:row r="315">
      <x:c r="A315" t="str">
        <x:f>'Counter_PnL'!D315</x:f>
        <x:v>CNCT0079</x:v>
      </x:c>
      <x:c r="B315" t="str">
        <x:f>'Counter_PnL'!C315</x:f>
        <x:v>2025 S2</x:v>
      </x:c>
      <x:c r="C315" s="30" t="n">
        <x:f>COUNTIFS('Counter_PnL'!$D$2:$D$641,A315,'Counter_PnL'!$C$2:$C$641,B315)</x:f>
        <x:v>1</x:v>
      </x:c>
      <x:c r="D315" s="79" t="n">
        <x:f>ABS('Counter_PnL'!AC315-SUM('Counter_PnL'!V315:'Counter_PnL'!AB315))</x:f>
        <x:v>0</x:v>
      </x:c>
      <x:c r="E315" s="79" t="n">
        <x:f>ABS('Counter_PnL'!AI315-SUM('Counter_PnL'!R315,'Counter_PnL'!T315,'Counter_PnL'!AC315,'Counter_PnL'!AE315,'Counter_PnL'!AG315,'Counter_PnL'!AH315))</x:f>
        <x:v>0</x:v>
      </x:c>
      <x:c r="F315" s="79" t="n">
        <x:f>ABS('Counter_PnL'!AK315-('Counter_PnL'!Q315+'Counter_PnL'!AI315))</x:f>
        <x:v>0</x:v>
      </x:c>
      <x:c r="G315" s="79" t="n">
        <x:f>ABS('Counter_PnL'!AT315-SUM('Counter_PnL'!AO315:'Counter_PnL'!AS315))</x:f>
        <x:v>0</x:v>
      </x:c>
      <x:c r="H315" s="79" t="n">
        <x:f>ABS('Counter_PnL'!AV315-('Counter_PnL'!AK315+'Counter_PnL'!AT315))</x:f>
        <x:v>0</x:v>
      </x:c>
      <x:c r="I315" s="79" t="n">
        <x:f>ABS('Counter_PnL'!BE315-SUM('Counter_PnL'!AX315:'Counter_PnL'!BB315,'Counter_PnL'!BD315))</x:f>
        <x:v>0</x:v>
      </x:c>
      <x:c r="J315" s="79" t="n">
        <x:f>ABS('Counter_PnL'!BL315-SUM('Counter_PnL'!AV315,'Counter_PnL'!BE315,'Counter_PnL'!BJ315,'Counter_PnL'!BK315))</x:f>
        <x:v>0</x:v>
      </x:c>
      <x:c r="K315" s="79" t="n">
        <x:f>ABS('Counter_PnL'!BO315-('Counter_PnL'!BL315+'Counter_PnL'!BN315))</x:f>
        <x:v>0</x:v>
      </x:c>
      <x:c r="L315" s="79" t="n">
        <x:f>MAX(ABS('Counter_PnL'!AW315-'Counter_PnL'!AV315/'Counter_PnL'!AK315),ABS('Counter_PnL'!BM315-'Counter_PnL'!BL315/'Counter_PnL'!AK315),ABS('Counter_PnL'!BP315-'Counter_PnL'!BO315/'Counter_PnL'!AK315))</x:f>
        <x:v>0</x:v>
      </x:c>
      <x:c r="M315" s="30" t="n">
        <x:f>IF(AND('Counter_PnL'!Q315&gt;0,'Counter_PnL'!AK315&gt;0,'Counter_PnL'!R315&lt;=0,'Counter_PnL'!T315&lt;=0,'Counter_PnL'!AT315&lt;=0,'Counter_PnL'!BE315&lt;=0,'Counter_PnL'!BJ315&lt;=0,'Counter_PnL'!BK315&lt;=0,'Counter_PnL'!BN315&lt;=0),0,1)</x:f>
        <x:v>0</x:v>
      </x:c>
    </x:row>
    <x:row r="316">
      <x:c r="A316" t="str">
        <x:f>'Counter_PnL'!D316</x:f>
        <x:v>CNCT0079</x:v>
      </x:c>
      <x:c r="B316" t="str">
        <x:f>'Counter_PnL'!C316</x:f>
        <x:v>2026 S1</x:v>
      </x:c>
      <x:c r="C316" s="30" t="n">
        <x:f>COUNTIFS('Counter_PnL'!$D$2:$D$641,A316,'Counter_PnL'!$C$2:$C$641,B316)</x:f>
        <x:v>1</x:v>
      </x:c>
      <x:c r="D316" s="79" t="n">
        <x:f>ABS('Counter_PnL'!AC316-SUM('Counter_PnL'!V316:'Counter_PnL'!AB316))</x:f>
        <x:v>0</x:v>
      </x:c>
      <x:c r="E316" s="79" t="n">
        <x:f>ABS('Counter_PnL'!AI316-SUM('Counter_PnL'!R316,'Counter_PnL'!T316,'Counter_PnL'!AC316,'Counter_PnL'!AE316,'Counter_PnL'!AG316,'Counter_PnL'!AH316))</x:f>
        <x:v>0</x:v>
      </x:c>
      <x:c r="F316" s="79" t="n">
        <x:f>ABS('Counter_PnL'!AK316-('Counter_PnL'!Q316+'Counter_PnL'!AI316))</x:f>
        <x:v>0</x:v>
      </x:c>
      <x:c r="G316" s="79" t="n">
        <x:f>ABS('Counter_PnL'!AT316-SUM('Counter_PnL'!AO316:'Counter_PnL'!AS316))</x:f>
        <x:v>0</x:v>
      </x:c>
      <x:c r="H316" s="79" t="n">
        <x:f>ABS('Counter_PnL'!AV316-('Counter_PnL'!AK316+'Counter_PnL'!AT316))</x:f>
        <x:v>0</x:v>
      </x:c>
      <x:c r="I316" s="79" t="n">
        <x:f>ABS('Counter_PnL'!BE316-SUM('Counter_PnL'!AX316:'Counter_PnL'!BB316,'Counter_PnL'!BD316))</x:f>
        <x:v>0</x:v>
      </x:c>
      <x:c r="J316" s="79" t="n">
        <x:f>ABS('Counter_PnL'!BL316-SUM('Counter_PnL'!AV316,'Counter_PnL'!BE316,'Counter_PnL'!BJ316,'Counter_PnL'!BK316))</x:f>
        <x:v>0</x:v>
      </x:c>
      <x:c r="K316" s="79" t="n">
        <x:f>ABS('Counter_PnL'!BO316-('Counter_PnL'!BL316+'Counter_PnL'!BN316))</x:f>
        <x:v>0</x:v>
      </x:c>
      <x:c r="L316" s="79" t="n">
        <x:f>MAX(ABS('Counter_PnL'!AW316-'Counter_PnL'!AV316/'Counter_PnL'!AK316),ABS('Counter_PnL'!BM316-'Counter_PnL'!BL316/'Counter_PnL'!AK316),ABS('Counter_PnL'!BP316-'Counter_PnL'!BO316/'Counter_PnL'!AK316))</x:f>
        <x:v>0</x:v>
      </x:c>
      <x:c r="M316" s="30" t="n">
        <x:f>IF(AND('Counter_PnL'!Q316&gt;0,'Counter_PnL'!AK316&gt;0,'Counter_PnL'!R316&lt;=0,'Counter_PnL'!T316&lt;=0,'Counter_PnL'!AT316&lt;=0,'Counter_PnL'!BE316&lt;=0,'Counter_PnL'!BJ316&lt;=0,'Counter_PnL'!BK316&lt;=0,'Counter_PnL'!BN316&lt;=0),0,1)</x:f>
        <x:v>0</x:v>
      </x:c>
    </x:row>
    <x:row r="317">
      <x:c r="A317" t="str">
        <x:f>'Counter_PnL'!D317</x:f>
        <x:v>CNCT0079</x:v>
      </x:c>
      <x:c r="B317" t="str">
        <x:f>'Counter_PnL'!C317</x:f>
        <x:v>2026 S2</x:v>
      </x:c>
      <x:c r="C317" s="30" t="n">
        <x:f>COUNTIFS('Counter_PnL'!$D$2:$D$641,A317,'Counter_PnL'!$C$2:$C$641,B317)</x:f>
        <x:v>1</x:v>
      </x:c>
      <x:c r="D317" s="79" t="n">
        <x:f>ABS('Counter_PnL'!AC317-SUM('Counter_PnL'!V317:'Counter_PnL'!AB317))</x:f>
        <x:v>0</x:v>
      </x:c>
      <x:c r="E317" s="79" t="n">
        <x:f>ABS('Counter_PnL'!AI317-SUM('Counter_PnL'!R317,'Counter_PnL'!T317,'Counter_PnL'!AC317,'Counter_PnL'!AE317,'Counter_PnL'!AG317,'Counter_PnL'!AH317))</x:f>
        <x:v>0</x:v>
      </x:c>
      <x:c r="F317" s="79" t="n">
        <x:f>ABS('Counter_PnL'!AK317-('Counter_PnL'!Q317+'Counter_PnL'!AI317))</x:f>
        <x:v>0</x:v>
      </x:c>
      <x:c r="G317" s="79" t="n">
        <x:f>ABS('Counter_PnL'!AT317-SUM('Counter_PnL'!AO317:'Counter_PnL'!AS317))</x:f>
        <x:v>0</x:v>
      </x:c>
      <x:c r="H317" s="79" t="n">
        <x:f>ABS('Counter_PnL'!AV317-('Counter_PnL'!AK317+'Counter_PnL'!AT317))</x:f>
        <x:v>0</x:v>
      </x:c>
      <x:c r="I317" s="79" t="n">
        <x:f>ABS('Counter_PnL'!BE317-SUM('Counter_PnL'!AX317:'Counter_PnL'!BB317,'Counter_PnL'!BD317))</x:f>
        <x:v>0</x:v>
      </x:c>
      <x:c r="J317" s="79" t="n">
        <x:f>ABS('Counter_PnL'!BL317-SUM('Counter_PnL'!AV317,'Counter_PnL'!BE317,'Counter_PnL'!BJ317,'Counter_PnL'!BK317))</x:f>
        <x:v>0</x:v>
      </x:c>
      <x:c r="K317" s="79" t="n">
        <x:f>ABS('Counter_PnL'!BO317-('Counter_PnL'!BL317+'Counter_PnL'!BN317))</x:f>
        <x:v>0</x:v>
      </x:c>
      <x:c r="L317" s="79" t="n">
        <x:f>MAX(ABS('Counter_PnL'!AW317-'Counter_PnL'!AV317/'Counter_PnL'!AK317),ABS('Counter_PnL'!BM317-'Counter_PnL'!BL317/'Counter_PnL'!AK317),ABS('Counter_PnL'!BP317-'Counter_PnL'!BO317/'Counter_PnL'!AK317))</x:f>
        <x:v>0</x:v>
      </x:c>
      <x:c r="M317" s="30" t="n">
        <x:f>IF(AND('Counter_PnL'!Q317&gt;0,'Counter_PnL'!AK317&gt;0,'Counter_PnL'!R317&lt;=0,'Counter_PnL'!T317&lt;=0,'Counter_PnL'!AT317&lt;=0,'Counter_PnL'!BE317&lt;=0,'Counter_PnL'!BJ317&lt;=0,'Counter_PnL'!BK317&lt;=0,'Counter_PnL'!BN317&lt;=0),0,1)</x:f>
        <x:v>0</x:v>
      </x:c>
    </x:row>
    <x:row r="318">
      <x:c r="A318" t="str">
        <x:f>'Counter_PnL'!D318</x:f>
        <x:v>CNCT0080</x:v>
      </x:c>
      <x:c r="B318" t="str">
        <x:f>'Counter_PnL'!C318</x:f>
        <x:v>2025 S1</x:v>
      </x:c>
      <x:c r="C318" s="30" t="n">
        <x:f>COUNTIFS('Counter_PnL'!$D$2:$D$641,A318,'Counter_PnL'!$C$2:$C$641,B318)</x:f>
        <x:v>1</x:v>
      </x:c>
      <x:c r="D318" s="79" t="n">
        <x:f>ABS('Counter_PnL'!AC318-SUM('Counter_PnL'!V318:'Counter_PnL'!AB318))</x:f>
        <x:v>0</x:v>
      </x:c>
      <x:c r="E318" s="79" t="n">
        <x:f>ABS('Counter_PnL'!AI318-SUM('Counter_PnL'!R318,'Counter_PnL'!T318,'Counter_PnL'!AC318,'Counter_PnL'!AE318,'Counter_PnL'!AG318,'Counter_PnL'!AH318))</x:f>
        <x:v>0</x:v>
      </x:c>
      <x:c r="F318" s="79" t="n">
        <x:f>ABS('Counter_PnL'!AK318-('Counter_PnL'!Q318+'Counter_PnL'!AI318))</x:f>
        <x:v>0</x:v>
      </x:c>
      <x:c r="G318" s="79" t="n">
        <x:f>ABS('Counter_PnL'!AT318-SUM('Counter_PnL'!AO318:'Counter_PnL'!AS318))</x:f>
        <x:v>0</x:v>
      </x:c>
      <x:c r="H318" s="79" t="n">
        <x:f>ABS('Counter_PnL'!AV318-('Counter_PnL'!AK318+'Counter_PnL'!AT318))</x:f>
        <x:v>0</x:v>
      </x:c>
      <x:c r="I318" s="79" t="n">
        <x:f>ABS('Counter_PnL'!BE318-SUM('Counter_PnL'!AX318:'Counter_PnL'!BB318,'Counter_PnL'!BD318))</x:f>
        <x:v>0</x:v>
      </x:c>
      <x:c r="J318" s="79" t="n">
        <x:f>ABS('Counter_PnL'!BL318-SUM('Counter_PnL'!AV318,'Counter_PnL'!BE318,'Counter_PnL'!BJ318,'Counter_PnL'!BK318))</x:f>
        <x:v>0</x:v>
      </x:c>
      <x:c r="K318" s="79" t="n">
        <x:f>ABS('Counter_PnL'!BO318-('Counter_PnL'!BL318+'Counter_PnL'!BN318))</x:f>
        <x:v>0</x:v>
      </x:c>
      <x:c r="L318" s="79" t="n">
        <x:f>MAX(ABS('Counter_PnL'!AW318-'Counter_PnL'!AV318/'Counter_PnL'!AK318),ABS('Counter_PnL'!BM318-'Counter_PnL'!BL318/'Counter_PnL'!AK318),ABS('Counter_PnL'!BP318-'Counter_PnL'!BO318/'Counter_PnL'!AK318))</x:f>
        <x:v>0</x:v>
      </x:c>
      <x:c r="M318" s="30" t="n">
        <x:f>IF(AND('Counter_PnL'!Q318&gt;0,'Counter_PnL'!AK318&gt;0,'Counter_PnL'!R318&lt;=0,'Counter_PnL'!T318&lt;=0,'Counter_PnL'!AT318&lt;=0,'Counter_PnL'!BE318&lt;=0,'Counter_PnL'!BJ318&lt;=0,'Counter_PnL'!BK318&lt;=0,'Counter_PnL'!BN318&lt;=0),0,1)</x:f>
        <x:v>0</x:v>
      </x:c>
    </x:row>
    <x:row r="319">
      <x:c r="A319" t="str">
        <x:f>'Counter_PnL'!D319</x:f>
        <x:v>CNCT0080</x:v>
      </x:c>
      <x:c r="B319" t="str">
        <x:f>'Counter_PnL'!C319</x:f>
        <x:v>2025 S2</x:v>
      </x:c>
      <x:c r="C319" s="30" t="n">
        <x:f>COUNTIFS('Counter_PnL'!$D$2:$D$641,A319,'Counter_PnL'!$C$2:$C$641,B319)</x:f>
        <x:v>1</x:v>
      </x:c>
      <x:c r="D319" s="79" t="n">
        <x:f>ABS('Counter_PnL'!AC319-SUM('Counter_PnL'!V319:'Counter_PnL'!AB319))</x:f>
        <x:v>0</x:v>
      </x:c>
      <x:c r="E319" s="79" t="n">
        <x:f>ABS('Counter_PnL'!AI319-SUM('Counter_PnL'!R319,'Counter_PnL'!T319,'Counter_PnL'!AC319,'Counter_PnL'!AE319,'Counter_PnL'!AG319,'Counter_PnL'!AH319))</x:f>
        <x:v>0</x:v>
      </x:c>
      <x:c r="F319" s="79" t="n">
        <x:f>ABS('Counter_PnL'!AK319-('Counter_PnL'!Q319+'Counter_PnL'!AI319))</x:f>
        <x:v>0</x:v>
      </x:c>
      <x:c r="G319" s="79" t="n">
        <x:f>ABS('Counter_PnL'!AT319-SUM('Counter_PnL'!AO319:'Counter_PnL'!AS319))</x:f>
        <x:v>0</x:v>
      </x:c>
      <x:c r="H319" s="79" t="n">
        <x:f>ABS('Counter_PnL'!AV319-('Counter_PnL'!AK319+'Counter_PnL'!AT319))</x:f>
        <x:v>0</x:v>
      </x:c>
      <x:c r="I319" s="79" t="n">
        <x:f>ABS('Counter_PnL'!BE319-SUM('Counter_PnL'!AX319:'Counter_PnL'!BB319,'Counter_PnL'!BD319))</x:f>
        <x:v>0</x:v>
      </x:c>
      <x:c r="J319" s="79" t="n">
        <x:f>ABS('Counter_PnL'!BL319-SUM('Counter_PnL'!AV319,'Counter_PnL'!BE319,'Counter_PnL'!BJ319,'Counter_PnL'!BK319))</x:f>
        <x:v>0</x:v>
      </x:c>
      <x:c r="K319" s="79" t="n">
        <x:f>ABS('Counter_PnL'!BO319-('Counter_PnL'!BL319+'Counter_PnL'!BN319))</x:f>
        <x:v>0</x:v>
      </x:c>
      <x:c r="L319" s="79" t="n">
        <x:f>MAX(ABS('Counter_PnL'!AW319-'Counter_PnL'!AV319/'Counter_PnL'!AK319),ABS('Counter_PnL'!BM319-'Counter_PnL'!BL319/'Counter_PnL'!AK319),ABS('Counter_PnL'!BP319-'Counter_PnL'!BO319/'Counter_PnL'!AK319))</x:f>
        <x:v>0</x:v>
      </x:c>
      <x:c r="M319" s="30" t="n">
        <x:f>IF(AND('Counter_PnL'!Q319&gt;0,'Counter_PnL'!AK319&gt;0,'Counter_PnL'!R319&lt;=0,'Counter_PnL'!T319&lt;=0,'Counter_PnL'!AT319&lt;=0,'Counter_PnL'!BE319&lt;=0,'Counter_PnL'!BJ319&lt;=0,'Counter_PnL'!BK319&lt;=0,'Counter_PnL'!BN319&lt;=0),0,1)</x:f>
        <x:v>0</x:v>
      </x:c>
    </x:row>
    <x:row r="320">
      <x:c r="A320" t="str">
        <x:f>'Counter_PnL'!D320</x:f>
        <x:v>CNCT0080</x:v>
      </x:c>
      <x:c r="B320" t="str">
        <x:f>'Counter_PnL'!C320</x:f>
        <x:v>2026 S1</x:v>
      </x:c>
      <x:c r="C320" s="30" t="n">
        <x:f>COUNTIFS('Counter_PnL'!$D$2:$D$641,A320,'Counter_PnL'!$C$2:$C$641,B320)</x:f>
        <x:v>1</x:v>
      </x:c>
      <x:c r="D320" s="79" t="n">
        <x:f>ABS('Counter_PnL'!AC320-SUM('Counter_PnL'!V320:'Counter_PnL'!AB320))</x:f>
        <x:v>0</x:v>
      </x:c>
      <x:c r="E320" s="79" t="n">
        <x:f>ABS('Counter_PnL'!AI320-SUM('Counter_PnL'!R320,'Counter_PnL'!T320,'Counter_PnL'!AC320,'Counter_PnL'!AE320,'Counter_PnL'!AG320,'Counter_PnL'!AH320))</x:f>
        <x:v>0</x:v>
      </x:c>
      <x:c r="F320" s="79" t="n">
        <x:f>ABS('Counter_PnL'!AK320-('Counter_PnL'!Q320+'Counter_PnL'!AI320))</x:f>
        <x:v>0</x:v>
      </x:c>
      <x:c r="G320" s="79" t="n">
        <x:f>ABS('Counter_PnL'!AT320-SUM('Counter_PnL'!AO320:'Counter_PnL'!AS320))</x:f>
        <x:v>0</x:v>
      </x:c>
      <x:c r="H320" s="79" t="n">
        <x:f>ABS('Counter_PnL'!AV320-('Counter_PnL'!AK320+'Counter_PnL'!AT320))</x:f>
        <x:v>0</x:v>
      </x:c>
      <x:c r="I320" s="79" t="n">
        <x:f>ABS('Counter_PnL'!BE320-SUM('Counter_PnL'!AX320:'Counter_PnL'!BB320,'Counter_PnL'!BD320))</x:f>
        <x:v>0</x:v>
      </x:c>
      <x:c r="J320" s="79" t="n">
        <x:f>ABS('Counter_PnL'!BL320-SUM('Counter_PnL'!AV320,'Counter_PnL'!BE320,'Counter_PnL'!BJ320,'Counter_PnL'!BK320))</x:f>
        <x:v>0</x:v>
      </x:c>
      <x:c r="K320" s="79" t="n">
        <x:f>ABS('Counter_PnL'!BO320-('Counter_PnL'!BL320+'Counter_PnL'!BN320))</x:f>
        <x:v>0</x:v>
      </x:c>
      <x:c r="L320" s="79" t="n">
        <x:f>MAX(ABS('Counter_PnL'!AW320-'Counter_PnL'!AV320/'Counter_PnL'!AK320),ABS('Counter_PnL'!BM320-'Counter_PnL'!BL320/'Counter_PnL'!AK320),ABS('Counter_PnL'!BP320-'Counter_PnL'!BO320/'Counter_PnL'!AK320))</x:f>
        <x:v>0</x:v>
      </x:c>
      <x:c r="M320" s="30" t="n">
        <x:f>IF(AND('Counter_PnL'!Q320&gt;0,'Counter_PnL'!AK320&gt;0,'Counter_PnL'!R320&lt;=0,'Counter_PnL'!T320&lt;=0,'Counter_PnL'!AT320&lt;=0,'Counter_PnL'!BE320&lt;=0,'Counter_PnL'!BJ320&lt;=0,'Counter_PnL'!BK320&lt;=0,'Counter_PnL'!BN320&lt;=0),0,1)</x:f>
        <x:v>0</x:v>
      </x:c>
    </x:row>
    <x:row r="321">
      <x:c r="A321" t="str">
        <x:f>'Counter_PnL'!D321</x:f>
        <x:v>CNCT0080</x:v>
      </x:c>
      <x:c r="B321" t="str">
        <x:f>'Counter_PnL'!C321</x:f>
        <x:v>2026 S2</x:v>
      </x:c>
      <x:c r="C321" s="30" t="n">
        <x:f>COUNTIFS('Counter_PnL'!$D$2:$D$641,A321,'Counter_PnL'!$C$2:$C$641,B321)</x:f>
        <x:v>1</x:v>
      </x:c>
      <x:c r="D321" s="79" t="n">
        <x:f>ABS('Counter_PnL'!AC321-SUM('Counter_PnL'!V321:'Counter_PnL'!AB321))</x:f>
        <x:v>0</x:v>
      </x:c>
      <x:c r="E321" s="79" t="n">
        <x:f>ABS('Counter_PnL'!AI321-SUM('Counter_PnL'!R321,'Counter_PnL'!T321,'Counter_PnL'!AC321,'Counter_PnL'!AE321,'Counter_PnL'!AG321,'Counter_PnL'!AH321))</x:f>
        <x:v>0</x:v>
      </x:c>
      <x:c r="F321" s="79" t="n">
        <x:f>ABS('Counter_PnL'!AK321-('Counter_PnL'!Q321+'Counter_PnL'!AI321))</x:f>
        <x:v>0</x:v>
      </x:c>
      <x:c r="G321" s="79" t="n">
        <x:f>ABS('Counter_PnL'!AT321-SUM('Counter_PnL'!AO321:'Counter_PnL'!AS321))</x:f>
        <x:v>0</x:v>
      </x:c>
      <x:c r="H321" s="79" t="n">
        <x:f>ABS('Counter_PnL'!AV321-('Counter_PnL'!AK321+'Counter_PnL'!AT321))</x:f>
        <x:v>0</x:v>
      </x:c>
      <x:c r="I321" s="79" t="n">
        <x:f>ABS('Counter_PnL'!BE321-SUM('Counter_PnL'!AX321:'Counter_PnL'!BB321,'Counter_PnL'!BD321))</x:f>
        <x:v>0</x:v>
      </x:c>
      <x:c r="J321" s="79" t="n">
        <x:f>ABS('Counter_PnL'!BL321-SUM('Counter_PnL'!AV321,'Counter_PnL'!BE321,'Counter_PnL'!BJ321,'Counter_PnL'!BK321))</x:f>
        <x:v>0</x:v>
      </x:c>
      <x:c r="K321" s="79" t="n">
        <x:f>ABS('Counter_PnL'!BO321-('Counter_PnL'!BL321+'Counter_PnL'!BN321))</x:f>
        <x:v>0</x:v>
      </x:c>
      <x:c r="L321" s="79" t="n">
        <x:f>MAX(ABS('Counter_PnL'!AW321-'Counter_PnL'!AV321/'Counter_PnL'!AK321),ABS('Counter_PnL'!BM321-'Counter_PnL'!BL321/'Counter_PnL'!AK321),ABS('Counter_PnL'!BP321-'Counter_PnL'!BO321/'Counter_PnL'!AK321))</x:f>
        <x:v>0</x:v>
      </x:c>
      <x:c r="M321" s="30" t="n">
        <x:f>IF(AND('Counter_PnL'!Q321&gt;0,'Counter_PnL'!AK321&gt;0,'Counter_PnL'!R321&lt;=0,'Counter_PnL'!T321&lt;=0,'Counter_PnL'!AT321&lt;=0,'Counter_PnL'!BE321&lt;=0,'Counter_PnL'!BJ321&lt;=0,'Counter_PnL'!BK321&lt;=0,'Counter_PnL'!BN321&lt;=0),0,1)</x:f>
        <x:v>0</x:v>
      </x:c>
    </x:row>
    <x:row r="322">
      <x:c r="A322" t="str">
        <x:f>'Counter_PnL'!D322</x:f>
        <x:v>CNCT0081</x:v>
      </x:c>
      <x:c r="B322" t="str">
        <x:f>'Counter_PnL'!C322</x:f>
        <x:v>2025 S1</x:v>
      </x:c>
      <x:c r="C322" s="30" t="n">
        <x:f>COUNTIFS('Counter_PnL'!$D$2:$D$641,A322,'Counter_PnL'!$C$2:$C$641,B322)</x:f>
        <x:v>1</x:v>
      </x:c>
      <x:c r="D322" s="79" t="n">
        <x:f>ABS('Counter_PnL'!AC322-SUM('Counter_PnL'!V322:'Counter_PnL'!AB322))</x:f>
        <x:v>0</x:v>
      </x:c>
      <x:c r="E322" s="79" t="n">
        <x:f>ABS('Counter_PnL'!AI322-SUM('Counter_PnL'!R322,'Counter_PnL'!T322,'Counter_PnL'!AC322,'Counter_PnL'!AE322,'Counter_PnL'!AG322,'Counter_PnL'!AH322))</x:f>
        <x:v>0</x:v>
      </x:c>
      <x:c r="F322" s="79" t="n">
        <x:f>ABS('Counter_PnL'!AK322-('Counter_PnL'!Q322+'Counter_PnL'!AI322))</x:f>
        <x:v>0</x:v>
      </x:c>
      <x:c r="G322" s="79" t="n">
        <x:f>ABS('Counter_PnL'!AT322-SUM('Counter_PnL'!AO322:'Counter_PnL'!AS322))</x:f>
        <x:v>0</x:v>
      </x:c>
      <x:c r="H322" s="79" t="n">
        <x:f>ABS('Counter_PnL'!AV322-('Counter_PnL'!AK322+'Counter_PnL'!AT322))</x:f>
        <x:v>0</x:v>
      </x:c>
      <x:c r="I322" s="79" t="n">
        <x:f>ABS('Counter_PnL'!BE322-SUM('Counter_PnL'!AX322:'Counter_PnL'!BB322,'Counter_PnL'!BD322))</x:f>
        <x:v>0</x:v>
      </x:c>
      <x:c r="J322" s="79" t="n">
        <x:f>ABS('Counter_PnL'!BL322-SUM('Counter_PnL'!AV322,'Counter_PnL'!BE322,'Counter_PnL'!BJ322,'Counter_PnL'!BK322))</x:f>
        <x:v>0</x:v>
      </x:c>
      <x:c r="K322" s="79" t="n">
        <x:f>ABS('Counter_PnL'!BO322-('Counter_PnL'!BL322+'Counter_PnL'!BN322))</x:f>
        <x:v>0</x:v>
      </x:c>
      <x:c r="L322" s="79" t="n">
        <x:f>MAX(ABS('Counter_PnL'!AW322-'Counter_PnL'!AV322/'Counter_PnL'!AK322),ABS('Counter_PnL'!BM322-'Counter_PnL'!BL322/'Counter_PnL'!AK322),ABS('Counter_PnL'!BP322-'Counter_PnL'!BO322/'Counter_PnL'!AK322))</x:f>
        <x:v>0</x:v>
      </x:c>
      <x:c r="M322" s="30" t="n">
        <x:f>IF(AND('Counter_PnL'!Q322&gt;0,'Counter_PnL'!AK322&gt;0,'Counter_PnL'!R322&lt;=0,'Counter_PnL'!T322&lt;=0,'Counter_PnL'!AT322&lt;=0,'Counter_PnL'!BE322&lt;=0,'Counter_PnL'!BJ322&lt;=0,'Counter_PnL'!BK322&lt;=0,'Counter_PnL'!BN322&lt;=0),0,1)</x:f>
        <x:v>0</x:v>
      </x:c>
    </x:row>
    <x:row r="323">
      <x:c r="A323" t="str">
        <x:f>'Counter_PnL'!D323</x:f>
        <x:v>CNCT0081</x:v>
      </x:c>
      <x:c r="B323" t="str">
        <x:f>'Counter_PnL'!C323</x:f>
        <x:v>2025 S2</x:v>
      </x:c>
      <x:c r="C323" s="30" t="n">
        <x:f>COUNTIFS('Counter_PnL'!$D$2:$D$641,A323,'Counter_PnL'!$C$2:$C$641,B323)</x:f>
        <x:v>1</x:v>
      </x:c>
      <x:c r="D323" s="79" t="n">
        <x:f>ABS('Counter_PnL'!AC323-SUM('Counter_PnL'!V323:'Counter_PnL'!AB323))</x:f>
        <x:v>0</x:v>
      </x:c>
      <x:c r="E323" s="79" t="n">
        <x:f>ABS('Counter_PnL'!AI323-SUM('Counter_PnL'!R323,'Counter_PnL'!T323,'Counter_PnL'!AC323,'Counter_PnL'!AE323,'Counter_PnL'!AG323,'Counter_PnL'!AH323))</x:f>
        <x:v>0</x:v>
      </x:c>
      <x:c r="F323" s="79" t="n">
        <x:f>ABS('Counter_PnL'!AK323-('Counter_PnL'!Q323+'Counter_PnL'!AI323))</x:f>
        <x:v>0</x:v>
      </x:c>
      <x:c r="G323" s="79" t="n">
        <x:f>ABS('Counter_PnL'!AT323-SUM('Counter_PnL'!AO323:'Counter_PnL'!AS323))</x:f>
        <x:v>0</x:v>
      </x:c>
      <x:c r="H323" s="79" t="n">
        <x:f>ABS('Counter_PnL'!AV323-('Counter_PnL'!AK323+'Counter_PnL'!AT323))</x:f>
        <x:v>0</x:v>
      </x:c>
      <x:c r="I323" s="79" t="n">
        <x:f>ABS('Counter_PnL'!BE323-SUM('Counter_PnL'!AX323:'Counter_PnL'!BB323,'Counter_PnL'!BD323))</x:f>
        <x:v>0</x:v>
      </x:c>
      <x:c r="J323" s="79" t="n">
        <x:f>ABS('Counter_PnL'!BL323-SUM('Counter_PnL'!AV323,'Counter_PnL'!BE323,'Counter_PnL'!BJ323,'Counter_PnL'!BK323))</x:f>
        <x:v>0</x:v>
      </x:c>
      <x:c r="K323" s="79" t="n">
        <x:f>ABS('Counter_PnL'!BO323-('Counter_PnL'!BL323+'Counter_PnL'!BN323))</x:f>
        <x:v>0</x:v>
      </x:c>
      <x:c r="L323" s="79" t="n">
        <x:f>MAX(ABS('Counter_PnL'!AW323-'Counter_PnL'!AV323/'Counter_PnL'!AK323),ABS('Counter_PnL'!BM323-'Counter_PnL'!BL323/'Counter_PnL'!AK323),ABS('Counter_PnL'!BP323-'Counter_PnL'!BO323/'Counter_PnL'!AK323))</x:f>
        <x:v>0</x:v>
      </x:c>
      <x:c r="M323" s="30" t="n">
        <x:f>IF(AND('Counter_PnL'!Q323&gt;0,'Counter_PnL'!AK323&gt;0,'Counter_PnL'!R323&lt;=0,'Counter_PnL'!T323&lt;=0,'Counter_PnL'!AT323&lt;=0,'Counter_PnL'!BE323&lt;=0,'Counter_PnL'!BJ323&lt;=0,'Counter_PnL'!BK323&lt;=0,'Counter_PnL'!BN323&lt;=0),0,1)</x:f>
        <x:v>0</x:v>
      </x:c>
    </x:row>
    <x:row r="324">
      <x:c r="A324" t="str">
        <x:f>'Counter_PnL'!D324</x:f>
        <x:v>CNCT0081</x:v>
      </x:c>
      <x:c r="B324" t="str">
        <x:f>'Counter_PnL'!C324</x:f>
        <x:v>2026 S1</x:v>
      </x:c>
      <x:c r="C324" s="30" t="n">
        <x:f>COUNTIFS('Counter_PnL'!$D$2:$D$641,A324,'Counter_PnL'!$C$2:$C$641,B324)</x:f>
        <x:v>1</x:v>
      </x:c>
      <x:c r="D324" s="79" t="n">
        <x:f>ABS('Counter_PnL'!AC324-SUM('Counter_PnL'!V324:'Counter_PnL'!AB324))</x:f>
        <x:v>0</x:v>
      </x:c>
      <x:c r="E324" s="79" t="n">
        <x:f>ABS('Counter_PnL'!AI324-SUM('Counter_PnL'!R324,'Counter_PnL'!T324,'Counter_PnL'!AC324,'Counter_PnL'!AE324,'Counter_PnL'!AG324,'Counter_PnL'!AH324))</x:f>
        <x:v>0</x:v>
      </x:c>
      <x:c r="F324" s="79" t="n">
        <x:f>ABS('Counter_PnL'!AK324-('Counter_PnL'!Q324+'Counter_PnL'!AI324))</x:f>
        <x:v>0</x:v>
      </x:c>
      <x:c r="G324" s="79" t="n">
        <x:f>ABS('Counter_PnL'!AT324-SUM('Counter_PnL'!AO324:'Counter_PnL'!AS324))</x:f>
        <x:v>0</x:v>
      </x:c>
      <x:c r="H324" s="79" t="n">
        <x:f>ABS('Counter_PnL'!AV324-('Counter_PnL'!AK324+'Counter_PnL'!AT324))</x:f>
        <x:v>0</x:v>
      </x:c>
      <x:c r="I324" s="79" t="n">
        <x:f>ABS('Counter_PnL'!BE324-SUM('Counter_PnL'!AX324:'Counter_PnL'!BB324,'Counter_PnL'!BD324))</x:f>
        <x:v>0</x:v>
      </x:c>
      <x:c r="J324" s="79" t="n">
        <x:f>ABS('Counter_PnL'!BL324-SUM('Counter_PnL'!AV324,'Counter_PnL'!BE324,'Counter_PnL'!BJ324,'Counter_PnL'!BK324))</x:f>
        <x:v>0</x:v>
      </x:c>
      <x:c r="K324" s="79" t="n">
        <x:f>ABS('Counter_PnL'!BO324-('Counter_PnL'!BL324+'Counter_PnL'!BN324))</x:f>
        <x:v>0</x:v>
      </x:c>
      <x:c r="L324" s="79" t="n">
        <x:f>MAX(ABS('Counter_PnL'!AW324-'Counter_PnL'!AV324/'Counter_PnL'!AK324),ABS('Counter_PnL'!BM324-'Counter_PnL'!BL324/'Counter_PnL'!AK324),ABS('Counter_PnL'!BP324-'Counter_PnL'!BO324/'Counter_PnL'!AK324))</x:f>
        <x:v>0</x:v>
      </x:c>
      <x:c r="M324" s="30" t="n">
        <x:f>IF(AND('Counter_PnL'!Q324&gt;0,'Counter_PnL'!AK324&gt;0,'Counter_PnL'!R324&lt;=0,'Counter_PnL'!T324&lt;=0,'Counter_PnL'!AT324&lt;=0,'Counter_PnL'!BE324&lt;=0,'Counter_PnL'!BJ324&lt;=0,'Counter_PnL'!BK324&lt;=0,'Counter_PnL'!BN324&lt;=0),0,1)</x:f>
        <x:v>0</x:v>
      </x:c>
    </x:row>
    <x:row r="325">
      <x:c r="A325" t="str">
        <x:f>'Counter_PnL'!D325</x:f>
        <x:v>CNCT0081</x:v>
      </x:c>
      <x:c r="B325" t="str">
        <x:f>'Counter_PnL'!C325</x:f>
        <x:v>2026 S2</x:v>
      </x:c>
      <x:c r="C325" s="30" t="n">
        <x:f>COUNTIFS('Counter_PnL'!$D$2:$D$641,A325,'Counter_PnL'!$C$2:$C$641,B325)</x:f>
        <x:v>1</x:v>
      </x:c>
      <x:c r="D325" s="79" t="n">
        <x:f>ABS('Counter_PnL'!AC325-SUM('Counter_PnL'!V325:'Counter_PnL'!AB325))</x:f>
        <x:v>0</x:v>
      </x:c>
      <x:c r="E325" s="79" t="n">
        <x:f>ABS('Counter_PnL'!AI325-SUM('Counter_PnL'!R325,'Counter_PnL'!T325,'Counter_PnL'!AC325,'Counter_PnL'!AE325,'Counter_PnL'!AG325,'Counter_PnL'!AH325))</x:f>
        <x:v>0</x:v>
      </x:c>
      <x:c r="F325" s="79" t="n">
        <x:f>ABS('Counter_PnL'!AK325-('Counter_PnL'!Q325+'Counter_PnL'!AI325))</x:f>
        <x:v>0</x:v>
      </x:c>
      <x:c r="G325" s="79" t="n">
        <x:f>ABS('Counter_PnL'!AT325-SUM('Counter_PnL'!AO325:'Counter_PnL'!AS325))</x:f>
        <x:v>0</x:v>
      </x:c>
      <x:c r="H325" s="79" t="n">
        <x:f>ABS('Counter_PnL'!AV325-('Counter_PnL'!AK325+'Counter_PnL'!AT325))</x:f>
        <x:v>0</x:v>
      </x:c>
      <x:c r="I325" s="79" t="n">
        <x:f>ABS('Counter_PnL'!BE325-SUM('Counter_PnL'!AX325:'Counter_PnL'!BB325,'Counter_PnL'!BD325))</x:f>
        <x:v>0</x:v>
      </x:c>
      <x:c r="J325" s="79" t="n">
        <x:f>ABS('Counter_PnL'!BL325-SUM('Counter_PnL'!AV325,'Counter_PnL'!BE325,'Counter_PnL'!BJ325,'Counter_PnL'!BK325))</x:f>
        <x:v>0</x:v>
      </x:c>
      <x:c r="K325" s="79" t="n">
        <x:f>ABS('Counter_PnL'!BO325-('Counter_PnL'!BL325+'Counter_PnL'!BN325))</x:f>
        <x:v>0</x:v>
      </x:c>
      <x:c r="L325" s="79" t="n">
        <x:f>MAX(ABS('Counter_PnL'!AW325-'Counter_PnL'!AV325/'Counter_PnL'!AK325),ABS('Counter_PnL'!BM325-'Counter_PnL'!BL325/'Counter_PnL'!AK325),ABS('Counter_PnL'!BP325-'Counter_PnL'!BO325/'Counter_PnL'!AK325))</x:f>
        <x:v>0</x:v>
      </x:c>
      <x:c r="M325" s="30" t="n">
        <x:f>IF(AND('Counter_PnL'!Q325&gt;0,'Counter_PnL'!AK325&gt;0,'Counter_PnL'!R325&lt;=0,'Counter_PnL'!T325&lt;=0,'Counter_PnL'!AT325&lt;=0,'Counter_PnL'!BE325&lt;=0,'Counter_PnL'!BJ325&lt;=0,'Counter_PnL'!BK325&lt;=0,'Counter_PnL'!BN325&lt;=0),0,1)</x:f>
        <x:v>0</x:v>
      </x:c>
    </x:row>
    <x:row r="326">
      <x:c r="A326" t="str">
        <x:f>'Counter_PnL'!D326</x:f>
        <x:v>CNCT0082</x:v>
      </x:c>
      <x:c r="B326" t="str">
        <x:f>'Counter_PnL'!C326</x:f>
        <x:v>2025 S1</x:v>
      </x:c>
      <x:c r="C326" s="30" t="n">
        <x:f>COUNTIFS('Counter_PnL'!$D$2:$D$641,A326,'Counter_PnL'!$C$2:$C$641,B326)</x:f>
        <x:v>1</x:v>
      </x:c>
      <x:c r="D326" s="79" t="n">
        <x:f>ABS('Counter_PnL'!AC326-SUM('Counter_PnL'!V326:'Counter_PnL'!AB326))</x:f>
        <x:v>0</x:v>
      </x:c>
      <x:c r="E326" s="79" t="n">
        <x:f>ABS('Counter_PnL'!AI326-SUM('Counter_PnL'!R326,'Counter_PnL'!T326,'Counter_PnL'!AC326,'Counter_PnL'!AE326,'Counter_PnL'!AG326,'Counter_PnL'!AH326))</x:f>
        <x:v>0</x:v>
      </x:c>
      <x:c r="F326" s="79" t="n">
        <x:f>ABS('Counter_PnL'!AK326-('Counter_PnL'!Q326+'Counter_PnL'!AI326))</x:f>
        <x:v>0</x:v>
      </x:c>
      <x:c r="G326" s="79" t="n">
        <x:f>ABS('Counter_PnL'!AT326-SUM('Counter_PnL'!AO326:'Counter_PnL'!AS326))</x:f>
        <x:v>0</x:v>
      </x:c>
      <x:c r="H326" s="79" t="n">
        <x:f>ABS('Counter_PnL'!AV326-('Counter_PnL'!AK326+'Counter_PnL'!AT326))</x:f>
        <x:v>0</x:v>
      </x:c>
      <x:c r="I326" s="79" t="n">
        <x:f>ABS('Counter_PnL'!BE326-SUM('Counter_PnL'!AX326:'Counter_PnL'!BB326,'Counter_PnL'!BD326))</x:f>
        <x:v>0</x:v>
      </x:c>
      <x:c r="J326" s="79" t="n">
        <x:f>ABS('Counter_PnL'!BL326-SUM('Counter_PnL'!AV326,'Counter_PnL'!BE326,'Counter_PnL'!BJ326,'Counter_PnL'!BK326))</x:f>
        <x:v>0</x:v>
      </x:c>
      <x:c r="K326" s="79" t="n">
        <x:f>ABS('Counter_PnL'!BO326-('Counter_PnL'!BL326+'Counter_PnL'!BN326))</x:f>
        <x:v>0</x:v>
      </x:c>
      <x:c r="L326" s="79" t="n">
        <x:f>MAX(ABS('Counter_PnL'!AW326-'Counter_PnL'!AV326/'Counter_PnL'!AK326),ABS('Counter_PnL'!BM326-'Counter_PnL'!BL326/'Counter_PnL'!AK326),ABS('Counter_PnL'!BP326-'Counter_PnL'!BO326/'Counter_PnL'!AK326))</x:f>
        <x:v>0</x:v>
      </x:c>
      <x:c r="M326" s="30" t="n">
        <x:f>IF(AND('Counter_PnL'!Q326&gt;0,'Counter_PnL'!AK326&gt;0,'Counter_PnL'!R326&lt;=0,'Counter_PnL'!T326&lt;=0,'Counter_PnL'!AT326&lt;=0,'Counter_PnL'!BE326&lt;=0,'Counter_PnL'!BJ326&lt;=0,'Counter_PnL'!BK326&lt;=0,'Counter_PnL'!BN326&lt;=0),0,1)</x:f>
        <x:v>0</x:v>
      </x:c>
    </x:row>
    <x:row r="327">
      <x:c r="A327" t="str">
        <x:f>'Counter_PnL'!D327</x:f>
        <x:v>CNCT0082</x:v>
      </x:c>
      <x:c r="B327" t="str">
        <x:f>'Counter_PnL'!C327</x:f>
        <x:v>2025 S2</x:v>
      </x:c>
      <x:c r="C327" s="30" t="n">
        <x:f>COUNTIFS('Counter_PnL'!$D$2:$D$641,A327,'Counter_PnL'!$C$2:$C$641,B327)</x:f>
        <x:v>1</x:v>
      </x:c>
      <x:c r="D327" s="79" t="n">
        <x:f>ABS('Counter_PnL'!AC327-SUM('Counter_PnL'!V327:'Counter_PnL'!AB327))</x:f>
        <x:v>0</x:v>
      </x:c>
      <x:c r="E327" s="79" t="n">
        <x:f>ABS('Counter_PnL'!AI327-SUM('Counter_PnL'!R327,'Counter_PnL'!T327,'Counter_PnL'!AC327,'Counter_PnL'!AE327,'Counter_PnL'!AG327,'Counter_PnL'!AH327))</x:f>
        <x:v>0</x:v>
      </x:c>
      <x:c r="F327" s="79" t="n">
        <x:f>ABS('Counter_PnL'!AK327-('Counter_PnL'!Q327+'Counter_PnL'!AI327))</x:f>
        <x:v>0</x:v>
      </x:c>
      <x:c r="G327" s="79" t="n">
        <x:f>ABS('Counter_PnL'!AT327-SUM('Counter_PnL'!AO327:'Counter_PnL'!AS327))</x:f>
        <x:v>0</x:v>
      </x:c>
      <x:c r="H327" s="79" t="n">
        <x:f>ABS('Counter_PnL'!AV327-('Counter_PnL'!AK327+'Counter_PnL'!AT327))</x:f>
        <x:v>0</x:v>
      </x:c>
      <x:c r="I327" s="79" t="n">
        <x:f>ABS('Counter_PnL'!BE327-SUM('Counter_PnL'!AX327:'Counter_PnL'!BB327,'Counter_PnL'!BD327))</x:f>
        <x:v>0</x:v>
      </x:c>
      <x:c r="J327" s="79" t="n">
        <x:f>ABS('Counter_PnL'!BL327-SUM('Counter_PnL'!AV327,'Counter_PnL'!BE327,'Counter_PnL'!BJ327,'Counter_PnL'!BK327))</x:f>
        <x:v>0</x:v>
      </x:c>
      <x:c r="K327" s="79" t="n">
        <x:f>ABS('Counter_PnL'!BO327-('Counter_PnL'!BL327+'Counter_PnL'!BN327))</x:f>
        <x:v>0</x:v>
      </x:c>
      <x:c r="L327" s="79" t="n">
        <x:f>MAX(ABS('Counter_PnL'!AW327-'Counter_PnL'!AV327/'Counter_PnL'!AK327),ABS('Counter_PnL'!BM327-'Counter_PnL'!BL327/'Counter_PnL'!AK327),ABS('Counter_PnL'!BP327-'Counter_PnL'!BO327/'Counter_PnL'!AK327))</x:f>
        <x:v>0</x:v>
      </x:c>
      <x:c r="M327" s="30" t="n">
        <x:f>IF(AND('Counter_PnL'!Q327&gt;0,'Counter_PnL'!AK327&gt;0,'Counter_PnL'!R327&lt;=0,'Counter_PnL'!T327&lt;=0,'Counter_PnL'!AT327&lt;=0,'Counter_PnL'!BE327&lt;=0,'Counter_PnL'!BJ327&lt;=0,'Counter_PnL'!BK327&lt;=0,'Counter_PnL'!BN327&lt;=0),0,1)</x:f>
        <x:v>0</x:v>
      </x:c>
    </x:row>
    <x:row r="328">
      <x:c r="A328" t="str">
        <x:f>'Counter_PnL'!D328</x:f>
        <x:v>CNCT0082</x:v>
      </x:c>
      <x:c r="B328" t="str">
        <x:f>'Counter_PnL'!C328</x:f>
        <x:v>2026 S1</x:v>
      </x:c>
      <x:c r="C328" s="30" t="n">
        <x:f>COUNTIFS('Counter_PnL'!$D$2:$D$641,A328,'Counter_PnL'!$C$2:$C$641,B328)</x:f>
        <x:v>1</x:v>
      </x:c>
      <x:c r="D328" s="79" t="n">
        <x:f>ABS('Counter_PnL'!AC328-SUM('Counter_PnL'!V328:'Counter_PnL'!AB328))</x:f>
        <x:v>0</x:v>
      </x:c>
      <x:c r="E328" s="79" t="n">
        <x:f>ABS('Counter_PnL'!AI328-SUM('Counter_PnL'!R328,'Counter_PnL'!T328,'Counter_PnL'!AC328,'Counter_PnL'!AE328,'Counter_PnL'!AG328,'Counter_PnL'!AH328))</x:f>
        <x:v>0</x:v>
      </x:c>
      <x:c r="F328" s="79" t="n">
        <x:f>ABS('Counter_PnL'!AK328-('Counter_PnL'!Q328+'Counter_PnL'!AI328))</x:f>
        <x:v>0</x:v>
      </x:c>
      <x:c r="G328" s="79" t="n">
        <x:f>ABS('Counter_PnL'!AT328-SUM('Counter_PnL'!AO328:'Counter_PnL'!AS328))</x:f>
        <x:v>0</x:v>
      </x:c>
      <x:c r="H328" s="79" t="n">
        <x:f>ABS('Counter_PnL'!AV328-('Counter_PnL'!AK328+'Counter_PnL'!AT328))</x:f>
        <x:v>0</x:v>
      </x:c>
      <x:c r="I328" s="79" t="n">
        <x:f>ABS('Counter_PnL'!BE328-SUM('Counter_PnL'!AX328:'Counter_PnL'!BB328,'Counter_PnL'!BD328))</x:f>
        <x:v>0</x:v>
      </x:c>
      <x:c r="J328" s="79" t="n">
        <x:f>ABS('Counter_PnL'!BL328-SUM('Counter_PnL'!AV328,'Counter_PnL'!BE328,'Counter_PnL'!BJ328,'Counter_PnL'!BK328))</x:f>
        <x:v>0</x:v>
      </x:c>
      <x:c r="K328" s="79" t="n">
        <x:f>ABS('Counter_PnL'!BO328-('Counter_PnL'!BL328+'Counter_PnL'!BN328))</x:f>
        <x:v>0</x:v>
      </x:c>
      <x:c r="L328" s="79" t="n">
        <x:f>MAX(ABS('Counter_PnL'!AW328-'Counter_PnL'!AV328/'Counter_PnL'!AK328),ABS('Counter_PnL'!BM328-'Counter_PnL'!BL328/'Counter_PnL'!AK328),ABS('Counter_PnL'!BP328-'Counter_PnL'!BO328/'Counter_PnL'!AK328))</x:f>
        <x:v>0</x:v>
      </x:c>
      <x:c r="M328" s="30" t="n">
        <x:f>IF(AND('Counter_PnL'!Q328&gt;0,'Counter_PnL'!AK328&gt;0,'Counter_PnL'!R328&lt;=0,'Counter_PnL'!T328&lt;=0,'Counter_PnL'!AT328&lt;=0,'Counter_PnL'!BE328&lt;=0,'Counter_PnL'!BJ328&lt;=0,'Counter_PnL'!BK328&lt;=0,'Counter_PnL'!BN328&lt;=0),0,1)</x:f>
        <x:v>0</x:v>
      </x:c>
    </x:row>
    <x:row r="329">
      <x:c r="A329" t="str">
        <x:f>'Counter_PnL'!D329</x:f>
        <x:v>CNCT0082</x:v>
      </x:c>
      <x:c r="B329" t="str">
        <x:f>'Counter_PnL'!C329</x:f>
        <x:v>2026 S2</x:v>
      </x:c>
      <x:c r="C329" s="30" t="n">
        <x:f>COUNTIFS('Counter_PnL'!$D$2:$D$641,A329,'Counter_PnL'!$C$2:$C$641,B329)</x:f>
        <x:v>1</x:v>
      </x:c>
      <x:c r="D329" s="79" t="n">
        <x:f>ABS('Counter_PnL'!AC329-SUM('Counter_PnL'!V329:'Counter_PnL'!AB329))</x:f>
        <x:v>0</x:v>
      </x:c>
      <x:c r="E329" s="79" t="n">
        <x:f>ABS('Counter_PnL'!AI329-SUM('Counter_PnL'!R329,'Counter_PnL'!T329,'Counter_PnL'!AC329,'Counter_PnL'!AE329,'Counter_PnL'!AG329,'Counter_PnL'!AH329))</x:f>
        <x:v>0</x:v>
      </x:c>
      <x:c r="F329" s="79" t="n">
        <x:f>ABS('Counter_PnL'!AK329-('Counter_PnL'!Q329+'Counter_PnL'!AI329))</x:f>
        <x:v>0</x:v>
      </x:c>
      <x:c r="G329" s="79" t="n">
        <x:f>ABS('Counter_PnL'!AT329-SUM('Counter_PnL'!AO329:'Counter_PnL'!AS329))</x:f>
        <x:v>0</x:v>
      </x:c>
      <x:c r="H329" s="79" t="n">
        <x:f>ABS('Counter_PnL'!AV329-('Counter_PnL'!AK329+'Counter_PnL'!AT329))</x:f>
        <x:v>0</x:v>
      </x:c>
      <x:c r="I329" s="79" t="n">
        <x:f>ABS('Counter_PnL'!BE329-SUM('Counter_PnL'!AX329:'Counter_PnL'!BB329,'Counter_PnL'!BD329))</x:f>
        <x:v>0</x:v>
      </x:c>
      <x:c r="J329" s="79" t="n">
        <x:f>ABS('Counter_PnL'!BL329-SUM('Counter_PnL'!AV329,'Counter_PnL'!BE329,'Counter_PnL'!BJ329,'Counter_PnL'!BK329))</x:f>
        <x:v>0</x:v>
      </x:c>
      <x:c r="K329" s="79" t="n">
        <x:f>ABS('Counter_PnL'!BO329-('Counter_PnL'!BL329+'Counter_PnL'!BN329))</x:f>
        <x:v>0</x:v>
      </x:c>
      <x:c r="L329" s="79" t="n">
        <x:f>MAX(ABS('Counter_PnL'!AW329-'Counter_PnL'!AV329/'Counter_PnL'!AK329),ABS('Counter_PnL'!BM329-'Counter_PnL'!BL329/'Counter_PnL'!AK329),ABS('Counter_PnL'!BP329-'Counter_PnL'!BO329/'Counter_PnL'!AK329))</x:f>
        <x:v>0</x:v>
      </x:c>
      <x:c r="M329" s="30" t="n">
        <x:f>IF(AND('Counter_PnL'!Q329&gt;0,'Counter_PnL'!AK329&gt;0,'Counter_PnL'!R329&lt;=0,'Counter_PnL'!T329&lt;=0,'Counter_PnL'!AT329&lt;=0,'Counter_PnL'!BE329&lt;=0,'Counter_PnL'!BJ329&lt;=0,'Counter_PnL'!BK329&lt;=0,'Counter_PnL'!BN329&lt;=0),0,1)</x:f>
        <x:v>0</x:v>
      </x:c>
    </x:row>
    <x:row r="330">
      <x:c r="A330" t="str">
        <x:f>'Counter_PnL'!D330</x:f>
        <x:v>CNCT0083</x:v>
      </x:c>
      <x:c r="B330" t="str">
        <x:f>'Counter_PnL'!C330</x:f>
        <x:v>2025 S1</x:v>
      </x:c>
      <x:c r="C330" s="30" t="n">
        <x:f>COUNTIFS('Counter_PnL'!$D$2:$D$641,A330,'Counter_PnL'!$C$2:$C$641,B330)</x:f>
        <x:v>1</x:v>
      </x:c>
      <x:c r="D330" s="79" t="n">
        <x:f>ABS('Counter_PnL'!AC330-SUM('Counter_PnL'!V330:'Counter_PnL'!AB330))</x:f>
        <x:v>0</x:v>
      </x:c>
      <x:c r="E330" s="79" t="n">
        <x:f>ABS('Counter_PnL'!AI330-SUM('Counter_PnL'!R330,'Counter_PnL'!T330,'Counter_PnL'!AC330,'Counter_PnL'!AE330,'Counter_PnL'!AG330,'Counter_PnL'!AH330))</x:f>
        <x:v>0</x:v>
      </x:c>
      <x:c r="F330" s="79" t="n">
        <x:f>ABS('Counter_PnL'!AK330-('Counter_PnL'!Q330+'Counter_PnL'!AI330))</x:f>
        <x:v>0</x:v>
      </x:c>
      <x:c r="G330" s="79" t="n">
        <x:f>ABS('Counter_PnL'!AT330-SUM('Counter_PnL'!AO330:'Counter_PnL'!AS330))</x:f>
        <x:v>0</x:v>
      </x:c>
      <x:c r="H330" s="79" t="n">
        <x:f>ABS('Counter_PnL'!AV330-('Counter_PnL'!AK330+'Counter_PnL'!AT330))</x:f>
        <x:v>0</x:v>
      </x:c>
      <x:c r="I330" s="79" t="n">
        <x:f>ABS('Counter_PnL'!BE330-SUM('Counter_PnL'!AX330:'Counter_PnL'!BB330,'Counter_PnL'!BD330))</x:f>
        <x:v>0</x:v>
      </x:c>
      <x:c r="J330" s="79" t="n">
        <x:f>ABS('Counter_PnL'!BL330-SUM('Counter_PnL'!AV330,'Counter_PnL'!BE330,'Counter_PnL'!BJ330,'Counter_PnL'!BK330))</x:f>
        <x:v>0</x:v>
      </x:c>
      <x:c r="K330" s="79" t="n">
        <x:f>ABS('Counter_PnL'!BO330-('Counter_PnL'!BL330+'Counter_PnL'!BN330))</x:f>
        <x:v>0</x:v>
      </x:c>
      <x:c r="L330" s="79" t="n">
        <x:f>MAX(ABS('Counter_PnL'!AW330-'Counter_PnL'!AV330/'Counter_PnL'!AK330),ABS('Counter_PnL'!BM330-'Counter_PnL'!BL330/'Counter_PnL'!AK330),ABS('Counter_PnL'!BP330-'Counter_PnL'!BO330/'Counter_PnL'!AK330))</x:f>
        <x:v>0</x:v>
      </x:c>
      <x:c r="M330" s="30" t="n">
        <x:f>IF(AND('Counter_PnL'!Q330&gt;0,'Counter_PnL'!AK330&gt;0,'Counter_PnL'!R330&lt;=0,'Counter_PnL'!T330&lt;=0,'Counter_PnL'!AT330&lt;=0,'Counter_PnL'!BE330&lt;=0,'Counter_PnL'!BJ330&lt;=0,'Counter_PnL'!BK330&lt;=0,'Counter_PnL'!BN330&lt;=0),0,1)</x:f>
        <x:v>0</x:v>
      </x:c>
    </x:row>
    <x:row r="331">
      <x:c r="A331" t="str">
        <x:f>'Counter_PnL'!D331</x:f>
        <x:v>CNCT0083</x:v>
      </x:c>
      <x:c r="B331" t="str">
        <x:f>'Counter_PnL'!C331</x:f>
        <x:v>2025 S2</x:v>
      </x:c>
      <x:c r="C331" s="30" t="n">
        <x:f>COUNTIFS('Counter_PnL'!$D$2:$D$641,A331,'Counter_PnL'!$C$2:$C$641,B331)</x:f>
        <x:v>1</x:v>
      </x:c>
      <x:c r="D331" s="79" t="n">
        <x:f>ABS('Counter_PnL'!AC331-SUM('Counter_PnL'!V331:'Counter_PnL'!AB331))</x:f>
        <x:v>0</x:v>
      </x:c>
      <x:c r="E331" s="79" t="n">
        <x:f>ABS('Counter_PnL'!AI331-SUM('Counter_PnL'!R331,'Counter_PnL'!T331,'Counter_PnL'!AC331,'Counter_PnL'!AE331,'Counter_PnL'!AG331,'Counter_PnL'!AH331))</x:f>
        <x:v>0</x:v>
      </x:c>
      <x:c r="F331" s="79" t="n">
        <x:f>ABS('Counter_PnL'!AK331-('Counter_PnL'!Q331+'Counter_PnL'!AI331))</x:f>
        <x:v>0</x:v>
      </x:c>
      <x:c r="G331" s="79" t="n">
        <x:f>ABS('Counter_PnL'!AT331-SUM('Counter_PnL'!AO331:'Counter_PnL'!AS331))</x:f>
        <x:v>0</x:v>
      </x:c>
      <x:c r="H331" s="79" t="n">
        <x:f>ABS('Counter_PnL'!AV331-('Counter_PnL'!AK331+'Counter_PnL'!AT331))</x:f>
        <x:v>0</x:v>
      </x:c>
      <x:c r="I331" s="79" t="n">
        <x:f>ABS('Counter_PnL'!BE331-SUM('Counter_PnL'!AX331:'Counter_PnL'!BB331,'Counter_PnL'!BD331))</x:f>
        <x:v>0</x:v>
      </x:c>
      <x:c r="J331" s="79" t="n">
        <x:f>ABS('Counter_PnL'!BL331-SUM('Counter_PnL'!AV331,'Counter_PnL'!BE331,'Counter_PnL'!BJ331,'Counter_PnL'!BK331))</x:f>
        <x:v>0</x:v>
      </x:c>
      <x:c r="K331" s="79" t="n">
        <x:f>ABS('Counter_PnL'!BO331-('Counter_PnL'!BL331+'Counter_PnL'!BN331))</x:f>
        <x:v>0</x:v>
      </x:c>
      <x:c r="L331" s="79" t="n">
        <x:f>MAX(ABS('Counter_PnL'!AW331-'Counter_PnL'!AV331/'Counter_PnL'!AK331),ABS('Counter_PnL'!BM331-'Counter_PnL'!BL331/'Counter_PnL'!AK331),ABS('Counter_PnL'!BP331-'Counter_PnL'!BO331/'Counter_PnL'!AK331))</x:f>
        <x:v>0</x:v>
      </x:c>
      <x:c r="M331" s="30" t="n">
        <x:f>IF(AND('Counter_PnL'!Q331&gt;0,'Counter_PnL'!AK331&gt;0,'Counter_PnL'!R331&lt;=0,'Counter_PnL'!T331&lt;=0,'Counter_PnL'!AT331&lt;=0,'Counter_PnL'!BE331&lt;=0,'Counter_PnL'!BJ331&lt;=0,'Counter_PnL'!BK331&lt;=0,'Counter_PnL'!BN331&lt;=0),0,1)</x:f>
        <x:v>0</x:v>
      </x:c>
    </x:row>
    <x:row r="332">
      <x:c r="A332" t="str">
        <x:f>'Counter_PnL'!D332</x:f>
        <x:v>CNCT0083</x:v>
      </x:c>
      <x:c r="B332" t="str">
        <x:f>'Counter_PnL'!C332</x:f>
        <x:v>2026 S1</x:v>
      </x:c>
      <x:c r="C332" s="30" t="n">
        <x:f>COUNTIFS('Counter_PnL'!$D$2:$D$641,A332,'Counter_PnL'!$C$2:$C$641,B332)</x:f>
        <x:v>1</x:v>
      </x:c>
      <x:c r="D332" s="79" t="n">
        <x:f>ABS('Counter_PnL'!AC332-SUM('Counter_PnL'!V332:'Counter_PnL'!AB332))</x:f>
        <x:v>0</x:v>
      </x:c>
      <x:c r="E332" s="79" t="n">
        <x:f>ABS('Counter_PnL'!AI332-SUM('Counter_PnL'!R332,'Counter_PnL'!T332,'Counter_PnL'!AC332,'Counter_PnL'!AE332,'Counter_PnL'!AG332,'Counter_PnL'!AH332))</x:f>
        <x:v>0</x:v>
      </x:c>
      <x:c r="F332" s="79" t="n">
        <x:f>ABS('Counter_PnL'!AK332-('Counter_PnL'!Q332+'Counter_PnL'!AI332))</x:f>
        <x:v>0</x:v>
      </x:c>
      <x:c r="G332" s="79" t="n">
        <x:f>ABS('Counter_PnL'!AT332-SUM('Counter_PnL'!AO332:'Counter_PnL'!AS332))</x:f>
        <x:v>0</x:v>
      </x:c>
      <x:c r="H332" s="79" t="n">
        <x:f>ABS('Counter_PnL'!AV332-('Counter_PnL'!AK332+'Counter_PnL'!AT332))</x:f>
        <x:v>0</x:v>
      </x:c>
      <x:c r="I332" s="79" t="n">
        <x:f>ABS('Counter_PnL'!BE332-SUM('Counter_PnL'!AX332:'Counter_PnL'!BB332,'Counter_PnL'!BD332))</x:f>
        <x:v>0</x:v>
      </x:c>
      <x:c r="J332" s="79" t="n">
        <x:f>ABS('Counter_PnL'!BL332-SUM('Counter_PnL'!AV332,'Counter_PnL'!BE332,'Counter_PnL'!BJ332,'Counter_PnL'!BK332))</x:f>
        <x:v>0</x:v>
      </x:c>
      <x:c r="K332" s="79" t="n">
        <x:f>ABS('Counter_PnL'!BO332-('Counter_PnL'!BL332+'Counter_PnL'!BN332))</x:f>
        <x:v>0</x:v>
      </x:c>
      <x:c r="L332" s="79" t="n">
        <x:f>MAX(ABS('Counter_PnL'!AW332-'Counter_PnL'!AV332/'Counter_PnL'!AK332),ABS('Counter_PnL'!BM332-'Counter_PnL'!BL332/'Counter_PnL'!AK332),ABS('Counter_PnL'!BP332-'Counter_PnL'!BO332/'Counter_PnL'!AK332))</x:f>
        <x:v>0</x:v>
      </x:c>
      <x:c r="M332" s="30" t="n">
        <x:f>IF(AND('Counter_PnL'!Q332&gt;0,'Counter_PnL'!AK332&gt;0,'Counter_PnL'!R332&lt;=0,'Counter_PnL'!T332&lt;=0,'Counter_PnL'!AT332&lt;=0,'Counter_PnL'!BE332&lt;=0,'Counter_PnL'!BJ332&lt;=0,'Counter_PnL'!BK332&lt;=0,'Counter_PnL'!BN332&lt;=0),0,1)</x:f>
        <x:v>0</x:v>
      </x:c>
    </x:row>
    <x:row r="333">
      <x:c r="A333" t="str">
        <x:f>'Counter_PnL'!D333</x:f>
        <x:v>CNCT0083</x:v>
      </x:c>
      <x:c r="B333" t="str">
        <x:f>'Counter_PnL'!C333</x:f>
        <x:v>2026 S2</x:v>
      </x:c>
      <x:c r="C333" s="30" t="n">
        <x:f>COUNTIFS('Counter_PnL'!$D$2:$D$641,A333,'Counter_PnL'!$C$2:$C$641,B333)</x:f>
        <x:v>1</x:v>
      </x:c>
      <x:c r="D333" s="79" t="n">
        <x:f>ABS('Counter_PnL'!AC333-SUM('Counter_PnL'!V333:'Counter_PnL'!AB333))</x:f>
        <x:v>0</x:v>
      </x:c>
      <x:c r="E333" s="79" t="n">
        <x:f>ABS('Counter_PnL'!AI333-SUM('Counter_PnL'!R333,'Counter_PnL'!T333,'Counter_PnL'!AC333,'Counter_PnL'!AE333,'Counter_PnL'!AG333,'Counter_PnL'!AH333))</x:f>
        <x:v>0</x:v>
      </x:c>
      <x:c r="F333" s="79" t="n">
        <x:f>ABS('Counter_PnL'!AK333-('Counter_PnL'!Q333+'Counter_PnL'!AI333))</x:f>
        <x:v>0</x:v>
      </x:c>
      <x:c r="G333" s="79" t="n">
        <x:f>ABS('Counter_PnL'!AT333-SUM('Counter_PnL'!AO333:'Counter_PnL'!AS333))</x:f>
        <x:v>0</x:v>
      </x:c>
      <x:c r="H333" s="79" t="n">
        <x:f>ABS('Counter_PnL'!AV333-('Counter_PnL'!AK333+'Counter_PnL'!AT333))</x:f>
        <x:v>0</x:v>
      </x:c>
      <x:c r="I333" s="79" t="n">
        <x:f>ABS('Counter_PnL'!BE333-SUM('Counter_PnL'!AX333:'Counter_PnL'!BB333,'Counter_PnL'!BD333))</x:f>
        <x:v>0</x:v>
      </x:c>
      <x:c r="J333" s="79" t="n">
        <x:f>ABS('Counter_PnL'!BL333-SUM('Counter_PnL'!AV333,'Counter_PnL'!BE333,'Counter_PnL'!BJ333,'Counter_PnL'!BK333))</x:f>
        <x:v>0</x:v>
      </x:c>
      <x:c r="K333" s="79" t="n">
        <x:f>ABS('Counter_PnL'!BO333-('Counter_PnL'!BL333+'Counter_PnL'!BN333))</x:f>
        <x:v>0</x:v>
      </x:c>
      <x:c r="L333" s="79" t="n">
        <x:f>MAX(ABS('Counter_PnL'!AW333-'Counter_PnL'!AV333/'Counter_PnL'!AK333),ABS('Counter_PnL'!BM333-'Counter_PnL'!BL333/'Counter_PnL'!AK333),ABS('Counter_PnL'!BP333-'Counter_PnL'!BO333/'Counter_PnL'!AK333))</x:f>
        <x:v>0</x:v>
      </x:c>
      <x:c r="M333" s="30" t="n">
        <x:f>IF(AND('Counter_PnL'!Q333&gt;0,'Counter_PnL'!AK333&gt;0,'Counter_PnL'!R333&lt;=0,'Counter_PnL'!T333&lt;=0,'Counter_PnL'!AT333&lt;=0,'Counter_PnL'!BE333&lt;=0,'Counter_PnL'!BJ333&lt;=0,'Counter_PnL'!BK333&lt;=0,'Counter_PnL'!BN333&lt;=0),0,1)</x:f>
        <x:v>0</x:v>
      </x:c>
    </x:row>
    <x:row r="334">
      <x:c r="A334" t="str">
        <x:f>'Counter_PnL'!D334</x:f>
        <x:v>CNCT0084</x:v>
      </x:c>
      <x:c r="B334" t="str">
        <x:f>'Counter_PnL'!C334</x:f>
        <x:v>2025 S1</x:v>
      </x:c>
      <x:c r="C334" s="30" t="n">
        <x:f>COUNTIFS('Counter_PnL'!$D$2:$D$641,A334,'Counter_PnL'!$C$2:$C$641,B334)</x:f>
        <x:v>1</x:v>
      </x:c>
      <x:c r="D334" s="79" t="n">
        <x:f>ABS('Counter_PnL'!AC334-SUM('Counter_PnL'!V334:'Counter_PnL'!AB334))</x:f>
        <x:v>0</x:v>
      </x:c>
      <x:c r="E334" s="79" t="n">
        <x:f>ABS('Counter_PnL'!AI334-SUM('Counter_PnL'!R334,'Counter_PnL'!T334,'Counter_PnL'!AC334,'Counter_PnL'!AE334,'Counter_PnL'!AG334,'Counter_PnL'!AH334))</x:f>
        <x:v>0</x:v>
      </x:c>
      <x:c r="F334" s="79" t="n">
        <x:f>ABS('Counter_PnL'!AK334-('Counter_PnL'!Q334+'Counter_PnL'!AI334))</x:f>
        <x:v>0</x:v>
      </x:c>
      <x:c r="G334" s="79" t="n">
        <x:f>ABS('Counter_PnL'!AT334-SUM('Counter_PnL'!AO334:'Counter_PnL'!AS334))</x:f>
        <x:v>0</x:v>
      </x:c>
      <x:c r="H334" s="79" t="n">
        <x:f>ABS('Counter_PnL'!AV334-('Counter_PnL'!AK334+'Counter_PnL'!AT334))</x:f>
        <x:v>0</x:v>
      </x:c>
      <x:c r="I334" s="79" t="n">
        <x:f>ABS('Counter_PnL'!BE334-SUM('Counter_PnL'!AX334:'Counter_PnL'!BB334,'Counter_PnL'!BD334))</x:f>
        <x:v>0</x:v>
      </x:c>
      <x:c r="J334" s="79" t="n">
        <x:f>ABS('Counter_PnL'!BL334-SUM('Counter_PnL'!AV334,'Counter_PnL'!BE334,'Counter_PnL'!BJ334,'Counter_PnL'!BK334))</x:f>
        <x:v>0</x:v>
      </x:c>
      <x:c r="K334" s="79" t="n">
        <x:f>ABS('Counter_PnL'!BO334-('Counter_PnL'!BL334+'Counter_PnL'!BN334))</x:f>
        <x:v>0</x:v>
      </x:c>
      <x:c r="L334" s="79" t="n">
        <x:f>MAX(ABS('Counter_PnL'!AW334-'Counter_PnL'!AV334/'Counter_PnL'!AK334),ABS('Counter_PnL'!BM334-'Counter_PnL'!BL334/'Counter_PnL'!AK334),ABS('Counter_PnL'!BP334-'Counter_PnL'!BO334/'Counter_PnL'!AK334))</x:f>
        <x:v>0</x:v>
      </x:c>
      <x:c r="M334" s="30" t="n">
        <x:f>IF(AND('Counter_PnL'!Q334&gt;0,'Counter_PnL'!AK334&gt;0,'Counter_PnL'!R334&lt;=0,'Counter_PnL'!T334&lt;=0,'Counter_PnL'!AT334&lt;=0,'Counter_PnL'!BE334&lt;=0,'Counter_PnL'!BJ334&lt;=0,'Counter_PnL'!BK334&lt;=0,'Counter_PnL'!BN334&lt;=0),0,1)</x:f>
        <x:v>0</x:v>
      </x:c>
    </x:row>
    <x:row r="335">
      <x:c r="A335" t="str">
        <x:f>'Counter_PnL'!D335</x:f>
        <x:v>CNCT0084</x:v>
      </x:c>
      <x:c r="B335" t="str">
        <x:f>'Counter_PnL'!C335</x:f>
        <x:v>2025 S2</x:v>
      </x:c>
      <x:c r="C335" s="30" t="n">
        <x:f>COUNTIFS('Counter_PnL'!$D$2:$D$641,A335,'Counter_PnL'!$C$2:$C$641,B335)</x:f>
        <x:v>1</x:v>
      </x:c>
      <x:c r="D335" s="79" t="n">
        <x:f>ABS('Counter_PnL'!AC335-SUM('Counter_PnL'!V335:'Counter_PnL'!AB335))</x:f>
        <x:v>0</x:v>
      </x:c>
      <x:c r="E335" s="79" t="n">
        <x:f>ABS('Counter_PnL'!AI335-SUM('Counter_PnL'!R335,'Counter_PnL'!T335,'Counter_PnL'!AC335,'Counter_PnL'!AE335,'Counter_PnL'!AG335,'Counter_PnL'!AH335))</x:f>
        <x:v>0</x:v>
      </x:c>
      <x:c r="F335" s="79" t="n">
        <x:f>ABS('Counter_PnL'!AK335-('Counter_PnL'!Q335+'Counter_PnL'!AI335))</x:f>
        <x:v>0</x:v>
      </x:c>
      <x:c r="G335" s="79" t="n">
        <x:f>ABS('Counter_PnL'!AT335-SUM('Counter_PnL'!AO335:'Counter_PnL'!AS335))</x:f>
        <x:v>0</x:v>
      </x:c>
      <x:c r="H335" s="79" t="n">
        <x:f>ABS('Counter_PnL'!AV335-('Counter_PnL'!AK335+'Counter_PnL'!AT335))</x:f>
        <x:v>0</x:v>
      </x:c>
      <x:c r="I335" s="79" t="n">
        <x:f>ABS('Counter_PnL'!BE335-SUM('Counter_PnL'!AX335:'Counter_PnL'!BB335,'Counter_PnL'!BD335))</x:f>
        <x:v>0</x:v>
      </x:c>
      <x:c r="J335" s="79" t="n">
        <x:f>ABS('Counter_PnL'!BL335-SUM('Counter_PnL'!AV335,'Counter_PnL'!BE335,'Counter_PnL'!BJ335,'Counter_PnL'!BK335))</x:f>
        <x:v>0</x:v>
      </x:c>
      <x:c r="K335" s="79" t="n">
        <x:f>ABS('Counter_PnL'!BO335-('Counter_PnL'!BL335+'Counter_PnL'!BN335))</x:f>
        <x:v>0</x:v>
      </x:c>
      <x:c r="L335" s="79" t="n">
        <x:f>MAX(ABS('Counter_PnL'!AW335-'Counter_PnL'!AV335/'Counter_PnL'!AK335),ABS('Counter_PnL'!BM335-'Counter_PnL'!BL335/'Counter_PnL'!AK335),ABS('Counter_PnL'!BP335-'Counter_PnL'!BO335/'Counter_PnL'!AK335))</x:f>
        <x:v>0</x:v>
      </x:c>
      <x:c r="M335" s="30" t="n">
        <x:f>IF(AND('Counter_PnL'!Q335&gt;0,'Counter_PnL'!AK335&gt;0,'Counter_PnL'!R335&lt;=0,'Counter_PnL'!T335&lt;=0,'Counter_PnL'!AT335&lt;=0,'Counter_PnL'!BE335&lt;=0,'Counter_PnL'!BJ335&lt;=0,'Counter_PnL'!BK335&lt;=0,'Counter_PnL'!BN335&lt;=0),0,1)</x:f>
        <x:v>0</x:v>
      </x:c>
    </x:row>
    <x:row r="336">
      <x:c r="A336" t="str">
        <x:f>'Counter_PnL'!D336</x:f>
        <x:v>CNCT0084</x:v>
      </x:c>
      <x:c r="B336" t="str">
        <x:f>'Counter_PnL'!C336</x:f>
        <x:v>2026 S1</x:v>
      </x:c>
      <x:c r="C336" s="30" t="n">
        <x:f>COUNTIFS('Counter_PnL'!$D$2:$D$641,A336,'Counter_PnL'!$C$2:$C$641,B336)</x:f>
        <x:v>1</x:v>
      </x:c>
      <x:c r="D336" s="79" t="n">
        <x:f>ABS('Counter_PnL'!AC336-SUM('Counter_PnL'!V336:'Counter_PnL'!AB336))</x:f>
        <x:v>0</x:v>
      </x:c>
      <x:c r="E336" s="79" t="n">
        <x:f>ABS('Counter_PnL'!AI336-SUM('Counter_PnL'!R336,'Counter_PnL'!T336,'Counter_PnL'!AC336,'Counter_PnL'!AE336,'Counter_PnL'!AG336,'Counter_PnL'!AH336))</x:f>
        <x:v>0</x:v>
      </x:c>
      <x:c r="F336" s="79" t="n">
        <x:f>ABS('Counter_PnL'!AK336-('Counter_PnL'!Q336+'Counter_PnL'!AI336))</x:f>
        <x:v>0</x:v>
      </x:c>
      <x:c r="G336" s="79" t="n">
        <x:f>ABS('Counter_PnL'!AT336-SUM('Counter_PnL'!AO336:'Counter_PnL'!AS336))</x:f>
        <x:v>0</x:v>
      </x:c>
      <x:c r="H336" s="79" t="n">
        <x:f>ABS('Counter_PnL'!AV336-('Counter_PnL'!AK336+'Counter_PnL'!AT336))</x:f>
        <x:v>0</x:v>
      </x:c>
      <x:c r="I336" s="79" t="n">
        <x:f>ABS('Counter_PnL'!BE336-SUM('Counter_PnL'!AX336:'Counter_PnL'!BB336,'Counter_PnL'!BD336))</x:f>
        <x:v>0</x:v>
      </x:c>
      <x:c r="J336" s="79" t="n">
        <x:f>ABS('Counter_PnL'!BL336-SUM('Counter_PnL'!AV336,'Counter_PnL'!BE336,'Counter_PnL'!BJ336,'Counter_PnL'!BK336))</x:f>
        <x:v>0</x:v>
      </x:c>
      <x:c r="K336" s="79" t="n">
        <x:f>ABS('Counter_PnL'!BO336-('Counter_PnL'!BL336+'Counter_PnL'!BN336))</x:f>
        <x:v>0</x:v>
      </x:c>
      <x:c r="L336" s="79" t="n">
        <x:f>MAX(ABS('Counter_PnL'!AW336-'Counter_PnL'!AV336/'Counter_PnL'!AK336),ABS('Counter_PnL'!BM336-'Counter_PnL'!BL336/'Counter_PnL'!AK336),ABS('Counter_PnL'!BP336-'Counter_PnL'!BO336/'Counter_PnL'!AK336))</x:f>
        <x:v>0</x:v>
      </x:c>
      <x:c r="M336" s="30" t="n">
        <x:f>IF(AND('Counter_PnL'!Q336&gt;0,'Counter_PnL'!AK336&gt;0,'Counter_PnL'!R336&lt;=0,'Counter_PnL'!T336&lt;=0,'Counter_PnL'!AT336&lt;=0,'Counter_PnL'!BE336&lt;=0,'Counter_PnL'!BJ336&lt;=0,'Counter_PnL'!BK336&lt;=0,'Counter_PnL'!BN336&lt;=0),0,1)</x:f>
        <x:v>0</x:v>
      </x:c>
    </x:row>
    <x:row r="337">
      <x:c r="A337" t="str">
        <x:f>'Counter_PnL'!D337</x:f>
        <x:v>CNCT0084</x:v>
      </x:c>
      <x:c r="B337" t="str">
        <x:f>'Counter_PnL'!C337</x:f>
        <x:v>2026 S2</x:v>
      </x:c>
      <x:c r="C337" s="30" t="n">
        <x:f>COUNTIFS('Counter_PnL'!$D$2:$D$641,A337,'Counter_PnL'!$C$2:$C$641,B337)</x:f>
        <x:v>1</x:v>
      </x:c>
      <x:c r="D337" s="79" t="n">
        <x:f>ABS('Counter_PnL'!AC337-SUM('Counter_PnL'!V337:'Counter_PnL'!AB337))</x:f>
        <x:v>0</x:v>
      </x:c>
      <x:c r="E337" s="79" t="n">
        <x:f>ABS('Counter_PnL'!AI337-SUM('Counter_PnL'!R337,'Counter_PnL'!T337,'Counter_PnL'!AC337,'Counter_PnL'!AE337,'Counter_PnL'!AG337,'Counter_PnL'!AH337))</x:f>
        <x:v>0</x:v>
      </x:c>
      <x:c r="F337" s="79" t="n">
        <x:f>ABS('Counter_PnL'!AK337-('Counter_PnL'!Q337+'Counter_PnL'!AI337))</x:f>
        <x:v>0</x:v>
      </x:c>
      <x:c r="G337" s="79" t="n">
        <x:f>ABS('Counter_PnL'!AT337-SUM('Counter_PnL'!AO337:'Counter_PnL'!AS337))</x:f>
        <x:v>0</x:v>
      </x:c>
      <x:c r="H337" s="79" t="n">
        <x:f>ABS('Counter_PnL'!AV337-('Counter_PnL'!AK337+'Counter_PnL'!AT337))</x:f>
        <x:v>0</x:v>
      </x:c>
      <x:c r="I337" s="79" t="n">
        <x:f>ABS('Counter_PnL'!BE337-SUM('Counter_PnL'!AX337:'Counter_PnL'!BB337,'Counter_PnL'!BD337))</x:f>
        <x:v>0</x:v>
      </x:c>
      <x:c r="J337" s="79" t="n">
        <x:f>ABS('Counter_PnL'!BL337-SUM('Counter_PnL'!AV337,'Counter_PnL'!BE337,'Counter_PnL'!BJ337,'Counter_PnL'!BK337))</x:f>
        <x:v>0</x:v>
      </x:c>
      <x:c r="K337" s="79" t="n">
        <x:f>ABS('Counter_PnL'!BO337-('Counter_PnL'!BL337+'Counter_PnL'!BN337))</x:f>
        <x:v>0</x:v>
      </x:c>
      <x:c r="L337" s="79" t="n">
        <x:f>MAX(ABS('Counter_PnL'!AW337-'Counter_PnL'!AV337/'Counter_PnL'!AK337),ABS('Counter_PnL'!BM337-'Counter_PnL'!BL337/'Counter_PnL'!AK337),ABS('Counter_PnL'!BP337-'Counter_PnL'!BO337/'Counter_PnL'!AK337))</x:f>
        <x:v>0</x:v>
      </x:c>
      <x:c r="M337" s="30" t="n">
        <x:f>IF(AND('Counter_PnL'!Q337&gt;0,'Counter_PnL'!AK337&gt;0,'Counter_PnL'!R337&lt;=0,'Counter_PnL'!T337&lt;=0,'Counter_PnL'!AT337&lt;=0,'Counter_PnL'!BE337&lt;=0,'Counter_PnL'!BJ337&lt;=0,'Counter_PnL'!BK337&lt;=0,'Counter_PnL'!BN337&lt;=0),0,1)</x:f>
        <x:v>0</x:v>
      </x:c>
    </x:row>
    <x:row r="338">
      <x:c r="A338" t="str">
        <x:f>'Counter_PnL'!D338</x:f>
        <x:v>CNCT0085</x:v>
      </x:c>
      <x:c r="B338" t="str">
        <x:f>'Counter_PnL'!C338</x:f>
        <x:v>2025 S1</x:v>
      </x:c>
      <x:c r="C338" s="30" t="n">
        <x:f>COUNTIFS('Counter_PnL'!$D$2:$D$641,A338,'Counter_PnL'!$C$2:$C$641,B338)</x:f>
        <x:v>1</x:v>
      </x:c>
      <x:c r="D338" s="79" t="n">
        <x:f>ABS('Counter_PnL'!AC338-SUM('Counter_PnL'!V338:'Counter_PnL'!AB338))</x:f>
        <x:v>0</x:v>
      </x:c>
      <x:c r="E338" s="79" t="n">
        <x:f>ABS('Counter_PnL'!AI338-SUM('Counter_PnL'!R338,'Counter_PnL'!T338,'Counter_PnL'!AC338,'Counter_PnL'!AE338,'Counter_PnL'!AG338,'Counter_PnL'!AH338))</x:f>
        <x:v>0</x:v>
      </x:c>
      <x:c r="F338" s="79" t="n">
        <x:f>ABS('Counter_PnL'!AK338-('Counter_PnL'!Q338+'Counter_PnL'!AI338))</x:f>
        <x:v>0</x:v>
      </x:c>
      <x:c r="G338" s="79" t="n">
        <x:f>ABS('Counter_PnL'!AT338-SUM('Counter_PnL'!AO338:'Counter_PnL'!AS338))</x:f>
        <x:v>0</x:v>
      </x:c>
      <x:c r="H338" s="79" t="n">
        <x:f>ABS('Counter_PnL'!AV338-('Counter_PnL'!AK338+'Counter_PnL'!AT338))</x:f>
        <x:v>0</x:v>
      </x:c>
      <x:c r="I338" s="79" t="n">
        <x:f>ABS('Counter_PnL'!BE338-SUM('Counter_PnL'!AX338:'Counter_PnL'!BB338,'Counter_PnL'!BD338))</x:f>
        <x:v>0</x:v>
      </x:c>
      <x:c r="J338" s="79" t="n">
        <x:f>ABS('Counter_PnL'!BL338-SUM('Counter_PnL'!AV338,'Counter_PnL'!BE338,'Counter_PnL'!BJ338,'Counter_PnL'!BK338))</x:f>
        <x:v>0</x:v>
      </x:c>
      <x:c r="K338" s="79" t="n">
        <x:f>ABS('Counter_PnL'!BO338-('Counter_PnL'!BL338+'Counter_PnL'!BN338))</x:f>
        <x:v>0</x:v>
      </x:c>
      <x:c r="L338" s="79" t="n">
        <x:f>MAX(ABS('Counter_PnL'!AW338-'Counter_PnL'!AV338/'Counter_PnL'!AK338),ABS('Counter_PnL'!BM338-'Counter_PnL'!BL338/'Counter_PnL'!AK338),ABS('Counter_PnL'!BP338-'Counter_PnL'!BO338/'Counter_PnL'!AK338))</x:f>
        <x:v>0</x:v>
      </x:c>
      <x:c r="M338" s="30" t="n">
        <x:f>IF(AND('Counter_PnL'!Q338&gt;0,'Counter_PnL'!AK338&gt;0,'Counter_PnL'!R338&lt;=0,'Counter_PnL'!T338&lt;=0,'Counter_PnL'!AT338&lt;=0,'Counter_PnL'!BE338&lt;=0,'Counter_PnL'!BJ338&lt;=0,'Counter_PnL'!BK338&lt;=0,'Counter_PnL'!BN338&lt;=0),0,1)</x:f>
        <x:v>0</x:v>
      </x:c>
    </x:row>
    <x:row r="339">
      <x:c r="A339" t="str">
        <x:f>'Counter_PnL'!D339</x:f>
        <x:v>CNCT0085</x:v>
      </x:c>
      <x:c r="B339" t="str">
        <x:f>'Counter_PnL'!C339</x:f>
        <x:v>2025 S2</x:v>
      </x:c>
      <x:c r="C339" s="30" t="n">
        <x:f>COUNTIFS('Counter_PnL'!$D$2:$D$641,A339,'Counter_PnL'!$C$2:$C$641,B339)</x:f>
        <x:v>1</x:v>
      </x:c>
      <x:c r="D339" s="79" t="n">
        <x:f>ABS('Counter_PnL'!AC339-SUM('Counter_PnL'!V339:'Counter_PnL'!AB339))</x:f>
        <x:v>0</x:v>
      </x:c>
      <x:c r="E339" s="79" t="n">
        <x:f>ABS('Counter_PnL'!AI339-SUM('Counter_PnL'!R339,'Counter_PnL'!T339,'Counter_PnL'!AC339,'Counter_PnL'!AE339,'Counter_PnL'!AG339,'Counter_PnL'!AH339))</x:f>
        <x:v>0</x:v>
      </x:c>
      <x:c r="F339" s="79" t="n">
        <x:f>ABS('Counter_PnL'!AK339-('Counter_PnL'!Q339+'Counter_PnL'!AI339))</x:f>
        <x:v>0</x:v>
      </x:c>
      <x:c r="G339" s="79" t="n">
        <x:f>ABS('Counter_PnL'!AT339-SUM('Counter_PnL'!AO339:'Counter_PnL'!AS339))</x:f>
        <x:v>0</x:v>
      </x:c>
      <x:c r="H339" s="79" t="n">
        <x:f>ABS('Counter_PnL'!AV339-('Counter_PnL'!AK339+'Counter_PnL'!AT339))</x:f>
        <x:v>0</x:v>
      </x:c>
      <x:c r="I339" s="79" t="n">
        <x:f>ABS('Counter_PnL'!BE339-SUM('Counter_PnL'!AX339:'Counter_PnL'!BB339,'Counter_PnL'!BD339))</x:f>
        <x:v>0</x:v>
      </x:c>
      <x:c r="J339" s="79" t="n">
        <x:f>ABS('Counter_PnL'!BL339-SUM('Counter_PnL'!AV339,'Counter_PnL'!BE339,'Counter_PnL'!BJ339,'Counter_PnL'!BK339))</x:f>
        <x:v>0</x:v>
      </x:c>
      <x:c r="K339" s="79" t="n">
        <x:f>ABS('Counter_PnL'!BO339-('Counter_PnL'!BL339+'Counter_PnL'!BN339))</x:f>
        <x:v>0</x:v>
      </x:c>
      <x:c r="L339" s="79" t="n">
        <x:f>MAX(ABS('Counter_PnL'!AW339-'Counter_PnL'!AV339/'Counter_PnL'!AK339),ABS('Counter_PnL'!BM339-'Counter_PnL'!BL339/'Counter_PnL'!AK339),ABS('Counter_PnL'!BP339-'Counter_PnL'!BO339/'Counter_PnL'!AK339))</x:f>
        <x:v>0</x:v>
      </x:c>
      <x:c r="M339" s="30" t="n">
        <x:f>IF(AND('Counter_PnL'!Q339&gt;0,'Counter_PnL'!AK339&gt;0,'Counter_PnL'!R339&lt;=0,'Counter_PnL'!T339&lt;=0,'Counter_PnL'!AT339&lt;=0,'Counter_PnL'!BE339&lt;=0,'Counter_PnL'!BJ339&lt;=0,'Counter_PnL'!BK339&lt;=0,'Counter_PnL'!BN339&lt;=0),0,1)</x:f>
        <x:v>0</x:v>
      </x:c>
    </x:row>
    <x:row r="340">
      <x:c r="A340" t="str">
        <x:f>'Counter_PnL'!D340</x:f>
        <x:v>CNCT0085</x:v>
      </x:c>
      <x:c r="B340" t="str">
        <x:f>'Counter_PnL'!C340</x:f>
        <x:v>2026 S1</x:v>
      </x:c>
      <x:c r="C340" s="30" t="n">
        <x:f>COUNTIFS('Counter_PnL'!$D$2:$D$641,A340,'Counter_PnL'!$C$2:$C$641,B340)</x:f>
        <x:v>1</x:v>
      </x:c>
      <x:c r="D340" s="79" t="n">
        <x:f>ABS('Counter_PnL'!AC340-SUM('Counter_PnL'!V340:'Counter_PnL'!AB340))</x:f>
        <x:v>0</x:v>
      </x:c>
      <x:c r="E340" s="79" t="n">
        <x:f>ABS('Counter_PnL'!AI340-SUM('Counter_PnL'!R340,'Counter_PnL'!T340,'Counter_PnL'!AC340,'Counter_PnL'!AE340,'Counter_PnL'!AG340,'Counter_PnL'!AH340))</x:f>
        <x:v>0</x:v>
      </x:c>
      <x:c r="F340" s="79" t="n">
        <x:f>ABS('Counter_PnL'!AK340-('Counter_PnL'!Q340+'Counter_PnL'!AI340))</x:f>
        <x:v>0</x:v>
      </x:c>
      <x:c r="G340" s="79" t="n">
        <x:f>ABS('Counter_PnL'!AT340-SUM('Counter_PnL'!AO340:'Counter_PnL'!AS340))</x:f>
        <x:v>0</x:v>
      </x:c>
      <x:c r="H340" s="79" t="n">
        <x:f>ABS('Counter_PnL'!AV340-('Counter_PnL'!AK340+'Counter_PnL'!AT340))</x:f>
        <x:v>0</x:v>
      </x:c>
      <x:c r="I340" s="79" t="n">
        <x:f>ABS('Counter_PnL'!BE340-SUM('Counter_PnL'!AX340:'Counter_PnL'!BB340,'Counter_PnL'!BD340))</x:f>
        <x:v>0</x:v>
      </x:c>
      <x:c r="J340" s="79" t="n">
        <x:f>ABS('Counter_PnL'!BL340-SUM('Counter_PnL'!AV340,'Counter_PnL'!BE340,'Counter_PnL'!BJ340,'Counter_PnL'!BK340))</x:f>
        <x:v>0</x:v>
      </x:c>
      <x:c r="K340" s="79" t="n">
        <x:f>ABS('Counter_PnL'!BO340-('Counter_PnL'!BL340+'Counter_PnL'!BN340))</x:f>
        <x:v>0</x:v>
      </x:c>
      <x:c r="L340" s="79" t="n">
        <x:f>MAX(ABS('Counter_PnL'!AW340-'Counter_PnL'!AV340/'Counter_PnL'!AK340),ABS('Counter_PnL'!BM340-'Counter_PnL'!BL340/'Counter_PnL'!AK340),ABS('Counter_PnL'!BP340-'Counter_PnL'!BO340/'Counter_PnL'!AK340))</x:f>
        <x:v>0</x:v>
      </x:c>
      <x:c r="M340" s="30" t="n">
        <x:f>IF(AND('Counter_PnL'!Q340&gt;0,'Counter_PnL'!AK340&gt;0,'Counter_PnL'!R340&lt;=0,'Counter_PnL'!T340&lt;=0,'Counter_PnL'!AT340&lt;=0,'Counter_PnL'!BE340&lt;=0,'Counter_PnL'!BJ340&lt;=0,'Counter_PnL'!BK340&lt;=0,'Counter_PnL'!BN340&lt;=0),0,1)</x:f>
        <x:v>0</x:v>
      </x:c>
    </x:row>
    <x:row r="341">
      <x:c r="A341" t="str">
        <x:f>'Counter_PnL'!D341</x:f>
        <x:v>CNCT0085</x:v>
      </x:c>
      <x:c r="B341" t="str">
        <x:f>'Counter_PnL'!C341</x:f>
        <x:v>2026 S2</x:v>
      </x:c>
      <x:c r="C341" s="30" t="n">
        <x:f>COUNTIFS('Counter_PnL'!$D$2:$D$641,A341,'Counter_PnL'!$C$2:$C$641,B341)</x:f>
        <x:v>1</x:v>
      </x:c>
      <x:c r="D341" s="79" t="n">
        <x:f>ABS('Counter_PnL'!AC341-SUM('Counter_PnL'!V341:'Counter_PnL'!AB341))</x:f>
        <x:v>0</x:v>
      </x:c>
      <x:c r="E341" s="79" t="n">
        <x:f>ABS('Counter_PnL'!AI341-SUM('Counter_PnL'!R341,'Counter_PnL'!T341,'Counter_PnL'!AC341,'Counter_PnL'!AE341,'Counter_PnL'!AG341,'Counter_PnL'!AH341))</x:f>
        <x:v>0</x:v>
      </x:c>
      <x:c r="F341" s="79" t="n">
        <x:f>ABS('Counter_PnL'!AK341-('Counter_PnL'!Q341+'Counter_PnL'!AI341))</x:f>
        <x:v>0</x:v>
      </x:c>
      <x:c r="G341" s="79" t="n">
        <x:f>ABS('Counter_PnL'!AT341-SUM('Counter_PnL'!AO341:'Counter_PnL'!AS341))</x:f>
        <x:v>0</x:v>
      </x:c>
      <x:c r="H341" s="79" t="n">
        <x:f>ABS('Counter_PnL'!AV341-('Counter_PnL'!AK341+'Counter_PnL'!AT341))</x:f>
        <x:v>0</x:v>
      </x:c>
      <x:c r="I341" s="79" t="n">
        <x:f>ABS('Counter_PnL'!BE341-SUM('Counter_PnL'!AX341:'Counter_PnL'!BB341,'Counter_PnL'!BD341))</x:f>
        <x:v>0</x:v>
      </x:c>
      <x:c r="J341" s="79" t="n">
        <x:f>ABS('Counter_PnL'!BL341-SUM('Counter_PnL'!AV341,'Counter_PnL'!BE341,'Counter_PnL'!BJ341,'Counter_PnL'!BK341))</x:f>
        <x:v>0</x:v>
      </x:c>
      <x:c r="K341" s="79" t="n">
        <x:f>ABS('Counter_PnL'!BO341-('Counter_PnL'!BL341+'Counter_PnL'!BN341))</x:f>
        <x:v>0</x:v>
      </x:c>
      <x:c r="L341" s="79" t="n">
        <x:f>MAX(ABS('Counter_PnL'!AW341-'Counter_PnL'!AV341/'Counter_PnL'!AK341),ABS('Counter_PnL'!BM341-'Counter_PnL'!BL341/'Counter_PnL'!AK341),ABS('Counter_PnL'!BP341-'Counter_PnL'!BO341/'Counter_PnL'!AK341))</x:f>
        <x:v>0</x:v>
      </x:c>
      <x:c r="M341" s="30" t="n">
        <x:f>IF(AND('Counter_PnL'!Q341&gt;0,'Counter_PnL'!AK341&gt;0,'Counter_PnL'!R341&lt;=0,'Counter_PnL'!T341&lt;=0,'Counter_PnL'!AT341&lt;=0,'Counter_PnL'!BE341&lt;=0,'Counter_PnL'!BJ341&lt;=0,'Counter_PnL'!BK341&lt;=0,'Counter_PnL'!BN341&lt;=0),0,1)</x:f>
        <x:v>0</x:v>
      </x:c>
    </x:row>
    <x:row r="342">
      <x:c r="A342" t="str">
        <x:f>'Counter_PnL'!D342</x:f>
        <x:v>CNCT0086</x:v>
      </x:c>
      <x:c r="B342" t="str">
        <x:f>'Counter_PnL'!C342</x:f>
        <x:v>2025 S1</x:v>
      </x:c>
      <x:c r="C342" s="30" t="n">
        <x:f>COUNTIFS('Counter_PnL'!$D$2:$D$641,A342,'Counter_PnL'!$C$2:$C$641,B342)</x:f>
        <x:v>1</x:v>
      </x:c>
      <x:c r="D342" s="79" t="n">
        <x:f>ABS('Counter_PnL'!AC342-SUM('Counter_PnL'!V342:'Counter_PnL'!AB342))</x:f>
        <x:v>0</x:v>
      </x:c>
      <x:c r="E342" s="79" t="n">
        <x:f>ABS('Counter_PnL'!AI342-SUM('Counter_PnL'!R342,'Counter_PnL'!T342,'Counter_PnL'!AC342,'Counter_PnL'!AE342,'Counter_PnL'!AG342,'Counter_PnL'!AH342))</x:f>
        <x:v>0</x:v>
      </x:c>
      <x:c r="F342" s="79" t="n">
        <x:f>ABS('Counter_PnL'!AK342-('Counter_PnL'!Q342+'Counter_PnL'!AI342))</x:f>
        <x:v>0</x:v>
      </x:c>
      <x:c r="G342" s="79" t="n">
        <x:f>ABS('Counter_PnL'!AT342-SUM('Counter_PnL'!AO342:'Counter_PnL'!AS342))</x:f>
        <x:v>0</x:v>
      </x:c>
      <x:c r="H342" s="79" t="n">
        <x:f>ABS('Counter_PnL'!AV342-('Counter_PnL'!AK342+'Counter_PnL'!AT342))</x:f>
        <x:v>0</x:v>
      </x:c>
      <x:c r="I342" s="79" t="n">
        <x:f>ABS('Counter_PnL'!BE342-SUM('Counter_PnL'!AX342:'Counter_PnL'!BB342,'Counter_PnL'!BD342))</x:f>
        <x:v>0</x:v>
      </x:c>
      <x:c r="J342" s="79" t="n">
        <x:f>ABS('Counter_PnL'!BL342-SUM('Counter_PnL'!AV342,'Counter_PnL'!BE342,'Counter_PnL'!BJ342,'Counter_PnL'!BK342))</x:f>
        <x:v>0</x:v>
      </x:c>
      <x:c r="K342" s="79" t="n">
        <x:f>ABS('Counter_PnL'!BO342-('Counter_PnL'!BL342+'Counter_PnL'!BN342))</x:f>
        <x:v>0</x:v>
      </x:c>
      <x:c r="L342" s="79" t="n">
        <x:f>MAX(ABS('Counter_PnL'!AW342-'Counter_PnL'!AV342/'Counter_PnL'!AK342),ABS('Counter_PnL'!BM342-'Counter_PnL'!BL342/'Counter_PnL'!AK342),ABS('Counter_PnL'!BP342-'Counter_PnL'!BO342/'Counter_PnL'!AK342))</x:f>
        <x:v>0</x:v>
      </x:c>
      <x:c r="M342" s="30" t="n">
        <x:f>IF(AND('Counter_PnL'!Q342&gt;0,'Counter_PnL'!AK342&gt;0,'Counter_PnL'!R342&lt;=0,'Counter_PnL'!T342&lt;=0,'Counter_PnL'!AT342&lt;=0,'Counter_PnL'!BE342&lt;=0,'Counter_PnL'!BJ342&lt;=0,'Counter_PnL'!BK342&lt;=0,'Counter_PnL'!BN342&lt;=0),0,1)</x:f>
        <x:v>0</x:v>
      </x:c>
    </x:row>
    <x:row r="343">
      <x:c r="A343" t="str">
        <x:f>'Counter_PnL'!D343</x:f>
        <x:v>CNCT0086</x:v>
      </x:c>
      <x:c r="B343" t="str">
        <x:f>'Counter_PnL'!C343</x:f>
        <x:v>2025 S2</x:v>
      </x:c>
      <x:c r="C343" s="30" t="n">
        <x:f>COUNTIFS('Counter_PnL'!$D$2:$D$641,A343,'Counter_PnL'!$C$2:$C$641,B343)</x:f>
        <x:v>1</x:v>
      </x:c>
      <x:c r="D343" s="79" t="n">
        <x:f>ABS('Counter_PnL'!AC343-SUM('Counter_PnL'!V343:'Counter_PnL'!AB343))</x:f>
        <x:v>0</x:v>
      </x:c>
      <x:c r="E343" s="79" t="n">
        <x:f>ABS('Counter_PnL'!AI343-SUM('Counter_PnL'!R343,'Counter_PnL'!T343,'Counter_PnL'!AC343,'Counter_PnL'!AE343,'Counter_PnL'!AG343,'Counter_PnL'!AH343))</x:f>
        <x:v>0</x:v>
      </x:c>
      <x:c r="F343" s="79" t="n">
        <x:f>ABS('Counter_PnL'!AK343-('Counter_PnL'!Q343+'Counter_PnL'!AI343))</x:f>
        <x:v>0</x:v>
      </x:c>
      <x:c r="G343" s="79" t="n">
        <x:f>ABS('Counter_PnL'!AT343-SUM('Counter_PnL'!AO343:'Counter_PnL'!AS343))</x:f>
        <x:v>0</x:v>
      </x:c>
      <x:c r="H343" s="79" t="n">
        <x:f>ABS('Counter_PnL'!AV343-('Counter_PnL'!AK343+'Counter_PnL'!AT343))</x:f>
        <x:v>0</x:v>
      </x:c>
      <x:c r="I343" s="79" t="n">
        <x:f>ABS('Counter_PnL'!BE343-SUM('Counter_PnL'!AX343:'Counter_PnL'!BB343,'Counter_PnL'!BD343))</x:f>
        <x:v>0</x:v>
      </x:c>
      <x:c r="J343" s="79" t="n">
        <x:f>ABS('Counter_PnL'!BL343-SUM('Counter_PnL'!AV343,'Counter_PnL'!BE343,'Counter_PnL'!BJ343,'Counter_PnL'!BK343))</x:f>
        <x:v>0</x:v>
      </x:c>
      <x:c r="K343" s="79" t="n">
        <x:f>ABS('Counter_PnL'!BO343-('Counter_PnL'!BL343+'Counter_PnL'!BN343))</x:f>
        <x:v>0</x:v>
      </x:c>
      <x:c r="L343" s="79" t="n">
        <x:f>MAX(ABS('Counter_PnL'!AW343-'Counter_PnL'!AV343/'Counter_PnL'!AK343),ABS('Counter_PnL'!BM343-'Counter_PnL'!BL343/'Counter_PnL'!AK343),ABS('Counter_PnL'!BP343-'Counter_PnL'!BO343/'Counter_PnL'!AK343))</x:f>
        <x:v>0</x:v>
      </x:c>
      <x:c r="M343" s="30" t="n">
        <x:f>IF(AND('Counter_PnL'!Q343&gt;0,'Counter_PnL'!AK343&gt;0,'Counter_PnL'!R343&lt;=0,'Counter_PnL'!T343&lt;=0,'Counter_PnL'!AT343&lt;=0,'Counter_PnL'!BE343&lt;=0,'Counter_PnL'!BJ343&lt;=0,'Counter_PnL'!BK343&lt;=0,'Counter_PnL'!BN343&lt;=0),0,1)</x:f>
        <x:v>0</x:v>
      </x:c>
    </x:row>
    <x:row r="344">
      <x:c r="A344" t="str">
        <x:f>'Counter_PnL'!D344</x:f>
        <x:v>CNCT0086</x:v>
      </x:c>
      <x:c r="B344" t="str">
        <x:f>'Counter_PnL'!C344</x:f>
        <x:v>2026 S1</x:v>
      </x:c>
      <x:c r="C344" s="30" t="n">
        <x:f>COUNTIFS('Counter_PnL'!$D$2:$D$641,A344,'Counter_PnL'!$C$2:$C$641,B344)</x:f>
        <x:v>1</x:v>
      </x:c>
      <x:c r="D344" s="79" t="n">
        <x:f>ABS('Counter_PnL'!AC344-SUM('Counter_PnL'!V344:'Counter_PnL'!AB344))</x:f>
        <x:v>0</x:v>
      </x:c>
      <x:c r="E344" s="79" t="n">
        <x:f>ABS('Counter_PnL'!AI344-SUM('Counter_PnL'!R344,'Counter_PnL'!T344,'Counter_PnL'!AC344,'Counter_PnL'!AE344,'Counter_PnL'!AG344,'Counter_PnL'!AH344))</x:f>
        <x:v>0</x:v>
      </x:c>
      <x:c r="F344" s="79" t="n">
        <x:f>ABS('Counter_PnL'!AK344-('Counter_PnL'!Q344+'Counter_PnL'!AI344))</x:f>
        <x:v>0</x:v>
      </x:c>
      <x:c r="G344" s="79" t="n">
        <x:f>ABS('Counter_PnL'!AT344-SUM('Counter_PnL'!AO344:'Counter_PnL'!AS344))</x:f>
        <x:v>0</x:v>
      </x:c>
      <x:c r="H344" s="79" t="n">
        <x:f>ABS('Counter_PnL'!AV344-('Counter_PnL'!AK344+'Counter_PnL'!AT344))</x:f>
        <x:v>0</x:v>
      </x:c>
      <x:c r="I344" s="79" t="n">
        <x:f>ABS('Counter_PnL'!BE344-SUM('Counter_PnL'!AX344:'Counter_PnL'!BB344,'Counter_PnL'!BD344))</x:f>
        <x:v>0</x:v>
      </x:c>
      <x:c r="J344" s="79" t="n">
        <x:f>ABS('Counter_PnL'!BL344-SUM('Counter_PnL'!AV344,'Counter_PnL'!BE344,'Counter_PnL'!BJ344,'Counter_PnL'!BK344))</x:f>
        <x:v>0</x:v>
      </x:c>
      <x:c r="K344" s="79" t="n">
        <x:f>ABS('Counter_PnL'!BO344-('Counter_PnL'!BL344+'Counter_PnL'!BN344))</x:f>
        <x:v>0</x:v>
      </x:c>
      <x:c r="L344" s="79" t="n">
        <x:f>MAX(ABS('Counter_PnL'!AW344-'Counter_PnL'!AV344/'Counter_PnL'!AK344),ABS('Counter_PnL'!BM344-'Counter_PnL'!BL344/'Counter_PnL'!AK344),ABS('Counter_PnL'!BP344-'Counter_PnL'!BO344/'Counter_PnL'!AK344))</x:f>
        <x:v>0</x:v>
      </x:c>
      <x:c r="M344" s="30" t="n">
        <x:f>IF(AND('Counter_PnL'!Q344&gt;0,'Counter_PnL'!AK344&gt;0,'Counter_PnL'!R344&lt;=0,'Counter_PnL'!T344&lt;=0,'Counter_PnL'!AT344&lt;=0,'Counter_PnL'!BE344&lt;=0,'Counter_PnL'!BJ344&lt;=0,'Counter_PnL'!BK344&lt;=0,'Counter_PnL'!BN344&lt;=0),0,1)</x:f>
        <x:v>0</x:v>
      </x:c>
    </x:row>
    <x:row r="345">
      <x:c r="A345" t="str">
        <x:f>'Counter_PnL'!D345</x:f>
        <x:v>CNCT0086</x:v>
      </x:c>
      <x:c r="B345" t="str">
        <x:f>'Counter_PnL'!C345</x:f>
        <x:v>2026 S2</x:v>
      </x:c>
      <x:c r="C345" s="30" t="n">
        <x:f>COUNTIFS('Counter_PnL'!$D$2:$D$641,A345,'Counter_PnL'!$C$2:$C$641,B345)</x:f>
        <x:v>1</x:v>
      </x:c>
      <x:c r="D345" s="79" t="n">
        <x:f>ABS('Counter_PnL'!AC345-SUM('Counter_PnL'!V345:'Counter_PnL'!AB345))</x:f>
        <x:v>0</x:v>
      </x:c>
      <x:c r="E345" s="79" t="n">
        <x:f>ABS('Counter_PnL'!AI345-SUM('Counter_PnL'!R345,'Counter_PnL'!T345,'Counter_PnL'!AC345,'Counter_PnL'!AE345,'Counter_PnL'!AG345,'Counter_PnL'!AH345))</x:f>
        <x:v>0</x:v>
      </x:c>
      <x:c r="F345" s="79" t="n">
        <x:f>ABS('Counter_PnL'!AK345-('Counter_PnL'!Q345+'Counter_PnL'!AI345))</x:f>
        <x:v>0</x:v>
      </x:c>
      <x:c r="G345" s="79" t="n">
        <x:f>ABS('Counter_PnL'!AT345-SUM('Counter_PnL'!AO345:'Counter_PnL'!AS345))</x:f>
        <x:v>0</x:v>
      </x:c>
      <x:c r="H345" s="79" t="n">
        <x:f>ABS('Counter_PnL'!AV345-('Counter_PnL'!AK345+'Counter_PnL'!AT345))</x:f>
        <x:v>0</x:v>
      </x:c>
      <x:c r="I345" s="79" t="n">
        <x:f>ABS('Counter_PnL'!BE345-SUM('Counter_PnL'!AX345:'Counter_PnL'!BB345,'Counter_PnL'!BD345))</x:f>
        <x:v>0</x:v>
      </x:c>
      <x:c r="J345" s="79" t="n">
        <x:f>ABS('Counter_PnL'!BL345-SUM('Counter_PnL'!AV345,'Counter_PnL'!BE345,'Counter_PnL'!BJ345,'Counter_PnL'!BK345))</x:f>
        <x:v>0</x:v>
      </x:c>
      <x:c r="K345" s="79" t="n">
        <x:f>ABS('Counter_PnL'!BO345-('Counter_PnL'!BL345+'Counter_PnL'!BN345))</x:f>
        <x:v>0</x:v>
      </x:c>
      <x:c r="L345" s="79" t="n">
        <x:f>MAX(ABS('Counter_PnL'!AW345-'Counter_PnL'!AV345/'Counter_PnL'!AK345),ABS('Counter_PnL'!BM345-'Counter_PnL'!BL345/'Counter_PnL'!AK345),ABS('Counter_PnL'!BP345-'Counter_PnL'!BO345/'Counter_PnL'!AK345))</x:f>
        <x:v>0</x:v>
      </x:c>
      <x:c r="M345" s="30" t="n">
        <x:f>IF(AND('Counter_PnL'!Q345&gt;0,'Counter_PnL'!AK345&gt;0,'Counter_PnL'!R345&lt;=0,'Counter_PnL'!T345&lt;=0,'Counter_PnL'!AT345&lt;=0,'Counter_PnL'!BE345&lt;=0,'Counter_PnL'!BJ345&lt;=0,'Counter_PnL'!BK345&lt;=0,'Counter_PnL'!BN345&lt;=0),0,1)</x:f>
        <x:v>0</x:v>
      </x:c>
    </x:row>
    <x:row r="346">
      <x:c r="A346" t="str">
        <x:f>'Counter_PnL'!D346</x:f>
        <x:v>CNCT0087</x:v>
      </x:c>
      <x:c r="B346" t="str">
        <x:f>'Counter_PnL'!C346</x:f>
        <x:v>2025 S1</x:v>
      </x:c>
      <x:c r="C346" s="30" t="n">
        <x:f>COUNTIFS('Counter_PnL'!$D$2:$D$641,A346,'Counter_PnL'!$C$2:$C$641,B346)</x:f>
        <x:v>1</x:v>
      </x:c>
      <x:c r="D346" s="79" t="n">
        <x:f>ABS('Counter_PnL'!AC346-SUM('Counter_PnL'!V346:'Counter_PnL'!AB346))</x:f>
        <x:v>0</x:v>
      </x:c>
      <x:c r="E346" s="79" t="n">
        <x:f>ABS('Counter_PnL'!AI346-SUM('Counter_PnL'!R346,'Counter_PnL'!T346,'Counter_PnL'!AC346,'Counter_PnL'!AE346,'Counter_PnL'!AG346,'Counter_PnL'!AH346))</x:f>
        <x:v>0</x:v>
      </x:c>
      <x:c r="F346" s="79" t="n">
        <x:f>ABS('Counter_PnL'!AK346-('Counter_PnL'!Q346+'Counter_PnL'!AI346))</x:f>
        <x:v>0</x:v>
      </x:c>
      <x:c r="G346" s="79" t="n">
        <x:f>ABS('Counter_PnL'!AT346-SUM('Counter_PnL'!AO346:'Counter_PnL'!AS346))</x:f>
        <x:v>0</x:v>
      </x:c>
      <x:c r="H346" s="79" t="n">
        <x:f>ABS('Counter_PnL'!AV346-('Counter_PnL'!AK346+'Counter_PnL'!AT346))</x:f>
        <x:v>0</x:v>
      </x:c>
      <x:c r="I346" s="79" t="n">
        <x:f>ABS('Counter_PnL'!BE346-SUM('Counter_PnL'!AX346:'Counter_PnL'!BB346,'Counter_PnL'!BD346))</x:f>
        <x:v>0</x:v>
      </x:c>
      <x:c r="J346" s="79" t="n">
        <x:f>ABS('Counter_PnL'!BL346-SUM('Counter_PnL'!AV346,'Counter_PnL'!BE346,'Counter_PnL'!BJ346,'Counter_PnL'!BK346))</x:f>
        <x:v>0</x:v>
      </x:c>
      <x:c r="K346" s="79" t="n">
        <x:f>ABS('Counter_PnL'!BO346-('Counter_PnL'!BL346+'Counter_PnL'!BN346))</x:f>
        <x:v>0</x:v>
      </x:c>
      <x:c r="L346" s="79" t="n">
        <x:f>MAX(ABS('Counter_PnL'!AW346-'Counter_PnL'!AV346/'Counter_PnL'!AK346),ABS('Counter_PnL'!BM346-'Counter_PnL'!BL346/'Counter_PnL'!AK346),ABS('Counter_PnL'!BP346-'Counter_PnL'!BO346/'Counter_PnL'!AK346))</x:f>
        <x:v>0</x:v>
      </x:c>
      <x:c r="M346" s="30" t="n">
        <x:f>IF(AND('Counter_PnL'!Q346&gt;0,'Counter_PnL'!AK346&gt;0,'Counter_PnL'!R346&lt;=0,'Counter_PnL'!T346&lt;=0,'Counter_PnL'!AT346&lt;=0,'Counter_PnL'!BE346&lt;=0,'Counter_PnL'!BJ346&lt;=0,'Counter_PnL'!BK346&lt;=0,'Counter_PnL'!BN346&lt;=0),0,1)</x:f>
        <x:v>0</x:v>
      </x:c>
    </x:row>
    <x:row r="347">
      <x:c r="A347" t="str">
        <x:f>'Counter_PnL'!D347</x:f>
        <x:v>CNCT0087</x:v>
      </x:c>
      <x:c r="B347" t="str">
        <x:f>'Counter_PnL'!C347</x:f>
        <x:v>2025 S2</x:v>
      </x:c>
      <x:c r="C347" s="30" t="n">
        <x:f>COUNTIFS('Counter_PnL'!$D$2:$D$641,A347,'Counter_PnL'!$C$2:$C$641,B347)</x:f>
        <x:v>1</x:v>
      </x:c>
      <x:c r="D347" s="79" t="n">
        <x:f>ABS('Counter_PnL'!AC347-SUM('Counter_PnL'!V347:'Counter_PnL'!AB347))</x:f>
        <x:v>0</x:v>
      </x:c>
      <x:c r="E347" s="79" t="n">
        <x:f>ABS('Counter_PnL'!AI347-SUM('Counter_PnL'!R347,'Counter_PnL'!T347,'Counter_PnL'!AC347,'Counter_PnL'!AE347,'Counter_PnL'!AG347,'Counter_PnL'!AH347))</x:f>
        <x:v>0</x:v>
      </x:c>
      <x:c r="F347" s="79" t="n">
        <x:f>ABS('Counter_PnL'!AK347-('Counter_PnL'!Q347+'Counter_PnL'!AI347))</x:f>
        <x:v>0</x:v>
      </x:c>
      <x:c r="G347" s="79" t="n">
        <x:f>ABS('Counter_PnL'!AT347-SUM('Counter_PnL'!AO347:'Counter_PnL'!AS347))</x:f>
        <x:v>0</x:v>
      </x:c>
      <x:c r="H347" s="79" t="n">
        <x:f>ABS('Counter_PnL'!AV347-('Counter_PnL'!AK347+'Counter_PnL'!AT347))</x:f>
        <x:v>0</x:v>
      </x:c>
      <x:c r="I347" s="79" t="n">
        <x:f>ABS('Counter_PnL'!BE347-SUM('Counter_PnL'!AX347:'Counter_PnL'!BB347,'Counter_PnL'!BD347))</x:f>
        <x:v>0</x:v>
      </x:c>
      <x:c r="J347" s="79" t="n">
        <x:f>ABS('Counter_PnL'!BL347-SUM('Counter_PnL'!AV347,'Counter_PnL'!BE347,'Counter_PnL'!BJ347,'Counter_PnL'!BK347))</x:f>
        <x:v>0</x:v>
      </x:c>
      <x:c r="K347" s="79" t="n">
        <x:f>ABS('Counter_PnL'!BO347-('Counter_PnL'!BL347+'Counter_PnL'!BN347))</x:f>
        <x:v>0</x:v>
      </x:c>
      <x:c r="L347" s="79" t="n">
        <x:f>MAX(ABS('Counter_PnL'!AW347-'Counter_PnL'!AV347/'Counter_PnL'!AK347),ABS('Counter_PnL'!BM347-'Counter_PnL'!BL347/'Counter_PnL'!AK347),ABS('Counter_PnL'!BP347-'Counter_PnL'!BO347/'Counter_PnL'!AK347))</x:f>
        <x:v>0</x:v>
      </x:c>
      <x:c r="M347" s="30" t="n">
        <x:f>IF(AND('Counter_PnL'!Q347&gt;0,'Counter_PnL'!AK347&gt;0,'Counter_PnL'!R347&lt;=0,'Counter_PnL'!T347&lt;=0,'Counter_PnL'!AT347&lt;=0,'Counter_PnL'!BE347&lt;=0,'Counter_PnL'!BJ347&lt;=0,'Counter_PnL'!BK347&lt;=0,'Counter_PnL'!BN347&lt;=0),0,1)</x:f>
        <x:v>0</x:v>
      </x:c>
    </x:row>
    <x:row r="348">
      <x:c r="A348" t="str">
        <x:f>'Counter_PnL'!D348</x:f>
        <x:v>CNCT0087</x:v>
      </x:c>
      <x:c r="B348" t="str">
        <x:f>'Counter_PnL'!C348</x:f>
        <x:v>2026 S1</x:v>
      </x:c>
      <x:c r="C348" s="30" t="n">
        <x:f>COUNTIFS('Counter_PnL'!$D$2:$D$641,A348,'Counter_PnL'!$C$2:$C$641,B348)</x:f>
        <x:v>1</x:v>
      </x:c>
      <x:c r="D348" s="79" t="n">
        <x:f>ABS('Counter_PnL'!AC348-SUM('Counter_PnL'!V348:'Counter_PnL'!AB348))</x:f>
        <x:v>0</x:v>
      </x:c>
      <x:c r="E348" s="79" t="n">
        <x:f>ABS('Counter_PnL'!AI348-SUM('Counter_PnL'!R348,'Counter_PnL'!T348,'Counter_PnL'!AC348,'Counter_PnL'!AE348,'Counter_PnL'!AG348,'Counter_PnL'!AH348))</x:f>
        <x:v>0</x:v>
      </x:c>
      <x:c r="F348" s="79" t="n">
        <x:f>ABS('Counter_PnL'!AK348-('Counter_PnL'!Q348+'Counter_PnL'!AI348))</x:f>
        <x:v>0</x:v>
      </x:c>
      <x:c r="G348" s="79" t="n">
        <x:f>ABS('Counter_PnL'!AT348-SUM('Counter_PnL'!AO348:'Counter_PnL'!AS348))</x:f>
        <x:v>0</x:v>
      </x:c>
      <x:c r="H348" s="79" t="n">
        <x:f>ABS('Counter_PnL'!AV348-('Counter_PnL'!AK348+'Counter_PnL'!AT348))</x:f>
        <x:v>0</x:v>
      </x:c>
      <x:c r="I348" s="79" t="n">
        <x:f>ABS('Counter_PnL'!BE348-SUM('Counter_PnL'!AX348:'Counter_PnL'!BB348,'Counter_PnL'!BD348))</x:f>
        <x:v>0</x:v>
      </x:c>
      <x:c r="J348" s="79" t="n">
        <x:f>ABS('Counter_PnL'!BL348-SUM('Counter_PnL'!AV348,'Counter_PnL'!BE348,'Counter_PnL'!BJ348,'Counter_PnL'!BK348))</x:f>
        <x:v>0</x:v>
      </x:c>
      <x:c r="K348" s="79" t="n">
        <x:f>ABS('Counter_PnL'!BO348-('Counter_PnL'!BL348+'Counter_PnL'!BN348))</x:f>
        <x:v>0</x:v>
      </x:c>
      <x:c r="L348" s="79" t="n">
        <x:f>MAX(ABS('Counter_PnL'!AW348-'Counter_PnL'!AV348/'Counter_PnL'!AK348),ABS('Counter_PnL'!BM348-'Counter_PnL'!BL348/'Counter_PnL'!AK348),ABS('Counter_PnL'!BP348-'Counter_PnL'!BO348/'Counter_PnL'!AK348))</x:f>
        <x:v>0</x:v>
      </x:c>
      <x:c r="M348" s="30" t="n">
        <x:f>IF(AND('Counter_PnL'!Q348&gt;0,'Counter_PnL'!AK348&gt;0,'Counter_PnL'!R348&lt;=0,'Counter_PnL'!T348&lt;=0,'Counter_PnL'!AT348&lt;=0,'Counter_PnL'!BE348&lt;=0,'Counter_PnL'!BJ348&lt;=0,'Counter_PnL'!BK348&lt;=0,'Counter_PnL'!BN348&lt;=0),0,1)</x:f>
        <x:v>0</x:v>
      </x:c>
    </x:row>
    <x:row r="349">
      <x:c r="A349" t="str">
        <x:f>'Counter_PnL'!D349</x:f>
        <x:v>CNCT0087</x:v>
      </x:c>
      <x:c r="B349" t="str">
        <x:f>'Counter_PnL'!C349</x:f>
        <x:v>2026 S2</x:v>
      </x:c>
      <x:c r="C349" s="30" t="n">
        <x:f>COUNTIFS('Counter_PnL'!$D$2:$D$641,A349,'Counter_PnL'!$C$2:$C$641,B349)</x:f>
        <x:v>1</x:v>
      </x:c>
      <x:c r="D349" s="79" t="n">
        <x:f>ABS('Counter_PnL'!AC349-SUM('Counter_PnL'!V349:'Counter_PnL'!AB349))</x:f>
        <x:v>0</x:v>
      </x:c>
      <x:c r="E349" s="79" t="n">
        <x:f>ABS('Counter_PnL'!AI349-SUM('Counter_PnL'!R349,'Counter_PnL'!T349,'Counter_PnL'!AC349,'Counter_PnL'!AE349,'Counter_PnL'!AG349,'Counter_PnL'!AH349))</x:f>
        <x:v>0</x:v>
      </x:c>
      <x:c r="F349" s="79" t="n">
        <x:f>ABS('Counter_PnL'!AK349-('Counter_PnL'!Q349+'Counter_PnL'!AI349))</x:f>
        <x:v>0</x:v>
      </x:c>
      <x:c r="G349" s="79" t="n">
        <x:f>ABS('Counter_PnL'!AT349-SUM('Counter_PnL'!AO349:'Counter_PnL'!AS349))</x:f>
        <x:v>0</x:v>
      </x:c>
      <x:c r="H349" s="79" t="n">
        <x:f>ABS('Counter_PnL'!AV349-('Counter_PnL'!AK349+'Counter_PnL'!AT349))</x:f>
        <x:v>0</x:v>
      </x:c>
      <x:c r="I349" s="79" t="n">
        <x:f>ABS('Counter_PnL'!BE349-SUM('Counter_PnL'!AX349:'Counter_PnL'!BB349,'Counter_PnL'!BD349))</x:f>
        <x:v>0</x:v>
      </x:c>
      <x:c r="J349" s="79" t="n">
        <x:f>ABS('Counter_PnL'!BL349-SUM('Counter_PnL'!AV349,'Counter_PnL'!BE349,'Counter_PnL'!BJ349,'Counter_PnL'!BK349))</x:f>
        <x:v>0</x:v>
      </x:c>
      <x:c r="K349" s="79" t="n">
        <x:f>ABS('Counter_PnL'!BO349-('Counter_PnL'!BL349+'Counter_PnL'!BN349))</x:f>
        <x:v>0</x:v>
      </x:c>
      <x:c r="L349" s="79" t="n">
        <x:f>MAX(ABS('Counter_PnL'!AW349-'Counter_PnL'!AV349/'Counter_PnL'!AK349),ABS('Counter_PnL'!BM349-'Counter_PnL'!BL349/'Counter_PnL'!AK349),ABS('Counter_PnL'!BP349-'Counter_PnL'!BO349/'Counter_PnL'!AK349))</x:f>
        <x:v>0</x:v>
      </x:c>
      <x:c r="M349" s="30" t="n">
        <x:f>IF(AND('Counter_PnL'!Q349&gt;0,'Counter_PnL'!AK349&gt;0,'Counter_PnL'!R349&lt;=0,'Counter_PnL'!T349&lt;=0,'Counter_PnL'!AT349&lt;=0,'Counter_PnL'!BE349&lt;=0,'Counter_PnL'!BJ349&lt;=0,'Counter_PnL'!BK349&lt;=0,'Counter_PnL'!BN349&lt;=0),0,1)</x:f>
        <x:v>0</x:v>
      </x:c>
    </x:row>
    <x:row r="350">
      <x:c r="A350" t="str">
        <x:f>'Counter_PnL'!D350</x:f>
        <x:v>CNCT0088</x:v>
      </x:c>
      <x:c r="B350" t="str">
        <x:f>'Counter_PnL'!C350</x:f>
        <x:v>2025 S1</x:v>
      </x:c>
      <x:c r="C350" s="30" t="n">
        <x:f>COUNTIFS('Counter_PnL'!$D$2:$D$641,A350,'Counter_PnL'!$C$2:$C$641,B350)</x:f>
        <x:v>1</x:v>
      </x:c>
      <x:c r="D350" s="79" t="n">
        <x:f>ABS('Counter_PnL'!AC350-SUM('Counter_PnL'!V350:'Counter_PnL'!AB350))</x:f>
        <x:v>0</x:v>
      </x:c>
      <x:c r="E350" s="79" t="n">
        <x:f>ABS('Counter_PnL'!AI350-SUM('Counter_PnL'!R350,'Counter_PnL'!T350,'Counter_PnL'!AC350,'Counter_PnL'!AE350,'Counter_PnL'!AG350,'Counter_PnL'!AH350))</x:f>
        <x:v>0</x:v>
      </x:c>
      <x:c r="F350" s="79" t="n">
        <x:f>ABS('Counter_PnL'!AK350-('Counter_PnL'!Q350+'Counter_PnL'!AI350))</x:f>
        <x:v>0</x:v>
      </x:c>
      <x:c r="G350" s="79" t="n">
        <x:f>ABS('Counter_PnL'!AT350-SUM('Counter_PnL'!AO350:'Counter_PnL'!AS350))</x:f>
        <x:v>0</x:v>
      </x:c>
      <x:c r="H350" s="79" t="n">
        <x:f>ABS('Counter_PnL'!AV350-('Counter_PnL'!AK350+'Counter_PnL'!AT350))</x:f>
        <x:v>0</x:v>
      </x:c>
      <x:c r="I350" s="79" t="n">
        <x:f>ABS('Counter_PnL'!BE350-SUM('Counter_PnL'!AX350:'Counter_PnL'!BB350,'Counter_PnL'!BD350))</x:f>
        <x:v>0</x:v>
      </x:c>
      <x:c r="J350" s="79" t="n">
        <x:f>ABS('Counter_PnL'!BL350-SUM('Counter_PnL'!AV350,'Counter_PnL'!BE350,'Counter_PnL'!BJ350,'Counter_PnL'!BK350))</x:f>
        <x:v>0</x:v>
      </x:c>
      <x:c r="K350" s="79" t="n">
        <x:f>ABS('Counter_PnL'!BO350-('Counter_PnL'!BL350+'Counter_PnL'!BN350))</x:f>
        <x:v>0</x:v>
      </x:c>
      <x:c r="L350" s="79" t="n">
        <x:f>MAX(ABS('Counter_PnL'!AW350-'Counter_PnL'!AV350/'Counter_PnL'!AK350),ABS('Counter_PnL'!BM350-'Counter_PnL'!BL350/'Counter_PnL'!AK350),ABS('Counter_PnL'!BP350-'Counter_PnL'!BO350/'Counter_PnL'!AK350))</x:f>
        <x:v>0</x:v>
      </x:c>
      <x:c r="M350" s="30" t="n">
        <x:f>IF(AND('Counter_PnL'!Q350&gt;0,'Counter_PnL'!AK350&gt;0,'Counter_PnL'!R350&lt;=0,'Counter_PnL'!T350&lt;=0,'Counter_PnL'!AT350&lt;=0,'Counter_PnL'!BE350&lt;=0,'Counter_PnL'!BJ350&lt;=0,'Counter_PnL'!BK350&lt;=0,'Counter_PnL'!BN350&lt;=0),0,1)</x:f>
        <x:v>0</x:v>
      </x:c>
    </x:row>
    <x:row r="351">
      <x:c r="A351" t="str">
        <x:f>'Counter_PnL'!D351</x:f>
        <x:v>CNCT0088</x:v>
      </x:c>
      <x:c r="B351" t="str">
        <x:f>'Counter_PnL'!C351</x:f>
        <x:v>2025 S2</x:v>
      </x:c>
      <x:c r="C351" s="30" t="n">
        <x:f>COUNTIFS('Counter_PnL'!$D$2:$D$641,A351,'Counter_PnL'!$C$2:$C$641,B351)</x:f>
        <x:v>1</x:v>
      </x:c>
      <x:c r="D351" s="79" t="n">
        <x:f>ABS('Counter_PnL'!AC351-SUM('Counter_PnL'!V351:'Counter_PnL'!AB351))</x:f>
        <x:v>0</x:v>
      </x:c>
      <x:c r="E351" s="79" t="n">
        <x:f>ABS('Counter_PnL'!AI351-SUM('Counter_PnL'!R351,'Counter_PnL'!T351,'Counter_PnL'!AC351,'Counter_PnL'!AE351,'Counter_PnL'!AG351,'Counter_PnL'!AH351))</x:f>
        <x:v>0</x:v>
      </x:c>
      <x:c r="F351" s="79" t="n">
        <x:f>ABS('Counter_PnL'!AK351-('Counter_PnL'!Q351+'Counter_PnL'!AI351))</x:f>
        <x:v>0</x:v>
      </x:c>
      <x:c r="G351" s="79" t="n">
        <x:f>ABS('Counter_PnL'!AT351-SUM('Counter_PnL'!AO351:'Counter_PnL'!AS351))</x:f>
        <x:v>0</x:v>
      </x:c>
      <x:c r="H351" s="79" t="n">
        <x:f>ABS('Counter_PnL'!AV351-('Counter_PnL'!AK351+'Counter_PnL'!AT351))</x:f>
        <x:v>0</x:v>
      </x:c>
      <x:c r="I351" s="79" t="n">
        <x:f>ABS('Counter_PnL'!BE351-SUM('Counter_PnL'!AX351:'Counter_PnL'!BB351,'Counter_PnL'!BD351))</x:f>
        <x:v>0</x:v>
      </x:c>
      <x:c r="J351" s="79" t="n">
        <x:f>ABS('Counter_PnL'!BL351-SUM('Counter_PnL'!AV351,'Counter_PnL'!BE351,'Counter_PnL'!BJ351,'Counter_PnL'!BK351))</x:f>
        <x:v>0</x:v>
      </x:c>
      <x:c r="K351" s="79" t="n">
        <x:f>ABS('Counter_PnL'!BO351-('Counter_PnL'!BL351+'Counter_PnL'!BN351))</x:f>
        <x:v>0</x:v>
      </x:c>
      <x:c r="L351" s="79" t="n">
        <x:f>MAX(ABS('Counter_PnL'!AW351-'Counter_PnL'!AV351/'Counter_PnL'!AK351),ABS('Counter_PnL'!BM351-'Counter_PnL'!BL351/'Counter_PnL'!AK351),ABS('Counter_PnL'!BP351-'Counter_PnL'!BO351/'Counter_PnL'!AK351))</x:f>
        <x:v>0</x:v>
      </x:c>
      <x:c r="M351" s="30" t="n">
        <x:f>IF(AND('Counter_PnL'!Q351&gt;0,'Counter_PnL'!AK351&gt;0,'Counter_PnL'!R351&lt;=0,'Counter_PnL'!T351&lt;=0,'Counter_PnL'!AT351&lt;=0,'Counter_PnL'!BE351&lt;=0,'Counter_PnL'!BJ351&lt;=0,'Counter_PnL'!BK351&lt;=0,'Counter_PnL'!BN351&lt;=0),0,1)</x:f>
        <x:v>0</x:v>
      </x:c>
    </x:row>
    <x:row r="352">
      <x:c r="A352" t="str">
        <x:f>'Counter_PnL'!D352</x:f>
        <x:v>CNCT0088</x:v>
      </x:c>
      <x:c r="B352" t="str">
        <x:f>'Counter_PnL'!C352</x:f>
        <x:v>2026 S1</x:v>
      </x:c>
      <x:c r="C352" s="30" t="n">
        <x:f>COUNTIFS('Counter_PnL'!$D$2:$D$641,A352,'Counter_PnL'!$C$2:$C$641,B352)</x:f>
        <x:v>1</x:v>
      </x:c>
      <x:c r="D352" s="79" t="n">
        <x:f>ABS('Counter_PnL'!AC352-SUM('Counter_PnL'!V352:'Counter_PnL'!AB352))</x:f>
        <x:v>0</x:v>
      </x:c>
      <x:c r="E352" s="79" t="n">
        <x:f>ABS('Counter_PnL'!AI352-SUM('Counter_PnL'!R352,'Counter_PnL'!T352,'Counter_PnL'!AC352,'Counter_PnL'!AE352,'Counter_PnL'!AG352,'Counter_PnL'!AH352))</x:f>
        <x:v>0</x:v>
      </x:c>
      <x:c r="F352" s="79" t="n">
        <x:f>ABS('Counter_PnL'!AK352-('Counter_PnL'!Q352+'Counter_PnL'!AI352))</x:f>
        <x:v>0</x:v>
      </x:c>
      <x:c r="G352" s="79" t="n">
        <x:f>ABS('Counter_PnL'!AT352-SUM('Counter_PnL'!AO352:'Counter_PnL'!AS352))</x:f>
        <x:v>0</x:v>
      </x:c>
      <x:c r="H352" s="79" t="n">
        <x:f>ABS('Counter_PnL'!AV352-('Counter_PnL'!AK352+'Counter_PnL'!AT352))</x:f>
        <x:v>0</x:v>
      </x:c>
      <x:c r="I352" s="79" t="n">
        <x:f>ABS('Counter_PnL'!BE352-SUM('Counter_PnL'!AX352:'Counter_PnL'!BB352,'Counter_PnL'!BD352))</x:f>
        <x:v>0</x:v>
      </x:c>
      <x:c r="J352" s="79" t="n">
        <x:f>ABS('Counter_PnL'!BL352-SUM('Counter_PnL'!AV352,'Counter_PnL'!BE352,'Counter_PnL'!BJ352,'Counter_PnL'!BK352))</x:f>
        <x:v>0</x:v>
      </x:c>
      <x:c r="K352" s="79" t="n">
        <x:f>ABS('Counter_PnL'!BO352-('Counter_PnL'!BL352+'Counter_PnL'!BN352))</x:f>
        <x:v>0</x:v>
      </x:c>
      <x:c r="L352" s="79" t="n">
        <x:f>MAX(ABS('Counter_PnL'!AW352-'Counter_PnL'!AV352/'Counter_PnL'!AK352),ABS('Counter_PnL'!BM352-'Counter_PnL'!BL352/'Counter_PnL'!AK352),ABS('Counter_PnL'!BP352-'Counter_PnL'!BO352/'Counter_PnL'!AK352))</x:f>
        <x:v>0</x:v>
      </x:c>
      <x:c r="M352" s="30" t="n">
        <x:f>IF(AND('Counter_PnL'!Q352&gt;0,'Counter_PnL'!AK352&gt;0,'Counter_PnL'!R352&lt;=0,'Counter_PnL'!T352&lt;=0,'Counter_PnL'!AT352&lt;=0,'Counter_PnL'!BE352&lt;=0,'Counter_PnL'!BJ352&lt;=0,'Counter_PnL'!BK352&lt;=0,'Counter_PnL'!BN352&lt;=0),0,1)</x:f>
        <x:v>0</x:v>
      </x:c>
    </x:row>
    <x:row r="353">
      <x:c r="A353" t="str">
        <x:f>'Counter_PnL'!D353</x:f>
        <x:v>CNCT0088</x:v>
      </x:c>
      <x:c r="B353" t="str">
        <x:f>'Counter_PnL'!C353</x:f>
        <x:v>2026 S2</x:v>
      </x:c>
      <x:c r="C353" s="30" t="n">
        <x:f>COUNTIFS('Counter_PnL'!$D$2:$D$641,A353,'Counter_PnL'!$C$2:$C$641,B353)</x:f>
        <x:v>1</x:v>
      </x:c>
      <x:c r="D353" s="79" t="n">
        <x:f>ABS('Counter_PnL'!AC353-SUM('Counter_PnL'!V353:'Counter_PnL'!AB353))</x:f>
        <x:v>0</x:v>
      </x:c>
      <x:c r="E353" s="79" t="n">
        <x:f>ABS('Counter_PnL'!AI353-SUM('Counter_PnL'!R353,'Counter_PnL'!T353,'Counter_PnL'!AC353,'Counter_PnL'!AE353,'Counter_PnL'!AG353,'Counter_PnL'!AH353))</x:f>
        <x:v>0</x:v>
      </x:c>
      <x:c r="F353" s="79" t="n">
        <x:f>ABS('Counter_PnL'!AK353-('Counter_PnL'!Q353+'Counter_PnL'!AI353))</x:f>
        <x:v>0</x:v>
      </x:c>
      <x:c r="G353" s="79" t="n">
        <x:f>ABS('Counter_PnL'!AT353-SUM('Counter_PnL'!AO353:'Counter_PnL'!AS353))</x:f>
        <x:v>0</x:v>
      </x:c>
      <x:c r="H353" s="79" t="n">
        <x:f>ABS('Counter_PnL'!AV353-('Counter_PnL'!AK353+'Counter_PnL'!AT353))</x:f>
        <x:v>0</x:v>
      </x:c>
      <x:c r="I353" s="79" t="n">
        <x:f>ABS('Counter_PnL'!BE353-SUM('Counter_PnL'!AX353:'Counter_PnL'!BB353,'Counter_PnL'!BD353))</x:f>
        <x:v>0</x:v>
      </x:c>
      <x:c r="J353" s="79" t="n">
        <x:f>ABS('Counter_PnL'!BL353-SUM('Counter_PnL'!AV353,'Counter_PnL'!BE353,'Counter_PnL'!BJ353,'Counter_PnL'!BK353))</x:f>
        <x:v>0</x:v>
      </x:c>
      <x:c r="K353" s="79" t="n">
        <x:f>ABS('Counter_PnL'!BO353-('Counter_PnL'!BL353+'Counter_PnL'!BN353))</x:f>
        <x:v>0</x:v>
      </x:c>
      <x:c r="L353" s="79" t="n">
        <x:f>MAX(ABS('Counter_PnL'!AW353-'Counter_PnL'!AV353/'Counter_PnL'!AK353),ABS('Counter_PnL'!BM353-'Counter_PnL'!BL353/'Counter_PnL'!AK353),ABS('Counter_PnL'!BP353-'Counter_PnL'!BO353/'Counter_PnL'!AK353))</x:f>
        <x:v>0</x:v>
      </x:c>
      <x:c r="M353" s="30" t="n">
        <x:f>IF(AND('Counter_PnL'!Q353&gt;0,'Counter_PnL'!AK353&gt;0,'Counter_PnL'!R353&lt;=0,'Counter_PnL'!T353&lt;=0,'Counter_PnL'!AT353&lt;=0,'Counter_PnL'!BE353&lt;=0,'Counter_PnL'!BJ353&lt;=0,'Counter_PnL'!BK353&lt;=0,'Counter_PnL'!BN353&lt;=0),0,1)</x:f>
        <x:v>0</x:v>
      </x:c>
    </x:row>
    <x:row r="354">
      <x:c r="A354" t="str">
        <x:f>'Counter_PnL'!D354</x:f>
        <x:v>CNCT0089</x:v>
      </x:c>
      <x:c r="B354" t="str">
        <x:f>'Counter_PnL'!C354</x:f>
        <x:v>2025 S1</x:v>
      </x:c>
      <x:c r="C354" s="30" t="n">
        <x:f>COUNTIFS('Counter_PnL'!$D$2:$D$641,A354,'Counter_PnL'!$C$2:$C$641,B354)</x:f>
        <x:v>1</x:v>
      </x:c>
      <x:c r="D354" s="79" t="n">
        <x:f>ABS('Counter_PnL'!AC354-SUM('Counter_PnL'!V354:'Counter_PnL'!AB354))</x:f>
        <x:v>0</x:v>
      </x:c>
      <x:c r="E354" s="79" t="n">
        <x:f>ABS('Counter_PnL'!AI354-SUM('Counter_PnL'!R354,'Counter_PnL'!T354,'Counter_PnL'!AC354,'Counter_PnL'!AE354,'Counter_PnL'!AG354,'Counter_PnL'!AH354))</x:f>
        <x:v>0</x:v>
      </x:c>
      <x:c r="F354" s="79" t="n">
        <x:f>ABS('Counter_PnL'!AK354-('Counter_PnL'!Q354+'Counter_PnL'!AI354))</x:f>
        <x:v>0</x:v>
      </x:c>
      <x:c r="G354" s="79" t="n">
        <x:f>ABS('Counter_PnL'!AT354-SUM('Counter_PnL'!AO354:'Counter_PnL'!AS354))</x:f>
        <x:v>0</x:v>
      </x:c>
      <x:c r="H354" s="79" t="n">
        <x:f>ABS('Counter_PnL'!AV354-('Counter_PnL'!AK354+'Counter_PnL'!AT354))</x:f>
        <x:v>0</x:v>
      </x:c>
      <x:c r="I354" s="79" t="n">
        <x:f>ABS('Counter_PnL'!BE354-SUM('Counter_PnL'!AX354:'Counter_PnL'!BB354,'Counter_PnL'!BD354))</x:f>
        <x:v>0</x:v>
      </x:c>
      <x:c r="J354" s="79" t="n">
        <x:f>ABS('Counter_PnL'!BL354-SUM('Counter_PnL'!AV354,'Counter_PnL'!BE354,'Counter_PnL'!BJ354,'Counter_PnL'!BK354))</x:f>
        <x:v>0</x:v>
      </x:c>
      <x:c r="K354" s="79" t="n">
        <x:f>ABS('Counter_PnL'!BO354-('Counter_PnL'!BL354+'Counter_PnL'!BN354))</x:f>
        <x:v>0</x:v>
      </x:c>
      <x:c r="L354" s="79" t="n">
        <x:f>MAX(ABS('Counter_PnL'!AW354-'Counter_PnL'!AV354/'Counter_PnL'!AK354),ABS('Counter_PnL'!BM354-'Counter_PnL'!BL354/'Counter_PnL'!AK354),ABS('Counter_PnL'!BP354-'Counter_PnL'!BO354/'Counter_PnL'!AK354))</x:f>
        <x:v>0</x:v>
      </x:c>
      <x:c r="M354" s="30" t="n">
        <x:f>IF(AND('Counter_PnL'!Q354&gt;0,'Counter_PnL'!AK354&gt;0,'Counter_PnL'!R354&lt;=0,'Counter_PnL'!T354&lt;=0,'Counter_PnL'!AT354&lt;=0,'Counter_PnL'!BE354&lt;=0,'Counter_PnL'!BJ354&lt;=0,'Counter_PnL'!BK354&lt;=0,'Counter_PnL'!BN354&lt;=0),0,1)</x:f>
        <x:v>0</x:v>
      </x:c>
    </x:row>
    <x:row r="355">
      <x:c r="A355" t="str">
        <x:f>'Counter_PnL'!D355</x:f>
        <x:v>CNCT0089</x:v>
      </x:c>
      <x:c r="B355" t="str">
        <x:f>'Counter_PnL'!C355</x:f>
        <x:v>2025 S2</x:v>
      </x:c>
      <x:c r="C355" s="30" t="n">
        <x:f>COUNTIFS('Counter_PnL'!$D$2:$D$641,A355,'Counter_PnL'!$C$2:$C$641,B355)</x:f>
        <x:v>1</x:v>
      </x:c>
      <x:c r="D355" s="79" t="n">
        <x:f>ABS('Counter_PnL'!AC355-SUM('Counter_PnL'!V355:'Counter_PnL'!AB355))</x:f>
        <x:v>0</x:v>
      </x:c>
      <x:c r="E355" s="79" t="n">
        <x:f>ABS('Counter_PnL'!AI355-SUM('Counter_PnL'!R355,'Counter_PnL'!T355,'Counter_PnL'!AC355,'Counter_PnL'!AE355,'Counter_PnL'!AG355,'Counter_PnL'!AH355))</x:f>
        <x:v>0</x:v>
      </x:c>
      <x:c r="F355" s="79" t="n">
        <x:f>ABS('Counter_PnL'!AK355-('Counter_PnL'!Q355+'Counter_PnL'!AI355))</x:f>
        <x:v>0</x:v>
      </x:c>
      <x:c r="G355" s="79" t="n">
        <x:f>ABS('Counter_PnL'!AT355-SUM('Counter_PnL'!AO355:'Counter_PnL'!AS355))</x:f>
        <x:v>0</x:v>
      </x:c>
      <x:c r="H355" s="79" t="n">
        <x:f>ABS('Counter_PnL'!AV355-('Counter_PnL'!AK355+'Counter_PnL'!AT355))</x:f>
        <x:v>0</x:v>
      </x:c>
      <x:c r="I355" s="79" t="n">
        <x:f>ABS('Counter_PnL'!BE355-SUM('Counter_PnL'!AX355:'Counter_PnL'!BB355,'Counter_PnL'!BD355))</x:f>
        <x:v>0</x:v>
      </x:c>
      <x:c r="J355" s="79" t="n">
        <x:f>ABS('Counter_PnL'!BL355-SUM('Counter_PnL'!AV355,'Counter_PnL'!BE355,'Counter_PnL'!BJ355,'Counter_PnL'!BK355))</x:f>
        <x:v>0</x:v>
      </x:c>
      <x:c r="K355" s="79" t="n">
        <x:f>ABS('Counter_PnL'!BO355-('Counter_PnL'!BL355+'Counter_PnL'!BN355))</x:f>
        <x:v>0</x:v>
      </x:c>
      <x:c r="L355" s="79" t="n">
        <x:f>MAX(ABS('Counter_PnL'!AW355-'Counter_PnL'!AV355/'Counter_PnL'!AK355),ABS('Counter_PnL'!BM355-'Counter_PnL'!BL355/'Counter_PnL'!AK355),ABS('Counter_PnL'!BP355-'Counter_PnL'!BO355/'Counter_PnL'!AK355))</x:f>
        <x:v>0</x:v>
      </x:c>
      <x:c r="M355" s="30" t="n">
        <x:f>IF(AND('Counter_PnL'!Q355&gt;0,'Counter_PnL'!AK355&gt;0,'Counter_PnL'!R355&lt;=0,'Counter_PnL'!T355&lt;=0,'Counter_PnL'!AT355&lt;=0,'Counter_PnL'!BE355&lt;=0,'Counter_PnL'!BJ355&lt;=0,'Counter_PnL'!BK355&lt;=0,'Counter_PnL'!BN355&lt;=0),0,1)</x:f>
        <x:v>0</x:v>
      </x:c>
    </x:row>
    <x:row r="356">
      <x:c r="A356" t="str">
        <x:f>'Counter_PnL'!D356</x:f>
        <x:v>CNCT0089</x:v>
      </x:c>
      <x:c r="B356" t="str">
        <x:f>'Counter_PnL'!C356</x:f>
        <x:v>2026 S1</x:v>
      </x:c>
      <x:c r="C356" s="30" t="n">
        <x:f>COUNTIFS('Counter_PnL'!$D$2:$D$641,A356,'Counter_PnL'!$C$2:$C$641,B356)</x:f>
        <x:v>1</x:v>
      </x:c>
      <x:c r="D356" s="79" t="n">
        <x:f>ABS('Counter_PnL'!AC356-SUM('Counter_PnL'!V356:'Counter_PnL'!AB356))</x:f>
        <x:v>0</x:v>
      </x:c>
      <x:c r="E356" s="79" t="n">
        <x:f>ABS('Counter_PnL'!AI356-SUM('Counter_PnL'!R356,'Counter_PnL'!T356,'Counter_PnL'!AC356,'Counter_PnL'!AE356,'Counter_PnL'!AG356,'Counter_PnL'!AH356))</x:f>
        <x:v>0</x:v>
      </x:c>
      <x:c r="F356" s="79" t="n">
        <x:f>ABS('Counter_PnL'!AK356-('Counter_PnL'!Q356+'Counter_PnL'!AI356))</x:f>
        <x:v>0</x:v>
      </x:c>
      <x:c r="G356" s="79" t="n">
        <x:f>ABS('Counter_PnL'!AT356-SUM('Counter_PnL'!AO356:'Counter_PnL'!AS356))</x:f>
        <x:v>0</x:v>
      </x:c>
      <x:c r="H356" s="79" t="n">
        <x:f>ABS('Counter_PnL'!AV356-('Counter_PnL'!AK356+'Counter_PnL'!AT356))</x:f>
        <x:v>0</x:v>
      </x:c>
      <x:c r="I356" s="79" t="n">
        <x:f>ABS('Counter_PnL'!BE356-SUM('Counter_PnL'!AX356:'Counter_PnL'!BB356,'Counter_PnL'!BD356))</x:f>
        <x:v>0</x:v>
      </x:c>
      <x:c r="J356" s="79" t="n">
        <x:f>ABS('Counter_PnL'!BL356-SUM('Counter_PnL'!AV356,'Counter_PnL'!BE356,'Counter_PnL'!BJ356,'Counter_PnL'!BK356))</x:f>
        <x:v>0</x:v>
      </x:c>
      <x:c r="K356" s="79" t="n">
        <x:f>ABS('Counter_PnL'!BO356-('Counter_PnL'!BL356+'Counter_PnL'!BN356))</x:f>
        <x:v>0</x:v>
      </x:c>
      <x:c r="L356" s="79" t="n">
        <x:f>MAX(ABS('Counter_PnL'!AW356-'Counter_PnL'!AV356/'Counter_PnL'!AK356),ABS('Counter_PnL'!BM356-'Counter_PnL'!BL356/'Counter_PnL'!AK356),ABS('Counter_PnL'!BP356-'Counter_PnL'!BO356/'Counter_PnL'!AK356))</x:f>
        <x:v>0</x:v>
      </x:c>
      <x:c r="M356" s="30" t="n">
        <x:f>IF(AND('Counter_PnL'!Q356&gt;0,'Counter_PnL'!AK356&gt;0,'Counter_PnL'!R356&lt;=0,'Counter_PnL'!T356&lt;=0,'Counter_PnL'!AT356&lt;=0,'Counter_PnL'!BE356&lt;=0,'Counter_PnL'!BJ356&lt;=0,'Counter_PnL'!BK356&lt;=0,'Counter_PnL'!BN356&lt;=0),0,1)</x:f>
        <x:v>0</x:v>
      </x:c>
    </x:row>
    <x:row r="357">
      <x:c r="A357" t="str">
        <x:f>'Counter_PnL'!D357</x:f>
        <x:v>CNCT0089</x:v>
      </x:c>
      <x:c r="B357" t="str">
        <x:f>'Counter_PnL'!C357</x:f>
        <x:v>2026 S2</x:v>
      </x:c>
      <x:c r="C357" s="30" t="n">
        <x:f>COUNTIFS('Counter_PnL'!$D$2:$D$641,A357,'Counter_PnL'!$C$2:$C$641,B357)</x:f>
        <x:v>1</x:v>
      </x:c>
      <x:c r="D357" s="79" t="n">
        <x:f>ABS('Counter_PnL'!AC357-SUM('Counter_PnL'!V357:'Counter_PnL'!AB357))</x:f>
        <x:v>0</x:v>
      </x:c>
      <x:c r="E357" s="79" t="n">
        <x:f>ABS('Counter_PnL'!AI357-SUM('Counter_PnL'!R357,'Counter_PnL'!T357,'Counter_PnL'!AC357,'Counter_PnL'!AE357,'Counter_PnL'!AG357,'Counter_PnL'!AH357))</x:f>
        <x:v>0</x:v>
      </x:c>
      <x:c r="F357" s="79" t="n">
        <x:f>ABS('Counter_PnL'!AK357-('Counter_PnL'!Q357+'Counter_PnL'!AI357))</x:f>
        <x:v>0</x:v>
      </x:c>
      <x:c r="G357" s="79" t="n">
        <x:f>ABS('Counter_PnL'!AT357-SUM('Counter_PnL'!AO357:'Counter_PnL'!AS357))</x:f>
        <x:v>0</x:v>
      </x:c>
      <x:c r="H357" s="79" t="n">
        <x:f>ABS('Counter_PnL'!AV357-('Counter_PnL'!AK357+'Counter_PnL'!AT357))</x:f>
        <x:v>0</x:v>
      </x:c>
      <x:c r="I357" s="79" t="n">
        <x:f>ABS('Counter_PnL'!BE357-SUM('Counter_PnL'!AX357:'Counter_PnL'!BB357,'Counter_PnL'!BD357))</x:f>
        <x:v>0</x:v>
      </x:c>
      <x:c r="J357" s="79" t="n">
        <x:f>ABS('Counter_PnL'!BL357-SUM('Counter_PnL'!AV357,'Counter_PnL'!BE357,'Counter_PnL'!BJ357,'Counter_PnL'!BK357))</x:f>
        <x:v>0</x:v>
      </x:c>
      <x:c r="K357" s="79" t="n">
        <x:f>ABS('Counter_PnL'!BO357-('Counter_PnL'!BL357+'Counter_PnL'!BN357))</x:f>
        <x:v>0</x:v>
      </x:c>
      <x:c r="L357" s="79" t="n">
        <x:f>MAX(ABS('Counter_PnL'!AW357-'Counter_PnL'!AV357/'Counter_PnL'!AK357),ABS('Counter_PnL'!BM357-'Counter_PnL'!BL357/'Counter_PnL'!AK357),ABS('Counter_PnL'!BP357-'Counter_PnL'!BO357/'Counter_PnL'!AK357))</x:f>
        <x:v>0</x:v>
      </x:c>
      <x:c r="M357" s="30" t="n">
        <x:f>IF(AND('Counter_PnL'!Q357&gt;0,'Counter_PnL'!AK357&gt;0,'Counter_PnL'!R357&lt;=0,'Counter_PnL'!T357&lt;=0,'Counter_PnL'!AT357&lt;=0,'Counter_PnL'!BE357&lt;=0,'Counter_PnL'!BJ357&lt;=0,'Counter_PnL'!BK357&lt;=0,'Counter_PnL'!BN357&lt;=0),0,1)</x:f>
        <x:v>0</x:v>
      </x:c>
    </x:row>
    <x:row r="358">
      <x:c r="A358" t="str">
        <x:f>'Counter_PnL'!D358</x:f>
        <x:v>CNCT0090</x:v>
      </x:c>
      <x:c r="B358" t="str">
        <x:f>'Counter_PnL'!C358</x:f>
        <x:v>2025 S1</x:v>
      </x:c>
      <x:c r="C358" s="30" t="n">
        <x:f>COUNTIFS('Counter_PnL'!$D$2:$D$641,A358,'Counter_PnL'!$C$2:$C$641,B358)</x:f>
        <x:v>1</x:v>
      </x:c>
      <x:c r="D358" s="79" t="n">
        <x:f>ABS('Counter_PnL'!AC358-SUM('Counter_PnL'!V358:'Counter_PnL'!AB358))</x:f>
        <x:v>0</x:v>
      </x:c>
      <x:c r="E358" s="79" t="n">
        <x:f>ABS('Counter_PnL'!AI358-SUM('Counter_PnL'!R358,'Counter_PnL'!T358,'Counter_PnL'!AC358,'Counter_PnL'!AE358,'Counter_PnL'!AG358,'Counter_PnL'!AH358))</x:f>
        <x:v>0</x:v>
      </x:c>
      <x:c r="F358" s="79" t="n">
        <x:f>ABS('Counter_PnL'!AK358-('Counter_PnL'!Q358+'Counter_PnL'!AI358))</x:f>
        <x:v>0</x:v>
      </x:c>
      <x:c r="G358" s="79" t="n">
        <x:f>ABS('Counter_PnL'!AT358-SUM('Counter_PnL'!AO358:'Counter_PnL'!AS358))</x:f>
        <x:v>0</x:v>
      </x:c>
      <x:c r="H358" s="79" t="n">
        <x:f>ABS('Counter_PnL'!AV358-('Counter_PnL'!AK358+'Counter_PnL'!AT358))</x:f>
        <x:v>0</x:v>
      </x:c>
      <x:c r="I358" s="79" t="n">
        <x:f>ABS('Counter_PnL'!BE358-SUM('Counter_PnL'!AX358:'Counter_PnL'!BB358,'Counter_PnL'!BD358))</x:f>
        <x:v>0</x:v>
      </x:c>
      <x:c r="J358" s="79" t="n">
        <x:f>ABS('Counter_PnL'!BL358-SUM('Counter_PnL'!AV358,'Counter_PnL'!BE358,'Counter_PnL'!BJ358,'Counter_PnL'!BK358))</x:f>
        <x:v>0</x:v>
      </x:c>
      <x:c r="K358" s="79" t="n">
        <x:f>ABS('Counter_PnL'!BO358-('Counter_PnL'!BL358+'Counter_PnL'!BN358))</x:f>
        <x:v>0</x:v>
      </x:c>
      <x:c r="L358" s="79" t="n">
        <x:f>MAX(ABS('Counter_PnL'!AW358-'Counter_PnL'!AV358/'Counter_PnL'!AK358),ABS('Counter_PnL'!BM358-'Counter_PnL'!BL358/'Counter_PnL'!AK358),ABS('Counter_PnL'!BP358-'Counter_PnL'!BO358/'Counter_PnL'!AK358))</x:f>
        <x:v>0</x:v>
      </x:c>
      <x:c r="M358" s="30" t="n">
        <x:f>IF(AND('Counter_PnL'!Q358&gt;0,'Counter_PnL'!AK358&gt;0,'Counter_PnL'!R358&lt;=0,'Counter_PnL'!T358&lt;=0,'Counter_PnL'!AT358&lt;=0,'Counter_PnL'!BE358&lt;=0,'Counter_PnL'!BJ358&lt;=0,'Counter_PnL'!BK358&lt;=0,'Counter_PnL'!BN358&lt;=0),0,1)</x:f>
        <x:v>0</x:v>
      </x:c>
    </x:row>
    <x:row r="359">
      <x:c r="A359" t="str">
        <x:f>'Counter_PnL'!D359</x:f>
        <x:v>CNCT0090</x:v>
      </x:c>
      <x:c r="B359" t="str">
        <x:f>'Counter_PnL'!C359</x:f>
        <x:v>2025 S2</x:v>
      </x:c>
      <x:c r="C359" s="30" t="n">
        <x:f>COUNTIFS('Counter_PnL'!$D$2:$D$641,A359,'Counter_PnL'!$C$2:$C$641,B359)</x:f>
        <x:v>1</x:v>
      </x:c>
      <x:c r="D359" s="79" t="n">
        <x:f>ABS('Counter_PnL'!AC359-SUM('Counter_PnL'!V359:'Counter_PnL'!AB359))</x:f>
        <x:v>0</x:v>
      </x:c>
      <x:c r="E359" s="79" t="n">
        <x:f>ABS('Counter_PnL'!AI359-SUM('Counter_PnL'!R359,'Counter_PnL'!T359,'Counter_PnL'!AC359,'Counter_PnL'!AE359,'Counter_PnL'!AG359,'Counter_PnL'!AH359))</x:f>
        <x:v>0</x:v>
      </x:c>
      <x:c r="F359" s="79" t="n">
        <x:f>ABS('Counter_PnL'!AK359-('Counter_PnL'!Q359+'Counter_PnL'!AI359))</x:f>
        <x:v>0</x:v>
      </x:c>
      <x:c r="G359" s="79" t="n">
        <x:f>ABS('Counter_PnL'!AT359-SUM('Counter_PnL'!AO359:'Counter_PnL'!AS359))</x:f>
        <x:v>0</x:v>
      </x:c>
      <x:c r="H359" s="79" t="n">
        <x:f>ABS('Counter_PnL'!AV359-('Counter_PnL'!AK359+'Counter_PnL'!AT359))</x:f>
        <x:v>0</x:v>
      </x:c>
      <x:c r="I359" s="79" t="n">
        <x:f>ABS('Counter_PnL'!BE359-SUM('Counter_PnL'!AX359:'Counter_PnL'!BB359,'Counter_PnL'!BD359))</x:f>
        <x:v>0</x:v>
      </x:c>
      <x:c r="J359" s="79" t="n">
        <x:f>ABS('Counter_PnL'!BL359-SUM('Counter_PnL'!AV359,'Counter_PnL'!BE359,'Counter_PnL'!BJ359,'Counter_PnL'!BK359))</x:f>
        <x:v>0</x:v>
      </x:c>
      <x:c r="K359" s="79" t="n">
        <x:f>ABS('Counter_PnL'!BO359-('Counter_PnL'!BL359+'Counter_PnL'!BN359))</x:f>
        <x:v>0</x:v>
      </x:c>
      <x:c r="L359" s="79" t="n">
        <x:f>MAX(ABS('Counter_PnL'!AW359-'Counter_PnL'!AV359/'Counter_PnL'!AK359),ABS('Counter_PnL'!BM359-'Counter_PnL'!BL359/'Counter_PnL'!AK359),ABS('Counter_PnL'!BP359-'Counter_PnL'!BO359/'Counter_PnL'!AK359))</x:f>
        <x:v>0</x:v>
      </x:c>
      <x:c r="M359" s="30" t="n">
        <x:f>IF(AND('Counter_PnL'!Q359&gt;0,'Counter_PnL'!AK359&gt;0,'Counter_PnL'!R359&lt;=0,'Counter_PnL'!T359&lt;=0,'Counter_PnL'!AT359&lt;=0,'Counter_PnL'!BE359&lt;=0,'Counter_PnL'!BJ359&lt;=0,'Counter_PnL'!BK359&lt;=0,'Counter_PnL'!BN359&lt;=0),0,1)</x:f>
        <x:v>0</x:v>
      </x:c>
    </x:row>
    <x:row r="360">
      <x:c r="A360" t="str">
        <x:f>'Counter_PnL'!D360</x:f>
        <x:v>CNCT0090</x:v>
      </x:c>
      <x:c r="B360" t="str">
        <x:f>'Counter_PnL'!C360</x:f>
        <x:v>2026 S1</x:v>
      </x:c>
      <x:c r="C360" s="30" t="n">
        <x:f>COUNTIFS('Counter_PnL'!$D$2:$D$641,A360,'Counter_PnL'!$C$2:$C$641,B360)</x:f>
        <x:v>1</x:v>
      </x:c>
      <x:c r="D360" s="79" t="n">
        <x:f>ABS('Counter_PnL'!AC360-SUM('Counter_PnL'!V360:'Counter_PnL'!AB360))</x:f>
        <x:v>0</x:v>
      </x:c>
      <x:c r="E360" s="79" t="n">
        <x:f>ABS('Counter_PnL'!AI360-SUM('Counter_PnL'!R360,'Counter_PnL'!T360,'Counter_PnL'!AC360,'Counter_PnL'!AE360,'Counter_PnL'!AG360,'Counter_PnL'!AH360))</x:f>
        <x:v>0</x:v>
      </x:c>
      <x:c r="F360" s="79" t="n">
        <x:f>ABS('Counter_PnL'!AK360-('Counter_PnL'!Q360+'Counter_PnL'!AI360))</x:f>
        <x:v>0</x:v>
      </x:c>
      <x:c r="G360" s="79" t="n">
        <x:f>ABS('Counter_PnL'!AT360-SUM('Counter_PnL'!AO360:'Counter_PnL'!AS360))</x:f>
        <x:v>0</x:v>
      </x:c>
      <x:c r="H360" s="79" t="n">
        <x:f>ABS('Counter_PnL'!AV360-('Counter_PnL'!AK360+'Counter_PnL'!AT360))</x:f>
        <x:v>0</x:v>
      </x:c>
      <x:c r="I360" s="79" t="n">
        <x:f>ABS('Counter_PnL'!BE360-SUM('Counter_PnL'!AX360:'Counter_PnL'!BB360,'Counter_PnL'!BD360))</x:f>
        <x:v>0</x:v>
      </x:c>
      <x:c r="J360" s="79" t="n">
        <x:f>ABS('Counter_PnL'!BL360-SUM('Counter_PnL'!AV360,'Counter_PnL'!BE360,'Counter_PnL'!BJ360,'Counter_PnL'!BK360))</x:f>
        <x:v>0</x:v>
      </x:c>
      <x:c r="K360" s="79" t="n">
        <x:f>ABS('Counter_PnL'!BO360-('Counter_PnL'!BL360+'Counter_PnL'!BN360))</x:f>
        <x:v>0</x:v>
      </x:c>
      <x:c r="L360" s="79" t="n">
        <x:f>MAX(ABS('Counter_PnL'!AW360-'Counter_PnL'!AV360/'Counter_PnL'!AK360),ABS('Counter_PnL'!BM360-'Counter_PnL'!BL360/'Counter_PnL'!AK360),ABS('Counter_PnL'!BP360-'Counter_PnL'!BO360/'Counter_PnL'!AK360))</x:f>
        <x:v>0</x:v>
      </x:c>
      <x:c r="M360" s="30" t="n">
        <x:f>IF(AND('Counter_PnL'!Q360&gt;0,'Counter_PnL'!AK360&gt;0,'Counter_PnL'!R360&lt;=0,'Counter_PnL'!T360&lt;=0,'Counter_PnL'!AT360&lt;=0,'Counter_PnL'!BE360&lt;=0,'Counter_PnL'!BJ360&lt;=0,'Counter_PnL'!BK360&lt;=0,'Counter_PnL'!BN360&lt;=0),0,1)</x:f>
        <x:v>0</x:v>
      </x:c>
    </x:row>
    <x:row r="361">
      <x:c r="A361" t="str">
        <x:f>'Counter_PnL'!D361</x:f>
        <x:v>CNCT0090</x:v>
      </x:c>
      <x:c r="B361" t="str">
        <x:f>'Counter_PnL'!C361</x:f>
        <x:v>2026 S2</x:v>
      </x:c>
      <x:c r="C361" s="30" t="n">
        <x:f>COUNTIFS('Counter_PnL'!$D$2:$D$641,A361,'Counter_PnL'!$C$2:$C$641,B361)</x:f>
        <x:v>1</x:v>
      </x:c>
      <x:c r="D361" s="79" t="n">
        <x:f>ABS('Counter_PnL'!AC361-SUM('Counter_PnL'!V361:'Counter_PnL'!AB361))</x:f>
        <x:v>0</x:v>
      </x:c>
      <x:c r="E361" s="79" t="n">
        <x:f>ABS('Counter_PnL'!AI361-SUM('Counter_PnL'!R361,'Counter_PnL'!T361,'Counter_PnL'!AC361,'Counter_PnL'!AE361,'Counter_PnL'!AG361,'Counter_PnL'!AH361))</x:f>
        <x:v>0</x:v>
      </x:c>
      <x:c r="F361" s="79" t="n">
        <x:f>ABS('Counter_PnL'!AK361-('Counter_PnL'!Q361+'Counter_PnL'!AI361))</x:f>
        <x:v>0</x:v>
      </x:c>
      <x:c r="G361" s="79" t="n">
        <x:f>ABS('Counter_PnL'!AT361-SUM('Counter_PnL'!AO361:'Counter_PnL'!AS361))</x:f>
        <x:v>0</x:v>
      </x:c>
      <x:c r="H361" s="79" t="n">
        <x:f>ABS('Counter_PnL'!AV361-('Counter_PnL'!AK361+'Counter_PnL'!AT361))</x:f>
        <x:v>0</x:v>
      </x:c>
      <x:c r="I361" s="79" t="n">
        <x:f>ABS('Counter_PnL'!BE361-SUM('Counter_PnL'!AX361:'Counter_PnL'!BB361,'Counter_PnL'!BD361))</x:f>
        <x:v>0</x:v>
      </x:c>
      <x:c r="J361" s="79" t="n">
        <x:f>ABS('Counter_PnL'!BL361-SUM('Counter_PnL'!AV361,'Counter_PnL'!BE361,'Counter_PnL'!BJ361,'Counter_PnL'!BK361))</x:f>
        <x:v>0</x:v>
      </x:c>
      <x:c r="K361" s="79" t="n">
        <x:f>ABS('Counter_PnL'!BO361-('Counter_PnL'!BL361+'Counter_PnL'!BN361))</x:f>
        <x:v>0</x:v>
      </x:c>
      <x:c r="L361" s="79" t="n">
        <x:f>MAX(ABS('Counter_PnL'!AW361-'Counter_PnL'!AV361/'Counter_PnL'!AK361),ABS('Counter_PnL'!BM361-'Counter_PnL'!BL361/'Counter_PnL'!AK361),ABS('Counter_PnL'!BP361-'Counter_PnL'!BO361/'Counter_PnL'!AK361))</x:f>
        <x:v>0</x:v>
      </x:c>
      <x:c r="M361" s="30" t="n">
        <x:f>IF(AND('Counter_PnL'!Q361&gt;0,'Counter_PnL'!AK361&gt;0,'Counter_PnL'!R361&lt;=0,'Counter_PnL'!T361&lt;=0,'Counter_PnL'!AT361&lt;=0,'Counter_PnL'!BE361&lt;=0,'Counter_PnL'!BJ361&lt;=0,'Counter_PnL'!BK361&lt;=0,'Counter_PnL'!BN361&lt;=0),0,1)</x:f>
        <x:v>0</x:v>
      </x:c>
    </x:row>
    <x:row r="362">
      <x:c r="A362" t="str">
        <x:f>'Counter_PnL'!D362</x:f>
        <x:v>CNCT0091</x:v>
      </x:c>
      <x:c r="B362" t="str">
        <x:f>'Counter_PnL'!C362</x:f>
        <x:v>2025 S1</x:v>
      </x:c>
      <x:c r="C362" s="30" t="n">
        <x:f>COUNTIFS('Counter_PnL'!$D$2:$D$641,A362,'Counter_PnL'!$C$2:$C$641,B362)</x:f>
        <x:v>1</x:v>
      </x:c>
      <x:c r="D362" s="79" t="n">
        <x:f>ABS('Counter_PnL'!AC362-SUM('Counter_PnL'!V362:'Counter_PnL'!AB362))</x:f>
        <x:v>0</x:v>
      </x:c>
      <x:c r="E362" s="79" t="n">
        <x:f>ABS('Counter_PnL'!AI362-SUM('Counter_PnL'!R362,'Counter_PnL'!T362,'Counter_PnL'!AC362,'Counter_PnL'!AE362,'Counter_PnL'!AG362,'Counter_PnL'!AH362))</x:f>
        <x:v>0</x:v>
      </x:c>
      <x:c r="F362" s="79" t="n">
        <x:f>ABS('Counter_PnL'!AK362-('Counter_PnL'!Q362+'Counter_PnL'!AI362))</x:f>
        <x:v>0</x:v>
      </x:c>
      <x:c r="G362" s="79" t="n">
        <x:f>ABS('Counter_PnL'!AT362-SUM('Counter_PnL'!AO362:'Counter_PnL'!AS362))</x:f>
        <x:v>0</x:v>
      </x:c>
      <x:c r="H362" s="79" t="n">
        <x:f>ABS('Counter_PnL'!AV362-('Counter_PnL'!AK362+'Counter_PnL'!AT362))</x:f>
        <x:v>0</x:v>
      </x:c>
      <x:c r="I362" s="79" t="n">
        <x:f>ABS('Counter_PnL'!BE362-SUM('Counter_PnL'!AX362:'Counter_PnL'!BB362,'Counter_PnL'!BD362))</x:f>
        <x:v>0</x:v>
      </x:c>
      <x:c r="J362" s="79" t="n">
        <x:f>ABS('Counter_PnL'!BL362-SUM('Counter_PnL'!AV362,'Counter_PnL'!BE362,'Counter_PnL'!BJ362,'Counter_PnL'!BK362))</x:f>
        <x:v>0</x:v>
      </x:c>
      <x:c r="K362" s="79" t="n">
        <x:f>ABS('Counter_PnL'!BO362-('Counter_PnL'!BL362+'Counter_PnL'!BN362))</x:f>
        <x:v>0</x:v>
      </x:c>
      <x:c r="L362" s="79" t="n">
        <x:f>MAX(ABS('Counter_PnL'!AW362-'Counter_PnL'!AV362/'Counter_PnL'!AK362),ABS('Counter_PnL'!BM362-'Counter_PnL'!BL362/'Counter_PnL'!AK362),ABS('Counter_PnL'!BP362-'Counter_PnL'!BO362/'Counter_PnL'!AK362))</x:f>
        <x:v>0</x:v>
      </x:c>
      <x:c r="M362" s="30" t="n">
        <x:f>IF(AND('Counter_PnL'!Q362&gt;0,'Counter_PnL'!AK362&gt;0,'Counter_PnL'!R362&lt;=0,'Counter_PnL'!T362&lt;=0,'Counter_PnL'!AT362&lt;=0,'Counter_PnL'!BE362&lt;=0,'Counter_PnL'!BJ362&lt;=0,'Counter_PnL'!BK362&lt;=0,'Counter_PnL'!BN362&lt;=0),0,1)</x:f>
        <x:v>0</x:v>
      </x:c>
    </x:row>
    <x:row r="363">
      <x:c r="A363" t="str">
        <x:f>'Counter_PnL'!D363</x:f>
        <x:v>CNCT0091</x:v>
      </x:c>
      <x:c r="B363" t="str">
        <x:f>'Counter_PnL'!C363</x:f>
        <x:v>2025 S2</x:v>
      </x:c>
      <x:c r="C363" s="30" t="n">
        <x:f>COUNTIFS('Counter_PnL'!$D$2:$D$641,A363,'Counter_PnL'!$C$2:$C$641,B363)</x:f>
        <x:v>1</x:v>
      </x:c>
      <x:c r="D363" s="79" t="n">
        <x:f>ABS('Counter_PnL'!AC363-SUM('Counter_PnL'!V363:'Counter_PnL'!AB363))</x:f>
        <x:v>0</x:v>
      </x:c>
      <x:c r="E363" s="79" t="n">
        <x:f>ABS('Counter_PnL'!AI363-SUM('Counter_PnL'!R363,'Counter_PnL'!T363,'Counter_PnL'!AC363,'Counter_PnL'!AE363,'Counter_PnL'!AG363,'Counter_PnL'!AH363))</x:f>
        <x:v>0</x:v>
      </x:c>
      <x:c r="F363" s="79" t="n">
        <x:f>ABS('Counter_PnL'!AK363-('Counter_PnL'!Q363+'Counter_PnL'!AI363))</x:f>
        <x:v>0</x:v>
      </x:c>
      <x:c r="G363" s="79" t="n">
        <x:f>ABS('Counter_PnL'!AT363-SUM('Counter_PnL'!AO363:'Counter_PnL'!AS363))</x:f>
        <x:v>0</x:v>
      </x:c>
      <x:c r="H363" s="79" t="n">
        <x:f>ABS('Counter_PnL'!AV363-('Counter_PnL'!AK363+'Counter_PnL'!AT363))</x:f>
        <x:v>0</x:v>
      </x:c>
      <x:c r="I363" s="79" t="n">
        <x:f>ABS('Counter_PnL'!BE363-SUM('Counter_PnL'!AX363:'Counter_PnL'!BB363,'Counter_PnL'!BD363))</x:f>
        <x:v>0</x:v>
      </x:c>
      <x:c r="J363" s="79" t="n">
        <x:f>ABS('Counter_PnL'!BL363-SUM('Counter_PnL'!AV363,'Counter_PnL'!BE363,'Counter_PnL'!BJ363,'Counter_PnL'!BK363))</x:f>
        <x:v>0</x:v>
      </x:c>
      <x:c r="K363" s="79" t="n">
        <x:f>ABS('Counter_PnL'!BO363-('Counter_PnL'!BL363+'Counter_PnL'!BN363))</x:f>
        <x:v>0</x:v>
      </x:c>
      <x:c r="L363" s="79" t="n">
        <x:f>MAX(ABS('Counter_PnL'!AW363-'Counter_PnL'!AV363/'Counter_PnL'!AK363),ABS('Counter_PnL'!BM363-'Counter_PnL'!BL363/'Counter_PnL'!AK363),ABS('Counter_PnL'!BP363-'Counter_PnL'!BO363/'Counter_PnL'!AK363))</x:f>
        <x:v>0</x:v>
      </x:c>
      <x:c r="M363" s="30" t="n">
        <x:f>IF(AND('Counter_PnL'!Q363&gt;0,'Counter_PnL'!AK363&gt;0,'Counter_PnL'!R363&lt;=0,'Counter_PnL'!T363&lt;=0,'Counter_PnL'!AT363&lt;=0,'Counter_PnL'!BE363&lt;=0,'Counter_PnL'!BJ363&lt;=0,'Counter_PnL'!BK363&lt;=0,'Counter_PnL'!BN363&lt;=0),0,1)</x:f>
        <x:v>0</x:v>
      </x:c>
    </x:row>
    <x:row r="364">
      <x:c r="A364" t="str">
        <x:f>'Counter_PnL'!D364</x:f>
        <x:v>CNCT0091</x:v>
      </x:c>
      <x:c r="B364" t="str">
        <x:f>'Counter_PnL'!C364</x:f>
        <x:v>2026 S1</x:v>
      </x:c>
      <x:c r="C364" s="30" t="n">
        <x:f>COUNTIFS('Counter_PnL'!$D$2:$D$641,A364,'Counter_PnL'!$C$2:$C$641,B364)</x:f>
        <x:v>1</x:v>
      </x:c>
      <x:c r="D364" s="79" t="n">
        <x:f>ABS('Counter_PnL'!AC364-SUM('Counter_PnL'!V364:'Counter_PnL'!AB364))</x:f>
        <x:v>0</x:v>
      </x:c>
      <x:c r="E364" s="79" t="n">
        <x:f>ABS('Counter_PnL'!AI364-SUM('Counter_PnL'!R364,'Counter_PnL'!T364,'Counter_PnL'!AC364,'Counter_PnL'!AE364,'Counter_PnL'!AG364,'Counter_PnL'!AH364))</x:f>
        <x:v>0</x:v>
      </x:c>
      <x:c r="F364" s="79" t="n">
        <x:f>ABS('Counter_PnL'!AK364-('Counter_PnL'!Q364+'Counter_PnL'!AI364))</x:f>
        <x:v>0</x:v>
      </x:c>
      <x:c r="G364" s="79" t="n">
        <x:f>ABS('Counter_PnL'!AT364-SUM('Counter_PnL'!AO364:'Counter_PnL'!AS364))</x:f>
        <x:v>0</x:v>
      </x:c>
      <x:c r="H364" s="79" t="n">
        <x:f>ABS('Counter_PnL'!AV364-('Counter_PnL'!AK364+'Counter_PnL'!AT364))</x:f>
        <x:v>0</x:v>
      </x:c>
      <x:c r="I364" s="79" t="n">
        <x:f>ABS('Counter_PnL'!BE364-SUM('Counter_PnL'!AX364:'Counter_PnL'!BB364,'Counter_PnL'!BD364))</x:f>
        <x:v>0</x:v>
      </x:c>
      <x:c r="J364" s="79" t="n">
        <x:f>ABS('Counter_PnL'!BL364-SUM('Counter_PnL'!AV364,'Counter_PnL'!BE364,'Counter_PnL'!BJ364,'Counter_PnL'!BK364))</x:f>
        <x:v>0</x:v>
      </x:c>
      <x:c r="K364" s="79" t="n">
        <x:f>ABS('Counter_PnL'!BO364-('Counter_PnL'!BL364+'Counter_PnL'!BN364))</x:f>
        <x:v>0</x:v>
      </x:c>
      <x:c r="L364" s="79" t="n">
        <x:f>MAX(ABS('Counter_PnL'!AW364-'Counter_PnL'!AV364/'Counter_PnL'!AK364),ABS('Counter_PnL'!BM364-'Counter_PnL'!BL364/'Counter_PnL'!AK364),ABS('Counter_PnL'!BP364-'Counter_PnL'!BO364/'Counter_PnL'!AK364))</x:f>
        <x:v>0</x:v>
      </x:c>
      <x:c r="M364" s="30" t="n">
        <x:f>IF(AND('Counter_PnL'!Q364&gt;0,'Counter_PnL'!AK364&gt;0,'Counter_PnL'!R364&lt;=0,'Counter_PnL'!T364&lt;=0,'Counter_PnL'!AT364&lt;=0,'Counter_PnL'!BE364&lt;=0,'Counter_PnL'!BJ364&lt;=0,'Counter_PnL'!BK364&lt;=0,'Counter_PnL'!BN364&lt;=0),0,1)</x:f>
        <x:v>0</x:v>
      </x:c>
    </x:row>
    <x:row r="365">
      <x:c r="A365" t="str">
        <x:f>'Counter_PnL'!D365</x:f>
        <x:v>CNCT0091</x:v>
      </x:c>
      <x:c r="B365" t="str">
        <x:f>'Counter_PnL'!C365</x:f>
        <x:v>2026 S2</x:v>
      </x:c>
      <x:c r="C365" s="30" t="n">
        <x:f>COUNTIFS('Counter_PnL'!$D$2:$D$641,A365,'Counter_PnL'!$C$2:$C$641,B365)</x:f>
        <x:v>1</x:v>
      </x:c>
      <x:c r="D365" s="79" t="n">
        <x:f>ABS('Counter_PnL'!AC365-SUM('Counter_PnL'!V365:'Counter_PnL'!AB365))</x:f>
        <x:v>0</x:v>
      </x:c>
      <x:c r="E365" s="79" t="n">
        <x:f>ABS('Counter_PnL'!AI365-SUM('Counter_PnL'!R365,'Counter_PnL'!T365,'Counter_PnL'!AC365,'Counter_PnL'!AE365,'Counter_PnL'!AG365,'Counter_PnL'!AH365))</x:f>
        <x:v>0</x:v>
      </x:c>
      <x:c r="F365" s="79" t="n">
        <x:f>ABS('Counter_PnL'!AK365-('Counter_PnL'!Q365+'Counter_PnL'!AI365))</x:f>
        <x:v>0</x:v>
      </x:c>
      <x:c r="G365" s="79" t="n">
        <x:f>ABS('Counter_PnL'!AT365-SUM('Counter_PnL'!AO365:'Counter_PnL'!AS365))</x:f>
        <x:v>0</x:v>
      </x:c>
      <x:c r="H365" s="79" t="n">
        <x:f>ABS('Counter_PnL'!AV365-('Counter_PnL'!AK365+'Counter_PnL'!AT365))</x:f>
        <x:v>0</x:v>
      </x:c>
      <x:c r="I365" s="79" t="n">
        <x:f>ABS('Counter_PnL'!BE365-SUM('Counter_PnL'!AX365:'Counter_PnL'!BB365,'Counter_PnL'!BD365))</x:f>
        <x:v>0</x:v>
      </x:c>
      <x:c r="J365" s="79" t="n">
        <x:f>ABS('Counter_PnL'!BL365-SUM('Counter_PnL'!AV365,'Counter_PnL'!BE365,'Counter_PnL'!BJ365,'Counter_PnL'!BK365))</x:f>
        <x:v>0</x:v>
      </x:c>
      <x:c r="K365" s="79" t="n">
        <x:f>ABS('Counter_PnL'!BO365-('Counter_PnL'!BL365+'Counter_PnL'!BN365))</x:f>
        <x:v>0</x:v>
      </x:c>
      <x:c r="L365" s="79" t="n">
        <x:f>MAX(ABS('Counter_PnL'!AW365-'Counter_PnL'!AV365/'Counter_PnL'!AK365),ABS('Counter_PnL'!BM365-'Counter_PnL'!BL365/'Counter_PnL'!AK365),ABS('Counter_PnL'!BP365-'Counter_PnL'!BO365/'Counter_PnL'!AK365))</x:f>
        <x:v>0</x:v>
      </x:c>
      <x:c r="M365" s="30" t="n">
        <x:f>IF(AND('Counter_PnL'!Q365&gt;0,'Counter_PnL'!AK365&gt;0,'Counter_PnL'!R365&lt;=0,'Counter_PnL'!T365&lt;=0,'Counter_PnL'!AT365&lt;=0,'Counter_PnL'!BE365&lt;=0,'Counter_PnL'!BJ365&lt;=0,'Counter_PnL'!BK365&lt;=0,'Counter_PnL'!BN365&lt;=0),0,1)</x:f>
        <x:v>0</x:v>
      </x:c>
    </x:row>
    <x:row r="366">
      <x:c r="A366" t="str">
        <x:f>'Counter_PnL'!D366</x:f>
        <x:v>CNCT0092</x:v>
      </x:c>
      <x:c r="B366" t="str">
        <x:f>'Counter_PnL'!C366</x:f>
        <x:v>2025 S1</x:v>
      </x:c>
      <x:c r="C366" s="30" t="n">
        <x:f>COUNTIFS('Counter_PnL'!$D$2:$D$641,A366,'Counter_PnL'!$C$2:$C$641,B366)</x:f>
        <x:v>1</x:v>
      </x:c>
      <x:c r="D366" s="79" t="n">
        <x:f>ABS('Counter_PnL'!AC366-SUM('Counter_PnL'!V366:'Counter_PnL'!AB366))</x:f>
        <x:v>0</x:v>
      </x:c>
      <x:c r="E366" s="79" t="n">
        <x:f>ABS('Counter_PnL'!AI366-SUM('Counter_PnL'!R366,'Counter_PnL'!T366,'Counter_PnL'!AC366,'Counter_PnL'!AE366,'Counter_PnL'!AG366,'Counter_PnL'!AH366))</x:f>
        <x:v>0</x:v>
      </x:c>
      <x:c r="F366" s="79" t="n">
        <x:f>ABS('Counter_PnL'!AK366-('Counter_PnL'!Q366+'Counter_PnL'!AI366))</x:f>
        <x:v>0</x:v>
      </x:c>
      <x:c r="G366" s="79" t="n">
        <x:f>ABS('Counter_PnL'!AT366-SUM('Counter_PnL'!AO366:'Counter_PnL'!AS366))</x:f>
        <x:v>0</x:v>
      </x:c>
      <x:c r="H366" s="79" t="n">
        <x:f>ABS('Counter_PnL'!AV366-('Counter_PnL'!AK366+'Counter_PnL'!AT366))</x:f>
        <x:v>0</x:v>
      </x:c>
      <x:c r="I366" s="79" t="n">
        <x:f>ABS('Counter_PnL'!BE366-SUM('Counter_PnL'!AX366:'Counter_PnL'!BB366,'Counter_PnL'!BD366))</x:f>
        <x:v>0</x:v>
      </x:c>
      <x:c r="J366" s="79" t="n">
        <x:f>ABS('Counter_PnL'!BL366-SUM('Counter_PnL'!AV366,'Counter_PnL'!BE366,'Counter_PnL'!BJ366,'Counter_PnL'!BK366))</x:f>
        <x:v>0</x:v>
      </x:c>
      <x:c r="K366" s="79" t="n">
        <x:f>ABS('Counter_PnL'!BO366-('Counter_PnL'!BL366+'Counter_PnL'!BN366))</x:f>
        <x:v>0</x:v>
      </x:c>
      <x:c r="L366" s="79" t="n">
        <x:f>MAX(ABS('Counter_PnL'!AW366-'Counter_PnL'!AV366/'Counter_PnL'!AK366),ABS('Counter_PnL'!BM366-'Counter_PnL'!BL366/'Counter_PnL'!AK366),ABS('Counter_PnL'!BP366-'Counter_PnL'!BO366/'Counter_PnL'!AK366))</x:f>
        <x:v>0</x:v>
      </x:c>
      <x:c r="M366" s="30" t="n">
        <x:f>IF(AND('Counter_PnL'!Q366&gt;0,'Counter_PnL'!AK366&gt;0,'Counter_PnL'!R366&lt;=0,'Counter_PnL'!T366&lt;=0,'Counter_PnL'!AT366&lt;=0,'Counter_PnL'!BE366&lt;=0,'Counter_PnL'!BJ366&lt;=0,'Counter_PnL'!BK366&lt;=0,'Counter_PnL'!BN366&lt;=0),0,1)</x:f>
        <x:v>0</x:v>
      </x:c>
    </x:row>
    <x:row r="367">
      <x:c r="A367" t="str">
        <x:f>'Counter_PnL'!D367</x:f>
        <x:v>CNCT0092</x:v>
      </x:c>
      <x:c r="B367" t="str">
        <x:f>'Counter_PnL'!C367</x:f>
        <x:v>2025 S2</x:v>
      </x:c>
      <x:c r="C367" s="30" t="n">
        <x:f>COUNTIFS('Counter_PnL'!$D$2:$D$641,A367,'Counter_PnL'!$C$2:$C$641,B367)</x:f>
        <x:v>1</x:v>
      </x:c>
      <x:c r="D367" s="79" t="n">
        <x:f>ABS('Counter_PnL'!AC367-SUM('Counter_PnL'!V367:'Counter_PnL'!AB367))</x:f>
        <x:v>0</x:v>
      </x:c>
      <x:c r="E367" s="79" t="n">
        <x:f>ABS('Counter_PnL'!AI367-SUM('Counter_PnL'!R367,'Counter_PnL'!T367,'Counter_PnL'!AC367,'Counter_PnL'!AE367,'Counter_PnL'!AG367,'Counter_PnL'!AH367))</x:f>
        <x:v>0</x:v>
      </x:c>
      <x:c r="F367" s="79" t="n">
        <x:f>ABS('Counter_PnL'!AK367-('Counter_PnL'!Q367+'Counter_PnL'!AI367))</x:f>
        <x:v>0</x:v>
      </x:c>
      <x:c r="G367" s="79" t="n">
        <x:f>ABS('Counter_PnL'!AT367-SUM('Counter_PnL'!AO367:'Counter_PnL'!AS367))</x:f>
        <x:v>0</x:v>
      </x:c>
      <x:c r="H367" s="79" t="n">
        <x:f>ABS('Counter_PnL'!AV367-('Counter_PnL'!AK367+'Counter_PnL'!AT367))</x:f>
        <x:v>0</x:v>
      </x:c>
      <x:c r="I367" s="79" t="n">
        <x:f>ABS('Counter_PnL'!BE367-SUM('Counter_PnL'!AX367:'Counter_PnL'!BB367,'Counter_PnL'!BD367))</x:f>
        <x:v>0</x:v>
      </x:c>
      <x:c r="J367" s="79" t="n">
        <x:f>ABS('Counter_PnL'!BL367-SUM('Counter_PnL'!AV367,'Counter_PnL'!BE367,'Counter_PnL'!BJ367,'Counter_PnL'!BK367))</x:f>
        <x:v>0</x:v>
      </x:c>
      <x:c r="K367" s="79" t="n">
        <x:f>ABS('Counter_PnL'!BO367-('Counter_PnL'!BL367+'Counter_PnL'!BN367))</x:f>
        <x:v>0</x:v>
      </x:c>
      <x:c r="L367" s="79" t="n">
        <x:f>MAX(ABS('Counter_PnL'!AW367-'Counter_PnL'!AV367/'Counter_PnL'!AK367),ABS('Counter_PnL'!BM367-'Counter_PnL'!BL367/'Counter_PnL'!AK367),ABS('Counter_PnL'!BP367-'Counter_PnL'!BO367/'Counter_PnL'!AK367))</x:f>
        <x:v>0</x:v>
      </x:c>
      <x:c r="M367" s="30" t="n">
        <x:f>IF(AND('Counter_PnL'!Q367&gt;0,'Counter_PnL'!AK367&gt;0,'Counter_PnL'!R367&lt;=0,'Counter_PnL'!T367&lt;=0,'Counter_PnL'!AT367&lt;=0,'Counter_PnL'!BE367&lt;=0,'Counter_PnL'!BJ367&lt;=0,'Counter_PnL'!BK367&lt;=0,'Counter_PnL'!BN367&lt;=0),0,1)</x:f>
        <x:v>0</x:v>
      </x:c>
    </x:row>
    <x:row r="368">
      <x:c r="A368" t="str">
        <x:f>'Counter_PnL'!D368</x:f>
        <x:v>CNCT0092</x:v>
      </x:c>
      <x:c r="B368" t="str">
        <x:f>'Counter_PnL'!C368</x:f>
        <x:v>2026 S1</x:v>
      </x:c>
      <x:c r="C368" s="30" t="n">
        <x:f>COUNTIFS('Counter_PnL'!$D$2:$D$641,A368,'Counter_PnL'!$C$2:$C$641,B368)</x:f>
        <x:v>1</x:v>
      </x:c>
      <x:c r="D368" s="79" t="n">
        <x:f>ABS('Counter_PnL'!AC368-SUM('Counter_PnL'!V368:'Counter_PnL'!AB368))</x:f>
        <x:v>0</x:v>
      </x:c>
      <x:c r="E368" s="79" t="n">
        <x:f>ABS('Counter_PnL'!AI368-SUM('Counter_PnL'!R368,'Counter_PnL'!T368,'Counter_PnL'!AC368,'Counter_PnL'!AE368,'Counter_PnL'!AG368,'Counter_PnL'!AH368))</x:f>
        <x:v>0</x:v>
      </x:c>
      <x:c r="F368" s="79" t="n">
        <x:f>ABS('Counter_PnL'!AK368-('Counter_PnL'!Q368+'Counter_PnL'!AI368))</x:f>
        <x:v>0</x:v>
      </x:c>
      <x:c r="G368" s="79" t="n">
        <x:f>ABS('Counter_PnL'!AT368-SUM('Counter_PnL'!AO368:'Counter_PnL'!AS368))</x:f>
        <x:v>0</x:v>
      </x:c>
      <x:c r="H368" s="79" t="n">
        <x:f>ABS('Counter_PnL'!AV368-('Counter_PnL'!AK368+'Counter_PnL'!AT368))</x:f>
        <x:v>0</x:v>
      </x:c>
      <x:c r="I368" s="79" t="n">
        <x:f>ABS('Counter_PnL'!BE368-SUM('Counter_PnL'!AX368:'Counter_PnL'!BB368,'Counter_PnL'!BD368))</x:f>
        <x:v>0</x:v>
      </x:c>
      <x:c r="J368" s="79" t="n">
        <x:f>ABS('Counter_PnL'!BL368-SUM('Counter_PnL'!AV368,'Counter_PnL'!BE368,'Counter_PnL'!BJ368,'Counter_PnL'!BK368))</x:f>
        <x:v>0</x:v>
      </x:c>
      <x:c r="K368" s="79" t="n">
        <x:f>ABS('Counter_PnL'!BO368-('Counter_PnL'!BL368+'Counter_PnL'!BN368))</x:f>
        <x:v>0</x:v>
      </x:c>
      <x:c r="L368" s="79" t="n">
        <x:f>MAX(ABS('Counter_PnL'!AW368-'Counter_PnL'!AV368/'Counter_PnL'!AK368),ABS('Counter_PnL'!BM368-'Counter_PnL'!BL368/'Counter_PnL'!AK368),ABS('Counter_PnL'!BP368-'Counter_PnL'!BO368/'Counter_PnL'!AK368))</x:f>
        <x:v>0</x:v>
      </x:c>
      <x:c r="M368" s="30" t="n">
        <x:f>IF(AND('Counter_PnL'!Q368&gt;0,'Counter_PnL'!AK368&gt;0,'Counter_PnL'!R368&lt;=0,'Counter_PnL'!T368&lt;=0,'Counter_PnL'!AT368&lt;=0,'Counter_PnL'!BE368&lt;=0,'Counter_PnL'!BJ368&lt;=0,'Counter_PnL'!BK368&lt;=0,'Counter_PnL'!BN368&lt;=0),0,1)</x:f>
        <x:v>0</x:v>
      </x:c>
    </x:row>
    <x:row r="369">
      <x:c r="A369" t="str">
        <x:f>'Counter_PnL'!D369</x:f>
        <x:v>CNCT0092</x:v>
      </x:c>
      <x:c r="B369" t="str">
        <x:f>'Counter_PnL'!C369</x:f>
        <x:v>2026 S2</x:v>
      </x:c>
      <x:c r="C369" s="30" t="n">
        <x:f>COUNTIFS('Counter_PnL'!$D$2:$D$641,A369,'Counter_PnL'!$C$2:$C$641,B369)</x:f>
        <x:v>1</x:v>
      </x:c>
      <x:c r="D369" s="79" t="n">
        <x:f>ABS('Counter_PnL'!AC369-SUM('Counter_PnL'!V369:'Counter_PnL'!AB369))</x:f>
        <x:v>0</x:v>
      </x:c>
      <x:c r="E369" s="79" t="n">
        <x:f>ABS('Counter_PnL'!AI369-SUM('Counter_PnL'!R369,'Counter_PnL'!T369,'Counter_PnL'!AC369,'Counter_PnL'!AE369,'Counter_PnL'!AG369,'Counter_PnL'!AH369))</x:f>
        <x:v>0</x:v>
      </x:c>
      <x:c r="F369" s="79" t="n">
        <x:f>ABS('Counter_PnL'!AK369-('Counter_PnL'!Q369+'Counter_PnL'!AI369))</x:f>
        <x:v>0</x:v>
      </x:c>
      <x:c r="G369" s="79" t="n">
        <x:f>ABS('Counter_PnL'!AT369-SUM('Counter_PnL'!AO369:'Counter_PnL'!AS369))</x:f>
        <x:v>0</x:v>
      </x:c>
      <x:c r="H369" s="79" t="n">
        <x:f>ABS('Counter_PnL'!AV369-('Counter_PnL'!AK369+'Counter_PnL'!AT369))</x:f>
        <x:v>0</x:v>
      </x:c>
      <x:c r="I369" s="79" t="n">
        <x:f>ABS('Counter_PnL'!BE369-SUM('Counter_PnL'!AX369:'Counter_PnL'!BB369,'Counter_PnL'!BD369))</x:f>
        <x:v>0</x:v>
      </x:c>
      <x:c r="J369" s="79" t="n">
        <x:f>ABS('Counter_PnL'!BL369-SUM('Counter_PnL'!AV369,'Counter_PnL'!BE369,'Counter_PnL'!BJ369,'Counter_PnL'!BK369))</x:f>
        <x:v>0</x:v>
      </x:c>
      <x:c r="K369" s="79" t="n">
        <x:f>ABS('Counter_PnL'!BO369-('Counter_PnL'!BL369+'Counter_PnL'!BN369))</x:f>
        <x:v>0</x:v>
      </x:c>
      <x:c r="L369" s="79" t="n">
        <x:f>MAX(ABS('Counter_PnL'!AW369-'Counter_PnL'!AV369/'Counter_PnL'!AK369),ABS('Counter_PnL'!BM369-'Counter_PnL'!BL369/'Counter_PnL'!AK369),ABS('Counter_PnL'!BP369-'Counter_PnL'!BO369/'Counter_PnL'!AK369))</x:f>
        <x:v>0</x:v>
      </x:c>
      <x:c r="M369" s="30" t="n">
        <x:f>IF(AND('Counter_PnL'!Q369&gt;0,'Counter_PnL'!AK369&gt;0,'Counter_PnL'!R369&lt;=0,'Counter_PnL'!T369&lt;=0,'Counter_PnL'!AT369&lt;=0,'Counter_PnL'!BE369&lt;=0,'Counter_PnL'!BJ369&lt;=0,'Counter_PnL'!BK369&lt;=0,'Counter_PnL'!BN369&lt;=0),0,1)</x:f>
        <x:v>0</x:v>
      </x:c>
    </x:row>
    <x:row r="370">
      <x:c r="A370" t="str">
        <x:f>'Counter_PnL'!D370</x:f>
        <x:v>CNCT0093</x:v>
      </x:c>
      <x:c r="B370" t="str">
        <x:f>'Counter_PnL'!C370</x:f>
        <x:v>2025 S1</x:v>
      </x:c>
      <x:c r="C370" s="30" t="n">
        <x:f>COUNTIFS('Counter_PnL'!$D$2:$D$641,A370,'Counter_PnL'!$C$2:$C$641,B370)</x:f>
        <x:v>1</x:v>
      </x:c>
      <x:c r="D370" s="79" t="n">
        <x:f>ABS('Counter_PnL'!AC370-SUM('Counter_PnL'!V370:'Counter_PnL'!AB370))</x:f>
        <x:v>0</x:v>
      </x:c>
      <x:c r="E370" s="79" t="n">
        <x:f>ABS('Counter_PnL'!AI370-SUM('Counter_PnL'!R370,'Counter_PnL'!T370,'Counter_PnL'!AC370,'Counter_PnL'!AE370,'Counter_PnL'!AG370,'Counter_PnL'!AH370))</x:f>
        <x:v>0</x:v>
      </x:c>
      <x:c r="F370" s="79" t="n">
        <x:f>ABS('Counter_PnL'!AK370-('Counter_PnL'!Q370+'Counter_PnL'!AI370))</x:f>
        <x:v>0</x:v>
      </x:c>
      <x:c r="G370" s="79" t="n">
        <x:f>ABS('Counter_PnL'!AT370-SUM('Counter_PnL'!AO370:'Counter_PnL'!AS370))</x:f>
        <x:v>0</x:v>
      </x:c>
      <x:c r="H370" s="79" t="n">
        <x:f>ABS('Counter_PnL'!AV370-('Counter_PnL'!AK370+'Counter_PnL'!AT370))</x:f>
        <x:v>0</x:v>
      </x:c>
      <x:c r="I370" s="79" t="n">
        <x:f>ABS('Counter_PnL'!BE370-SUM('Counter_PnL'!AX370:'Counter_PnL'!BB370,'Counter_PnL'!BD370))</x:f>
        <x:v>0</x:v>
      </x:c>
      <x:c r="J370" s="79" t="n">
        <x:f>ABS('Counter_PnL'!BL370-SUM('Counter_PnL'!AV370,'Counter_PnL'!BE370,'Counter_PnL'!BJ370,'Counter_PnL'!BK370))</x:f>
        <x:v>0</x:v>
      </x:c>
      <x:c r="K370" s="79" t="n">
        <x:f>ABS('Counter_PnL'!BO370-('Counter_PnL'!BL370+'Counter_PnL'!BN370))</x:f>
        <x:v>0</x:v>
      </x:c>
      <x:c r="L370" s="79" t="n">
        <x:f>MAX(ABS('Counter_PnL'!AW370-'Counter_PnL'!AV370/'Counter_PnL'!AK370),ABS('Counter_PnL'!BM370-'Counter_PnL'!BL370/'Counter_PnL'!AK370),ABS('Counter_PnL'!BP370-'Counter_PnL'!BO370/'Counter_PnL'!AK370))</x:f>
        <x:v>0</x:v>
      </x:c>
      <x:c r="M370" s="30" t="n">
        <x:f>IF(AND('Counter_PnL'!Q370&gt;0,'Counter_PnL'!AK370&gt;0,'Counter_PnL'!R370&lt;=0,'Counter_PnL'!T370&lt;=0,'Counter_PnL'!AT370&lt;=0,'Counter_PnL'!BE370&lt;=0,'Counter_PnL'!BJ370&lt;=0,'Counter_PnL'!BK370&lt;=0,'Counter_PnL'!BN370&lt;=0),0,1)</x:f>
        <x:v>0</x:v>
      </x:c>
    </x:row>
    <x:row r="371">
      <x:c r="A371" t="str">
        <x:f>'Counter_PnL'!D371</x:f>
        <x:v>CNCT0093</x:v>
      </x:c>
      <x:c r="B371" t="str">
        <x:f>'Counter_PnL'!C371</x:f>
        <x:v>2025 S2</x:v>
      </x:c>
      <x:c r="C371" s="30" t="n">
        <x:f>COUNTIFS('Counter_PnL'!$D$2:$D$641,A371,'Counter_PnL'!$C$2:$C$641,B371)</x:f>
        <x:v>1</x:v>
      </x:c>
      <x:c r="D371" s="79" t="n">
        <x:f>ABS('Counter_PnL'!AC371-SUM('Counter_PnL'!V371:'Counter_PnL'!AB371))</x:f>
        <x:v>0</x:v>
      </x:c>
      <x:c r="E371" s="79" t="n">
        <x:f>ABS('Counter_PnL'!AI371-SUM('Counter_PnL'!R371,'Counter_PnL'!T371,'Counter_PnL'!AC371,'Counter_PnL'!AE371,'Counter_PnL'!AG371,'Counter_PnL'!AH371))</x:f>
        <x:v>0</x:v>
      </x:c>
      <x:c r="F371" s="79" t="n">
        <x:f>ABS('Counter_PnL'!AK371-('Counter_PnL'!Q371+'Counter_PnL'!AI371))</x:f>
        <x:v>0</x:v>
      </x:c>
      <x:c r="G371" s="79" t="n">
        <x:f>ABS('Counter_PnL'!AT371-SUM('Counter_PnL'!AO371:'Counter_PnL'!AS371))</x:f>
        <x:v>0</x:v>
      </x:c>
      <x:c r="H371" s="79" t="n">
        <x:f>ABS('Counter_PnL'!AV371-('Counter_PnL'!AK371+'Counter_PnL'!AT371))</x:f>
        <x:v>0</x:v>
      </x:c>
      <x:c r="I371" s="79" t="n">
        <x:f>ABS('Counter_PnL'!BE371-SUM('Counter_PnL'!AX371:'Counter_PnL'!BB371,'Counter_PnL'!BD371))</x:f>
        <x:v>0</x:v>
      </x:c>
      <x:c r="J371" s="79" t="n">
        <x:f>ABS('Counter_PnL'!BL371-SUM('Counter_PnL'!AV371,'Counter_PnL'!BE371,'Counter_PnL'!BJ371,'Counter_PnL'!BK371))</x:f>
        <x:v>0</x:v>
      </x:c>
      <x:c r="K371" s="79" t="n">
        <x:f>ABS('Counter_PnL'!BO371-('Counter_PnL'!BL371+'Counter_PnL'!BN371))</x:f>
        <x:v>0</x:v>
      </x:c>
      <x:c r="L371" s="79" t="n">
        <x:f>MAX(ABS('Counter_PnL'!AW371-'Counter_PnL'!AV371/'Counter_PnL'!AK371),ABS('Counter_PnL'!BM371-'Counter_PnL'!BL371/'Counter_PnL'!AK371),ABS('Counter_PnL'!BP371-'Counter_PnL'!BO371/'Counter_PnL'!AK371))</x:f>
        <x:v>0</x:v>
      </x:c>
      <x:c r="M371" s="30" t="n">
        <x:f>IF(AND('Counter_PnL'!Q371&gt;0,'Counter_PnL'!AK371&gt;0,'Counter_PnL'!R371&lt;=0,'Counter_PnL'!T371&lt;=0,'Counter_PnL'!AT371&lt;=0,'Counter_PnL'!BE371&lt;=0,'Counter_PnL'!BJ371&lt;=0,'Counter_PnL'!BK371&lt;=0,'Counter_PnL'!BN371&lt;=0),0,1)</x:f>
        <x:v>0</x:v>
      </x:c>
    </x:row>
    <x:row r="372">
      <x:c r="A372" t="str">
        <x:f>'Counter_PnL'!D372</x:f>
        <x:v>CNCT0093</x:v>
      </x:c>
      <x:c r="B372" t="str">
        <x:f>'Counter_PnL'!C372</x:f>
        <x:v>2026 S1</x:v>
      </x:c>
      <x:c r="C372" s="30" t="n">
        <x:f>COUNTIFS('Counter_PnL'!$D$2:$D$641,A372,'Counter_PnL'!$C$2:$C$641,B372)</x:f>
        <x:v>1</x:v>
      </x:c>
      <x:c r="D372" s="79" t="n">
        <x:f>ABS('Counter_PnL'!AC372-SUM('Counter_PnL'!V372:'Counter_PnL'!AB372))</x:f>
        <x:v>0</x:v>
      </x:c>
      <x:c r="E372" s="79" t="n">
        <x:f>ABS('Counter_PnL'!AI372-SUM('Counter_PnL'!R372,'Counter_PnL'!T372,'Counter_PnL'!AC372,'Counter_PnL'!AE372,'Counter_PnL'!AG372,'Counter_PnL'!AH372))</x:f>
        <x:v>0</x:v>
      </x:c>
      <x:c r="F372" s="79" t="n">
        <x:f>ABS('Counter_PnL'!AK372-('Counter_PnL'!Q372+'Counter_PnL'!AI372))</x:f>
        <x:v>0</x:v>
      </x:c>
      <x:c r="G372" s="79" t="n">
        <x:f>ABS('Counter_PnL'!AT372-SUM('Counter_PnL'!AO372:'Counter_PnL'!AS372))</x:f>
        <x:v>0</x:v>
      </x:c>
      <x:c r="H372" s="79" t="n">
        <x:f>ABS('Counter_PnL'!AV372-('Counter_PnL'!AK372+'Counter_PnL'!AT372))</x:f>
        <x:v>0</x:v>
      </x:c>
      <x:c r="I372" s="79" t="n">
        <x:f>ABS('Counter_PnL'!BE372-SUM('Counter_PnL'!AX372:'Counter_PnL'!BB372,'Counter_PnL'!BD372))</x:f>
        <x:v>0</x:v>
      </x:c>
      <x:c r="J372" s="79" t="n">
        <x:f>ABS('Counter_PnL'!BL372-SUM('Counter_PnL'!AV372,'Counter_PnL'!BE372,'Counter_PnL'!BJ372,'Counter_PnL'!BK372))</x:f>
        <x:v>0</x:v>
      </x:c>
      <x:c r="K372" s="79" t="n">
        <x:f>ABS('Counter_PnL'!BO372-('Counter_PnL'!BL372+'Counter_PnL'!BN372))</x:f>
        <x:v>0</x:v>
      </x:c>
      <x:c r="L372" s="79" t="n">
        <x:f>MAX(ABS('Counter_PnL'!AW372-'Counter_PnL'!AV372/'Counter_PnL'!AK372),ABS('Counter_PnL'!BM372-'Counter_PnL'!BL372/'Counter_PnL'!AK372),ABS('Counter_PnL'!BP372-'Counter_PnL'!BO372/'Counter_PnL'!AK372))</x:f>
        <x:v>0</x:v>
      </x:c>
      <x:c r="M372" s="30" t="n">
        <x:f>IF(AND('Counter_PnL'!Q372&gt;0,'Counter_PnL'!AK372&gt;0,'Counter_PnL'!R372&lt;=0,'Counter_PnL'!T372&lt;=0,'Counter_PnL'!AT372&lt;=0,'Counter_PnL'!BE372&lt;=0,'Counter_PnL'!BJ372&lt;=0,'Counter_PnL'!BK372&lt;=0,'Counter_PnL'!BN372&lt;=0),0,1)</x:f>
        <x:v>0</x:v>
      </x:c>
    </x:row>
    <x:row r="373">
      <x:c r="A373" t="str">
        <x:f>'Counter_PnL'!D373</x:f>
        <x:v>CNCT0093</x:v>
      </x:c>
      <x:c r="B373" t="str">
        <x:f>'Counter_PnL'!C373</x:f>
        <x:v>2026 S2</x:v>
      </x:c>
      <x:c r="C373" s="30" t="n">
        <x:f>COUNTIFS('Counter_PnL'!$D$2:$D$641,A373,'Counter_PnL'!$C$2:$C$641,B373)</x:f>
        <x:v>1</x:v>
      </x:c>
      <x:c r="D373" s="79" t="n">
        <x:f>ABS('Counter_PnL'!AC373-SUM('Counter_PnL'!V373:'Counter_PnL'!AB373))</x:f>
        <x:v>0</x:v>
      </x:c>
      <x:c r="E373" s="79" t="n">
        <x:f>ABS('Counter_PnL'!AI373-SUM('Counter_PnL'!R373,'Counter_PnL'!T373,'Counter_PnL'!AC373,'Counter_PnL'!AE373,'Counter_PnL'!AG373,'Counter_PnL'!AH373))</x:f>
        <x:v>0</x:v>
      </x:c>
      <x:c r="F373" s="79" t="n">
        <x:f>ABS('Counter_PnL'!AK373-('Counter_PnL'!Q373+'Counter_PnL'!AI373))</x:f>
        <x:v>0</x:v>
      </x:c>
      <x:c r="G373" s="79" t="n">
        <x:f>ABS('Counter_PnL'!AT373-SUM('Counter_PnL'!AO373:'Counter_PnL'!AS373))</x:f>
        <x:v>0</x:v>
      </x:c>
      <x:c r="H373" s="79" t="n">
        <x:f>ABS('Counter_PnL'!AV373-('Counter_PnL'!AK373+'Counter_PnL'!AT373))</x:f>
        <x:v>0</x:v>
      </x:c>
      <x:c r="I373" s="79" t="n">
        <x:f>ABS('Counter_PnL'!BE373-SUM('Counter_PnL'!AX373:'Counter_PnL'!BB373,'Counter_PnL'!BD373))</x:f>
        <x:v>0</x:v>
      </x:c>
      <x:c r="J373" s="79" t="n">
        <x:f>ABS('Counter_PnL'!BL373-SUM('Counter_PnL'!AV373,'Counter_PnL'!BE373,'Counter_PnL'!BJ373,'Counter_PnL'!BK373))</x:f>
        <x:v>0</x:v>
      </x:c>
      <x:c r="K373" s="79" t="n">
        <x:f>ABS('Counter_PnL'!BO373-('Counter_PnL'!BL373+'Counter_PnL'!BN373))</x:f>
        <x:v>0</x:v>
      </x:c>
      <x:c r="L373" s="79" t="n">
        <x:f>MAX(ABS('Counter_PnL'!AW373-'Counter_PnL'!AV373/'Counter_PnL'!AK373),ABS('Counter_PnL'!BM373-'Counter_PnL'!BL373/'Counter_PnL'!AK373),ABS('Counter_PnL'!BP373-'Counter_PnL'!BO373/'Counter_PnL'!AK373))</x:f>
        <x:v>0</x:v>
      </x:c>
      <x:c r="M373" s="30" t="n">
        <x:f>IF(AND('Counter_PnL'!Q373&gt;0,'Counter_PnL'!AK373&gt;0,'Counter_PnL'!R373&lt;=0,'Counter_PnL'!T373&lt;=0,'Counter_PnL'!AT373&lt;=0,'Counter_PnL'!BE373&lt;=0,'Counter_PnL'!BJ373&lt;=0,'Counter_PnL'!BK373&lt;=0,'Counter_PnL'!BN373&lt;=0),0,1)</x:f>
        <x:v>0</x:v>
      </x:c>
    </x:row>
    <x:row r="374">
      <x:c r="A374" t="str">
        <x:f>'Counter_PnL'!D374</x:f>
        <x:v>CNCT0094</x:v>
      </x:c>
      <x:c r="B374" t="str">
        <x:f>'Counter_PnL'!C374</x:f>
        <x:v>2025 S1</x:v>
      </x:c>
      <x:c r="C374" s="30" t="n">
        <x:f>COUNTIFS('Counter_PnL'!$D$2:$D$641,A374,'Counter_PnL'!$C$2:$C$641,B374)</x:f>
        <x:v>1</x:v>
      </x:c>
      <x:c r="D374" s="79" t="n">
        <x:f>ABS('Counter_PnL'!AC374-SUM('Counter_PnL'!V374:'Counter_PnL'!AB374))</x:f>
        <x:v>0</x:v>
      </x:c>
      <x:c r="E374" s="79" t="n">
        <x:f>ABS('Counter_PnL'!AI374-SUM('Counter_PnL'!R374,'Counter_PnL'!T374,'Counter_PnL'!AC374,'Counter_PnL'!AE374,'Counter_PnL'!AG374,'Counter_PnL'!AH374))</x:f>
        <x:v>0</x:v>
      </x:c>
      <x:c r="F374" s="79" t="n">
        <x:f>ABS('Counter_PnL'!AK374-('Counter_PnL'!Q374+'Counter_PnL'!AI374))</x:f>
        <x:v>0</x:v>
      </x:c>
      <x:c r="G374" s="79" t="n">
        <x:f>ABS('Counter_PnL'!AT374-SUM('Counter_PnL'!AO374:'Counter_PnL'!AS374))</x:f>
        <x:v>0</x:v>
      </x:c>
      <x:c r="H374" s="79" t="n">
        <x:f>ABS('Counter_PnL'!AV374-('Counter_PnL'!AK374+'Counter_PnL'!AT374))</x:f>
        <x:v>0</x:v>
      </x:c>
      <x:c r="I374" s="79" t="n">
        <x:f>ABS('Counter_PnL'!BE374-SUM('Counter_PnL'!AX374:'Counter_PnL'!BB374,'Counter_PnL'!BD374))</x:f>
        <x:v>0</x:v>
      </x:c>
      <x:c r="J374" s="79" t="n">
        <x:f>ABS('Counter_PnL'!BL374-SUM('Counter_PnL'!AV374,'Counter_PnL'!BE374,'Counter_PnL'!BJ374,'Counter_PnL'!BK374))</x:f>
        <x:v>0</x:v>
      </x:c>
      <x:c r="K374" s="79" t="n">
        <x:f>ABS('Counter_PnL'!BO374-('Counter_PnL'!BL374+'Counter_PnL'!BN374))</x:f>
        <x:v>0</x:v>
      </x:c>
      <x:c r="L374" s="79" t="n">
        <x:f>MAX(ABS('Counter_PnL'!AW374-'Counter_PnL'!AV374/'Counter_PnL'!AK374),ABS('Counter_PnL'!BM374-'Counter_PnL'!BL374/'Counter_PnL'!AK374),ABS('Counter_PnL'!BP374-'Counter_PnL'!BO374/'Counter_PnL'!AK374))</x:f>
        <x:v>0</x:v>
      </x:c>
      <x:c r="M374" s="30" t="n">
        <x:f>IF(AND('Counter_PnL'!Q374&gt;0,'Counter_PnL'!AK374&gt;0,'Counter_PnL'!R374&lt;=0,'Counter_PnL'!T374&lt;=0,'Counter_PnL'!AT374&lt;=0,'Counter_PnL'!BE374&lt;=0,'Counter_PnL'!BJ374&lt;=0,'Counter_PnL'!BK374&lt;=0,'Counter_PnL'!BN374&lt;=0),0,1)</x:f>
        <x:v>0</x:v>
      </x:c>
    </x:row>
    <x:row r="375">
      <x:c r="A375" t="str">
        <x:f>'Counter_PnL'!D375</x:f>
        <x:v>CNCT0094</x:v>
      </x:c>
      <x:c r="B375" t="str">
        <x:f>'Counter_PnL'!C375</x:f>
        <x:v>2025 S2</x:v>
      </x:c>
      <x:c r="C375" s="30" t="n">
        <x:f>COUNTIFS('Counter_PnL'!$D$2:$D$641,A375,'Counter_PnL'!$C$2:$C$641,B375)</x:f>
        <x:v>1</x:v>
      </x:c>
      <x:c r="D375" s="79" t="n">
        <x:f>ABS('Counter_PnL'!AC375-SUM('Counter_PnL'!V375:'Counter_PnL'!AB375))</x:f>
        <x:v>0</x:v>
      </x:c>
      <x:c r="E375" s="79" t="n">
        <x:f>ABS('Counter_PnL'!AI375-SUM('Counter_PnL'!R375,'Counter_PnL'!T375,'Counter_PnL'!AC375,'Counter_PnL'!AE375,'Counter_PnL'!AG375,'Counter_PnL'!AH375))</x:f>
        <x:v>0</x:v>
      </x:c>
      <x:c r="F375" s="79" t="n">
        <x:f>ABS('Counter_PnL'!AK375-('Counter_PnL'!Q375+'Counter_PnL'!AI375))</x:f>
        <x:v>0</x:v>
      </x:c>
      <x:c r="G375" s="79" t="n">
        <x:f>ABS('Counter_PnL'!AT375-SUM('Counter_PnL'!AO375:'Counter_PnL'!AS375))</x:f>
        <x:v>0</x:v>
      </x:c>
      <x:c r="H375" s="79" t="n">
        <x:f>ABS('Counter_PnL'!AV375-('Counter_PnL'!AK375+'Counter_PnL'!AT375))</x:f>
        <x:v>0</x:v>
      </x:c>
      <x:c r="I375" s="79" t="n">
        <x:f>ABS('Counter_PnL'!BE375-SUM('Counter_PnL'!AX375:'Counter_PnL'!BB375,'Counter_PnL'!BD375))</x:f>
        <x:v>0</x:v>
      </x:c>
      <x:c r="J375" s="79" t="n">
        <x:f>ABS('Counter_PnL'!BL375-SUM('Counter_PnL'!AV375,'Counter_PnL'!BE375,'Counter_PnL'!BJ375,'Counter_PnL'!BK375))</x:f>
        <x:v>0</x:v>
      </x:c>
      <x:c r="K375" s="79" t="n">
        <x:f>ABS('Counter_PnL'!BO375-('Counter_PnL'!BL375+'Counter_PnL'!BN375))</x:f>
        <x:v>0</x:v>
      </x:c>
      <x:c r="L375" s="79" t="n">
        <x:f>MAX(ABS('Counter_PnL'!AW375-'Counter_PnL'!AV375/'Counter_PnL'!AK375),ABS('Counter_PnL'!BM375-'Counter_PnL'!BL375/'Counter_PnL'!AK375),ABS('Counter_PnL'!BP375-'Counter_PnL'!BO375/'Counter_PnL'!AK375))</x:f>
        <x:v>0</x:v>
      </x:c>
      <x:c r="M375" s="30" t="n">
        <x:f>IF(AND('Counter_PnL'!Q375&gt;0,'Counter_PnL'!AK375&gt;0,'Counter_PnL'!R375&lt;=0,'Counter_PnL'!T375&lt;=0,'Counter_PnL'!AT375&lt;=0,'Counter_PnL'!BE375&lt;=0,'Counter_PnL'!BJ375&lt;=0,'Counter_PnL'!BK375&lt;=0,'Counter_PnL'!BN375&lt;=0),0,1)</x:f>
        <x:v>0</x:v>
      </x:c>
    </x:row>
    <x:row r="376">
      <x:c r="A376" t="str">
        <x:f>'Counter_PnL'!D376</x:f>
        <x:v>CNCT0094</x:v>
      </x:c>
      <x:c r="B376" t="str">
        <x:f>'Counter_PnL'!C376</x:f>
        <x:v>2026 S1</x:v>
      </x:c>
      <x:c r="C376" s="30" t="n">
        <x:f>COUNTIFS('Counter_PnL'!$D$2:$D$641,A376,'Counter_PnL'!$C$2:$C$641,B376)</x:f>
        <x:v>1</x:v>
      </x:c>
      <x:c r="D376" s="79" t="n">
        <x:f>ABS('Counter_PnL'!AC376-SUM('Counter_PnL'!V376:'Counter_PnL'!AB376))</x:f>
        <x:v>0</x:v>
      </x:c>
      <x:c r="E376" s="79" t="n">
        <x:f>ABS('Counter_PnL'!AI376-SUM('Counter_PnL'!R376,'Counter_PnL'!T376,'Counter_PnL'!AC376,'Counter_PnL'!AE376,'Counter_PnL'!AG376,'Counter_PnL'!AH376))</x:f>
        <x:v>0</x:v>
      </x:c>
      <x:c r="F376" s="79" t="n">
        <x:f>ABS('Counter_PnL'!AK376-('Counter_PnL'!Q376+'Counter_PnL'!AI376))</x:f>
        <x:v>0</x:v>
      </x:c>
      <x:c r="G376" s="79" t="n">
        <x:f>ABS('Counter_PnL'!AT376-SUM('Counter_PnL'!AO376:'Counter_PnL'!AS376))</x:f>
        <x:v>0</x:v>
      </x:c>
      <x:c r="H376" s="79" t="n">
        <x:f>ABS('Counter_PnL'!AV376-('Counter_PnL'!AK376+'Counter_PnL'!AT376))</x:f>
        <x:v>0</x:v>
      </x:c>
      <x:c r="I376" s="79" t="n">
        <x:f>ABS('Counter_PnL'!BE376-SUM('Counter_PnL'!AX376:'Counter_PnL'!BB376,'Counter_PnL'!BD376))</x:f>
        <x:v>0</x:v>
      </x:c>
      <x:c r="J376" s="79" t="n">
        <x:f>ABS('Counter_PnL'!BL376-SUM('Counter_PnL'!AV376,'Counter_PnL'!BE376,'Counter_PnL'!BJ376,'Counter_PnL'!BK376))</x:f>
        <x:v>0</x:v>
      </x:c>
      <x:c r="K376" s="79" t="n">
        <x:f>ABS('Counter_PnL'!BO376-('Counter_PnL'!BL376+'Counter_PnL'!BN376))</x:f>
        <x:v>0</x:v>
      </x:c>
      <x:c r="L376" s="79" t="n">
        <x:f>MAX(ABS('Counter_PnL'!AW376-'Counter_PnL'!AV376/'Counter_PnL'!AK376),ABS('Counter_PnL'!BM376-'Counter_PnL'!BL376/'Counter_PnL'!AK376),ABS('Counter_PnL'!BP376-'Counter_PnL'!BO376/'Counter_PnL'!AK376))</x:f>
        <x:v>0</x:v>
      </x:c>
      <x:c r="M376" s="30" t="n">
        <x:f>IF(AND('Counter_PnL'!Q376&gt;0,'Counter_PnL'!AK376&gt;0,'Counter_PnL'!R376&lt;=0,'Counter_PnL'!T376&lt;=0,'Counter_PnL'!AT376&lt;=0,'Counter_PnL'!BE376&lt;=0,'Counter_PnL'!BJ376&lt;=0,'Counter_PnL'!BK376&lt;=0,'Counter_PnL'!BN376&lt;=0),0,1)</x:f>
        <x:v>0</x:v>
      </x:c>
    </x:row>
    <x:row r="377">
      <x:c r="A377" t="str">
        <x:f>'Counter_PnL'!D377</x:f>
        <x:v>CNCT0094</x:v>
      </x:c>
      <x:c r="B377" t="str">
        <x:f>'Counter_PnL'!C377</x:f>
        <x:v>2026 S2</x:v>
      </x:c>
      <x:c r="C377" s="30" t="n">
        <x:f>COUNTIFS('Counter_PnL'!$D$2:$D$641,A377,'Counter_PnL'!$C$2:$C$641,B377)</x:f>
        <x:v>1</x:v>
      </x:c>
      <x:c r="D377" s="79" t="n">
        <x:f>ABS('Counter_PnL'!AC377-SUM('Counter_PnL'!V377:'Counter_PnL'!AB377))</x:f>
        <x:v>0</x:v>
      </x:c>
      <x:c r="E377" s="79" t="n">
        <x:f>ABS('Counter_PnL'!AI377-SUM('Counter_PnL'!R377,'Counter_PnL'!T377,'Counter_PnL'!AC377,'Counter_PnL'!AE377,'Counter_PnL'!AG377,'Counter_PnL'!AH377))</x:f>
        <x:v>0</x:v>
      </x:c>
      <x:c r="F377" s="79" t="n">
        <x:f>ABS('Counter_PnL'!AK377-('Counter_PnL'!Q377+'Counter_PnL'!AI377))</x:f>
        <x:v>0</x:v>
      </x:c>
      <x:c r="G377" s="79" t="n">
        <x:f>ABS('Counter_PnL'!AT377-SUM('Counter_PnL'!AO377:'Counter_PnL'!AS377))</x:f>
        <x:v>0</x:v>
      </x:c>
      <x:c r="H377" s="79" t="n">
        <x:f>ABS('Counter_PnL'!AV377-('Counter_PnL'!AK377+'Counter_PnL'!AT377))</x:f>
        <x:v>0</x:v>
      </x:c>
      <x:c r="I377" s="79" t="n">
        <x:f>ABS('Counter_PnL'!BE377-SUM('Counter_PnL'!AX377:'Counter_PnL'!BB377,'Counter_PnL'!BD377))</x:f>
        <x:v>0</x:v>
      </x:c>
      <x:c r="J377" s="79" t="n">
        <x:f>ABS('Counter_PnL'!BL377-SUM('Counter_PnL'!AV377,'Counter_PnL'!BE377,'Counter_PnL'!BJ377,'Counter_PnL'!BK377))</x:f>
        <x:v>0</x:v>
      </x:c>
      <x:c r="K377" s="79" t="n">
        <x:f>ABS('Counter_PnL'!BO377-('Counter_PnL'!BL377+'Counter_PnL'!BN377))</x:f>
        <x:v>0</x:v>
      </x:c>
      <x:c r="L377" s="79" t="n">
        <x:f>MAX(ABS('Counter_PnL'!AW377-'Counter_PnL'!AV377/'Counter_PnL'!AK377),ABS('Counter_PnL'!BM377-'Counter_PnL'!BL377/'Counter_PnL'!AK377),ABS('Counter_PnL'!BP377-'Counter_PnL'!BO377/'Counter_PnL'!AK377))</x:f>
        <x:v>0</x:v>
      </x:c>
      <x:c r="M377" s="30" t="n">
        <x:f>IF(AND('Counter_PnL'!Q377&gt;0,'Counter_PnL'!AK377&gt;0,'Counter_PnL'!R377&lt;=0,'Counter_PnL'!T377&lt;=0,'Counter_PnL'!AT377&lt;=0,'Counter_PnL'!BE377&lt;=0,'Counter_PnL'!BJ377&lt;=0,'Counter_PnL'!BK377&lt;=0,'Counter_PnL'!BN377&lt;=0),0,1)</x:f>
        <x:v>0</x:v>
      </x:c>
    </x:row>
    <x:row r="378">
      <x:c r="A378" t="str">
        <x:f>'Counter_PnL'!D378</x:f>
        <x:v>CNCT0095</x:v>
      </x:c>
      <x:c r="B378" t="str">
        <x:f>'Counter_PnL'!C378</x:f>
        <x:v>2025 S1</x:v>
      </x:c>
      <x:c r="C378" s="30" t="n">
        <x:f>COUNTIFS('Counter_PnL'!$D$2:$D$641,A378,'Counter_PnL'!$C$2:$C$641,B378)</x:f>
        <x:v>1</x:v>
      </x:c>
      <x:c r="D378" s="79" t="n">
        <x:f>ABS('Counter_PnL'!AC378-SUM('Counter_PnL'!V378:'Counter_PnL'!AB378))</x:f>
        <x:v>0</x:v>
      </x:c>
      <x:c r="E378" s="79" t="n">
        <x:f>ABS('Counter_PnL'!AI378-SUM('Counter_PnL'!R378,'Counter_PnL'!T378,'Counter_PnL'!AC378,'Counter_PnL'!AE378,'Counter_PnL'!AG378,'Counter_PnL'!AH378))</x:f>
        <x:v>0</x:v>
      </x:c>
      <x:c r="F378" s="79" t="n">
        <x:f>ABS('Counter_PnL'!AK378-('Counter_PnL'!Q378+'Counter_PnL'!AI378))</x:f>
        <x:v>0</x:v>
      </x:c>
      <x:c r="G378" s="79" t="n">
        <x:f>ABS('Counter_PnL'!AT378-SUM('Counter_PnL'!AO378:'Counter_PnL'!AS378))</x:f>
        <x:v>0</x:v>
      </x:c>
      <x:c r="H378" s="79" t="n">
        <x:f>ABS('Counter_PnL'!AV378-('Counter_PnL'!AK378+'Counter_PnL'!AT378))</x:f>
        <x:v>0</x:v>
      </x:c>
      <x:c r="I378" s="79" t="n">
        <x:f>ABS('Counter_PnL'!BE378-SUM('Counter_PnL'!AX378:'Counter_PnL'!BB378,'Counter_PnL'!BD378))</x:f>
        <x:v>0</x:v>
      </x:c>
      <x:c r="J378" s="79" t="n">
        <x:f>ABS('Counter_PnL'!BL378-SUM('Counter_PnL'!AV378,'Counter_PnL'!BE378,'Counter_PnL'!BJ378,'Counter_PnL'!BK378))</x:f>
        <x:v>0</x:v>
      </x:c>
      <x:c r="K378" s="79" t="n">
        <x:f>ABS('Counter_PnL'!BO378-('Counter_PnL'!BL378+'Counter_PnL'!BN378))</x:f>
        <x:v>0</x:v>
      </x:c>
      <x:c r="L378" s="79" t="n">
        <x:f>MAX(ABS('Counter_PnL'!AW378-'Counter_PnL'!AV378/'Counter_PnL'!AK378),ABS('Counter_PnL'!BM378-'Counter_PnL'!BL378/'Counter_PnL'!AK378),ABS('Counter_PnL'!BP378-'Counter_PnL'!BO378/'Counter_PnL'!AK378))</x:f>
        <x:v>0</x:v>
      </x:c>
      <x:c r="M378" s="30" t="n">
        <x:f>IF(AND('Counter_PnL'!Q378&gt;0,'Counter_PnL'!AK378&gt;0,'Counter_PnL'!R378&lt;=0,'Counter_PnL'!T378&lt;=0,'Counter_PnL'!AT378&lt;=0,'Counter_PnL'!BE378&lt;=0,'Counter_PnL'!BJ378&lt;=0,'Counter_PnL'!BK378&lt;=0,'Counter_PnL'!BN378&lt;=0),0,1)</x:f>
        <x:v>0</x:v>
      </x:c>
    </x:row>
    <x:row r="379">
      <x:c r="A379" t="str">
        <x:f>'Counter_PnL'!D379</x:f>
        <x:v>CNCT0095</x:v>
      </x:c>
      <x:c r="B379" t="str">
        <x:f>'Counter_PnL'!C379</x:f>
        <x:v>2025 S2</x:v>
      </x:c>
      <x:c r="C379" s="30" t="n">
        <x:f>COUNTIFS('Counter_PnL'!$D$2:$D$641,A379,'Counter_PnL'!$C$2:$C$641,B379)</x:f>
        <x:v>1</x:v>
      </x:c>
      <x:c r="D379" s="79" t="n">
        <x:f>ABS('Counter_PnL'!AC379-SUM('Counter_PnL'!V379:'Counter_PnL'!AB379))</x:f>
        <x:v>0</x:v>
      </x:c>
      <x:c r="E379" s="79" t="n">
        <x:f>ABS('Counter_PnL'!AI379-SUM('Counter_PnL'!R379,'Counter_PnL'!T379,'Counter_PnL'!AC379,'Counter_PnL'!AE379,'Counter_PnL'!AG379,'Counter_PnL'!AH379))</x:f>
        <x:v>0</x:v>
      </x:c>
      <x:c r="F379" s="79" t="n">
        <x:f>ABS('Counter_PnL'!AK379-('Counter_PnL'!Q379+'Counter_PnL'!AI379))</x:f>
        <x:v>0</x:v>
      </x:c>
      <x:c r="G379" s="79" t="n">
        <x:f>ABS('Counter_PnL'!AT379-SUM('Counter_PnL'!AO379:'Counter_PnL'!AS379))</x:f>
        <x:v>0</x:v>
      </x:c>
      <x:c r="H379" s="79" t="n">
        <x:f>ABS('Counter_PnL'!AV379-('Counter_PnL'!AK379+'Counter_PnL'!AT379))</x:f>
        <x:v>0</x:v>
      </x:c>
      <x:c r="I379" s="79" t="n">
        <x:f>ABS('Counter_PnL'!BE379-SUM('Counter_PnL'!AX379:'Counter_PnL'!BB379,'Counter_PnL'!BD379))</x:f>
        <x:v>0</x:v>
      </x:c>
      <x:c r="J379" s="79" t="n">
        <x:f>ABS('Counter_PnL'!BL379-SUM('Counter_PnL'!AV379,'Counter_PnL'!BE379,'Counter_PnL'!BJ379,'Counter_PnL'!BK379))</x:f>
        <x:v>0</x:v>
      </x:c>
      <x:c r="K379" s="79" t="n">
        <x:f>ABS('Counter_PnL'!BO379-('Counter_PnL'!BL379+'Counter_PnL'!BN379))</x:f>
        <x:v>0</x:v>
      </x:c>
      <x:c r="L379" s="79" t="n">
        <x:f>MAX(ABS('Counter_PnL'!AW379-'Counter_PnL'!AV379/'Counter_PnL'!AK379),ABS('Counter_PnL'!BM379-'Counter_PnL'!BL379/'Counter_PnL'!AK379),ABS('Counter_PnL'!BP379-'Counter_PnL'!BO379/'Counter_PnL'!AK379))</x:f>
        <x:v>0</x:v>
      </x:c>
      <x:c r="M379" s="30" t="n">
        <x:f>IF(AND('Counter_PnL'!Q379&gt;0,'Counter_PnL'!AK379&gt;0,'Counter_PnL'!R379&lt;=0,'Counter_PnL'!T379&lt;=0,'Counter_PnL'!AT379&lt;=0,'Counter_PnL'!BE379&lt;=0,'Counter_PnL'!BJ379&lt;=0,'Counter_PnL'!BK379&lt;=0,'Counter_PnL'!BN379&lt;=0),0,1)</x:f>
        <x:v>0</x:v>
      </x:c>
    </x:row>
    <x:row r="380">
      <x:c r="A380" t="str">
        <x:f>'Counter_PnL'!D380</x:f>
        <x:v>CNCT0095</x:v>
      </x:c>
      <x:c r="B380" t="str">
        <x:f>'Counter_PnL'!C380</x:f>
        <x:v>2026 S1</x:v>
      </x:c>
      <x:c r="C380" s="30" t="n">
        <x:f>COUNTIFS('Counter_PnL'!$D$2:$D$641,A380,'Counter_PnL'!$C$2:$C$641,B380)</x:f>
        <x:v>1</x:v>
      </x:c>
      <x:c r="D380" s="79" t="n">
        <x:f>ABS('Counter_PnL'!AC380-SUM('Counter_PnL'!V380:'Counter_PnL'!AB380))</x:f>
        <x:v>0</x:v>
      </x:c>
      <x:c r="E380" s="79" t="n">
        <x:f>ABS('Counter_PnL'!AI380-SUM('Counter_PnL'!R380,'Counter_PnL'!T380,'Counter_PnL'!AC380,'Counter_PnL'!AE380,'Counter_PnL'!AG380,'Counter_PnL'!AH380))</x:f>
        <x:v>0</x:v>
      </x:c>
      <x:c r="F380" s="79" t="n">
        <x:f>ABS('Counter_PnL'!AK380-('Counter_PnL'!Q380+'Counter_PnL'!AI380))</x:f>
        <x:v>0</x:v>
      </x:c>
      <x:c r="G380" s="79" t="n">
        <x:f>ABS('Counter_PnL'!AT380-SUM('Counter_PnL'!AO380:'Counter_PnL'!AS380))</x:f>
        <x:v>0</x:v>
      </x:c>
      <x:c r="H380" s="79" t="n">
        <x:f>ABS('Counter_PnL'!AV380-('Counter_PnL'!AK380+'Counter_PnL'!AT380))</x:f>
        <x:v>0</x:v>
      </x:c>
      <x:c r="I380" s="79" t="n">
        <x:f>ABS('Counter_PnL'!BE380-SUM('Counter_PnL'!AX380:'Counter_PnL'!BB380,'Counter_PnL'!BD380))</x:f>
        <x:v>0</x:v>
      </x:c>
      <x:c r="J380" s="79" t="n">
        <x:f>ABS('Counter_PnL'!BL380-SUM('Counter_PnL'!AV380,'Counter_PnL'!BE380,'Counter_PnL'!BJ380,'Counter_PnL'!BK380))</x:f>
        <x:v>0</x:v>
      </x:c>
      <x:c r="K380" s="79" t="n">
        <x:f>ABS('Counter_PnL'!BO380-('Counter_PnL'!BL380+'Counter_PnL'!BN380))</x:f>
        <x:v>0</x:v>
      </x:c>
      <x:c r="L380" s="79" t="n">
        <x:f>MAX(ABS('Counter_PnL'!AW380-'Counter_PnL'!AV380/'Counter_PnL'!AK380),ABS('Counter_PnL'!BM380-'Counter_PnL'!BL380/'Counter_PnL'!AK380),ABS('Counter_PnL'!BP380-'Counter_PnL'!BO380/'Counter_PnL'!AK380))</x:f>
        <x:v>0</x:v>
      </x:c>
      <x:c r="M380" s="30" t="n">
        <x:f>IF(AND('Counter_PnL'!Q380&gt;0,'Counter_PnL'!AK380&gt;0,'Counter_PnL'!R380&lt;=0,'Counter_PnL'!T380&lt;=0,'Counter_PnL'!AT380&lt;=0,'Counter_PnL'!BE380&lt;=0,'Counter_PnL'!BJ380&lt;=0,'Counter_PnL'!BK380&lt;=0,'Counter_PnL'!BN380&lt;=0),0,1)</x:f>
        <x:v>0</x:v>
      </x:c>
    </x:row>
    <x:row r="381">
      <x:c r="A381" t="str">
        <x:f>'Counter_PnL'!D381</x:f>
        <x:v>CNCT0095</x:v>
      </x:c>
      <x:c r="B381" t="str">
        <x:f>'Counter_PnL'!C381</x:f>
        <x:v>2026 S2</x:v>
      </x:c>
      <x:c r="C381" s="30" t="n">
        <x:f>COUNTIFS('Counter_PnL'!$D$2:$D$641,A381,'Counter_PnL'!$C$2:$C$641,B381)</x:f>
        <x:v>1</x:v>
      </x:c>
      <x:c r="D381" s="79" t="n">
        <x:f>ABS('Counter_PnL'!AC381-SUM('Counter_PnL'!V381:'Counter_PnL'!AB381))</x:f>
        <x:v>0</x:v>
      </x:c>
      <x:c r="E381" s="79" t="n">
        <x:f>ABS('Counter_PnL'!AI381-SUM('Counter_PnL'!R381,'Counter_PnL'!T381,'Counter_PnL'!AC381,'Counter_PnL'!AE381,'Counter_PnL'!AG381,'Counter_PnL'!AH381))</x:f>
        <x:v>0</x:v>
      </x:c>
      <x:c r="F381" s="79" t="n">
        <x:f>ABS('Counter_PnL'!AK381-('Counter_PnL'!Q381+'Counter_PnL'!AI381))</x:f>
        <x:v>0</x:v>
      </x:c>
      <x:c r="G381" s="79" t="n">
        <x:f>ABS('Counter_PnL'!AT381-SUM('Counter_PnL'!AO381:'Counter_PnL'!AS381))</x:f>
        <x:v>0</x:v>
      </x:c>
      <x:c r="H381" s="79" t="n">
        <x:f>ABS('Counter_PnL'!AV381-('Counter_PnL'!AK381+'Counter_PnL'!AT381))</x:f>
        <x:v>0</x:v>
      </x:c>
      <x:c r="I381" s="79" t="n">
        <x:f>ABS('Counter_PnL'!BE381-SUM('Counter_PnL'!AX381:'Counter_PnL'!BB381,'Counter_PnL'!BD381))</x:f>
        <x:v>0</x:v>
      </x:c>
      <x:c r="J381" s="79" t="n">
        <x:f>ABS('Counter_PnL'!BL381-SUM('Counter_PnL'!AV381,'Counter_PnL'!BE381,'Counter_PnL'!BJ381,'Counter_PnL'!BK381))</x:f>
        <x:v>0</x:v>
      </x:c>
      <x:c r="K381" s="79" t="n">
        <x:f>ABS('Counter_PnL'!BO381-('Counter_PnL'!BL381+'Counter_PnL'!BN381))</x:f>
        <x:v>0</x:v>
      </x:c>
      <x:c r="L381" s="79" t="n">
        <x:f>MAX(ABS('Counter_PnL'!AW381-'Counter_PnL'!AV381/'Counter_PnL'!AK381),ABS('Counter_PnL'!BM381-'Counter_PnL'!BL381/'Counter_PnL'!AK381),ABS('Counter_PnL'!BP381-'Counter_PnL'!BO381/'Counter_PnL'!AK381))</x:f>
        <x:v>0</x:v>
      </x:c>
      <x:c r="M381" s="30" t="n">
        <x:f>IF(AND('Counter_PnL'!Q381&gt;0,'Counter_PnL'!AK381&gt;0,'Counter_PnL'!R381&lt;=0,'Counter_PnL'!T381&lt;=0,'Counter_PnL'!AT381&lt;=0,'Counter_PnL'!BE381&lt;=0,'Counter_PnL'!BJ381&lt;=0,'Counter_PnL'!BK381&lt;=0,'Counter_PnL'!BN381&lt;=0),0,1)</x:f>
        <x:v>0</x:v>
      </x:c>
    </x:row>
    <x:row r="382">
      <x:c r="A382" t="str">
        <x:f>'Counter_PnL'!D382</x:f>
        <x:v>CNCT0096</x:v>
      </x:c>
      <x:c r="B382" t="str">
        <x:f>'Counter_PnL'!C382</x:f>
        <x:v>2025 S1</x:v>
      </x:c>
      <x:c r="C382" s="30" t="n">
        <x:f>COUNTIFS('Counter_PnL'!$D$2:$D$641,A382,'Counter_PnL'!$C$2:$C$641,B382)</x:f>
        <x:v>1</x:v>
      </x:c>
      <x:c r="D382" s="79" t="n">
        <x:f>ABS('Counter_PnL'!AC382-SUM('Counter_PnL'!V382:'Counter_PnL'!AB382))</x:f>
        <x:v>0</x:v>
      </x:c>
      <x:c r="E382" s="79" t="n">
        <x:f>ABS('Counter_PnL'!AI382-SUM('Counter_PnL'!R382,'Counter_PnL'!T382,'Counter_PnL'!AC382,'Counter_PnL'!AE382,'Counter_PnL'!AG382,'Counter_PnL'!AH382))</x:f>
        <x:v>0</x:v>
      </x:c>
      <x:c r="F382" s="79" t="n">
        <x:f>ABS('Counter_PnL'!AK382-('Counter_PnL'!Q382+'Counter_PnL'!AI382))</x:f>
        <x:v>0</x:v>
      </x:c>
      <x:c r="G382" s="79" t="n">
        <x:f>ABS('Counter_PnL'!AT382-SUM('Counter_PnL'!AO382:'Counter_PnL'!AS382))</x:f>
        <x:v>0</x:v>
      </x:c>
      <x:c r="H382" s="79" t="n">
        <x:f>ABS('Counter_PnL'!AV382-('Counter_PnL'!AK382+'Counter_PnL'!AT382))</x:f>
        <x:v>0</x:v>
      </x:c>
      <x:c r="I382" s="79" t="n">
        <x:f>ABS('Counter_PnL'!BE382-SUM('Counter_PnL'!AX382:'Counter_PnL'!BB382,'Counter_PnL'!BD382))</x:f>
        <x:v>0</x:v>
      </x:c>
      <x:c r="J382" s="79" t="n">
        <x:f>ABS('Counter_PnL'!BL382-SUM('Counter_PnL'!AV382,'Counter_PnL'!BE382,'Counter_PnL'!BJ382,'Counter_PnL'!BK382))</x:f>
        <x:v>0</x:v>
      </x:c>
      <x:c r="K382" s="79" t="n">
        <x:f>ABS('Counter_PnL'!BO382-('Counter_PnL'!BL382+'Counter_PnL'!BN382))</x:f>
        <x:v>0</x:v>
      </x:c>
      <x:c r="L382" s="79" t="n">
        <x:f>MAX(ABS('Counter_PnL'!AW382-'Counter_PnL'!AV382/'Counter_PnL'!AK382),ABS('Counter_PnL'!BM382-'Counter_PnL'!BL382/'Counter_PnL'!AK382),ABS('Counter_PnL'!BP382-'Counter_PnL'!BO382/'Counter_PnL'!AK382))</x:f>
        <x:v>0</x:v>
      </x:c>
      <x:c r="M382" s="30" t="n">
        <x:f>IF(AND('Counter_PnL'!Q382&gt;0,'Counter_PnL'!AK382&gt;0,'Counter_PnL'!R382&lt;=0,'Counter_PnL'!T382&lt;=0,'Counter_PnL'!AT382&lt;=0,'Counter_PnL'!BE382&lt;=0,'Counter_PnL'!BJ382&lt;=0,'Counter_PnL'!BK382&lt;=0,'Counter_PnL'!BN382&lt;=0),0,1)</x:f>
        <x:v>0</x:v>
      </x:c>
    </x:row>
    <x:row r="383">
      <x:c r="A383" t="str">
        <x:f>'Counter_PnL'!D383</x:f>
        <x:v>CNCT0096</x:v>
      </x:c>
      <x:c r="B383" t="str">
        <x:f>'Counter_PnL'!C383</x:f>
        <x:v>2025 S2</x:v>
      </x:c>
      <x:c r="C383" s="30" t="n">
        <x:f>COUNTIFS('Counter_PnL'!$D$2:$D$641,A383,'Counter_PnL'!$C$2:$C$641,B383)</x:f>
        <x:v>1</x:v>
      </x:c>
      <x:c r="D383" s="79" t="n">
        <x:f>ABS('Counter_PnL'!AC383-SUM('Counter_PnL'!V383:'Counter_PnL'!AB383))</x:f>
        <x:v>0</x:v>
      </x:c>
      <x:c r="E383" s="79" t="n">
        <x:f>ABS('Counter_PnL'!AI383-SUM('Counter_PnL'!R383,'Counter_PnL'!T383,'Counter_PnL'!AC383,'Counter_PnL'!AE383,'Counter_PnL'!AG383,'Counter_PnL'!AH383))</x:f>
        <x:v>0</x:v>
      </x:c>
      <x:c r="F383" s="79" t="n">
        <x:f>ABS('Counter_PnL'!AK383-('Counter_PnL'!Q383+'Counter_PnL'!AI383))</x:f>
        <x:v>0</x:v>
      </x:c>
      <x:c r="G383" s="79" t="n">
        <x:f>ABS('Counter_PnL'!AT383-SUM('Counter_PnL'!AO383:'Counter_PnL'!AS383))</x:f>
        <x:v>0</x:v>
      </x:c>
      <x:c r="H383" s="79" t="n">
        <x:f>ABS('Counter_PnL'!AV383-('Counter_PnL'!AK383+'Counter_PnL'!AT383))</x:f>
        <x:v>0</x:v>
      </x:c>
      <x:c r="I383" s="79" t="n">
        <x:f>ABS('Counter_PnL'!BE383-SUM('Counter_PnL'!AX383:'Counter_PnL'!BB383,'Counter_PnL'!BD383))</x:f>
        <x:v>0</x:v>
      </x:c>
      <x:c r="J383" s="79" t="n">
        <x:f>ABS('Counter_PnL'!BL383-SUM('Counter_PnL'!AV383,'Counter_PnL'!BE383,'Counter_PnL'!BJ383,'Counter_PnL'!BK383))</x:f>
        <x:v>0</x:v>
      </x:c>
      <x:c r="K383" s="79" t="n">
        <x:f>ABS('Counter_PnL'!BO383-('Counter_PnL'!BL383+'Counter_PnL'!BN383))</x:f>
        <x:v>0</x:v>
      </x:c>
      <x:c r="L383" s="79" t="n">
        <x:f>MAX(ABS('Counter_PnL'!AW383-'Counter_PnL'!AV383/'Counter_PnL'!AK383),ABS('Counter_PnL'!BM383-'Counter_PnL'!BL383/'Counter_PnL'!AK383),ABS('Counter_PnL'!BP383-'Counter_PnL'!BO383/'Counter_PnL'!AK383))</x:f>
        <x:v>0</x:v>
      </x:c>
      <x:c r="M383" s="30" t="n">
        <x:f>IF(AND('Counter_PnL'!Q383&gt;0,'Counter_PnL'!AK383&gt;0,'Counter_PnL'!R383&lt;=0,'Counter_PnL'!T383&lt;=0,'Counter_PnL'!AT383&lt;=0,'Counter_PnL'!BE383&lt;=0,'Counter_PnL'!BJ383&lt;=0,'Counter_PnL'!BK383&lt;=0,'Counter_PnL'!BN383&lt;=0),0,1)</x:f>
        <x:v>0</x:v>
      </x:c>
    </x:row>
    <x:row r="384">
      <x:c r="A384" t="str">
        <x:f>'Counter_PnL'!D384</x:f>
        <x:v>CNCT0096</x:v>
      </x:c>
      <x:c r="B384" t="str">
        <x:f>'Counter_PnL'!C384</x:f>
        <x:v>2026 S1</x:v>
      </x:c>
      <x:c r="C384" s="30" t="n">
        <x:f>COUNTIFS('Counter_PnL'!$D$2:$D$641,A384,'Counter_PnL'!$C$2:$C$641,B384)</x:f>
        <x:v>1</x:v>
      </x:c>
      <x:c r="D384" s="79" t="n">
        <x:f>ABS('Counter_PnL'!AC384-SUM('Counter_PnL'!V384:'Counter_PnL'!AB384))</x:f>
        <x:v>0</x:v>
      </x:c>
      <x:c r="E384" s="79" t="n">
        <x:f>ABS('Counter_PnL'!AI384-SUM('Counter_PnL'!R384,'Counter_PnL'!T384,'Counter_PnL'!AC384,'Counter_PnL'!AE384,'Counter_PnL'!AG384,'Counter_PnL'!AH384))</x:f>
        <x:v>0</x:v>
      </x:c>
      <x:c r="F384" s="79" t="n">
        <x:f>ABS('Counter_PnL'!AK384-('Counter_PnL'!Q384+'Counter_PnL'!AI384))</x:f>
        <x:v>0</x:v>
      </x:c>
      <x:c r="G384" s="79" t="n">
        <x:f>ABS('Counter_PnL'!AT384-SUM('Counter_PnL'!AO384:'Counter_PnL'!AS384))</x:f>
        <x:v>0</x:v>
      </x:c>
      <x:c r="H384" s="79" t="n">
        <x:f>ABS('Counter_PnL'!AV384-('Counter_PnL'!AK384+'Counter_PnL'!AT384))</x:f>
        <x:v>0</x:v>
      </x:c>
      <x:c r="I384" s="79" t="n">
        <x:f>ABS('Counter_PnL'!BE384-SUM('Counter_PnL'!AX384:'Counter_PnL'!BB384,'Counter_PnL'!BD384))</x:f>
        <x:v>0</x:v>
      </x:c>
      <x:c r="J384" s="79" t="n">
        <x:f>ABS('Counter_PnL'!BL384-SUM('Counter_PnL'!AV384,'Counter_PnL'!BE384,'Counter_PnL'!BJ384,'Counter_PnL'!BK384))</x:f>
        <x:v>0</x:v>
      </x:c>
      <x:c r="K384" s="79" t="n">
        <x:f>ABS('Counter_PnL'!BO384-('Counter_PnL'!BL384+'Counter_PnL'!BN384))</x:f>
        <x:v>0</x:v>
      </x:c>
      <x:c r="L384" s="79" t="n">
        <x:f>MAX(ABS('Counter_PnL'!AW384-'Counter_PnL'!AV384/'Counter_PnL'!AK384),ABS('Counter_PnL'!BM384-'Counter_PnL'!BL384/'Counter_PnL'!AK384),ABS('Counter_PnL'!BP384-'Counter_PnL'!BO384/'Counter_PnL'!AK384))</x:f>
        <x:v>0</x:v>
      </x:c>
      <x:c r="M384" s="30" t="n">
        <x:f>IF(AND('Counter_PnL'!Q384&gt;0,'Counter_PnL'!AK384&gt;0,'Counter_PnL'!R384&lt;=0,'Counter_PnL'!T384&lt;=0,'Counter_PnL'!AT384&lt;=0,'Counter_PnL'!BE384&lt;=0,'Counter_PnL'!BJ384&lt;=0,'Counter_PnL'!BK384&lt;=0,'Counter_PnL'!BN384&lt;=0),0,1)</x:f>
        <x:v>0</x:v>
      </x:c>
    </x:row>
    <x:row r="385">
      <x:c r="A385" t="str">
        <x:f>'Counter_PnL'!D385</x:f>
        <x:v>CNCT0096</x:v>
      </x:c>
      <x:c r="B385" t="str">
        <x:f>'Counter_PnL'!C385</x:f>
        <x:v>2026 S2</x:v>
      </x:c>
      <x:c r="C385" s="30" t="n">
        <x:f>COUNTIFS('Counter_PnL'!$D$2:$D$641,A385,'Counter_PnL'!$C$2:$C$641,B385)</x:f>
        <x:v>1</x:v>
      </x:c>
      <x:c r="D385" s="79" t="n">
        <x:f>ABS('Counter_PnL'!AC385-SUM('Counter_PnL'!V385:'Counter_PnL'!AB385))</x:f>
        <x:v>0</x:v>
      </x:c>
      <x:c r="E385" s="79" t="n">
        <x:f>ABS('Counter_PnL'!AI385-SUM('Counter_PnL'!R385,'Counter_PnL'!T385,'Counter_PnL'!AC385,'Counter_PnL'!AE385,'Counter_PnL'!AG385,'Counter_PnL'!AH385))</x:f>
        <x:v>0</x:v>
      </x:c>
      <x:c r="F385" s="79" t="n">
        <x:f>ABS('Counter_PnL'!AK385-('Counter_PnL'!Q385+'Counter_PnL'!AI385))</x:f>
        <x:v>0</x:v>
      </x:c>
      <x:c r="G385" s="79" t="n">
        <x:f>ABS('Counter_PnL'!AT385-SUM('Counter_PnL'!AO385:'Counter_PnL'!AS385))</x:f>
        <x:v>0</x:v>
      </x:c>
      <x:c r="H385" s="79" t="n">
        <x:f>ABS('Counter_PnL'!AV385-('Counter_PnL'!AK385+'Counter_PnL'!AT385))</x:f>
        <x:v>0</x:v>
      </x:c>
      <x:c r="I385" s="79" t="n">
        <x:f>ABS('Counter_PnL'!BE385-SUM('Counter_PnL'!AX385:'Counter_PnL'!BB385,'Counter_PnL'!BD385))</x:f>
        <x:v>0</x:v>
      </x:c>
      <x:c r="J385" s="79" t="n">
        <x:f>ABS('Counter_PnL'!BL385-SUM('Counter_PnL'!AV385,'Counter_PnL'!BE385,'Counter_PnL'!BJ385,'Counter_PnL'!BK385))</x:f>
        <x:v>0</x:v>
      </x:c>
      <x:c r="K385" s="79" t="n">
        <x:f>ABS('Counter_PnL'!BO385-('Counter_PnL'!BL385+'Counter_PnL'!BN385))</x:f>
        <x:v>0</x:v>
      </x:c>
      <x:c r="L385" s="79" t="n">
        <x:f>MAX(ABS('Counter_PnL'!AW385-'Counter_PnL'!AV385/'Counter_PnL'!AK385),ABS('Counter_PnL'!BM385-'Counter_PnL'!BL385/'Counter_PnL'!AK385),ABS('Counter_PnL'!BP385-'Counter_PnL'!BO385/'Counter_PnL'!AK385))</x:f>
        <x:v>0</x:v>
      </x:c>
      <x:c r="M385" s="30" t="n">
        <x:f>IF(AND('Counter_PnL'!Q385&gt;0,'Counter_PnL'!AK385&gt;0,'Counter_PnL'!R385&lt;=0,'Counter_PnL'!T385&lt;=0,'Counter_PnL'!AT385&lt;=0,'Counter_PnL'!BE385&lt;=0,'Counter_PnL'!BJ385&lt;=0,'Counter_PnL'!BK385&lt;=0,'Counter_PnL'!BN385&lt;=0),0,1)</x:f>
        <x:v>0</x:v>
      </x:c>
    </x:row>
    <x:row r="386">
      <x:c r="A386" t="str">
        <x:f>'Counter_PnL'!D386</x:f>
        <x:v>CNCT0097</x:v>
      </x:c>
      <x:c r="B386" t="str">
        <x:f>'Counter_PnL'!C386</x:f>
        <x:v>2025 S1</x:v>
      </x:c>
      <x:c r="C386" s="30" t="n">
        <x:f>COUNTIFS('Counter_PnL'!$D$2:$D$641,A386,'Counter_PnL'!$C$2:$C$641,B386)</x:f>
        <x:v>1</x:v>
      </x:c>
      <x:c r="D386" s="79" t="n">
        <x:f>ABS('Counter_PnL'!AC386-SUM('Counter_PnL'!V386:'Counter_PnL'!AB386))</x:f>
        <x:v>0</x:v>
      </x:c>
      <x:c r="E386" s="79" t="n">
        <x:f>ABS('Counter_PnL'!AI386-SUM('Counter_PnL'!R386,'Counter_PnL'!T386,'Counter_PnL'!AC386,'Counter_PnL'!AE386,'Counter_PnL'!AG386,'Counter_PnL'!AH386))</x:f>
        <x:v>0</x:v>
      </x:c>
      <x:c r="F386" s="79" t="n">
        <x:f>ABS('Counter_PnL'!AK386-('Counter_PnL'!Q386+'Counter_PnL'!AI386))</x:f>
        <x:v>0</x:v>
      </x:c>
      <x:c r="G386" s="79" t="n">
        <x:f>ABS('Counter_PnL'!AT386-SUM('Counter_PnL'!AO386:'Counter_PnL'!AS386))</x:f>
        <x:v>0</x:v>
      </x:c>
      <x:c r="H386" s="79" t="n">
        <x:f>ABS('Counter_PnL'!AV386-('Counter_PnL'!AK386+'Counter_PnL'!AT386))</x:f>
        <x:v>0</x:v>
      </x:c>
      <x:c r="I386" s="79" t="n">
        <x:f>ABS('Counter_PnL'!BE386-SUM('Counter_PnL'!AX386:'Counter_PnL'!BB386,'Counter_PnL'!BD386))</x:f>
        <x:v>0</x:v>
      </x:c>
      <x:c r="J386" s="79" t="n">
        <x:f>ABS('Counter_PnL'!BL386-SUM('Counter_PnL'!AV386,'Counter_PnL'!BE386,'Counter_PnL'!BJ386,'Counter_PnL'!BK386))</x:f>
        <x:v>0</x:v>
      </x:c>
      <x:c r="K386" s="79" t="n">
        <x:f>ABS('Counter_PnL'!BO386-('Counter_PnL'!BL386+'Counter_PnL'!BN386))</x:f>
        <x:v>0</x:v>
      </x:c>
      <x:c r="L386" s="79" t="n">
        <x:f>MAX(ABS('Counter_PnL'!AW386-'Counter_PnL'!AV386/'Counter_PnL'!AK386),ABS('Counter_PnL'!BM386-'Counter_PnL'!BL386/'Counter_PnL'!AK386),ABS('Counter_PnL'!BP386-'Counter_PnL'!BO386/'Counter_PnL'!AK386))</x:f>
        <x:v>0</x:v>
      </x:c>
      <x:c r="M386" s="30" t="n">
        <x:f>IF(AND('Counter_PnL'!Q386&gt;0,'Counter_PnL'!AK386&gt;0,'Counter_PnL'!R386&lt;=0,'Counter_PnL'!T386&lt;=0,'Counter_PnL'!AT386&lt;=0,'Counter_PnL'!BE386&lt;=0,'Counter_PnL'!BJ386&lt;=0,'Counter_PnL'!BK386&lt;=0,'Counter_PnL'!BN386&lt;=0),0,1)</x:f>
        <x:v>0</x:v>
      </x:c>
    </x:row>
    <x:row r="387">
      <x:c r="A387" t="str">
        <x:f>'Counter_PnL'!D387</x:f>
        <x:v>CNCT0097</x:v>
      </x:c>
      <x:c r="B387" t="str">
        <x:f>'Counter_PnL'!C387</x:f>
        <x:v>2025 S2</x:v>
      </x:c>
      <x:c r="C387" s="30" t="n">
        <x:f>COUNTIFS('Counter_PnL'!$D$2:$D$641,A387,'Counter_PnL'!$C$2:$C$641,B387)</x:f>
        <x:v>1</x:v>
      </x:c>
      <x:c r="D387" s="79" t="n">
        <x:f>ABS('Counter_PnL'!AC387-SUM('Counter_PnL'!V387:'Counter_PnL'!AB387))</x:f>
        <x:v>0</x:v>
      </x:c>
      <x:c r="E387" s="79" t="n">
        <x:f>ABS('Counter_PnL'!AI387-SUM('Counter_PnL'!R387,'Counter_PnL'!T387,'Counter_PnL'!AC387,'Counter_PnL'!AE387,'Counter_PnL'!AG387,'Counter_PnL'!AH387))</x:f>
        <x:v>0</x:v>
      </x:c>
      <x:c r="F387" s="79" t="n">
        <x:f>ABS('Counter_PnL'!AK387-('Counter_PnL'!Q387+'Counter_PnL'!AI387))</x:f>
        <x:v>0</x:v>
      </x:c>
      <x:c r="G387" s="79" t="n">
        <x:f>ABS('Counter_PnL'!AT387-SUM('Counter_PnL'!AO387:'Counter_PnL'!AS387))</x:f>
        <x:v>0</x:v>
      </x:c>
      <x:c r="H387" s="79" t="n">
        <x:f>ABS('Counter_PnL'!AV387-('Counter_PnL'!AK387+'Counter_PnL'!AT387))</x:f>
        <x:v>0</x:v>
      </x:c>
      <x:c r="I387" s="79" t="n">
        <x:f>ABS('Counter_PnL'!BE387-SUM('Counter_PnL'!AX387:'Counter_PnL'!BB387,'Counter_PnL'!BD387))</x:f>
        <x:v>0</x:v>
      </x:c>
      <x:c r="J387" s="79" t="n">
        <x:f>ABS('Counter_PnL'!BL387-SUM('Counter_PnL'!AV387,'Counter_PnL'!BE387,'Counter_PnL'!BJ387,'Counter_PnL'!BK387))</x:f>
        <x:v>0</x:v>
      </x:c>
      <x:c r="K387" s="79" t="n">
        <x:f>ABS('Counter_PnL'!BO387-('Counter_PnL'!BL387+'Counter_PnL'!BN387))</x:f>
        <x:v>0</x:v>
      </x:c>
      <x:c r="L387" s="79" t="n">
        <x:f>MAX(ABS('Counter_PnL'!AW387-'Counter_PnL'!AV387/'Counter_PnL'!AK387),ABS('Counter_PnL'!BM387-'Counter_PnL'!BL387/'Counter_PnL'!AK387),ABS('Counter_PnL'!BP387-'Counter_PnL'!BO387/'Counter_PnL'!AK387))</x:f>
        <x:v>0</x:v>
      </x:c>
      <x:c r="M387" s="30" t="n">
        <x:f>IF(AND('Counter_PnL'!Q387&gt;0,'Counter_PnL'!AK387&gt;0,'Counter_PnL'!R387&lt;=0,'Counter_PnL'!T387&lt;=0,'Counter_PnL'!AT387&lt;=0,'Counter_PnL'!BE387&lt;=0,'Counter_PnL'!BJ387&lt;=0,'Counter_PnL'!BK387&lt;=0,'Counter_PnL'!BN387&lt;=0),0,1)</x:f>
        <x:v>0</x:v>
      </x:c>
    </x:row>
    <x:row r="388">
      <x:c r="A388" t="str">
        <x:f>'Counter_PnL'!D388</x:f>
        <x:v>CNCT0097</x:v>
      </x:c>
      <x:c r="B388" t="str">
        <x:f>'Counter_PnL'!C388</x:f>
        <x:v>2026 S1</x:v>
      </x:c>
      <x:c r="C388" s="30" t="n">
        <x:f>COUNTIFS('Counter_PnL'!$D$2:$D$641,A388,'Counter_PnL'!$C$2:$C$641,B388)</x:f>
        <x:v>1</x:v>
      </x:c>
      <x:c r="D388" s="79" t="n">
        <x:f>ABS('Counter_PnL'!AC388-SUM('Counter_PnL'!V388:'Counter_PnL'!AB388))</x:f>
        <x:v>0</x:v>
      </x:c>
      <x:c r="E388" s="79" t="n">
        <x:f>ABS('Counter_PnL'!AI388-SUM('Counter_PnL'!R388,'Counter_PnL'!T388,'Counter_PnL'!AC388,'Counter_PnL'!AE388,'Counter_PnL'!AG388,'Counter_PnL'!AH388))</x:f>
        <x:v>0</x:v>
      </x:c>
      <x:c r="F388" s="79" t="n">
        <x:f>ABS('Counter_PnL'!AK388-('Counter_PnL'!Q388+'Counter_PnL'!AI388))</x:f>
        <x:v>0</x:v>
      </x:c>
      <x:c r="G388" s="79" t="n">
        <x:f>ABS('Counter_PnL'!AT388-SUM('Counter_PnL'!AO388:'Counter_PnL'!AS388))</x:f>
        <x:v>0</x:v>
      </x:c>
      <x:c r="H388" s="79" t="n">
        <x:f>ABS('Counter_PnL'!AV388-('Counter_PnL'!AK388+'Counter_PnL'!AT388))</x:f>
        <x:v>0</x:v>
      </x:c>
      <x:c r="I388" s="79" t="n">
        <x:f>ABS('Counter_PnL'!BE388-SUM('Counter_PnL'!AX388:'Counter_PnL'!BB388,'Counter_PnL'!BD388))</x:f>
        <x:v>0</x:v>
      </x:c>
      <x:c r="J388" s="79" t="n">
        <x:f>ABS('Counter_PnL'!BL388-SUM('Counter_PnL'!AV388,'Counter_PnL'!BE388,'Counter_PnL'!BJ388,'Counter_PnL'!BK388))</x:f>
        <x:v>0</x:v>
      </x:c>
      <x:c r="K388" s="79" t="n">
        <x:f>ABS('Counter_PnL'!BO388-('Counter_PnL'!BL388+'Counter_PnL'!BN388))</x:f>
        <x:v>0</x:v>
      </x:c>
      <x:c r="L388" s="79" t="n">
        <x:f>MAX(ABS('Counter_PnL'!AW388-'Counter_PnL'!AV388/'Counter_PnL'!AK388),ABS('Counter_PnL'!BM388-'Counter_PnL'!BL388/'Counter_PnL'!AK388),ABS('Counter_PnL'!BP388-'Counter_PnL'!BO388/'Counter_PnL'!AK388))</x:f>
        <x:v>0</x:v>
      </x:c>
      <x:c r="M388" s="30" t="n">
        <x:f>IF(AND('Counter_PnL'!Q388&gt;0,'Counter_PnL'!AK388&gt;0,'Counter_PnL'!R388&lt;=0,'Counter_PnL'!T388&lt;=0,'Counter_PnL'!AT388&lt;=0,'Counter_PnL'!BE388&lt;=0,'Counter_PnL'!BJ388&lt;=0,'Counter_PnL'!BK388&lt;=0,'Counter_PnL'!BN388&lt;=0),0,1)</x:f>
        <x:v>0</x:v>
      </x:c>
    </x:row>
    <x:row r="389">
      <x:c r="A389" t="str">
        <x:f>'Counter_PnL'!D389</x:f>
        <x:v>CNCT0097</x:v>
      </x:c>
      <x:c r="B389" t="str">
        <x:f>'Counter_PnL'!C389</x:f>
        <x:v>2026 S2</x:v>
      </x:c>
      <x:c r="C389" s="30" t="n">
        <x:f>COUNTIFS('Counter_PnL'!$D$2:$D$641,A389,'Counter_PnL'!$C$2:$C$641,B389)</x:f>
        <x:v>1</x:v>
      </x:c>
      <x:c r="D389" s="79" t="n">
        <x:f>ABS('Counter_PnL'!AC389-SUM('Counter_PnL'!V389:'Counter_PnL'!AB389))</x:f>
        <x:v>0</x:v>
      </x:c>
      <x:c r="E389" s="79" t="n">
        <x:f>ABS('Counter_PnL'!AI389-SUM('Counter_PnL'!R389,'Counter_PnL'!T389,'Counter_PnL'!AC389,'Counter_PnL'!AE389,'Counter_PnL'!AG389,'Counter_PnL'!AH389))</x:f>
        <x:v>0</x:v>
      </x:c>
      <x:c r="F389" s="79" t="n">
        <x:f>ABS('Counter_PnL'!AK389-('Counter_PnL'!Q389+'Counter_PnL'!AI389))</x:f>
        <x:v>0</x:v>
      </x:c>
      <x:c r="G389" s="79" t="n">
        <x:f>ABS('Counter_PnL'!AT389-SUM('Counter_PnL'!AO389:'Counter_PnL'!AS389))</x:f>
        <x:v>0</x:v>
      </x:c>
      <x:c r="H389" s="79" t="n">
        <x:f>ABS('Counter_PnL'!AV389-('Counter_PnL'!AK389+'Counter_PnL'!AT389))</x:f>
        <x:v>0</x:v>
      </x:c>
      <x:c r="I389" s="79" t="n">
        <x:f>ABS('Counter_PnL'!BE389-SUM('Counter_PnL'!AX389:'Counter_PnL'!BB389,'Counter_PnL'!BD389))</x:f>
        <x:v>0</x:v>
      </x:c>
      <x:c r="J389" s="79" t="n">
        <x:f>ABS('Counter_PnL'!BL389-SUM('Counter_PnL'!AV389,'Counter_PnL'!BE389,'Counter_PnL'!BJ389,'Counter_PnL'!BK389))</x:f>
        <x:v>0</x:v>
      </x:c>
      <x:c r="K389" s="79" t="n">
        <x:f>ABS('Counter_PnL'!BO389-('Counter_PnL'!BL389+'Counter_PnL'!BN389))</x:f>
        <x:v>0</x:v>
      </x:c>
      <x:c r="L389" s="79" t="n">
        <x:f>MAX(ABS('Counter_PnL'!AW389-'Counter_PnL'!AV389/'Counter_PnL'!AK389),ABS('Counter_PnL'!BM389-'Counter_PnL'!BL389/'Counter_PnL'!AK389),ABS('Counter_PnL'!BP389-'Counter_PnL'!BO389/'Counter_PnL'!AK389))</x:f>
        <x:v>0</x:v>
      </x:c>
      <x:c r="M389" s="30" t="n">
        <x:f>IF(AND('Counter_PnL'!Q389&gt;0,'Counter_PnL'!AK389&gt;0,'Counter_PnL'!R389&lt;=0,'Counter_PnL'!T389&lt;=0,'Counter_PnL'!AT389&lt;=0,'Counter_PnL'!BE389&lt;=0,'Counter_PnL'!BJ389&lt;=0,'Counter_PnL'!BK389&lt;=0,'Counter_PnL'!BN389&lt;=0),0,1)</x:f>
        <x:v>0</x:v>
      </x:c>
    </x:row>
    <x:row r="390">
      <x:c r="A390" t="str">
        <x:f>'Counter_PnL'!D390</x:f>
        <x:v>CNCT0098</x:v>
      </x:c>
      <x:c r="B390" t="str">
        <x:f>'Counter_PnL'!C390</x:f>
        <x:v>2025 S1</x:v>
      </x:c>
      <x:c r="C390" s="30" t="n">
        <x:f>COUNTIFS('Counter_PnL'!$D$2:$D$641,A390,'Counter_PnL'!$C$2:$C$641,B390)</x:f>
        <x:v>1</x:v>
      </x:c>
      <x:c r="D390" s="79" t="n">
        <x:f>ABS('Counter_PnL'!AC390-SUM('Counter_PnL'!V390:'Counter_PnL'!AB390))</x:f>
        <x:v>0</x:v>
      </x:c>
      <x:c r="E390" s="79" t="n">
        <x:f>ABS('Counter_PnL'!AI390-SUM('Counter_PnL'!R390,'Counter_PnL'!T390,'Counter_PnL'!AC390,'Counter_PnL'!AE390,'Counter_PnL'!AG390,'Counter_PnL'!AH390))</x:f>
        <x:v>0</x:v>
      </x:c>
      <x:c r="F390" s="79" t="n">
        <x:f>ABS('Counter_PnL'!AK390-('Counter_PnL'!Q390+'Counter_PnL'!AI390))</x:f>
        <x:v>0</x:v>
      </x:c>
      <x:c r="G390" s="79" t="n">
        <x:f>ABS('Counter_PnL'!AT390-SUM('Counter_PnL'!AO390:'Counter_PnL'!AS390))</x:f>
        <x:v>0</x:v>
      </x:c>
      <x:c r="H390" s="79" t="n">
        <x:f>ABS('Counter_PnL'!AV390-('Counter_PnL'!AK390+'Counter_PnL'!AT390))</x:f>
        <x:v>0</x:v>
      </x:c>
      <x:c r="I390" s="79" t="n">
        <x:f>ABS('Counter_PnL'!BE390-SUM('Counter_PnL'!AX390:'Counter_PnL'!BB390,'Counter_PnL'!BD390))</x:f>
        <x:v>0</x:v>
      </x:c>
      <x:c r="J390" s="79" t="n">
        <x:f>ABS('Counter_PnL'!BL390-SUM('Counter_PnL'!AV390,'Counter_PnL'!BE390,'Counter_PnL'!BJ390,'Counter_PnL'!BK390))</x:f>
        <x:v>0</x:v>
      </x:c>
      <x:c r="K390" s="79" t="n">
        <x:f>ABS('Counter_PnL'!BO390-('Counter_PnL'!BL390+'Counter_PnL'!BN390))</x:f>
        <x:v>0</x:v>
      </x:c>
      <x:c r="L390" s="79" t="n">
        <x:f>MAX(ABS('Counter_PnL'!AW390-'Counter_PnL'!AV390/'Counter_PnL'!AK390),ABS('Counter_PnL'!BM390-'Counter_PnL'!BL390/'Counter_PnL'!AK390),ABS('Counter_PnL'!BP390-'Counter_PnL'!BO390/'Counter_PnL'!AK390))</x:f>
        <x:v>0</x:v>
      </x:c>
      <x:c r="M390" s="30" t="n">
        <x:f>IF(AND('Counter_PnL'!Q390&gt;0,'Counter_PnL'!AK390&gt;0,'Counter_PnL'!R390&lt;=0,'Counter_PnL'!T390&lt;=0,'Counter_PnL'!AT390&lt;=0,'Counter_PnL'!BE390&lt;=0,'Counter_PnL'!BJ390&lt;=0,'Counter_PnL'!BK390&lt;=0,'Counter_PnL'!BN390&lt;=0),0,1)</x:f>
        <x:v>0</x:v>
      </x:c>
    </x:row>
    <x:row r="391">
      <x:c r="A391" t="str">
        <x:f>'Counter_PnL'!D391</x:f>
        <x:v>CNCT0098</x:v>
      </x:c>
      <x:c r="B391" t="str">
        <x:f>'Counter_PnL'!C391</x:f>
        <x:v>2025 S2</x:v>
      </x:c>
      <x:c r="C391" s="30" t="n">
        <x:f>COUNTIFS('Counter_PnL'!$D$2:$D$641,A391,'Counter_PnL'!$C$2:$C$641,B391)</x:f>
        <x:v>1</x:v>
      </x:c>
      <x:c r="D391" s="79" t="n">
        <x:f>ABS('Counter_PnL'!AC391-SUM('Counter_PnL'!V391:'Counter_PnL'!AB391))</x:f>
        <x:v>0</x:v>
      </x:c>
      <x:c r="E391" s="79" t="n">
        <x:f>ABS('Counter_PnL'!AI391-SUM('Counter_PnL'!R391,'Counter_PnL'!T391,'Counter_PnL'!AC391,'Counter_PnL'!AE391,'Counter_PnL'!AG391,'Counter_PnL'!AH391))</x:f>
        <x:v>0</x:v>
      </x:c>
      <x:c r="F391" s="79" t="n">
        <x:f>ABS('Counter_PnL'!AK391-('Counter_PnL'!Q391+'Counter_PnL'!AI391))</x:f>
        <x:v>0</x:v>
      </x:c>
      <x:c r="G391" s="79" t="n">
        <x:f>ABS('Counter_PnL'!AT391-SUM('Counter_PnL'!AO391:'Counter_PnL'!AS391))</x:f>
        <x:v>0</x:v>
      </x:c>
      <x:c r="H391" s="79" t="n">
        <x:f>ABS('Counter_PnL'!AV391-('Counter_PnL'!AK391+'Counter_PnL'!AT391))</x:f>
        <x:v>0</x:v>
      </x:c>
      <x:c r="I391" s="79" t="n">
        <x:f>ABS('Counter_PnL'!BE391-SUM('Counter_PnL'!AX391:'Counter_PnL'!BB391,'Counter_PnL'!BD391))</x:f>
        <x:v>0</x:v>
      </x:c>
      <x:c r="J391" s="79" t="n">
        <x:f>ABS('Counter_PnL'!BL391-SUM('Counter_PnL'!AV391,'Counter_PnL'!BE391,'Counter_PnL'!BJ391,'Counter_PnL'!BK391))</x:f>
        <x:v>0</x:v>
      </x:c>
      <x:c r="K391" s="79" t="n">
        <x:f>ABS('Counter_PnL'!BO391-('Counter_PnL'!BL391+'Counter_PnL'!BN391))</x:f>
        <x:v>0</x:v>
      </x:c>
      <x:c r="L391" s="79" t="n">
        <x:f>MAX(ABS('Counter_PnL'!AW391-'Counter_PnL'!AV391/'Counter_PnL'!AK391),ABS('Counter_PnL'!BM391-'Counter_PnL'!BL391/'Counter_PnL'!AK391),ABS('Counter_PnL'!BP391-'Counter_PnL'!BO391/'Counter_PnL'!AK391))</x:f>
        <x:v>0</x:v>
      </x:c>
      <x:c r="M391" s="30" t="n">
        <x:f>IF(AND('Counter_PnL'!Q391&gt;0,'Counter_PnL'!AK391&gt;0,'Counter_PnL'!R391&lt;=0,'Counter_PnL'!T391&lt;=0,'Counter_PnL'!AT391&lt;=0,'Counter_PnL'!BE391&lt;=0,'Counter_PnL'!BJ391&lt;=0,'Counter_PnL'!BK391&lt;=0,'Counter_PnL'!BN391&lt;=0),0,1)</x:f>
        <x:v>0</x:v>
      </x:c>
    </x:row>
    <x:row r="392">
      <x:c r="A392" t="str">
        <x:f>'Counter_PnL'!D392</x:f>
        <x:v>CNCT0098</x:v>
      </x:c>
      <x:c r="B392" t="str">
        <x:f>'Counter_PnL'!C392</x:f>
        <x:v>2026 S1</x:v>
      </x:c>
      <x:c r="C392" s="30" t="n">
        <x:f>COUNTIFS('Counter_PnL'!$D$2:$D$641,A392,'Counter_PnL'!$C$2:$C$641,B392)</x:f>
        <x:v>1</x:v>
      </x:c>
      <x:c r="D392" s="79" t="n">
        <x:f>ABS('Counter_PnL'!AC392-SUM('Counter_PnL'!V392:'Counter_PnL'!AB392))</x:f>
        <x:v>0</x:v>
      </x:c>
      <x:c r="E392" s="79" t="n">
        <x:f>ABS('Counter_PnL'!AI392-SUM('Counter_PnL'!R392,'Counter_PnL'!T392,'Counter_PnL'!AC392,'Counter_PnL'!AE392,'Counter_PnL'!AG392,'Counter_PnL'!AH392))</x:f>
        <x:v>0</x:v>
      </x:c>
      <x:c r="F392" s="79" t="n">
        <x:f>ABS('Counter_PnL'!AK392-('Counter_PnL'!Q392+'Counter_PnL'!AI392))</x:f>
        <x:v>0</x:v>
      </x:c>
      <x:c r="G392" s="79" t="n">
        <x:f>ABS('Counter_PnL'!AT392-SUM('Counter_PnL'!AO392:'Counter_PnL'!AS392))</x:f>
        <x:v>0</x:v>
      </x:c>
      <x:c r="H392" s="79" t="n">
        <x:f>ABS('Counter_PnL'!AV392-('Counter_PnL'!AK392+'Counter_PnL'!AT392))</x:f>
        <x:v>0</x:v>
      </x:c>
      <x:c r="I392" s="79" t="n">
        <x:f>ABS('Counter_PnL'!BE392-SUM('Counter_PnL'!AX392:'Counter_PnL'!BB392,'Counter_PnL'!BD392))</x:f>
        <x:v>0</x:v>
      </x:c>
      <x:c r="J392" s="79" t="n">
        <x:f>ABS('Counter_PnL'!BL392-SUM('Counter_PnL'!AV392,'Counter_PnL'!BE392,'Counter_PnL'!BJ392,'Counter_PnL'!BK392))</x:f>
        <x:v>0</x:v>
      </x:c>
      <x:c r="K392" s="79" t="n">
        <x:f>ABS('Counter_PnL'!BO392-('Counter_PnL'!BL392+'Counter_PnL'!BN392))</x:f>
        <x:v>0</x:v>
      </x:c>
      <x:c r="L392" s="79" t="n">
        <x:f>MAX(ABS('Counter_PnL'!AW392-'Counter_PnL'!AV392/'Counter_PnL'!AK392),ABS('Counter_PnL'!BM392-'Counter_PnL'!BL392/'Counter_PnL'!AK392),ABS('Counter_PnL'!BP392-'Counter_PnL'!BO392/'Counter_PnL'!AK392))</x:f>
        <x:v>0</x:v>
      </x:c>
      <x:c r="M392" s="30" t="n">
        <x:f>IF(AND('Counter_PnL'!Q392&gt;0,'Counter_PnL'!AK392&gt;0,'Counter_PnL'!R392&lt;=0,'Counter_PnL'!T392&lt;=0,'Counter_PnL'!AT392&lt;=0,'Counter_PnL'!BE392&lt;=0,'Counter_PnL'!BJ392&lt;=0,'Counter_PnL'!BK392&lt;=0,'Counter_PnL'!BN392&lt;=0),0,1)</x:f>
        <x:v>0</x:v>
      </x:c>
    </x:row>
    <x:row r="393">
      <x:c r="A393" t="str">
        <x:f>'Counter_PnL'!D393</x:f>
        <x:v>CNCT0098</x:v>
      </x:c>
      <x:c r="B393" t="str">
        <x:f>'Counter_PnL'!C393</x:f>
        <x:v>2026 S2</x:v>
      </x:c>
      <x:c r="C393" s="30" t="n">
        <x:f>COUNTIFS('Counter_PnL'!$D$2:$D$641,A393,'Counter_PnL'!$C$2:$C$641,B393)</x:f>
        <x:v>1</x:v>
      </x:c>
      <x:c r="D393" s="79" t="n">
        <x:f>ABS('Counter_PnL'!AC393-SUM('Counter_PnL'!V393:'Counter_PnL'!AB393))</x:f>
        <x:v>0</x:v>
      </x:c>
      <x:c r="E393" s="79" t="n">
        <x:f>ABS('Counter_PnL'!AI393-SUM('Counter_PnL'!R393,'Counter_PnL'!T393,'Counter_PnL'!AC393,'Counter_PnL'!AE393,'Counter_PnL'!AG393,'Counter_PnL'!AH393))</x:f>
        <x:v>0</x:v>
      </x:c>
      <x:c r="F393" s="79" t="n">
        <x:f>ABS('Counter_PnL'!AK393-('Counter_PnL'!Q393+'Counter_PnL'!AI393))</x:f>
        <x:v>0</x:v>
      </x:c>
      <x:c r="G393" s="79" t="n">
        <x:f>ABS('Counter_PnL'!AT393-SUM('Counter_PnL'!AO393:'Counter_PnL'!AS393))</x:f>
        <x:v>0</x:v>
      </x:c>
      <x:c r="H393" s="79" t="n">
        <x:f>ABS('Counter_PnL'!AV393-('Counter_PnL'!AK393+'Counter_PnL'!AT393))</x:f>
        <x:v>0</x:v>
      </x:c>
      <x:c r="I393" s="79" t="n">
        <x:f>ABS('Counter_PnL'!BE393-SUM('Counter_PnL'!AX393:'Counter_PnL'!BB393,'Counter_PnL'!BD393))</x:f>
        <x:v>0</x:v>
      </x:c>
      <x:c r="J393" s="79" t="n">
        <x:f>ABS('Counter_PnL'!BL393-SUM('Counter_PnL'!AV393,'Counter_PnL'!BE393,'Counter_PnL'!BJ393,'Counter_PnL'!BK393))</x:f>
        <x:v>0</x:v>
      </x:c>
      <x:c r="K393" s="79" t="n">
        <x:f>ABS('Counter_PnL'!BO393-('Counter_PnL'!BL393+'Counter_PnL'!BN393))</x:f>
        <x:v>0</x:v>
      </x:c>
      <x:c r="L393" s="79" t="n">
        <x:f>MAX(ABS('Counter_PnL'!AW393-'Counter_PnL'!AV393/'Counter_PnL'!AK393),ABS('Counter_PnL'!BM393-'Counter_PnL'!BL393/'Counter_PnL'!AK393),ABS('Counter_PnL'!BP393-'Counter_PnL'!BO393/'Counter_PnL'!AK393))</x:f>
        <x:v>0</x:v>
      </x:c>
      <x:c r="M393" s="30" t="n">
        <x:f>IF(AND('Counter_PnL'!Q393&gt;0,'Counter_PnL'!AK393&gt;0,'Counter_PnL'!R393&lt;=0,'Counter_PnL'!T393&lt;=0,'Counter_PnL'!AT393&lt;=0,'Counter_PnL'!BE393&lt;=0,'Counter_PnL'!BJ393&lt;=0,'Counter_PnL'!BK393&lt;=0,'Counter_PnL'!BN393&lt;=0),0,1)</x:f>
        <x:v>0</x:v>
      </x:c>
    </x:row>
    <x:row r="394">
      <x:c r="A394" t="str">
        <x:f>'Counter_PnL'!D394</x:f>
        <x:v>CNCT0099</x:v>
      </x:c>
      <x:c r="B394" t="str">
        <x:f>'Counter_PnL'!C394</x:f>
        <x:v>2025 S1</x:v>
      </x:c>
      <x:c r="C394" s="30" t="n">
        <x:f>COUNTIFS('Counter_PnL'!$D$2:$D$641,A394,'Counter_PnL'!$C$2:$C$641,B394)</x:f>
        <x:v>1</x:v>
      </x:c>
      <x:c r="D394" s="79" t="n">
        <x:f>ABS('Counter_PnL'!AC394-SUM('Counter_PnL'!V394:'Counter_PnL'!AB394))</x:f>
        <x:v>0</x:v>
      </x:c>
      <x:c r="E394" s="79" t="n">
        <x:f>ABS('Counter_PnL'!AI394-SUM('Counter_PnL'!R394,'Counter_PnL'!T394,'Counter_PnL'!AC394,'Counter_PnL'!AE394,'Counter_PnL'!AG394,'Counter_PnL'!AH394))</x:f>
        <x:v>0</x:v>
      </x:c>
      <x:c r="F394" s="79" t="n">
        <x:f>ABS('Counter_PnL'!AK394-('Counter_PnL'!Q394+'Counter_PnL'!AI394))</x:f>
        <x:v>0</x:v>
      </x:c>
      <x:c r="G394" s="79" t="n">
        <x:f>ABS('Counter_PnL'!AT394-SUM('Counter_PnL'!AO394:'Counter_PnL'!AS394))</x:f>
        <x:v>0</x:v>
      </x:c>
      <x:c r="H394" s="79" t="n">
        <x:f>ABS('Counter_PnL'!AV394-('Counter_PnL'!AK394+'Counter_PnL'!AT394))</x:f>
        <x:v>0</x:v>
      </x:c>
      <x:c r="I394" s="79" t="n">
        <x:f>ABS('Counter_PnL'!BE394-SUM('Counter_PnL'!AX394:'Counter_PnL'!BB394,'Counter_PnL'!BD394))</x:f>
        <x:v>0</x:v>
      </x:c>
      <x:c r="J394" s="79" t="n">
        <x:f>ABS('Counter_PnL'!BL394-SUM('Counter_PnL'!AV394,'Counter_PnL'!BE394,'Counter_PnL'!BJ394,'Counter_PnL'!BK394))</x:f>
        <x:v>0</x:v>
      </x:c>
      <x:c r="K394" s="79" t="n">
        <x:f>ABS('Counter_PnL'!BO394-('Counter_PnL'!BL394+'Counter_PnL'!BN394))</x:f>
        <x:v>0</x:v>
      </x:c>
      <x:c r="L394" s="79" t="n">
        <x:f>MAX(ABS('Counter_PnL'!AW394-'Counter_PnL'!AV394/'Counter_PnL'!AK394),ABS('Counter_PnL'!BM394-'Counter_PnL'!BL394/'Counter_PnL'!AK394),ABS('Counter_PnL'!BP394-'Counter_PnL'!BO394/'Counter_PnL'!AK394))</x:f>
        <x:v>0</x:v>
      </x:c>
      <x:c r="M394" s="30" t="n">
        <x:f>IF(AND('Counter_PnL'!Q394&gt;0,'Counter_PnL'!AK394&gt;0,'Counter_PnL'!R394&lt;=0,'Counter_PnL'!T394&lt;=0,'Counter_PnL'!AT394&lt;=0,'Counter_PnL'!BE394&lt;=0,'Counter_PnL'!BJ394&lt;=0,'Counter_PnL'!BK394&lt;=0,'Counter_PnL'!BN394&lt;=0),0,1)</x:f>
        <x:v>0</x:v>
      </x:c>
    </x:row>
    <x:row r="395">
      <x:c r="A395" t="str">
        <x:f>'Counter_PnL'!D395</x:f>
        <x:v>CNCT0099</x:v>
      </x:c>
      <x:c r="B395" t="str">
        <x:f>'Counter_PnL'!C395</x:f>
        <x:v>2025 S2</x:v>
      </x:c>
      <x:c r="C395" s="30" t="n">
        <x:f>COUNTIFS('Counter_PnL'!$D$2:$D$641,A395,'Counter_PnL'!$C$2:$C$641,B395)</x:f>
        <x:v>1</x:v>
      </x:c>
      <x:c r="D395" s="79" t="n">
        <x:f>ABS('Counter_PnL'!AC395-SUM('Counter_PnL'!V395:'Counter_PnL'!AB395))</x:f>
        <x:v>0</x:v>
      </x:c>
      <x:c r="E395" s="79" t="n">
        <x:f>ABS('Counter_PnL'!AI395-SUM('Counter_PnL'!R395,'Counter_PnL'!T395,'Counter_PnL'!AC395,'Counter_PnL'!AE395,'Counter_PnL'!AG395,'Counter_PnL'!AH395))</x:f>
        <x:v>0</x:v>
      </x:c>
      <x:c r="F395" s="79" t="n">
        <x:f>ABS('Counter_PnL'!AK395-('Counter_PnL'!Q395+'Counter_PnL'!AI395))</x:f>
        <x:v>0</x:v>
      </x:c>
      <x:c r="G395" s="79" t="n">
        <x:f>ABS('Counter_PnL'!AT395-SUM('Counter_PnL'!AO395:'Counter_PnL'!AS395))</x:f>
        <x:v>0</x:v>
      </x:c>
      <x:c r="H395" s="79" t="n">
        <x:f>ABS('Counter_PnL'!AV395-('Counter_PnL'!AK395+'Counter_PnL'!AT395))</x:f>
        <x:v>0</x:v>
      </x:c>
      <x:c r="I395" s="79" t="n">
        <x:f>ABS('Counter_PnL'!BE395-SUM('Counter_PnL'!AX395:'Counter_PnL'!BB395,'Counter_PnL'!BD395))</x:f>
        <x:v>0</x:v>
      </x:c>
      <x:c r="J395" s="79" t="n">
        <x:f>ABS('Counter_PnL'!BL395-SUM('Counter_PnL'!AV395,'Counter_PnL'!BE395,'Counter_PnL'!BJ395,'Counter_PnL'!BK395))</x:f>
        <x:v>0</x:v>
      </x:c>
      <x:c r="K395" s="79" t="n">
        <x:f>ABS('Counter_PnL'!BO395-('Counter_PnL'!BL395+'Counter_PnL'!BN395))</x:f>
        <x:v>0</x:v>
      </x:c>
      <x:c r="L395" s="79" t="n">
        <x:f>MAX(ABS('Counter_PnL'!AW395-'Counter_PnL'!AV395/'Counter_PnL'!AK395),ABS('Counter_PnL'!BM395-'Counter_PnL'!BL395/'Counter_PnL'!AK395),ABS('Counter_PnL'!BP395-'Counter_PnL'!BO395/'Counter_PnL'!AK395))</x:f>
        <x:v>0</x:v>
      </x:c>
      <x:c r="M395" s="30" t="n">
        <x:f>IF(AND('Counter_PnL'!Q395&gt;0,'Counter_PnL'!AK395&gt;0,'Counter_PnL'!R395&lt;=0,'Counter_PnL'!T395&lt;=0,'Counter_PnL'!AT395&lt;=0,'Counter_PnL'!BE395&lt;=0,'Counter_PnL'!BJ395&lt;=0,'Counter_PnL'!BK395&lt;=0,'Counter_PnL'!BN395&lt;=0),0,1)</x:f>
        <x:v>0</x:v>
      </x:c>
    </x:row>
    <x:row r="396">
      <x:c r="A396" t="str">
        <x:f>'Counter_PnL'!D396</x:f>
        <x:v>CNCT0099</x:v>
      </x:c>
      <x:c r="B396" t="str">
        <x:f>'Counter_PnL'!C396</x:f>
        <x:v>2026 S1</x:v>
      </x:c>
      <x:c r="C396" s="30" t="n">
        <x:f>COUNTIFS('Counter_PnL'!$D$2:$D$641,A396,'Counter_PnL'!$C$2:$C$641,B396)</x:f>
        <x:v>1</x:v>
      </x:c>
      <x:c r="D396" s="79" t="n">
        <x:f>ABS('Counter_PnL'!AC396-SUM('Counter_PnL'!V396:'Counter_PnL'!AB396))</x:f>
        <x:v>0</x:v>
      </x:c>
      <x:c r="E396" s="79" t="n">
        <x:f>ABS('Counter_PnL'!AI396-SUM('Counter_PnL'!R396,'Counter_PnL'!T396,'Counter_PnL'!AC396,'Counter_PnL'!AE396,'Counter_PnL'!AG396,'Counter_PnL'!AH396))</x:f>
        <x:v>0</x:v>
      </x:c>
      <x:c r="F396" s="79" t="n">
        <x:f>ABS('Counter_PnL'!AK396-('Counter_PnL'!Q396+'Counter_PnL'!AI396))</x:f>
        <x:v>0</x:v>
      </x:c>
      <x:c r="G396" s="79" t="n">
        <x:f>ABS('Counter_PnL'!AT396-SUM('Counter_PnL'!AO396:'Counter_PnL'!AS396))</x:f>
        <x:v>0</x:v>
      </x:c>
      <x:c r="H396" s="79" t="n">
        <x:f>ABS('Counter_PnL'!AV396-('Counter_PnL'!AK396+'Counter_PnL'!AT396))</x:f>
        <x:v>0</x:v>
      </x:c>
      <x:c r="I396" s="79" t="n">
        <x:f>ABS('Counter_PnL'!BE396-SUM('Counter_PnL'!AX396:'Counter_PnL'!BB396,'Counter_PnL'!BD396))</x:f>
        <x:v>0</x:v>
      </x:c>
      <x:c r="J396" s="79" t="n">
        <x:f>ABS('Counter_PnL'!BL396-SUM('Counter_PnL'!AV396,'Counter_PnL'!BE396,'Counter_PnL'!BJ396,'Counter_PnL'!BK396))</x:f>
        <x:v>0</x:v>
      </x:c>
      <x:c r="K396" s="79" t="n">
        <x:f>ABS('Counter_PnL'!BO396-('Counter_PnL'!BL396+'Counter_PnL'!BN396))</x:f>
        <x:v>0</x:v>
      </x:c>
      <x:c r="L396" s="79" t="n">
        <x:f>MAX(ABS('Counter_PnL'!AW396-'Counter_PnL'!AV396/'Counter_PnL'!AK396),ABS('Counter_PnL'!BM396-'Counter_PnL'!BL396/'Counter_PnL'!AK396),ABS('Counter_PnL'!BP396-'Counter_PnL'!BO396/'Counter_PnL'!AK396))</x:f>
        <x:v>0</x:v>
      </x:c>
      <x:c r="M396" s="30" t="n">
        <x:f>IF(AND('Counter_PnL'!Q396&gt;0,'Counter_PnL'!AK396&gt;0,'Counter_PnL'!R396&lt;=0,'Counter_PnL'!T396&lt;=0,'Counter_PnL'!AT396&lt;=0,'Counter_PnL'!BE396&lt;=0,'Counter_PnL'!BJ396&lt;=0,'Counter_PnL'!BK396&lt;=0,'Counter_PnL'!BN396&lt;=0),0,1)</x:f>
        <x:v>0</x:v>
      </x:c>
    </x:row>
    <x:row r="397">
      <x:c r="A397" t="str">
        <x:f>'Counter_PnL'!D397</x:f>
        <x:v>CNCT0099</x:v>
      </x:c>
      <x:c r="B397" t="str">
        <x:f>'Counter_PnL'!C397</x:f>
        <x:v>2026 S2</x:v>
      </x:c>
      <x:c r="C397" s="30" t="n">
        <x:f>COUNTIFS('Counter_PnL'!$D$2:$D$641,A397,'Counter_PnL'!$C$2:$C$641,B397)</x:f>
        <x:v>1</x:v>
      </x:c>
      <x:c r="D397" s="79" t="n">
        <x:f>ABS('Counter_PnL'!AC397-SUM('Counter_PnL'!V397:'Counter_PnL'!AB397))</x:f>
        <x:v>0</x:v>
      </x:c>
      <x:c r="E397" s="79" t="n">
        <x:f>ABS('Counter_PnL'!AI397-SUM('Counter_PnL'!R397,'Counter_PnL'!T397,'Counter_PnL'!AC397,'Counter_PnL'!AE397,'Counter_PnL'!AG397,'Counter_PnL'!AH397))</x:f>
        <x:v>0</x:v>
      </x:c>
      <x:c r="F397" s="79" t="n">
        <x:f>ABS('Counter_PnL'!AK397-('Counter_PnL'!Q397+'Counter_PnL'!AI397))</x:f>
        <x:v>0</x:v>
      </x:c>
      <x:c r="G397" s="79" t="n">
        <x:f>ABS('Counter_PnL'!AT397-SUM('Counter_PnL'!AO397:'Counter_PnL'!AS397))</x:f>
        <x:v>0</x:v>
      </x:c>
      <x:c r="H397" s="79" t="n">
        <x:f>ABS('Counter_PnL'!AV397-('Counter_PnL'!AK397+'Counter_PnL'!AT397))</x:f>
        <x:v>0</x:v>
      </x:c>
      <x:c r="I397" s="79" t="n">
        <x:f>ABS('Counter_PnL'!BE397-SUM('Counter_PnL'!AX397:'Counter_PnL'!BB397,'Counter_PnL'!BD397))</x:f>
        <x:v>0</x:v>
      </x:c>
      <x:c r="J397" s="79" t="n">
        <x:f>ABS('Counter_PnL'!BL397-SUM('Counter_PnL'!AV397,'Counter_PnL'!BE397,'Counter_PnL'!BJ397,'Counter_PnL'!BK397))</x:f>
        <x:v>0</x:v>
      </x:c>
      <x:c r="K397" s="79" t="n">
        <x:f>ABS('Counter_PnL'!BO397-('Counter_PnL'!BL397+'Counter_PnL'!BN397))</x:f>
        <x:v>0</x:v>
      </x:c>
      <x:c r="L397" s="79" t="n">
        <x:f>MAX(ABS('Counter_PnL'!AW397-'Counter_PnL'!AV397/'Counter_PnL'!AK397),ABS('Counter_PnL'!BM397-'Counter_PnL'!BL397/'Counter_PnL'!AK397),ABS('Counter_PnL'!BP397-'Counter_PnL'!BO397/'Counter_PnL'!AK397))</x:f>
        <x:v>0</x:v>
      </x:c>
      <x:c r="M397" s="30" t="n">
        <x:f>IF(AND('Counter_PnL'!Q397&gt;0,'Counter_PnL'!AK397&gt;0,'Counter_PnL'!R397&lt;=0,'Counter_PnL'!T397&lt;=0,'Counter_PnL'!AT397&lt;=0,'Counter_PnL'!BE397&lt;=0,'Counter_PnL'!BJ397&lt;=0,'Counter_PnL'!BK397&lt;=0,'Counter_PnL'!BN397&lt;=0),0,1)</x:f>
        <x:v>0</x:v>
      </x:c>
    </x:row>
    <x:row r="398">
      <x:c r="A398" t="str">
        <x:f>'Counter_PnL'!D398</x:f>
        <x:v>CNCT0100</x:v>
      </x:c>
      <x:c r="B398" t="str">
        <x:f>'Counter_PnL'!C398</x:f>
        <x:v>2025 S1</x:v>
      </x:c>
      <x:c r="C398" s="30" t="n">
        <x:f>COUNTIFS('Counter_PnL'!$D$2:$D$641,A398,'Counter_PnL'!$C$2:$C$641,B398)</x:f>
        <x:v>1</x:v>
      </x:c>
      <x:c r="D398" s="79" t="n">
        <x:f>ABS('Counter_PnL'!AC398-SUM('Counter_PnL'!V398:'Counter_PnL'!AB398))</x:f>
        <x:v>0</x:v>
      </x:c>
      <x:c r="E398" s="79" t="n">
        <x:f>ABS('Counter_PnL'!AI398-SUM('Counter_PnL'!R398,'Counter_PnL'!T398,'Counter_PnL'!AC398,'Counter_PnL'!AE398,'Counter_PnL'!AG398,'Counter_PnL'!AH398))</x:f>
        <x:v>0</x:v>
      </x:c>
      <x:c r="F398" s="79" t="n">
        <x:f>ABS('Counter_PnL'!AK398-('Counter_PnL'!Q398+'Counter_PnL'!AI398))</x:f>
        <x:v>0</x:v>
      </x:c>
      <x:c r="G398" s="79" t="n">
        <x:f>ABS('Counter_PnL'!AT398-SUM('Counter_PnL'!AO398:'Counter_PnL'!AS398))</x:f>
        <x:v>0</x:v>
      </x:c>
      <x:c r="H398" s="79" t="n">
        <x:f>ABS('Counter_PnL'!AV398-('Counter_PnL'!AK398+'Counter_PnL'!AT398))</x:f>
        <x:v>0</x:v>
      </x:c>
      <x:c r="I398" s="79" t="n">
        <x:f>ABS('Counter_PnL'!BE398-SUM('Counter_PnL'!AX398:'Counter_PnL'!BB398,'Counter_PnL'!BD398))</x:f>
        <x:v>0</x:v>
      </x:c>
      <x:c r="J398" s="79" t="n">
        <x:f>ABS('Counter_PnL'!BL398-SUM('Counter_PnL'!AV398,'Counter_PnL'!BE398,'Counter_PnL'!BJ398,'Counter_PnL'!BK398))</x:f>
        <x:v>0</x:v>
      </x:c>
      <x:c r="K398" s="79" t="n">
        <x:f>ABS('Counter_PnL'!BO398-('Counter_PnL'!BL398+'Counter_PnL'!BN398))</x:f>
        <x:v>0</x:v>
      </x:c>
      <x:c r="L398" s="79" t="n">
        <x:f>MAX(ABS('Counter_PnL'!AW398-'Counter_PnL'!AV398/'Counter_PnL'!AK398),ABS('Counter_PnL'!BM398-'Counter_PnL'!BL398/'Counter_PnL'!AK398),ABS('Counter_PnL'!BP398-'Counter_PnL'!BO398/'Counter_PnL'!AK398))</x:f>
        <x:v>0</x:v>
      </x:c>
      <x:c r="M398" s="30" t="n">
        <x:f>IF(AND('Counter_PnL'!Q398&gt;0,'Counter_PnL'!AK398&gt;0,'Counter_PnL'!R398&lt;=0,'Counter_PnL'!T398&lt;=0,'Counter_PnL'!AT398&lt;=0,'Counter_PnL'!BE398&lt;=0,'Counter_PnL'!BJ398&lt;=0,'Counter_PnL'!BK398&lt;=0,'Counter_PnL'!BN398&lt;=0),0,1)</x:f>
        <x:v>0</x:v>
      </x:c>
    </x:row>
    <x:row r="399">
      <x:c r="A399" t="str">
        <x:f>'Counter_PnL'!D399</x:f>
        <x:v>CNCT0100</x:v>
      </x:c>
      <x:c r="B399" t="str">
        <x:f>'Counter_PnL'!C399</x:f>
        <x:v>2025 S2</x:v>
      </x:c>
      <x:c r="C399" s="30" t="n">
        <x:f>COUNTIFS('Counter_PnL'!$D$2:$D$641,A399,'Counter_PnL'!$C$2:$C$641,B399)</x:f>
        <x:v>1</x:v>
      </x:c>
      <x:c r="D399" s="79" t="n">
        <x:f>ABS('Counter_PnL'!AC399-SUM('Counter_PnL'!V399:'Counter_PnL'!AB399))</x:f>
        <x:v>0</x:v>
      </x:c>
      <x:c r="E399" s="79" t="n">
        <x:f>ABS('Counter_PnL'!AI399-SUM('Counter_PnL'!R399,'Counter_PnL'!T399,'Counter_PnL'!AC399,'Counter_PnL'!AE399,'Counter_PnL'!AG399,'Counter_PnL'!AH399))</x:f>
        <x:v>0</x:v>
      </x:c>
      <x:c r="F399" s="79" t="n">
        <x:f>ABS('Counter_PnL'!AK399-('Counter_PnL'!Q399+'Counter_PnL'!AI399))</x:f>
        <x:v>0</x:v>
      </x:c>
      <x:c r="G399" s="79" t="n">
        <x:f>ABS('Counter_PnL'!AT399-SUM('Counter_PnL'!AO399:'Counter_PnL'!AS399))</x:f>
        <x:v>0</x:v>
      </x:c>
      <x:c r="H399" s="79" t="n">
        <x:f>ABS('Counter_PnL'!AV399-('Counter_PnL'!AK399+'Counter_PnL'!AT399))</x:f>
        <x:v>0</x:v>
      </x:c>
      <x:c r="I399" s="79" t="n">
        <x:f>ABS('Counter_PnL'!BE399-SUM('Counter_PnL'!AX399:'Counter_PnL'!BB399,'Counter_PnL'!BD399))</x:f>
        <x:v>0</x:v>
      </x:c>
      <x:c r="J399" s="79" t="n">
        <x:f>ABS('Counter_PnL'!BL399-SUM('Counter_PnL'!AV399,'Counter_PnL'!BE399,'Counter_PnL'!BJ399,'Counter_PnL'!BK399))</x:f>
        <x:v>0</x:v>
      </x:c>
      <x:c r="K399" s="79" t="n">
        <x:f>ABS('Counter_PnL'!BO399-('Counter_PnL'!BL399+'Counter_PnL'!BN399))</x:f>
        <x:v>0</x:v>
      </x:c>
      <x:c r="L399" s="79" t="n">
        <x:f>MAX(ABS('Counter_PnL'!AW399-'Counter_PnL'!AV399/'Counter_PnL'!AK399),ABS('Counter_PnL'!BM399-'Counter_PnL'!BL399/'Counter_PnL'!AK399),ABS('Counter_PnL'!BP399-'Counter_PnL'!BO399/'Counter_PnL'!AK399))</x:f>
        <x:v>0</x:v>
      </x:c>
      <x:c r="M399" s="30" t="n">
        <x:f>IF(AND('Counter_PnL'!Q399&gt;0,'Counter_PnL'!AK399&gt;0,'Counter_PnL'!R399&lt;=0,'Counter_PnL'!T399&lt;=0,'Counter_PnL'!AT399&lt;=0,'Counter_PnL'!BE399&lt;=0,'Counter_PnL'!BJ399&lt;=0,'Counter_PnL'!BK399&lt;=0,'Counter_PnL'!BN399&lt;=0),0,1)</x:f>
        <x:v>0</x:v>
      </x:c>
    </x:row>
    <x:row r="400">
      <x:c r="A400" t="str">
        <x:f>'Counter_PnL'!D400</x:f>
        <x:v>CNCT0100</x:v>
      </x:c>
      <x:c r="B400" t="str">
        <x:f>'Counter_PnL'!C400</x:f>
        <x:v>2026 S1</x:v>
      </x:c>
      <x:c r="C400" s="30" t="n">
        <x:f>COUNTIFS('Counter_PnL'!$D$2:$D$641,A400,'Counter_PnL'!$C$2:$C$641,B400)</x:f>
        <x:v>1</x:v>
      </x:c>
      <x:c r="D400" s="79" t="n">
        <x:f>ABS('Counter_PnL'!AC400-SUM('Counter_PnL'!V400:'Counter_PnL'!AB400))</x:f>
        <x:v>0</x:v>
      </x:c>
      <x:c r="E400" s="79" t="n">
        <x:f>ABS('Counter_PnL'!AI400-SUM('Counter_PnL'!R400,'Counter_PnL'!T400,'Counter_PnL'!AC400,'Counter_PnL'!AE400,'Counter_PnL'!AG400,'Counter_PnL'!AH400))</x:f>
        <x:v>0</x:v>
      </x:c>
      <x:c r="F400" s="79" t="n">
        <x:f>ABS('Counter_PnL'!AK400-('Counter_PnL'!Q400+'Counter_PnL'!AI400))</x:f>
        <x:v>0</x:v>
      </x:c>
      <x:c r="G400" s="79" t="n">
        <x:f>ABS('Counter_PnL'!AT400-SUM('Counter_PnL'!AO400:'Counter_PnL'!AS400))</x:f>
        <x:v>0</x:v>
      </x:c>
      <x:c r="H400" s="79" t="n">
        <x:f>ABS('Counter_PnL'!AV400-('Counter_PnL'!AK400+'Counter_PnL'!AT400))</x:f>
        <x:v>0</x:v>
      </x:c>
      <x:c r="I400" s="79" t="n">
        <x:f>ABS('Counter_PnL'!BE400-SUM('Counter_PnL'!AX400:'Counter_PnL'!BB400,'Counter_PnL'!BD400))</x:f>
        <x:v>0</x:v>
      </x:c>
      <x:c r="J400" s="79" t="n">
        <x:f>ABS('Counter_PnL'!BL400-SUM('Counter_PnL'!AV400,'Counter_PnL'!BE400,'Counter_PnL'!BJ400,'Counter_PnL'!BK400))</x:f>
        <x:v>0</x:v>
      </x:c>
      <x:c r="K400" s="79" t="n">
        <x:f>ABS('Counter_PnL'!BO400-('Counter_PnL'!BL400+'Counter_PnL'!BN400))</x:f>
        <x:v>0</x:v>
      </x:c>
      <x:c r="L400" s="79" t="n">
        <x:f>MAX(ABS('Counter_PnL'!AW400-'Counter_PnL'!AV400/'Counter_PnL'!AK400),ABS('Counter_PnL'!BM400-'Counter_PnL'!BL400/'Counter_PnL'!AK400),ABS('Counter_PnL'!BP400-'Counter_PnL'!BO400/'Counter_PnL'!AK400))</x:f>
        <x:v>0</x:v>
      </x:c>
      <x:c r="M400" s="30" t="n">
        <x:f>IF(AND('Counter_PnL'!Q400&gt;0,'Counter_PnL'!AK400&gt;0,'Counter_PnL'!R400&lt;=0,'Counter_PnL'!T400&lt;=0,'Counter_PnL'!AT400&lt;=0,'Counter_PnL'!BE400&lt;=0,'Counter_PnL'!BJ400&lt;=0,'Counter_PnL'!BK400&lt;=0,'Counter_PnL'!BN400&lt;=0),0,1)</x:f>
        <x:v>0</x:v>
      </x:c>
    </x:row>
    <x:row r="401">
      <x:c r="A401" t="str">
        <x:f>'Counter_PnL'!D401</x:f>
        <x:v>CNCT0100</x:v>
      </x:c>
      <x:c r="B401" t="str">
        <x:f>'Counter_PnL'!C401</x:f>
        <x:v>2026 S2</x:v>
      </x:c>
      <x:c r="C401" s="30" t="n">
        <x:f>COUNTIFS('Counter_PnL'!$D$2:$D$641,A401,'Counter_PnL'!$C$2:$C$641,B401)</x:f>
        <x:v>1</x:v>
      </x:c>
      <x:c r="D401" s="79" t="n">
        <x:f>ABS('Counter_PnL'!AC401-SUM('Counter_PnL'!V401:'Counter_PnL'!AB401))</x:f>
        <x:v>0</x:v>
      </x:c>
      <x:c r="E401" s="79" t="n">
        <x:f>ABS('Counter_PnL'!AI401-SUM('Counter_PnL'!R401,'Counter_PnL'!T401,'Counter_PnL'!AC401,'Counter_PnL'!AE401,'Counter_PnL'!AG401,'Counter_PnL'!AH401))</x:f>
        <x:v>0</x:v>
      </x:c>
      <x:c r="F401" s="79" t="n">
        <x:f>ABS('Counter_PnL'!AK401-('Counter_PnL'!Q401+'Counter_PnL'!AI401))</x:f>
        <x:v>0</x:v>
      </x:c>
      <x:c r="G401" s="79" t="n">
        <x:f>ABS('Counter_PnL'!AT401-SUM('Counter_PnL'!AO401:'Counter_PnL'!AS401))</x:f>
        <x:v>0</x:v>
      </x:c>
      <x:c r="H401" s="79" t="n">
        <x:f>ABS('Counter_PnL'!AV401-('Counter_PnL'!AK401+'Counter_PnL'!AT401))</x:f>
        <x:v>0</x:v>
      </x:c>
      <x:c r="I401" s="79" t="n">
        <x:f>ABS('Counter_PnL'!BE401-SUM('Counter_PnL'!AX401:'Counter_PnL'!BB401,'Counter_PnL'!BD401))</x:f>
        <x:v>0</x:v>
      </x:c>
      <x:c r="J401" s="79" t="n">
        <x:f>ABS('Counter_PnL'!BL401-SUM('Counter_PnL'!AV401,'Counter_PnL'!BE401,'Counter_PnL'!BJ401,'Counter_PnL'!BK401))</x:f>
        <x:v>0</x:v>
      </x:c>
      <x:c r="K401" s="79" t="n">
        <x:f>ABS('Counter_PnL'!BO401-('Counter_PnL'!BL401+'Counter_PnL'!BN401))</x:f>
        <x:v>0</x:v>
      </x:c>
      <x:c r="L401" s="79" t="n">
        <x:f>MAX(ABS('Counter_PnL'!AW401-'Counter_PnL'!AV401/'Counter_PnL'!AK401),ABS('Counter_PnL'!BM401-'Counter_PnL'!BL401/'Counter_PnL'!AK401),ABS('Counter_PnL'!BP401-'Counter_PnL'!BO401/'Counter_PnL'!AK401))</x:f>
        <x:v>0</x:v>
      </x:c>
      <x:c r="M401" s="30" t="n">
        <x:f>IF(AND('Counter_PnL'!Q401&gt;0,'Counter_PnL'!AK401&gt;0,'Counter_PnL'!R401&lt;=0,'Counter_PnL'!T401&lt;=0,'Counter_PnL'!AT401&lt;=0,'Counter_PnL'!BE401&lt;=0,'Counter_PnL'!BJ401&lt;=0,'Counter_PnL'!BK401&lt;=0,'Counter_PnL'!BN401&lt;=0),0,1)</x:f>
        <x:v>0</x:v>
      </x:c>
    </x:row>
    <x:row r="402">
      <x:c r="A402" t="str">
        <x:f>'Counter_PnL'!D402</x:f>
        <x:v>CNCT0101</x:v>
      </x:c>
      <x:c r="B402" t="str">
        <x:f>'Counter_PnL'!C402</x:f>
        <x:v>2025 S1</x:v>
      </x:c>
      <x:c r="C402" s="30" t="n">
        <x:f>COUNTIFS('Counter_PnL'!$D$2:$D$641,A402,'Counter_PnL'!$C$2:$C$641,B402)</x:f>
        <x:v>1</x:v>
      </x:c>
      <x:c r="D402" s="79" t="n">
        <x:f>ABS('Counter_PnL'!AC402-SUM('Counter_PnL'!V402:'Counter_PnL'!AB402))</x:f>
        <x:v>0</x:v>
      </x:c>
      <x:c r="E402" s="79" t="n">
        <x:f>ABS('Counter_PnL'!AI402-SUM('Counter_PnL'!R402,'Counter_PnL'!T402,'Counter_PnL'!AC402,'Counter_PnL'!AE402,'Counter_PnL'!AG402,'Counter_PnL'!AH402))</x:f>
        <x:v>0</x:v>
      </x:c>
      <x:c r="F402" s="79" t="n">
        <x:f>ABS('Counter_PnL'!AK402-('Counter_PnL'!Q402+'Counter_PnL'!AI402))</x:f>
        <x:v>0</x:v>
      </x:c>
      <x:c r="G402" s="79" t="n">
        <x:f>ABS('Counter_PnL'!AT402-SUM('Counter_PnL'!AO402:'Counter_PnL'!AS402))</x:f>
        <x:v>0</x:v>
      </x:c>
      <x:c r="H402" s="79" t="n">
        <x:f>ABS('Counter_PnL'!AV402-('Counter_PnL'!AK402+'Counter_PnL'!AT402))</x:f>
        <x:v>0</x:v>
      </x:c>
      <x:c r="I402" s="79" t="n">
        <x:f>ABS('Counter_PnL'!BE402-SUM('Counter_PnL'!AX402:'Counter_PnL'!BB402,'Counter_PnL'!BD402))</x:f>
        <x:v>0</x:v>
      </x:c>
      <x:c r="J402" s="79" t="n">
        <x:f>ABS('Counter_PnL'!BL402-SUM('Counter_PnL'!AV402,'Counter_PnL'!BE402,'Counter_PnL'!BJ402,'Counter_PnL'!BK402))</x:f>
        <x:v>0</x:v>
      </x:c>
      <x:c r="K402" s="79" t="n">
        <x:f>ABS('Counter_PnL'!BO402-('Counter_PnL'!BL402+'Counter_PnL'!BN402))</x:f>
        <x:v>0</x:v>
      </x:c>
      <x:c r="L402" s="79" t="n">
        <x:f>MAX(ABS('Counter_PnL'!AW402-'Counter_PnL'!AV402/'Counter_PnL'!AK402),ABS('Counter_PnL'!BM402-'Counter_PnL'!BL402/'Counter_PnL'!AK402),ABS('Counter_PnL'!BP402-'Counter_PnL'!BO402/'Counter_PnL'!AK402))</x:f>
        <x:v>0</x:v>
      </x:c>
      <x:c r="M402" s="30" t="n">
        <x:f>IF(AND('Counter_PnL'!Q402&gt;0,'Counter_PnL'!AK402&gt;0,'Counter_PnL'!R402&lt;=0,'Counter_PnL'!T402&lt;=0,'Counter_PnL'!AT402&lt;=0,'Counter_PnL'!BE402&lt;=0,'Counter_PnL'!BJ402&lt;=0,'Counter_PnL'!BK402&lt;=0,'Counter_PnL'!BN402&lt;=0),0,1)</x:f>
        <x:v>0</x:v>
      </x:c>
    </x:row>
    <x:row r="403">
      <x:c r="A403" t="str">
        <x:f>'Counter_PnL'!D403</x:f>
        <x:v>CNCT0101</x:v>
      </x:c>
      <x:c r="B403" t="str">
        <x:f>'Counter_PnL'!C403</x:f>
        <x:v>2025 S2</x:v>
      </x:c>
      <x:c r="C403" s="30" t="n">
        <x:f>COUNTIFS('Counter_PnL'!$D$2:$D$641,A403,'Counter_PnL'!$C$2:$C$641,B403)</x:f>
        <x:v>1</x:v>
      </x:c>
      <x:c r="D403" s="79" t="n">
        <x:f>ABS('Counter_PnL'!AC403-SUM('Counter_PnL'!V403:'Counter_PnL'!AB403))</x:f>
        <x:v>0</x:v>
      </x:c>
      <x:c r="E403" s="79" t="n">
        <x:f>ABS('Counter_PnL'!AI403-SUM('Counter_PnL'!R403,'Counter_PnL'!T403,'Counter_PnL'!AC403,'Counter_PnL'!AE403,'Counter_PnL'!AG403,'Counter_PnL'!AH403))</x:f>
        <x:v>0</x:v>
      </x:c>
      <x:c r="F403" s="79" t="n">
        <x:f>ABS('Counter_PnL'!AK403-('Counter_PnL'!Q403+'Counter_PnL'!AI403))</x:f>
        <x:v>0</x:v>
      </x:c>
      <x:c r="G403" s="79" t="n">
        <x:f>ABS('Counter_PnL'!AT403-SUM('Counter_PnL'!AO403:'Counter_PnL'!AS403))</x:f>
        <x:v>0</x:v>
      </x:c>
      <x:c r="H403" s="79" t="n">
        <x:f>ABS('Counter_PnL'!AV403-('Counter_PnL'!AK403+'Counter_PnL'!AT403))</x:f>
        <x:v>0</x:v>
      </x:c>
      <x:c r="I403" s="79" t="n">
        <x:f>ABS('Counter_PnL'!BE403-SUM('Counter_PnL'!AX403:'Counter_PnL'!BB403,'Counter_PnL'!BD403))</x:f>
        <x:v>0</x:v>
      </x:c>
      <x:c r="J403" s="79" t="n">
        <x:f>ABS('Counter_PnL'!BL403-SUM('Counter_PnL'!AV403,'Counter_PnL'!BE403,'Counter_PnL'!BJ403,'Counter_PnL'!BK403))</x:f>
        <x:v>0</x:v>
      </x:c>
      <x:c r="K403" s="79" t="n">
        <x:f>ABS('Counter_PnL'!BO403-('Counter_PnL'!BL403+'Counter_PnL'!BN403))</x:f>
        <x:v>0</x:v>
      </x:c>
      <x:c r="L403" s="79" t="n">
        <x:f>MAX(ABS('Counter_PnL'!AW403-'Counter_PnL'!AV403/'Counter_PnL'!AK403),ABS('Counter_PnL'!BM403-'Counter_PnL'!BL403/'Counter_PnL'!AK403),ABS('Counter_PnL'!BP403-'Counter_PnL'!BO403/'Counter_PnL'!AK403))</x:f>
        <x:v>0</x:v>
      </x:c>
      <x:c r="M403" s="30" t="n">
        <x:f>IF(AND('Counter_PnL'!Q403&gt;0,'Counter_PnL'!AK403&gt;0,'Counter_PnL'!R403&lt;=0,'Counter_PnL'!T403&lt;=0,'Counter_PnL'!AT403&lt;=0,'Counter_PnL'!BE403&lt;=0,'Counter_PnL'!BJ403&lt;=0,'Counter_PnL'!BK403&lt;=0,'Counter_PnL'!BN403&lt;=0),0,1)</x:f>
        <x:v>0</x:v>
      </x:c>
    </x:row>
    <x:row r="404">
      <x:c r="A404" t="str">
        <x:f>'Counter_PnL'!D404</x:f>
        <x:v>CNCT0101</x:v>
      </x:c>
      <x:c r="B404" t="str">
        <x:f>'Counter_PnL'!C404</x:f>
        <x:v>2026 S1</x:v>
      </x:c>
      <x:c r="C404" s="30" t="n">
        <x:f>COUNTIFS('Counter_PnL'!$D$2:$D$641,A404,'Counter_PnL'!$C$2:$C$641,B404)</x:f>
        <x:v>1</x:v>
      </x:c>
      <x:c r="D404" s="79" t="n">
        <x:f>ABS('Counter_PnL'!AC404-SUM('Counter_PnL'!V404:'Counter_PnL'!AB404))</x:f>
        <x:v>0</x:v>
      </x:c>
      <x:c r="E404" s="79" t="n">
        <x:f>ABS('Counter_PnL'!AI404-SUM('Counter_PnL'!R404,'Counter_PnL'!T404,'Counter_PnL'!AC404,'Counter_PnL'!AE404,'Counter_PnL'!AG404,'Counter_PnL'!AH404))</x:f>
        <x:v>0</x:v>
      </x:c>
      <x:c r="F404" s="79" t="n">
        <x:f>ABS('Counter_PnL'!AK404-('Counter_PnL'!Q404+'Counter_PnL'!AI404))</x:f>
        <x:v>0</x:v>
      </x:c>
      <x:c r="G404" s="79" t="n">
        <x:f>ABS('Counter_PnL'!AT404-SUM('Counter_PnL'!AO404:'Counter_PnL'!AS404))</x:f>
        <x:v>0</x:v>
      </x:c>
      <x:c r="H404" s="79" t="n">
        <x:f>ABS('Counter_PnL'!AV404-('Counter_PnL'!AK404+'Counter_PnL'!AT404))</x:f>
        <x:v>0</x:v>
      </x:c>
      <x:c r="I404" s="79" t="n">
        <x:f>ABS('Counter_PnL'!BE404-SUM('Counter_PnL'!AX404:'Counter_PnL'!BB404,'Counter_PnL'!BD404))</x:f>
        <x:v>0</x:v>
      </x:c>
      <x:c r="J404" s="79" t="n">
        <x:f>ABS('Counter_PnL'!BL404-SUM('Counter_PnL'!AV404,'Counter_PnL'!BE404,'Counter_PnL'!BJ404,'Counter_PnL'!BK404))</x:f>
        <x:v>0</x:v>
      </x:c>
      <x:c r="K404" s="79" t="n">
        <x:f>ABS('Counter_PnL'!BO404-('Counter_PnL'!BL404+'Counter_PnL'!BN404))</x:f>
        <x:v>0</x:v>
      </x:c>
      <x:c r="L404" s="79" t="n">
        <x:f>MAX(ABS('Counter_PnL'!AW404-'Counter_PnL'!AV404/'Counter_PnL'!AK404),ABS('Counter_PnL'!BM404-'Counter_PnL'!BL404/'Counter_PnL'!AK404),ABS('Counter_PnL'!BP404-'Counter_PnL'!BO404/'Counter_PnL'!AK404))</x:f>
        <x:v>0</x:v>
      </x:c>
      <x:c r="M404" s="30" t="n">
        <x:f>IF(AND('Counter_PnL'!Q404&gt;0,'Counter_PnL'!AK404&gt;0,'Counter_PnL'!R404&lt;=0,'Counter_PnL'!T404&lt;=0,'Counter_PnL'!AT404&lt;=0,'Counter_PnL'!BE404&lt;=0,'Counter_PnL'!BJ404&lt;=0,'Counter_PnL'!BK404&lt;=0,'Counter_PnL'!BN404&lt;=0),0,1)</x:f>
        <x:v>0</x:v>
      </x:c>
    </x:row>
    <x:row r="405">
      <x:c r="A405" t="str">
        <x:f>'Counter_PnL'!D405</x:f>
        <x:v>CNCT0101</x:v>
      </x:c>
      <x:c r="B405" t="str">
        <x:f>'Counter_PnL'!C405</x:f>
        <x:v>2026 S2</x:v>
      </x:c>
      <x:c r="C405" s="30" t="n">
        <x:f>COUNTIFS('Counter_PnL'!$D$2:$D$641,A405,'Counter_PnL'!$C$2:$C$641,B405)</x:f>
        <x:v>1</x:v>
      </x:c>
      <x:c r="D405" s="79" t="n">
        <x:f>ABS('Counter_PnL'!AC405-SUM('Counter_PnL'!V405:'Counter_PnL'!AB405))</x:f>
        <x:v>0</x:v>
      </x:c>
      <x:c r="E405" s="79" t="n">
        <x:f>ABS('Counter_PnL'!AI405-SUM('Counter_PnL'!R405,'Counter_PnL'!T405,'Counter_PnL'!AC405,'Counter_PnL'!AE405,'Counter_PnL'!AG405,'Counter_PnL'!AH405))</x:f>
        <x:v>0</x:v>
      </x:c>
      <x:c r="F405" s="79" t="n">
        <x:f>ABS('Counter_PnL'!AK405-('Counter_PnL'!Q405+'Counter_PnL'!AI405))</x:f>
        <x:v>0</x:v>
      </x:c>
      <x:c r="G405" s="79" t="n">
        <x:f>ABS('Counter_PnL'!AT405-SUM('Counter_PnL'!AO405:'Counter_PnL'!AS405))</x:f>
        <x:v>0</x:v>
      </x:c>
      <x:c r="H405" s="79" t="n">
        <x:f>ABS('Counter_PnL'!AV405-('Counter_PnL'!AK405+'Counter_PnL'!AT405))</x:f>
        <x:v>0</x:v>
      </x:c>
      <x:c r="I405" s="79" t="n">
        <x:f>ABS('Counter_PnL'!BE405-SUM('Counter_PnL'!AX405:'Counter_PnL'!BB405,'Counter_PnL'!BD405))</x:f>
        <x:v>0</x:v>
      </x:c>
      <x:c r="J405" s="79" t="n">
        <x:f>ABS('Counter_PnL'!BL405-SUM('Counter_PnL'!AV405,'Counter_PnL'!BE405,'Counter_PnL'!BJ405,'Counter_PnL'!BK405))</x:f>
        <x:v>0</x:v>
      </x:c>
      <x:c r="K405" s="79" t="n">
        <x:f>ABS('Counter_PnL'!BO405-('Counter_PnL'!BL405+'Counter_PnL'!BN405))</x:f>
        <x:v>0</x:v>
      </x:c>
      <x:c r="L405" s="79" t="n">
        <x:f>MAX(ABS('Counter_PnL'!AW405-'Counter_PnL'!AV405/'Counter_PnL'!AK405),ABS('Counter_PnL'!BM405-'Counter_PnL'!BL405/'Counter_PnL'!AK405),ABS('Counter_PnL'!BP405-'Counter_PnL'!BO405/'Counter_PnL'!AK405))</x:f>
        <x:v>0</x:v>
      </x:c>
      <x:c r="M405" s="30" t="n">
        <x:f>IF(AND('Counter_PnL'!Q405&gt;0,'Counter_PnL'!AK405&gt;0,'Counter_PnL'!R405&lt;=0,'Counter_PnL'!T405&lt;=0,'Counter_PnL'!AT405&lt;=0,'Counter_PnL'!BE405&lt;=0,'Counter_PnL'!BJ405&lt;=0,'Counter_PnL'!BK405&lt;=0,'Counter_PnL'!BN405&lt;=0),0,1)</x:f>
        <x:v>0</x:v>
      </x:c>
    </x:row>
    <x:row r="406">
      <x:c r="A406" t="str">
        <x:f>'Counter_PnL'!D406</x:f>
        <x:v>CNCT0102</x:v>
      </x:c>
      <x:c r="B406" t="str">
        <x:f>'Counter_PnL'!C406</x:f>
        <x:v>2025 S1</x:v>
      </x:c>
      <x:c r="C406" s="30" t="n">
        <x:f>COUNTIFS('Counter_PnL'!$D$2:$D$641,A406,'Counter_PnL'!$C$2:$C$641,B406)</x:f>
        <x:v>1</x:v>
      </x:c>
      <x:c r="D406" s="79" t="n">
        <x:f>ABS('Counter_PnL'!AC406-SUM('Counter_PnL'!V406:'Counter_PnL'!AB406))</x:f>
        <x:v>0</x:v>
      </x:c>
      <x:c r="E406" s="79" t="n">
        <x:f>ABS('Counter_PnL'!AI406-SUM('Counter_PnL'!R406,'Counter_PnL'!T406,'Counter_PnL'!AC406,'Counter_PnL'!AE406,'Counter_PnL'!AG406,'Counter_PnL'!AH406))</x:f>
        <x:v>0</x:v>
      </x:c>
      <x:c r="F406" s="79" t="n">
        <x:f>ABS('Counter_PnL'!AK406-('Counter_PnL'!Q406+'Counter_PnL'!AI406))</x:f>
        <x:v>0</x:v>
      </x:c>
      <x:c r="G406" s="79" t="n">
        <x:f>ABS('Counter_PnL'!AT406-SUM('Counter_PnL'!AO406:'Counter_PnL'!AS406))</x:f>
        <x:v>0</x:v>
      </x:c>
      <x:c r="H406" s="79" t="n">
        <x:f>ABS('Counter_PnL'!AV406-('Counter_PnL'!AK406+'Counter_PnL'!AT406))</x:f>
        <x:v>0</x:v>
      </x:c>
      <x:c r="I406" s="79" t="n">
        <x:f>ABS('Counter_PnL'!BE406-SUM('Counter_PnL'!AX406:'Counter_PnL'!BB406,'Counter_PnL'!BD406))</x:f>
        <x:v>0</x:v>
      </x:c>
      <x:c r="J406" s="79" t="n">
        <x:f>ABS('Counter_PnL'!BL406-SUM('Counter_PnL'!AV406,'Counter_PnL'!BE406,'Counter_PnL'!BJ406,'Counter_PnL'!BK406))</x:f>
        <x:v>0</x:v>
      </x:c>
      <x:c r="K406" s="79" t="n">
        <x:f>ABS('Counter_PnL'!BO406-('Counter_PnL'!BL406+'Counter_PnL'!BN406))</x:f>
        <x:v>0</x:v>
      </x:c>
      <x:c r="L406" s="79" t="n">
        <x:f>MAX(ABS('Counter_PnL'!AW406-'Counter_PnL'!AV406/'Counter_PnL'!AK406),ABS('Counter_PnL'!BM406-'Counter_PnL'!BL406/'Counter_PnL'!AK406),ABS('Counter_PnL'!BP406-'Counter_PnL'!BO406/'Counter_PnL'!AK406))</x:f>
        <x:v>0</x:v>
      </x:c>
      <x:c r="M406" s="30" t="n">
        <x:f>IF(AND('Counter_PnL'!Q406&gt;0,'Counter_PnL'!AK406&gt;0,'Counter_PnL'!R406&lt;=0,'Counter_PnL'!T406&lt;=0,'Counter_PnL'!AT406&lt;=0,'Counter_PnL'!BE406&lt;=0,'Counter_PnL'!BJ406&lt;=0,'Counter_PnL'!BK406&lt;=0,'Counter_PnL'!BN406&lt;=0),0,1)</x:f>
        <x:v>0</x:v>
      </x:c>
    </x:row>
    <x:row r="407">
      <x:c r="A407" t="str">
        <x:f>'Counter_PnL'!D407</x:f>
        <x:v>CNCT0102</x:v>
      </x:c>
      <x:c r="B407" t="str">
        <x:f>'Counter_PnL'!C407</x:f>
        <x:v>2025 S2</x:v>
      </x:c>
      <x:c r="C407" s="30" t="n">
        <x:f>COUNTIFS('Counter_PnL'!$D$2:$D$641,A407,'Counter_PnL'!$C$2:$C$641,B407)</x:f>
        <x:v>1</x:v>
      </x:c>
      <x:c r="D407" s="79" t="n">
        <x:f>ABS('Counter_PnL'!AC407-SUM('Counter_PnL'!V407:'Counter_PnL'!AB407))</x:f>
        <x:v>0</x:v>
      </x:c>
      <x:c r="E407" s="79" t="n">
        <x:f>ABS('Counter_PnL'!AI407-SUM('Counter_PnL'!R407,'Counter_PnL'!T407,'Counter_PnL'!AC407,'Counter_PnL'!AE407,'Counter_PnL'!AG407,'Counter_PnL'!AH407))</x:f>
        <x:v>0</x:v>
      </x:c>
      <x:c r="F407" s="79" t="n">
        <x:f>ABS('Counter_PnL'!AK407-('Counter_PnL'!Q407+'Counter_PnL'!AI407))</x:f>
        <x:v>0</x:v>
      </x:c>
      <x:c r="G407" s="79" t="n">
        <x:f>ABS('Counter_PnL'!AT407-SUM('Counter_PnL'!AO407:'Counter_PnL'!AS407))</x:f>
        <x:v>0</x:v>
      </x:c>
      <x:c r="H407" s="79" t="n">
        <x:f>ABS('Counter_PnL'!AV407-('Counter_PnL'!AK407+'Counter_PnL'!AT407))</x:f>
        <x:v>0</x:v>
      </x:c>
      <x:c r="I407" s="79" t="n">
        <x:f>ABS('Counter_PnL'!BE407-SUM('Counter_PnL'!AX407:'Counter_PnL'!BB407,'Counter_PnL'!BD407))</x:f>
        <x:v>0</x:v>
      </x:c>
      <x:c r="J407" s="79" t="n">
        <x:f>ABS('Counter_PnL'!BL407-SUM('Counter_PnL'!AV407,'Counter_PnL'!BE407,'Counter_PnL'!BJ407,'Counter_PnL'!BK407))</x:f>
        <x:v>0</x:v>
      </x:c>
      <x:c r="K407" s="79" t="n">
        <x:f>ABS('Counter_PnL'!BO407-('Counter_PnL'!BL407+'Counter_PnL'!BN407))</x:f>
        <x:v>0</x:v>
      </x:c>
      <x:c r="L407" s="79" t="n">
        <x:f>MAX(ABS('Counter_PnL'!AW407-'Counter_PnL'!AV407/'Counter_PnL'!AK407),ABS('Counter_PnL'!BM407-'Counter_PnL'!BL407/'Counter_PnL'!AK407),ABS('Counter_PnL'!BP407-'Counter_PnL'!BO407/'Counter_PnL'!AK407))</x:f>
        <x:v>0</x:v>
      </x:c>
      <x:c r="M407" s="30" t="n">
        <x:f>IF(AND('Counter_PnL'!Q407&gt;0,'Counter_PnL'!AK407&gt;0,'Counter_PnL'!R407&lt;=0,'Counter_PnL'!T407&lt;=0,'Counter_PnL'!AT407&lt;=0,'Counter_PnL'!BE407&lt;=0,'Counter_PnL'!BJ407&lt;=0,'Counter_PnL'!BK407&lt;=0,'Counter_PnL'!BN407&lt;=0),0,1)</x:f>
        <x:v>0</x:v>
      </x:c>
    </x:row>
    <x:row r="408">
      <x:c r="A408" t="str">
        <x:f>'Counter_PnL'!D408</x:f>
        <x:v>CNCT0102</x:v>
      </x:c>
      <x:c r="B408" t="str">
        <x:f>'Counter_PnL'!C408</x:f>
        <x:v>2026 S1</x:v>
      </x:c>
      <x:c r="C408" s="30" t="n">
        <x:f>COUNTIFS('Counter_PnL'!$D$2:$D$641,A408,'Counter_PnL'!$C$2:$C$641,B408)</x:f>
        <x:v>1</x:v>
      </x:c>
      <x:c r="D408" s="79" t="n">
        <x:f>ABS('Counter_PnL'!AC408-SUM('Counter_PnL'!V408:'Counter_PnL'!AB408))</x:f>
        <x:v>0</x:v>
      </x:c>
      <x:c r="E408" s="79" t="n">
        <x:f>ABS('Counter_PnL'!AI408-SUM('Counter_PnL'!R408,'Counter_PnL'!T408,'Counter_PnL'!AC408,'Counter_PnL'!AE408,'Counter_PnL'!AG408,'Counter_PnL'!AH408))</x:f>
        <x:v>0</x:v>
      </x:c>
      <x:c r="F408" s="79" t="n">
        <x:f>ABS('Counter_PnL'!AK408-('Counter_PnL'!Q408+'Counter_PnL'!AI408))</x:f>
        <x:v>0</x:v>
      </x:c>
      <x:c r="G408" s="79" t="n">
        <x:f>ABS('Counter_PnL'!AT408-SUM('Counter_PnL'!AO408:'Counter_PnL'!AS408))</x:f>
        <x:v>0</x:v>
      </x:c>
      <x:c r="H408" s="79" t="n">
        <x:f>ABS('Counter_PnL'!AV408-('Counter_PnL'!AK408+'Counter_PnL'!AT408))</x:f>
        <x:v>0</x:v>
      </x:c>
      <x:c r="I408" s="79" t="n">
        <x:f>ABS('Counter_PnL'!BE408-SUM('Counter_PnL'!AX408:'Counter_PnL'!BB408,'Counter_PnL'!BD408))</x:f>
        <x:v>0</x:v>
      </x:c>
      <x:c r="J408" s="79" t="n">
        <x:f>ABS('Counter_PnL'!BL408-SUM('Counter_PnL'!AV408,'Counter_PnL'!BE408,'Counter_PnL'!BJ408,'Counter_PnL'!BK408))</x:f>
        <x:v>0</x:v>
      </x:c>
      <x:c r="K408" s="79" t="n">
        <x:f>ABS('Counter_PnL'!BO408-('Counter_PnL'!BL408+'Counter_PnL'!BN408))</x:f>
        <x:v>0</x:v>
      </x:c>
      <x:c r="L408" s="79" t="n">
        <x:f>MAX(ABS('Counter_PnL'!AW408-'Counter_PnL'!AV408/'Counter_PnL'!AK408),ABS('Counter_PnL'!BM408-'Counter_PnL'!BL408/'Counter_PnL'!AK408),ABS('Counter_PnL'!BP408-'Counter_PnL'!BO408/'Counter_PnL'!AK408))</x:f>
        <x:v>0</x:v>
      </x:c>
      <x:c r="M408" s="30" t="n">
        <x:f>IF(AND('Counter_PnL'!Q408&gt;0,'Counter_PnL'!AK408&gt;0,'Counter_PnL'!R408&lt;=0,'Counter_PnL'!T408&lt;=0,'Counter_PnL'!AT408&lt;=0,'Counter_PnL'!BE408&lt;=0,'Counter_PnL'!BJ408&lt;=0,'Counter_PnL'!BK408&lt;=0,'Counter_PnL'!BN408&lt;=0),0,1)</x:f>
        <x:v>0</x:v>
      </x:c>
    </x:row>
    <x:row r="409">
      <x:c r="A409" t="str">
        <x:f>'Counter_PnL'!D409</x:f>
        <x:v>CNCT0102</x:v>
      </x:c>
      <x:c r="B409" t="str">
        <x:f>'Counter_PnL'!C409</x:f>
        <x:v>2026 S2</x:v>
      </x:c>
      <x:c r="C409" s="30" t="n">
        <x:f>COUNTIFS('Counter_PnL'!$D$2:$D$641,A409,'Counter_PnL'!$C$2:$C$641,B409)</x:f>
        <x:v>1</x:v>
      </x:c>
      <x:c r="D409" s="79" t="n">
        <x:f>ABS('Counter_PnL'!AC409-SUM('Counter_PnL'!V409:'Counter_PnL'!AB409))</x:f>
        <x:v>0</x:v>
      </x:c>
      <x:c r="E409" s="79" t="n">
        <x:f>ABS('Counter_PnL'!AI409-SUM('Counter_PnL'!R409,'Counter_PnL'!T409,'Counter_PnL'!AC409,'Counter_PnL'!AE409,'Counter_PnL'!AG409,'Counter_PnL'!AH409))</x:f>
        <x:v>0</x:v>
      </x:c>
      <x:c r="F409" s="79" t="n">
        <x:f>ABS('Counter_PnL'!AK409-('Counter_PnL'!Q409+'Counter_PnL'!AI409))</x:f>
        <x:v>0</x:v>
      </x:c>
      <x:c r="G409" s="79" t="n">
        <x:f>ABS('Counter_PnL'!AT409-SUM('Counter_PnL'!AO409:'Counter_PnL'!AS409))</x:f>
        <x:v>0</x:v>
      </x:c>
      <x:c r="H409" s="79" t="n">
        <x:f>ABS('Counter_PnL'!AV409-('Counter_PnL'!AK409+'Counter_PnL'!AT409))</x:f>
        <x:v>0</x:v>
      </x:c>
      <x:c r="I409" s="79" t="n">
        <x:f>ABS('Counter_PnL'!BE409-SUM('Counter_PnL'!AX409:'Counter_PnL'!BB409,'Counter_PnL'!BD409))</x:f>
        <x:v>0</x:v>
      </x:c>
      <x:c r="J409" s="79" t="n">
        <x:f>ABS('Counter_PnL'!BL409-SUM('Counter_PnL'!AV409,'Counter_PnL'!BE409,'Counter_PnL'!BJ409,'Counter_PnL'!BK409))</x:f>
        <x:v>0</x:v>
      </x:c>
      <x:c r="K409" s="79" t="n">
        <x:f>ABS('Counter_PnL'!BO409-('Counter_PnL'!BL409+'Counter_PnL'!BN409))</x:f>
        <x:v>0</x:v>
      </x:c>
      <x:c r="L409" s="79" t="n">
        <x:f>MAX(ABS('Counter_PnL'!AW409-'Counter_PnL'!AV409/'Counter_PnL'!AK409),ABS('Counter_PnL'!BM409-'Counter_PnL'!BL409/'Counter_PnL'!AK409),ABS('Counter_PnL'!BP409-'Counter_PnL'!BO409/'Counter_PnL'!AK409))</x:f>
        <x:v>0</x:v>
      </x:c>
      <x:c r="M409" s="30" t="n">
        <x:f>IF(AND('Counter_PnL'!Q409&gt;0,'Counter_PnL'!AK409&gt;0,'Counter_PnL'!R409&lt;=0,'Counter_PnL'!T409&lt;=0,'Counter_PnL'!AT409&lt;=0,'Counter_PnL'!BE409&lt;=0,'Counter_PnL'!BJ409&lt;=0,'Counter_PnL'!BK409&lt;=0,'Counter_PnL'!BN409&lt;=0),0,1)</x:f>
        <x:v>0</x:v>
      </x:c>
    </x:row>
    <x:row r="410">
      <x:c r="A410" t="str">
        <x:f>'Counter_PnL'!D410</x:f>
        <x:v>CNCT0103</x:v>
      </x:c>
      <x:c r="B410" t="str">
        <x:f>'Counter_PnL'!C410</x:f>
        <x:v>2025 S1</x:v>
      </x:c>
      <x:c r="C410" s="30" t="n">
        <x:f>COUNTIFS('Counter_PnL'!$D$2:$D$641,A410,'Counter_PnL'!$C$2:$C$641,B410)</x:f>
        <x:v>1</x:v>
      </x:c>
      <x:c r="D410" s="79" t="n">
        <x:f>ABS('Counter_PnL'!AC410-SUM('Counter_PnL'!V410:'Counter_PnL'!AB410))</x:f>
        <x:v>0</x:v>
      </x:c>
      <x:c r="E410" s="79" t="n">
        <x:f>ABS('Counter_PnL'!AI410-SUM('Counter_PnL'!R410,'Counter_PnL'!T410,'Counter_PnL'!AC410,'Counter_PnL'!AE410,'Counter_PnL'!AG410,'Counter_PnL'!AH410))</x:f>
        <x:v>0</x:v>
      </x:c>
      <x:c r="F410" s="79" t="n">
        <x:f>ABS('Counter_PnL'!AK410-('Counter_PnL'!Q410+'Counter_PnL'!AI410))</x:f>
        <x:v>0</x:v>
      </x:c>
      <x:c r="G410" s="79" t="n">
        <x:f>ABS('Counter_PnL'!AT410-SUM('Counter_PnL'!AO410:'Counter_PnL'!AS410))</x:f>
        <x:v>0</x:v>
      </x:c>
      <x:c r="H410" s="79" t="n">
        <x:f>ABS('Counter_PnL'!AV410-('Counter_PnL'!AK410+'Counter_PnL'!AT410))</x:f>
        <x:v>0</x:v>
      </x:c>
      <x:c r="I410" s="79" t="n">
        <x:f>ABS('Counter_PnL'!BE410-SUM('Counter_PnL'!AX410:'Counter_PnL'!BB410,'Counter_PnL'!BD410))</x:f>
        <x:v>0</x:v>
      </x:c>
      <x:c r="J410" s="79" t="n">
        <x:f>ABS('Counter_PnL'!BL410-SUM('Counter_PnL'!AV410,'Counter_PnL'!BE410,'Counter_PnL'!BJ410,'Counter_PnL'!BK410))</x:f>
        <x:v>0</x:v>
      </x:c>
      <x:c r="K410" s="79" t="n">
        <x:f>ABS('Counter_PnL'!BO410-('Counter_PnL'!BL410+'Counter_PnL'!BN410))</x:f>
        <x:v>0</x:v>
      </x:c>
      <x:c r="L410" s="79" t="n">
        <x:f>MAX(ABS('Counter_PnL'!AW410-'Counter_PnL'!AV410/'Counter_PnL'!AK410),ABS('Counter_PnL'!BM410-'Counter_PnL'!BL410/'Counter_PnL'!AK410),ABS('Counter_PnL'!BP410-'Counter_PnL'!BO410/'Counter_PnL'!AK410))</x:f>
        <x:v>0</x:v>
      </x:c>
      <x:c r="M410" s="30" t="n">
        <x:f>IF(AND('Counter_PnL'!Q410&gt;0,'Counter_PnL'!AK410&gt;0,'Counter_PnL'!R410&lt;=0,'Counter_PnL'!T410&lt;=0,'Counter_PnL'!AT410&lt;=0,'Counter_PnL'!BE410&lt;=0,'Counter_PnL'!BJ410&lt;=0,'Counter_PnL'!BK410&lt;=0,'Counter_PnL'!BN410&lt;=0),0,1)</x:f>
        <x:v>0</x:v>
      </x:c>
    </x:row>
    <x:row r="411">
      <x:c r="A411" t="str">
        <x:f>'Counter_PnL'!D411</x:f>
        <x:v>CNCT0103</x:v>
      </x:c>
      <x:c r="B411" t="str">
        <x:f>'Counter_PnL'!C411</x:f>
        <x:v>2025 S2</x:v>
      </x:c>
      <x:c r="C411" s="30" t="n">
        <x:f>COUNTIFS('Counter_PnL'!$D$2:$D$641,A411,'Counter_PnL'!$C$2:$C$641,B411)</x:f>
        <x:v>1</x:v>
      </x:c>
      <x:c r="D411" s="79" t="n">
        <x:f>ABS('Counter_PnL'!AC411-SUM('Counter_PnL'!V411:'Counter_PnL'!AB411))</x:f>
        <x:v>0</x:v>
      </x:c>
      <x:c r="E411" s="79" t="n">
        <x:f>ABS('Counter_PnL'!AI411-SUM('Counter_PnL'!R411,'Counter_PnL'!T411,'Counter_PnL'!AC411,'Counter_PnL'!AE411,'Counter_PnL'!AG411,'Counter_PnL'!AH411))</x:f>
        <x:v>0</x:v>
      </x:c>
      <x:c r="F411" s="79" t="n">
        <x:f>ABS('Counter_PnL'!AK411-('Counter_PnL'!Q411+'Counter_PnL'!AI411))</x:f>
        <x:v>0</x:v>
      </x:c>
      <x:c r="G411" s="79" t="n">
        <x:f>ABS('Counter_PnL'!AT411-SUM('Counter_PnL'!AO411:'Counter_PnL'!AS411))</x:f>
        <x:v>0</x:v>
      </x:c>
      <x:c r="H411" s="79" t="n">
        <x:f>ABS('Counter_PnL'!AV411-('Counter_PnL'!AK411+'Counter_PnL'!AT411))</x:f>
        <x:v>0</x:v>
      </x:c>
      <x:c r="I411" s="79" t="n">
        <x:f>ABS('Counter_PnL'!BE411-SUM('Counter_PnL'!AX411:'Counter_PnL'!BB411,'Counter_PnL'!BD411))</x:f>
        <x:v>0</x:v>
      </x:c>
      <x:c r="J411" s="79" t="n">
        <x:f>ABS('Counter_PnL'!BL411-SUM('Counter_PnL'!AV411,'Counter_PnL'!BE411,'Counter_PnL'!BJ411,'Counter_PnL'!BK411))</x:f>
        <x:v>0</x:v>
      </x:c>
      <x:c r="K411" s="79" t="n">
        <x:f>ABS('Counter_PnL'!BO411-('Counter_PnL'!BL411+'Counter_PnL'!BN411))</x:f>
        <x:v>0</x:v>
      </x:c>
      <x:c r="L411" s="79" t="n">
        <x:f>MAX(ABS('Counter_PnL'!AW411-'Counter_PnL'!AV411/'Counter_PnL'!AK411),ABS('Counter_PnL'!BM411-'Counter_PnL'!BL411/'Counter_PnL'!AK411),ABS('Counter_PnL'!BP411-'Counter_PnL'!BO411/'Counter_PnL'!AK411))</x:f>
        <x:v>0</x:v>
      </x:c>
      <x:c r="M411" s="30" t="n">
        <x:f>IF(AND('Counter_PnL'!Q411&gt;0,'Counter_PnL'!AK411&gt;0,'Counter_PnL'!R411&lt;=0,'Counter_PnL'!T411&lt;=0,'Counter_PnL'!AT411&lt;=0,'Counter_PnL'!BE411&lt;=0,'Counter_PnL'!BJ411&lt;=0,'Counter_PnL'!BK411&lt;=0,'Counter_PnL'!BN411&lt;=0),0,1)</x:f>
        <x:v>0</x:v>
      </x:c>
    </x:row>
    <x:row r="412">
      <x:c r="A412" t="str">
        <x:f>'Counter_PnL'!D412</x:f>
        <x:v>CNCT0103</x:v>
      </x:c>
      <x:c r="B412" t="str">
        <x:f>'Counter_PnL'!C412</x:f>
        <x:v>2026 S1</x:v>
      </x:c>
      <x:c r="C412" s="30" t="n">
        <x:f>COUNTIFS('Counter_PnL'!$D$2:$D$641,A412,'Counter_PnL'!$C$2:$C$641,B412)</x:f>
        <x:v>1</x:v>
      </x:c>
      <x:c r="D412" s="79" t="n">
        <x:f>ABS('Counter_PnL'!AC412-SUM('Counter_PnL'!V412:'Counter_PnL'!AB412))</x:f>
        <x:v>0</x:v>
      </x:c>
      <x:c r="E412" s="79" t="n">
        <x:f>ABS('Counter_PnL'!AI412-SUM('Counter_PnL'!R412,'Counter_PnL'!T412,'Counter_PnL'!AC412,'Counter_PnL'!AE412,'Counter_PnL'!AG412,'Counter_PnL'!AH412))</x:f>
        <x:v>0</x:v>
      </x:c>
      <x:c r="F412" s="79" t="n">
        <x:f>ABS('Counter_PnL'!AK412-('Counter_PnL'!Q412+'Counter_PnL'!AI412))</x:f>
        <x:v>0</x:v>
      </x:c>
      <x:c r="G412" s="79" t="n">
        <x:f>ABS('Counter_PnL'!AT412-SUM('Counter_PnL'!AO412:'Counter_PnL'!AS412))</x:f>
        <x:v>0</x:v>
      </x:c>
      <x:c r="H412" s="79" t="n">
        <x:f>ABS('Counter_PnL'!AV412-('Counter_PnL'!AK412+'Counter_PnL'!AT412))</x:f>
        <x:v>0</x:v>
      </x:c>
      <x:c r="I412" s="79" t="n">
        <x:f>ABS('Counter_PnL'!BE412-SUM('Counter_PnL'!AX412:'Counter_PnL'!BB412,'Counter_PnL'!BD412))</x:f>
        <x:v>0</x:v>
      </x:c>
      <x:c r="J412" s="79" t="n">
        <x:f>ABS('Counter_PnL'!BL412-SUM('Counter_PnL'!AV412,'Counter_PnL'!BE412,'Counter_PnL'!BJ412,'Counter_PnL'!BK412))</x:f>
        <x:v>0</x:v>
      </x:c>
      <x:c r="K412" s="79" t="n">
        <x:f>ABS('Counter_PnL'!BO412-('Counter_PnL'!BL412+'Counter_PnL'!BN412))</x:f>
        <x:v>0</x:v>
      </x:c>
      <x:c r="L412" s="79" t="n">
        <x:f>MAX(ABS('Counter_PnL'!AW412-'Counter_PnL'!AV412/'Counter_PnL'!AK412),ABS('Counter_PnL'!BM412-'Counter_PnL'!BL412/'Counter_PnL'!AK412),ABS('Counter_PnL'!BP412-'Counter_PnL'!BO412/'Counter_PnL'!AK412))</x:f>
        <x:v>0</x:v>
      </x:c>
      <x:c r="M412" s="30" t="n">
        <x:f>IF(AND('Counter_PnL'!Q412&gt;0,'Counter_PnL'!AK412&gt;0,'Counter_PnL'!R412&lt;=0,'Counter_PnL'!T412&lt;=0,'Counter_PnL'!AT412&lt;=0,'Counter_PnL'!BE412&lt;=0,'Counter_PnL'!BJ412&lt;=0,'Counter_PnL'!BK412&lt;=0,'Counter_PnL'!BN412&lt;=0),0,1)</x:f>
        <x:v>0</x:v>
      </x:c>
    </x:row>
    <x:row r="413">
      <x:c r="A413" t="str">
        <x:f>'Counter_PnL'!D413</x:f>
        <x:v>CNCT0103</x:v>
      </x:c>
      <x:c r="B413" t="str">
        <x:f>'Counter_PnL'!C413</x:f>
        <x:v>2026 S2</x:v>
      </x:c>
      <x:c r="C413" s="30" t="n">
        <x:f>COUNTIFS('Counter_PnL'!$D$2:$D$641,A413,'Counter_PnL'!$C$2:$C$641,B413)</x:f>
        <x:v>1</x:v>
      </x:c>
      <x:c r="D413" s="79" t="n">
        <x:f>ABS('Counter_PnL'!AC413-SUM('Counter_PnL'!V413:'Counter_PnL'!AB413))</x:f>
        <x:v>0</x:v>
      </x:c>
      <x:c r="E413" s="79" t="n">
        <x:f>ABS('Counter_PnL'!AI413-SUM('Counter_PnL'!R413,'Counter_PnL'!T413,'Counter_PnL'!AC413,'Counter_PnL'!AE413,'Counter_PnL'!AG413,'Counter_PnL'!AH413))</x:f>
        <x:v>0</x:v>
      </x:c>
      <x:c r="F413" s="79" t="n">
        <x:f>ABS('Counter_PnL'!AK413-('Counter_PnL'!Q413+'Counter_PnL'!AI413))</x:f>
        <x:v>0</x:v>
      </x:c>
      <x:c r="G413" s="79" t="n">
        <x:f>ABS('Counter_PnL'!AT413-SUM('Counter_PnL'!AO413:'Counter_PnL'!AS413))</x:f>
        <x:v>0</x:v>
      </x:c>
      <x:c r="H413" s="79" t="n">
        <x:f>ABS('Counter_PnL'!AV413-('Counter_PnL'!AK413+'Counter_PnL'!AT413))</x:f>
        <x:v>0</x:v>
      </x:c>
      <x:c r="I413" s="79" t="n">
        <x:f>ABS('Counter_PnL'!BE413-SUM('Counter_PnL'!AX413:'Counter_PnL'!BB413,'Counter_PnL'!BD413))</x:f>
        <x:v>0</x:v>
      </x:c>
      <x:c r="J413" s="79" t="n">
        <x:f>ABS('Counter_PnL'!BL413-SUM('Counter_PnL'!AV413,'Counter_PnL'!BE413,'Counter_PnL'!BJ413,'Counter_PnL'!BK413))</x:f>
        <x:v>0</x:v>
      </x:c>
      <x:c r="K413" s="79" t="n">
        <x:f>ABS('Counter_PnL'!BO413-('Counter_PnL'!BL413+'Counter_PnL'!BN413))</x:f>
        <x:v>0</x:v>
      </x:c>
      <x:c r="L413" s="79" t="n">
        <x:f>MAX(ABS('Counter_PnL'!AW413-'Counter_PnL'!AV413/'Counter_PnL'!AK413),ABS('Counter_PnL'!BM413-'Counter_PnL'!BL413/'Counter_PnL'!AK413),ABS('Counter_PnL'!BP413-'Counter_PnL'!BO413/'Counter_PnL'!AK413))</x:f>
        <x:v>0</x:v>
      </x:c>
      <x:c r="M413" s="30" t="n">
        <x:f>IF(AND('Counter_PnL'!Q413&gt;0,'Counter_PnL'!AK413&gt;0,'Counter_PnL'!R413&lt;=0,'Counter_PnL'!T413&lt;=0,'Counter_PnL'!AT413&lt;=0,'Counter_PnL'!BE413&lt;=0,'Counter_PnL'!BJ413&lt;=0,'Counter_PnL'!BK413&lt;=0,'Counter_PnL'!BN413&lt;=0),0,1)</x:f>
        <x:v>0</x:v>
      </x:c>
    </x:row>
    <x:row r="414">
      <x:c r="A414" t="str">
        <x:f>'Counter_PnL'!D414</x:f>
        <x:v>CNCT0104</x:v>
      </x:c>
      <x:c r="B414" t="str">
        <x:f>'Counter_PnL'!C414</x:f>
        <x:v>2025 S1</x:v>
      </x:c>
      <x:c r="C414" s="30" t="n">
        <x:f>COUNTIFS('Counter_PnL'!$D$2:$D$641,A414,'Counter_PnL'!$C$2:$C$641,B414)</x:f>
        <x:v>1</x:v>
      </x:c>
      <x:c r="D414" s="79" t="n">
        <x:f>ABS('Counter_PnL'!AC414-SUM('Counter_PnL'!V414:'Counter_PnL'!AB414))</x:f>
        <x:v>0</x:v>
      </x:c>
      <x:c r="E414" s="79" t="n">
        <x:f>ABS('Counter_PnL'!AI414-SUM('Counter_PnL'!R414,'Counter_PnL'!T414,'Counter_PnL'!AC414,'Counter_PnL'!AE414,'Counter_PnL'!AG414,'Counter_PnL'!AH414))</x:f>
        <x:v>0</x:v>
      </x:c>
      <x:c r="F414" s="79" t="n">
        <x:f>ABS('Counter_PnL'!AK414-('Counter_PnL'!Q414+'Counter_PnL'!AI414))</x:f>
        <x:v>0</x:v>
      </x:c>
      <x:c r="G414" s="79" t="n">
        <x:f>ABS('Counter_PnL'!AT414-SUM('Counter_PnL'!AO414:'Counter_PnL'!AS414))</x:f>
        <x:v>0</x:v>
      </x:c>
      <x:c r="H414" s="79" t="n">
        <x:f>ABS('Counter_PnL'!AV414-('Counter_PnL'!AK414+'Counter_PnL'!AT414))</x:f>
        <x:v>0</x:v>
      </x:c>
      <x:c r="I414" s="79" t="n">
        <x:f>ABS('Counter_PnL'!BE414-SUM('Counter_PnL'!AX414:'Counter_PnL'!BB414,'Counter_PnL'!BD414))</x:f>
        <x:v>0</x:v>
      </x:c>
      <x:c r="J414" s="79" t="n">
        <x:f>ABS('Counter_PnL'!BL414-SUM('Counter_PnL'!AV414,'Counter_PnL'!BE414,'Counter_PnL'!BJ414,'Counter_PnL'!BK414))</x:f>
        <x:v>0</x:v>
      </x:c>
      <x:c r="K414" s="79" t="n">
        <x:f>ABS('Counter_PnL'!BO414-('Counter_PnL'!BL414+'Counter_PnL'!BN414))</x:f>
        <x:v>0</x:v>
      </x:c>
      <x:c r="L414" s="79" t="n">
        <x:f>MAX(ABS('Counter_PnL'!AW414-'Counter_PnL'!AV414/'Counter_PnL'!AK414),ABS('Counter_PnL'!BM414-'Counter_PnL'!BL414/'Counter_PnL'!AK414),ABS('Counter_PnL'!BP414-'Counter_PnL'!BO414/'Counter_PnL'!AK414))</x:f>
        <x:v>0</x:v>
      </x:c>
      <x:c r="M414" s="30" t="n">
        <x:f>IF(AND('Counter_PnL'!Q414&gt;0,'Counter_PnL'!AK414&gt;0,'Counter_PnL'!R414&lt;=0,'Counter_PnL'!T414&lt;=0,'Counter_PnL'!AT414&lt;=0,'Counter_PnL'!BE414&lt;=0,'Counter_PnL'!BJ414&lt;=0,'Counter_PnL'!BK414&lt;=0,'Counter_PnL'!BN414&lt;=0),0,1)</x:f>
        <x:v>0</x:v>
      </x:c>
    </x:row>
    <x:row r="415">
      <x:c r="A415" t="str">
        <x:f>'Counter_PnL'!D415</x:f>
        <x:v>CNCT0104</x:v>
      </x:c>
      <x:c r="B415" t="str">
        <x:f>'Counter_PnL'!C415</x:f>
        <x:v>2025 S2</x:v>
      </x:c>
      <x:c r="C415" s="30" t="n">
        <x:f>COUNTIFS('Counter_PnL'!$D$2:$D$641,A415,'Counter_PnL'!$C$2:$C$641,B415)</x:f>
        <x:v>1</x:v>
      </x:c>
      <x:c r="D415" s="79" t="n">
        <x:f>ABS('Counter_PnL'!AC415-SUM('Counter_PnL'!V415:'Counter_PnL'!AB415))</x:f>
        <x:v>0</x:v>
      </x:c>
      <x:c r="E415" s="79" t="n">
        <x:f>ABS('Counter_PnL'!AI415-SUM('Counter_PnL'!R415,'Counter_PnL'!T415,'Counter_PnL'!AC415,'Counter_PnL'!AE415,'Counter_PnL'!AG415,'Counter_PnL'!AH415))</x:f>
        <x:v>0</x:v>
      </x:c>
      <x:c r="F415" s="79" t="n">
        <x:f>ABS('Counter_PnL'!AK415-('Counter_PnL'!Q415+'Counter_PnL'!AI415))</x:f>
        <x:v>0</x:v>
      </x:c>
      <x:c r="G415" s="79" t="n">
        <x:f>ABS('Counter_PnL'!AT415-SUM('Counter_PnL'!AO415:'Counter_PnL'!AS415))</x:f>
        <x:v>0</x:v>
      </x:c>
      <x:c r="H415" s="79" t="n">
        <x:f>ABS('Counter_PnL'!AV415-('Counter_PnL'!AK415+'Counter_PnL'!AT415))</x:f>
        <x:v>0</x:v>
      </x:c>
      <x:c r="I415" s="79" t="n">
        <x:f>ABS('Counter_PnL'!BE415-SUM('Counter_PnL'!AX415:'Counter_PnL'!BB415,'Counter_PnL'!BD415))</x:f>
        <x:v>0</x:v>
      </x:c>
      <x:c r="J415" s="79" t="n">
        <x:f>ABS('Counter_PnL'!BL415-SUM('Counter_PnL'!AV415,'Counter_PnL'!BE415,'Counter_PnL'!BJ415,'Counter_PnL'!BK415))</x:f>
        <x:v>0</x:v>
      </x:c>
      <x:c r="K415" s="79" t="n">
        <x:f>ABS('Counter_PnL'!BO415-('Counter_PnL'!BL415+'Counter_PnL'!BN415))</x:f>
        <x:v>0</x:v>
      </x:c>
      <x:c r="L415" s="79" t="n">
        <x:f>MAX(ABS('Counter_PnL'!AW415-'Counter_PnL'!AV415/'Counter_PnL'!AK415),ABS('Counter_PnL'!BM415-'Counter_PnL'!BL415/'Counter_PnL'!AK415),ABS('Counter_PnL'!BP415-'Counter_PnL'!BO415/'Counter_PnL'!AK415))</x:f>
        <x:v>0</x:v>
      </x:c>
      <x:c r="M415" s="30" t="n">
        <x:f>IF(AND('Counter_PnL'!Q415&gt;0,'Counter_PnL'!AK415&gt;0,'Counter_PnL'!R415&lt;=0,'Counter_PnL'!T415&lt;=0,'Counter_PnL'!AT415&lt;=0,'Counter_PnL'!BE415&lt;=0,'Counter_PnL'!BJ415&lt;=0,'Counter_PnL'!BK415&lt;=0,'Counter_PnL'!BN415&lt;=0),0,1)</x:f>
        <x:v>0</x:v>
      </x:c>
    </x:row>
    <x:row r="416">
      <x:c r="A416" t="str">
        <x:f>'Counter_PnL'!D416</x:f>
        <x:v>CNCT0104</x:v>
      </x:c>
      <x:c r="B416" t="str">
        <x:f>'Counter_PnL'!C416</x:f>
        <x:v>2026 S1</x:v>
      </x:c>
      <x:c r="C416" s="30" t="n">
        <x:f>COUNTIFS('Counter_PnL'!$D$2:$D$641,A416,'Counter_PnL'!$C$2:$C$641,B416)</x:f>
        <x:v>1</x:v>
      </x:c>
      <x:c r="D416" s="79" t="n">
        <x:f>ABS('Counter_PnL'!AC416-SUM('Counter_PnL'!V416:'Counter_PnL'!AB416))</x:f>
        <x:v>0</x:v>
      </x:c>
      <x:c r="E416" s="79" t="n">
        <x:f>ABS('Counter_PnL'!AI416-SUM('Counter_PnL'!R416,'Counter_PnL'!T416,'Counter_PnL'!AC416,'Counter_PnL'!AE416,'Counter_PnL'!AG416,'Counter_PnL'!AH416))</x:f>
        <x:v>0</x:v>
      </x:c>
      <x:c r="F416" s="79" t="n">
        <x:f>ABS('Counter_PnL'!AK416-('Counter_PnL'!Q416+'Counter_PnL'!AI416))</x:f>
        <x:v>0</x:v>
      </x:c>
      <x:c r="G416" s="79" t="n">
        <x:f>ABS('Counter_PnL'!AT416-SUM('Counter_PnL'!AO416:'Counter_PnL'!AS416))</x:f>
        <x:v>0</x:v>
      </x:c>
      <x:c r="H416" s="79" t="n">
        <x:f>ABS('Counter_PnL'!AV416-('Counter_PnL'!AK416+'Counter_PnL'!AT416))</x:f>
        <x:v>0</x:v>
      </x:c>
      <x:c r="I416" s="79" t="n">
        <x:f>ABS('Counter_PnL'!BE416-SUM('Counter_PnL'!AX416:'Counter_PnL'!BB416,'Counter_PnL'!BD416))</x:f>
        <x:v>0</x:v>
      </x:c>
      <x:c r="J416" s="79" t="n">
        <x:f>ABS('Counter_PnL'!BL416-SUM('Counter_PnL'!AV416,'Counter_PnL'!BE416,'Counter_PnL'!BJ416,'Counter_PnL'!BK416))</x:f>
        <x:v>0</x:v>
      </x:c>
      <x:c r="K416" s="79" t="n">
        <x:f>ABS('Counter_PnL'!BO416-('Counter_PnL'!BL416+'Counter_PnL'!BN416))</x:f>
        <x:v>0</x:v>
      </x:c>
      <x:c r="L416" s="79" t="n">
        <x:f>MAX(ABS('Counter_PnL'!AW416-'Counter_PnL'!AV416/'Counter_PnL'!AK416),ABS('Counter_PnL'!BM416-'Counter_PnL'!BL416/'Counter_PnL'!AK416),ABS('Counter_PnL'!BP416-'Counter_PnL'!BO416/'Counter_PnL'!AK416))</x:f>
        <x:v>0</x:v>
      </x:c>
      <x:c r="M416" s="30" t="n">
        <x:f>IF(AND('Counter_PnL'!Q416&gt;0,'Counter_PnL'!AK416&gt;0,'Counter_PnL'!R416&lt;=0,'Counter_PnL'!T416&lt;=0,'Counter_PnL'!AT416&lt;=0,'Counter_PnL'!BE416&lt;=0,'Counter_PnL'!BJ416&lt;=0,'Counter_PnL'!BK416&lt;=0,'Counter_PnL'!BN416&lt;=0),0,1)</x:f>
        <x:v>0</x:v>
      </x:c>
    </x:row>
    <x:row r="417">
      <x:c r="A417" t="str">
        <x:f>'Counter_PnL'!D417</x:f>
        <x:v>CNCT0104</x:v>
      </x:c>
      <x:c r="B417" t="str">
        <x:f>'Counter_PnL'!C417</x:f>
        <x:v>2026 S2</x:v>
      </x:c>
      <x:c r="C417" s="30" t="n">
        <x:f>COUNTIFS('Counter_PnL'!$D$2:$D$641,A417,'Counter_PnL'!$C$2:$C$641,B417)</x:f>
        <x:v>1</x:v>
      </x:c>
      <x:c r="D417" s="79" t="n">
        <x:f>ABS('Counter_PnL'!AC417-SUM('Counter_PnL'!V417:'Counter_PnL'!AB417))</x:f>
        <x:v>0</x:v>
      </x:c>
      <x:c r="E417" s="79" t="n">
        <x:f>ABS('Counter_PnL'!AI417-SUM('Counter_PnL'!R417,'Counter_PnL'!T417,'Counter_PnL'!AC417,'Counter_PnL'!AE417,'Counter_PnL'!AG417,'Counter_PnL'!AH417))</x:f>
        <x:v>0</x:v>
      </x:c>
      <x:c r="F417" s="79" t="n">
        <x:f>ABS('Counter_PnL'!AK417-('Counter_PnL'!Q417+'Counter_PnL'!AI417))</x:f>
        <x:v>0</x:v>
      </x:c>
      <x:c r="G417" s="79" t="n">
        <x:f>ABS('Counter_PnL'!AT417-SUM('Counter_PnL'!AO417:'Counter_PnL'!AS417))</x:f>
        <x:v>0</x:v>
      </x:c>
      <x:c r="H417" s="79" t="n">
        <x:f>ABS('Counter_PnL'!AV417-('Counter_PnL'!AK417+'Counter_PnL'!AT417))</x:f>
        <x:v>0</x:v>
      </x:c>
      <x:c r="I417" s="79" t="n">
        <x:f>ABS('Counter_PnL'!BE417-SUM('Counter_PnL'!AX417:'Counter_PnL'!BB417,'Counter_PnL'!BD417))</x:f>
        <x:v>0</x:v>
      </x:c>
      <x:c r="J417" s="79" t="n">
        <x:f>ABS('Counter_PnL'!BL417-SUM('Counter_PnL'!AV417,'Counter_PnL'!BE417,'Counter_PnL'!BJ417,'Counter_PnL'!BK417))</x:f>
        <x:v>0</x:v>
      </x:c>
      <x:c r="K417" s="79" t="n">
        <x:f>ABS('Counter_PnL'!BO417-('Counter_PnL'!BL417+'Counter_PnL'!BN417))</x:f>
        <x:v>0</x:v>
      </x:c>
      <x:c r="L417" s="79" t="n">
        <x:f>MAX(ABS('Counter_PnL'!AW417-'Counter_PnL'!AV417/'Counter_PnL'!AK417),ABS('Counter_PnL'!BM417-'Counter_PnL'!BL417/'Counter_PnL'!AK417),ABS('Counter_PnL'!BP417-'Counter_PnL'!BO417/'Counter_PnL'!AK417))</x:f>
        <x:v>0</x:v>
      </x:c>
      <x:c r="M417" s="30" t="n">
        <x:f>IF(AND('Counter_PnL'!Q417&gt;0,'Counter_PnL'!AK417&gt;0,'Counter_PnL'!R417&lt;=0,'Counter_PnL'!T417&lt;=0,'Counter_PnL'!AT417&lt;=0,'Counter_PnL'!BE417&lt;=0,'Counter_PnL'!BJ417&lt;=0,'Counter_PnL'!BK417&lt;=0,'Counter_PnL'!BN417&lt;=0),0,1)</x:f>
        <x:v>0</x:v>
      </x:c>
    </x:row>
    <x:row r="418">
      <x:c r="A418" t="str">
        <x:f>'Counter_PnL'!D418</x:f>
        <x:v>CNCT0105</x:v>
      </x:c>
      <x:c r="B418" t="str">
        <x:f>'Counter_PnL'!C418</x:f>
        <x:v>2025 S1</x:v>
      </x:c>
      <x:c r="C418" s="30" t="n">
        <x:f>COUNTIFS('Counter_PnL'!$D$2:$D$641,A418,'Counter_PnL'!$C$2:$C$641,B418)</x:f>
        <x:v>1</x:v>
      </x:c>
      <x:c r="D418" s="79" t="n">
        <x:f>ABS('Counter_PnL'!AC418-SUM('Counter_PnL'!V418:'Counter_PnL'!AB418))</x:f>
        <x:v>0</x:v>
      </x:c>
      <x:c r="E418" s="79" t="n">
        <x:f>ABS('Counter_PnL'!AI418-SUM('Counter_PnL'!R418,'Counter_PnL'!T418,'Counter_PnL'!AC418,'Counter_PnL'!AE418,'Counter_PnL'!AG418,'Counter_PnL'!AH418))</x:f>
        <x:v>0</x:v>
      </x:c>
      <x:c r="F418" s="79" t="n">
        <x:f>ABS('Counter_PnL'!AK418-('Counter_PnL'!Q418+'Counter_PnL'!AI418))</x:f>
        <x:v>0</x:v>
      </x:c>
      <x:c r="G418" s="79" t="n">
        <x:f>ABS('Counter_PnL'!AT418-SUM('Counter_PnL'!AO418:'Counter_PnL'!AS418))</x:f>
        <x:v>0</x:v>
      </x:c>
      <x:c r="H418" s="79" t="n">
        <x:f>ABS('Counter_PnL'!AV418-('Counter_PnL'!AK418+'Counter_PnL'!AT418))</x:f>
        <x:v>0</x:v>
      </x:c>
      <x:c r="I418" s="79" t="n">
        <x:f>ABS('Counter_PnL'!BE418-SUM('Counter_PnL'!AX418:'Counter_PnL'!BB418,'Counter_PnL'!BD418))</x:f>
        <x:v>0</x:v>
      </x:c>
      <x:c r="J418" s="79" t="n">
        <x:f>ABS('Counter_PnL'!BL418-SUM('Counter_PnL'!AV418,'Counter_PnL'!BE418,'Counter_PnL'!BJ418,'Counter_PnL'!BK418))</x:f>
        <x:v>0</x:v>
      </x:c>
      <x:c r="K418" s="79" t="n">
        <x:f>ABS('Counter_PnL'!BO418-('Counter_PnL'!BL418+'Counter_PnL'!BN418))</x:f>
        <x:v>0</x:v>
      </x:c>
      <x:c r="L418" s="79" t="n">
        <x:f>MAX(ABS('Counter_PnL'!AW418-'Counter_PnL'!AV418/'Counter_PnL'!AK418),ABS('Counter_PnL'!BM418-'Counter_PnL'!BL418/'Counter_PnL'!AK418),ABS('Counter_PnL'!BP418-'Counter_PnL'!BO418/'Counter_PnL'!AK418))</x:f>
        <x:v>0</x:v>
      </x:c>
      <x:c r="M418" s="30" t="n">
        <x:f>IF(AND('Counter_PnL'!Q418&gt;0,'Counter_PnL'!AK418&gt;0,'Counter_PnL'!R418&lt;=0,'Counter_PnL'!T418&lt;=0,'Counter_PnL'!AT418&lt;=0,'Counter_PnL'!BE418&lt;=0,'Counter_PnL'!BJ418&lt;=0,'Counter_PnL'!BK418&lt;=0,'Counter_PnL'!BN418&lt;=0),0,1)</x:f>
        <x:v>0</x:v>
      </x:c>
    </x:row>
    <x:row r="419">
      <x:c r="A419" t="str">
        <x:f>'Counter_PnL'!D419</x:f>
        <x:v>CNCT0105</x:v>
      </x:c>
      <x:c r="B419" t="str">
        <x:f>'Counter_PnL'!C419</x:f>
        <x:v>2025 S2</x:v>
      </x:c>
      <x:c r="C419" s="30" t="n">
        <x:f>COUNTIFS('Counter_PnL'!$D$2:$D$641,A419,'Counter_PnL'!$C$2:$C$641,B419)</x:f>
        <x:v>1</x:v>
      </x:c>
      <x:c r="D419" s="79" t="n">
        <x:f>ABS('Counter_PnL'!AC419-SUM('Counter_PnL'!V419:'Counter_PnL'!AB419))</x:f>
        <x:v>0</x:v>
      </x:c>
      <x:c r="E419" s="79" t="n">
        <x:f>ABS('Counter_PnL'!AI419-SUM('Counter_PnL'!R419,'Counter_PnL'!T419,'Counter_PnL'!AC419,'Counter_PnL'!AE419,'Counter_PnL'!AG419,'Counter_PnL'!AH419))</x:f>
        <x:v>0</x:v>
      </x:c>
      <x:c r="F419" s="79" t="n">
        <x:f>ABS('Counter_PnL'!AK419-('Counter_PnL'!Q419+'Counter_PnL'!AI419))</x:f>
        <x:v>0</x:v>
      </x:c>
      <x:c r="G419" s="79" t="n">
        <x:f>ABS('Counter_PnL'!AT419-SUM('Counter_PnL'!AO419:'Counter_PnL'!AS419))</x:f>
        <x:v>0</x:v>
      </x:c>
      <x:c r="H419" s="79" t="n">
        <x:f>ABS('Counter_PnL'!AV419-('Counter_PnL'!AK419+'Counter_PnL'!AT419))</x:f>
        <x:v>0</x:v>
      </x:c>
      <x:c r="I419" s="79" t="n">
        <x:f>ABS('Counter_PnL'!BE419-SUM('Counter_PnL'!AX419:'Counter_PnL'!BB419,'Counter_PnL'!BD419))</x:f>
        <x:v>0</x:v>
      </x:c>
      <x:c r="J419" s="79" t="n">
        <x:f>ABS('Counter_PnL'!BL419-SUM('Counter_PnL'!AV419,'Counter_PnL'!BE419,'Counter_PnL'!BJ419,'Counter_PnL'!BK419))</x:f>
        <x:v>0</x:v>
      </x:c>
      <x:c r="K419" s="79" t="n">
        <x:f>ABS('Counter_PnL'!BO419-('Counter_PnL'!BL419+'Counter_PnL'!BN419))</x:f>
        <x:v>0</x:v>
      </x:c>
      <x:c r="L419" s="79" t="n">
        <x:f>MAX(ABS('Counter_PnL'!AW419-'Counter_PnL'!AV419/'Counter_PnL'!AK419),ABS('Counter_PnL'!BM419-'Counter_PnL'!BL419/'Counter_PnL'!AK419),ABS('Counter_PnL'!BP419-'Counter_PnL'!BO419/'Counter_PnL'!AK419))</x:f>
        <x:v>0</x:v>
      </x:c>
      <x:c r="M419" s="30" t="n">
        <x:f>IF(AND('Counter_PnL'!Q419&gt;0,'Counter_PnL'!AK419&gt;0,'Counter_PnL'!R419&lt;=0,'Counter_PnL'!T419&lt;=0,'Counter_PnL'!AT419&lt;=0,'Counter_PnL'!BE419&lt;=0,'Counter_PnL'!BJ419&lt;=0,'Counter_PnL'!BK419&lt;=0,'Counter_PnL'!BN419&lt;=0),0,1)</x:f>
        <x:v>0</x:v>
      </x:c>
    </x:row>
    <x:row r="420">
      <x:c r="A420" t="str">
        <x:f>'Counter_PnL'!D420</x:f>
        <x:v>CNCT0105</x:v>
      </x:c>
      <x:c r="B420" t="str">
        <x:f>'Counter_PnL'!C420</x:f>
        <x:v>2026 S1</x:v>
      </x:c>
      <x:c r="C420" s="30" t="n">
        <x:f>COUNTIFS('Counter_PnL'!$D$2:$D$641,A420,'Counter_PnL'!$C$2:$C$641,B420)</x:f>
        <x:v>1</x:v>
      </x:c>
      <x:c r="D420" s="79" t="n">
        <x:f>ABS('Counter_PnL'!AC420-SUM('Counter_PnL'!V420:'Counter_PnL'!AB420))</x:f>
        <x:v>0</x:v>
      </x:c>
      <x:c r="E420" s="79" t="n">
        <x:f>ABS('Counter_PnL'!AI420-SUM('Counter_PnL'!R420,'Counter_PnL'!T420,'Counter_PnL'!AC420,'Counter_PnL'!AE420,'Counter_PnL'!AG420,'Counter_PnL'!AH420))</x:f>
        <x:v>0</x:v>
      </x:c>
      <x:c r="F420" s="79" t="n">
        <x:f>ABS('Counter_PnL'!AK420-('Counter_PnL'!Q420+'Counter_PnL'!AI420))</x:f>
        <x:v>0</x:v>
      </x:c>
      <x:c r="G420" s="79" t="n">
        <x:f>ABS('Counter_PnL'!AT420-SUM('Counter_PnL'!AO420:'Counter_PnL'!AS420))</x:f>
        <x:v>0</x:v>
      </x:c>
      <x:c r="H420" s="79" t="n">
        <x:f>ABS('Counter_PnL'!AV420-('Counter_PnL'!AK420+'Counter_PnL'!AT420))</x:f>
        <x:v>0</x:v>
      </x:c>
      <x:c r="I420" s="79" t="n">
        <x:f>ABS('Counter_PnL'!BE420-SUM('Counter_PnL'!AX420:'Counter_PnL'!BB420,'Counter_PnL'!BD420))</x:f>
        <x:v>0</x:v>
      </x:c>
      <x:c r="J420" s="79" t="n">
        <x:f>ABS('Counter_PnL'!BL420-SUM('Counter_PnL'!AV420,'Counter_PnL'!BE420,'Counter_PnL'!BJ420,'Counter_PnL'!BK420))</x:f>
        <x:v>0</x:v>
      </x:c>
      <x:c r="K420" s="79" t="n">
        <x:f>ABS('Counter_PnL'!BO420-('Counter_PnL'!BL420+'Counter_PnL'!BN420))</x:f>
        <x:v>0</x:v>
      </x:c>
      <x:c r="L420" s="79" t="n">
        <x:f>MAX(ABS('Counter_PnL'!AW420-'Counter_PnL'!AV420/'Counter_PnL'!AK420),ABS('Counter_PnL'!BM420-'Counter_PnL'!BL420/'Counter_PnL'!AK420),ABS('Counter_PnL'!BP420-'Counter_PnL'!BO420/'Counter_PnL'!AK420))</x:f>
        <x:v>0</x:v>
      </x:c>
      <x:c r="M420" s="30" t="n">
        <x:f>IF(AND('Counter_PnL'!Q420&gt;0,'Counter_PnL'!AK420&gt;0,'Counter_PnL'!R420&lt;=0,'Counter_PnL'!T420&lt;=0,'Counter_PnL'!AT420&lt;=0,'Counter_PnL'!BE420&lt;=0,'Counter_PnL'!BJ420&lt;=0,'Counter_PnL'!BK420&lt;=0,'Counter_PnL'!BN420&lt;=0),0,1)</x:f>
        <x:v>0</x:v>
      </x:c>
    </x:row>
    <x:row r="421">
      <x:c r="A421" t="str">
        <x:f>'Counter_PnL'!D421</x:f>
        <x:v>CNCT0105</x:v>
      </x:c>
      <x:c r="B421" t="str">
        <x:f>'Counter_PnL'!C421</x:f>
        <x:v>2026 S2</x:v>
      </x:c>
      <x:c r="C421" s="30" t="n">
        <x:f>COUNTIFS('Counter_PnL'!$D$2:$D$641,A421,'Counter_PnL'!$C$2:$C$641,B421)</x:f>
        <x:v>1</x:v>
      </x:c>
      <x:c r="D421" s="79" t="n">
        <x:f>ABS('Counter_PnL'!AC421-SUM('Counter_PnL'!V421:'Counter_PnL'!AB421))</x:f>
        <x:v>0</x:v>
      </x:c>
      <x:c r="E421" s="79" t="n">
        <x:f>ABS('Counter_PnL'!AI421-SUM('Counter_PnL'!R421,'Counter_PnL'!T421,'Counter_PnL'!AC421,'Counter_PnL'!AE421,'Counter_PnL'!AG421,'Counter_PnL'!AH421))</x:f>
        <x:v>0</x:v>
      </x:c>
      <x:c r="F421" s="79" t="n">
        <x:f>ABS('Counter_PnL'!AK421-('Counter_PnL'!Q421+'Counter_PnL'!AI421))</x:f>
        <x:v>0</x:v>
      </x:c>
      <x:c r="G421" s="79" t="n">
        <x:f>ABS('Counter_PnL'!AT421-SUM('Counter_PnL'!AO421:'Counter_PnL'!AS421))</x:f>
        <x:v>0</x:v>
      </x:c>
      <x:c r="H421" s="79" t="n">
        <x:f>ABS('Counter_PnL'!AV421-('Counter_PnL'!AK421+'Counter_PnL'!AT421))</x:f>
        <x:v>0</x:v>
      </x:c>
      <x:c r="I421" s="79" t="n">
        <x:f>ABS('Counter_PnL'!BE421-SUM('Counter_PnL'!AX421:'Counter_PnL'!BB421,'Counter_PnL'!BD421))</x:f>
        <x:v>0</x:v>
      </x:c>
      <x:c r="J421" s="79" t="n">
        <x:f>ABS('Counter_PnL'!BL421-SUM('Counter_PnL'!AV421,'Counter_PnL'!BE421,'Counter_PnL'!BJ421,'Counter_PnL'!BK421))</x:f>
        <x:v>0</x:v>
      </x:c>
      <x:c r="K421" s="79" t="n">
        <x:f>ABS('Counter_PnL'!BO421-('Counter_PnL'!BL421+'Counter_PnL'!BN421))</x:f>
        <x:v>0</x:v>
      </x:c>
      <x:c r="L421" s="79" t="n">
        <x:f>MAX(ABS('Counter_PnL'!AW421-'Counter_PnL'!AV421/'Counter_PnL'!AK421),ABS('Counter_PnL'!BM421-'Counter_PnL'!BL421/'Counter_PnL'!AK421),ABS('Counter_PnL'!BP421-'Counter_PnL'!BO421/'Counter_PnL'!AK421))</x:f>
        <x:v>0</x:v>
      </x:c>
      <x:c r="M421" s="30" t="n">
        <x:f>IF(AND('Counter_PnL'!Q421&gt;0,'Counter_PnL'!AK421&gt;0,'Counter_PnL'!R421&lt;=0,'Counter_PnL'!T421&lt;=0,'Counter_PnL'!AT421&lt;=0,'Counter_PnL'!BE421&lt;=0,'Counter_PnL'!BJ421&lt;=0,'Counter_PnL'!BK421&lt;=0,'Counter_PnL'!BN421&lt;=0),0,1)</x:f>
        <x:v>0</x:v>
      </x:c>
    </x:row>
    <x:row r="422">
      <x:c r="A422" t="str">
        <x:f>'Counter_PnL'!D422</x:f>
        <x:v>CNCT0106</x:v>
      </x:c>
      <x:c r="B422" t="str">
        <x:f>'Counter_PnL'!C422</x:f>
        <x:v>2025 S1</x:v>
      </x:c>
      <x:c r="C422" s="30" t="n">
        <x:f>COUNTIFS('Counter_PnL'!$D$2:$D$641,A422,'Counter_PnL'!$C$2:$C$641,B422)</x:f>
        <x:v>1</x:v>
      </x:c>
      <x:c r="D422" s="79" t="n">
        <x:f>ABS('Counter_PnL'!AC422-SUM('Counter_PnL'!V422:'Counter_PnL'!AB422))</x:f>
        <x:v>0</x:v>
      </x:c>
      <x:c r="E422" s="79" t="n">
        <x:f>ABS('Counter_PnL'!AI422-SUM('Counter_PnL'!R422,'Counter_PnL'!T422,'Counter_PnL'!AC422,'Counter_PnL'!AE422,'Counter_PnL'!AG422,'Counter_PnL'!AH422))</x:f>
        <x:v>0</x:v>
      </x:c>
      <x:c r="F422" s="79" t="n">
        <x:f>ABS('Counter_PnL'!AK422-('Counter_PnL'!Q422+'Counter_PnL'!AI422))</x:f>
        <x:v>0</x:v>
      </x:c>
      <x:c r="G422" s="79" t="n">
        <x:f>ABS('Counter_PnL'!AT422-SUM('Counter_PnL'!AO422:'Counter_PnL'!AS422))</x:f>
        <x:v>0</x:v>
      </x:c>
      <x:c r="H422" s="79" t="n">
        <x:f>ABS('Counter_PnL'!AV422-('Counter_PnL'!AK422+'Counter_PnL'!AT422))</x:f>
        <x:v>0</x:v>
      </x:c>
      <x:c r="I422" s="79" t="n">
        <x:f>ABS('Counter_PnL'!BE422-SUM('Counter_PnL'!AX422:'Counter_PnL'!BB422,'Counter_PnL'!BD422))</x:f>
        <x:v>0</x:v>
      </x:c>
      <x:c r="J422" s="79" t="n">
        <x:f>ABS('Counter_PnL'!BL422-SUM('Counter_PnL'!AV422,'Counter_PnL'!BE422,'Counter_PnL'!BJ422,'Counter_PnL'!BK422))</x:f>
        <x:v>0</x:v>
      </x:c>
      <x:c r="K422" s="79" t="n">
        <x:f>ABS('Counter_PnL'!BO422-('Counter_PnL'!BL422+'Counter_PnL'!BN422))</x:f>
        <x:v>0</x:v>
      </x:c>
      <x:c r="L422" s="79" t="n">
        <x:f>MAX(ABS('Counter_PnL'!AW422-'Counter_PnL'!AV422/'Counter_PnL'!AK422),ABS('Counter_PnL'!BM422-'Counter_PnL'!BL422/'Counter_PnL'!AK422),ABS('Counter_PnL'!BP422-'Counter_PnL'!BO422/'Counter_PnL'!AK422))</x:f>
        <x:v>0</x:v>
      </x:c>
      <x:c r="M422" s="30" t="n">
        <x:f>IF(AND('Counter_PnL'!Q422&gt;0,'Counter_PnL'!AK422&gt;0,'Counter_PnL'!R422&lt;=0,'Counter_PnL'!T422&lt;=0,'Counter_PnL'!AT422&lt;=0,'Counter_PnL'!BE422&lt;=0,'Counter_PnL'!BJ422&lt;=0,'Counter_PnL'!BK422&lt;=0,'Counter_PnL'!BN422&lt;=0),0,1)</x:f>
        <x:v>0</x:v>
      </x:c>
    </x:row>
    <x:row r="423">
      <x:c r="A423" t="str">
        <x:f>'Counter_PnL'!D423</x:f>
        <x:v>CNCT0106</x:v>
      </x:c>
      <x:c r="B423" t="str">
        <x:f>'Counter_PnL'!C423</x:f>
        <x:v>2025 S2</x:v>
      </x:c>
      <x:c r="C423" s="30" t="n">
        <x:f>COUNTIFS('Counter_PnL'!$D$2:$D$641,A423,'Counter_PnL'!$C$2:$C$641,B423)</x:f>
        <x:v>1</x:v>
      </x:c>
      <x:c r="D423" s="79" t="n">
        <x:f>ABS('Counter_PnL'!AC423-SUM('Counter_PnL'!V423:'Counter_PnL'!AB423))</x:f>
        <x:v>0</x:v>
      </x:c>
      <x:c r="E423" s="79" t="n">
        <x:f>ABS('Counter_PnL'!AI423-SUM('Counter_PnL'!R423,'Counter_PnL'!T423,'Counter_PnL'!AC423,'Counter_PnL'!AE423,'Counter_PnL'!AG423,'Counter_PnL'!AH423))</x:f>
        <x:v>0</x:v>
      </x:c>
      <x:c r="F423" s="79" t="n">
        <x:f>ABS('Counter_PnL'!AK423-('Counter_PnL'!Q423+'Counter_PnL'!AI423))</x:f>
        <x:v>0</x:v>
      </x:c>
      <x:c r="G423" s="79" t="n">
        <x:f>ABS('Counter_PnL'!AT423-SUM('Counter_PnL'!AO423:'Counter_PnL'!AS423))</x:f>
        <x:v>0</x:v>
      </x:c>
      <x:c r="H423" s="79" t="n">
        <x:f>ABS('Counter_PnL'!AV423-('Counter_PnL'!AK423+'Counter_PnL'!AT423))</x:f>
        <x:v>0</x:v>
      </x:c>
      <x:c r="I423" s="79" t="n">
        <x:f>ABS('Counter_PnL'!BE423-SUM('Counter_PnL'!AX423:'Counter_PnL'!BB423,'Counter_PnL'!BD423))</x:f>
        <x:v>0</x:v>
      </x:c>
      <x:c r="J423" s="79" t="n">
        <x:f>ABS('Counter_PnL'!BL423-SUM('Counter_PnL'!AV423,'Counter_PnL'!BE423,'Counter_PnL'!BJ423,'Counter_PnL'!BK423))</x:f>
        <x:v>0</x:v>
      </x:c>
      <x:c r="K423" s="79" t="n">
        <x:f>ABS('Counter_PnL'!BO423-('Counter_PnL'!BL423+'Counter_PnL'!BN423))</x:f>
        <x:v>0</x:v>
      </x:c>
      <x:c r="L423" s="79" t="n">
        <x:f>MAX(ABS('Counter_PnL'!AW423-'Counter_PnL'!AV423/'Counter_PnL'!AK423),ABS('Counter_PnL'!BM423-'Counter_PnL'!BL423/'Counter_PnL'!AK423),ABS('Counter_PnL'!BP423-'Counter_PnL'!BO423/'Counter_PnL'!AK423))</x:f>
        <x:v>0</x:v>
      </x:c>
      <x:c r="M423" s="30" t="n">
        <x:f>IF(AND('Counter_PnL'!Q423&gt;0,'Counter_PnL'!AK423&gt;0,'Counter_PnL'!R423&lt;=0,'Counter_PnL'!T423&lt;=0,'Counter_PnL'!AT423&lt;=0,'Counter_PnL'!BE423&lt;=0,'Counter_PnL'!BJ423&lt;=0,'Counter_PnL'!BK423&lt;=0,'Counter_PnL'!BN423&lt;=0),0,1)</x:f>
        <x:v>0</x:v>
      </x:c>
    </x:row>
    <x:row r="424">
      <x:c r="A424" t="str">
        <x:f>'Counter_PnL'!D424</x:f>
        <x:v>CNCT0106</x:v>
      </x:c>
      <x:c r="B424" t="str">
        <x:f>'Counter_PnL'!C424</x:f>
        <x:v>2026 S1</x:v>
      </x:c>
      <x:c r="C424" s="30" t="n">
        <x:f>COUNTIFS('Counter_PnL'!$D$2:$D$641,A424,'Counter_PnL'!$C$2:$C$641,B424)</x:f>
        <x:v>1</x:v>
      </x:c>
      <x:c r="D424" s="79" t="n">
        <x:f>ABS('Counter_PnL'!AC424-SUM('Counter_PnL'!V424:'Counter_PnL'!AB424))</x:f>
        <x:v>0</x:v>
      </x:c>
      <x:c r="E424" s="79" t="n">
        <x:f>ABS('Counter_PnL'!AI424-SUM('Counter_PnL'!R424,'Counter_PnL'!T424,'Counter_PnL'!AC424,'Counter_PnL'!AE424,'Counter_PnL'!AG424,'Counter_PnL'!AH424))</x:f>
        <x:v>0</x:v>
      </x:c>
      <x:c r="F424" s="79" t="n">
        <x:f>ABS('Counter_PnL'!AK424-('Counter_PnL'!Q424+'Counter_PnL'!AI424))</x:f>
        <x:v>0</x:v>
      </x:c>
      <x:c r="G424" s="79" t="n">
        <x:f>ABS('Counter_PnL'!AT424-SUM('Counter_PnL'!AO424:'Counter_PnL'!AS424))</x:f>
        <x:v>0</x:v>
      </x:c>
      <x:c r="H424" s="79" t="n">
        <x:f>ABS('Counter_PnL'!AV424-('Counter_PnL'!AK424+'Counter_PnL'!AT424))</x:f>
        <x:v>0</x:v>
      </x:c>
      <x:c r="I424" s="79" t="n">
        <x:f>ABS('Counter_PnL'!BE424-SUM('Counter_PnL'!AX424:'Counter_PnL'!BB424,'Counter_PnL'!BD424))</x:f>
        <x:v>0</x:v>
      </x:c>
      <x:c r="J424" s="79" t="n">
        <x:f>ABS('Counter_PnL'!BL424-SUM('Counter_PnL'!AV424,'Counter_PnL'!BE424,'Counter_PnL'!BJ424,'Counter_PnL'!BK424))</x:f>
        <x:v>0</x:v>
      </x:c>
      <x:c r="K424" s="79" t="n">
        <x:f>ABS('Counter_PnL'!BO424-('Counter_PnL'!BL424+'Counter_PnL'!BN424))</x:f>
        <x:v>0</x:v>
      </x:c>
      <x:c r="L424" s="79" t="n">
        <x:f>MAX(ABS('Counter_PnL'!AW424-'Counter_PnL'!AV424/'Counter_PnL'!AK424),ABS('Counter_PnL'!BM424-'Counter_PnL'!BL424/'Counter_PnL'!AK424),ABS('Counter_PnL'!BP424-'Counter_PnL'!BO424/'Counter_PnL'!AK424))</x:f>
        <x:v>0</x:v>
      </x:c>
      <x:c r="M424" s="30" t="n">
        <x:f>IF(AND('Counter_PnL'!Q424&gt;0,'Counter_PnL'!AK424&gt;0,'Counter_PnL'!R424&lt;=0,'Counter_PnL'!T424&lt;=0,'Counter_PnL'!AT424&lt;=0,'Counter_PnL'!BE424&lt;=0,'Counter_PnL'!BJ424&lt;=0,'Counter_PnL'!BK424&lt;=0,'Counter_PnL'!BN424&lt;=0),0,1)</x:f>
        <x:v>0</x:v>
      </x:c>
    </x:row>
    <x:row r="425">
      <x:c r="A425" t="str">
        <x:f>'Counter_PnL'!D425</x:f>
        <x:v>CNCT0106</x:v>
      </x:c>
      <x:c r="B425" t="str">
        <x:f>'Counter_PnL'!C425</x:f>
        <x:v>2026 S2</x:v>
      </x:c>
      <x:c r="C425" s="30" t="n">
        <x:f>COUNTIFS('Counter_PnL'!$D$2:$D$641,A425,'Counter_PnL'!$C$2:$C$641,B425)</x:f>
        <x:v>1</x:v>
      </x:c>
      <x:c r="D425" s="79" t="n">
        <x:f>ABS('Counter_PnL'!AC425-SUM('Counter_PnL'!V425:'Counter_PnL'!AB425))</x:f>
        <x:v>0</x:v>
      </x:c>
      <x:c r="E425" s="79" t="n">
        <x:f>ABS('Counter_PnL'!AI425-SUM('Counter_PnL'!R425,'Counter_PnL'!T425,'Counter_PnL'!AC425,'Counter_PnL'!AE425,'Counter_PnL'!AG425,'Counter_PnL'!AH425))</x:f>
        <x:v>0</x:v>
      </x:c>
      <x:c r="F425" s="79" t="n">
        <x:f>ABS('Counter_PnL'!AK425-('Counter_PnL'!Q425+'Counter_PnL'!AI425))</x:f>
        <x:v>0</x:v>
      </x:c>
      <x:c r="G425" s="79" t="n">
        <x:f>ABS('Counter_PnL'!AT425-SUM('Counter_PnL'!AO425:'Counter_PnL'!AS425))</x:f>
        <x:v>0</x:v>
      </x:c>
      <x:c r="H425" s="79" t="n">
        <x:f>ABS('Counter_PnL'!AV425-('Counter_PnL'!AK425+'Counter_PnL'!AT425))</x:f>
        <x:v>0</x:v>
      </x:c>
      <x:c r="I425" s="79" t="n">
        <x:f>ABS('Counter_PnL'!BE425-SUM('Counter_PnL'!AX425:'Counter_PnL'!BB425,'Counter_PnL'!BD425))</x:f>
        <x:v>0</x:v>
      </x:c>
      <x:c r="J425" s="79" t="n">
        <x:f>ABS('Counter_PnL'!BL425-SUM('Counter_PnL'!AV425,'Counter_PnL'!BE425,'Counter_PnL'!BJ425,'Counter_PnL'!BK425))</x:f>
        <x:v>0</x:v>
      </x:c>
      <x:c r="K425" s="79" t="n">
        <x:f>ABS('Counter_PnL'!BO425-('Counter_PnL'!BL425+'Counter_PnL'!BN425))</x:f>
        <x:v>0</x:v>
      </x:c>
      <x:c r="L425" s="79" t="n">
        <x:f>MAX(ABS('Counter_PnL'!AW425-'Counter_PnL'!AV425/'Counter_PnL'!AK425),ABS('Counter_PnL'!BM425-'Counter_PnL'!BL425/'Counter_PnL'!AK425),ABS('Counter_PnL'!BP425-'Counter_PnL'!BO425/'Counter_PnL'!AK425))</x:f>
        <x:v>0</x:v>
      </x:c>
      <x:c r="M425" s="30" t="n">
        <x:f>IF(AND('Counter_PnL'!Q425&gt;0,'Counter_PnL'!AK425&gt;0,'Counter_PnL'!R425&lt;=0,'Counter_PnL'!T425&lt;=0,'Counter_PnL'!AT425&lt;=0,'Counter_PnL'!BE425&lt;=0,'Counter_PnL'!BJ425&lt;=0,'Counter_PnL'!BK425&lt;=0,'Counter_PnL'!BN425&lt;=0),0,1)</x:f>
        <x:v>0</x:v>
      </x:c>
    </x:row>
    <x:row r="426">
      <x:c r="A426" t="str">
        <x:f>'Counter_PnL'!D426</x:f>
        <x:v>CNCT0107</x:v>
      </x:c>
      <x:c r="B426" t="str">
        <x:f>'Counter_PnL'!C426</x:f>
        <x:v>2025 S1</x:v>
      </x:c>
      <x:c r="C426" s="30" t="n">
        <x:f>COUNTIFS('Counter_PnL'!$D$2:$D$641,A426,'Counter_PnL'!$C$2:$C$641,B426)</x:f>
        <x:v>1</x:v>
      </x:c>
      <x:c r="D426" s="79" t="n">
        <x:f>ABS('Counter_PnL'!AC426-SUM('Counter_PnL'!V426:'Counter_PnL'!AB426))</x:f>
        <x:v>0</x:v>
      </x:c>
      <x:c r="E426" s="79" t="n">
        <x:f>ABS('Counter_PnL'!AI426-SUM('Counter_PnL'!R426,'Counter_PnL'!T426,'Counter_PnL'!AC426,'Counter_PnL'!AE426,'Counter_PnL'!AG426,'Counter_PnL'!AH426))</x:f>
        <x:v>0</x:v>
      </x:c>
      <x:c r="F426" s="79" t="n">
        <x:f>ABS('Counter_PnL'!AK426-('Counter_PnL'!Q426+'Counter_PnL'!AI426))</x:f>
        <x:v>0</x:v>
      </x:c>
      <x:c r="G426" s="79" t="n">
        <x:f>ABS('Counter_PnL'!AT426-SUM('Counter_PnL'!AO426:'Counter_PnL'!AS426))</x:f>
        <x:v>0</x:v>
      </x:c>
      <x:c r="H426" s="79" t="n">
        <x:f>ABS('Counter_PnL'!AV426-('Counter_PnL'!AK426+'Counter_PnL'!AT426))</x:f>
        <x:v>0</x:v>
      </x:c>
      <x:c r="I426" s="79" t="n">
        <x:f>ABS('Counter_PnL'!BE426-SUM('Counter_PnL'!AX426:'Counter_PnL'!BB426,'Counter_PnL'!BD426))</x:f>
        <x:v>0</x:v>
      </x:c>
      <x:c r="J426" s="79" t="n">
        <x:f>ABS('Counter_PnL'!BL426-SUM('Counter_PnL'!AV426,'Counter_PnL'!BE426,'Counter_PnL'!BJ426,'Counter_PnL'!BK426))</x:f>
        <x:v>0</x:v>
      </x:c>
      <x:c r="K426" s="79" t="n">
        <x:f>ABS('Counter_PnL'!BO426-('Counter_PnL'!BL426+'Counter_PnL'!BN426))</x:f>
        <x:v>0</x:v>
      </x:c>
      <x:c r="L426" s="79" t="n">
        <x:f>MAX(ABS('Counter_PnL'!AW426-'Counter_PnL'!AV426/'Counter_PnL'!AK426),ABS('Counter_PnL'!BM426-'Counter_PnL'!BL426/'Counter_PnL'!AK426),ABS('Counter_PnL'!BP426-'Counter_PnL'!BO426/'Counter_PnL'!AK426))</x:f>
        <x:v>0</x:v>
      </x:c>
      <x:c r="M426" s="30" t="n">
        <x:f>IF(AND('Counter_PnL'!Q426&gt;0,'Counter_PnL'!AK426&gt;0,'Counter_PnL'!R426&lt;=0,'Counter_PnL'!T426&lt;=0,'Counter_PnL'!AT426&lt;=0,'Counter_PnL'!BE426&lt;=0,'Counter_PnL'!BJ426&lt;=0,'Counter_PnL'!BK426&lt;=0,'Counter_PnL'!BN426&lt;=0),0,1)</x:f>
        <x:v>0</x:v>
      </x:c>
    </x:row>
    <x:row r="427">
      <x:c r="A427" t="str">
        <x:f>'Counter_PnL'!D427</x:f>
        <x:v>CNCT0107</x:v>
      </x:c>
      <x:c r="B427" t="str">
        <x:f>'Counter_PnL'!C427</x:f>
        <x:v>2025 S2</x:v>
      </x:c>
      <x:c r="C427" s="30" t="n">
        <x:f>COUNTIFS('Counter_PnL'!$D$2:$D$641,A427,'Counter_PnL'!$C$2:$C$641,B427)</x:f>
        <x:v>1</x:v>
      </x:c>
      <x:c r="D427" s="79" t="n">
        <x:f>ABS('Counter_PnL'!AC427-SUM('Counter_PnL'!V427:'Counter_PnL'!AB427))</x:f>
        <x:v>0</x:v>
      </x:c>
      <x:c r="E427" s="79" t="n">
        <x:f>ABS('Counter_PnL'!AI427-SUM('Counter_PnL'!R427,'Counter_PnL'!T427,'Counter_PnL'!AC427,'Counter_PnL'!AE427,'Counter_PnL'!AG427,'Counter_PnL'!AH427))</x:f>
        <x:v>0</x:v>
      </x:c>
      <x:c r="F427" s="79" t="n">
        <x:f>ABS('Counter_PnL'!AK427-('Counter_PnL'!Q427+'Counter_PnL'!AI427))</x:f>
        <x:v>0</x:v>
      </x:c>
      <x:c r="G427" s="79" t="n">
        <x:f>ABS('Counter_PnL'!AT427-SUM('Counter_PnL'!AO427:'Counter_PnL'!AS427))</x:f>
        <x:v>0</x:v>
      </x:c>
      <x:c r="H427" s="79" t="n">
        <x:f>ABS('Counter_PnL'!AV427-('Counter_PnL'!AK427+'Counter_PnL'!AT427))</x:f>
        <x:v>0</x:v>
      </x:c>
      <x:c r="I427" s="79" t="n">
        <x:f>ABS('Counter_PnL'!BE427-SUM('Counter_PnL'!AX427:'Counter_PnL'!BB427,'Counter_PnL'!BD427))</x:f>
        <x:v>0</x:v>
      </x:c>
      <x:c r="J427" s="79" t="n">
        <x:f>ABS('Counter_PnL'!BL427-SUM('Counter_PnL'!AV427,'Counter_PnL'!BE427,'Counter_PnL'!BJ427,'Counter_PnL'!BK427))</x:f>
        <x:v>0</x:v>
      </x:c>
      <x:c r="K427" s="79" t="n">
        <x:f>ABS('Counter_PnL'!BO427-('Counter_PnL'!BL427+'Counter_PnL'!BN427))</x:f>
        <x:v>0</x:v>
      </x:c>
      <x:c r="L427" s="79" t="n">
        <x:f>MAX(ABS('Counter_PnL'!AW427-'Counter_PnL'!AV427/'Counter_PnL'!AK427),ABS('Counter_PnL'!BM427-'Counter_PnL'!BL427/'Counter_PnL'!AK427),ABS('Counter_PnL'!BP427-'Counter_PnL'!BO427/'Counter_PnL'!AK427))</x:f>
        <x:v>0</x:v>
      </x:c>
      <x:c r="M427" s="30" t="n">
        <x:f>IF(AND('Counter_PnL'!Q427&gt;0,'Counter_PnL'!AK427&gt;0,'Counter_PnL'!R427&lt;=0,'Counter_PnL'!T427&lt;=0,'Counter_PnL'!AT427&lt;=0,'Counter_PnL'!BE427&lt;=0,'Counter_PnL'!BJ427&lt;=0,'Counter_PnL'!BK427&lt;=0,'Counter_PnL'!BN427&lt;=0),0,1)</x:f>
        <x:v>0</x:v>
      </x:c>
    </x:row>
    <x:row r="428">
      <x:c r="A428" t="str">
        <x:f>'Counter_PnL'!D428</x:f>
        <x:v>CNCT0107</x:v>
      </x:c>
      <x:c r="B428" t="str">
        <x:f>'Counter_PnL'!C428</x:f>
        <x:v>2026 S1</x:v>
      </x:c>
      <x:c r="C428" s="30" t="n">
        <x:f>COUNTIFS('Counter_PnL'!$D$2:$D$641,A428,'Counter_PnL'!$C$2:$C$641,B428)</x:f>
        <x:v>1</x:v>
      </x:c>
      <x:c r="D428" s="79" t="n">
        <x:f>ABS('Counter_PnL'!AC428-SUM('Counter_PnL'!V428:'Counter_PnL'!AB428))</x:f>
        <x:v>0</x:v>
      </x:c>
      <x:c r="E428" s="79" t="n">
        <x:f>ABS('Counter_PnL'!AI428-SUM('Counter_PnL'!R428,'Counter_PnL'!T428,'Counter_PnL'!AC428,'Counter_PnL'!AE428,'Counter_PnL'!AG428,'Counter_PnL'!AH428))</x:f>
        <x:v>0</x:v>
      </x:c>
      <x:c r="F428" s="79" t="n">
        <x:f>ABS('Counter_PnL'!AK428-('Counter_PnL'!Q428+'Counter_PnL'!AI428))</x:f>
        <x:v>0</x:v>
      </x:c>
      <x:c r="G428" s="79" t="n">
        <x:f>ABS('Counter_PnL'!AT428-SUM('Counter_PnL'!AO428:'Counter_PnL'!AS428))</x:f>
        <x:v>0</x:v>
      </x:c>
      <x:c r="H428" s="79" t="n">
        <x:f>ABS('Counter_PnL'!AV428-('Counter_PnL'!AK428+'Counter_PnL'!AT428))</x:f>
        <x:v>0</x:v>
      </x:c>
      <x:c r="I428" s="79" t="n">
        <x:f>ABS('Counter_PnL'!BE428-SUM('Counter_PnL'!AX428:'Counter_PnL'!BB428,'Counter_PnL'!BD428))</x:f>
        <x:v>0</x:v>
      </x:c>
      <x:c r="J428" s="79" t="n">
        <x:f>ABS('Counter_PnL'!BL428-SUM('Counter_PnL'!AV428,'Counter_PnL'!BE428,'Counter_PnL'!BJ428,'Counter_PnL'!BK428))</x:f>
        <x:v>0</x:v>
      </x:c>
      <x:c r="K428" s="79" t="n">
        <x:f>ABS('Counter_PnL'!BO428-('Counter_PnL'!BL428+'Counter_PnL'!BN428))</x:f>
        <x:v>0</x:v>
      </x:c>
      <x:c r="L428" s="79" t="n">
        <x:f>MAX(ABS('Counter_PnL'!AW428-'Counter_PnL'!AV428/'Counter_PnL'!AK428),ABS('Counter_PnL'!BM428-'Counter_PnL'!BL428/'Counter_PnL'!AK428),ABS('Counter_PnL'!BP428-'Counter_PnL'!BO428/'Counter_PnL'!AK428))</x:f>
        <x:v>0</x:v>
      </x:c>
      <x:c r="M428" s="30" t="n">
        <x:f>IF(AND('Counter_PnL'!Q428&gt;0,'Counter_PnL'!AK428&gt;0,'Counter_PnL'!R428&lt;=0,'Counter_PnL'!T428&lt;=0,'Counter_PnL'!AT428&lt;=0,'Counter_PnL'!BE428&lt;=0,'Counter_PnL'!BJ428&lt;=0,'Counter_PnL'!BK428&lt;=0,'Counter_PnL'!BN428&lt;=0),0,1)</x:f>
        <x:v>0</x:v>
      </x:c>
    </x:row>
    <x:row r="429">
      <x:c r="A429" t="str">
        <x:f>'Counter_PnL'!D429</x:f>
        <x:v>CNCT0107</x:v>
      </x:c>
      <x:c r="B429" t="str">
        <x:f>'Counter_PnL'!C429</x:f>
        <x:v>2026 S2</x:v>
      </x:c>
      <x:c r="C429" s="30" t="n">
        <x:f>COUNTIFS('Counter_PnL'!$D$2:$D$641,A429,'Counter_PnL'!$C$2:$C$641,B429)</x:f>
        <x:v>1</x:v>
      </x:c>
      <x:c r="D429" s="79" t="n">
        <x:f>ABS('Counter_PnL'!AC429-SUM('Counter_PnL'!V429:'Counter_PnL'!AB429))</x:f>
        <x:v>0</x:v>
      </x:c>
      <x:c r="E429" s="79" t="n">
        <x:f>ABS('Counter_PnL'!AI429-SUM('Counter_PnL'!R429,'Counter_PnL'!T429,'Counter_PnL'!AC429,'Counter_PnL'!AE429,'Counter_PnL'!AG429,'Counter_PnL'!AH429))</x:f>
        <x:v>0</x:v>
      </x:c>
      <x:c r="F429" s="79" t="n">
        <x:f>ABS('Counter_PnL'!AK429-('Counter_PnL'!Q429+'Counter_PnL'!AI429))</x:f>
        <x:v>0</x:v>
      </x:c>
      <x:c r="G429" s="79" t="n">
        <x:f>ABS('Counter_PnL'!AT429-SUM('Counter_PnL'!AO429:'Counter_PnL'!AS429))</x:f>
        <x:v>0</x:v>
      </x:c>
      <x:c r="H429" s="79" t="n">
        <x:f>ABS('Counter_PnL'!AV429-('Counter_PnL'!AK429+'Counter_PnL'!AT429))</x:f>
        <x:v>0</x:v>
      </x:c>
      <x:c r="I429" s="79" t="n">
        <x:f>ABS('Counter_PnL'!BE429-SUM('Counter_PnL'!AX429:'Counter_PnL'!BB429,'Counter_PnL'!BD429))</x:f>
        <x:v>0</x:v>
      </x:c>
      <x:c r="J429" s="79" t="n">
        <x:f>ABS('Counter_PnL'!BL429-SUM('Counter_PnL'!AV429,'Counter_PnL'!BE429,'Counter_PnL'!BJ429,'Counter_PnL'!BK429))</x:f>
        <x:v>0</x:v>
      </x:c>
      <x:c r="K429" s="79" t="n">
        <x:f>ABS('Counter_PnL'!BO429-('Counter_PnL'!BL429+'Counter_PnL'!BN429))</x:f>
        <x:v>0</x:v>
      </x:c>
      <x:c r="L429" s="79" t="n">
        <x:f>MAX(ABS('Counter_PnL'!AW429-'Counter_PnL'!AV429/'Counter_PnL'!AK429),ABS('Counter_PnL'!BM429-'Counter_PnL'!BL429/'Counter_PnL'!AK429),ABS('Counter_PnL'!BP429-'Counter_PnL'!BO429/'Counter_PnL'!AK429))</x:f>
        <x:v>0</x:v>
      </x:c>
      <x:c r="M429" s="30" t="n">
        <x:f>IF(AND('Counter_PnL'!Q429&gt;0,'Counter_PnL'!AK429&gt;0,'Counter_PnL'!R429&lt;=0,'Counter_PnL'!T429&lt;=0,'Counter_PnL'!AT429&lt;=0,'Counter_PnL'!BE429&lt;=0,'Counter_PnL'!BJ429&lt;=0,'Counter_PnL'!BK429&lt;=0,'Counter_PnL'!BN429&lt;=0),0,1)</x:f>
        <x:v>0</x:v>
      </x:c>
    </x:row>
    <x:row r="430">
      <x:c r="A430" t="str">
        <x:f>'Counter_PnL'!D430</x:f>
        <x:v>CNCT0108</x:v>
      </x:c>
      <x:c r="B430" t="str">
        <x:f>'Counter_PnL'!C430</x:f>
        <x:v>2025 S1</x:v>
      </x:c>
      <x:c r="C430" s="30" t="n">
        <x:f>COUNTIFS('Counter_PnL'!$D$2:$D$641,A430,'Counter_PnL'!$C$2:$C$641,B430)</x:f>
        <x:v>1</x:v>
      </x:c>
      <x:c r="D430" s="79" t="n">
        <x:f>ABS('Counter_PnL'!AC430-SUM('Counter_PnL'!V430:'Counter_PnL'!AB430))</x:f>
        <x:v>0</x:v>
      </x:c>
      <x:c r="E430" s="79" t="n">
        <x:f>ABS('Counter_PnL'!AI430-SUM('Counter_PnL'!R430,'Counter_PnL'!T430,'Counter_PnL'!AC430,'Counter_PnL'!AE430,'Counter_PnL'!AG430,'Counter_PnL'!AH430))</x:f>
        <x:v>0</x:v>
      </x:c>
      <x:c r="F430" s="79" t="n">
        <x:f>ABS('Counter_PnL'!AK430-('Counter_PnL'!Q430+'Counter_PnL'!AI430))</x:f>
        <x:v>0</x:v>
      </x:c>
      <x:c r="G430" s="79" t="n">
        <x:f>ABS('Counter_PnL'!AT430-SUM('Counter_PnL'!AO430:'Counter_PnL'!AS430))</x:f>
        <x:v>0</x:v>
      </x:c>
      <x:c r="H430" s="79" t="n">
        <x:f>ABS('Counter_PnL'!AV430-('Counter_PnL'!AK430+'Counter_PnL'!AT430))</x:f>
        <x:v>0</x:v>
      </x:c>
      <x:c r="I430" s="79" t="n">
        <x:f>ABS('Counter_PnL'!BE430-SUM('Counter_PnL'!AX430:'Counter_PnL'!BB430,'Counter_PnL'!BD430))</x:f>
        <x:v>0</x:v>
      </x:c>
      <x:c r="J430" s="79" t="n">
        <x:f>ABS('Counter_PnL'!BL430-SUM('Counter_PnL'!AV430,'Counter_PnL'!BE430,'Counter_PnL'!BJ430,'Counter_PnL'!BK430))</x:f>
        <x:v>0</x:v>
      </x:c>
      <x:c r="K430" s="79" t="n">
        <x:f>ABS('Counter_PnL'!BO430-('Counter_PnL'!BL430+'Counter_PnL'!BN430))</x:f>
        <x:v>0</x:v>
      </x:c>
      <x:c r="L430" s="79" t="n">
        <x:f>MAX(ABS('Counter_PnL'!AW430-'Counter_PnL'!AV430/'Counter_PnL'!AK430),ABS('Counter_PnL'!BM430-'Counter_PnL'!BL430/'Counter_PnL'!AK430),ABS('Counter_PnL'!BP430-'Counter_PnL'!BO430/'Counter_PnL'!AK430))</x:f>
        <x:v>0</x:v>
      </x:c>
      <x:c r="M430" s="30" t="n">
        <x:f>IF(AND('Counter_PnL'!Q430&gt;0,'Counter_PnL'!AK430&gt;0,'Counter_PnL'!R430&lt;=0,'Counter_PnL'!T430&lt;=0,'Counter_PnL'!AT430&lt;=0,'Counter_PnL'!BE430&lt;=0,'Counter_PnL'!BJ430&lt;=0,'Counter_PnL'!BK430&lt;=0,'Counter_PnL'!BN430&lt;=0),0,1)</x:f>
        <x:v>0</x:v>
      </x:c>
    </x:row>
    <x:row r="431">
      <x:c r="A431" t="str">
        <x:f>'Counter_PnL'!D431</x:f>
        <x:v>CNCT0108</x:v>
      </x:c>
      <x:c r="B431" t="str">
        <x:f>'Counter_PnL'!C431</x:f>
        <x:v>2025 S2</x:v>
      </x:c>
      <x:c r="C431" s="30" t="n">
        <x:f>COUNTIFS('Counter_PnL'!$D$2:$D$641,A431,'Counter_PnL'!$C$2:$C$641,B431)</x:f>
        <x:v>1</x:v>
      </x:c>
      <x:c r="D431" s="79" t="n">
        <x:f>ABS('Counter_PnL'!AC431-SUM('Counter_PnL'!V431:'Counter_PnL'!AB431))</x:f>
        <x:v>0</x:v>
      </x:c>
      <x:c r="E431" s="79" t="n">
        <x:f>ABS('Counter_PnL'!AI431-SUM('Counter_PnL'!R431,'Counter_PnL'!T431,'Counter_PnL'!AC431,'Counter_PnL'!AE431,'Counter_PnL'!AG431,'Counter_PnL'!AH431))</x:f>
        <x:v>0</x:v>
      </x:c>
      <x:c r="F431" s="79" t="n">
        <x:f>ABS('Counter_PnL'!AK431-('Counter_PnL'!Q431+'Counter_PnL'!AI431))</x:f>
        <x:v>0</x:v>
      </x:c>
      <x:c r="G431" s="79" t="n">
        <x:f>ABS('Counter_PnL'!AT431-SUM('Counter_PnL'!AO431:'Counter_PnL'!AS431))</x:f>
        <x:v>0</x:v>
      </x:c>
      <x:c r="H431" s="79" t="n">
        <x:f>ABS('Counter_PnL'!AV431-('Counter_PnL'!AK431+'Counter_PnL'!AT431))</x:f>
        <x:v>0</x:v>
      </x:c>
      <x:c r="I431" s="79" t="n">
        <x:f>ABS('Counter_PnL'!BE431-SUM('Counter_PnL'!AX431:'Counter_PnL'!BB431,'Counter_PnL'!BD431))</x:f>
        <x:v>0</x:v>
      </x:c>
      <x:c r="J431" s="79" t="n">
        <x:f>ABS('Counter_PnL'!BL431-SUM('Counter_PnL'!AV431,'Counter_PnL'!BE431,'Counter_PnL'!BJ431,'Counter_PnL'!BK431))</x:f>
        <x:v>0</x:v>
      </x:c>
      <x:c r="K431" s="79" t="n">
        <x:f>ABS('Counter_PnL'!BO431-('Counter_PnL'!BL431+'Counter_PnL'!BN431))</x:f>
        <x:v>0</x:v>
      </x:c>
      <x:c r="L431" s="79" t="n">
        <x:f>MAX(ABS('Counter_PnL'!AW431-'Counter_PnL'!AV431/'Counter_PnL'!AK431),ABS('Counter_PnL'!BM431-'Counter_PnL'!BL431/'Counter_PnL'!AK431),ABS('Counter_PnL'!BP431-'Counter_PnL'!BO431/'Counter_PnL'!AK431))</x:f>
        <x:v>0</x:v>
      </x:c>
      <x:c r="M431" s="30" t="n">
        <x:f>IF(AND('Counter_PnL'!Q431&gt;0,'Counter_PnL'!AK431&gt;0,'Counter_PnL'!R431&lt;=0,'Counter_PnL'!T431&lt;=0,'Counter_PnL'!AT431&lt;=0,'Counter_PnL'!BE431&lt;=0,'Counter_PnL'!BJ431&lt;=0,'Counter_PnL'!BK431&lt;=0,'Counter_PnL'!BN431&lt;=0),0,1)</x:f>
        <x:v>0</x:v>
      </x:c>
    </x:row>
    <x:row r="432">
      <x:c r="A432" t="str">
        <x:f>'Counter_PnL'!D432</x:f>
        <x:v>CNCT0108</x:v>
      </x:c>
      <x:c r="B432" t="str">
        <x:f>'Counter_PnL'!C432</x:f>
        <x:v>2026 S1</x:v>
      </x:c>
      <x:c r="C432" s="30" t="n">
        <x:f>COUNTIFS('Counter_PnL'!$D$2:$D$641,A432,'Counter_PnL'!$C$2:$C$641,B432)</x:f>
        <x:v>1</x:v>
      </x:c>
      <x:c r="D432" s="79" t="n">
        <x:f>ABS('Counter_PnL'!AC432-SUM('Counter_PnL'!V432:'Counter_PnL'!AB432))</x:f>
        <x:v>0</x:v>
      </x:c>
      <x:c r="E432" s="79" t="n">
        <x:f>ABS('Counter_PnL'!AI432-SUM('Counter_PnL'!R432,'Counter_PnL'!T432,'Counter_PnL'!AC432,'Counter_PnL'!AE432,'Counter_PnL'!AG432,'Counter_PnL'!AH432))</x:f>
        <x:v>0</x:v>
      </x:c>
      <x:c r="F432" s="79" t="n">
        <x:f>ABS('Counter_PnL'!AK432-('Counter_PnL'!Q432+'Counter_PnL'!AI432))</x:f>
        <x:v>0</x:v>
      </x:c>
      <x:c r="G432" s="79" t="n">
        <x:f>ABS('Counter_PnL'!AT432-SUM('Counter_PnL'!AO432:'Counter_PnL'!AS432))</x:f>
        <x:v>0</x:v>
      </x:c>
      <x:c r="H432" s="79" t="n">
        <x:f>ABS('Counter_PnL'!AV432-('Counter_PnL'!AK432+'Counter_PnL'!AT432))</x:f>
        <x:v>0</x:v>
      </x:c>
      <x:c r="I432" s="79" t="n">
        <x:f>ABS('Counter_PnL'!BE432-SUM('Counter_PnL'!AX432:'Counter_PnL'!BB432,'Counter_PnL'!BD432))</x:f>
        <x:v>0</x:v>
      </x:c>
      <x:c r="J432" s="79" t="n">
        <x:f>ABS('Counter_PnL'!BL432-SUM('Counter_PnL'!AV432,'Counter_PnL'!BE432,'Counter_PnL'!BJ432,'Counter_PnL'!BK432))</x:f>
        <x:v>0</x:v>
      </x:c>
      <x:c r="K432" s="79" t="n">
        <x:f>ABS('Counter_PnL'!BO432-('Counter_PnL'!BL432+'Counter_PnL'!BN432))</x:f>
        <x:v>0</x:v>
      </x:c>
      <x:c r="L432" s="79" t="n">
        <x:f>MAX(ABS('Counter_PnL'!AW432-'Counter_PnL'!AV432/'Counter_PnL'!AK432),ABS('Counter_PnL'!BM432-'Counter_PnL'!BL432/'Counter_PnL'!AK432),ABS('Counter_PnL'!BP432-'Counter_PnL'!BO432/'Counter_PnL'!AK432))</x:f>
        <x:v>0</x:v>
      </x:c>
      <x:c r="M432" s="30" t="n">
        <x:f>IF(AND('Counter_PnL'!Q432&gt;0,'Counter_PnL'!AK432&gt;0,'Counter_PnL'!R432&lt;=0,'Counter_PnL'!T432&lt;=0,'Counter_PnL'!AT432&lt;=0,'Counter_PnL'!BE432&lt;=0,'Counter_PnL'!BJ432&lt;=0,'Counter_PnL'!BK432&lt;=0,'Counter_PnL'!BN432&lt;=0),0,1)</x:f>
        <x:v>0</x:v>
      </x:c>
    </x:row>
    <x:row r="433">
      <x:c r="A433" t="str">
        <x:f>'Counter_PnL'!D433</x:f>
        <x:v>CNCT0108</x:v>
      </x:c>
      <x:c r="B433" t="str">
        <x:f>'Counter_PnL'!C433</x:f>
        <x:v>2026 S2</x:v>
      </x:c>
      <x:c r="C433" s="30" t="n">
        <x:f>COUNTIFS('Counter_PnL'!$D$2:$D$641,A433,'Counter_PnL'!$C$2:$C$641,B433)</x:f>
        <x:v>1</x:v>
      </x:c>
      <x:c r="D433" s="79" t="n">
        <x:f>ABS('Counter_PnL'!AC433-SUM('Counter_PnL'!V433:'Counter_PnL'!AB433))</x:f>
        <x:v>0</x:v>
      </x:c>
      <x:c r="E433" s="79" t="n">
        <x:f>ABS('Counter_PnL'!AI433-SUM('Counter_PnL'!R433,'Counter_PnL'!T433,'Counter_PnL'!AC433,'Counter_PnL'!AE433,'Counter_PnL'!AG433,'Counter_PnL'!AH433))</x:f>
        <x:v>0</x:v>
      </x:c>
      <x:c r="F433" s="79" t="n">
        <x:f>ABS('Counter_PnL'!AK433-('Counter_PnL'!Q433+'Counter_PnL'!AI433))</x:f>
        <x:v>0</x:v>
      </x:c>
      <x:c r="G433" s="79" t="n">
        <x:f>ABS('Counter_PnL'!AT433-SUM('Counter_PnL'!AO433:'Counter_PnL'!AS433))</x:f>
        <x:v>0</x:v>
      </x:c>
      <x:c r="H433" s="79" t="n">
        <x:f>ABS('Counter_PnL'!AV433-('Counter_PnL'!AK433+'Counter_PnL'!AT433))</x:f>
        <x:v>0</x:v>
      </x:c>
      <x:c r="I433" s="79" t="n">
        <x:f>ABS('Counter_PnL'!BE433-SUM('Counter_PnL'!AX433:'Counter_PnL'!BB433,'Counter_PnL'!BD433))</x:f>
        <x:v>0</x:v>
      </x:c>
      <x:c r="J433" s="79" t="n">
        <x:f>ABS('Counter_PnL'!BL433-SUM('Counter_PnL'!AV433,'Counter_PnL'!BE433,'Counter_PnL'!BJ433,'Counter_PnL'!BK433))</x:f>
        <x:v>0</x:v>
      </x:c>
      <x:c r="K433" s="79" t="n">
        <x:f>ABS('Counter_PnL'!BO433-('Counter_PnL'!BL433+'Counter_PnL'!BN433))</x:f>
        <x:v>0</x:v>
      </x:c>
      <x:c r="L433" s="79" t="n">
        <x:f>MAX(ABS('Counter_PnL'!AW433-'Counter_PnL'!AV433/'Counter_PnL'!AK433),ABS('Counter_PnL'!BM433-'Counter_PnL'!BL433/'Counter_PnL'!AK433),ABS('Counter_PnL'!BP433-'Counter_PnL'!BO433/'Counter_PnL'!AK433))</x:f>
        <x:v>0</x:v>
      </x:c>
      <x:c r="M433" s="30" t="n">
        <x:f>IF(AND('Counter_PnL'!Q433&gt;0,'Counter_PnL'!AK433&gt;0,'Counter_PnL'!R433&lt;=0,'Counter_PnL'!T433&lt;=0,'Counter_PnL'!AT433&lt;=0,'Counter_PnL'!BE433&lt;=0,'Counter_PnL'!BJ433&lt;=0,'Counter_PnL'!BK433&lt;=0,'Counter_PnL'!BN433&lt;=0),0,1)</x:f>
        <x:v>0</x:v>
      </x:c>
    </x:row>
    <x:row r="434">
      <x:c r="A434" t="str">
        <x:f>'Counter_PnL'!D434</x:f>
        <x:v>CNCT0109</x:v>
      </x:c>
      <x:c r="B434" t="str">
        <x:f>'Counter_PnL'!C434</x:f>
        <x:v>2025 S1</x:v>
      </x:c>
      <x:c r="C434" s="30" t="n">
        <x:f>COUNTIFS('Counter_PnL'!$D$2:$D$641,A434,'Counter_PnL'!$C$2:$C$641,B434)</x:f>
        <x:v>1</x:v>
      </x:c>
      <x:c r="D434" s="79" t="n">
        <x:f>ABS('Counter_PnL'!AC434-SUM('Counter_PnL'!V434:'Counter_PnL'!AB434))</x:f>
        <x:v>0</x:v>
      </x:c>
      <x:c r="E434" s="79" t="n">
        <x:f>ABS('Counter_PnL'!AI434-SUM('Counter_PnL'!R434,'Counter_PnL'!T434,'Counter_PnL'!AC434,'Counter_PnL'!AE434,'Counter_PnL'!AG434,'Counter_PnL'!AH434))</x:f>
        <x:v>0</x:v>
      </x:c>
      <x:c r="F434" s="79" t="n">
        <x:f>ABS('Counter_PnL'!AK434-('Counter_PnL'!Q434+'Counter_PnL'!AI434))</x:f>
        <x:v>0</x:v>
      </x:c>
      <x:c r="G434" s="79" t="n">
        <x:f>ABS('Counter_PnL'!AT434-SUM('Counter_PnL'!AO434:'Counter_PnL'!AS434))</x:f>
        <x:v>0</x:v>
      </x:c>
      <x:c r="H434" s="79" t="n">
        <x:f>ABS('Counter_PnL'!AV434-('Counter_PnL'!AK434+'Counter_PnL'!AT434))</x:f>
        <x:v>0</x:v>
      </x:c>
      <x:c r="I434" s="79" t="n">
        <x:f>ABS('Counter_PnL'!BE434-SUM('Counter_PnL'!AX434:'Counter_PnL'!BB434,'Counter_PnL'!BD434))</x:f>
        <x:v>0</x:v>
      </x:c>
      <x:c r="J434" s="79" t="n">
        <x:f>ABS('Counter_PnL'!BL434-SUM('Counter_PnL'!AV434,'Counter_PnL'!BE434,'Counter_PnL'!BJ434,'Counter_PnL'!BK434))</x:f>
        <x:v>0</x:v>
      </x:c>
      <x:c r="K434" s="79" t="n">
        <x:f>ABS('Counter_PnL'!BO434-('Counter_PnL'!BL434+'Counter_PnL'!BN434))</x:f>
        <x:v>0</x:v>
      </x:c>
      <x:c r="L434" s="79" t="n">
        <x:f>MAX(ABS('Counter_PnL'!AW434-'Counter_PnL'!AV434/'Counter_PnL'!AK434),ABS('Counter_PnL'!BM434-'Counter_PnL'!BL434/'Counter_PnL'!AK434),ABS('Counter_PnL'!BP434-'Counter_PnL'!BO434/'Counter_PnL'!AK434))</x:f>
        <x:v>0</x:v>
      </x:c>
      <x:c r="M434" s="30" t="n">
        <x:f>IF(AND('Counter_PnL'!Q434&gt;0,'Counter_PnL'!AK434&gt;0,'Counter_PnL'!R434&lt;=0,'Counter_PnL'!T434&lt;=0,'Counter_PnL'!AT434&lt;=0,'Counter_PnL'!BE434&lt;=0,'Counter_PnL'!BJ434&lt;=0,'Counter_PnL'!BK434&lt;=0,'Counter_PnL'!BN434&lt;=0),0,1)</x:f>
        <x:v>0</x:v>
      </x:c>
    </x:row>
    <x:row r="435">
      <x:c r="A435" t="str">
        <x:f>'Counter_PnL'!D435</x:f>
        <x:v>CNCT0109</x:v>
      </x:c>
      <x:c r="B435" t="str">
        <x:f>'Counter_PnL'!C435</x:f>
        <x:v>2025 S2</x:v>
      </x:c>
      <x:c r="C435" s="30" t="n">
        <x:f>COUNTIFS('Counter_PnL'!$D$2:$D$641,A435,'Counter_PnL'!$C$2:$C$641,B435)</x:f>
        <x:v>1</x:v>
      </x:c>
      <x:c r="D435" s="79" t="n">
        <x:f>ABS('Counter_PnL'!AC435-SUM('Counter_PnL'!V435:'Counter_PnL'!AB435))</x:f>
        <x:v>0</x:v>
      </x:c>
      <x:c r="E435" s="79" t="n">
        <x:f>ABS('Counter_PnL'!AI435-SUM('Counter_PnL'!R435,'Counter_PnL'!T435,'Counter_PnL'!AC435,'Counter_PnL'!AE435,'Counter_PnL'!AG435,'Counter_PnL'!AH435))</x:f>
        <x:v>0</x:v>
      </x:c>
      <x:c r="F435" s="79" t="n">
        <x:f>ABS('Counter_PnL'!AK435-('Counter_PnL'!Q435+'Counter_PnL'!AI435))</x:f>
        <x:v>0</x:v>
      </x:c>
      <x:c r="G435" s="79" t="n">
        <x:f>ABS('Counter_PnL'!AT435-SUM('Counter_PnL'!AO435:'Counter_PnL'!AS435))</x:f>
        <x:v>0</x:v>
      </x:c>
      <x:c r="H435" s="79" t="n">
        <x:f>ABS('Counter_PnL'!AV435-('Counter_PnL'!AK435+'Counter_PnL'!AT435))</x:f>
        <x:v>0</x:v>
      </x:c>
      <x:c r="I435" s="79" t="n">
        <x:f>ABS('Counter_PnL'!BE435-SUM('Counter_PnL'!AX435:'Counter_PnL'!BB435,'Counter_PnL'!BD435))</x:f>
        <x:v>0</x:v>
      </x:c>
      <x:c r="J435" s="79" t="n">
        <x:f>ABS('Counter_PnL'!BL435-SUM('Counter_PnL'!AV435,'Counter_PnL'!BE435,'Counter_PnL'!BJ435,'Counter_PnL'!BK435))</x:f>
        <x:v>0</x:v>
      </x:c>
      <x:c r="K435" s="79" t="n">
        <x:f>ABS('Counter_PnL'!BO435-('Counter_PnL'!BL435+'Counter_PnL'!BN435))</x:f>
        <x:v>0</x:v>
      </x:c>
      <x:c r="L435" s="79" t="n">
        <x:f>MAX(ABS('Counter_PnL'!AW435-'Counter_PnL'!AV435/'Counter_PnL'!AK435),ABS('Counter_PnL'!BM435-'Counter_PnL'!BL435/'Counter_PnL'!AK435),ABS('Counter_PnL'!BP435-'Counter_PnL'!BO435/'Counter_PnL'!AK435))</x:f>
        <x:v>0</x:v>
      </x:c>
      <x:c r="M435" s="30" t="n">
        <x:f>IF(AND('Counter_PnL'!Q435&gt;0,'Counter_PnL'!AK435&gt;0,'Counter_PnL'!R435&lt;=0,'Counter_PnL'!T435&lt;=0,'Counter_PnL'!AT435&lt;=0,'Counter_PnL'!BE435&lt;=0,'Counter_PnL'!BJ435&lt;=0,'Counter_PnL'!BK435&lt;=0,'Counter_PnL'!BN435&lt;=0),0,1)</x:f>
        <x:v>0</x:v>
      </x:c>
    </x:row>
    <x:row r="436">
      <x:c r="A436" t="str">
        <x:f>'Counter_PnL'!D436</x:f>
        <x:v>CNCT0109</x:v>
      </x:c>
      <x:c r="B436" t="str">
        <x:f>'Counter_PnL'!C436</x:f>
        <x:v>2026 S1</x:v>
      </x:c>
      <x:c r="C436" s="30" t="n">
        <x:f>COUNTIFS('Counter_PnL'!$D$2:$D$641,A436,'Counter_PnL'!$C$2:$C$641,B436)</x:f>
        <x:v>1</x:v>
      </x:c>
      <x:c r="D436" s="79" t="n">
        <x:f>ABS('Counter_PnL'!AC436-SUM('Counter_PnL'!V436:'Counter_PnL'!AB436))</x:f>
        <x:v>0</x:v>
      </x:c>
      <x:c r="E436" s="79" t="n">
        <x:f>ABS('Counter_PnL'!AI436-SUM('Counter_PnL'!R436,'Counter_PnL'!T436,'Counter_PnL'!AC436,'Counter_PnL'!AE436,'Counter_PnL'!AG436,'Counter_PnL'!AH436))</x:f>
        <x:v>0</x:v>
      </x:c>
      <x:c r="F436" s="79" t="n">
        <x:f>ABS('Counter_PnL'!AK436-('Counter_PnL'!Q436+'Counter_PnL'!AI436))</x:f>
        <x:v>0</x:v>
      </x:c>
      <x:c r="G436" s="79" t="n">
        <x:f>ABS('Counter_PnL'!AT436-SUM('Counter_PnL'!AO436:'Counter_PnL'!AS436))</x:f>
        <x:v>0</x:v>
      </x:c>
      <x:c r="H436" s="79" t="n">
        <x:f>ABS('Counter_PnL'!AV436-('Counter_PnL'!AK436+'Counter_PnL'!AT436))</x:f>
        <x:v>0</x:v>
      </x:c>
      <x:c r="I436" s="79" t="n">
        <x:f>ABS('Counter_PnL'!BE436-SUM('Counter_PnL'!AX436:'Counter_PnL'!BB436,'Counter_PnL'!BD436))</x:f>
        <x:v>0</x:v>
      </x:c>
      <x:c r="J436" s="79" t="n">
        <x:f>ABS('Counter_PnL'!BL436-SUM('Counter_PnL'!AV436,'Counter_PnL'!BE436,'Counter_PnL'!BJ436,'Counter_PnL'!BK436))</x:f>
        <x:v>0</x:v>
      </x:c>
      <x:c r="K436" s="79" t="n">
        <x:f>ABS('Counter_PnL'!BO436-('Counter_PnL'!BL436+'Counter_PnL'!BN436))</x:f>
        <x:v>0</x:v>
      </x:c>
      <x:c r="L436" s="79" t="n">
        <x:f>MAX(ABS('Counter_PnL'!AW436-'Counter_PnL'!AV436/'Counter_PnL'!AK436),ABS('Counter_PnL'!BM436-'Counter_PnL'!BL436/'Counter_PnL'!AK436),ABS('Counter_PnL'!BP436-'Counter_PnL'!BO436/'Counter_PnL'!AK436))</x:f>
        <x:v>0</x:v>
      </x:c>
      <x:c r="M436" s="30" t="n">
        <x:f>IF(AND('Counter_PnL'!Q436&gt;0,'Counter_PnL'!AK436&gt;0,'Counter_PnL'!R436&lt;=0,'Counter_PnL'!T436&lt;=0,'Counter_PnL'!AT436&lt;=0,'Counter_PnL'!BE436&lt;=0,'Counter_PnL'!BJ436&lt;=0,'Counter_PnL'!BK436&lt;=0,'Counter_PnL'!BN436&lt;=0),0,1)</x:f>
        <x:v>0</x:v>
      </x:c>
    </x:row>
    <x:row r="437">
      <x:c r="A437" t="str">
        <x:f>'Counter_PnL'!D437</x:f>
        <x:v>CNCT0109</x:v>
      </x:c>
      <x:c r="B437" t="str">
        <x:f>'Counter_PnL'!C437</x:f>
        <x:v>2026 S2</x:v>
      </x:c>
      <x:c r="C437" s="30" t="n">
        <x:f>COUNTIFS('Counter_PnL'!$D$2:$D$641,A437,'Counter_PnL'!$C$2:$C$641,B437)</x:f>
        <x:v>1</x:v>
      </x:c>
      <x:c r="D437" s="79" t="n">
        <x:f>ABS('Counter_PnL'!AC437-SUM('Counter_PnL'!V437:'Counter_PnL'!AB437))</x:f>
        <x:v>0</x:v>
      </x:c>
      <x:c r="E437" s="79" t="n">
        <x:f>ABS('Counter_PnL'!AI437-SUM('Counter_PnL'!R437,'Counter_PnL'!T437,'Counter_PnL'!AC437,'Counter_PnL'!AE437,'Counter_PnL'!AG437,'Counter_PnL'!AH437))</x:f>
        <x:v>0</x:v>
      </x:c>
      <x:c r="F437" s="79" t="n">
        <x:f>ABS('Counter_PnL'!AK437-('Counter_PnL'!Q437+'Counter_PnL'!AI437))</x:f>
        <x:v>0</x:v>
      </x:c>
      <x:c r="G437" s="79" t="n">
        <x:f>ABS('Counter_PnL'!AT437-SUM('Counter_PnL'!AO437:'Counter_PnL'!AS437))</x:f>
        <x:v>0</x:v>
      </x:c>
      <x:c r="H437" s="79" t="n">
        <x:f>ABS('Counter_PnL'!AV437-('Counter_PnL'!AK437+'Counter_PnL'!AT437))</x:f>
        <x:v>0</x:v>
      </x:c>
      <x:c r="I437" s="79" t="n">
        <x:f>ABS('Counter_PnL'!BE437-SUM('Counter_PnL'!AX437:'Counter_PnL'!BB437,'Counter_PnL'!BD437))</x:f>
        <x:v>0</x:v>
      </x:c>
      <x:c r="J437" s="79" t="n">
        <x:f>ABS('Counter_PnL'!BL437-SUM('Counter_PnL'!AV437,'Counter_PnL'!BE437,'Counter_PnL'!BJ437,'Counter_PnL'!BK437))</x:f>
        <x:v>0</x:v>
      </x:c>
      <x:c r="K437" s="79" t="n">
        <x:f>ABS('Counter_PnL'!BO437-('Counter_PnL'!BL437+'Counter_PnL'!BN437))</x:f>
        <x:v>0</x:v>
      </x:c>
      <x:c r="L437" s="79" t="n">
        <x:f>MAX(ABS('Counter_PnL'!AW437-'Counter_PnL'!AV437/'Counter_PnL'!AK437),ABS('Counter_PnL'!BM437-'Counter_PnL'!BL437/'Counter_PnL'!AK437),ABS('Counter_PnL'!BP437-'Counter_PnL'!BO437/'Counter_PnL'!AK437))</x:f>
        <x:v>0</x:v>
      </x:c>
      <x:c r="M437" s="30" t="n">
        <x:f>IF(AND('Counter_PnL'!Q437&gt;0,'Counter_PnL'!AK437&gt;0,'Counter_PnL'!R437&lt;=0,'Counter_PnL'!T437&lt;=0,'Counter_PnL'!AT437&lt;=0,'Counter_PnL'!BE437&lt;=0,'Counter_PnL'!BJ437&lt;=0,'Counter_PnL'!BK437&lt;=0,'Counter_PnL'!BN437&lt;=0),0,1)</x:f>
        <x:v>0</x:v>
      </x:c>
    </x:row>
    <x:row r="438">
      <x:c r="A438" t="str">
        <x:f>'Counter_PnL'!D438</x:f>
        <x:v>CNCT0110</x:v>
      </x:c>
      <x:c r="B438" t="str">
        <x:f>'Counter_PnL'!C438</x:f>
        <x:v>2025 S1</x:v>
      </x:c>
      <x:c r="C438" s="30" t="n">
        <x:f>COUNTIFS('Counter_PnL'!$D$2:$D$641,A438,'Counter_PnL'!$C$2:$C$641,B438)</x:f>
        <x:v>1</x:v>
      </x:c>
      <x:c r="D438" s="79" t="n">
        <x:f>ABS('Counter_PnL'!AC438-SUM('Counter_PnL'!V438:'Counter_PnL'!AB438))</x:f>
        <x:v>0</x:v>
      </x:c>
      <x:c r="E438" s="79" t="n">
        <x:f>ABS('Counter_PnL'!AI438-SUM('Counter_PnL'!R438,'Counter_PnL'!T438,'Counter_PnL'!AC438,'Counter_PnL'!AE438,'Counter_PnL'!AG438,'Counter_PnL'!AH438))</x:f>
        <x:v>0</x:v>
      </x:c>
      <x:c r="F438" s="79" t="n">
        <x:f>ABS('Counter_PnL'!AK438-('Counter_PnL'!Q438+'Counter_PnL'!AI438))</x:f>
        <x:v>0</x:v>
      </x:c>
      <x:c r="G438" s="79" t="n">
        <x:f>ABS('Counter_PnL'!AT438-SUM('Counter_PnL'!AO438:'Counter_PnL'!AS438))</x:f>
        <x:v>0</x:v>
      </x:c>
      <x:c r="H438" s="79" t="n">
        <x:f>ABS('Counter_PnL'!AV438-('Counter_PnL'!AK438+'Counter_PnL'!AT438))</x:f>
        <x:v>0</x:v>
      </x:c>
      <x:c r="I438" s="79" t="n">
        <x:f>ABS('Counter_PnL'!BE438-SUM('Counter_PnL'!AX438:'Counter_PnL'!BB438,'Counter_PnL'!BD438))</x:f>
        <x:v>0</x:v>
      </x:c>
      <x:c r="J438" s="79" t="n">
        <x:f>ABS('Counter_PnL'!BL438-SUM('Counter_PnL'!AV438,'Counter_PnL'!BE438,'Counter_PnL'!BJ438,'Counter_PnL'!BK438))</x:f>
        <x:v>0</x:v>
      </x:c>
      <x:c r="K438" s="79" t="n">
        <x:f>ABS('Counter_PnL'!BO438-('Counter_PnL'!BL438+'Counter_PnL'!BN438))</x:f>
        <x:v>0</x:v>
      </x:c>
      <x:c r="L438" s="79" t="n">
        <x:f>MAX(ABS('Counter_PnL'!AW438-'Counter_PnL'!AV438/'Counter_PnL'!AK438),ABS('Counter_PnL'!BM438-'Counter_PnL'!BL438/'Counter_PnL'!AK438),ABS('Counter_PnL'!BP438-'Counter_PnL'!BO438/'Counter_PnL'!AK438))</x:f>
        <x:v>0</x:v>
      </x:c>
      <x:c r="M438" s="30" t="n">
        <x:f>IF(AND('Counter_PnL'!Q438&gt;0,'Counter_PnL'!AK438&gt;0,'Counter_PnL'!R438&lt;=0,'Counter_PnL'!T438&lt;=0,'Counter_PnL'!AT438&lt;=0,'Counter_PnL'!BE438&lt;=0,'Counter_PnL'!BJ438&lt;=0,'Counter_PnL'!BK438&lt;=0,'Counter_PnL'!BN438&lt;=0),0,1)</x:f>
        <x:v>0</x:v>
      </x:c>
    </x:row>
    <x:row r="439">
      <x:c r="A439" t="str">
        <x:f>'Counter_PnL'!D439</x:f>
        <x:v>CNCT0110</x:v>
      </x:c>
      <x:c r="B439" t="str">
        <x:f>'Counter_PnL'!C439</x:f>
        <x:v>2025 S2</x:v>
      </x:c>
      <x:c r="C439" s="30" t="n">
        <x:f>COUNTIFS('Counter_PnL'!$D$2:$D$641,A439,'Counter_PnL'!$C$2:$C$641,B439)</x:f>
        <x:v>1</x:v>
      </x:c>
      <x:c r="D439" s="79" t="n">
        <x:f>ABS('Counter_PnL'!AC439-SUM('Counter_PnL'!V439:'Counter_PnL'!AB439))</x:f>
        <x:v>0</x:v>
      </x:c>
      <x:c r="E439" s="79" t="n">
        <x:f>ABS('Counter_PnL'!AI439-SUM('Counter_PnL'!R439,'Counter_PnL'!T439,'Counter_PnL'!AC439,'Counter_PnL'!AE439,'Counter_PnL'!AG439,'Counter_PnL'!AH439))</x:f>
        <x:v>0</x:v>
      </x:c>
      <x:c r="F439" s="79" t="n">
        <x:f>ABS('Counter_PnL'!AK439-('Counter_PnL'!Q439+'Counter_PnL'!AI439))</x:f>
        <x:v>0</x:v>
      </x:c>
      <x:c r="G439" s="79" t="n">
        <x:f>ABS('Counter_PnL'!AT439-SUM('Counter_PnL'!AO439:'Counter_PnL'!AS439))</x:f>
        <x:v>0</x:v>
      </x:c>
      <x:c r="H439" s="79" t="n">
        <x:f>ABS('Counter_PnL'!AV439-('Counter_PnL'!AK439+'Counter_PnL'!AT439))</x:f>
        <x:v>0</x:v>
      </x:c>
      <x:c r="I439" s="79" t="n">
        <x:f>ABS('Counter_PnL'!BE439-SUM('Counter_PnL'!AX439:'Counter_PnL'!BB439,'Counter_PnL'!BD439))</x:f>
        <x:v>0</x:v>
      </x:c>
      <x:c r="J439" s="79" t="n">
        <x:f>ABS('Counter_PnL'!BL439-SUM('Counter_PnL'!AV439,'Counter_PnL'!BE439,'Counter_PnL'!BJ439,'Counter_PnL'!BK439))</x:f>
        <x:v>0</x:v>
      </x:c>
      <x:c r="K439" s="79" t="n">
        <x:f>ABS('Counter_PnL'!BO439-('Counter_PnL'!BL439+'Counter_PnL'!BN439))</x:f>
        <x:v>0</x:v>
      </x:c>
      <x:c r="L439" s="79" t="n">
        <x:f>MAX(ABS('Counter_PnL'!AW439-'Counter_PnL'!AV439/'Counter_PnL'!AK439),ABS('Counter_PnL'!BM439-'Counter_PnL'!BL439/'Counter_PnL'!AK439),ABS('Counter_PnL'!BP439-'Counter_PnL'!BO439/'Counter_PnL'!AK439))</x:f>
        <x:v>0</x:v>
      </x:c>
      <x:c r="M439" s="30" t="n">
        <x:f>IF(AND('Counter_PnL'!Q439&gt;0,'Counter_PnL'!AK439&gt;0,'Counter_PnL'!R439&lt;=0,'Counter_PnL'!T439&lt;=0,'Counter_PnL'!AT439&lt;=0,'Counter_PnL'!BE439&lt;=0,'Counter_PnL'!BJ439&lt;=0,'Counter_PnL'!BK439&lt;=0,'Counter_PnL'!BN439&lt;=0),0,1)</x:f>
        <x:v>0</x:v>
      </x:c>
    </x:row>
    <x:row r="440">
      <x:c r="A440" t="str">
        <x:f>'Counter_PnL'!D440</x:f>
        <x:v>CNCT0110</x:v>
      </x:c>
      <x:c r="B440" t="str">
        <x:f>'Counter_PnL'!C440</x:f>
        <x:v>2026 S1</x:v>
      </x:c>
      <x:c r="C440" s="30" t="n">
        <x:f>COUNTIFS('Counter_PnL'!$D$2:$D$641,A440,'Counter_PnL'!$C$2:$C$641,B440)</x:f>
        <x:v>1</x:v>
      </x:c>
      <x:c r="D440" s="79" t="n">
        <x:f>ABS('Counter_PnL'!AC440-SUM('Counter_PnL'!V440:'Counter_PnL'!AB440))</x:f>
        <x:v>0</x:v>
      </x:c>
      <x:c r="E440" s="79" t="n">
        <x:f>ABS('Counter_PnL'!AI440-SUM('Counter_PnL'!R440,'Counter_PnL'!T440,'Counter_PnL'!AC440,'Counter_PnL'!AE440,'Counter_PnL'!AG440,'Counter_PnL'!AH440))</x:f>
        <x:v>0</x:v>
      </x:c>
      <x:c r="F440" s="79" t="n">
        <x:f>ABS('Counter_PnL'!AK440-('Counter_PnL'!Q440+'Counter_PnL'!AI440))</x:f>
        <x:v>0</x:v>
      </x:c>
      <x:c r="G440" s="79" t="n">
        <x:f>ABS('Counter_PnL'!AT440-SUM('Counter_PnL'!AO440:'Counter_PnL'!AS440))</x:f>
        <x:v>0</x:v>
      </x:c>
      <x:c r="H440" s="79" t="n">
        <x:f>ABS('Counter_PnL'!AV440-('Counter_PnL'!AK440+'Counter_PnL'!AT440))</x:f>
        <x:v>0</x:v>
      </x:c>
      <x:c r="I440" s="79" t="n">
        <x:f>ABS('Counter_PnL'!BE440-SUM('Counter_PnL'!AX440:'Counter_PnL'!BB440,'Counter_PnL'!BD440))</x:f>
        <x:v>0</x:v>
      </x:c>
      <x:c r="J440" s="79" t="n">
        <x:f>ABS('Counter_PnL'!BL440-SUM('Counter_PnL'!AV440,'Counter_PnL'!BE440,'Counter_PnL'!BJ440,'Counter_PnL'!BK440))</x:f>
        <x:v>0</x:v>
      </x:c>
      <x:c r="K440" s="79" t="n">
        <x:f>ABS('Counter_PnL'!BO440-('Counter_PnL'!BL440+'Counter_PnL'!BN440))</x:f>
        <x:v>0</x:v>
      </x:c>
      <x:c r="L440" s="79" t="n">
        <x:f>MAX(ABS('Counter_PnL'!AW440-'Counter_PnL'!AV440/'Counter_PnL'!AK440),ABS('Counter_PnL'!BM440-'Counter_PnL'!BL440/'Counter_PnL'!AK440),ABS('Counter_PnL'!BP440-'Counter_PnL'!BO440/'Counter_PnL'!AK440))</x:f>
        <x:v>0</x:v>
      </x:c>
      <x:c r="M440" s="30" t="n">
        <x:f>IF(AND('Counter_PnL'!Q440&gt;0,'Counter_PnL'!AK440&gt;0,'Counter_PnL'!R440&lt;=0,'Counter_PnL'!T440&lt;=0,'Counter_PnL'!AT440&lt;=0,'Counter_PnL'!BE440&lt;=0,'Counter_PnL'!BJ440&lt;=0,'Counter_PnL'!BK440&lt;=0,'Counter_PnL'!BN440&lt;=0),0,1)</x:f>
        <x:v>0</x:v>
      </x:c>
    </x:row>
    <x:row r="441">
      <x:c r="A441" t="str">
        <x:f>'Counter_PnL'!D441</x:f>
        <x:v>CNCT0110</x:v>
      </x:c>
      <x:c r="B441" t="str">
        <x:f>'Counter_PnL'!C441</x:f>
        <x:v>2026 S2</x:v>
      </x:c>
      <x:c r="C441" s="30" t="n">
        <x:f>COUNTIFS('Counter_PnL'!$D$2:$D$641,A441,'Counter_PnL'!$C$2:$C$641,B441)</x:f>
        <x:v>1</x:v>
      </x:c>
      <x:c r="D441" s="79" t="n">
        <x:f>ABS('Counter_PnL'!AC441-SUM('Counter_PnL'!V441:'Counter_PnL'!AB441))</x:f>
        <x:v>0</x:v>
      </x:c>
      <x:c r="E441" s="79" t="n">
        <x:f>ABS('Counter_PnL'!AI441-SUM('Counter_PnL'!R441,'Counter_PnL'!T441,'Counter_PnL'!AC441,'Counter_PnL'!AE441,'Counter_PnL'!AG441,'Counter_PnL'!AH441))</x:f>
        <x:v>0</x:v>
      </x:c>
      <x:c r="F441" s="79" t="n">
        <x:f>ABS('Counter_PnL'!AK441-('Counter_PnL'!Q441+'Counter_PnL'!AI441))</x:f>
        <x:v>0</x:v>
      </x:c>
      <x:c r="G441" s="79" t="n">
        <x:f>ABS('Counter_PnL'!AT441-SUM('Counter_PnL'!AO441:'Counter_PnL'!AS441))</x:f>
        <x:v>0</x:v>
      </x:c>
      <x:c r="H441" s="79" t="n">
        <x:f>ABS('Counter_PnL'!AV441-('Counter_PnL'!AK441+'Counter_PnL'!AT441))</x:f>
        <x:v>0</x:v>
      </x:c>
      <x:c r="I441" s="79" t="n">
        <x:f>ABS('Counter_PnL'!BE441-SUM('Counter_PnL'!AX441:'Counter_PnL'!BB441,'Counter_PnL'!BD441))</x:f>
        <x:v>0</x:v>
      </x:c>
      <x:c r="J441" s="79" t="n">
        <x:f>ABS('Counter_PnL'!BL441-SUM('Counter_PnL'!AV441,'Counter_PnL'!BE441,'Counter_PnL'!BJ441,'Counter_PnL'!BK441))</x:f>
        <x:v>0</x:v>
      </x:c>
      <x:c r="K441" s="79" t="n">
        <x:f>ABS('Counter_PnL'!BO441-('Counter_PnL'!BL441+'Counter_PnL'!BN441))</x:f>
        <x:v>0</x:v>
      </x:c>
      <x:c r="L441" s="79" t="n">
        <x:f>MAX(ABS('Counter_PnL'!AW441-'Counter_PnL'!AV441/'Counter_PnL'!AK441),ABS('Counter_PnL'!BM441-'Counter_PnL'!BL441/'Counter_PnL'!AK441),ABS('Counter_PnL'!BP441-'Counter_PnL'!BO441/'Counter_PnL'!AK441))</x:f>
        <x:v>0</x:v>
      </x:c>
      <x:c r="M441" s="30" t="n">
        <x:f>IF(AND('Counter_PnL'!Q441&gt;0,'Counter_PnL'!AK441&gt;0,'Counter_PnL'!R441&lt;=0,'Counter_PnL'!T441&lt;=0,'Counter_PnL'!AT441&lt;=0,'Counter_PnL'!BE441&lt;=0,'Counter_PnL'!BJ441&lt;=0,'Counter_PnL'!BK441&lt;=0,'Counter_PnL'!BN441&lt;=0),0,1)</x:f>
        <x:v>0</x:v>
      </x:c>
    </x:row>
    <x:row r="442">
      <x:c r="A442" t="str">
        <x:f>'Counter_PnL'!D442</x:f>
        <x:v>CNCT0111</x:v>
      </x:c>
      <x:c r="B442" t="str">
        <x:f>'Counter_PnL'!C442</x:f>
        <x:v>2025 S1</x:v>
      </x:c>
      <x:c r="C442" s="30" t="n">
        <x:f>COUNTIFS('Counter_PnL'!$D$2:$D$641,A442,'Counter_PnL'!$C$2:$C$641,B442)</x:f>
        <x:v>1</x:v>
      </x:c>
      <x:c r="D442" s="79" t="n">
        <x:f>ABS('Counter_PnL'!AC442-SUM('Counter_PnL'!V442:'Counter_PnL'!AB442))</x:f>
        <x:v>0</x:v>
      </x:c>
      <x:c r="E442" s="79" t="n">
        <x:f>ABS('Counter_PnL'!AI442-SUM('Counter_PnL'!R442,'Counter_PnL'!T442,'Counter_PnL'!AC442,'Counter_PnL'!AE442,'Counter_PnL'!AG442,'Counter_PnL'!AH442))</x:f>
        <x:v>0</x:v>
      </x:c>
      <x:c r="F442" s="79" t="n">
        <x:f>ABS('Counter_PnL'!AK442-('Counter_PnL'!Q442+'Counter_PnL'!AI442))</x:f>
        <x:v>0</x:v>
      </x:c>
      <x:c r="G442" s="79" t="n">
        <x:f>ABS('Counter_PnL'!AT442-SUM('Counter_PnL'!AO442:'Counter_PnL'!AS442))</x:f>
        <x:v>0</x:v>
      </x:c>
      <x:c r="H442" s="79" t="n">
        <x:f>ABS('Counter_PnL'!AV442-('Counter_PnL'!AK442+'Counter_PnL'!AT442))</x:f>
        <x:v>0</x:v>
      </x:c>
      <x:c r="I442" s="79" t="n">
        <x:f>ABS('Counter_PnL'!BE442-SUM('Counter_PnL'!AX442:'Counter_PnL'!BB442,'Counter_PnL'!BD442))</x:f>
        <x:v>0</x:v>
      </x:c>
      <x:c r="J442" s="79" t="n">
        <x:f>ABS('Counter_PnL'!BL442-SUM('Counter_PnL'!AV442,'Counter_PnL'!BE442,'Counter_PnL'!BJ442,'Counter_PnL'!BK442))</x:f>
        <x:v>0</x:v>
      </x:c>
      <x:c r="K442" s="79" t="n">
        <x:f>ABS('Counter_PnL'!BO442-('Counter_PnL'!BL442+'Counter_PnL'!BN442))</x:f>
        <x:v>0</x:v>
      </x:c>
      <x:c r="L442" s="79" t="n">
        <x:f>MAX(ABS('Counter_PnL'!AW442-'Counter_PnL'!AV442/'Counter_PnL'!AK442),ABS('Counter_PnL'!BM442-'Counter_PnL'!BL442/'Counter_PnL'!AK442),ABS('Counter_PnL'!BP442-'Counter_PnL'!BO442/'Counter_PnL'!AK442))</x:f>
        <x:v>0</x:v>
      </x:c>
      <x:c r="M442" s="30" t="n">
        <x:f>IF(AND('Counter_PnL'!Q442&gt;0,'Counter_PnL'!AK442&gt;0,'Counter_PnL'!R442&lt;=0,'Counter_PnL'!T442&lt;=0,'Counter_PnL'!AT442&lt;=0,'Counter_PnL'!BE442&lt;=0,'Counter_PnL'!BJ442&lt;=0,'Counter_PnL'!BK442&lt;=0,'Counter_PnL'!BN442&lt;=0),0,1)</x:f>
        <x:v>0</x:v>
      </x:c>
    </x:row>
    <x:row r="443">
      <x:c r="A443" t="str">
        <x:f>'Counter_PnL'!D443</x:f>
        <x:v>CNCT0111</x:v>
      </x:c>
      <x:c r="B443" t="str">
        <x:f>'Counter_PnL'!C443</x:f>
        <x:v>2025 S2</x:v>
      </x:c>
      <x:c r="C443" s="30" t="n">
        <x:f>COUNTIFS('Counter_PnL'!$D$2:$D$641,A443,'Counter_PnL'!$C$2:$C$641,B443)</x:f>
        <x:v>1</x:v>
      </x:c>
      <x:c r="D443" s="79" t="n">
        <x:f>ABS('Counter_PnL'!AC443-SUM('Counter_PnL'!V443:'Counter_PnL'!AB443))</x:f>
        <x:v>0</x:v>
      </x:c>
      <x:c r="E443" s="79" t="n">
        <x:f>ABS('Counter_PnL'!AI443-SUM('Counter_PnL'!R443,'Counter_PnL'!T443,'Counter_PnL'!AC443,'Counter_PnL'!AE443,'Counter_PnL'!AG443,'Counter_PnL'!AH443))</x:f>
        <x:v>0</x:v>
      </x:c>
      <x:c r="F443" s="79" t="n">
        <x:f>ABS('Counter_PnL'!AK443-('Counter_PnL'!Q443+'Counter_PnL'!AI443))</x:f>
        <x:v>0</x:v>
      </x:c>
      <x:c r="G443" s="79" t="n">
        <x:f>ABS('Counter_PnL'!AT443-SUM('Counter_PnL'!AO443:'Counter_PnL'!AS443))</x:f>
        <x:v>0</x:v>
      </x:c>
      <x:c r="H443" s="79" t="n">
        <x:f>ABS('Counter_PnL'!AV443-('Counter_PnL'!AK443+'Counter_PnL'!AT443))</x:f>
        <x:v>0</x:v>
      </x:c>
      <x:c r="I443" s="79" t="n">
        <x:f>ABS('Counter_PnL'!BE443-SUM('Counter_PnL'!AX443:'Counter_PnL'!BB443,'Counter_PnL'!BD443))</x:f>
        <x:v>0</x:v>
      </x:c>
      <x:c r="J443" s="79" t="n">
        <x:f>ABS('Counter_PnL'!BL443-SUM('Counter_PnL'!AV443,'Counter_PnL'!BE443,'Counter_PnL'!BJ443,'Counter_PnL'!BK443))</x:f>
        <x:v>0</x:v>
      </x:c>
      <x:c r="K443" s="79" t="n">
        <x:f>ABS('Counter_PnL'!BO443-('Counter_PnL'!BL443+'Counter_PnL'!BN443))</x:f>
        <x:v>0</x:v>
      </x:c>
      <x:c r="L443" s="79" t="n">
        <x:f>MAX(ABS('Counter_PnL'!AW443-'Counter_PnL'!AV443/'Counter_PnL'!AK443),ABS('Counter_PnL'!BM443-'Counter_PnL'!BL443/'Counter_PnL'!AK443),ABS('Counter_PnL'!BP443-'Counter_PnL'!BO443/'Counter_PnL'!AK443))</x:f>
        <x:v>0</x:v>
      </x:c>
      <x:c r="M443" s="30" t="n">
        <x:f>IF(AND('Counter_PnL'!Q443&gt;0,'Counter_PnL'!AK443&gt;0,'Counter_PnL'!R443&lt;=0,'Counter_PnL'!T443&lt;=0,'Counter_PnL'!AT443&lt;=0,'Counter_PnL'!BE443&lt;=0,'Counter_PnL'!BJ443&lt;=0,'Counter_PnL'!BK443&lt;=0,'Counter_PnL'!BN443&lt;=0),0,1)</x:f>
        <x:v>0</x:v>
      </x:c>
    </x:row>
    <x:row r="444">
      <x:c r="A444" t="str">
        <x:f>'Counter_PnL'!D444</x:f>
        <x:v>CNCT0111</x:v>
      </x:c>
      <x:c r="B444" t="str">
        <x:f>'Counter_PnL'!C444</x:f>
        <x:v>2026 S1</x:v>
      </x:c>
      <x:c r="C444" s="30" t="n">
        <x:f>COUNTIFS('Counter_PnL'!$D$2:$D$641,A444,'Counter_PnL'!$C$2:$C$641,B444)</x:f>
        <x:v>1</x:v>
      </x:c>
      <x:c r="D444" s="79" t="n">
        <x:f>ABS('Counter_PnL'!AC444-SUM('Counter_PnL'!V444:'Counter_PnL'!AB444))</x:f>
        <x:v>0</x:v>
      </x:c>
      <x:c r="E444" s="79" t="n">
        <x:f>ABS('Counter_PnL'!AI444-SUM('Counter_PnL'!R444,'Counter_PnL'!T444,'Counter_PnL'!AC444,'Counter_PnL'!AE444,'Counter_PnL'!AG444,'Counter_PnL'!AH444))</x:f>
        <x:v>0</x:v>
      </x:c>
      <x:c r="F444" s="79" t="n">
        <x:f>ABS('Counter_PnL'!AK444-('Counter_PnL'!Q444+'Counter_PnL'!AI444))</x:f>
        <x:v>0</x:v>
      </x:c>
      <x:c r="G444" s="79" t="n">
        <x:f>ABS('Counter_PnL'!AT444-SUM('Counter_PnL'!AO444:'Counter_PnL'!AS444))</x:f>
        <x:v>0</x:v>
      </x:c>
      <x:c r="H444" s="79" t="n">
        <x:f>ABS('Counter_PnL'!AV444-('Counter_PnL'!AK444+'Counter_PnL'!AT444))</x:f>
        <x:v>0</x:v>
      </x:c>
      <x:c r="I444" s="79" t="n">
        <x:f>ABS('Counter_PnL'!BE444-SUM('Counter_PnL'!AX444:'Counter_PnL'!BB444,'Counter_PnL'!BD444))</x:f>
        <x:v>0</x:v>
      </x:c>
      <x:c r="J444" s="79" t="n">
        <x:f>ABS('Counter_PnL'!BL444-SUM('Counter_PnL'!AV444,'Counter_PnL'!BE444,'Counter_PnL'!BJ444,'Counter_PnL'!BK444))</x:f>
        <x:v>0</x:v>
      </x:c>
      <x:c r="K444" s="79" t="n">
        <x:f>ABS('Counter_PnL'!BO444-('Counter_PnL'!BL444+'Counter_PnL'!BN444))</x:f>
        <x:v>0</x:v>
      </x:c>
      <x:c r="L444" s="79" t="n">
        <x:f>MAX(ABS('Counter_PnL'!AW444-'Counter_PnL'!AV444/'Counter_PnL'!AK444),ABS('Counter_PnL'!BM444-'Counter_PnL'!BL444/'Counter_PnL'!AK444),ABS('Counter_PnL'!BP444-'Counter_PnL'!BO444/'Counter_PnL'!AK444))</x:f>
        <x:v>0</x:v>
      </x:c>
      <x:c r="M444" s="30" t="n">
        <x:f>IF(AND('Counter_PnL'!Q444&gt;0,'Counter_PnL'!AK444&gt;0,'Counter_PnL'!R444&lt;=0,'Counter_PnL'!T444&lt;=0,'Counter_PnL'!AT444&lt;=0,'Counter_PnL'!BE444&lt;=0,'Counter_PnL'!BJ444&lt;=0,'Counter_PnL'!BK444&lt;=0,'Counter_PnL'!BN444&lt;=0),0,1)</x:f>
        <x:v>0</x:v>
      </x:c>
    </x:row>
    <x:row r="445">
      <x:c r="A445" t="str">
        <x:f>'Counter_PnL'!D445</x:f>
        <x:v>CNCT0111</x:v>
      </x:c>
      <x:c r="B445" t="str">
        <x:f>'Counter_PnL'!C445</x:f>
        <x:v>2026 S2</x:v>
      </x:c>
      <x:c r="C445" s="30" t="n">
        <x:f>COUNTIFS('Counter_PnL'!$D$2:$D$641,A445,'Counter_PnL'!$C$2:$C$641,B445)</x:f>
        <x:v>1</x:v>
      </x:c>
      <x:c r="D445" s="79" t="n">
        <x:f>ABS('Counter_PnL'!AC445-SUM('Counter_PnL'!V445:'Counter_PnL'!AB445))</x:f>
        <x:v>0</x:v>
      </x:c>
      <x:c r="E445" s="79" t="n">
        <x:f>ABS('Counter_PnL'!AI445-SUM('Counter_PnL'!R445,'Counter_PnL'!T445,'Counter_PnL'!AC445,'Counter_PnL'!AE445,'Counter_PnL'!AG445,'Counter_PnL'!AH445))</x:f>
        <x:v>0</x:v>
      </x:c>
      <x:c r="F445" s="79" t="n">
        <x:f>ABS('Counter_PnL'!AK445-('Counter_PnL'!Q445+'Counter_PnL'!AI445))</x:f>
        <x:v>0</x:v>
      </x:c>
      <x:c r="G445" s="79" t="n">
        <x:f>ABS('Counter_PnL'!AT445-SUM('Counter_PnL'!AO445:'Counter_PnL'!AS445))</x:f>
        <x:v>0</x:v>
      </x:c>
      <x:c r="H445" s="79" t="n">
        <x:f>ABS('Counter_PnL'!AV445-('Counter_PnL'!AK445+'Counter_PnL'!AT445))</x:f>
        <x:v>0</x:v>
      </x:c>
      <x:c r="I445" s="79" t="n">
        <x:f>ABS('Counter_PnL'!BE445-SUM('Counter_PnL'!AX445:'Counter_PnL'!BB445,'Counter_PnL'!BD445))</x:f>
        <x:v>0</x:v>
      </x:c>
      <x:c r="J445" s="79" t="n">
        <x:f>ABS('Counter_PnL'!BL445-SUM('Counter_PnL'!AV445,'Counter_PnL'!BE445,'Counter_PnL'!BJ445,'Counter_PnL'!BK445))</x:f>
        <x:v>0</x:v>
      </x:c>
      <x:c r="K445" s="79" t="n">
        <x:f>ABS('Counter_PnL'!BO445-('Counter_PnL'!BL445+'Counter_PnL'!BN445))</x:f>
        <x:v>0</x:v>
      </x:c>
      <x:c r="L445" s="79" t="n">
        <x:f>MAX(ABS('Counter_PnL'!AW445-'Counter_PnL'!AV445/'Counter_PnL'!AK445),ABS('Counter_PnL'!BM445-'Counter_PnL'!BL445/'Counter_PnL'!AK445),ABS('Counter_PnL'!BP445-'Counter_PnL'!BO445/'Counter_PnL'!AK445))</x:f>
        <x:v>0</x:v>
      </x:c>
      <x:c r="M445" s="30" t="n">
        <x:f>IF(AND('Counter_PnL'!Q445&gt;0,'Counter_PnL'!AK445&gt;0,'Counter_PnL'!R445&lt;=0,'Counter_PnL'!T445&lt;=0,'Counter_PnL'!AT445&lt;=0,'Counter_PnL'!BE445&lt;=0,'Counter_PnL'!BJ445&lt;=0,'Counter_PnL'!BK445&lt;=0,'Counter_PnL'!BN445&lt;=0),0,1)</x:f>
        <x:v>0</x:v>
      </x:c>
    </x:row>
    <x:row r="446">
      <x:c r="A446" t="str">
        <x:f>'Counter_PnL'!D446</x:f>
        <x:v>CNCT0112</x:v>
      </x:c>
      <x:c r="B446" t="str">
        <x:f>'Counter_PnL'!C446</x:f>
        <x:v>2025 S1</x:v>
      </x:c>
      <x:c r="C446" s="30" t="n">
        <x:f>COUNTIFS('Counter_PnL'!$D$2:$D$641,A446,'Counter_PnL'!$C$2:$C$641,B446)</x:f>
        <x:v>1</x:v>
      </x:c>
      <x:c r="D446" s="79" t="n">
        <x:f>ABS('Counter_PnL'!AC446-SUM('Counter_PnL'!V446:'Counter_PnL'!AB446))</x:f>
        <x:v>0</x:v>
      </x:c>
      <x:c r="E446" s="79" t="n">
        <x:f>ABS('Counter_PnL'!AI446-SUM('Counter_PnL'!R446,'Counter_PnL'!T446,'Counter_PnL'!AC446,'Counter_PnL'!AE446,'Counter_PnL'!AG446,'Counter_PnL'!AH446))</x:f>
        <x:v>0</x:v>
      </x:c>
      <x:c r="F446" s="79" t="n">
        <x:f>ABS('Counter_PnL'!AK446-('Counter_PnL'!Q446+'Counter_PnL'!AI446))</x:f>
        <x:v>0</x:v>
      </x:c>
      <x:c r="G446" s="79" t="n">
        <x:f>ABS('Counter_PnL'!AT446-SUM('Counter_PnL'!AO446:'Counter_PnL'!AS446))</x:f>
        <x:v>0</x:v>
      </x:c>
      <x:c r="H446" s="79" t="n">
        <x:f>ABS('Counter_PnL'!AV446-('Counter_PnL'!AK446+'Counter_PnL'!AT446))</x:f>
        <x:v>0</x:v>
      </x:c>
      <x:c r="I446" s="79" t="n">
        <x:f>ABS('Counter_PnL'!BE446-SUM('Counter_PnL'!AX446:'Counter_PnL'!BB446,'Counter_PnL'!BD446))</x:f>
        <x:v>0</x:v>
      </x:c>
      <x:c r="J446" s="79" t="n">
        <x:f>ABS('Counter_PnL'!BL446-SUM('Counter_PnL'!AV446,'Counter_PnL'!BE446,'Counter_PnL'!BJ446,'Counter_PnL'!BK446))</x:f>
        <x:v>0</x:v>
      </x:c>
      <x:c r="K446" s="79" t="n">
        <x:f>ABS('Counter_PnL'!BO446-('Counter_PnL'!BL446+'Counter_PnL'!BN446))</x:f>
        <x:v>0</x:v>
      </x:c>
      <x:c r="L446" s="79" t="n">
        <x:f>MAX(ABS('Counter_PnL'!AW446-'Counter_PnL'!AV446/'Counter_PnL'!AK446),ABS('Counter_PnL'!BM446-'Counter_PnL'!BL446/'Counter_PnL'!AK446),ABS('Counter_PnL'!BP446-'Counter_PnL'!BO446/'Counter_PnL'!AK446))</x:f>
        <x:v>0</x:v>
      </x:c>
      <x:c r="M446" s="30" t="n">
        <x:f>IF(AND('Counter_PnL'!Q446&gt;0,'Counter_PnL'!AK446&gt;0,'Counter_PnL'!R446&lt;=0,'Counter_PnL'!T446&lt;=0,'Counter_PnL'!AT446&lt;=0,'Counter_PnL'!BE446&lt;=0,'Counter_PnL'!BJ446&lt;=0,'Counter_PnL'!BK446&lt;=0,'Counter_PnL'!BN446&lt;=0),0,1)</x:f>
        <x:v>0</x:v>
      </x:c>
    </x:row>
    <x:row r="447">
      <x:c r="A447" t="str">
        <x:f>'Counter_PnL'!D447</x:f>
        <x:v>CNCT0112</x:v>
      </x:c>
      <x:c r="B447" t="str">
        <x:f>'Counter_PnL'!C447</x:f>
        <x:v>2025 S2</x:v>
      </x:c>
      <x:c r="C447" s="30" t="n">
        <x:f>COUNTIFS('Counter_PnL'!$D$2:$D$641,A447,'Counter_PnL'!$C$2:$C$641,B447)</x:f>
        <x:v>1</x:v>
      </x:c>
      <x:c r="D447" s="79" t="n">
        <x:f>ABS('Counter_PnL'!AC447-SUM('Counter_PnL'!V447:'Counter_PnL'!AB447))</x:f>
        <x:v>0</x:v>
      </x:c>
      <x:c r="E447" s="79" t="n">
        <x:f>ABS('Counter_PnL'!AI447-SUM('Counter_PnL'!R447,'Counter_PnL'!T447,'Counter_PnL'!AC447,'Counter_PnL'!AE447,'Counter_PnL'!AG447,'Counter_PnL'!AH447))</x:f>
        <x:v>0</x:v>
      </x:c>
      <x:c r="F447" s="79" t="n">
        <x:f>ABS('Counter_PnL'!AK447-('Counter_PnL'!Q447+'Counter_PnL'!AI447))</x:f>
        <x:v>0</x:v>
      </x:c>
      <x:c r="G447" s="79" t="n">
        <x:f>ABS('Counter_PnL'!AT447-SUM('Counter_PnL'!AO447:'Counter_PnL'!AS447))</x:f>
        <x:v>0</x:v>
      </x:c>
      <x:c r="H447" s="79" t="n">
        <x:f>ABS('Counter_PnL'!AV447-('Counter_PnL'!AK447+'Counter_PnL'!AT447))</x:f>
        <x:v>0</x:v>
      </x:c>
      <x:c r="I447" s="79" t="n">
        <x:f>ABS('Counter_PnL'!BE447-SUM('Counter_PnL'!AX447:'Counter_PnL'!BB447,'Counter_PnL'!BD447))</x:f>
        <x:v>0</x:v>
      </x:c>
      <x:c r="J447" s="79" t="n">
        <x:f>ABS('Counter_PnL'!BL447-SUM('Counter_PnL'!AV447,'Counter_PnL'!BE447,'Counter_PnL'!BJ447,'Counter_PnL'!BK447))</x:f>
        <x:v>0</x:v>
      </x:c>
      <x:c r="K447" s="79" t="n">
        <x:f>ABS('Counter_PnL'!BO447-('Counter_PnL'!BL447+'Counter_PnL'!BN447))</x:f>
        <x:v>0</x:v>
      </x:c>
      <x:c r="L447" s="79" t="n">
        <x:f>MAX(ABS('Counter_PnL'!AW447-'Counter_PnL'!AV447/'Counter_PnL'!AK447),ABS('Counter_PnL'!BM447-'Counter_PnL'!BL447/'Counter_PnL'!AK447),ABS('Counter_PnL'!BP447-'Counter_PnL'!BO447/'Counter_PnL'!AK447))</x:f>
        <x:v>0</x:v>
      </x:c>
      <x:c r="M447" s="30" t="n">
        <x:f>IF(AND('Counter_PnL'!Q447&gt;0,'Counter_PnL'!AK447&gt;0,'Counter_PnL'!R447&lt;=0,'Counter_PnL'!T447&lt;=0,'Counter_PnL'!AT447&lt;=0,'Counter_PnL'!BE447&lt;=0,'Counter_PnL'!BJ447&lt;=0,'Counter_PnL'!BK447&lt;=0,'Counter_PnL'!BN447&lt;=0),0,1)</x:f>
        <x:v>0</x:v>
      </x:c>
    </x:row>
    <x:row r="448">
      <x:c r="A448" t="str">
        <x:f>'Counter_PnL'!D448</x:f>
        <x:v>CNCT0112</x:v>
      </x:c>
      <x:c r="B448" t="str">
        <x:f>'Counter_PnL'!C448</x:f>
        <x:v>2026 S1</x:v>
      </x:c>
      <x:c r="C448" s="30" t="n">
        <x:f>COUNTIFS('Counter_PnL'!$D$2:$D$641,A448,'Counter_PnL'!$C$2:$C$641,B448)</x:f>
        <x:v>1</x:v>
      </x:c>
      <x:c r="D448" s="79" t="n">
        <x:f>ABS('Counter_PnL'!AC448-SUM('Counter_PnL'!V448:'Counter_PnL'!AB448))</x:f>
        <x:v>0</x:v>
      </x:c>
      <x:c r="E448" s="79" t="n">
        <x:f>ABS('Counter_PnL'!AI448-SUM('Counter_PnL'!R448,'Counter_PnL'!T448,'Counter_PnL'!AC448,'Counter_PnL'!AE448,'Counter_PnL'!AG448,'Counter_PnL'!AH448))</x:f>
        <x:v>0</x:v>
      </x:c>
      <x:c r="F448" s="79" t="n">
        <x:f>ABS('Counter_PnL'!AK448-('Counter_PnL'!Q448+'Counter_PnL'!AI448))</x:f>
        <x:v>0</x:v>
      </x:c>
      <x:c r="G448" s="79" t="n">
        <x:f>ABS('Counter_PnL'!AT448-SUM('Counter_PnL'!AO448:'Counter_PnL'!AS448))</x:f>
        <x:v>0</x:v>
      </x:c>
      <x:c r="H448" s="79" t="n">
        <x:f>ABS('Counter_PnL'!AV448-('Counter_PnL'!AK448+'Counter_PnL'!AT448))</x:f>
        <x:v>0</x:v>
      </x:c>
      <x:c r="I448" s="79" t="n">
        <x:f>ABS('Counter_PnL'!BE448-SUM('Counter_PnL'!AX448:'Counter_PnL'!BB448,'Counter_PnL'!BD448))</x:f>
        <x:v>0</x:v>
      </x:c>
      <x:c r="J448" s="79" t="n">
        <x:f>ABS('Counter_PnL'!BL448-SUM('Counter_PnL'!AV448,'Counter_PnL'!BE448,'Counter_PnL'!BJ448,'Counter_PnL'!BK448))</x:f>
        <x:v>0</x:v>
      </x:c>
      <x:c r="K448" s="79" t="n">
        <x:f>ABS('Counter_PnL'!BO448-('Counter_PnL'!BL448+'Counter_PnL'!BN448))</x:f>
        <x:v>0</x:v>
      </x:c>
      <x:c r="L448" s="79" t="n">
        <x:f>MAX(ABS('Counter_PnL'!AW448-'Counter_PnL'!AV448/'Counter_PnL'!AK448),ABS('Counter_PnL'!BM448-'Counter_PnL'!BL448/'Counter_PnL'!AK448),ABS('Counter_PnL'!BP448-'Counter_PnL'!BO448/'Counter_PnL'!AK448))</x:f>
        <x:v>0</x:v>
      </x:c>
      <x:c r="M448" s="30" t="n">
        <x:f>IF(AND('Counter_PnL'!Q448&gt;0,'Counter_PnL'!AK448&gt;0,'Counter_PnL'!R448&lt;=0,'Counter_PnL'!T448&lt;=0,'Counter_PnL'!AT448&lt;=0,'Counter_PnL'!BE448&lt;=0,'Counter_PnL'!BJ448&lt;=0,'Counter_PnL'!BK448&lt;=0,'Counter_PnL'!BN448&lt;=0),0,1)</x:f>
        <x:v>0</x:v>
      </x:c>
    </x:row>
    <x:row r="449">
      <x:c r="A449" t="str">
        <x:f>'Counter_PnL'!D449</x:f>
        <x:v>CNCT0112</x:v>
      </x:c>
      <x:c r="B449" t="str">
        <x:f>'Counter_PnL'!C449</x:f>
        <x:v>2026 S2</x:v>
      </x:c>
      <x:c r="C449" s="30" t="n">
        <x:f>COUNTIFS('Counter_PnL'!$D$2:$D$641,A449,'Counter_PnL'!$C$2:$C$641,B449)</x:f>
        <x:v>1</x:v>
      </x:c>
      <x:c r="D449" s="79" t="n">
        <x:f>ABS('Counter_PnL'!AC449-SUM('Counter_PnL'!V449:'Counter_PnL'!AB449))</x:f>
        <x:v>0</x:v>
      </x:c>
      <x:c r="E449" s="79" t="n">
        <x:f>ABS('Counter_PnL'!AI449-SUM('Counter_PnL'!R449,'Counter_PnL'!T449,'Counter_PnL'!AC449,'Counter_PnL'!AE449,'Counter_PnL'!AG449,'Counter_PnL'!AH449))</x:f>
        <x:v>0</x:v>
      </x:c>
      <x:c r="F449" s="79" t="n">
        <x:f>ABS('Counter_PnL'!AK449-('Counter_PnL'!Q449+'Counter_PnL'!AI449))</x:f>
        <x:v>0</x:v>
      </x:c>
      <x:c r="G449" s="79" t="n">
        <x:f>ABS('Counter_PnL'!AT449-SUM('Counter_PnL'!AO449:'Counter_PnL'!AS449))</x:f>
        <x:v>0</x:v>
      </x:c>
      <x:c r="H449" s="79" t="n">
        <x:f>ABS('Counter_PnL'!AV449-('Counter_PnL'!AK449+'Counter_PnL'!AT449))</x:f>
        <x:v>0</x:v>
      </x:c>
      <x:c r="I449" s="79" t="n">
        <x:f>ABS('Counter_PnL'!BE449-SUM('Counter_PnL'!AX449:'Counter_PnL'!BB449,'Counter_PnL'!BD449))</x:f>
        <x:v>0</x:v>
      </x:c>
      <x:c r="J449" s="79" t="n">
        <x:f>ABS('Counter_PnL'!BL449-SUM('Counter_PnL'!AV449,'Counter_PnL'!BE449,'Counter_PnL'!BJ449,'Counter_PnL'!BK449))</x:f>
        <x:v>0</x:v>
      </x:c>
      <x:c r="K449" s="79" t="n">
        <x:f>ABS('Counter_PnL'!BO449-('Counter_PnL'!BL449+'Counter_PnL'!BN449))</x:f>
        <x:v>0</x:v>
      </x:c>
      <x:c r="L449" s="79" t="n">
        <x:f>MAX(ABS('Counter_PnL'!AW449-'Counter_PnL'!AV449/'Counter_PnL'!AK449),ABS('Counter_PnL'!BM449-'Counter_PnL'!BL449/'Counter_PnL'!AK449),ABS('Counter_PnL'!BP449-'Counter_PnL'!BO449/'Counter_PnL'!AK449))</x:f>
        <x:v>0</x:v>
      </x:c>
      <x:c r="M449" s="30" t="n">
        <x:f>IF(AND('Counter_PnL'!Q449&gt;0,'Counter_PnL'!AK449&gt;0,'Counter_PnL'!R449&lt;=0,'Counter_PnL'!T449&lt;=0,'Counter_PnL'!AT449&lt;=0,'Counter_PnL'!BE449&lt;=0,'Counter_PnL'!BJ449&lt;=0,'Counter_PnL'!BK449&lt;=0,'Counter_PnL'!BN449&lt;=0),0,1)</x:f>
        <x:v>0</x:v>
      </x:c>
    </x:row>
    <x:row r="450">
      <x:c r="A450" t="str">
        <x:f>'Counter_PnL'!D450</x:f>
        <x:v>CNCT0113</x:v>
      </x:c>
      <x:c r="B450" t="str">
        <x:f>'Counter_PnL'!C450</x:f>
        <x:v>2025 S1</x:v>
      </x:c>
      <x:c r="C450" s="30" t="n">
        <x:f>COUNTIFS('Counter_PnL'!$D$2:$D$641,A450,'Counter_PnL'!$C$2:$C$641,B450)</x:f>
        <x:v>1</x:v>
      </x:c>
      <x:c r="D450" s="79" t="n">
        <x:f>ABS('Counter_PnL'!AC450-SUM('Counter_PnL'!V450:'Counter_PnL'!AB450))</x:f>
        <x:v>0</x:v>
      </x:c>
      <x:c r="E450" s="79" t="n">
        <x:f>ABS('Counter_PnL'!AI450-SUM('Counter_PnL'!R450,'Counter_PnL'!T450,'Counter_PnL'!AC450,'Counter_PnL'!AE450,'Counter_PnL'!AG450,'Counter_PnL'!AH450))</x:f>
        <x:v>0</x:v>
      </x:c>
      <x:c r="F450" s="79" t="n">
        <x:f>ABS('Counter_PnL'!AK450-('Counter_PnL'!Q450+'Counter_PnL'!AI450))</x:f>
        <x:v>0</x:v>
      </x:c>
      <x:c r="G450" s="79" t="n">
        <x:f>ABS('Counter_PnL'!AT450-SUM('Counter_PnL'!AO450:'Counter_PnL'!AS450))</x:f>
        <x:v>0</x:v>
      </x:c>
      <x:c r="H450" s="79" t="n">
        <x:f>ABS('Counter_PnL'!AV450-('Counter_PnL'!AK450+'Counter_PnL'!AT450))</x:f>
        <x:v>0</x:v>
      </x:c>
      <x:c r="I450" s="79" t="n">
        <x:f>ABS('Counter_PnL'!BE450-SUM('Counter_PnL'!AX450:'Counter_PnL'!BB450,'Counter_PnL'!BD450))</x:f>
        <x:v>0</x:v>
      </x:c>
      <x:c r="J450" s="79" t="n">
        <x:f>ABS('Counter_PnL'!BL450-SUM('Counter_PnL'!AV450,'Counter_PnL'!BE450,'Counter_PnL'!BJ450,'Counter_PnL'!BK450))</x:f>
        <x:v>0</x:v>
      </x:c>
      <x:c r="K450" s="79" t="n">
        <x:f>ABS('Counter_PnL'!BO450-('Counter_PnL'!BL450+'Counter_PnL'!BN450))</x:f>
        <x:v>0</x:v>
      </x:c>
      <x:c r="L450" s="79" t="n">
        <x:f>MAX(ABS('Counter_PnL'!AW450-'Counter_PnL'!AV450/'Counter_PnL'!AK450),ABS('Counter_PnL'!BM450-'Counter_PnL'!BL450/'Counter_PnL'!AK450),ABS('Counter_PnL'!BP450-'Counter_PnL'!BO450/'Counter_PnL'!AK450))</x:f>
        <x:v>0</x:v>
      </x:c>
      <x:c r="M450" s="30" t="n">
        <x:f>IF(AND('Counter_PnL'!Q450&gt;0,'Counter_PnL'!AK450&gt;0,'Counter_PnL'!R450&lt;=0,'Counter_PnL'!T450&lt;=0,'Counter_PnL'!AT450&lt;=0,'Counter_PnL'!BE450&lt;=0,'Counter_PnL'!BJ450&lt;=0,'Counter_PnL'!BK450&lt;=0,'Counter_PnL'!BN450&lt;=0),0,1)</x:f>
        <x:v>0</x:v>
      </x:c>
    </x:row>
    <x:row r="451">
      <x:c r="A451" t="str">
        <x:f>'Counter_PnL'!D451</x:f>
        <x:v>CNCT0113</x:v>
      </x:c>
      <x:c r="B451" t="str">
        <x:f>'Counter_PnL'!C451</x:f>
        <x:v>2025 S2</x:v>
      </x:c>
      <x:c r="C451" s="30" t="n">
        <x:f>COUNTIFS('Counter_PnL'!$D$2:$D$641,A451,'Counter_PnL'!$C$2:$C$641,B451)</x:f>
        <x:v>1</x:v>
      </x:c>
      <x:c r="D451" s="79" t="n">
        <x:f>ABS('Counter_PnL'!AC451-SUM('Counter_PnL'!V451:'Counter_PnL'!AB451))</x:f>
        <x:v>0</x:v>
      </x:c>
      <x:c r="E451" s="79" t="n">
        <x:f>ABS('Counter_PnL'!AI451-SUM('Counter_PnL'!R451,'Counter_PnL'!T451,'Counter_PnL'!AC451,'Counter_PnL'!AE451,'Counter_PnL'!AG451,'Counter_PnL'!AH451))</x:f>
        <x:v>0</x:v>
      </x:c>
      <x:c r="F451" s="79" t="n">
        <x:f>ABS('Counter_PnL'!AK451-('Counter_PnL'!Q451+'Counter_PnL'!AI451))</x:f>
        <x:v>0</x:v>
      </x:c>
      <x:c r="G451" s="79" t="n">
        <x:f>ABS('Counter_PnL'!AT451-SUM('Counter_PnL'!AO451:'Counter_PnL'!AS451))</x:f>
        <x:v>0</x:v>
      </x:c>
      <x:c r="H451" s="79" t="n">
        <x:f>ABS('Counter_PnL'!AV451-('Counter_PnL'!AK451+'Counter_PnL'!AT451))</x:f>
        <x:v>0</x:v>
      </x:c>
      <x:c r="I451" s="79" t="n">
        <x:f>ABS('Counter_PnL'!BE451-SUM('Counter_PnL'!AX451:'Counter_PnL'!BB451,'Counter_PnL'!BD451))</x:f>
        <x:v>0</x:v>
      </x:c>
      <x:c r="J451" s="79" t="n">
        <x:f>ABS('Counter_PnL'!BL451-SUM('Counter_PnL'!AV451,'Counter_PnL'!BE451,'Counter_PnL'!BJ451,'Counter_PnL'!BK451))</x:f>
        <x:v>0</x:v>
      </x:c>
      <x:c r="K451" s="79" t="n">
        <x:f>ABS('Counter_PnL'!BO451-('Counter_PnL'!BL451+'Counter_PnL'!BN451))</x:f>
        <x:v>0</x:v>
      </x:c>
      <x:c r="L451" s="79" t="n">
        <x:f>MAX(ABS('Counter_PnL'!AW451-'Counter_PnL'!AV451/'Counter_PnL'!AK451),ABS('Counter_PnL'!BM451-'Counter_PnL'!BL451/'Counter_PnL'!AK451),ABS('Counter_PnL'!BP451-'Counter_PnL'!BO451/'Counter_PnL'!AK451))</x:f>
        <x:v>0</x:v>
      </x:c>
      <x:c r="M451" s="30" t="n">
        <x:f>IF(AND('Counter_PnL'!Q451&gt;0,'Counter_PnL'!AK451&gt;0,'Counter_PnL'!R451&lt;=0,'Counter_PnL'!T451&lt;=0,'Counter_PnL'!AT451&lt;=0,'Counter_PnL'!BE451&lt;=0,'Counter_PnL'!BJ451&lt;=0,'Counter_PnL'!BK451&lt;=0,'Counter_PnL'!BN451&lt;=0),0,1)</x:f>
        <x:v>0</x:v>
      </x:c>
    </x:row>
    <x:row r="452">
      <x:c r="A452" t="str">
        <x:f>'Counter_PnL'!D452</x:f>
        <x:v>CNCT0113</x:v>
      </x:c>
      <x:c r="B452" t="str">
        <x:f>'Counter_PnL'!C452</x:f>
        <x:v>2026 S1</x:v>
      </x:c>
      <x:c r="C452" s="30" t="n">
        <x:f>COUNTIFS('Counter_PnL'!$D$2:$D$641,A452,'Counter_PnL'!$C$2:$C$641,B452)</x:f>
        <x:v>1</x:v>
      </x:c>
      <x:c r="D452" s="79" t="n">
        <x:f>ABS('Counter_PnL'!AC452-SUM('Counter_PnL'!V452:'Counter_PnL'!AB452))</x:f>
        <x:v>0</x:v>
      </x:c>
      <x:c r="E452" s="79" t="n">
        <x:f>ABS('Counter_PnL'!AI452-SUM('Counter_PnL'!R452,'Counter_PnL'!T452,'Counter_PnL'!AC452,'Counter_PnL'!AE452,'Counter_PnL'!AG452,'Counter_PnL'!AH452))</x:f>
        <x:v>0</x:v>
      </x:c>
      <x:c r="F452" s="79" t="n">
        <x:f>ABS('Counter_PnL'!AK452-('Counter_PnL'!Q452+'Counter_PnL'!AI452))</x:f>
        <x:v>0</x:v>
      </x:c>
      <x:c r="G452" s="79" t="n">
        <x:f>ABS('Counter_PnL'!AT452-SUM('Counter_PnL'!AO452:'Counter_PnL'!AS452))</x:f>
        <x:v>0</x:v>
      </x:c>
      <x:c r="H452" s="79" t="n">
        <x:f>ABS('Counter_PnL'!AV452-('Counter_PnL'!AK452+'Counter_PnL'!AT452))</x:f>
        <x:v>0</x:v>
      </x:c>
      <x:c r="I452" s="79" t="n">
        <x:f>ABS('Counter_PnL'!BE452-SUM('Counter_PnL'!AX452:'Counter_PnL'!BB452,'Counter_PnL'!BD452))</x:f>
        <x:v>0</x:v>
      </x:c>
      <x:c r="J452" s="79" t="n">
        <x:f>ABS('Counter_PnL'!BL452-SUM('Counter_PnL'!AV452,'Counter_PnL'!BE452,'Counter_PnL'!BJ452,'Counter_PnL'!BK452))</x:f>
        <x:v>0</x:v>
      </x:c>
      <x:c r="K452" s="79" t="n">
        <x:f>ABS('Counter_PnL'!BO452-('Counter_PnL'!BL452+'Counter_PnL'!BN452))</x:f>
        <x:v>0</x:v>
      </x:c>
      <x:c r="L452" s="79" t="n">
        <x:f>MAX(ABS('Counter_PnL'!AW452-'Counter_PnL'!AV452/'Counter_PnL'!AK452),ABS('Counter_PnL'!BM452-'Counter_PnL'!BL452/'Counter_PnL'!AK452),ABS('Counter_PnL'!BP452-'Counter_PnL'!BO452/'Counter_PnL'!AK452))</x:f>
        <x:v>0</x:v>
      </x:c>
      <x:c r="M452" s="30" t="n">
        <x:f>IF(AND('Counter_PnL'!Q452&gt;0,'Counter_PnL'!AK452&gt;0,'Counter_PnL'!R452&lt;=0,'Counter_PnL'!T452&lt;=0,'Counter_PnL'!AT452&lt;=0,'Counter_PnL'!BE452&lt;=0,'Counter_PnL'!BJ452&lt;=0,'Counter_PnL'!BK452&lt;=0,'Counter_PnL'!BN452&lt;=0),0,1)</x:f>
        <x:v>0</x:v>
      </x:c>
    </x:row>
    <x:row r="453">
      <x:c r="A453" t="str">
        <x:f>'Counter_PnL'!D453</x:f>
        <x:v>CNCT0113</x:v>
      </x:c>
      <x:c r="B453" t="str">
        <x:f>'Counter_PnL'!C453</x:f>
        <x:v>2026 S2</x:v>
      </x:c>
      <x:c r="C453" s="30" t="n">
        <x:f>COUNTIFS('Counter_PnL'!$D$2:$D$641,A453,'Counter_PnL'!$C$2:$C$641,B453)</x:f>
        <x:v>1</x:v>
      </x:c>
      <x:c r="D453" s="79" t="n">
        <x:f>ABS('Counter_PnL'!AC453-SUM('Counter_PnL'!V453:'Counter_PnL'!AB453))</x:f>
        <x:v>0</x:v>
      </x:c>
      <x:c r="E453" s="79" t="n">
        <x:f>ABS('Counter_PnL'!AI453-SUM('Counter_PnL'!R453,'Counter_PnL'!T453,'Counter_PnL'!AC453,'Counter_PnL'!AE453,'Counter_PnL'!AG453,'Counter_PnL'!AH453))</x:f>
        <x:v>0</x:v>
      </x:c>
      <x:c r="F453" s="79" t="n">
        <x:f>ABS('Counter_PnL'!AK453-('Counter_PnL'!Q453+'Counter_PnL'!AI453))</x:f>
        <x:v>0</x:v>
      </x:c>
      <x:c r="G453" s="79" t="n">
        <x:f>ABS('Counter_PnL'!AT453-SUM('Counter_PnL'!AO453:'Counter_PnL'!AS453))</x:f>
        <x:v>0</x:v>
      </x:c>
      <x:c r="H453" s="79" t="n">
        <x:f>ABS('Counter_PnL'!AV453-('Counter_PnL'!AK453+'Counter_PnL'!AT453))</x:f>
        <x:v>0</x:v>
      </x:c>
      <x:c r="I453" s="79" t="n">
        <x:f>ABS('Counter_PnL'!BE453-SUM('Counter_PnL'!AX453:'Counter_PnL'!BB453,'Counter_PnL'!BD453))</x:f>
        <x:v>0</x:v>
      </x:c>
      <x:c r="J453" s="79" t="n">
        <x:f>ABS('Counter_PnL'!BL453-SUM('Counter_PnL'!AV453,'Counter_PnL'!BE453,'Counter_PnL'!BJ453,'Counter_PnL'!BK453))</x:f>
        <x:v>0</x:v>
      </x:c>
      <x:c r="K453" s="79" t="n">
        <x:f>ABS('Counter_PnL'!BO453-('Counter_PnL'!BL453+'Counter_PnL'!BN453))</x:f>
        <x:v>0</x:v>
      </x:c>
      <x:c r="L453" s="79" t="n">
        <x:f>MAX(ABS('Counter_PnL'!AW453-'Counter_PnL'!AV453/'Counter_PnL'!AK453),ABS('Counter_PnL'!BM453-'Counter_PnL'!BL453/'Counter_PnL'!AK453),ABS('Counter_PnL'!BP453-'Counter_PnL'!BO453/'Counter_PnL'!AK453))</x:f>
        <x:v>0</x:v>
      </x:c>
      <x:c r="M453" s="30" t="n">
        <x:f>IF(AND('Counter_PnL'!Q453&gt;0,'Counter_PnL'!AK453&gt;0,'Counter_PnL'!R453&lt;=0,'Counter_PnL'!T453&lt;=0,'Counter_PnL'!AT453&lt;=0,'Counter_PnL'!BE453&lt;=0,'Counter_PnL'!BJ453&lt;=0,'Counter_PnL'!BK453&lt;=0,'Counter_PnL'!BN453&lt;=0),0,1)</x:f>
        <x:v>0</x:v>
      </x:c>
    </x:row>
    <x:row r="454">
      <x:c r="A454" t="str">
        <x:f>'Counter_PnL'!D454</x:f>
        <x:v>CNCT0114</x:v>
      </x:c>
      <x:c r="B454" t="str">
        <x:f>'Counter_PnL'!C454</x:f>
        <x:v>2025 S1</x:v>
      </x:c>
      <x:c r="C454" s="30" t="n">
        <x:f>COUNTIFS('Counter_PnL'!$D$2:$D$641,A454,'Counter_PnL'!$C$2:$C$641,B454)</x:f>
        <x:v>1</x:v>
      </x:c>
      <x:c r="D454" s="79" t="n">
        <x:f>ABS('Counter_PnL'!AC454-SUM('Counter_PnL'!V454:'Counter_PnL'!AB454))</x:f>
        <x:v>0</x:v>
      </x:c>
      <x:c r="E454" s="79" t="n">
        <x:f>ABS('Counter_PnL'!AI454-SUM('Counter_PnL'!R454,'Counter_PnL'!T454,'Counter_PnL'!AC454,'Counter_PnL'!AE454,'Counter_PnL'!AG454,'Counter_PnL'!AH454))</x:f>
        <x:v>0</x:v>
      </x:c>
      <x:c r="F454" s="79" t="n">
        <x:f>ABS('Counter_PnL'!AK454-('Counter_PnL'!Q454+'Counter_PnL'!AI454))</x:f>
        <x:v>0</x:v>
      </x:c>
      <x:c r="G454" s="79" t="n">
        <x:f>ABS('Counter_PnL'!AT454-SUM('Counter_PnL'!AO454:'Counter_PnL'!AS454))</x:f>
        <x:v>0</x:v>
      </x:c>
      <x:c r="H454" s="79" t="n">
        <x:f>ABS('Counter_PnL'!AV454-('Counter_PnL'!AK454+'Counter_PnL'!AT454))</x:f>
        <x:v>0</x:v>
      </x:c>
      <x:c r="I454" s="79" t="n">
        <x:f>ABS('Counter_PnL'!BE454-SUM('Counter_PnL'!AX454:'Counter_PnL'!BB454,'Counter_PnL'!BD454))</x:f>
        <x:v>0</x:v>
      </x:c>
      <x:c r="J454" s="79" t="n">
        <x:f>ABS('Counter_PnL'!BL454-SUM('Counter_PnL'!AV454,'Counter_PnL'!BE454,'Counter_PnL'!BJ454,'Counter_PnL'!BK454))</x:f>
        <x:v>0</x:v>
      </x:c>
      <x:c r="K454" s="79" t="n">
        <x:f>ABS('Counter_PnL'!BO454-('Counter_PnL'!BL454+'Counter_PnL'!BN454))</x:f>
        <x:v>0</x:v>
      </x:c>
      <x:c r="L454" s="79" t="n">
        <x:f>MAX(ABS('Counter_PnL'!AW454-'Counter_PnL'!AV454/'Counter_PnL'!AK454),ABS('Counter_PnL'!BM454-'Counter_PnL'!BL454/'Counter_PnL'!AK454),ABS('Counter_PnL'!BP454-'Counter_PnL'!BO454/'Counter_PnL'!AK454))</x:f>
        <x:v>0</x:v>
      </x:c>
      <x:c r="M454" s="30" t="n">
        <x:f>IF(AND('Counter_PnL'!Q454&gt;0,'Counter_PnL'!AK454&gt;0,'Counter_PnL'!R454&lt;=0,'Counter_PnL'!T454&lt;=0,'Counter_PnL'!AT454&lt;=0,'Counter_PnL'!BE454&lt;=0,'Counter_PnL'!BJ454&lt;=0,'Counter_PnL'!BK454&lt;=0,'Counter_PnL'!BN454&lt;=0),0,1)</x:f>
        <x:v>0</x:v>
      </x:c>
    </x:row>
    <x:row r="455">
      <x:c r="A455" t="str">
        <x:f>'Counter_PnL'!D455</x:f>
        <x:v>CNCT0114</x:v>
      </x:c>
      <x:c r="B455" t="str">
        <x:f>'Counter_PnL'!C455</x:f>
        <x:v>2025 S2</x:v>
      </x:c>
      <x:c r="C455" s="30" t="n">
        <x:f>COUNTIFS('Counter_PnL'!$D$2:$D$641,A455,'Counter_PnL'!$C$2:$C$641,B455)</x:f>
        <x:v>1</x:v>
      </x:c>
      <x:c r="D455" s="79" t="n">
        <x:f>ABS('Counter_PnL'!AC455-SUM('Counter_PnL'!V455:'Counter_PnL'!AB455))</x:f>
        <x:v>0</x:v>
      </x:c>
      <x:c r="E455" s="79" t="n">
        <x:f>ABS('Counter_PnL'!AI455-SUM('Counter_PnL'!R455,'Counter_PnL'!T455,'Counter_PnL'!AC455,'Counter_PnL'!AE455,'Counter_PnL'!AG455,'Counter_PnL'!AH455))</x:f>
        <x:v>0</x:v>
      </x:c>
      <x:c r="F455" s="79" t="n">
        <x:f>ABS('Counter_PnL'!AK455-('Counter_PnL'!Q455+'Counter_PnL'!AI455))</x:f>
        <x:v>0</x:v>
      </x:c>
      <x:c r="G455" s="79" t="n">
        <x:f>ABS('Counter_PnL'!AT455-SUM('Counter_PnL'!AO455:'Counter_PnL'!AS455))</x:f>
        <x:v>0</x:v>
      </x:c>
      <x:c r="H455" s="79" t="n">
        <x:f>ABS('Counter_PnL'!AV455-('Counter_PnL'!AK455+'Counter_PnL'!AT455))</x:f>
        <x:v>0</x:v>
      </x:c>
      <x:c r="I455" s="79" t="n">
        <x:f>ABS('Counter_PnL'!BE455-SUM('Counter_PnL'!AX455:'Counter_PnL'!BB455,'Counter_PnL'!BD455))</x:f>
        <x:v>0</x:v>
      </x:c>
      <x:c r="J455" s="79" t="n">
        <x:f>ABS('Counter_PnL'!BL455-SUM('Counter_PnL'!AV455,'Counter_PnL'!BE455,'Counter_PnL'!BJ455,'Counter_PnL'!BK455))</x:f>
        <x:v>0</x:v>
      </x:c>
      <x:c r="K455" s="79" t="n">
        <x:f>ABS('Counter_PnL'!BO455-('Counter_PnL'!BL455+'Counter_PnL'!BN455))</x:f>
        <x:v>0</x:v>
      </x:c>
      <x:c r="L455" s="79" t="n">
        <x:f>MAX(ABS('Counter_PnL'!AW455-'Counter_PnL'!AV455/'Counter_PnL'!AK455),ABS('Counter_PnL'!BM455-'Counter_PnL'!BL455/'Counter_PnL'!AK455),ABS('Counter_PnL'!BP455-'Counter_PnL'!BO455/'Counter_PnL'!AK455))</x:f>
        <x:v>0</x:v>
      </x:c>
      <x:c r="M455" s="30" t="n">
        <x:f>IF(AND('Counter_PnL'!Q455&gt;0,'Counter_PnL'!AK455&gt;0,'Counter_PnL'!R455&lt;=0,'Counter_PnL'!T455&lt;=0,'Counter_PnL'!AT455&lt;=0,'Counter_PnL'!BE455&lt;=0,'Counter_PnL'!BJ455&lt;=0,'Counter_PnL'!BK455&lt;=0,'Counter_PnL'!BN455&lt;=0),0,1)</x:f>
        <x:v>0</x:v>
      </x:c>
    </x:row>
    <x:row r="456">
      <x:c r="A456" t="str">
        <x:f>'Counter_PnL'!D456</x:f>
        <x:v>CNCT0114</x:v>
      </x:c>
      <x:c r="B456" t="str">
        <x:f>'Counter_PnL'!C456</x:f>
        <x:v>2026 S1</x:v>
      </x:c>
      <x:c r="C456" s="30" t="n">
        <x:f>COUNTIFS('Counter_PnL'!$D$2:$D$641,A456,'Counter_PnL'!$C$2:$C$641,B456)</x:f>
        <x:v>1</x:v>
      </x:c>
      <x:c r="D456" s="79" t="n">
        <x:f>ABS('Counter_PnL'!AC456-SUM('Counter_PnL'!V456:'Counter_PnL'!AB456))</x:f>
        <x:v>0</x:v>
      </x:c>
      <x:c r="E456" s="79" t="n">
        <x:f>ABS('Counter_PnL'!AI456-SUM('Counter_PnL'!R456,'Counter_PnL'!T456,'Counter_PnL'!AC456,'Counter_PnL'!AE456,'Counter_PnL'!AG456,'Counter_PnL'!AH456))</x:f>
        <x:v>0</x:v>
      </x:c>
      <x:c r="F456" s="79" t="n">
        <x:f>ABS('Counter_PnL'!AK456-('Counter_PnL'!Q456+'Counter_PnL'!AI456))</x:f>
        <x:v>0</x:v>
      </x:c>
      <x:c r="G456" s="79" t="n">
        <x:f>ABS('Counter_PnL'!AT456-SUM('Counter_PnL'!AO456:'Counter_PnL'!AS456))</x:f>
        <x:v>0</x:v>
      </x:c>
      <x:c r="H456" s="79" t="n">
        <x:f>ABS('Counter_PnL'!AV456-('Counter_PnL'!AK456+'Counter_PnL'!AT456))</x:f>
        <x:v>0</x:v>
      </x:c>
      <x:c r="I456" s="79" t="n">
        <x:f>ABS('Counter_PnL'!BE456-SUM('Counter_PnL'!AX456:'Counter_PnL'!BB456,'Counter_PnL'!BD456))</x:f>
        <x:v>0</x:v>
      </x:c>
      <x:c r="J456" s="79" t="n">
        <x:f>ABS('Counter_PnL'!BL456-SUM('Counter_PnL'!AV456,'Counter_PnL'!BE456,'Counter_PnL'!BJ456,'Counter_PnL'!BK456))</x:f>
        <x:v>0</x:v>
      </x:c>
      <x:c r="K456" s="79" t="n">
        <x:f>ABS('Counter_PnL'!BO456-('Counter_PnL'!BL456+'Counter_PnL'!BN456))</x:f>
        <x:v>0</x:v>
      </x:c>
      <x:c r="L456" s="79" t="n">
        <x:f>MAX(ABS('Counter_PnL'!AW456-'Counter_PnL'!AV456/'Counter_PnL'!AK456),ABS('Counter_PnL'!BM456-'Counter_PnL'!BL456/'Counter_PnL'!AK456),ABS('Counter_PnL'!BP456-'Counter_PnL'!BO456/'Counter_PnL'!AK456))</x:f>
        <x:v>0</x:v>
      </x:c>
      <x:c r="M456" s="30" t="n">
        <x:f>IF(AND('Counter_PnL'!Q456&gt;0,'Counter_PnL'!AK456&gt;0,'Counter_PnL'!R456&lt;=0,'Counter_PnL'!T456&lt;=0,'Counter_PnL'!AT456&lt;=0,'Counter_PnL'!BE456&lt;=0,'Counter_PnL'!BJ456&lt;=0,'Counter_PnL'!BK456&lt;=0,'Counter_PnL'!BN456&lt;=0),0,1)</x:f>
        <x:v>0</x:v>
      </x:c>
    </x:row>
    <x:row r="457">
      <x:c r="A457" t="str">
        <x:f>'Counter_PnL'!D457</x:f>
        <x:v>CNCT0114</x:v>
      </x:c>
      <x:c r="B457" t="str">
        <x:f>'Counter_PnL'!C457</x:f>
        <x:v>2026 S2</x:v>
      </x:c>
      <x:c r="C457" s="30" t="n">
        <x:f>COUNTIFS('Counter_PnL'!$D$2:$D$641,A457,'Counter_PnL'!$C$2:$C$641,B457)</x:f>
        <x:v>1</x:v>
      </x:c>
      <x:c r="D457" s="79" t="n">
        <x:f>ABS('Counter_PnL'!AC457-SUM('Counter_PnL'!V457:'Counter_PnL'!AB457))</x:f>
        <x:v>0</x:v>
      </x:c>
      <x:c r="E457" s="79" t="n">
        <x:f>ABS('Counter_PnL'!AI457-SUM('Counter_PnL'!R457,'Counter_PnL'!T457,'Counter_PnL'!AC457,'Counter_PnL'!AE457,'Counter_PnL'!AG457,'Counter_PnL'!AH457))</x:f>
        <x:v>0</x:v>
      </x:c>
      <x:c r="F457" s="79" t="n">
        <x:f>ABS('Counter_PnL'!AK457-('Counter_PnL'!Q457+'Counter_PnL'!AI457))</x:f>
        <x:v>0</x:v>
      </x:c>
      <x:c r="G457" s="79" t="n">
        <x:f>ABS('Counter_PnL'!AT457-SUM('Counter_PnL'!AO457:'Counter_PnL'!AS457))</x:f>
        <x:v>0</x:v>
      </x:c>
      <x:c r="H457" s="79" t="n">
        <x:f>ABS('Counter_PnL'!AV457-('Counter_PnL'!AK457+'Counter_PnL'!AT457))</x:f>
        <x:v>0</x:v>
      </x:c>
      <x:c r="I457" s="79" t="n">
        <x:f>ABS('Counter_PnL'!BE457-SUM('Counter_PnL'!AX457:'Counter_PnL'!BB457,'Counter_PnL'!BD457))</x:f>
        <x:v>0</x:v>
      </x:c>
      <x:c r="J457" s="79" t="n">
        <x:f>ABS('Counter_PnL'!BL457-SUM('Counter_PnL'!AV457,'Counter_PnL'!BE457,'Counter_PnL'!BJ457,'Counter_PnL'!BK457))</x:f>
        <x:v>0</x:v>
      </x:c>
      <x:c r="K457" s="79" t="n">
        <x:f>ABS('Counter_PnL'!BO457-('Counter_PnL'!BL457+'Counter_PnL'!BN457))</x:f>
        <x:v>0</x:v>
      </x:c>
      <x:c r="L457" s="79" t="n">
        <x:f>MAX(ABS('Counter_PnL'!AW457-'Counter_PnL'!AV457/'Counter_PnL'!AK457),ABS('Counter_PnL'!BM457-'Counter_PnL'!BL457/'Counter_PnL'!AK457),ABS('Counter_PnL'!BP457-'Counter_PnL'!BO457/'Counter_PnL'!AK457))</x:f>
        <x:v>0</x:v>
      </x:c>
      <x:c r="M457" s="30" t="n">
        <x:f>IF(AND('Counter_PnL'!Q457&gt;0,'Counter_PnL'!AK457&gt;0,'Counter_PnL'!R457&lt;=0,'Counter_PnL'!T457&lt;=0,'Counter_PnL'!AT457&lt;=0,'Counter_PnL'!BE457&lt;=0,'Counter_PnL'!BJ457&lt;=0,'Counter_PnL'!BK457&lt;=0,'Counter_PnL'!BN457&lt;=0),0,1)</x:f>
        <x:v>0</x:v>
      </x:c>
    </x:row>
    <x:row r="458">
      <x:c r="A458" t="str">
        <x:f>'Counter_PnL'!D458</x:f>
        <x:v>CNCT0115</x:v>
      </x:c>
      <x:c r="B458" t="str">
        <x:f>'Counter_PnL'!C458</x:f>
        <x:v>2025 S1</x:v>
      </x:c>
      <x:c r="C458" s="30" t="n">
        <x:f>COUNTIFS('Counter_PnL'!$D$2:$D$641,A458,'Counter_PnL'!$C$2:$C$641,B458)</x:f>
        <x:v>1</x:v>
      </x:c>
      <x:c r="D458" s="79" t="n">
        <x:f>ABS('Counter_PnL'!AC458-SUM('Counter_PnL'!V458:'Counter_PnL'!AB458))</x:f>
        <x:v>0</x:v>
      </x:c>
      <x:c r="E458" s="79" t="n">
        <x:f>ABS('Counter_PnL'!AI458-SUM('Counter_PnL'!R458,'Counter_PnL'!T458,'Counter_PnL'!AC458,'Counter_PnL'!AE458,'Counter_PnL'!AG458,'Counter_PnL'!AH458))</x:f>
        <x:v>0</x:v>
      </x:c>
      <x:c r="F458" s="79" t="n">
        <x:f>ABS('Counter_PnL'!AK458-('Counter_PnL'!Q458+'Counter_PnL'!AI458))</x:f>
        <x:v>0</x:v>
      </x:c>
      <x:c r="G458" s="79" t="n">
        <x:f>ABS('Counter_PnL'!AT458-SUM('Counter_PnL'!AO458:'Counter_PnL'!AS458))</x:f>
        <x:v>0</x:v>
      </x:c>
      <x:c r="H458" s="79" t="n">
        <x:f>ABS('Counter_PnL'!AV458-('Counter_PnL'!AK458+'Counter_PnL'!AT458))</x:f>
        <x:v>0</x:v>
      </x:c>
      <x:c r="I458" s="79" t="n">
        <x:f>ABS('Counter_PnL'!BE458-SUM('Counter_PnL'!AX458:'Counter_PnL'!BB458,'Counter_PnL'!BD458))</x:f>
        <x:v>0</x:v>
      </x:c>
      <x:c r="J458" s="79" t="n">
        <x:f>ABS('Counter_PnL'!BL458-SUM('Counter_PnL'!AV458,'Counter_PnL'!BE458,'Counter_PnL'!BJ458,'Counter_PnL'!BK458))</x:f>
        <x:v>0</x:v>
      </x:c>
      <x:c r="K458" s="79" t="n">
        <x:f>ABS('Counter_PnL'!BO458-('Counter_PnL'!BL458+'Counter_PnL'!BN458))</x:f>
        <x:v>0</x:v>
      </x:c>
      <x:c r="L458" s="79" t="n">
        <x:f>MAX(ABS('Counter_PnL'!AW458-'Counter_PnL'!AV458/'Counter_PnL'!AK458),ABS('Counter_PnL'!BM458-'Counter_PnL'!BL458/'Counter_PnL'!AK458),ABS('Counter_PnL'!BP458-'Counter_PnL'!BO458/'Counter_PnL'!AK458))</x:f>
        <x:v>0</x:v>
      </x:c>
      <x:c r="M458" s="30" t="n">
        <x:f>IF(AND('Counter_PnL'!Q458&gt;0,'Counter_PnL'!AK458&gt;0,'Counter_PnL'!R458&lt;=0,'Counter_PnL'!T458&lt;=0,'Counter_PnL'!AT458&lt;=0,'Counter_PnL'!BE458&lt;=0,'Counter_PnL'!BJ458&lt;=0,'Counter_PnL'!BK458&lt;=0,'Counter_PnL'!BN458&lt;=0),0,1)</x:f>
        <x:v>0</x:v>
      </x:c>
    </x:row>
    <x:row r="459">
      <x:c r="A459" t="str">
        <x:f>'Counter_PnL'!D459</x:f>
        <x:v>CNCT0115</x:v>
      </x:c>
      <x:c r="B459" t="str">
        <x:f>'Counter_PnL'!C459</x:f>
        <x:v>2025 S2</x:v>
      </x:c>
      <x:c r="C459" s="30" t="n">
        <x:f>COUNTIFS('Counter_PnL'!$D$2:$D$641,A459,'Counter_PnL'!$C$2:$C$641,B459)</x:f>
        <x:v>1</x:v>
      </x:c>
      <x:c r="D459" s="79" t="n">
        <x:f>ABS('Counter_PnL'!AC459-SUM('Counter_PnL'!V459:'Counter_PnL'!AB459))</x:f>
        <x:v>0</x:v>
      </x:c>
      <x:c r="E459" s="79" t="n">
        <x:f>ABS('Counter_PnL'!AI459-SUM('Counter_PnL'!R459,'Counter_PnL'!T459,'Counter_PnL'!AC459,'Counter_PnL'!AE459,'Counter_PnL'!AG459,'Counter_PnL'!AH459))</x:f>
        <x:v>0</x:v>
      </x:c>
      <x:c r="F459" s="79" t="n">
        <x:f>ABS('Counter_PnL'!AK459-('Counter_PnL'!Q459+'Counter_PnL'!AI459))</x:f>
        <x:v>0</x:v>
      </x:c>
      <x:c r="G459" s="79" t="n">
        <x:f>ABS('Counter_PnL'!AT459-SUM('Counter_PnL'!AO459:'Counter_PnL'!AS459))</x:f>
        <x:v>0</x:v>
      </x:c>
      <x:c r="H459" s="79" t="n">
        <x:f>ABS('Counter_PnL'!AV459-('Counter_PnL'!AK459+'Counter_PnL'!AT459))</x:f>
        <x:v>0</x:v>
      </x:c>
      <x:c r="I459" s="79" t="n">
        <x:f>ABS('Counter_PnL'!BE459-SUM('Counter_PnL'!AX459:'Counter_PnL'!BB459,'Counter_PnL'!BD459))</x:f>
        <x:v>0</x:v>
      </x:c>
      <x:c r="J459" s="79" t="n">
        <x:f>ABS('Counter_PnL'!BL459-SUM('Counter_PnL'!AV459,'Counter_PnL'!BE459,'Counter_PnL'!BJ459,'Counter_PnL'!BK459))</x:f>
        <x:v>0</x:v>
      </x:c>
      <x:c r="K459" s="79" t="n">
        <x:f>ABS('Counter_PnL'!BO459-('Counter_PnL'!BL459+'Counter_PnL'!BN459))</x:f>
        <x:v>0</x:v>
      </x:c>
      <x:c r="L459" s="79" t="n">
        <x:f>MAX(ABS('Counter_PnL'!AW459-'Counter_PnL'!AV459/'Counter_PnL'!AK459),ABS('Counter_PnL'!BM459-'Counter_PnL'!BL459/'Counter_PnL'!AK459),ABS('Counter_PnL'!BP459-'Counter_PnL'!BO459/'Counter_PnL'!AK459))</x:f>
        <x:v>0</x:v>
      </x:c>
      <x:c r="M459" s="30" t="n">
        <x:f>IF(AND('Counter_PnL'!Q459&gt;0,'Counter_PnL'!AK459&gt;0,'Counter_PnL'!R459&lt;=0,'Counter_PnL'!T459&lt;=0,'Counter_PnL'!AT459&lt;=0,'Counter_PnL'!BE459&lt;=0,'Counter_PnL'!BJ459&lt;=0,'Counter_PnL'!BK459&lt;=0,'Counter_PnL'!BN459&lt;=0),0,1)</x:f>
        <x:v>0</x:v>
      </x:c>
    </x:row>
    <x:row r="460">
      <x:c r="A460" t="str">
        <x:f>'Counter_PnL'!D460</x:f>
        <x:v>CNCT0115</x:v>
      </x:c>
      <x:c r="B460" t="str">
        <x:f>'Counter_PnL'!C460</x:f>
        <x:v>2026 S1</x:v>
      </x:c>
      <x:c r="C460" s="30" t="n">
        <x:f>COUNTIFS('Counter_PnL'!$D$2:$D$641,A460,'Counter_PnL'!$C$2:$C$641,B460)</x:f>
        <x:v>1</x:v>
      </x:c>
      <x:c r="D460" s="79" t="n">
        <x:f>ABS('Counter_PnL'!AC460-SUM('Counter_PnL'!V460:'Counter_PnL'!AB460))</x:f>
        <x:v>0</x:v>
      </x:c>
      <x:c r="E460" s="79" t="n">
        <x:f>ABS('Counter_PnL'!AI460-SUM('Counter_PnL'!R460,'Counter_PnL'!T460,'Counter_PnL'!AC460,'Counter_PnL'!AE460,'Counter_PnL'!AG460,'Counter_PnL'!AH460))</x:f>
        <x:v>0</x:v>
      </x:c>
      <x:c r="F460" s="79" t="n">
        <x:f>ABS('Counter_PnL'!AK460-('Counter_PnL'!Q460+'Counter_PnL'!AI460))</x:f>
        <x:v>0</x:v>
      </x:c>
      <x:c r="G460" s="79" t="n">
        <x:f>ABS('Counter_PnL'!AT460-SUM('Counter_PnL'!AO460:'Counter_PnL'!AS460))</x:f>
        <x:v>0</x:v>
      </x:c>
      <x:c r="H460" s="79" t="n">
        <x:f>ABS('Counter_PnL'!AV460-('Counter_PnL'!AK460+'Counter_PnL'!AT460))</x:f>
        <x:v>0</x:v>
      </x:c>
      <x:c r="I460" s="79" t="n">
        <x:f>ABS('Counter_PnL'!BE460-SUM('Counter_PnL'!AX460:'Counter_PnL'!BB460,'Counter_PnL'!BD460))</x:f>
        <x:v>0</x:v>
      </x:c>
      <x:c r="J460" s="79" t="n">
        <x:f>ABS('Counter_PnL'!BL460-SUM('Counter_PnL'!AV460,'Counter_PnL'!BE460,'Counter_PnL'!BJ460,'Counter_PnL'!BK460))</x:f>
        <x:v>0</x:v>
      </x:c>
      <x:c r="K460" s="79" t="n">
        <x:f>ABS('Counter_PnL'!BO460-('Counter_PnL'!BL460+'Counter_PnL'!BN460))</x:f>
        <x:v>0</x:v>
      </x:c>
      <x:c r="L460" s="79" t="n">
        <x:f>MAX(ABS('Counter_PnL'!AW460-'Counter_PnL'!AV460/'Counter_PnL'!AK460),ABS('Counter_PnL'!BM460-'Counter_PnL'!BL460/'Counter_PnL'!AK460),ABS('Counter_PnL'!BP460-'Counter_PnL'!BO460/'Counter_PnL'!AK460))</x:f>
        <x:v>0</x:v>
      </x:c>
      <x:c r="M460" s="30" t="n">
        <x:f>IF(AND('Counter_PnL'!Q460&gt;0,'Counter_PnL'!AK460&gt;0,'Counter_PnL'!R460&lt;=0,'Counter_PnL'!T460&lt;=0,'Counter_PnL'!AT460&lt;=0,'Counter_PnL'!BE460&lt;=0,'Counter_PnL'!BJ460&lt;=0,'Counter_PnL'!BK460&lt;=0,'Counter_PnL'!BN460&lt;=0),0,1)</x:f>
        <x:v>0</x:v>
      </x:c>
    </x:row>
    <x:row r="461">
      <x:c r="A461" t="str">
        <x:f>'Counter_PnL'!D461</x:f>
        <x:v>CNCT0115</x:v>
      </x:c>
      <x:c r="B461" t="str">
        <x:f>'Counter_PnL'!C461</x:f>
        <x:v>2026 S2</x:v>
      </x:c>
      <x:c r="C461" s="30" t="n">
        <x:f>COUNTIFS('Counter_PnL'!$D$2:$D$641,A461,'Counter_PnL'!$C$2:$C$641,B461)</x:f>
        <x:v>1</x:v>
      </x:c>
      <x:c r="D461" s="79" t="n">
        <x:f>ABS('Counter_PnL'!AC461-SUM('Counter_PnL'!V461:'Counter_PnL'!AB461))</x:f>
        <x:v>0</x:v>
      </x:c>
      <x:c r="E461" s="79" t="n">
        <x:f>ABS('Counter_PnL'!AI461-SUM('Counter_PnL'!R461,'Counter_PnL'!T461,'Counter_PnL'!AC461,'Counter_PnL'!AE461,'Counter_PnL'!AG461,'Counter_PnL'!AH461))</x:f>
        <x:v>0</x:v>
      </x:c>
      <x:c r="F461" s="79" t="n">
        <x:f>ABS('Counter_PnL'!AK461-('Counter_PnL'!Q461+'Counter_PnL'!AI461))</x:f>
        <x:v>0</x:v>
      </x:c>
      <x:c r="G461" s="79" t="n">
        <x:f>ABS('Counter_PnL'!AT461-SUM('Counter_PnL'!AO461:'Counter_PnL'!AS461))</x:f>
        <x:v>0</x:v>
      </x:c>
      <x:c r="H461" s="79" t="n">
        <x:f>ABS('Counter_PnL'!AV461-('Counter_PnL'!AK461+'Counter_PnL'!AT461))</x:f>
        <x:v>0</x:v>
      </x:c>
      <x:c r="I461" s="79" t="n">
        <x:f>ABS('Counter_PnL'!BE461-SUM('Counter_PnL'!AX461:'Counter_PnL'!BB461,'Counter_PnL'!BD461))</x:f>
        <x:v>0</x:v>
      </x:c>
      <x:c r="J461" s="79" t="n">
        <x:f>ABS('Counter_PnL'!BL461-SUM('Counter_PnL'!AV461,'Counter_PnL'!BE461,'Counter_PnL'!BJ461,'Counter_PnL'!BK461))</x:f>
        <x:v>0</x:v>
      </x:c>
      <x:c r="K461" s="79" t="n">
        <x:f>ABS('Counter_PnL'!BO461-('Counter_PnL'!BL461+'Counter_PnL'!BN461))</x:f>
        <x:v>0</x:v>
      </x:c>
      <x:c r="L461" s="79" t="n">
        <x:f>MAX(ABS('Counter_PnL'!AW461-'Counter_PnL'!AV461/'Counter_PnL'!AK461),ABS('Counter_PnL'!BM461-'Counter_PnL'!BL461/'Counter_PnL'!AK461),ABS('Counter_PnL'!BP461-'Counter_PnL'!BO461/'Counter_PnL'!AK461))</x:f>
        <x:v>0</x:v>
      </x:c>
      <x:c r="M461" s="30" t="n">
        <x:f>IF(AND('Counter_PnL'!Q461&gt;0,'Counter_PnL'!AK461&gt;0,'Counter_PnL'!R461&lt;=0,'Counter_PnL'!T461&lt;=0,'Counter_PnL'!AT461&lt;=0,'Counter_PnL'!BE461&lt;=0,'Counter_PnL'!BJ461&lt;=0,'Counter_PnL'!BK461&lt;=0,'Counter_PnL'!BN461&lt;=0),0,1)</x:f>
        <x:v>0</x:v>
      </x:c>
    </x:row>
    <x:row r="462">
      <x:c r="A462" t="str">
        <x:f>'Counter_PnL'!D462</x:f>
        <x:v>CNCT0116</x:v>
      </x:c>
      <x:c r="B462" t="str">
        <x:f>'Counter_PnL'!C462</x:f>
        <x:v>2025 S1</x:v>
      </x:c>
      <x:c r="C462" s="30" t="n">
        <x:f>COUNTIFS('Counter_PnL'!$D$2:$D$641,A462,'Counter_PnL'!$C$2:$C$641,B462)</x:f>
        <x:v>1</x:v>
      </x:c>
      <x:c r="D462" s="79" t="n">
        <x:f>ABS('Counter_PnL'!AC462-SUM('Counter_PnL'!V462:'Counter_PnL'!AB462))</x:f>
        <x:v>0</x:v>
      </x:c>
      <x:c r="E462" s="79" t="n">
        <x:f>ABS('Counter_PnL'!AI462-SUM('Counter_PnL'!R462,'Counter_PnL'!T462,'Counter_PnL'!AC462,'Counter_PnL'!AE462,'Counter_PnL'!AG462,'Counter_PnL'!AH462))</x:f>
        <x:v>0</x:v>
      </x:c>
      <x:c r="F462" s="79" t="n">
        <x:f>ABS('Counter_PnL'!AK462-('Counter_PnL'!Q462+'Counter_PnL'!AI462))</x:f>
        <x:v>0</x:v>
      </x:c>
      <x:c r="G462" s="79" t="n">
        <x:f>ABS('Counter_PnL'!AT462-SUM('Counter_PnL'!AO462:'Counter_PnL'!AS462))</x:f>
        <x:v>0</x:v>
      </x:c>
      <x:c r="H462" s="79" t="n">
        <x:f>ABS('Counter_PnL'!AV462-('Counter_PnL'!AK462+'Counter_PnL'!AT462))</x:f>
        <x:v>0</x:v>
      </x:c>
      <x:c r="I462" s="79" t="n">
        <x:f>ABS('Counter_PnL'!BE462-SUM('Counter_PnL'!AX462:'Counter_PnL'!BB462,'Counter_PnL'!BD462))</x:f>
        <x:v>0</x:v>
      </x:c>
      <x:c r="J462" s="79" t="n">
        <x:f>ABS('Counter_PnL'!BL462-SUM('Counter_PnL'!AV462,'Counter_PnL'!BE462,'Counter_PnL'!BJ462,'Counter_PnL'!BK462))</x:f>
        <x:v>0</x:v>
      </x:c>
      <x:c r="K462" s="79" t="n">
        <x:f>ABS('Counter_PnL'!BO462-('Counter_PnL'!BL462+'Counter_PnL'!BN462))</x:f>
        <x:v>0</x:v>
      </x:c>
      <x:c r="L462" s="79" t="n">
        <x:f>MAX(ABS('Counter_PnL'!AW462-'Counter_PnL'!AV462/'Counter_PnL'!AK462),ABS('Counter_PnL'!BM462-'Counter_PnL'!BL462/'Counter_PnL'!AK462),ABS('Counter_PnL'!BP462-'Counter_PnL'!BO462/'Counter_PnL'!AK462))</x:f>
        <x:v>0</x:v>
      </x:c>
      <x:c r="M462" s="30" t="n">
        <x:f>IF(AND('Counter_PnL'!Q462&gt;0,'Counter_PnL'!AK462&gt;0,'Counter_PnL'!R462&lt;=0,'Counter_PnL'!T462&lt;=0,'Counter_PnL'!AT462&lt;=0,'Counter_PnL'!BE462&lt;=0,'Counter_PnL'!BJ462&lt;=0,'Counter_PnL'!BK462&lt;=0,'Counter_PnL'!BN462&lt;=0),0,1)</x:f>
        <x:v>0</x:v>
      </x:c>
    </x:row>
    <x:row r="463">
      <x:c r="A463" t="str">
        <x:f>'Counter_PnL'!D463</x:f>
        <x:v>CNCT0116</x:v>
      </x:c>
      <x:c r="B463" t="str">
        <x:f>'Counter_PnL'!C463</x:f>
        <x:v>2025 S2</x:v>
      </x:c>
      <x:c r="C463" s="30" t="n">
        <x:f>COUNTIFS('Counter_PnL'!$D$2:$D$641,A463,'Counter_PnL'!$C$2:$C$641,B463)</x:f>
        <x:v>1</x:v>
      </x:c>
      <x:c r="D463" s="79" t="n">
        <x:f>ABS('Counter_PnL'!AC463-SUM('Counter_PnL'!V463:'Counter_PnL'!AB463))</x:f>
        <x:v>0</x:v>
      </x:c>
      <x:c r="E463" s="79" t="n">
        <x:f>ABS('Counter_PnL'!AI463-SUM('Counter_PnL'!R463,'Counter_PnL'!T463,'Counter_PnL'!AC463,'Counter_PnL'!AE463,'Counter_PnL'!AG463,'Counter_PnL'!AH463))</x:f>
        <x:v>0</x:v>
      </x:c>
      <x:c r="F463" s="79" t="n">
        <x:f>ABS('Counter_PnL'!AK463-('Counter_PnL'!Q463+'Counter_PnL'!AI463))</x:f>
        <x:v>0</x:v>
      </x:c>
      <x:c r="G463" s="79" t="n">
        <x:f>ABS('Counter_PnL'!AT463-SUM('Counter_PnL'!AO463:'Counter_PnL'!AS463))</x:f>
        <x:v>0</x:v>
      </x:c>
      <x:c r="H463" s="79" t="n">
        <x:f>ABS('Counter_PnL'!AV463-('Counter_PnL'!AK463+'Counter_PnL'!AT463))</x:f>
        <x:v>0</x:v>
      </x:c>
      <x:c r="I463" s="79" t="n">
        <x:f>ABS('Counter_PnL'!BE463-SUM('Counter_PnL'!AX463:'Counter_PnL'!BB463,'Counter_PnL'!BD463))</x:f>
        <x:v>0</x:v>
      </x:c>
      <x:c r="J463" s="79" t="n">
        <x:f>ABS('Counter_PnL'!BL463-SUM('Counter_PnL'!AV463,'Counter_PnL'!BE463,'Counter_PnL'!BJ463,'Counter_PnL'!BK463))</x:f>
        <x:v>0</x:v>
      </x:c>
      <x:c r="K463" s="79" t="n">
        <x:f>ABS('Counter_PnL'!BO463-('Counter_PnL'!BL463+'Counter_PnL'!BN463))</x:f>
        <x:v>0</x:v>
      </x:c>
      <x:c r="L463" s="79" t="n">
        <x:f>MAX(ABS('Counter_PnL'!AW463-'Counter_PnL'!AV463/'Counter_PnL'!AK463),ABS('Counter_PnL'!BM463-'Counter_PnL'!BL463/'Counter_PnL'!AK463),ABS('Counter_PnL'!BP463-'Counter_PnL'!BO463/'Counter_PnL'!AK463))</x:f>
        <x:v>0</x:v>
      </x:c>
      <x:c r="M463" s="30" t="n">
        <x:f>IF(AND('Counter_PnL'!Q463&gt;0,'Counter_PnL'!AK463&gt;0,'Counter_PnL'!R463&lt;=0,'Counter_PnL'!T463&lt;=0,'Counter_PnL'!AT463&lt;=0,'Counter_PnL'!BE463&lt;=0,'Counter_PnL'!BJ463&lt;=0,'Counter_PnL'!BK463&lt;=0,'Counter_PnL'!BN463&lt;=0),0,1)</x:f>
        <x:v>0</x:v>
      </x:c>
    </x:row>
    <x:row r="464">
      <x:c r="A464" t="str">
        <x:f>'Counter_PnL'!D464</x:f>
        <x:v>CNCT0116</x:v>
      </x:c>
      <x:c r="B464" t="str">
        <x:f>'Counter_PnL'!C464</x:f>
        <x:v>2026 S1</x:v>
      </x:c>
      <x:c r="C464" s="30" t="n">
        <x:f>COUNTIFS('Counter_PnL'!$D$2:$D$641,A464,'Counter_PnL'!$C$2:$C$641,B464)</x:f>
        <x:v>1</x:v>
      </x:c>
      <x:c r="D464" s="79" t="n">
        <x:f>ABS('Counter_PnL'!AC464-SUM('Counter_PnL'!V464:'Counter_PnL'!AB464))</x:f>
        <x:v>0</x:v>
      </x:c>
      <x:c r="E464" s="79" t="n">
        <x:f>ABS('Counter_PnL'!AI464-SUM('Counter_PnL'!R464,'Counter_PnL'!T464,'Counter_PnL'!AC464,'Counter_PnL'!AE464,'Counter_PnL'!AG464,'Counter_PnL'!AH464))</x:f>
        <x:v>0</x:v>
      </x:c>
      <x:c r="F464" s="79" t="n">
        <x:f>ABS('Counter_PnL'!AK464-('Counter_PnL'!Q464+'Counter_PnL'!AI464))</x:f>
        <x:v>0</x:v>
      </x:c>
      <x:c r="G464" s="79" t="n">
        <x:f>ABS('Counter_PnL'!AT464-SUM('Counter_PnL'!AO464:'Counter_PnL'!AS464))</x:f>
        <x:v>0</x:v>
      </x:c>
      <x:c r="H464" s="79" t="n">
        <x:f>ABS('Counter_PnL'!AV464-('Counter_PnL'!AK464+'Counter_PnL'!AT464))</x:f>
        <x:v>0</x:v>
      </x:c>
      <x:c r="I464" s="79" t="n">
        <x:f>ABS('Counter_PnL'!BE464-SUM('Counter_PnL'!AX464:'Counter_PnL'!BB464,'Counter_PnL'!BD464))</x:f>
        <x:v>0</x:v>
      </x:c>
      <x:c r="J464" s="79" t="n">
        <x:f>ABS('Counter_PnL'!BL464-SUM('Counter_PnL'!AV464,'Counter_PnL'!BE464,'Counter_PnL'!BJ464,'Counter_PnL'!BK464))</x:f>
        <x:v>0</x:v>
      </x:c>
      <x:c r="K464" s="79" t="n">
        <x:f>ABS('Counter_PnL'!BO464-('Counter_PnL'!BL464+'Counter_PnL'!BN464))</x:f>
        <x:v>0</x:v>
      </x:c>
      <x:c r="L464" s="79" t="n">
        <x:f>MAX(ABS('Counter_PnL'!AW464-'Counter_PnL'!AV464/'Counter_PnL'!AK464),ABS('Counter_PnL'!BM464-'Counter_PnL'!BL464/'Counter_PnL'!AK464),ABS('Counter_PnL'!BP464-'Counter_PnL'!BO464/'Counter_PnL'!AK464))</x:f>
        <x:v>0</x:v>
      </x:c>
      <x:c r="M464" s="30" t="n">
        <x:f>IF(AND('Counter_PnL'!Q464&gt;0,'Counter_PnL'!AK464&gt;0,'Counter_PnL'!R464&lt;=0,'Counter_PnL'!T464&lt;=0,'Counter_PnL'!AT464&lt;=0,'Counter_PnL'!BE464&lt;=0,'Counter_PnL'!BJ464&lt;=0,'Counter_PnL'!BK464&lt;=0,'Counter_PnL'!BN464&lt;=0),0,1)</x:f>
        <x:v>0</x:v>
      </x:c>
    </x:row>
    <x:row r="465">
      <x:c r="A465" t="str">
        <x:f>'Counter_PnL'!D465</x:f>
        <x:v>CNCT0116</x:v>
      </x:c>
      <x:c r="B465" t="str">
        <x:f>'Counter_PnL'!C465</x:f>
        <x:v>2026 S2</x:v>
      </x:c>
      <x:c r="C465" s="30" t="n">
        <x:f>COUNTIFS('Counter_PnL'!$D$2:$D$641,A465,'Counter_PnL'!$C$2:$C$641,B465)</x:f>
        <x:v>1</x:v>
      </x:c>
      <x:c r="D465" s="79" t="n">
        <x:f>ABS('Counter_PnL'!AC465-SUM('Counter_PnL'!V465:'Counter_PnL'!AB465))</x:f>
        <x:v>0</x:v>
      </x:c>
      <x:c r="E465" s="79" t="n">
        <x:f>ABS('Counter_PnL'!AI465-SUM('Counter_PnL'!R465,'Counter_PnL'!T465,'Counter_PnL'!AC465,'Counter_PnL'!AE465,'Counter_PnL'!AG465,'Counter_PnL'!AH465))</x:f>
        <x:v>0</x:v>
      </x:c>
      <x:c r="F465" s="79" t="n">
        <x:f>ABS('Counter_PnL'!AK465-('Counter_PnL'!Q465+'Counter_PnL'!AI465))</x:f>
        <x:v>0</x:v>
      </x:c>
      <x:c r="G465" s="79" t="n">
        <x:f>ABS('Counter_PnL'!AT465-SUM('Counter_PnL'!AO465:'Counter_PnL'!AS465))</x:f>
        <x:v>0</x:v>
      </x:c>
      <x:c r="H465" s="79" t="n">
        <x:f>ABS('Counter_PnL'!AV465-('Counter_PnL'!AK465+'Counter_PnL'!AT465))</x:f>
        <x:v>0</x:v>
      </x:c>
      <x:c r="I465" s="79" t="n">
        <x:f>ABS('Counter_PnL'!BE465-SUM('Counter_PnL'!AX465:'Counter_PnL'!BB465,'Counter_PnL'!BD465))</x:f>
        <x:v>0</x:v>
      </x:c>
      <x:c r="J465" s="79" t="n">
        <x:f>ABS('Counter_PnL'!BL465-SUM('Counter_PnL'!AV465,'Counter_PnL'!BE465,'Counter_PnL'!BJ465,'Counter_PnL'!BK465))</x:f>
        <x:v>0</x:v>
      </x:c>
      <x:c r="K465" s="79" t="n">
        <x:f>ABS('Counter_PnL'!BO465-('Counter_PnL'!BL465+'Counter_PnL'!BN465))</x:f>
        <x:v>0</x:v>
      </x:c>
      <x:c r="L465" s="79" t="n">
        <x:f>MAX(ABS('Counter_PnL'!AW465-'Counter_PnL'!AV465/'Counter_PnL'!AK465),ABS('Counter_PnL'!BM465-'Counter_PnL'!BL465/'Counter_PnL'!AK465),ABS('Counter_PnL'!BP465-'Counter_PnL'!BO465/'Counter_PnL'!AK465))</x:f>
        <x:v>0</x:v>
      </x:c>
      <x:c r="M465" s="30" t="n">
        <x:f>IF(AND('Counter_PnL'!Q465&gt;0,'Counter_PnL'!AK465&gt;0,'Counter_PnL'!R465&lt;=0,'Counter_PnL'!T465&lt;=0,'Counter_PnL'!AT465&lt;=0,'Counter_PnL'!BE465&lt;=0,'Counter_PnL'!BJ465&lt;=0,'Counter_PnL'!BK465&lt;=0,'Counter_PnL'!BN465&lt;=0),0,1)</x:f>
        <x:v>0</x:v>
      </x:c>
    </x:row>
    <x:row r="466">
      <x:c r="A466" t="str">
        <x:f>'Counter_PnL'!D466</x:f>
        <x:v>CNCT0117</x:v>
      </x:c>
      <x:c r="B466" t="str">
        <x:f>'Counter_PnL'!C466</x:f>
        <x:v>2025 S1</x:v>
      </x:c>
      <x:c r="C466" s="30" t="n">
        <x:f>COUNTIFS('Counter_PnL'!$D$2:$D$641,A466,'Counter_PnL'!$C$2:$C$641,B466)</x:f>
        <x:v>1</x:v>
      </x:c>
      <x:c r="D466" s="79" t="n">
        <x:f>ABS('Counter_PnL'!AC466-SUM('Counter_PnL'!V466:'Counter_PnL'!AB466))</x:f>
        <x:v>0</x:v>
      </x:c>
      <x:c r="E466" s="79" t="n">
        <x:f>ABS('Counter_PnL'!AI466-SUM('Counter_PnL'!R466,'Counter_PnL'!T466,'Counter_PnL'!AC466,'Counter_PnL'!AE466,'Counter_PnL'!AG466,'Counter_PnL'!AH466))</x:f>
        <x:v>0</x:v>
      </x:c>
      <x:c r="F466" s="79" t="n">
        <x:f>ABS('Counter_PnL'!AK466-('Counter_PnL'!Q466+'Counter_PnL'!AI466))</x:f>
        <x:v>0</x:v>
      </x:c>
      <x:c r="G466" s="79" t="n">
        <x:f>ABS('Counter_PnL'!AT466-SUM('Counter_PnL'!AO466:'Counter_PnL'!AS466))</x:f>
        <x:v>0</x:v>
      </x:c>
      <x:c r="H466" s="79" t="n">
        <x:f>ABS('Counter_PnL'!AV466-('Counter_PnL'!AK466+'Counter_PnL'!AT466))</x:f>
        <x:v>0</x:v>
      </x:c>
      <x:c r="I466" s="79" t="n">
        <x:f>ABS('Counter_PnL'!BE466-SUM('Counter_PnL'!AX466:'Counter_PnL'!BB466,'Counter_PnL'!BD466))</x:f>
        <x:v>0</x:v>
      </x:c>
      <x:c r="J466" s="79" t="n">
        <x:f>ABS('Counter_PnL'!BL466-SUM('Counter_PnL'!AV466,'Counter_PnL'!BE466,'Counter_PnL'!BJ466,'Counter_PnL'!BK466))</x:f>
        <x:v>0</x:v>
      </x:c>
      <x:c r="K466" s="79" t="n">
        <x:f>ABS('Counter_PnL'!BO466-('Counter_PnL'!BL466+'Counter_PnL'!BN466))</x:f>
        <x:v>0</x:v>
      </x:c>
      <x:c r="L466" s="79" t="n">
        <x:f>MAX(ABS('Counter_PnL'!AW466-'Counter_PnL'!AV466/'Counter_PnL'!AK466),ABS('Counter_PnL'!BM466-'Counter_PnL'!BL466/'Counter_PnL'!AK466),ABS('Counter_PnL'!BP466-'Counter_PnL'!BO466/'Counter_PnL'!AK466))</x:f>
        <x:v>0</x:v>
      </x:c>
      <x:c r="M466" s="30" t="n">
        <x:f>IF(AND('Counter_PnL'!Q466&gt;0,'Counter_PnL'!AK466&gt;0,'Counter_PnL'!R466&lt;=0,'Counter_PnL'!T466&lt;=0,'Counter_PnL'!AT466&lt;=0,'Counter_PnL'!BE466&lt;=0,'Counter_PnL'!BJ466&lt;=0,'Counter_PnL'!BK466&lt;=0,'Counter_PnL'!BN466&lt;=0),0,1)</x:f>
        <x:v>0</x:v>
      </x:c>
    </x:row>
    <x:row r="467">
      <x:c r="A467" t="str">
        <x:f>'Counter_PnL'!D467</x:f>
        <x:v>CNCT0117</x:v>
      </x:c>
      <x:c r="B467" t="str">
        <x:f>'Counter_PnL'!C467</x:f>
        <x:v>2025 S2</x:v>
      </x:c>
      <x:c r="C467" s="30" t="n">
        <x:f>COUNTIFS('Counter_PnL'!$D$2:$D$641,A467,'Counter_PnL'!$C$2:$C$641,B467)</x:f>
        <x:v>1</x:v>
      </x:c>
      <x:c r="D467" s="79" t="n">
        <x:f>ABS('Counter_PnL'!AC467-SUM('Counter_PnL'!V467:'Counter_PnL'!AB467))</x:f>
        <x:v>0</x:v>
      </x:c>
      <x:c r="E467" s="79" t="n">
        <x:f>ABS('Counter_PnL'!AI467-SUM('Counter_PnL'!R467,'Counter_PnL'!T467,'Counter_PnL'!AC467,'Counter_PnL'!AE467,'Counter_PnL'!AG467,'Counter_PnL'!AH467))</x:f>
        <x:v>0</x:v>
      </x:c>
      <x:c r="F467" s="79" t="n">
        <x:f>ABS('Counter_PnL'!AK467-('Counter_PnL'!Q467+'Counter_PnL'!AI467))</x:f>
        <x:v>0</x:v>
      </x:c>
      <x:c r="G467" s="79" t="n">
        <x:f>ABS('Counter_PnL'!AT467-SUM('Counter_PnL'!AO467:'Counter_PnL'!AS467))</x:f>
        <x:v>0</x:v>
      </x:c>
      <x:c r="H467" s="79" t="n">
        <x:f>ABS('Counter_PnL'!AV467-('Counter_PnL'!AK467+'Counter_PnL'!AT467))</x:f>
        <x:v>0</x:v>
      </x:c>
      <x:c r="I467" s="79" t="n">
        <x:f>ABS('Counter_PnL'!BE467-SUM('Counter_PnL'!AX467:'Counter_PnL'!BB467,'Counter_PnL'!BD467))</x:f>
        <x:v>0</x:v>
      </x:c>
      <x:c r="J467" s="79" t="n">
        <x:f>ABS('Counter_PnL'!BL467-SUM('Counter_PnL'!AV467,'Counter_PnL'!BE467,'Counter_PnL'!BJ467,'Counter_PnL'!BK467))</x:f>
        <x:v>0</x:v>
      </x:c>
      <x:c r="K467" s="79" t="n">
        <x:f>ABS('Counter_PnL'!BO467-('Counter_PnL'!BL467+'Counter_PnL'!BN467))</x:f>
        <x:v>0</x:v>
      </x:c>
      <x:c r="L467" s="79" t="n">
        <x:f>MAX(ABS('Counter_PnL'!AW467-'Counter_PnL'!AV467/'Counter_PnL'!AK467),ABS('Counter_PnL'!BM467-'Counter_PnL'!BL467/'Counter_PnL'!AK467),ABS('Counter_PnL'!BP467-'Counter_PnL'!BO467/'Counter_PnL'!AK467))</x:f>
        <x:v>0</x:v>
      </x:c>
      <x:c r="M467" s="30" t="n">
        <x:f>IF(AND('Counter_PnL'!Q467&gt;0,'Counter_PnL'!AK467&gt;0,'Counter_PnL'!R467&lt;=0,'Counter_PnL'!T467&lt;=0,'Counter_PnL'!AT467&lt;=0,'Counter_PnL'!BE467&lt;=0,'Counter_PnL'!BJ467&lt;=0,'Counter_PnL'!BK467&lt;=0,'Counter_PnL'!BN467&lt;=0),0,1)</x:f>
        <x:v>0</x:v>
      </x:c>
    </x:row>
    <x:row r="468">
      <x:c r="A468" t="str">
        <x:f>'Counter_PnL'!D468</x:f>
        <x:v>CNCT0117</x:v>
      </x:c>
      <x:c r="B468" t="str">
        <x:f>'Counter_PnL'!C468</x:f>
        <x:v>2026 S1</x:v>
      </x:c>
      <x:c r="C468" s="30" t="n">
        <x:f>COUNTIFS('Counter_PnL'!$D$2:$D$641,A468,'Counter_PnL'!$C$2:$C$641,B468)</x:f>
        <x:v>1</x:v>
      </x:c>
      <x:c r="D468" s="79" t="n">
        <x:f>ABS('Counter_PnL'!AC468-SUM('Counter_PnL'!V468:'Counter_PnL'!AB468))</x:f>
        <x:v>0</x:v>
      </x:c>
      <x:c r="E468" s="79" t="n">
        <x:f>ABS('Counter_PnL'!AI468-SUM('Counter_PnL'!R468,'Counter_PnL'!T468,'Counter_PnL'!AC468,'Counter_PnL'!AE468,'Counter_PnL'!AG468,'Counter_PnL'!AH468))</x:f>
        <x:v>0</x:v>
      </x:c>
      <x:c r="F468" s="79" t="n">
        <x:f>ABS('Counter_PnL'!AK468-('Counter_PnL'!Q468+'Counter_PnL'!AI468))</x:f>
        <x:v>0</x:v>
      </x:c>
      <x:c r="G468" s="79" t="n">
        <x:f>ABS('Counter_PnL'!AT468-SUM('Counter_PnL'!AO468:'Counter_PnL'!AS468))</x:f>
        <x:v>0</x:v>
      </x:c>
      <x:c r="H468" s="79" t="n">
        <x:f>ABS('Counter_PnL'!AV468-('Counter_PnL'!AK468+'Counter_PnL'!AT468))</x:f>
        <x:v>0</x:v>
      </x:c>
      <x:c r="I468" s="79" t="n">
        <x:f>ABS('Counter_PnL'!BE468-SUM('Counter_PnL'!AX468:'Counter_PnL'!BB468,'Counter_PnL'!BD468))</x:f>
        <x:v>0</x:v>
      </x:c>
      <x:c r="J468" s="79" t="n">
        <x:f>ABS('Counter_PnL'!BL468-SUM('Counter_PnL'!AV468,'Counter_PnL'!BE468,'Counter_PnL'!BJ468,'Counter_PnL'!BK468))</x:f>
        <x:v>0</x:v>
      </x:c>
      <x:c r="K468" s="79" t="n">
        <x:f>ABS('Counter_PnL'!BO468-('Counter_PnL'!BL468+'Counter_PnL'!BN468))</x:f>
        <x:v>0</x:v>
      </x:c>
      <x:c r="L468" s="79" t="n">
        <x:f>MAX(ABS('Counter_PnL'!AW468-'Counter_PnL'!AV468/'Counter_PnL'!AK468),ABS('Counter_PnL'!BM468-'Counter_PnL'!BL468/'Counter_PnL'!AK468),ABS('Counter_PnL'!BP468-'Counter_PnL'!BO468/'Counter_PnL'!AK468))</x:f>
        <x:v>0</x:v>
      </x:c>
      <x:c r="M468" s="30" t="n">
        <x:f>IF(AND('Counter_PnL'!Q468&gt;0,'Counter_PnL'!AK468&gt;0,'Counter_PnL'!R468&lt;=0,'Counter_PnL'!T468&lt;=0,'Counter_PnL'!AT468&lt;=0,'Counter_PnL'!BE468&lt;=0,'Counter_PnL'!BJ468&lt;=0,'Counter_PnL'!BK468&lt;=0,'Counter_PnL'!BN468&lt;=0),0,1)</x:f>
        <x:v>0</x:v>
      </x:c>
    </x:row>
    <x:row r="469">
      <x:c r="A469" t="str">
        <x:f>'Counter_PnL'!D469</x:f>
        <x:v>CNCT0117</x:v>
      </x:c>
      <x:c r="B469" t="str">
        <x:f>'Counter_PnL'!C469</x:f>
        <x:v>2026 S2</x:v>
      </x:c>
      <x:c r="C469" s="30" t="n">
        <x:f>COUNTIFS('Counter_PnL'!$D$2:$D$641,A469,'Counter_PnL'!$C$2:$C$641,B469)</x:f>
        <x:v>1</x:v>
      </x:c>
      <x:c r="D469" s="79" t="n">
        <x:f>ABS('Counter_PnL'!AC469-SUM('Counter_PnL'!V469:'Counter_PnL'!AB469))</x:f>
        <x:v>0</x:v>
      </x:c>
      <x:c r="E469" s="79" t="n">
        <x:f>ABS('Counter_PnL'!AI469-SUM('Counter_PnL'!R469,'Counter_PnL'!T469,'Counter_PnL'!AC469,'Counter_PnL'!AE469,'Counter_PnL'!AG469,'Counter_PnL'!AH469))</x:f>
        <x:v>0</x:v>
      </x:c>
      <x:c r="F469" s="79" t="n">
        <x:f>ABS('Counter_PnL'!AK469-('Counter_PnL'!Q469+'Counter_PnL'!AI469))</x:f>
        <x:v>0</x:v>
      </x:c>
      <x:c r="G469" s="79" t="n">
        <x:f>ABS('Counter_PnL'!AT469-SUM('Counter_PnL'!AO469:'Counter_PnL'!AS469))</x:f>
        <x:v>0</x:v>
      </x:c>
      <x:c r="H469" s="79" t="n">
        <x:f>ABS('Counter_PnL'!AV469-('Counter_PnL'!AK469+'Counter_PnL'!AT469))</x:f>
        <x:v>0</x:v>
      </x:c>
      <x:c r="I469" s="79" t="n">
        <x:f>ABS('Counter_PnL'!BE469-SUM('Counter_PnL'!AX469:'Counter_PnL'!BB469,'Counter_PnL'!BD469))</x:f>
        <x:v>0</x:v>
      </x:c>
      <x:c r="J469" s="79" t="n">
        <x:f>ABS('Counter_PnL'!BL469-SUM('Counter_PnL'!AV469,'Counter_PnL'!BE469,'Counter_PnL'!BJ469,'Counter_PnL'!BK469))</x:f>
        <x:v>0</x:v>
      </x:c>
      <x:c r="K469" s="79" t="n">
        <x:f>ABS('Counter_PnL'!BO469-('Counter_PnL'!BL469+'Counter_PnL'!BN469))</x:f>
        <x:v>0</x:v>
      </x:c>
      <x:c r="L469" s="79" t="n">
        <x:f>MAX(ABS('Counter_PnL'!AW469-'Counter_PnL'!AV469/'Counter_PnL'!AK469),ABS('Counter_PnL'!BM469-'Counter_PnL'!BL469/'Counter_PnL'!AK469),ABS('Counter_PnL'!BP469-'Counter_PnL'!BO469/'Counter_PnL'!AK469))</x:f>
        <x:v>0</x:v>
      </x:c>
      <x:c r="M469" s="30" t="n">
        <x:f>IF(AND('Counter_PnL'!Q469&gt;0,'Counter_PnL'!AK469&gt;0,'Counter_PnL'!R469&lt;=0,'Counter_PnL'!T469&lt;=0,'Counter_PnL'!AT469&lt;=0,'Counter_PnL'!BE469&lt;=0,'Counter_PnL'!BJ469&lt;=0,'Counter_PnL'!BK469&lt;=0,'Counter_PnL'!BN469&lt;=0),0,1)</x:f>
        <x:v>0</x:v>
      </x:c>
    </x:row>
    <x:row r="470">
      <x:c r="A470" t="str">
        <x:f>'Counter_PnL'!D470</x:f>
        <x:v>CNCT0118</x:v>
      </x:c>
      <x:c r="B470" t="str">
        <x:f>'Counter_PnL'!C470</x:f>
        <x:v>2025 S1</x:v>
      </x:c>
      <x:c r="C470" s="30" t="n">
        <x:f>COUNTIFS('Counter_PnL'!$D$2:$D$641,A470,'Counter_PnL'!$C$2:$C$641,B470)</x:f>
        <x:v>1</x:v>
      </x:c>
      <x:c r="D470" s="79" t="n">
        <x:f>ABS('Counter_PnL'!AC470-SUM('Counter_PnL'!V470:'Counter_PnL'!AB470))</x:f>
        <x:v>0</x:v>
      </x:c>
      <x:c r="E470" s="79" t="n">
        <x:f>ABS('Counter_PnL'!AI470-SUM('Counter_PnL'!R470,'Counter_PnL'!T470,'Counter_PnL'!AC470,'Counter_PnL'!AE470,'Counter_PnL'!AG470,'Counter_PnL'!AH470))</x:f>
        <x:v>0</x:v>
      </x:c>
      <x:c r="F470" s="79" t="n">
        <x:f>ABS('Counter_PnL'!AK470-('Counter_PnL'!Q470+'Counter_PnL'!AI470))</x:f>
        <x:v>0</x:v>
      </x:c>
      <x:c r="G470" s="79" t="n">
        <x:f>ABS('Counter_PnL'!AT470-SUM('Counter_PnL'!AO470:'Counter_PnL'!AS470))</x:f>
        <x:v>0</x:v>
      </x:c>
      <x:c r="H470" s="79" t="n">
        <x:f>ABS('Counter_PnL'!AV470-('Counter_PnL'!AK470+'Counter_PnL'!AT470))</x:f>
        <x:v>0</x:v>
      </x:c>
      <x:c r="I470" s="79" t="n">
        <x:f>ABS('Counter_PnL'!BE470-SUM('Counter_PnL'!AX470:'Counter_PnL'!BB470,'Counter_PnL'!BD470))</x:f>
        <x:v>0</x:v>
      </x:c>
      <x:c r="J470" s="79" t="n">
        <x:f>ABS('Counter_PnL'!BL470-SUM('Counter_PnL'!AV470,'Counter_PnL'!BE470,'Counter_PnL'!BJ470,'Counter_PnL'!BK470))</x:f>
        <x:v>0</x:v>
      </x:c>
      <x:c r="K470" s="79" t="n">
        <x:f>ABS('Counter_PnL'!BO470-('Counter_PnL'!BL470+'Counter_PnL'!BN470))</x:f>
        <x:v>0</x:v>
      </x:c>
      <x:c r="L470" s="79" t="n">
        <x:f>MAX(ABS('Counter_PnL'!AW470-'Counter_PnL'!AV470/'Counter_PnL'!AK470),ABS('Counter_PnL'!BM470-'Counter_PnL'!BL470/'Counter_PnL'!AK470),ABS('Counter_PnL'!BP470-'Counter_PnL'!BO470/'Counter_PnL'!AK470))</x:f>
        <x:v>0</x:v>
      </x:c>
      <x:c r="M470" s="30" t="n">
        <x:f>IF(AND('Counter_PnL'!Q470&gt;0,'Counter_PnL'!AK470&gt;0,'Counter_PnL'!R470&lt;=0,'Counter_PnL'!T470&lt;=0,'Counter_PnL'!AT470&lt;=0,'Counter_PnL'!BE470&lt;=0,'Counter_PnL'!BJ470&lt;=0,'Counter_PnL'!BK470&lt;=0,'Counter_PnL'!BN470&lt;=0),0,1)</x:f>
        <x:v>0</x:v>
      </x:c>
    </x:row>
    <x:row r="471">
      <x:c r="A471" t="str">
        <x:f>'Counter_PnL'!D471</x:f>
        <x:v>CNCT0118</x:v>
      </x:c>
      <x:c r="B471" t="str">
        <x:f>'Counter_PnL'!C471</x:f>
        <x:v>2025 S2</x:v>
      </x:c>
      <x:c r="C471" s="30" t="n">
        <x:f>COUNTIFS('Counter_PnL'!$D$2:$D$641,A471,'Counter_PnL'!$C$2:$C$641,B471)</x:f>
        <x:v>1</x:v>
      </x:c>
      <x:c r="D471" s="79" t="n">
        <x:f>ABS('Counter_PnL'!AC471-SUM('Counter_PnL'!V471:'Counter_PnL'!AB471))</x:f>
        <x:v>0</x:v>
      </x:c>
      <x:c r="E471" s="79" t="n">
        <x:f>ABS('Counter_PnL'!AI471-SUM('Counter_PnL'!R471,'Counter_PnL'!T471,'Counter_PnL'!AC471,'Counter_PnL'!AE471,'Counter_PnL'!AG471,'Counter_PnL'!AH471))</x:f>
        <x:v>0</x:v>
      </x:c>
      <x:c r="F471" s="79" t="n">
        <x:f>ABS('Counter_PnL'!AK471-('Counter_PnL'!Q471+'Counter_PnL'!AI471))</x:f>
        <x:v>0</x:v>
      </x:c>
      <x:c r="G471" s="79" t="n">
        <x:f>ABS('Counter_PnL'!AT471-SUM('Counter_PnL'!AO471:'Counter_PnL'!AS471))</x:f>
        <x:v>0</x:v>
      </x:c>
      <x:c r="H471" s="79" t="n">
        <x:f>ABS('Counter_PnL'!AV471-('Counter_PnL'!AK471+'Counter_PnL'!AT471))</x:f>
        <x:v>0</x:v>
      </x:c>
      <x:c r="I471" s="79" t="n">
        <x:f>ABS('Counter_PnL'!BE471-SUM('Counter_PnL'!AX471:'Counter_PnL'!BB471,'Counter_PnL'!BD471))</x:f>
        <x:v>0</x:v>
      </x:c>
      <x:c r="J471" s="79" t="n">
        <x:f>ABS('Counter_PnL'!BL471-SUM('Counter_PnL'!AV471,'Counter_PnL'!BE471,'Counter_PnL'!BJ471,'Counter_PnL'!BK471))</x:f>
        <x:v>0</x:v>
      </x:c>
      <x:c r="K471" s="79" t="n">
        <x:f>ABS('Counter_PnL'!BO471-('Counter_PnL'!BL471+'Counter_PnL'!BN471))</x:f>
        <x:v>0</x:v>
      </x:c>
      <x:c r="L471" s="79" t="n">
        <x:f>MAX(ABS('Counter_PnL'!AW471-'Counter_PnL'!AV471/'Counter_PnL'!AK471),ABS('Counter_PnL'!BM471-'Counter_PnL'!BL471/'Counter_PnL'!AK471),ABS('Counter_PnL'!BP471-'Counter_PnL'!BO471/'Counter_PnL'!AK471))</x:f>
        <x:v>0</x:v>
      </x:c>
      <x:c r="M471" s="30" t="n">
        <x:f>IF(AND('Counter_PnL'!Q471&gt;0,'Counter_PnL'!AK471&gt;0,'Counter_PnL'!R471&lt;=0,'Counter_PnL'!T471&lt;=0,'Counter_PnL'!AT471&lt;=0,'Counter_PnL'!BE471&lt;=0,'Counter_PnL'!BJ471&lt;=0,'Counter_PnL'!BK471&lt;=0,'Counter_PnL'!BN471&lt;=0),0,1)</x:f>
        <x:v>0</x:v>
      </x:c>
    </x:row>
    <x:row r="472">
      <x:c r="A472" t="str">
        <x:f>'Counter_PnL'!D472</x:f>
        <x:v>CNCT0118</x:v>
      </x:c>
      <x:c r="B472" t="str">
        <x:f>'Counter_PnL'!C472</x:f>
        <x:v>2026 S1</x:v>
      </x:c>
      <x:c r="C472" s="30" t="n">
        <x:f>COUNTIFS('Counter_PnL'!$D$2:$D$641,A472,'Counter_PnL'!$C$2:$C$641,B472)</x:f>
        <x:v>1</x:v>
      </x:c>
      <x:c r="D472" s="79" t="n">
        <x:f>ABS('Counter_PnL'!AC472-SUM('Counter_PnL'!V472:'Counter_PnL'!AB472))</x:f>
        <x:v>0</x:v>
      </x:c>
      <x:c r="E472" s="79" t="n">
        <x:f>ABS('Counter_PnL'!AI472-SUM('Counter_PnL'!R472,'Counter_PnL'!T472,'Counter_PnL'!AC472,'Counter_PnL'!AE472,'Counter_PnL'!AG472,'Counter_PnL'!AH472))</x:f>
        <x:v>0</x:v>
      </x:c>
      <x:c r="F472" s="79" t="n">
        <x:f>ABS('Counter_PnL'!AK472-('Counter_PnL'!Q472+'Counter_PnL'!AI472))</x:f>
        <x:v>0</x:v>
      </x:c>
      <x:c r="G472" s="79" t="n">
        <x:f>ABS('Counter_PnL'!AT472-SUM('Counter_PnL'!AO472:'Counter_PnL'!AS472))</x:f>
        <x:v>0</x:v>
      </x:c>
      <x:c r="H472" s="79" t="n">
        <x:f>ABS('Counter_PnL'!AV472-('Counter_PnL'!AK472+'Counter_PnL'!AT472))</x:f>
        <x:v>0</x:v>
      </x:c>
      <x:c r="I472" s="79" t="n">
        <x:f>ABS('Counter_PnL'!BE472-SUM('Counter_PnL'!AX472:'Counter_PnL'!BB472,'Counter_PnL'!BD472))</x:f>
        <x:v>0</x:v>
      </x:c>
      <x:c r="J472" s="79" t="n">
        <x:f>ABS('Counter_PnL'!BL472-SUM('Counter_PnL'!AV472,'Counter_PnL'!BE472,'Counter_PnL'!BJ472,'Counter_PnL'!BK472))</x:f>
        <x:v>0</x:v>
      </x:c>
      <x:c r="K472" s="79" t="n">
        <x:f>ABS('Counter_PnL'!BO472-('Counter_PnL'!BL472+'Counter_PnL'!BN472))</x:f>
        <x:v>0</x:v>
      </x:c>
      <x:c r="L472" s="79" t="n">
        <x:f>MAX(ABS('Counter_PnL'!AW472-'Counter_PnL'!AV472/'Counter_PnL'!AK472),ABS('Counter_PnL'!BM472-'Counter_PnL'!BL472/'Counter_PnL'!AK472),ABS('Counter_PnL'!BP472-'Counter_PnL'!BO472/'Counter_PnL'!AK472))</x:f>
        <x:v>0</x:v>
      </x:c>
      <x:c r="M472" s="30" t="n">
        <x:f>IF(AND('Counter_PnL'!Q472&gt;0,'Counter_PnL'!AK472&gt;0,'Counter_PnL'!R472&lt;=0,'Counter_PnL'!T472&lt;=0,'Counter_PnL'!AT472&lt;=0,'Counter_PnL'!BE472&lt;=0,'Counter_PnL'!BJ472&lt;=0,'Counter_PnL'!BK472&lt;=0,'Counter_PnL'!BN472&lt;=0),0,1)</x:f>
        <x:v>0</x:v>
      </x:c>
    </x:row>
    <x:row r="473">
      <x:c r="A473" t="str">
        <x:f>'Counter_PnL'!D473</x:f>
        <x:v>CNCT0118</x:v>
      </x:c>
      <x:c r="B473" t="str">
        <x:f>'Counter_PnL'!C473</x:f>
        <x:v>2026 S2</x:v>
      </x:c>
      <x:c r="C473" s="30" t="n">
        <x:f>COUNTIFS('Counter_PnL'!$D$2:$D$641,A473,'Counter_PnL'!$C$2:$C$641,B473)</x:f>
        <x:v>1</x:v>
      </x:c>
      <x:c r="D473" s="79" t="n">
        <x:f>ABS('Counter_PnL'!AC473-SUM('Counter_PnL'!V473:'Counter_PnL'!AB473))</x:f>
        <x:v>0</x:v>
      </x:c>
      <x:c r="E473" s="79" t="n">
        <x:f>ABS('Counter_PnL'!AI473-SUM('Counter_PnL'!R473,'Counter_PnL'!T473,'Counter_PnL'!AC473,'Counter_PnL'!AE473,'Counter_PnL'!AG473,'Counter_PnL'!AH473))</x:f>
        <x:v>0</x:v>
      </x:c>
      <x:c r="F473" s="79" t="n">
        <x:f>ABS('Counter_PnL'!AK473-('Counter_PnL'!Q473+'Counter_PnL'!AI473))</x:f>
        <x:v>0</x:v>
      </x:c>
      <x:c r="G473" s="79" t="n">
        <x:f>ABS('Counter_PnL'!AT473-SUM('Counter_PnL'!AO473:'Counter_PnL'!AS473))</x:f>
        <x:v>0</x:v>
      </x:c>
      <x:c r="H473" s="79" t="n">
        <x:f>ABS('Counter_PnL'!AV473-('Counter_PnL'!AK473+'Counter_PnL'!AT473))</x:f>
        <x:v>0</x:v>
      </x:c>
      <x:c r="I473" s="79" t="n">
        <x:f>ABS('Counter_PnL'!BE473-SUM('Counter_PnL'!AX473:'Counter_PnL'!BB473,'Counter_PnL'!BD473))</x:f>
        <x:v>0</x:v>
      </x:c>
      <x:c r="J473" s="79" t="n">
        <x:f>ABS('Counter_PnL'!BL473-SUM('Counter_PnL'!AV473,'Counter_PnL'!BE473,'Counter_PnL'!BJ473,'Counter_PnL'!BK473))</x:f>
        <x:v>0</x:v>
      </x:c>
      <x:c r="K473" s="79" t="n">
        <x:f>ABS('Counter_PnL'!BO473-('Counter_PnL'!BL473+'Counter_PnL'!BN473))</x:f>
        <x:v>0</x:v>
      </x:c>
      <x:c r="L473" s="79" t="n">
        <x:f>MAX(ABS('Counter_PnL'!AW473-'Counter_PnL'!AV473/'Counter_PnL'!AK473),ABS('Counter_PnL'!BM473-'Counter_PnL'!BL473/'Counter_PnL'!AK473),ABS('Counter_PnL'!BP473-'Counter_PnL'!BO473/'Counter_PnL'!AK473))</x:f>
        <x:v>0</x:v>
      </x:c>
      <x:c r="M473" s="30" t="n">
        <x:f>IF(AND('Counter_PnL'!Q473&gt;0,'Counter_PnL'!AK473&gt;0,'Counter_PnL'!R473&lt;=0,'Counter_PnL'!T473&lt;=0,'Counter_PnL'!AT473&lt;=0,'Counter_PnL'!BE473&lt;=0,'Counter_PnL'!BJ473&lt;=0,'Counter_PnL'!BK473&lt;=0,'Counter_PnL'!BN473&lt;=0),0,1)</x:f>
        <x:v>0</x:v>
      </x:c>
    </x:row>
    <x:row r="474">
      <x:c r="A474" t="str">
        <x:f>'Counter_PnL'!D474</x:f>
        <x:v>CNCT0119</x:v>
      </x:c>
      <x:c r="B474" t="str">
        <x:f>'Counter_PnL'!C474</x:f>
        <x:v>2025 S1</x:v>
      </x:c>
      <x:c r="C474" s="30" t="n">
        <x:f>COUNTIFS('Counter_PnL'!$D$2:$D$641,A474,'Counter_PnL'!$C$2:$C$641,B474)</x:f>
        <x:v>1</x:v>
      </x:c>
      <x:c r="D474" s="79" t="n">
        <x:f>ABS('Counter_PnL'!AC474-SUM('Counter_PnL'!V474:'Counter_PnL'!AB474))</x:f>
        <x:v>0</x:v>
      </x:c>
      <x:c r="E474" s="79" t="n">
        <x:f>ABS('Counter_PnL'!AI474-SUM('Counter_PnL'!R474,'Counter_PnL'!T474,'Counter_PnL'!AC474,'Counter_PnL'!AE474,'Counter_PnL'!AG474,'Counter_PnL'!AH474))</x:f>
        <x:v>0</x:v>
      </x:c>
      <x:c r="F474" s="79" t="n">
        <x:f>ABS('Counter_PnL'!AK474-('Counter_PnL'!Q474+'Counter_PnL'!AI474))</x:f>
        <x:v>0</x:v>
      </x:c>
      <x:c r="G474" s="79" t="n">
        <x:f>ABS('Counter_PnL'!AT474-SUM('Counter_PnL'!AO474:'Counter_PnL'!AS474))</x:f>
        <x:v>0</x:v>
      </x:c>
      <x:c r="H474" s="79" t="n">
        <x:f>ABS('Counter_PnL'!AV474-('Counter_PnL'!AK474+'Counter_PnL'!AT474))</x:f>
        <x:v>0</x:v>
      </x:c>
      <x:c r="I474" s="79" t="n">
        <x:f>ABS('Counter_PnL'!BE474-SUM('Counter_PnL'!AX474:'Counter_PnL'!BB474,'Counter_PnL'!BD474))</x:f>
        <x:v>0</x:v>
      </x:c>
      <x:c r="J474" s="79" t="n">
        <x:f>ABS('Counter_PnL'!BL474-SUM('Counter_PnL'!AV474,'Counter_PnL'!BE474,'Counter_PnL'!BJ474,'Counter_PnL'!BK474))</x:f>
        <x:v>0</x:v>
      </x:c>
      <x:c r="K474" s="79" t="n">
        <x:f>ABS('Counter_PnL'!BO474-('Counter_PnL'!BL474+'Counter_PnL'!BN474))</x:f>
        <x:v>0</x:v>
      </x:c>
      <x:c r="L474" s="79" t="n">
        <x:f>MAX(ABS('Counter_PnL'!AW474-'Counter_PnL'!AV474/'Counter_PnL'!AK474),ABS('Counter_PnL'!BM474-'Counter_PnL'!BL474/'Counter_PnL'!AK474),ABS('Counter_PnL'!BP474-'Counter_PnL'!BO474/'Counter_PnL'!AK474))</x:f>
        <x:v>0</x:v>
      </x:c>
      <x:c r="M474" s="30" t="n">
        <x:f>IF(AND('Counter_PnL'!Q474&gt;0,'Counter_PnL'!AK474&gt;0,'Counter_PnL'!R474&lt;=0,'Counter_PnL'!T474&lt;=0,'Counter_PnL'!AT474&lt;=0,'Counter_PnL'!BE474&lt;=0,'Counter_PnL'!BJ474&lt;=0,'Counter_PnL'!BK474&lt;=0,'Counter_PnL'!BN474&lt;=0),0,1)</x:f>
        <x:v>0</x:v>
      </x:c>
    </x:row>
    <x:row r="475">
      <x:c r="A475" t="str">
        <x:f>'Counter_PnL'!D475</x:f>
        <x:v>CNCT0119</x:v>
      </x:c>
      <x:c r="B475" t="str">
        <x:f>'Counter_PnL'!C475</x:f>
        <x:v>2025 S2</x:v>
      </x:c>
      <x:c r="C475" s="30" t="n">
        <x:f>COUNTIFS('Counter_PnL'!$D$2:$D$641,A475,'Counter_PnL'!$C$2:$C$641,B475)</x:f>
        <x:v>1</x:v>
      </x:c>
      <x:c r="D475" s="79" t="n">
        <x:f>ABS('Counter_PnL'!AC475-SUM('Counter_PnL'!V475:'Counter_PnL'!AB475))</x:f>
        <x:v>0</x:v>
      </x:c>
      <x:c r="E475" s="79" t="n">
        <x:f>ABS('Counter_PnL'!AI475-SUM('Counter_PnL'!R475,'Counter_PnL'!T475,'Counter_PnL'!AC475,'Counter_PnL'!AE475,'Counter_PnL'!AG475,'Counter_PnL'!AH475))</x:f>
        <x:v>0</x:v>
      </x:c>
      <x:c r="F475" s="79" t="n">
        <x:f>ABS('Counter_PnL'!AK475-('Counter_PnL'!Q475+'Counter_PnL'!AI475))</x:f>
        <x:v>0</x:v>
      </x:c>
      <x:c r="G475" s="79" t="n">
        <x:f>ABS('Counter_PnL'!AT475-SUM('Counter_PnL'!AO475:'Counter_PnL'!AS475))</x:f>
        <x:v>0</x:v>
      </x:c>
      <x:c r="H475" s="79" t="n">
        <x:f>ABS('Counter_PnL'!AV475-('Counter_PnL'!AK475+'Counter_PnL'!AT475))</x:f>
        <x:v>0</x:v>
      </x:c>
      <x:c r="I475" s="79" t="n">
        <x:f>ABS('Counter_PnL'!BE475-SUM('Counter_PnL'!AX475:'Counter_PnL'!BB475,'Counter_PnL'!BD475))</x:f>
        <x:v>0</x:v>
      </x:c>
      <x:c r="J475" s="79" t="n">
        <x:f>ABS('Counter_PnL'!BL475-SUM('Counter_PnL'!AV475,'Counter_PnL'!BE475,'Counter_PnL'!BJ475,'Counter_PnL'!BK475))</x:f>
        <x:v>0</x:v>
      </x:c>
      <x:c r="K475" s="79" t="n">
        <x:f>ABS('Counter_PnL'!BO475-('Counter_PnL'!BL475+'Counter_PnL'!BN475))</x:f>
        <x:v>0</x:v>
      </x:c>
      <x:c r="L475" s="79" t="n">
        <x:f>MAX(ABS('Counter_PnL'!AW475-'Counter_PnL'!AV475/'Counter_PnL'!AK475),ABS('Counter_PnL'!BM475-'Counter_PnL'!BL475/'Counter_PnL'!AK475),ABS('Counter_PnL'!BP475-'Counter_PnL'!BO475/'Counter_PnL'!AK475))</x:f>
        <x:v>0</x:v>
      </x:c>
      <x:c r="M475" s="30" t="n">
        <x:f>IF(AND('Counter_PnL'!Q475&gt;0,'Counter_PnL'!AK475&gt;0,'Counter_PnL'!R475&lt;=0,'Counter_PnL'!T475&lt;=0,'Counter_PnL'!AT475&lt;=0,'Counter_PnL'!BE475&lt;=0,'Counter_PnL'!BJ475&lt;=0,'Counter_PnL'!BK475&lt;=0,'Counter_PnL'!BN475&lt;=0),0,1)</x:f>
        <x:v>0</x:v>
      </x:c>
    </x:row>
    <x:row r="476">
      <x:c r="A476" t="str">
        <x:f>'Counter_PnL'!D476</x:f>
        <x:v>CNCT0119</x:v>
      </x:c>
      <x:c r="B476" t="str">
        <x:f>'Counter_PnL'!C476</x:f>
        <x:v>2026 S1</x:v>
      </x:c>
      <x:c r="C476" s="30" t="n">
        <x:f>COUNTIFS('Counter_PnL'!$D$2:$D$641,A476,'Counter_PnL'!$C$2:$C$641,B476)</x:f>
        <x:v>1</x:v>
      </x:c>
      <x:c r="D476" s="79" t="n">
        <x:f>ABS('Counter_PnL'!AC476-SUM('Counter_PnL'!V476:'Counter_PnL'!AB476))</x:f>
        <x:v>0</x:v>
      </x:c>
      <x:c r="E476" s="79" t="n">
        <x:f>ABS('Counter_PnL'!AI476-SUM('Counter_PnL'!R476,'Counter_PnL'!T476,'Counter_PnL'!AC476,'Counter_PnL'!AE476,'Counter_PnL'!AG476,'Counter_PnL'!AH476))</x:f>
        <x:v>0</x:v>
      </x:c>
      <x:c r="F476" s="79" t="n">
        <x:f>ABS('Counter_PnL'!AK476-('Counter_PnL'!Q476+'Counter_PnL'!AI476))</x:f>
        <x:v>0</x:v>
      </x:c>
      <x:c r="G476" s="79" t="n">
        <x:f>ABS('Counter_PnL'!AT476-SUM('Counter_PnL'!AO476:'Counter_PnL'!AS476))</x:f>
        <x:v>0</x:v>
      </x:c>
      <x:c r="H476" s="79" t="n">
        <x:f>ABS('Counter_PnL'!AV476-('Counter_PnL'!AK476+'Counter_PnL'!AT476))</x:f>
        <x:v>0</x:v>
      </x:c>
      <x:c r="I476" s="79" t="n">
        <x:f>ABS('Counter_PnL'!BE476-SUM('Counter_PnL'!AX476:'Counter_PnL'!BB476,'Counter_PnL'!BD476))</x:f>
        <x:v>0</x:v>
      </x:c>
      <x:c r="J476" s="79" t="n">
        <x:f>ABS('Counter_PnL'!BL476-SUM('Counter_PnL'!AV476,'Counter_PnL'!BE476,'Counter_PnL'!BJ476,'Counter_PnL'!BK476))</x:f>
        <x:v>0</x:v>
      </x:c>
      <x:c r="K476" s="79" t="n">
        <x:f>ABS('Counter_PnL'!BO476-('Counter_PnL'!BL476+'Counter_PnL'!BN476))</x:f>
        <x:v>0</x:v>
      </x:c>
      <x:c r="L476" s="79" t="n">
        <x:f>MAX(ABS('Counter_PnL'!AW476-'Counter_PnL'!AV476/'Counter_PnL'!AK476),ABS('Counter_PnL'!BM476-'Counter_PnL'!BL476/'Counter_PnL'!AK476),ABS('Counter_PnL'!BP476-'Counter_PnL'!BO476/'Counter_PnL'!AK476))</x:f>
        <x:v>0</x:v>
      </x:c>
      <x:c r="M476" s="30" t="n">
        <x:f>IF(AND('Counter_PnL'!Q476&gt;0,'Counter_PnL'!AK476&gt;0,'Counter_PnL'!R476&lt;=0,'Counter_PnL'!T476&lt;=0,'Counter_PnL'!AT476&lt;=0,'Counter_PnL'!BE476&lt;=0,'Counter_PnL'!BJ476&lt;=0,'Counter_PnL'!BK476&lt;=0,'Counter_PnL'!BN476&lt;=0),0,1)</x:f>
        <x:v>0</x:v>
      </x:c>
    </x:row>
    <x:row r="477">
      <x:c r="A477" t="str">
        <x:f>'Counter_PnL'!D477</x:f>
        <x:v>CNCT0119</x:v>
      </x:c>
      <x:c r="B477" t="str">
        <x:f>'Counter_PnL'!C477</x:f>
        <x:v>2026 S2</x:v>
      </x:c>
      <x:c r="C477" s="30" t="n">
        <x:f>COUNTIFS('Counter_PnL'!$D$2:$D$641,A477,'Counter_PnL'!$C$2:$C$641,B477)</x:f>
        <x:v>1</x:v>
      </x:c>
      <x:c r="D477" s="79" t="n">
        <x:f>ABS('Counter_PnL'!AC477-SUM('Counter_PnL'!V477:'Counter_PnL'!AB477))</x:f>
        <x:v>0</x:v>
      </x:c>
      <x:c r="E477" s="79" t="n">
        <x:f>ABS('Counter_PnL'!AI477-SUM('Counter_PnL'!R477,'Counter_PnL'!T477,'Counter_PnL'!AC477,'Counter_PnL'!AE477,'Counter_PnL'!AG477,'Counter_PnL'!AH477))</x:f>
        <x:v>0</x:v>
      </x:c>
      <x:c r="F477" s="79" t="n">
        <x:f>ABS('Counter_PnL'!AK477-('Counter_PnL'!Q477+'Counter_PnL'!AI477))</x:f>
        <x:v>0</x:v>
      </x:c>
      <x:c r="G477" s="79" t="n">
        <x:f>ABS('Counter_PnL'!AT477-SUM('Counter_PnL'!AO477:'Counter_PnL'!AS477))</x:f>
        <x:v>0</x:v>
      </x:c>
      <x:c r="H477" s="79" t="n">
        <x:f>ABS('Counter_PnL'!AV477-('Counter_PnL'!AK477+'Counter_PnL'!AT477))</x:f>
        <x:v>0</x:v>
      </x:c>
      <x:c r="I477" s="79" t="n">
        <x:f>ABS('Counter_PnL'!BE477-SUM('Counter_PnL'!AX477:'Counter_PnL'!BB477,'Counter_PnL'!BD477))</x:f>
        <x:v>0</x:v>
      </x:c>
      <x:c r="J477" s="79" t="n">
        <x:f>ABS('Counter_PnL'!BL477-SUM('Counter_PnL'!AV477,'Counter_PnL'!BE477,'Counter_PnL'!BJ477,'Counter_PnL'!BK477))</x:f>
        <x:v>0</x:v>
      </x:c>
      <x:c r="K477" s="79" t="n">
        <x:f>ABS('Counter_PnL'!BO477-('Counter_PnL'!BL477+'Counter_PnL'!BN477))</x:f>
        <x:v>0</x:v>
      </x:c>
      <x:c r="L477" s="79" t="n">
        <x:f>MAX(ABS('Counter_PnL'!AW477-'Counter_PnL'!AV477/'Counter_PnL'!AK477),ABS('Counter_PnL'!BM477-'Counter_PnL'!BL477/'Counter_PnL'!AK477),ABS('Counter_PnL'!BP477-'Counter_PnL'!BO477/'Counter_PnL'!AK477))</x:f>
        <x:v>0</x:v>
      </x:c>
      <x:c r="M477" s="30" t="n">
        <x:f>IF(AND('Counter_PnL'!Q477&gt;0,'Counter_PnL'!AK477&gt;0,'Counter_PnL'!R477&lt;=0,'Counter_PnL'!T477&lt;=0,'Counter_PnL'!AT477&lt;=0,'Counter_PnL'!BE477&lt;=0,'Counter_PnL'!BJ477&lt;=0,'Counter_PnL'!BK477&lt;=0,'Counter_PnL'!BN477&lt;=0),0,1)</x:f>
        <x:v>0</x:v>
      </x:c>
    </x:row>
    <x:row r="478">
      <x:c r="A478" t="str">
        <x:f>'Counter_PnL'!D478</x:f>
        <x:v>CNCT0120</x:v>
      </x:c>
      <x:c r="B478" t="str">
        <x:f>'Counter_PnL'!C478</x:f>
        <x:v>2025 S1</x:v>
      </x:c>
      <x:c r="C478" s="30" t="n">
        <x:f>COUNTIFS('Counter_PnL'!$D$2:$D$641,A478,'Counter_PnL'!$C$2:$C$641,B478)</x:f>
        <x:v>1</x:v>
      </x:c>
      <x:c r="D478" s="79" t="n">
        <x:f>ABS('Counter_PnL'!AC478-SUM('Counter_PnL'!V478:'Counter_PnL'!AB478))</x:f>
        <x:v>0</x:v>
      </x:c>
      <x:c r="E478" s="79" t="n">
        <x:f>ABS('Counter_PnL'!AI478-SUM('Counter_PnL'!R478,'Counter_PnL'!T478,'Counter_PnL'!AC478,'Counter_PnL'!AE478,'Counter_PnL'!AG478,'Counter_PnL'!AH478))</x:f>
        <x:v>0</x:v>
      </x:c>
      <x:c r="F478" s="79" t="n">
        <x:f>ABS('Counter_PnL'!AK478-('Counter_PnL'!Q478+'Counter_PnL'!AI478))</x:f>
        <x:v>0</x:v>
      </x:c>
      <x:c r="G478" s="79" t="n">
        <x:f>ABS('Counter_PnL'!AT478-SUM('Counter_PnL'!AO478:'Counter_PnL'!AS478))</x:f>
        <x:v>0</x:v>
      </x:c>
      <x:c r="H478" s="79" t="n">
        <x:f>ABS('Counter_PnL'!AV478-('Counter_PnL'!AK478+'Counter_PnL'!AT478))</x:f>
        <x:v>0</x:v>
      </x:c>
      <x:c r="I478" s="79" t="n">
        <x:f>ABS('Counter_PnL'!BE478-SUM('Counter_PnL'!AX478:'Counter_PnL'!BB478,'Counter_PnL'!BD478))</x:f>
        <x:v>0</x:v>
      </x:c>
      <x:c r="J478" s="79" t="n">
        <x:f>ABS('Counter_PnL'!BL478-SUM('Counter_PnL'!AV478,'Counter_PnL'!BE478,'Counter_PnL'!BJ478,'Counter_PnL'!BK478))</x:f>
        <x:v>0</x:v>
      </x:c>
      <x:c r="K478" s="79" t="n">
        <x:f>ABS('Counter_PnL'!BO478-('Counter_PnL'!BL478+'Counter_PnL'!BN478))</x:f>
        <x:v>0</x:v>
      </x:c>
      <x:c r="L478" s="79" t="n">
        <x:f>MAX(ABS('Counter_PnL'!AW478-'Counter_PnL'!AV478/'Counter_PnL'!AK478),ABS('Counter_PnL'!BM478-'Counter_PnL'!BL478/'Counter_PnL'!AK478),ABS('Counter_PnL'!BP478-'Counter_PnL'!BO478/'Counter_PnL'!AK478))</x:f>
        <x:v>0</x:v>
      </x:c>
      <x:c r="M478" s="30" t="n">
        <x:f>IF(AND('Counter_PnL'!Q478&gt;0,'Counter_PnL'!AK478&gt;0,'Counter_PnL'!R478&lt;=0,'Counter_PnL'!T478&lt;=0,'Counter_PnL'!AT478&lt;=0,'Counter_PnL'!BE478&lt;=0,'Counter_PnL'!BJ478&lt;=0,'Counter_PnL'!BK478&lt;=0,'Counter_PnL'!BN478&lt;=0),0,1)</x:f>
        <x:v>0</x:v>
      </x:c>
    </x:row>
    <x:row r="479">
      <x:c r="A479" t="str">
        <x:f>'Counter_PnL'!D479</x:f>
        <x:v>CNCT0120</x:v>
      </x:c>
      <x:c r="B479" t="str">
        <x:f>'Counter_PnL'!C479</x:f>
        <x:v>2025 S2</x:v>
      </x:c>
      <x:c r="C479" s="30" t="n">
        <x:f>COUNTIFS('Counter_PnL'!$D$2:$D$641,A479,'Counter_PnL'!$C$2:$C$641,B479)</x:f>
        <x:v>1</x:v>
      </x:c>
      <x:c r="D479" s="79" t="n">
        <x:f>ABS('Counter_PnL'!AC479-SUM('Counter_PnL'!V479:'Counter_PnL'!AB479))</x:f>
        <x:v>0</x:v>
      </x:c>
      <x:c r="E479" s="79" t="n">
        <x:f>ABS('Counter_PnL'!AI479-SUM('Counter_PnL'!R479,'Counter_PnL'!T479,'Counter_PnL'!AC479,'Counter_PnL'!AE479,'Counter_PnL'!AG479,'Counter_PnL'!AH479))</x:f>
        <x:v>0</x:v>
      </x:c>
      <x:c r="F479" s="79" t="n">
        <x:f>ABS('Counter_PnL'!AK479-('Counter_PnL'!Q479+'Counter_PnL'!AI479))</x:f>
        <x:v>0</x:v>
      </x:c>
      <x:c r="G479" s="79" t="n">
        <x:f>ABS('Counter_PnL'!AT479-SUM('Counter_PnL'!AO479:'Counter_PnL'!AS479))</x:f>
        <x:v>0</x:v>
      </x:c>
      <x:c r="H479" s="79" t="n">
        <x:f>ABS('Counter_PnL'!AV479-('Counter_PnL'!AK479+'Counter_PnL'!AT479))</x:f>
        <x:v>0</x:v>
      </x:c>
      <x:c r="I479" s="79" t="n">
        <x:f>ABS('Counter_PnL'!BE479-SUM('Counter_PnL'!AX479:'Counter_PnL'!BB479,'Counter_PnL'!BD479))</x:f>
        <x:v>0</x:v>
      </x:c>
      <x:c r="J479" s="79" t="n">
        <x:f>ABS('Counter_PnL'!BL479-SUM('Counter_PnL'!AV479,'Counter_PnL'!BE479,'Counter_PnL'!BJ479,'Counter_PnL'!BK479))</x:f>
        <x:v>0</x:v>
      </x:c>
      <x:c r="K479" s="79" t="n">
        <x:f>ABS('Counter_PnL'!BO479-('Counter_PnL'!BL479+'Counter_PnL'!BN479))</x:f>
        <x:v>0</x:v>
      </x:c>
      <x:c r="L479" s="79" t="n">
        <x:f>MAX(ABS('Counter_PnL'!AW479-'Counter_PnL'!AV479/'Counter_PnL'!AK479),ABS('Counter_PnL'!BM479-'Counter_PnL'!BL479/'Counter_PnL'!AK479),ABS('Counter_PnL'!BP479-'Counter_PnL'!BO479/'Counter_PnL'!AK479))</x:f>
        <x:v>0</x:v>
      </x:c>
      <x:c r="M479" s="30" t="n">
        <x:f>IF(AND('Counter_PnL'!Q479&gt;0,'Counter_PnL'!AK479&gt;0,'Counter_PnL'!R479&lt;=0,'Counter_PnL'!T479&lt;=0,'Counter_PnL'!AT479&lt;=0,'Counter_PnL'!BE479&lt;=0,'Counter_PnL'!BJ479&lt;=0,'Counter_PnL'!BK479&lt;=0,'Counter_PnL'!BN479&lt;=0),0,1)</x:f>
        <x:v>0</x:v>
      </x:c>
    </x:row>
    <x:row r="480">
      <x:c r="A480" t="str">
        <x:f>'Counter_PnL'!D480</x:f>
        <x:v>CNCT0120</x:v>
      </x:c>
      <x:c r="B480" t="str">
        <x:f>'Counter_PnL'!C480</x:f>
        <x:v>2026 S1</x:v>
      </x:c>
      <x:c r="C480" s="30" t="n">
        <x:f>COUNTIFS('Counter_PnL'!$D$2:$D$641,A480,'Counter_PnL'!$C$2:$C$641,B480)</x:f>
        <x:v>1</x:v>
      </x:c>
      <x:c r="D480" s="79" t="n">
        <x:f>ABS('Counter_PnL'!AC480-SUM('Counter_PnL'!V480:'Counter_PnL'!AB480))</x:f>
        <x:v>0</x:v>
      </x:c>
      <x:c r="E480" s="79" t="n">
        <x:f>ABS('Counter_PnL'!AI480-SUM('Counter_PnL'!R480,'Counter_PnL'!T480,'Counter_PnL'!AC480,'Counter_PnL'!AE480,'Counter_PnL'!AG480,'Counter_PnL'!AH480))</x:f>
        <x:v>0</x:v>
      </x:c>
      <x:c r="F480" s="79" t="n">
        <x:f>ABS('Counter_PnL'!AK480-('Counter_PnL'!Q480+'Counter_PnL'!AI480))</x:f>
        <x:v>0</x:v>
      </x:c>
      <x:c r="G480" s="79" t="n">
        <x:f>ABS('Counter_PnL'!AT480-SUM('Counter_PnL'!AO480:'Counter_PnL'!AS480))</x:f>
        <x:v>0</x:v>
      </x:c>
      <x:c r="H480" s="79" t="n">
        <x:f>ABS('Counter_PnL'!AV480-('Counter_PnL'!AK480+'Counter_PnL'!AT480))</x:f>
        <x:v>0</x:v>
      </x:c>
      <x:c r="I480" s="79" t="n">
        <x:f>ABS('Counter_PnL'!BE480-SUM('Counter_PnL'!AX480:'Counter_PnL'!BB480,'Counter_PnL'!BD480))</x:f>
        <x:v>0</x:v>
      </x:c>
      <x:c r="J480" s="79" t="n">
        <x:f>ABS('Counter_PnL'!BL480-SUM('Counter_PnL'!AV480,'Counter_PnL'!BE480,'Counter_PnL'!BJ480,'Counter_PnL'!BK480))</x:f>
        <x:v>0</x:v>
      </x:c>
      <x:c r="K480" s="79" t="n">
        <x:f>ABS('Counter_PnL'!BO480-('Counter_PnL'!BL480+'Counter_PnL'!BN480))</x:f>
        <x:v>0</x:v>
      </x:c>
      <x:c r="L480" s="79" t="n">
        <x:f>MAX(ABS('Counter_PnL'!AW480-'Counter_PnL'!AV480/'Counter_PnL'!AK480),ABS('Counter_PnL'!BM480-'Counter_PnL'!BL480/'Counter_PnL'!AK480),ABS('Counter_PnL'!BP480-'Counter_PnL'!BO480/'Counter_PnL'!AK480))</x:f>
        <x:v>0</x:v>
      </x:c>
      <x:c r="M480" s="30" t="n">
        <x:f>IF(AND('Counter_PnL'!Q480&gt;0,'Counter_PnL'!AK480&gt;0,'Counter_PnL'!R480&lt;=0,'Counter_PnL'!T480&lt;=0,'Counter_PnL'!AT480&lt;=0,'Counter_PnL'!BE480&lt;=0,'Counter_PnL'!BJ480&lt;=0,'Counter_PnL'!BK480&lt;=0,'Counter_PnL'!BN480&lt;=0),0,1)</x:f>
        <x:v>0</x:v>
      </x:c>
    </x:row>
    <x:row r="481">
      <x:c r="A481" t="str">
        <x:f>'Counter_PnL'!D481</x:f>
        <x:v>CNCT0120</x:v>
      </x:c>
      <x:c r="B481" t="str">
        <x:f>'Counter_PnL'!C481</x:f>
        <x:v>2026 S2</x:v>
      </x:c>
      <x:c r="C481" s="30" t="n">
        <x:f>COUNTIFS('Counter_PnL'!$D$2:$D$641,A481,'Counter_PnL'!$C$2:$C$641,B481)</x:f>
        <x:v>1</x:v>
      </x:c>
      <x:c r="D481" s="79" t="n">
        <x:f>ABS('Counter_PnL'!AC481-SUM('Counter_PnL'!V481:'Counter_PnL'!AB481))</x:f>
        <x:v>0</x:v>
      </x:c>
      <x:c r="E481" s="79" t="n">
        <x:f>ABS('Counter_PnL'!AI481-SUM('Counter_PnL'!R481,'Counter_PnL'!T481,'Counter_PnL'!AC481,'Counter_PnL'!AE481,'Counter_PnL'!AG481,'Counter_PnL'!AH481))</x:f>
        <x:v>0</x:v>
      </x:c>
      <x:c r="F481" s="79" t="n">
        <x:f>ABS('Counter_PnL'!AK481-('Counter_PnL'!Q481+'Counter_PnL'!AI481))</x:f>
        <x:v>0</x:v>
      </x:c>
      <x:c r="G481" s="79" t="n">
        <x:f>ABS('Counter_PnL'!AT481-SUM('Counter_PnL'!AO481:'Counter_PnL'!AS481))</x:f>
        <x:v>0</x:v>
      </x:c>
      <x:c r="H481" s="79" t="n">
        <x:f>ABS('Counter_PnL'!AV481-('Counter_PnL'!AK481+'Counter_PnL'!AT481))</x:f>
        <x:v>0</x:v>
      </x:c>
      <x:c r="I481" s="79" t="n">
        <x:f>ABS('Counter_PnL'!BE481-SUM('Counter_PnL'!AX481:'Counter_PnL'!BB481,'Counter_PnL'!BD481))</x:f>
        <x:v>0</x:v>
      </x:c>
      <x:c r="J481" s="79" t="n">
        <x:f>ABS('Counter_PnL'!BL481-SUM('Counter_PnL'!AV481,'Counter_PnL'!BE481,'Counter_PnL'!BJ481,'Counter_PnL'!BK481))</x:f>
        <x:v>0</x:v>
      </x:c>
      <x:c r="K481" s="79" t="n">
        <x:f>ABS('Counter_PnL'!BO481-('Counter_PnL'!BL481+'Counter_PnL'!BN481))</x:f>
        <x:v>0</x:v>
      </x:c>
      <x:c r="L481" s="79" t="n">
        <x:f>MAX(ABS('Counter_PnL'!AW481-'Counter_PnL'!AV481/'Counter_PnL'!AK481),ABS('Counter_PnL'!BM481-'Counter_PnL'!BL481/'Counter_PnL'!AK481),ABS('Counter_PnL'!BP481-'Counter_PnL'!BO481/'Counter_PnL'!AK481))</x:f>
        <x:v>0</x:v>
      </x:c>
      <x:c r="M481" s="30" t="n">
        <x:f>IF(AND('Counter_PnL'!Q481&gt;0,'Counter_PnL'!AK481&gt;0,'Counter_PnL'!R481&lt;=0,'Counter_PnL'!T481&lt;=0,'Counter_PnL'!AT481&lt;=0,'Counter_PnL'!BE481&lt;=0,'Counter_PnL'!BJ481&lt;=0,'Counter_PnL'!BK481&lt;=0,'Counter_PnL'!BN481&lt;=0),0,1)</x:f>
        <x:v>0</x:v>
      </x:c>
    </x:row>
    <x:row r="482">
      <x:c r="A482" t="str">
        <x:f>'Counter_PnL'!D482</x:f>
        <x:v>CNCT0121</x:v>
      </x:c>
      <x:c r="B482" t="str">
        <x:f>'Counter_PnL'!C482</x:f>
        <x:v>2025 S1</x:v>
      </x:c>
      <x:c r="C482" s="30" t="n">
        <x:f>COUNTIFS('Counter_PnL'!$D$2:$D$641,A482,'Counter_PnL'!$C$2:$C$641,B482)</x:f>
        <x:v>1</x:v>
      </x:c>
      <x:c r="D482" s="79" t="n">
        <x:f>ABS('Counter_PnL'!AC482-SUM('Counter_PnL'!V482:'Counter_PnL'!AB482))</x:f>
        <x:v>0</x:v>
      </x:c>
      <x:c r="E482" s="79" t="n">
        <x:f>ABS('Counter_PnL'!AI482-SUM('Counter_PnL'!R482,'Counter_PnL'!T482,'Counter_PnL'!AC482,'Counter_PnL'!AE482,'Counter_PnL'!AG482,'Counter_PnL'!AH482))</x:f>
        <x:v>0</x:v>
      </x:c>
      <x:c r="F482" s="79" t="n">
        <x:f>ABS('Counter_PnL'!AK482-('Counter_PnL'!Q482+'Counter_PnL'!AI482))</x:f>
        <x:v>0</x:v>
      </x:c>
      <x:c r="G482" s="79" t="n">
        <x:f>ABS('Counter_PnL'!AT482-SUM('Counter_PnL'!AO482:'Counter_PnL'!AS482))</x:f>
        <x:v>0</x:v>
      </x:c>
      <x:c r="H482" s="79" t="n">
        <x:f>ABS('Counter_PnL'!AV482-('Counter_PnL'!AK482+'Counter_PnL'!AT482))</x:f>
        <x:v>0</x:v>
      </x:c>
      <x:c r="I482" s="79" t="n">
        <x:f>ABS('Counter_PnL'!BE482-SUM('Counter_PnL'!AX482:'Counter_PnL'!BB482,'Counter_PnL'!BD482))</x:f>
        <x:v>0</x:v>
      </x:c>
      <x:c r="J482" s="79" t="n">
        <x:f>ABS('Counter_PnL'!BL482-SUM('Counter_PnL'!AV482,'Counter_PnL'!BE482,'Counter_PnL'!BJ482,'Counter_PnL'!BK482))</x:f>
        <x:v>0</x:v>
      </x:c>
      <x:c r="K482" s="79" t="n">
        <x:f>ABS('Counter_PnL'!BO482-('Counter_PnL'!BL482+'Counter_PnL'!BN482))</x:f>
        <x:v>0</x:v>
      </x:c>
      <x:c r="L482" s="79" t="n">
        <x:f>MAX(ABS('Counter_PnL'!AW482-'Counter_PnL'!AV482/'Counter_PnL'!AK482),ABS('Counter_PnL'!BM482-'Counter_PnL'!BL482/'Counter_PnL'!AK482),ABS('Counter_PnL'!BP482-'Counter_PnL'!BO482/'Counter_PnL'!AK482))</x:f>
        <x:v>0</x:v>
      </x:c>
      <x:c r="M482" s="30" t="n">
        <x:f>IF(AND('Counter_PnL'!Q482&gt;0,'Counter_PnL'!AK482&gt;0,'Counter_PnL'!R482&lt;=0,'Counter_PnL'!T482&lt;=0,'Counter_PnL'!AT482&lt;=0,'Counter_PnL'!BE482&lt;=0,'Counter_PnL'!BJ482&lt;=0,'Counter_PnL'!BK482&lt;=0,'Counter_PnL'!BN482&lt;=0),0,1)</x:f>
        <x:v>0</x:v>
      </x:c>
    </x:row>
    <x:row r="483">
      <x:c r="A483" t="str">
        <x:f>'Counter_PnL'!D483</x:f>
        <x:v>CNCT0121</x:v>
      </x:c>
      <x:c r="B483" t="str">
        <x:f>'Counter_PnL'!C483</x:f>
        <x:v>2025 S2</x:v>
      </x:c>
      <x:c r="C483" s="30" t="n">
        <x:f>COUNTIFS('Counter_PnL'!$D$2:$D$641,A483,'Counter_PnL'!$C$2:$C$641,B483)</x:f>
        <x:v>1</x:v>
      </x:c>
      <x:c r="D483" s="79" t="n">
        <x:f>ABS('Counter_PnL'!AC483-SUM('Counter_PnL'!V483:'Counter_PnL'!AB483))</x:f>
        <x:v>0</x:v>
      </x:c>
      <x:c r="E483" s="79" t="n">
        <x:f>ABS('Counter_PnL'!AI483-SUM('Counter_PnL'!R483,'Counter_PnL'!T483,'Counter_PnL'!AC483,'Counter_PnL'!AE483,'Counter_PnL'!AG483,'Counter_PnL'!AH483))</x:f>
        <x:v>0</x:v>
      </x:c>
      <x:c r="F483" s="79" t="n">
        <x:f>ABS('Counter_PnL'!AK483-('Counter_PnL'!Q483+'Counter_PnL'!AI483))</x:f>
        <x:v>0</x:v>
      </x:c>
      <x:c r="G483" s="79" t="n">
        <x:f>ABS('Counter_PnL'!AT483-SUM('Counter_PnL'!AO483:'Counter_PnL'!AS483))</x:f>
        <x:v>0</x:v>
      </x:c>
      <x:c r="H483" s="79" t="n">
        <x:f>ABS('Counter_PnL'!AV483-('Counter_PnL'!AK483+'Counter_PnL'!AT483))</x:f>
        <x:v>0</x:v>
      </x:c>
      <x:c r="I483" s="79" t="n">
        <x:f>ABS('Counter_PnL'!BE483-SUM('Counter_PnL'!AX483:'Counter_PnL'!BB483,'Counter_PnL'!BD483))</x:f>
        <x:v>0</x:v>
      </x:c>
      <x:c r="J483" s="79" t="n">
        <x:f>ABS('Counter_PnL'!BL483-SUM('Counter_PnL'!AV483,'Counter_PnL'!BE483,'Counter_PnL'!BJ483,'Counter_PnL'!BK483))</x:f>
        <x:v>0</x:v>
      </x:c>
      <x:c r="K483" s="79" t="n">
        <x:f>ABS('Counter_PnL'!BO483-('Counter_PnL'!BL483+'Counter_PnL'!BN483))</x:f>
        <x:v>0</x:v>
      </x:c>
      <x:c r="L483" s="79" t="n">
        <x:f>MAX(ABS('Counter_PnL'!AW483-'Counter_PnL'!AV483/'Counter_PnL'!AK483),ABS('Counter_PnL'!BM483-'Counter_PnL'!BL483/'Counter_PnL'!AK483),ABS('Counter_PnL'!BP483-'Counter_PnL'!BO483/'Counter_PnL'!AK483))</x:f>
        <x:v>0</x:v>
      </x:c>
      <x:c r="M483" s="30" t="n">
        <x:f>IF(AND('Counter_PnL'!Q483&gt;0,'Counter_PnL'!AK483&gt;0,'Counter_PnL'!R483&lt;=0,'Counter_PnL'!T483&lt;=0,'Counter_PnL'!AT483&lt;=0,'Counter_PnL'!BE483&lt;=0,'Counter_PnL'!BJ483&lt;=0,'Counter_PnL'!BK483&lt;=0,'Counter_PnL'!BN483&lt;=0),0,1)</x:f>
        <x:v>0</x:v>
      </x:c>
    </x:row>
    <x:row r="484">
      <x:c r="A484" t="str">
        <x:f>'Counter_PnL'!D484</x:f>
        <x:v>CNCT0121</x:v>
      </x:c>
      <x:c r="B484" t="str">
        <x:f>'Counter_PnL'!C484</x:f>
        <x:v>2026 S1</x:v>
      </x:c>
      <x:c r="C484" s="30" t="n">
        <x:f>COUNTIFS('Counter_PnL'!$D$2:$D$641,A484,'Counter_PnL'!$C$2:$C$641,B484)</x:f>
        <x:v>1</x:v>
      </x:c>
      <x:c r="D484" s="79" t="n">
        <x:f>ABS('Counter_PnL'!AC484-SUM('Counter_PnL'!V484:'Counter_PnL'!AB484))</x:f>
        <x:v>0</x:v>
      </x:c>
      <x:c r="E484" s="79" t="n">
        <x:f>ABS('Counter_PnL'!AI484-SUM('Counter_PnL'!R484,'Counter_PnL'!T484,'Counter_PnL'!AC484,'Counter_PnL'!AE484,'Counter_PnL'!AG484,'Counter_PnL'!AH484))</x:f>
        <x:v>0</x:v>
      </x:c>
      <x:c r="F484" s="79" t="n">
        <x:f>ABS('Counter_PnL'!AK484-('Counter_PnL'!Q484+'Counter_PnL'!AI484))</x:f>
        <x:v>0</x:v>
      </x:c>
      <x:c r="G484" s="79" t="n">
        <x:f>ABS('Counter_PnL'!AT484-SUM('Counter_PnL'!AO484:'Counter_PnL'!AS484))</x:f>
        <x:v>0</x:v>
      </x:c>
      <x:c r="H484" s="79" t="n">
        <x:f>ABS('Counter_PnL'!AV484-('Counter_PnL'!AK484+'Counter_PnL'!AT484))</x:f>
        <x:v>0</x:v>
      </x:c>
      <x:c r="I484" s="79" t="n">
        <x:f>ABS('Counter_PnL'!BE484-SUM('Counter_PnL'!AX484:'Counter_PnL'!BB484,'Counter_PnL'!BD484))</x:f>
        <x:v>0</x:v>
      </x:c>
      <x:c r="J484" s="79" t="n">
        <x:f>ABS('Counter_PnL'!BL484-SUM('Counter_PnL'!AV484,'Counter_PnL'!BE484,'Counter_PnL'!BJ484,'Counter_PnL'!BK484))</x:f>
        <x:v>0</x:v>
      </x:c>
      <x:c r="K484" s="79" t="n">
        <x:f>ABS('Counter_PnL'!BO484-('Counter_PnL'!BL484+'Counter_PnL'!BN484))</x:f>
        <x:v>0</x:v>
      </x:c>
      <x:c r="L484" s="79" t="n">
        <x:f>MAX(ABS('Counter_PnL'!AW484-'Counter_PnL'!AV484/'Counter_PnL'!AK484),ABS('Counter_PnL'!BM484-'Counter_PnL'!BL484/'Counter_PnL'!AK484),ABS('Counter_PnL'!BP484-'Counter_PnL'!BO484/'Counter_PnL'!AK484))</x:f>
        <x:v>0</x:v>
      </x:c>
      <x:c r="M484" s="30" t="n">
        <x:f>IF(AND('Counter_PnL'!Q484&gt;0,'Counter_PnL'!AK484&gt;0,'Counter_PnL'!R484&lt;=0,'Counter_PnL'!T484&lt;=0,'Counter_PnL'!AT484&lt;=0,'Counter_PnL'!BE484&lt;=0,'Counter_PnL'!BJ484&lt;=0,'Counter_PnL'!BK484&lt;=0,'Counter_PnL'!BN484&lt;=0),0,1)</x:f>
        <x:v>0</x:v>
      </x:c>
    </x:row>
    <x:row r="485">
      <x:c r="A485" t="str">
        <x:f>'Counter_PnL'!D485</x:f>
        <x:v>CNCT0121</x:v>
      </x:c>
      <x:c r="B485" t="str">
        <x:f>'Counter_PnL'!C485</x:f>
        <x:v>2026 S2</x:v>
      </x:c>
      <x:c r="C485" s="30" t="n">
        <x:f>COUNTIFS('Counter_PnL'!$D$2:$D$641,A485,'Counter_PnL'!$C$2:$C$641,B485)</x:f>
        <x:v>1</x:v>
      </x:c>
      <x:c r="D485" s="79" t="n">
        <x:f>ABS('Counter_PnL'!AC485-SUM('Counter_PnL'!V485:'Counter_PnL'!AB485))</x:f>
        <x:v>0</x:v>
      </x:c>
      <x:c r="E485" s="79" t="n">
        <x:f>ABS('Counter_PnL'!AI485-SUM('Counter_PnL'!R485,'Counter_PnL'!T485,'Counter_PnL'!AC485,'Counter_PnL'!AE485,'Counter_PnL'!AG485,'Counter_PnL'!AH485))</x:f>
        <x:v>0</x:v>
      </x:c>
      <x:c r="F485" s="79" t="n">
        <x:f>ABS('Counter_PnL'!AK485-('Counter_PnL'!Q485+'Counter_PnL'!AI485))</x:f>
        <x:v>0</x:v>
      </x:c>
      <x:c r="G485" s="79" t="n">
        <x:f>ABS('Counter_PnL'!AT485-SUM('Counter_PnL'!AO485:'Counter_PnL'!AS485))</x:f>
        <x:v>0</x:v>
      </x:c>
      <x:c r="H485" s="79" t="n">
        <x:f>ABS('Counter_PnL'!AV485-('Counter_PnL'!AK485+'Counter_PnL'!AT485))</x:f>
        <x:v>0</x:v>
      </x:c>
      <x:c r="I485" s="79" t="n">
        <x:f>ABS('Counter_PnL'!BE485-SUM('Counter_PnL'!AX485:'Counter_PnL'!BB485,'Counter_PnL'!BD485))</x:f>
        <x:v>0</x:v>
      </x:c>
      <x:c r="J485" s="79" t="n">
        <x:f>ABS('Counter_PnL'!BL485-SUM('Counter_PnL'!AV485,'Counter_PnL'!BE485,'Counter_PnL'!BJ485,'Counter_PnL'!BK485))</x:f>
        <x:v>0</x:v>
      </x:c>
      <x:c r="K485" s="79" t="n">
        <x:f>ABS('Counter_PnL'!BO485-('Counter_PnL'!BL485+'Counter_PnL'!BN485))</x:f>
        <x:v>0</x:v>
      </x:c>
      <x:c r="L485" s="79" t="n">
        <x:f>MAX(ABS('Counter_PnL'!AW485-'Counter_PnL'!AV485/'Counter_PnL'!AK485),ABS('Counter_PnL'!BM485-'Counter_PnL'!BL485/'Counter_PnL'!AK485),ABS('Counter_PnL'!BP485-'Counter_PnL'!BO485/'Counter_PnL'!AK485))</x:f>
        <x:v>0</x:v>
      </x:c>
      <x:c r="M485" s="30" t="n">
        <x:f>IF(AND('Counter_PnL'!Q485&gt;0,'Counter_PnL'!AK485&gt;0,'Counter_PnL'!R485&lt;=0,'Counter_PnL'!T485&lt;=0,'Counter_PnL'!AT485&lt;=0,'Counter_PnL'!BE485&lt;=0,'Counter_PnL'!BJ485&lt;=0,'Counter_PnL'!BK485&lt;=0,'Counter_PnL'!BN485&lt;=0),0,1)</x:f>
        <x:v>0</x:v>
      </x:c>
    </x:row>
    <x:row r="486">
      <x:c r="A486" t="str">
        <x:f>'Counter_PnL'!D486</x:f>
        <x:v>CNCT0122</x:v>
      </x:c>
      <x:c r="B486" t="str">
        <x:f>'Counter_PnL'!C486</x:f>
        <x:v>2025 S1</x:v>
      </x:c>
      <x:c r="C486" s="30" t="n">
        <x:f>COUNTIFS('Counter_PnL'!$D$2:$D$641,A486,'Counter_PnL'!$C$2:$C$641,B486)</x:f>
        <x:v>1</x:v>
      </x:c>
      <x:c r="D486" s="79" t="n">
        <x:f>ABS('Counter_PnL'!AC486-SUM('Counter_PnL'!V486:'Counter_PnL'!AB486))</x:f>
        <x:v>0</x:v>
      </x:c>
      <x:c r="E486" s="79" t="n">
        <x:f>ABS('Counter_PnL'!AI486-SUM('Counter_PnL'!R486,'Counter_PnL'!T486,'Counter_PnL'!AC486,'Counter_PnL'!AE486,'Counter_PnL'!AG486,'Counter_PnL'!AH486))</x:f>
        <x:v>0</x:v>
      </x:c>
      <x:c r="F486" s="79" t="n">
        <x:f>ABS('Counter_PnL'!AK486-('Counter_PnL'!Q486+'Counter_PnL'!AI486))</x:f>
        <x:v>0</x:v>
      </x:c>
      <x:c r="G486" s="79" t="n">
        <x:f>ABS('Counter_PnL'!AT486-SUM('Counter_PnL'!AO486:'Counter_PnL'!AS486))</x:f>
        <x:v>0</x:v>
      </x:c>
      <x:c r="H486" s="79" t="n">
        <x:f>ABS('Counter_PnL'!AV486-('Counter_PnL'!AK486+'Counter_PnL'!AT486))</x:f>
        <x:v>0</x:v>
      </x:c>
      <x:c r="I486" s="79" t="n">
        <x:f>ABS('Counter_PnL'!BE486-SUM('Counter_PnL'!AX486:'Counter_PnL'!BB486,'Counter_PnL'!BD486))</x:f>
        <x:v>0</x:v>
      </x:c>
      <x:c r="J486" s="79" t="n">
        <x:f>ABS('Counter_PnL'!BL486-SUM('Counter_PnL'!AV486,'Counter_PnL'!BE486,'Counter_PnL'!BJ486,'Counter_PnL'!BK486))</x:f>
        <x:v>0</x:v>
      </x:c>
      <x:c r="K486" s="79" t="n">
        <x:f>ABS('Counter_PnL'!BO486-('Counter_PnL'!BL486+'Counter_PnL'!BN486))</x:f>
        <x:v>0</x:v>
      </x:c>
      <x:c r="L486" s="79" t="n">
        <x:f>MAX(ABS('Counter_PnL'!AW486-'Counter_PnL'!AV486/'Counter_PnL'!AK486),ABS('Counter_PnL'!BM486-'Counter_PnL'!BL486/'Counter_PnL'!AK486),ABS('Counter_PnL'!BP486-'Counter_PnL'!BO486/'Counter_PnL'!AK486))</x:f>
        <x:v>0</x:v>
      </x:c>
      <x:c r="M486" s="30" t="n">
        <x:f>IF(AND('Counter_PnL'!Q486&gt;0,'Counter_PnL'!AK486&gt;0,'Counter_PnL'!R486&lt;=0,'Counter_PnL'!T486&lt;=0,'Counter_PnL'!AT486&lt;=0,'Counter_PnL'!BE486&lt;=0,'Counter_PnL'!BJ486&lt;=0,'Counter_PnL'!BK486&lt;=0,'Counter_PnL'!BN486&lt;=0),0,1)</x:f>
        <x:v>0</x:v>
      </x:c>
    </x:row>
    <x:row r="487">
      <x:c r="A487" t="str">
        <x:f>'Counter_PnL'!D487</x:f>
        <x:v>CNCT0122</x:v>
      </x:c>
      <x:c r="B487" t="str">
        <x:f>'Counter_PnL'!C487</x:f>
        <x:v>2025 S2</x:v>
      </x:c>
      <x:c r="C487" s="30" t="n">
        <x:f>COUNTIFS('Counter_PnL'!$D$2:$D$641,A487,'Counter_PnL'!$C$2:$C$641,B487)</x:f>
        <x:v>1</x:v>
      </x:c>
      <x:c r="D487" s="79" t="n">
        <x:f>ABS('Counter_PnL'!AC487-SUM('Counter_PnL'!V487:'Counter_PnL'!AB487))</x:f>
        <x:v>0</x:v>
      </x:c>
      <x:c r="E487" s="79" t="n">
        <x:f>ABS('Counter_PnL'!AI487-SUM('Counter_PnL'!R487,'Counter_PnL'!T487,'Counter_PnL'!AC487,'Counter_PnL'!AE487,'Counter_PnL'!AG487,'Counter_PnL'!AH487))</x:f>
        <x:v>0</x:v>
      </x:c>
      <x:c r="F487" s="79" t="n">
        <x:f>ABS('Counter_PnL'!AK487-('Counter_PnL'!Q487+'Counter_PnL'!AI487))</x:f>
        <x:v>0</x:v>
      </x:c>
      <x:c r="G487" s="79" t="n">
        <x:f>ABS('Counter_PnL'!AT487-SUM('Counter_PnL'!AO487:'Counter_PnL'!AS487))</x:f>
        <x:v>0</x:v>
      </x:c>
      <x:c r="H487" s="79" t="n">
        <x:f>ABS('Counter_PnL'!AV487-('Counter_PnL'!AK487+'Counter_PnL'!AT487))</x:f>
        <x:v>0</x:v>
      </x:c>
      <x:c r="I487" s="79" t="n">
        <x:f>ABS('Counter_PnL'!BE487-SUM('Counter_PnL'!AX487:'Counter_PnL'!BB487,'Counter_PnL'!BD487))</x:f>
        <x:v>0</x:v>
      </x:c>
      <x:c r="J487" s="79" t="n">
        <x:f>ABS('Counter_PnL'!BL487-SUM('Counter_PnL'!AV487,'Counter_PnL'!BE487,'Counter_PnL'!BJ487,'Counter_PnL'!BK487))</x:f>
        <x:v>0</x:v>
      </x:c>
      <x:c r="K487" s="79" t="n">
        <x:f>ABS('Counter_PnL'!BO487-('Counter_PnL'!BL487+'Counter_PnL'!BN487))</x:f>
        <x:v>0</x:v>
      </x:c>
      <x:c r="L487" s="79" t="n">
        <x:f>MAX(ABS('Counter_PnL'!AW487-'Counter_PnL'!AV487/'Counter_PnL'!AK487),ABS('Counter_PnL'!BM487-'Counter_PnL'!BL487/'Counter_PnL'!AK487),ABS('Counter_PnL'!BP487-'Counter_PnL'!BO487/'Counter_PnL'!AK487))</x:f>
        <x:v>0</x:v>
      </x:c>
      <x:c r="M487" s="30" t="n">
        <x:f>IF(AND('Counter_PnL'!Q487&gt;0,'Counter_PnL'!AK487&gt;0,'Counter_PnL'!R487&lt;=0,'Counter_PnL'!T487&lt;=0,'Counter_PnL'!AT487&lt;=0,'Counter_PnL'!BE487&lt;=0,'Counter_PnL'!BJ487&lt;=0,'Counter_PnL'!BK487&lt;=0,'Counter_PnL'!BN487&lt;=0),0,1)</x:f>
        <x:v>0</x:v>
      </x:c>
    </x:row>
    <x:row r="488">
      <x:c r="A488" t="str">
        <x:f>'Counter_PnL'!D488</x:f>
        <x:v>CNCT0122</x:v>
      </x:c>
      <x:c r="B488" t="str">
        <x:f>'Counter_PnL'!C488</x:f>
        <x:v>2026 S1</x:v>
      </x:c>
      <x:c r="C488" s="30" t="n">
        <x:f>COUNTIFS('Counter_PnL'!$D$2:$D$641,A488,'Counter_PnL'!$C$2:$C$641,B488)</x:f>
        <x:v>1</x:v>
      </x:c>
      <x:c r="D488" s="79" t="n">
        <x:f>ABS('Counter_PnL'!AC488-SUM('Counter_PnL'!V488:'Counter_PnL'!AB488))</x:f>
        <x:v>0</x:v>
      </x:c>
      <x:c r="E488" s="79" t="n">
        <x:f>ABS('Counter_PnL'!AI488-SUM('Counter_PnL'!R488,'Counter_PnL'!T488,'Counter_PnL'!AC488,'Counter_PnL'!AE488,'Counter_PnL'!AG488,'Counter_PnL'!AH488))</x:f>
        <x:v>0</x:v>
      </x:c>
      <x:c r="F488" s="79" t="n">
        <x:f>ABS('Counter_PnL'!AK488-('Counter_PnL'!Q488+'Counter_PnL'!AI488))</x:f>
        <x:v>0</x:v>
      </x:c>
      <x:c r="G488" s="79" t="n">
        <x:f>ABS('Counter_PnL'!AT488-SUM('Counter_PnL'!AO488:'Counter_PnL'!AS488))</x:f>
        <x:v>0</x:v>
      </x:c>
      <x:c r="H488" s="79" t="n">
        <x:f>ABS('Counter_PnL'!AV488-('Counter_PnL'!AK488+'Counter_PnL'!AT488))</x:f>
        <x:v>0</x:v>
      </x:c>
      <x:c r="I488" s="79" t="n">
        <x:f>ABS('Counter_PnL'!BE488-SUM('Counter_PnL'!AX488:'Counter_PnL'!BB488,'Counter_PnL'!BD488))</x:f>
        <x:v>0</x:v>
      </x:c>
      <x:c r="J488" s="79" t="n">
        <x:f>ABS('Counter_PnL'!BL488-SUM('Counter_PnL'!AV488,'Counter_PnL'!BE488,'Counter_PnL'!BJ488,'Counter_PnL'!BK488))</x:f>
        <x:v>0</x:v>
      </x:c>
      <x:c r="K488" s="79" t="n">
        <x:f>ABS('Counter_PnL'!BO488-('Counter_PnL'!BL488+'Counter_PnL'!BN488))</x:f>
        <x:v>0</x:v>
      </x:c>
      <x:c r="L488" s="79" t="n">
        <x:f>MAX(ABS('Counter_PnL'!AW488-'Counter_PnL'!AV488/'Counter_PnL'!AK488),ABS('Counter_PnL'!BM488-'Counter_PnL'!BL488/'Counter_PnL'!AK488),ABS('Counter_PnL'!BP488-'Counter_PnL'!BO488/'Counter_PnL'!AK488))</x:f>
        <x:v>0</x:v>
      </x:c>
      <x:c r="M488" s="30" t="n">
        <x:f>IF(AND('Counter_PnL'!Q488&gt;0,'Counter_PnL'!AK488&gt;0,'Counter_PnL'!R488&lt;=0,'Counter_PnL'!T488&lt;=0,'Counter_PnL'!AT488&lt;=0,'Counter_PnL'!BE488&lt;=0,'Counter_PnL'!BJ488&lt;=0,'Counter_PnL'!BK488&lt;=0,'Counter_PnL'!BN488&lt;=0),0,1)</x:f>
        <x:v>0</x:v>
      </x:c>
    </x:row>
    <x:row r="489">
      <x:c r="A489" t="str">
        <x:f>'Counter_PnL'!D489</x:f>
        <x:v>CNCT0122</x:v>
      </x:c>
      <x:c r="B489" t="str">
        <x:f>'Counter_PnL'!C489</x:f>
        <x:v>2026 S2</x:v>
      </x:c>
      <x:c r="C489" s="30" t="n">
        <x:f>COUNTIFS('Counter_PnL'!$D$2:$D$641,A489,'Counter_PnL'!$C$2:$C$641,B489)</x:f>
        <x:v>1</x:v>
      </x:c>
      <x:c r="D489" s="79" t="n">
        <x:f>ABS('Counter_PnL'!AC489-SUM('Counter_PnL'!V489:'Counter_PnL'!AB489))</x:f>
        <x:v>0</x:v>
      </x:c>
      <x:c r="E489" s="79" t="n">
        <x:f>ABS('Counter_PnL'!AI489-SUM('Counter_PnL'!R489,'Counter_PnL'!T489,'Counter_PnL'!AC489,'Counter_PnL'!AE489,'Counter_PnL'!AG489,'Counter_PnL'!AH489))</x:f>
        <x:v>0</x:v>
      </x:c>
      <x:c r="F489" s="79" t="n">
        <x:f>ABS('Counter_PnL'!AK489-('Counter_PnL'!Q489+'Counter_PnL'!AI489))</x:f>
        <x:v>0</x:v>
      </x:c>
      <x:c r="G489" s="79" t="n">
        <x:f>ABS('Counter_PnL'!AT489-SUM('Counter_PnL'!AO489:'Counter_PnL'!AS489))</x:f>
        <x:v>0</x:v>
      </x:c>
      <x:c r="H489" s="79" t="n">
        <x:f>ABS('Counter_PnL'!AV489-('Counter_PnL'!AK489+'Counter_PnL'!AT489))</x:f>
        <x:v>0</x:v>
      </x:c>
      <x:c r="I489" s="79" t="n">
        <x:f>ABS('Counter_PnL'!BE489-SUM('Counter_PnL'!AX489:'Counter_PnL'!BB489,'Counter_PnL'!BD489))</x:f>
        <x:v>0</x:v>
      </x:c>
      <x:c r="J489" s="79" t="n">
        <x:f>ABS('Counter_PnL'!BL489-SUM('Counter_PnL'!AV489,'Counter_PnL'!BE489,'Counter_PnL'!BJ489,'Counter_PnL'!BK489))</x:f>
        <x:v>0</x:v>
      </x:c>
      <x:c r="K489" s="79" t="n">
        <x:f>ABS('Counter_PnL'!BO489-('Counter_PnL'!BL489+'Counter_PnL'!BN489))</x:f>
        <x:v>0</x:v>
      </x:c>
      <x:c r="L489" s="79" t="n">
        <x:f>MAX(ABS('Counter_PnL'!AW489-'Counter_PnL'!AV489/'Counter_PnL'!AK489),ABS('Counter_PnL'!BM489-'Counter_PnL'!BL489/'Counter_PnL'!AK489),ABS('Counter_PnL'!BP489-'Counter_PnL'!BO489/'Counter_PnL'!AK489))</x:f>
        <x:v>0</x:v>
      </x:c>
      <x:c r="M489" s="30" t="n">
        <x:f>IF(AND('Counter_PnL'!Q489&gt;0,'Counter_PnL'!AK489&gt;0,'Counter_PnL'!R489&lt;=0,'Counter_PnL'!T489&lt;=0,'Counter_PnL'!AT489&lt;=0,'Counter_PnL'!BE489&lt;=0,'Counter_PnL'!BJ489&lt;=0,'Counter_PnL'!BK489&lt;=0,'Counter_PnL'!BN489&lt;=0),0,1)</x:f>
        <x:v>0</x:v>
      </x:c>
    </x:row>
    <x:row r="490">
      <x:c r="A490" t="str">
        <x:f>'Counter_PnL'!D490</x:f>
        <x:v>CNCT0123</x:v>
      </x:c>
      <x:c r="B490" t="str">
        <x:f>'Counter_PnL'!C490</x:f>
        <x:v>2025 S1</x:v>
      </x:c>
      <x:c r="C490" s="30" t="n">
        <x:f>COUNTIFS('Counter_PnL'!$D$2:$D$641,A490,'Counter_PnL'!$C$2:$C$641,B490)</x:f>
        <x:v>1</x:v>
      </x:c>
      <x:c r="D490" s="79" t="n">
        <x:f>ABS('Counter_PnL'!AC490-SUM('Counter_PnL'!V490:'Counter_PnL'!AB490))</x:f>
        <x:v>0</x:v>
      </x:c>
      <x:c r="E490" s="79" t="n">
        <x:f>ABS('Counter_PnL'!AI490-SUM('Counter_PnL'!R490,'Counter_PnL'!T490,'Counter_PnL'!AC490,'Counter_PnL'!AE490,'Counter_PnL'!AG490,'Counter_PnL'!AH490))</x:f>
        <x:v>0</x:v>
      </x:c>
      <x:c r="F490" s="79" t="n">
        <x:f>ABS('Counter_PnL'!AK490-('Counter_PnL'!Q490+'Counter_PnL'!AI490))</x:f>
        <x:v>0</x:v>
      </x:c>
      <x:c r="G490" s="79" t="n">
        <x:f>ABS('Counter_PnL'!AT490-SUM('Counter_PnL'!AO490:'Counter_PnL'!AS490))</x:f>
        <x:v>0</x:v>
      </x:c>
      <x:c r="H490" s="79" t="n">
        <x:f>ABS('Counter_PnL'!AV490-('Counter_PnL'!AK490+'Counter_PnL'!AT490))</x:f>
        <x:v>0</x:v>
      </x:c>
      <x:c r="I490" s="79" t="n">
        <x:f>ABS('Counter_PnL'!BE490-SUM('Counter_PnL'!AX490:'Counter_PnL'!BB490,'Counter_PnL'!BD490))</x:f>
        <x:v>0</x:v>
      </x:c>
      <x:c r="J490" s="79" t="n">
        <x:f>ABS('Counter_PnL'!BL490-SUM('Counter_PnL'!AV490,'Counter_PnL'!BE490,'Counter_PnL'!BJ490,'Counter_PnL'!BK490))</x:f>
        <x:v>0</x:v>
      </x:c>
      <x:c r="K490" s="79" t="n">
        <x:f>ABS('Counter_PnL'!BO490-('Counter_PnL'!BL490+'Counter_PnL'!BN490))</x:f>
        <x:v>0</x:v>
      </x:c>
      <x:c r="L490" s="79" t="n">
        <x:f>MAX(ABS('Counter_PnL'!AW490-'Counter_PnL'!AV490/'Counter_PnL'!AK490),ABS('Counter_PnL'!BM490-'Counter_PnL'!BL490/'Counter_PnL'!AK490),ABS('Counter_PnL'!BP490-'Counter_PnL'!BO490/'Counter_PnL'!AK490))</x:f>
        <x:v>0</x:v>
      </x:c>
      <x:c r="M490" s="30" t="n">
        <x:f>IF(AND('Counter_PnL'!Q490&gt;0,'Counter_PnL'!AK490&gt;0,'Counter_PnL'!R490&lt;=0,'Counter_PnL'!T490&lt;=0,'Counter_PnL'!AT490&lt;=0,'Counter_PnL'!BE490&lt;=0,'Counter_PnL'!BJ490&lt;=0,'Counter_PnL'!BK490&lt;=0,'Counter_PnL'!BN490&lt;=0),0,1)</x:f>
        <x:v>0</x:v>
      </x:c>
    </x:row>
    <x:row r="491">
      <x:c r="A491" t="str">
        <x:f>'Counter_PnL'!D491</x:f>
        <x:v>CNCT0123</x:v>
      </x:c>
      <x:c r="B491" t="str">
        <x:f>'Counter_PnL'!C491</x:f>
        <x:v>2025 S2</x:v>
      </x:c>
      <x:c r="C491" s="30" t="n">
        <x:f>COUNTIFS('Counter_PnL'!$D$2:$D$641,A491,'Counter_PnL'!$C$2:$C$641,B491)</x:f>
        <x:v>1</x:v>
      </x:c>
      <x:c r="D491" s="79" t="n">
        <x:f>ABS('Counter_PnL'!AC491-SUM('Counter_PnL'!V491:'Counter_PnL'!AB491))</x:f>
        <x:v>0</x:v>
      </x:c>
      <x:c r="E491" s="79" t="n">
        <x:f>ABS('Counter_PnL'!AI491-SUM('Counter_PnL'!R491,'Counter_PnL'!T491,'Counter_PnL'!AC491,'Counter_PnL'!AE491,'Counter_PnL'!AG491,'Counter_PnL'!AH491))</x:f>
        <x:v>0</x:v>
      </x:c>
      <x:c r="F491" s="79" t="n">
        <x:f>ABS('Counter_PnL'!AK491-('Counter_PnL'!Q491+'Counter_PnL'!AI491))</x:f>
        <x:v>0</x:v>
      </x:c>
      <x:c r="G491" s="79" t="n">
        <x:f>ABS('Counter_PnL'!AT491-SUM('Counter_PnL'!AO491:'Counter_PnL'!AS491))</x:f>
        <x:v>0</x:v>
      </x:c>
      <x:c r="H491" s="79" t="n">
        <x:f>ABS('Counter_PnL'!AV491-('Counter_PnL'!AK491+'Counter_PnL'!AT491))</x:f>
        <x:v>0</x:v>
      </x:c>
      <x:c r="I491" s="79" t="n">
        <x:f>ABS('Counter_PnL'!BE491-SUM('Counter_PnL'!AX491:'Counter_PnL'!BB491,'Counter_PnL'!BD491))</x:f>
        <x:v>0</x:v>
      </x:c>
      <x:c r="J491" s="79" t="n">
        <x:f>ABS('Counter_PnL'!BL491-SUM('Counter_PnL'!AV491,'Counter_PnL'!BE491,'Counter_PnL'!BJ491,'Counter_PnL'!BK491))</x:f>
        <x:v>0</x:v>
      </x:c>
      <x:c r="K491" s="79" t="n">
        <x:f>ABS('Counter_PnL'!BO491-('Counter_PnL'!BL491+'Counter_PnL'!BN491))</x:f>
        <x:v>0</x:v>
      </x:c>
      <x:c r="L491" s="79" t="n">
        <x:f>MAX(ABS('Counter_PnL'!AW491-'Counter_PnL'!AV491/'Counter_PnL'!AK491),ABS('Counter_PnL'!BM491-'Counter_PnL'!BL491/'Counter_PnL'!AK491),ABS('Counter_PnL'!BP491-'Counter_PnL'!BO491/'Counter_PnL'!AK491))</x:f>
        <x:v>0</x:v>
      </x:c>
      <x:c r="M491" s="30" t="n">
        <x:f>IF(AND('Counter_PnL'!Q491&gt;0,'Counter_PnL'!AK491&gt;0,'Counter_PnL'!R491&lt;=0,'Counter_PnL'!T491&lt;=0,'Counter_PnL'!AT491&lt;=0,'Counter_PnL'!BE491&lt;=0,'Counter_PnL'!BJ491&lt;=0,'Counter_PnL'!BK491&lt;=0,'Counter_PnL'!BN491&lt;=0),0,1)</x:f>
        <x:v>0</x:v>
      </x:c>
    </x:row>
    <x:row r="492">
      <x:c r="A492" t="str">
        <x:f>'Counter_PnL'!D492</x:f>
        <x:v>CNCT0123</x:v>
      </x:c>
      <x:c r="B492" t="str">
        <x:f>'Counter_PnL'!C492</x:f>
        <x:v>2026 S1</x:v>
      </x:c>
      <x:c r="C492" s="30" t="n">
        <x:f>COUNTIFS('Counter_PnL'!$D$2:$D$641,A492,'Counter_PnL'!$C$2:$C$641,B492)</x:f>
        <x:v>1</x:v>
      </x:c>
      <x:c r="D492" s="79" t="n">
        <x:f>ABS('Counter_PnL'!AC492-SUM('Counter_PnL'!V492:'Counter_PnL'!AB492))</x:f>
        <x:v>0</x:v>
      </x:c>
      <x:c r="E492" s="79" t="n">
        <x:f>ABS('Counter_PnL'!AI492-SUM('Counter_PnL'!R492,'Counter_PnL'!T492,'Counter_PnL'!AC492,'Counter_PnL'!AE492,'Counter_PnL'!AG492,'Counter_PnL'!AH492))</x:f>
        <x:v>0</x:v>
      </x:c>
      <x:c r="F492" s="79" t="n">
        <x:f>ABS('Counter_PnL'!AK492-('Counter_PnL'!Q492+'Counter_PnL'!AI492))</x:f>
        <x:v>0</x:v>
      </x:c>
      <x:c r="G492" s="79" t="n">
        <x:f>ABS('Counter_PnL'!AT492-SUM('Counter_PnL'!AO492:'Counter_PnL'!AS492))</x:f>
        <x:v>0</x:v>
      </x:c>
      <x:c r="H492" s="79" t="n">
        <x:f>ABS('Counter_PnL'!AV492-('Counter_PnL'!AK492+'Counter_PnL'!AT492))</x:f>
        <x:v>0</x:v>
      </x:c>
      <x:c r="I492" s="79" t="n">
        <x:f>ABS('Counter_PnL'!BE492-SUM('Counter_PnL'!AX492:'Counter_PnL'!BB492,'Counter_PnL'!BD492))</x:f>
        <x:v>0</x:v>
      </x:c>
      <x:c r="J492" s="79" t="n">
        <x:f>ABS('Counter_PnL'!BL492-SUM('Counter_PnL'!AV492,'Counter_PnL'!BE492,'Counter_PnL'!BJ492,'Counter_PnL'!BK492))</x:f>
        <x:v>0</x:v>
      </x:c>
      <x:c r="K492" s="79" t="n">
        <x:f>ABS('Counter_PnL'!BO492-('Counter_PnL'!BL492+'Counter_PnL'!BN492))</x:f>
        <x:v>0</x:v>
      </x:c>
      <x:c r="L492" s="79" t="n">
        <x:f>MAX(ABS('Counter_PnL'!AW492-'Counter_PnL'!AV492/'Counter_PnL'!AK492),ABS('Counter_PnL'!BM492-'Counter_PnL'!BL492/'Counter_PnL'!AK492),ABS('Counter_PnL'!BP492-'Counter_PnL'!BO492/'Counter_PnL'!AK492))</x:f>
        <x:v>0</x:v>
      </x:c>
      <x:c r="M492" s="30" t="n">
        <x:f>IF(AND('Counter_PnL'!Q492&gt;0,'Counter_PnL'!AK492&gt;0,'Counter_PnL'!R492&lt;=0,'Counter_PnL'!T492&lt;=0,'Counter_PnL'!AT492&lt;=0,'Counter_PnL'!BE492&lt;=0,'Counter_PnL'!BJ492&lt;=0,'Counter_PnL'!BK492&lt;=0,'Counter_PnL'!BN492&lt;=0),0,1)</x:f>
        <x:v>0</x:v>
      </x:c>
    </x:row>
    <x:row r="493">
      <x:c r="A493" t="str">
        <x:f>'Counter_PnL'!D493</x:f>
        <x:v>CNCT0123</x:v>
      </x:c>
      <x:c r="B493" t="str">
        <x:f>'Counter_PnL'!C493</x:f>
        <x:v>2026 S2</x:v>
      </x:c>
      <x:c r="C493" s="30" t="n">
        <x:f>COUNTIFS('Counter_PnL'!$D$2:$D$641,A493,'Counter_PnL'!$C$2:$C$641,B493)</x:f>
        <x:v>1</x:v>
      </x:c>
      <x:c r="D493" s="79" t="n">
        <x:f>ABS('Counter_PnL'!AC493-SUM('Counter_PnL'!V493:'Counter_PnL'!AB493))</x:f>
        <x:v>0</x:v>
      </x:c>
      <x:c r="E493" s="79" t="n">
        <x:f>ABS('Counter_PnL'!AI493-SUM('Counter_PnL'!R493,'Counter_PnL'!T493,'Counter_PnL'!AC493,'Counter_PnL'!AE493,'Counter_PnL'!AG493,'Counter_PnL'!AH493))</x:f>
        <x:v>0</x:v>
      </x:c>
      <x:c r="F493" s="79" t="n">
        <x:f>ABS('Counter_PnL'!AK493-('Counter_PnL'!Q493+'Counter_PnL'!AI493))</x:f>
        <x:v>0</x:v>
      </x:c>
      <x:c r="G493" s="79" t="n">
        <x:f>ABS('Counter_PnL'!AT493-SUM('Counter_PnL'!AO493:'Counter_PnL'!AS493))</x:f>
        <x:v>0</x:v>
      </x:c>
      <x:c r="H493" s="79" t="n">
        <x:f>ABS('Counter_PnL'!AV493-('Counter_PnL'!AK493+'Counter_PnL'!AT493))</x:f>
        <x:v>0</x:v>
      </x:c>
      <x:c r="I493" s="79" t="n">
        <x:f>ABS('Counter_PnL'!BE493-SUM('Counter_PnL'!AX493:'Counter_PnL'!BB493,'Counter_PnL'!BD493))</x:f>
        <x:v>0</x:v>
      </x:c>
      <x:c r="J493" s="79" t="n">
        <x:f>ABS('Counter_PnL'!BL493-SUM('Counter_PnL'!AV493,'Counter_PnL'!BE493,'Counter_PnL'!BJ493,'Counter_PnL'!BK493))</x:f>
        <x:v>0</x:v>
      </x:c>
      <x:c r="K493" s="79" t="n">
        <x:f>ABS('Counter_PnL'!BO493-('Counter_PnL'!BL493+'Counter_PnL'!BN493))</x:f>
        <x:v>0</x:v>
      </x:c>
      <x:c r="L493" s="79" t="n">
        <x:f>MAX(ABS('Counter_PnL'!AW493-'Counter_PnL'!AV493/'Counter_PnL'!AK493),ABS('Counter_PnL'!BM493-'Counter_PnL'!BL493/'Counter_PnL'!AK493),ABS('Counter_PnL'!BP493-'Counter_PnL'!BO493/'Counter_PnL'!AK493))</x:f>
        <x:v>0</x:v>
      </x:c>
      <x:c r="M493" s="30" t="n">
        <x:f>IF(AND('Counter_PnL'!Q493&gt;0,'Counter_PnL'!AK493&gt;0,'Counter_PnL'!R493&lt;=0,'Counter_PnL'!T493&lt;=0,'Counter_PnL'!AT493&lt;=0,'Counter_PnL'!BE493&lt;=0,'Counter_PnL'!BJ493&lt;=0,'Counter_PnL'!BK493&lt;=0,'Counter_PnL'!BN493&lt;=0),0,1)</x:f>
        <x:v>0</x:v>
      </x:c>
    </x:row>
    <x:row r="494">
      <x:c r="A494" t="str">
        <x:f>'Counter_PnL'!D494</x:f>
        <x:v>CNCT0124</x:v>
      </x:c>
      <x:c r="B494" t="str">
        <x:f>'Counter_PnL'!C494</x:f>
        <x:v>2025 S1</x:v>
      </x:c>
      <x:c r="C494" s="30" t="n">
        <x:f>COUNTIFS('Counter_PnL'!$D$2:$D$641,A494,'Counter_PnL'!$C$2:$C$641,B494)</x:f>
        <x:v>1</x:v>
      </x:c>
      <x:c r="D494" s="79" t="n">
        <x:f>ABS('Counter_PnL'!AC494-SUM('Counter_PnL'!V494:'Counter_PnL'!AB494))</x:f>
        <x:v>0</x:v>
      </x:c>
      <x:c r="E494" s="79" t="n">
        <x:f>ABS('Counter_PnL'!AI494-SUM('Counter_PnL'!R494,'Counter_PnL'!T494,'Counter_PnL'!AC494,'Counter_PnL'!AE494,'Counter_PnL'!AG494,'Counter_PnL'!AH494))</x:f>
        <x:v>0</x:v>
      </x:c>
      <x:c r="F494" s="79" t="n">
        <x:f>ABS('Counter_PnL'!AK494-('Counter_PnL'!Q494+'Counter_PnL'!AI494))</x:f>
        <x:v>0</x:v>
      </x:c>
      <x:c r="G494" s="79" t="n">
        <x:f>ABS('Counter_PnL'!AT494-SUM('Counter_PnL'!AO494:'Counter_PnL'!AS494))</x:f>
        <x:v>0</x:v>
      </x:c>
      <x:c r="H494" s="79" t="n">
        <x:f>ABS('Counter_PnL'!AV494-('Counter_PnL'!AK494+'Counter_PnL'!AT494))</x:f>
        <x:v>0</x:v>
      </x:c>
      <x:c r="I494" s="79" t="n">
        <x:f>ABS('Counter_PnL'!BE494-SUM('Counter_PnL'!AX494:'Counter_PnL'!BB494,'Counter_PnL'!BD494))</x:f>
        <x:v>0</x:v>
      </x:c>
      <x:c r="J494" s="79" t="n">
        <x:f>ABS('Counter_PnL'!BL494-SUM('Counter_PnL'!AV494,'Counter_PnL'!BE494,'Counter_PnL'!BJ494,'Counter_PnL'!BK494))</x:f>
        <x:v>0</x:v>
      </x:c>
      <x:c r="K494" s="79" t="n">
        <x:f>ABS('Counter_PnL'!BO494-('Counter_PnL'!BL494+'Counter_PnL'!BN494))</x:f>
        <x:v>0</x:v>
      </x:c>
      <x:c r="L494" s="79" t="n">
        <x:f>MAX(ABS('Counter_PnL'!AW494-'Counter_PnL'!AV494/'Counter_PnL'!AK494),ABS('Counter_PnL'!BM494-'Counter_PnL'!BL494/'Counter_PnL'!AK494),ABS('Counter_PnL'!BP494-'Counter_PnL'!BO494/'Counter_PnL'!AK494))</x:f>
        <x:v>0</x:v>
      </x:c>
      <x:c r="M494" s="30" t="n">
        <x:f>IF(AND('Counter_PnL'!Q494&gt;0,'Counter_PnL'!AK494&gt;0,'Counter_PnL'!R494&lt;=0,'Counter_PnL'!T494&lt;=0,'Counter_PnL'!AT494&lt;=0,'Counter_PnL'!BE494&lt;=0,'Counter_PnL'!BJ494&lt;=0,'Counter_PnL'!BK494&lt;=0,'Counter_PnL'!BN494&lt;=0),0,1)</x:f>
        <x:v>0</x:v>
      </x:c>
    </x:row>
    <x:row r="495">
      <x:c r="A495" t="str">
        <x:f>'Counter_PnL'!D495</x:f>
        <x:v>CNCT0124</x:v>
      </x:c>
      <x:c r="B495" t="str">
        <x:f>'Counter_PnL'!C495</x:f>
        <x:v>2025 S2</x:v>
      </x:c>
      <x:c r="C495" s="30" t="n">
        <x:f>COUNTIFS('Counter_PnL'!$D$2:$D$641,A495,'Counter_PnL'!$C$2:$C$641,B495)</x:f>
        <x:v>1</x:v>
      </x:c>
      <x:c r="D495" s="79" t="n">
        <x:f>ABS('Counter_PnL'!AC495-SUM('Counter_PnL'!V495:'Counter_PnL'!AB495))</x:f>
        <x:v>0</x:v>
      </x:c>
      <x:c r="E495" s="79" t="n">
        <x:f>ABS('Counter_PnL'!AI495-SUM('Counter_PnL'!R495,'Counter_PnL'!T495,'Counter_PnL'!AC495,'Counter_PnL'!AE495,'Counter_PnL'!AG495,'Counter_PnL'!AH495))</x:f>
        <x:v>0</x:v>
      </x:c>
      <x:c r="F495" s="79" t="n">
        <x:f>ABS('Counter_PnL'!AK495-('Counter_PnL'!Q495+'Counter_PnL'!AI495))</x:f>
        <x:v>0</x:v>
      </x:c>
      <x:c r="G495" s="79" t="n">
        <x:f>ABS('Counter_PnL'!AT495-SUM('Counter_PnL'!AO495:'Counter_PnL'!AS495))</x:f>
        <x:v>0</x:v>
      </x:c>
      <x:c r="H495" s="79" t="n">
        <x:f>ABS('Counter_PnL'!AV495-('Counter_PnL'!AK495+'Counter_PnL'!AT495))</x:f>
        <x:v>0</x:v>
      </x:c>
      <x:c r="I495" s="79" t="n">
        <x:f>ABS('Counter_PnL'!BE495-SUM('Counter_PnL'!AX495:'Counter_PnL'!BB495,'Counter_PnL'!BD495))</x:f>
        <x:v>0</x:v>
      </x:c>
      <x:c r="J495" s="79" t="n">
        <x:f>ABS('Counter_PnL'!BL495-SUM('Counter_PnL'!AV495,'Counter_PnL'!BE495,'Counter_PnL'!BJ495,'Counter_PnL'!BK495))</x:f>
        <x:v>0</x:v>
      </x:c>
      <x:c r="K495" s="79" t="n">
        <x:f>ABS('Counter_PnL'!BO495-('Counter_PnL'!BL495+'Counter_PnL'!BN495))</x:f>
        <x:v>0</x:v>
      </x:c>
      <x:c r="L495" s="79" t="n">
        <x:f>MAX(ABS('Counter_PnL'!AW495-'Counter_PnL'!AV495/'Counter_PnL'!AK495),ABS('Counter_PnL'!BM495-'Counter_PnL'!BL495/'Counter_PnL'!AK495),ABS('Counter_PnL'!BP495-'Counter_PnL'!BO495/'Counter_PnL'!AK495))</x:f>
        <x:v>0</x:v>
      </x:c>
      <x:c r="M495" s="30" t="n">
        <x:f>IF(AND('Counter_PnL'!Q495&gt;0,'Counter_PnL'!AK495&gt;0,'Counter_PnL'!R495&lt;=0,'Counter_PnL'!T495&lt;=0,'Counter_PnL'!AT495&lt;=0,'Counter_PnL'!BE495&lt;=0,'Counter_PnL'!BJ495&lt;=0,'Counter_PnL'!BK495&lt;=0,'Counter_PnL'!BN495&lt;=0),0,1)</x:f>
        <x:v>0</x:v>
      </x:c>
    </x:row>
    <x:row r="496">
      <x:c r="A496" t="str">
        <x:f>'Counter_PnL'!D496</x:f>
        <x:v>CNCT0124</x:v>
      </x:c>
      <x:c r="B496" t="str">
        <x:f>'Counter_PnL'!C496</x:f>
        <x:v>2026 S1</x:v>
      </x:c>
      <x:c r="C496" s="30" t="n">
        <x:f>COUNTIFS('Counter_PnL'!$D$2:$D$641,A496,'Counter_PnL'!$C$2:$C$641,B496)</x:f>
        <x:v>1</x:v>
      </x:c>
      <x:c r="D496" s="79" t="n">
        <x:f>ABS('Counter_PnL'!AC496-SUM('Counter_PnL'!V496:'Counter_PnL'!AB496))</x:f>
        <x:v>0</x:v>
      </x:c>
      <x:c r="E496" s="79" t="n">
        <x:f>ABS('Counter_PnL'!AI496-SUM('Counter_PnL'!R496,'Counter_PnL'!T496,'Counter_PnL'!AC496,'Counter_PnL'!AE496,'Counter_PnL'!AG496,'Counter_PnL'!AH496))</x:f>
        <x:v>0</x:v>
      </x:c>
      <x:c r="F496" s="79" t="n">
        <x:f>ABS('Counter_PnL'!AK496-('Counter_PnL'!Q496+'Counter_PnL'!AI496))</x:f>
        <x:v>0</x:v>
      </x:c>
      <x:c r="G496" s="79" t="n">
        <x:f>ABS('Counter_PnL'!AT496-SUM('Counter_PnL'!AO496:'Counter_PnL'!AS496))</x:f>
        <x:v>0</x:v>
      </x:c>
      <x:c r="H496" s="79" t="n">
        <x:f>ABS('Counter_PnL'!AV496-('Counter_PnL'!AK496+'Counter_PnL'!AT496))</x:f>
        <x:v>0</x:v>
      </x:c>
      <x:c r="I496" s="79" t="n">
        <x:f>ABS('Counter_PnL'!BE496-SUM('Counter_PnL'!AX496:'Counter_PnL'!BB496,'Counter_PnL'!BD496))</x:f>
        <x:v>0</x:v>
      </x:c>
      <x:c r="J496" s="79" t="n">
        <x:f>ABS('Counter_PnL'!BL496-SUM('Counter_PnL'!AV496,'Counter_PnL'!BE496,'Counter_PnL'!BJ496,'Counter_PnL'!BK496))</x:f>
        <x:v>0</x:v>
      </x:c>
      <x:c r="K496" s="79" t="n">
        <x:f>ABS('Counter_PnL'!BO496-('Counter_PnL'!BL496+'Counter_PnL'!BN496))</x:f>
        <x:v>0</x:v>
      </x:c>
      <x:c r="L496" s="79" t="n">
        <x:f>MAX(ABS('Counter_PnL'!AW496-'Counter_PnL'!AV496/'Counter_PnL'!AK496),ABS('Counter_PnL'!BM496-'Counter_PnL'!BL496/'Counter_PnL'!AK496),ABS('Counter_PnL'!BP496-'Counter_PnL'!BO496/'Counter_PnL'!AK496))</x:f>
        <x:v>0</x:v>
      </x:c>
      <x:c r="M496" s="30" t="n">
        <x:f>IF(AND('Counter_PnL'!Q496&gt;0,'Counter_PnL'!AK496&gt;0,'Counter_PnL'!R496&lt;=0,'Counter_PnL'!T496&lt;=0,'Counter_PnL'!AT496&lt;=0,'Counter_PnL'!BE496&lt;=0,'Counter_PnL'!BJ496&lt;=0,'Counter_PnL'!BK496&lt;=0,'Counter_PnL'!BN496&lt;=0),0,1)</x:f>
        <x:v>0</x:v>
      </x:c>
    </x:row>
    <x:row r="497">
      <x:c r="A497" t="str">
        <x:f>'Counter_PnL'!D497</x:f>
        <x:v>CNCT0124</x:v>
      </x:c>
      <x:c r="B497" t="str">
        <x:f>'Counter_PnL'!C497</x:f>
        <x:v>2026 S2</x:v>
      </x:c>
      <x:c r="C497" s="30" t="n">
        <x:f>COUNTIFS('Counter_PnL'!$D$2:$D$641,A497,'Counter_PnL'!$C$2:$C$641,B497)</x:f>
        <x:v>1</x:v>
      </x:c>
      <x:c r="D497" s="79" t="n">
        <x:f>ABS('Counter_PnL'!AC497-SUM('Counter_PnL'!V497:'Counter_PnL'!AB497))</x:f>
        <x:v>0</x:v>
      </x:c>
      <x:c r="E497" s="79" t="n">
        <x:f>ABS('Counter_PnL'!AI497-SUM('Counter_PnL'!R497,'Counter_PnL'!T497,'Counter_PnL'!AC497,'Counter_PnL'!AE497,'Counter_PnL'!AG497,'Counter_PnL'!AH497))</x:f>
        <x:v>0</x:v>
      </x:c>
      <x:c r="F497" s="79" t="n">
        <x:f>ABS('Counter_PnL'!AK497-('Counter_PnL'!Q497+'Counter_PnL'!AI497))</x:f>
        <x:v>0</x:v>
      </x:c>
      <x:c r="G497" s="79" t="n">
        <x:f>ABS('Counter_PnL'!AT497-SUM('Counter_PnL'!AO497:'Counter_PnL'!AS497))</x:f>
        <x:v>0</x:v>
      </x:c>
      <x:c r="H497" s="79" t="n">
        <x:f>ABS('Counter_PnL'!AV497-('Counter_PnL'!AK497+'Counter_PnL'!AT497))</x:f>
        <x:v>0</x:v>
      </x:c>
      <x:c r="I497" s="79" t="n">
        <x:f>ABS('Counter_PnL'!BE497-SUM('Counter_PnL'!AX497:'Counter_PnL'!BB497,'Counter_PnL'!BD497))</x:f>
        <x:v>0</x:v>
      </x:c>
      <x:c r="J497" s="79" t="n">
        <x:f>ABS('Counter_PnL'!BL497-SUM('Counter_PnL'!AV497,'Counter_PnL'!BE497,'Counter_PnL'!BJ497,'Counter_PnL'!BK497))</x:f>
        <x:v>0</x:v>
      </x:c>
      <x:c r="K497" s="79" t="n">
        <x:f>ABS('Counter_PnL'!BO497-('Counter_PnL'!BL497+'Counter_PnL'!BN497))</x:f>
        <x:v>0</x:v>
      </x:c>
      <x:c r="L497" s="79" t="n">
        <x:f>MAX(ABS('Counter_PnL'!AW497-'Counter_PnL'!AV497/'Counter_PnL'!AK497),ABS('Counter_PnL'!BM497-'Counter_PnL'!BL497/'Counter_PnL'!AK497),ABS('Counter_PnL'!BP497-'Counter_PnL'!BO497/'Counter_PnL'!AK497))</x:f>
        <x:v>0</x:v>
      </x:c>
      <x:c r="M497" s="30" t="n">
        <x:f>IF(AND('Counter_PnL'!Q497&gt;0,'Counter_PnL'!AK497&gt;0,'Counter_PnL'!R497&lt;=0,'Counter_PnL'!T497&lt;=0,'Counter_PnL'!AT497&lt;=0,'Counter_PnL'!BE497&lt;=0,'Counter_PnL'!BJ497&lt;=0,'Counter_PnL'!BK497&lt;=0,'Counter_PnL'!BN497&lt;=0),0,1)</x:f>
        <x:v>0</x:v>
      </x:c>
    </x:row>
    <x:row r="498">
      <x:c r="A498" t="str">
        <x:f>'Counter_PnL'!D498</x:f>
        <x:v>CNCT0125</x:v>
      </x:c>
      <x:c r="B498" t="str">
        <x:f>'Counter_PnL'!C498</x:f>
        <x:v>2025 S1</x:v>
      </x:c>
      <x:c r="C498" s="30" t="n">
        <x:f>COUNTIFS('Counter_PnL'!$D$2:$D$641,A498,'Counter_PnL'!$C$2:$C$641,B498)</x:f>
        <x:v>1</x:v>
      </x:c>
      <x:c r="D498" s="79" t="n">
        <x:f>ABS('Counter_PnL'!AC498-SUM('Counter_PnL'!V498:'Counter_PnL'!AB498))</x:f>
        <x:v>0</x:v>
      </x:c>
      <x:c r="E498" s="79" t="n">
        <x:f>ABS('Counter_PnL'!AI498-SUM('Counter_PnL'!R498,'Counter_PnL'!T498,'Counter_PnL'!AC498,'Counter_PnL'!AE498,'Counter_PnL'!AG498,'Counter_PnL'!AH498))</x:f>
        <x:v>0</x:v>
      </x:c>
      <x:c r="F498" s="79" t="n">
        <x:f>ABS('Counter_PnL'!AK498-('Counter_PnL'!Q498+'Counter_PnL'!AI498))</x:f>
        <x:v>0</x:v>
      </x:c>
      <x:c r="G498" s="79" t="n">
        <x:f>ABS('Counter_PnL'!AT498-SUM('Counter_PnL'!AO498:'Counter_PnL'!AS498))</x:f>
        <x:v>0</x:v>
      </x:c>
      <x:c r="H498" s="79" t="n">
        <x:f>ABS('Counter_PnL'!AV498-('Counter_PnL'!AK498+'Counter_PnL'!AT498))</x:f>
        <x:v>0</x:v>
      </x:c>
      <x:c r="I498" s="79" t="n">
        <x:f>ABS('Counter_PnL'!BE498-SUM('Counter_PnL'!AX498:'Counter_PnL'!BB498,'Counter_PnL'!BD498))</x:f>
        <x:v>0</x:v>
      </x:c>
      <x:c r="J498" s="79" t="n">
        <x:f>ABS('Counter_PnL'!BL498-SUM('Counter_PnL'!AV498,'Counter_PnL'!BE498,'Counter_PnL'!BJ498,'Counter_PnL'!BK498))</x:f>
        <x:v>0</x:v>
      </x:c>
      <x:c r="K498" s="79" t="n">
        <x:f>ABS('Counter_PnL'!BO498-('Counter_PnL'!BL498+'Counter_PnL'!BN498))</x:f>
        <x:v>0</x:v>
      </x:c>
      <x:c r="L498" s="79" t="n">
        <x:f>MAX(ABS('Counter_PnL'!AW498-'Counter_PnL'!AV498/'Counter_PnL'!AK498),ABS('Counter_PnL'!BM498-'Counter_PnL'!BL498/'Counter_PnL'!AK498),ABS('Counter_PnL'!BP498-'Counter_PnL'!BO498/'Counter_PnL'!AK498))</x:f>
        <x:v>0</x:v>
      </x:c>
      <x:c r="M498" s="30" t="n">
        <x:f>IF(AND('Counter_PnL'!Q498&gt;0,'Counter_PnL'!AK498&gt;0,'Counter_PnL'!R498&lt;=0,'Counter_PnL'!T498&lt;=0,'Counter_PnL'!AT498&lt;=0,'Counter_PnL'!BE498&lt;=0,'Counter_PnL'!BJ498&lt;=0,'Counter_PnL'!BK498&lt;=0,'Counter_PnL'!BN498&lt;=0),0,1)</x:f>
        <x:v>0</x:v>
      </x:c>
    </x:row>
    <x:row r="499">
      <x:c r="A499" t="str">
        <x:f>'Counter_PnL'!D499</x:f>
        <x:v>CNCT0125</x:v>
      </x:c>
      <x:c r="B499" t="str">
        <x:f>'Counter_PnL'!C499</x:f>
        <x:v>2025 S2</x:v>
      </x:c>
      <x:c r="C499" s="30" t="n">
        <x:f>COUNTIFS('Counter_PnL'!$D$2:$D$641,A499,'Counter_PnL'!$C$2:$C$641,B499)</x:f>
        <x:v>1</x:v>
      </x:c>
      <x:c r="D499" s="79" t="n">
        <x:f>ABS('Counter_PnL'!AC499-SUM('Counter_PnL'!V499:'Counter_PnL'!AB499))</x:f>
        <x:v>0</x:v>
      </x:c>
      <x:c r="E499" s="79" t="n">
        <x:f>ABS('Counter_PnL'!AI499-SUM('Counter_PnL'!R499,'Counter_PnL'!T499,'Counter_PnL'!AC499,'Counter_PnL'!AE499,'Counter_PnL'!AG499,'Counter_PnL'!AH499))</x:f>
        <x:v>0</x:v>
      </x:c>
      <x:c r="F499" s="79" t="n">
        <x:f>ABS('Counter_PnL'!AK499-('Counter_PnL'!Q499+'Counter_PnL'!AI499))</x:f>
        <x:v>0</x:v>
      </x:c>
      <x:c r="G499" s="79" t="n">
        <x:f>ABS('Counter_PnL'!AT499-SUM('Counter_PnL'!AO499:'Counter_PnL'!AS499))</x:f>
        <x:v>0</x:v>
      </x:c>
      <x:c r="H499" s="79" t="n">
        <x:f>ABS('Counter_PnL'!AV499-('Counter_PnL'!AK499+'Counter_PnL'!AT499))</x:f>
        <x:v>0</x:v>
      </x:c>
      <x:c r="I499" s="79" t="n">
        <x:f>ABS('Counter_PnL'!BE499-SUM('Counter_PnL'!AX499:'Counter_PnL'!BB499,'Counter_PnL'!BD499))</x:f>
        <x:v>0</x:v>
      </x:c>
      <x:c r="J499" s="79" t="n">
        <x:f>ABS('Counter_PnL'!BL499-SUM('Counter_PnL'!AV499,'Counter_PnL'!BE499,'Counter_PnL'!BJ499,'Counter_PnL'!BK499))</x:f>
        <x:v>0</x:v>
      </x:c>
      <x:c r="K499" s="79" t="n">
        <x:f>ABS('Counter_PnL'!BO499-('Counter_PnL'!BL499+'Counter_PnL'!BN499))</x:f>
        <x:v>0</x:v>
      </x:c>
      <x:c r="L499" s="79" t="n">
        <x:f>MAX(ABS('Counter_PnL'!AW499-'Counter_PnL'!AV499/'Counter_PnL'!AK499),ABS('Counter_PnL'!BM499-'Counter_PnL'!BL499/'Counter_PnL'!AK499),ABS('Counter_PnL'!BP499-'Counter_PnL'!BO499/'Counter_PnL'!AK499))</x:f>
        <x:v>0</x:v>
      </x:c>
      <x:c r="M499" s="30" t="n">
        <x:f>IF(AND('Counter_PnL'!Q499&gt;0,'Counter_PnL'!AK499&gt;0,'Counter_PnL'!R499&lt;=0,'Counter_PnL'!T499&lt;=0,'Counter_PnL'!AT499&lt;=0,'Counter_PnL'!BE499&lt;=0,'Counter_PnL'!BJ499&lt;=0,'Counter_PnL'!BK499&lt;=0,'Counter_PnL'!BN499&lt;=0),0,1)</x:f>
        <x:v>0</x:v>
      </x:c>
    </x:row>
    <x:row r="500">
      <x:c r="A500" t="str">
        <x:f>'Counter_PnL'!D500</x:f>
        <x:v>CNCT0125</x:v>
      </x:c>
      <x:c r="B500" t="str">
        <x:f>'Counter_PnL'!C500</x:f>
        <x:v>2026 S1</x:v>
      </x:c>
      <x:c r="C500" s="30" t="n">
        <x:f>COUNTIFS('Counter_PnL'!$D$2:$D$641,A500,'Counter_PnL'!$C$2:$C$641,B500)</x:f>
        <x:v>1</x:v>
      </x:c>
      <x:c r="D500" s="79" t="n">
        <x:f>ABS('Counter_PnL'!AC500-SUM('Counter_PnL'!V500:'Counter_PnL'!AB500))</x:f>
        <x:v>0</x:v>
      </x:c>
      <x:c r="E500" s="79" t="n">
        <x:f>ABS('Counter_PnL'!AI500-SUM('Counter_PnL'!R500,'Counter_PnL'!T500,'Counter_PnL'!AC500,'Counter_PnL'!AE500,'Counter_PnL'!AG500,'Counter_PnL'!AH500))</x:f>
        <x:v>0</x:v>
      </x:c>
      <x:c r="F500" s="79" t="n">
        <x:f>ABS('Counter_PnL'!AK500-('Counter_PnL'!Q500+'Counter_PnL'!AI500))</x:f>
        <x:v>0</x:v>
      </x:c>
      <x:c r="G500" s="79" t="n">
        <x:f>ABS('Counter_PnL'!AT500-SUM('Counter_PnL'!AO500:'Counter_PnL'!AS500))</x:f>
        <x:v>0</x:v>
      </x:c>
      <x:c r="H500" s="79" t="n">
        <x:f>ABS('Counter_PnL'!AV500-('Counter_PnL'!AK500+'Counter_PnL'!AT500))</x:f>
        <x:v>0</x:v>
      </x:c>
      <x:c r="I500" s="79" t="n">
        <x:f>ABS('Counter_PnL'!BE500-SUM('Counter_PnL'!AX500:'Counter_PnL'!BB500,'Counter_PnL'!BD500))</x:f>
        <x:v>0</x:v>
      </x:c>
      <x:c r="J500" s="79" t="n">
        <x:f>ABS('Counter_PnL'!BL500-SUM('Counter_PnL'!AV500,'Counter_PnL'!BE500,'Counter_PnL'!BJ500,'Counter_PnL'!BK500))</x:f>
        <x:v>0</x:v>
      </x:c>
      <x:c r="K500" s="79" t="n">
        <x:f>ABS('Counter_PnL'!BO500-('Counter_PnL'!BL500+'Counter_PnL'!BN500))</x:f>
        <x:v>0</x:v>
      </x:c>
      <x:c r="L500" s="79" t="n">
        <x:f>MAX(ABS('Counter_PnL'!AW500-'Counter_PnL'!AV500/'Counter_PnL'!AK500),ABS('Counter_PnL'!BM500-'Counter_PnL'!BL500/'Counter_PnL'!AK500),ABS('Counter_PnL'!BP500-'Counter_PnL'!BO500/'Counter_PnL'!AK500))</x:f>
        <x:v>0</x:v>
      </x:c>
      <x:c r="M500" s="30" t="n">
        <x:f>IF(AND('Counter_PnL'!Q500&gt;0,'Counter_PnL'!AK500&gt;0,'Counter_PnL'!R500&lt;=0,'Counter_PnL'!T500&lt;=0,'Counter_PnL'!AT500&lt;=0,'Counter_PnL'!BE500&lt;=0,'Counter_PnL'!BJ500&lt;=0,'Counter_PnL'!BK500&lt;=0,'Counter_PnL'!BN500&lt;=0),0,1)</x:f>
        <x:v>0</x:v>
      </x:c>
    </x:row>
    <x:row r="501">
      <x:c r="A501" t="str">
        <x:f>'Counter_PnL'!D501</x:f>
        <x:v>CNCT0125</x:v>
      </x:c>
      <x:c r="B501" t="str">
        <x:f>'Counter_PnL'!C501</x:f>
        <x:v>2026 S2</x:v>
      </x:c>
      <x:c r="C501" s="30" t="n">
        <x:f>COUNTIFS('Counter_PnL'!$D$2:$D$641,A501,'Counter_PnL'!$C$2:$C$641,B501)</x:f>
        <x:v>1</x:v>
      </x:c>
      <x:c r="D501" s="79" t="n">
        <x:f>ABS('Counter_PnL'!AC501-SUM('Counter_PnL'!V501:'Counter_PnL'!AB501))</x:f>
        <x:v>0</x:v>
      </x:c>
      <x:c r="E501" s="79" t="n">
        <x:f>ABS('Counter_PnL'!AI501-SUM('Counter_PnL'!R501,'Counter_PnL'!T501,'Counter_PnL'!AC501,'Counter_PnL'!AE501,'Counter_PnL'!AG501,'Counter_PnL'!AH501))</x:f>
        <x:v>0</x:v>
      </x:c>
      <x:c r="F501" s="79" t="n">
        <x:f>ABS('Counter_PnL'!AK501-('Counter_PnL'!Q501+'Counter_PnL'!AI501))</x:f>
        <x:v>0</x:v>
      </x:c>
      <x:c r="G501" s="79" t="n">
        <x:f>ABS('Counter_PnL'!AT501-SUM('Counter_PnL'!AO501:'Counter_PnL'!AS501))</x:f>
        <x:v>0</x:v>
      </x:c>
      <x:c r="H501" s="79" t="n">
        <x:f>ABS('Counter_PnL'!AV501-('Counter_PnL'!AK501+'Counter_PnL'!AT501))</x:f>
        <x:v>0</x:v>
      </x:c>
      <x:c r="I501" s="79" t="n">
        <x:f>ABS('Counter_PnL'!BE501-SUM('Counter_PnL'!AX501:'Counter_PnL'!BB501,'Counter_PnL'!BD501))</x:f>
        <x:v>0</x:v>
      </x:c>
      <x:c r="J501" s="79" t="n">
        <x:f>ABS('Counter_PnL'!BL501-SUM('Counter_PnL'!AV501,'Counter_PnL'!BE501,'Counter_PnL'!BJ501,'Counter_PnL'!BK501))</x:f>
        <x:v>0</x:v>
      </x:c>
      <x:c r="K501" s="79" t="n">
        <x:f>ABS('Counter_PnL'!BO501-('Counter_PnL'!BL501+'Counter_PnL'!BN501))</x:f>
        <x:v>0</x:v>
      </x:c>
      <x:c r="L501" s="79" t="n">
        <x:f>MAX(ABS('Counter_PnL'!AW501-'Counter_PnL'!AV501/'Counter_PnL'!AK501),ABS('Counter_PnL'!BM501-'Counter_PnL'!BL501/'Counter_PnL'!AK501),ABS('Counter_PnL'!BP501-'Counter_PnL'!BO501/'Counter_PnL'!AK501))</x:f>
        <x:v>0</x:v>
      </x:c>
      <x:c r="M501" s="30" t="n">
        <x:f>IF(AND('Counter_PnL'!Q501&gt;0,'Counter_PnL'!AK501&gt;0,'Counter_PnL'!R501&lt;=0,'Counter_PnL'!T501&lt;=0,'Counter_PnL'!AT501&lt;=0,'Counter_PnL'!BE501&lt;=0,'Counter_PnL'!BJ501&lt;=0,'Counter_PnL'!BK501&lt;=0,'Counter_PnL'!BN501&lt;=0),0,1)</x:f>
        <x:v>0</x:v>
      </x:c>
    </x:row>
    <x:row r="502">
      <x:c r="A502" t="str">
        <x:f>'Counter_PnL'!D502</x:f>
        <x:v>CNCT0126</x:v>
      </x:c>
      <x:c r="B502" t="str">
        <x:f>'Counter_PnL'!C502</x:f>
        <x:v>2025 S1</x:v>
      </x:c>
      <x:c r="C502" s="30" t="n">
        <x:f>COUNTIFS('Counter_PnL'!$D$2:$D$641,A502,'Counter_PnL'!$C$2:$C$641,B502)</x:f>
        <x:v>1</x:v>
      </x:c>
      <x:c r="D502" s="79" t="n">
        <x:f>ABS('Counter_PnL'!AC502-SUM('Counter_PnL'!V502:'Counter_PnL'!AB502))</x:f>
        <x:v>0</x:v>
      </x:c>
      <x:c r="E502" s="79" t="n">
        <x:f>ABS('Counter_PnL'!AI502-SUM('Counter_PnL'!R502,'Counter_PnL'!T502,'Counter_PnL'!AC502,'Counter_PnL'!AE502,'Counter_PnL'!AG502,'Counter_PnL'!AH502))</x:f>
        <x:v>0</x:v>
      </x:c>
      <x:c r="F502" s="79" t="n">
        <x:f>ABS('Counter_PnL'!AK502-('Counter_PnL'!Q502+'Counter_PnL'!AI502))</x:f>
        <x:v>0</x:v>
      </x:c>
      <x:c r="G502" s="79" t="n">
        <x:f>ABS('Counter_PnL'!AT502-SUM('Counter_PnL'!AO502:'Counter_PnL'!AS502))</x:f>
        <x:v>0</x:v>
      </x:c>
      <x:c r="H502" s="79" t="n">
        <x:f>ABS('Counter_PnL'!AV502-('Counter_PnL'!AK502+'Counter_PnL'!AT502))</x:f>
        <x:v>0</x:v>
      </x:c>
      <x:c r="I502" s="79" t="n">
        <x:f>ABS('Counter_PnL'!BE502-SUM('Counter_PnL'!AX502:'Counter_PnL'!BB502,'Counter_PnL'!BD502))</x:f>
        <x:v>0</x:v>
      </x:c>
      <x:c r="J502" s="79" t="n">
        <x:f>ABS('Counter_PnL'!BL502-SUM('Counter_PnL'!AV502,'Counter_PnL'!BE502,'Counter_PnL'!BJ502,'Counter_PnL'!BK502))</x:f>
        <x:v>0</x:v>
      </x:c>
      <x:c r="K502" s="79" t="n">
        <x:f>ABS('Counter_PnL'!BO502-('Counter_PnL'!BL502+'Counter_PnL'!BN502))</x:f>
        <x:v>0</x:v>
      </x:c>
      <x:c r="L502" s="79" t="n">
        <x:f>MAX(ABS('Counter_PnL'!AW502-'Counter_PnL'!AV502/'Counter_PnL'!AK502),ABS('Counter_PnL'!BM502-'Counter_PnL'!BL502/'Counter_PnL'!AK502),ABS('Counter_PnL'!BP502-'Counter_PnL'!BO502/'Counter_PnL'!AK502))</x:f>
        <x:v>0</x:v>
      </x:c>
      <x:c r="M502" s="30" t="n">
        <x:f>IF(AND('Counter_PnL'!Q502&gt;0,'Counter_PnL'!AK502&gt;0,'Counter_PnL'!R502&lt;=0,'Counter_PnL'!T502&lt;=0,'Counter_PnL'!AT502&lt;=0,'Counter_PnL'!BE502&lt;=0,'Counter_PnL'!BJ502&lt;=0,'Counter_PnL'!BK502&lt;=0,'Counter_PnL'!BN502&lt;=0),0,1)</x:f>
        <x:v>0</x:v>
      </x:c>
    </x:row>
    <x:row r="503">
      <x:c r="A503" t="str">
        <x:f>'Counter_PnL'!D503</x:f>
        <x:v>CNCT0126</x:v>
      </x:c>
      <x:c r="B503" t="str">
        <x:f>'Counter_PnL'!C503</x:f>
        <x:v>2025 S2</x:v>
      </x:c>
      <x:c r="C503" s="30" t="n">
        <x:f>COUNTIFS('Counter_PnL'!$D$2:$D$641,A503,'Counter_PnL'!$C$2:$C$641,B503)</x:f>
        <x:v>1</x:v>
      </x:c>
      <x:c r="D503" s="79" t="n">
        <x:f>ABS('Counter_PnL'!AC503-SUM('Counter_PnL'!V503:'Counter_PnL'!AB503))</x:f>
        <x:v>0</x:v>
      </x:c>
      <x:c r="E503" s="79" t="n">
        <x:f>ABS('Counter_PnL'!AI503-SUM('Counter_PnL'!R503,'Counter_PnL'!T503,'Counter_PnL'!AC503,'Counter_PnL'!AE503,'Counter_PnL'!AG503,'Counter_PnL'!AH503))</x:f>
        <x:v>0</x:v>
      </x:c>
      <x:c r="F503" s="79" t="n">
        <x:f>ABS('Counter_PnL'!AK503-('Counter_PnL'!Q503+'Counter_PnL'!AI503))</x:f>
        <x:v>0</x:v>
      </x:c>
      <x:c r="G503" s="79" t="n">
        <x:f>ABS('Counter_PnL'!AT503-SUM('Counter_PnL'!AO503:'Counter_PnL'!AS503))</x:f>
        <x:v>0</x:v>
      </x:c>
      <x:c r="H503" s="79" t="n">
        <x:f>ABS('Counter_PnL'!AV503-('Counter_PnL'!AK503+'Counter_PnL'!AT503))</x:f>
        <x:v>0</x:v>
      </x:c>
      <x:c r="I503" s="79" t="n">
        <x:f>ABS('Counter_PnL'!BE503-SUM('Counter_PnL'!AX503:'Counter_PnL'!BB503,'Counter_PnL'!BD503))</x:f>
        <x:v>0</x:v>
      </x:c>
      <x:c r="J503" s="79" t="n">
        <x:f>ABS('Counter_PnL'!BL503-SUM('Counter_PnL'!AV503,'Counter_PnL'!BE503,'Counter_PnL'!BJ503,'Counter_PnL'!BK503))</x:f>
        <x:v>0</x:v>
      </x:c>
      <x:c r="K503" s="79" t="n">
        <x:f>ABS('Counter_PnL'!BO503-('Counter_PnL'!BL503+'Counter_PnL'!BN503))</x:f>
        <x:v>0</x:v>
      </x:c>
      <x:c r="L503" s="79" t="n">
        <x:f>MAX(ABS('Counter_PnL'!AW503-'Counter_PnL'!AV503/'Counter_PnL'!AK503),ABS('Counter_PnL'!BM503-'Counter_PnL'!BL503/'Counter_PnL'!AK503),ABS('Counter_PnL'!BP503-'Counter_PnL'!BO503/'Counter_PnL'!AK503))</x:f>
        <x:v>0</x:v>
      </x:c>
      <x:c r="M503" s="30" t="n">
        <x:f>IF(AND('Counter_PnL'!Q503&gt;0,'Counter_PnL'!AK503&gt;0,'Counter_PnL'!R503&lt;=0,'Counter_PnL'!T503&lt;=0,'Counter_PnL'!AT503&lt;=0,'Counter_PnL'!BE503&lt;=0,'Counter_PnL'!BJ503&lt;=0,'Counter_PnL'!BK503&lt;=0,'Counter_PnL'!BN503&lt;=0),0,1)</x:f>
        <x:v>0</x:v>
      </x:c>
    </x:row>
    <x:row r="504">
      <x:c r="A504" t="str">
        <x:f>'Counter_PnL'!D504</x:f>
        <x:v>CNCT0126</x:v>
      </x:c>
      <x:c r="B504" t="str">
        <x:f>'Counter_PnL'!C504</x:f>
        <x:v>2026 S1</x:v>
      </x:c>
      <x:c r="C504" s="30" t="n">
        <x:f>COUNTIFS('Counter_PnL'!$D$2:$D$641,A504,'Counter_PnL'!$C$2:$C$641,B504)</x:f>
        <x:v>1</x:v>
      </x:c>
      <x:c r="D504" s="79" t="n">
        <x:f>ABS('Counter_PnL'!AC504-SUM('Counter_PnL'!V504:'Counter_PnL'!AB504))</x:f>
        <x:v>0</x:v>
      </x:c>
      <x:c r="E504" s="79" t="n">
        <x:f>ABS('Counter_PnL'!AI504-SUM('Counter_PnL'!R504,'Counter_PnL'!T504,'Counter_PnL'!AC504,'Counter_PnL'!AE504,'Counter_PnL'!AG504,'Counter_PnL'!AH504))</x:f>
        <x:v>0</x:v>
      </x:c>
      <x:c r="F504" s="79" t="n">
        <x:f>ABS('Counter_PnL'!AK504-('Counter_PnL'!Q504+'Counter_PnL'!AI504))</x:f>
        <x:v>0</x:v>
      </x:c>
      <x:c r="G504" s="79" t="n">
        <x:f>ABS('Counter_PnL'!AT504-SUM('Counter_PnL'!AO504:'Counter_PnL'!AS504))</x:f>
        <x:v>0</x:v>
      </x:c>
      <x:c r="H504" s="79" t="n">
        <x:f>ABS('Counter_PnL'!AV504-('Counter_PnL'!AK504+'Counter_PnL'!AT504))</x:f>
        <x:v>0</x:v>
      </x:c>
      <x:c r="I504" s="79" t="n">
        <x:f>ABS('Counter_PnL'!BE504-SUM('Counter_PnL'!AX504:'Counter_PnL'!BB504,'Counter_PnL'!BD504))</x:f>
        <x:v>0</x:v>
      </x:c>
      <x:c r="J504" s="79" t="n">
        <x:f>ABS('Counter_PnL'!BL504-SUM('Counter_PnL'!AV504,'Counter_PnL'!BE504,'Counter_PnL'!BJ504,'Counter_PnL'!BK504))</x:f>
        <x:v>0</x:v>
      </x:c>
      <x:c r="K504" s="79" t="n">
        <x:f>ABS('Counter_PnL'!BO504-('Counter_PnL'!BL504+'Counter_PnL'!BN504))</x:f>
        <x:v>0</x:v>
      </x:c>
      <x:c r="L504" s="79" t="n">
        <x:f>MAX(ABS('Counter_PnL'!AW504-'Counter_PnL'!AV504/'Counter_PnL'!AK504),ABS('Counter_PnL'!BM504-'Counter_PnL'!BL504/'Counter_PnL'!AK504),ABS('Counter_PnL'!BP504-'Counter_PnL'!BO504/'Counter_PnL'!AK504))</x:f>
        <x:v>0</x:v>
      </x:c>
      <x:c r="M504" s="30" t="n">
        <x:f>IF(AND('Counter_PnL'!Q504&gt;0,'Counter_PnL'!AK504&gt;0,'Counter_PnL'!R504&lt;=0,'Counter_PnL'!T504&lt;=0,'Counter_PnL'!AT504&lt;=0,'Counter_PnL'!BE504&lt;=0,'Counter_PnL'!BJ504&lt;=0,'Counter_PnL'!BK504&lt;=0,'Counter_PnL'!BN504&lt;=0),0,1)</x:f>
        <x:v>0</x:v>
      </x:c>
    </x:row>
    <x:row r="505">
      <x:c r="A505" t="str">
        <x:f>'Counter_PnL'!D505</x:f>
        <x:v>CNCT0126</x:v>
      </x:c>
      <x:c r="B505" t="str">
        <x:f>'Counter_PnL'!C505</x:f>
        <x:v>2026 S2</x:v>
      </x:c>
      <x:c r="C505" s="30" t="n">
        <x:f>COUNTIFS('Counter_PnL'!$D$2:$D$641,A505,'Counter_PnL'!$C$2:$C$641,B505)</x:f>
        <x:v>1</x:v>
      </x:c>
      <x:c r="D505" s="79" t="n">
        <x:f>ABS('Counter_PnL'!AC505-SUM('Counter_PnL'!V505:'Counter_PnL'!AB505))</x:f>
        <x:v>0</x:v>
      </x:c>
      <x:c r="E505" s="79" t="n">
        <x:f>ABS('Counter_PnL'!AI505-SUM('Counter_PnL'!R505,'Counter_PnL'!T505,'Counter_PnL'!AC505,'Counter_PnL'!AE505,'Counter_PnL'!AG505,'Counter_PnL'!AH505))</x:f>
        <x:v>0</x:v>
      </x:c>
      <x:c r="F505" s="79" t="n">
        <x:f>ABS('Counter_PnL'!AK505-('Counter_PnL'!Q505+'Counter_PnL'!AI505))</x:f>
        <x:v>0</x:v>
      </x:c>
      <x:c r="G505" s="79" t="n">
        <x:f>ABS('Counter_PnL'!AT505-SUM('Counter_PnL'!AO505:'Counter_PnL'!AS505))</x:f>
        <x:v>0</x:v>
      </x:c>
      <x:c r="H505" s="79" t="n">
        <x:f>ABS('Counter_PnL'!AV505-('Counter_PnL'!AK505+'Counter_PnL'!AT505))</x:f>
        <x:v>0</x:v>
      </x:c>
      <x:c r="I505" s="79" t="n">
        <x:f>ABS('Counter_PnL'!BE505-SUM('Counter_PnL'!AX505:'Counter_PnL'!BB505,'Counter_PnL'!BD505))</x:f>
        <x:v>0</x:v>
      </x:c>
      <x:c r="J505" s="79" t="n">
        <x:f>ABS('Counter_PnL'!BL505-SUM('Counter_PnL'!AV505,'Counter_PnL'!BE505,'Counter_PnL'!BJ505,'Counter_PnL'!BK505))</x:f>
        <x:v>0</x:v>
      </x:c>
      <x:c r="K505" s="79" t="n">
        <x:f>ABS('Counter_PnL'!BO505-('Counter_PnL'!BL505+'Counter_PnL'!BN505))</x:f>
        <x:v>0</x:v>
      </x:c>
      <x:c r="L505" s="79" t="n">
        <x:f>MAX(ABS('Counter_PnL'!AW505-'Counter_PnL'!AV505/'Counter_PnL'!AK505),ABS('Counter_PnL'!BM505-'Counter_PnL'!BL505/'Counter_PnL'!AK505),ABS('Counter_PnL'!BP505-'Counter_PnL'!BO505/'Counter_PnL'!AK505))</x:f>
        <x:v>0</x:v>
      </x:c>
      <x:c r="M505" s="30" t="n">
        <x:f>IF(AND('Counter_PnL'!Q505&gt;0,'Counter_PnL'!AK505&gt;0,'Counter_PnL'!R505&lt;=0,'Counter_PnL'!T505&lt;=0,'Counter_PnL'!AT505&lt;=0,'Counter_PnL'!BE505&lt;=0,'Counter_PnL'!BJ505&lt;=0,'Counter_PnL'!BK505&lt;=0,'Counter_PnL'!BN505&lt;=0),0,1)</x:f>
        <x:v>0</x:v>
      </x:c>
    </x:row>
    <x:row r="506">
      <x:c r="A506" t="str">
        <x:f>'Counter_PnL'!D506</x:f>
        <x:v>CNCT0127</x:v>
      </x:c>
      <x:c r="B506" t="str">
        <x:f>'Counter_PnL'!C506</x:f>
        <x:v>2025 S1</x:v>
      </x:c>
      <x:c r="C506" s="30" t="n">
        <x:f>COUNTIFS('Counter_PnL'!$D$2:$D$641,A506,'Counter_PnL'!$C$2:$C$641,B506)</x:f>
        <x:v>1</x:v>
      </x:c>
      <x:c r="D506" s="79" t="n">
        <x:f>ABS('Counter_PnL'!AC506-SUM('Counter_PnL'!V506:'Counter_PnL'!AB506))</x:f>
        <x:v>0</x:v>
      </x:c>
      <x:c r="E506" s="79" t="n">
        <x:f>ABS('Counter_PnL'!AI506-SUM('Counter_PnL'!R506,'Counter_PnL'!T506,'Counter_PnL'!AC506,'Counter_PnL'!AE506,'Counter_PnL'!AG506,'Counter_PnL'!AH506))</x:f>
        <x:v>0</x:v>
      </x:c>
      <x:c r="F506" s="79" t="n">
        <x:f>ABS('Counter_PnL'!AK506-('Counter_PnL'!Q506+'Counter_PnL'!AI506))</x:f>
        <x:v>0</x:v>
      </x:c>
      <x:c r="G506" s="79" t="n">
        <x:f>ABS('Counter_PnL'!AT506-SUM('Counter_PnL'!AO506:'Counter_PnL'!AS506))</x:f>
        <x:v>0</x:v>
      </x:c>
      <x:c r="H506" s="79" t="n">
        <x:f>ABS('Counter_PnL'!AV506-('Counter_PnL'!AK506+'Counter_PnL'!AT506))</x:f>
        <x:v>0</x:v>
      </x:c>
      <x:c r="I506" s="79" t="n">
        <x:f>ABS('Counter_PnL'!BE506-SUM('Counter_PnL'!AX506:'Counter_PnL'!BB506,'Counter_PnL'!BD506))</x:f>
        <x:v>0</x:v>
      </x:c>
      <x:c r="J506" s="79" t="n">
        <x:f>ABS('Counter_PnL'!BL506-SUM('Counter_PnL'!AV506,'Counter_PnL'!BE506,'Counter_PnL'!BJ506,'Counter_PnL'!BK506))</x:f>
        <x:v>0</x:v>
      </x:c>
      <x:c r="K506" s="79" t="n">
        <x:f>ABS('Counter_PnL'!BO506-('Counter_PnL'!BL506+'Counter_PnL'!BN506))</x:f>
        <x:v>0</x:v>
      </x:c>
      <x:c r="L506" s="79" t="n">
        <x:f>MAX(ABS('Counter_PnL'!AW506-'Counter_PnL'!AV506/'Counter_PnL'!AK506),ABS('Counter_PnL'!BM506-'Counter_PnL'!BL506/'Counter_PnL'!AK506),ABS('Counter_PnL'!BP506-'Counter_PnL'!BO506/'Counter_PnL'!AK506))</x:f>
        <x:v>0</x:v>
      </x:c>
      <x:c r="M506" s="30" t="n">
        <x:f>IF(AND('Counter_PnL'!Q506&gt;0,'Counter_PnL'!AK506&gt;0,'Counter_PnL'!R506&lt;=0,'Counter_PnL'!T506&lt;=0,'Counter_PnL'!AT506&lt;=0,'Counter_PnL'!BE506&lt;=0,'Counter_PnL'!BJ506&lt;=0,'Counter_PnL'!BK506&lt;=0,'Counter_PnL'!BN506&lt;=0),0,1)</x:f>
        <x:v>0</x:v>
      </x:c>
    </x:row>
    <x:row r="507">
      <x:c r="A507" t="str">
        <x:f>'Counter_PnL'!D507</x:f>
        <x:v>CNCT0127</x:v>
      </x:c>
      <x:c r="B507" t="str">
        <x:f>'Counter_PnL'!C507</x:f>
        <x:v>2025 S2</x:v>
      </x:c>
      <x:c r="C507" s="30" t="n">
        <x:f>COUNTIFS('Counter_PnL'!$D$2:$D$641,A507,'Counter_PnL'!$C$2:$C$641,B507)</x:f>
        <x:v>1</x:v>
      </x:c>
      <x:c r="D507" s="79" t="n">
        <x:f>ABS('Counter_PnL'!AC507-SUM('Counter_PnL'!V507:'Counter_PnL'!AB507))</x:f>
        <x:v>0</x:v>
      </x:c>
      <x:c r="E507" s="79" t="n">
        <x:f>ABS('Counter_PnL'!AI507-SUM('Counter_PnL'!R507,'Counter_PnL'!T507,'Counter_PnL'!AC507,'Counter_PnL'!AE507,'Counter_PnL'!AG507,'Counter_PnL'!AH507))</x:f>
        <x:v>0</x:v>
      </x:c>
      <x:c r="F507" s="79" t="n">
        <x:f>ABS('Counter_PnL'!AK507-('Counter_PnL'!Q507+'Counter_PnL'!AI507))</x:f>
        <x:v>0</x:v>
      </x:c>
      <x:c r="G507" s="79" t="n">
        <x:f>ABS('Counter_PnL'!AT507-SUM('Counter_PnL'!AO507:'Counter_PnL'!AS507))</x:f>
        <x:v>0</x:v>
      </x:c>
      <x:c r="H507" s="79" t="n">
        <x:f>ABS('Counter_PnL'!AV507-('Counter_PnL'!AK507+'Counter_PnL'!AT507))</x:f>
        <x:v>0</x:v>
      </x:c>
      <x:c r="I507" s="79" t="n">
        <x:f>ABS('Counter_PnL'!BE507-SUM('Counter_PnL'!AX507:'Counter_PnL'!BB507,'Counter_PnL'!BD507))</x:f>
        <x:v>0</x:v>
      </x:c>
      <x:c r="J507" s="79" t="n">
        <x:f>ABS('Counter_PnL'!BL507-SUM('Counter_PnL'!AV507,'Counter_PnL'!BE507,'Counter_PnL'!BJ507,'Counter_PnL'!BK507))</x:f>
        <x:v>0</x:v>
      </x:c>
      <x:c r="K507" s="79" t="n">
        <x:f>ABS('Counter_PnL'!BO507-('Counter_PnL'!BL507+'Counter_PnL'!BN507))</x:f>
        <x:v>0</x:v>
      </x:c>
      <x:c r="L507" s="79" t="n">
        <x:f>MAX(ABS('Counter_PnL'!AW507-'Counter_PnL'!AV507/'Counter_PnL'!AK507),ABS('Counter_PnL'!BM507-'Counter_PnL'!BL507/'Counter_PnL'!AK507),ABS('Counter_PnL'!BP507-'Counter_PnL'!BO507/'Counter_PnL'!AK507))</x:f>
        <x:v>0</x:v>
      </x:c>
      <x:c r="M507" s="30" t="n">
        <x:f>IF(AND('Counter_PnL'!Q507&gt;0,'Counter_PnL'!AK507&gt;0,'Counter_PnL'!R507&lt;=0,'Counter_PnL'!T507&lt;=0,'Counter_PnL'!AT507&lt;=0,'Counter_PnL'!BE507&lt;=0,'Counter_PnL'!BJ507&lt;=0,'Counter_PnL'!BK507&lt;=0,'Counter_PnL'!BN507&lt;=0),0,1)</x:f>
        <x:v>0</x:v>
      </x:c>
    </x:row>
    <x:row r="508">
      <x:c r="A508" t="str">
        <x:f>'Counter_PnL'!D508</x:f>
        <x:v>CNCT0127</x:v>
      </x:c>
      <x:c r="B508" t="str">
        <x:f>'Counter_PnL'!C508</x:f>
        <x:v>2026 S1</x:v>
      </x:c>
      <x:c r="C508" s="30" t="n">
        <x:f>COUNTIFS('Counter_PnL'!$D$2:$D$641,A508,'Counter_PnL'!$C$2:$C$641,B508)</x:f>
        <x:v>1</x:v>
      </x:c>
      <x:c r="D508" s="79" t="n">
        <x:f>ABS('Counter_PnL'!AC508-SUM('Counter_PnL'!V508:'Counter_PnL'!AB508))</x:f>
        <x:v>0</x:v>
      </x:c>
      <x:c r="E508" s="79" t="n">
        <x:f>ABS('Counter_PnL'!AI508-SUM('Counter_PnL'!R508,'Counter_PnL'!T508,'Counter_PnL'!AC508,'Counter_PnL'!AE508,'Counter_PnL'!AG508,'Counter_PnL'!AH508))</x:f>
        <x:v>0</x:v>
      </x:c>
      <x:c r="F508" s="79" t="n">
        <x:f>ABS('Counter_PnL'!AK508-('Counter_PnL'!Q508+'Counter_PnL'!AI508))</x:f>
        <x:v>0</x:v>
      </x:c>
      <x:c r="G508" s="79" t="n">
        <x:f>ABS('Counter_PnL'!AT508-SUM('Counter_PnL'!AO508:'Counter_PnL'!AS508))</x:f>
        <x:v>0</x:v>
      </x:c>
      <x:c r="H508" s="79" t="n">
        <x:f>ABS('Counter_PnL'!AV508-('Counter_PnL'!AK508+'Counter_PnL'!AT508))</x:f>
        <x:v>0</x:v>
      </x:c>
      <x:c r="I508" s="79" t="n">
        <x:f>ABS('Counter_PnL'!BE508-SUM('Counter_PnL'!AX508:'Counter_PnL'!BB508,'Counter_PnL'!BD508))</x:f>
        <x:v>0</x:v>
      </x:c>
      <x:c r="J508" s="79" t="n">
        <x:f>ABS('Counter_PnL'!BL508-SUM('Counter_PnL'!AV508,'Counter_PnL'!BE508,'Counter_PnL'!BJ508,'Counter_PnL'!BK508))</x:f>
        <x:v>0</x:v>
      </x:c>
      <x:c r="K508" s="79" t="n">
        <x:f>ABS('Counter_PnL'!BO508-('Counter_PnL'!BL508+'Counter_PnL'!BN508))</x:f>
        <x:v>0</x:v>
      </x:c>
      <x:c r="L508" s="79" t="n">
        <x:f>MAX(ABS('Counter_PnL'!AW508-'Counter_PnL'!AV508/'Counter_PnL'!AK508),ABS('Counter_PnL'!BM508-'Counter_PnL'!BL508/'Counter_PnL'!AK508),ABS('Counter_PnL'!BP508-'Counter_PnL'!BO508/'Counter_PnL'!AK508))</x:f>
        <x:v>0</x:v>
      </x:c>
      <x:c r="M508" s="30" t="n">
        <x:f>IF(AND('Counter_PnL'!Q508&gt;0,'Counter_PnL'!AK508&gt;0,'Counter_PnL'!R508&lt;=0,'Counter_PnL'!T508&lt;=0,'Counter_PnL'!AT508&lt;=0,'Counter_PnL'!BE508&lt;=0,'Counter_PnL'!BJ508&lt;=0,'Counter_PnL'!BK508&lt;=0,'Counter_PnL'!BN508&lt;=0),0,1)</x:f>
        <x:v>0</x:v>
      </x:c>
    </x:row>
    <x:row r="509">
      <x:c r="A509" t="str">
        <x:f>'Counter_PnL'!D509</x:f>
        <x:v>CNCT0127</x:v>
      </x:c>
      <x:c r="B509" t="str">
        <x:f>'Counter_PnL'!C509</x:f>
        <x:v>2026 S2</x:v>
      </x:c>
      <x:c r="C509" s="30" t="n">
        <x:f>COUNTIFS('Counter_PnL'!$D$2:$D$641,A509,'Counter_PnL'!$C$2:$C$641,B509)</x:f>
        <x:v>1</x:v>
      </x:c>
      <x:c r="D509" s="79" t="n">
        <x:f>ABS('Counter_PnL'!AC509-SUM('Counter_PnL'!V509:'Counter_PnL'!AB509))</x:f>
        <x:v>0</x:v>
      </x:c>
      <x:c r="E509" s="79" t="n">
        <x:f>ABS('Counter_PnL'!AI509-SUM('Counter_PnL'!R509,'Counter_PnL'!T509,'Counter_PnL'!AC509,'Counter_PnL'!AE509,'Counter_PnL'!AG509,'Counter_PnL'!AH509))</x:f>
        <x:v>0</x:v>
      </x:c>
      <x:c r="F509" s="79" t="n">
        <x:f>ABS('Counter_PnL'!AK509-('Counter_PnL'!Q509+'Counter_PnL'!AI509))</x:f>
        <x:v>0</x:v>
      </x:c>
      <x:c r="G509" s="79" t="n">
        <x:f>ABS('Counter_PnL'!AT509-SUM('Counter_PnL'!AO509:'Counter_PnL'!AS509))</x:f>
        <x:v>0</x:v>
      </x:c>
      <x:c r="H509" s="79" t="n">
        <x:f>ABS('Counter_PnL'!AV509-('Counter_PnL'!AK509+'Counter_PnL'!AT509))</x:f>
        <x:v>0</x:v>
      </x:c>
      <x:c r="I509" s="79" t="n">
        <x:f>ABS('Counter_PnL'!BE509-SUM('Counter_PnL'!AX509:'Counter_PnL'!BB509,'Counter_PnL'!BD509))</x:f>
        <x:v>0</x:v>
      </x:c>
      <x:c r="J509" s="79" t="n">
        <x:f>ABS('Counter_PnL'!BL509-SUM('Counter_PnL'!AV509,'Counter_PnL'!BE509,'Counter_PnL'!BJ509,'Counter_PnL'!BK509))</x:f>
        <x:v>0</x:v>
      </x:c>
      <x:c r="K509" s="79" t="n">
        <x:f>ABS('Counter_PnL'!BO509-('Counter_PnL'!BL509+'Counter_PnL'!BN509))</x:f>
        <x:v>0</x:v>
      </x:c>
      <x:c r="L509" s="79" t="n">
        <x:f>MAX(ABS('Counter_PnL'!AW509-'Counter_PnL'!AV509/'Counter_PnL'!AK509),ABS('Counter_PnL'!BM509-'Counter_PnL'!BL509/'Counter_PnL'!AK509),ABS('Counter_PnL'!BP509-'Counter_PnL'!BO509/'Counter_PnL'!AK509))</x:f>
        <x:v>0</x:v>
      </x:c>
      <x:c r="M509" s="30" t="n">
        <x:f>IF(AND('Counter_PnL'!Q509&gt;0,'Counter_PnL'!AK509&gt;0,'Counter_PnL'!R509&lt;=0,'Counter_PnL'!T509&lt;=0,'Counter_PnL'!AT509&lt;=0,'Counter_PnL'!BE509&lt;=0,'Counter_PnL'!BJ509&lt;=0,'Counter_PnL'!BK509&lt;=0,'Counter_PnL'!BN509&lt;=0),0,1)</x:f>
        <x:v>0</x:v>
      </x:c>
    </x:row>
    <x:row r="510">
      <x:c r="A510" t="str">
        <x:f>'Counter_PnL'!D510</x:f>
        <x:v>CNCT0128</x:v>
      </x:c>
      <x:c r="B510" t="str">
        <x:f>'Counter_PnL'!C510</x:f>
        <x:v>2025 S1</x:v>
      </x:c>
      <x:c r="C510" s="30" t="n">
        <x:f>COUNTIFS('Counter_PnL'!$D$2:$D$641,A510,'Counter_PnL'!$C$2:$C$641,B510)</x:f>
        <x:v>1</x:v>
      </x:c>
      <x:c r="D510" s="79" t="n">
        <x:f>ABS('Counter_PnL'!AC510-SUM('Counter_PnL'!V510:'Counter_PnL'!AB510))</x:f>
        <x:v>0</x:v>
      </x:c>
      <x:c r="E510" s="79" t="n">
        <x:f>ABS('Counter_PnL'!AI510-SUM('Counter_PnL'!R510,'Counter_PnL'!T510,'Counter_PnL'!AC510,'Counter_PnL'!AE510,'Counter_PnL'!AG510,'Counter_PnL'!AH510))</x:f>
        <x:v>0</x:v>
      </x:c>
      <x:c r="F510" s="79" t="n">
        <x:f>ABS('Counter_PnL'!AK510-('Counter_PnL'!Q510+'Counter_PnL'!AI510))</x:f>
        <x:v>0</x:v>
      </x:c>
      <x:c r="G510" s="79" t="n">
        <x:f>ABS('Counter_PnL'!AT510-SUM('Counter_PnL'!AO510:'Counter_PnL'!AS510))</x:f>
        <x:v>0</x:v>
      </x:c>
      <x:c r="H510" s="79" t="n">
        <x:f>ABS('Counter_PnL'!AV510-('Counter_PnL'!AK510+'Counter_PnL'!AT510))</x:f>
        <x:v>0</x:v>
      </x:c>
      <x:c r="I510" s="79" t="n">
        <x:f>ABS('Counter_PnL'!BE510-SUM('Counter_PnL'!AX510:'Counter_PnL'!BB510,'Counter_PnL'!BD510))</x:f>
        <x:v>0</x:v>
      </x:c>
      <x:c r="J510" s="79" t="n">
        <x:f>ABS('Counter_PnL'!BL510-SUM('Counter_PnL'!AV510,'Counter_PnL'!BE510,'Counter_PnL'!BJ510,'Counter_PnL'!BK510))</x:f>
        <x:v>0</x:v>
      </x:c>
      <x:c r="K510" s="79" t="n">
        <x:f>ABS('Counter_PnL'!BO510-('Counter_PnL'!BL510+'Counter_PnL'!BN510))</x:f>
        <x:v>0</x:v>
      </x:c>
      <x:c r="L510" s="79" t="n">
        <x:f>MAX(ABS('Counter_PnL'!AW510-'Counter_PnL'!AV510/'Counter_PnL'!AK510),ABS('Counter_PnL'!BM510-'Counter_PnL'!BL510/'Counter_PnL'!AK510),ABS('Counter_PnL'!BP510-'Counter_PnL'!BO510/'Counter_PnL'!AK510))</x:f>
        <x:v>0</x:v>
      </x:c>
      <x:c r="M510" s="30" t="n">
        <x:f>IF(AND('Counter_PnL'!Q510&gt;0,'Counter_PnL'!AK510&gt;0,'Counter_PnL'!R510&lt;=0,'Counter_PnL'!T510&lt;=0,'Counter_PnL'!AT510&lt;=0,'Counter_PnL'!BE510&lt;=0,'Counter_PnL'!BJ510&lt;=0,'Counter_PnL'!BK510&lt;=0,'Counter_PnL'!BN510&lt;=0),0,1)</x:f>
        <x:v>0</x:v>
      </x:c>
    </x:row>
    <x:row r="511">
      <x:c r="A511" t="str">
        <x:f>'Counter_PnL'!D511</x:f>
        <x:v>CNCT0128</x:v>
      </x:c>
      <x:c r="B511" t="str">
        <x:f>'Counter_PnL'!C511</x:f>
        <x:v>2025 S2</x:v>
      </x:c>
      <x:c r="C511" s="30" t="n">
        <x:f>COUNTIFS('Counter_PnL'!$D$2:$D$641,A511,'Counter_PnL'!$C$2:$C$641,B511)</x:f>
        <x:v>1</x:v>
      </x:c>
      <x:c r="D511" s="79" t="n">
        <x:f>ABS('Counter_PnL'!AC511-SUM('Counter_PnL'!V511:'Counter_PnL'!AB511))</x:f>
        <x:v>0</x:v>
      </x:c>
      <x:c r="E511" s="79" t="n">
        <x:f>ABS('Counter_PnL'!AI511-SUM('Counter_PnL'!R511,'Counter_PnL'!T511,'Counter_PnL'!AC511,'Counter_PnL'!AE511,'Counter_PnL'!AG511,'Counter_PnL'!AH511))</x:f>
        <x:v>0</x:v>
      </x:c>
      <x:c r="F511" s="79" t="n">
        <x:f>ABS('Counter_PnL'!AK511-('Counter_PnL'!Q511+'Counter_PnL'!AI511))</x:f>
        <x:v>0</x:v>
      </x:c>
      <x:c r="G511" s="79" t="n">
        <x:f>ABS('Counter_PnL'!AT511-SUM('Counter_PnL'!AO511:'Counter_PnL'!AS511))</x:f>
        <x:v>0</x:v>
      </x:c>
      <x:c r="H511" s="79" t="n">
        <x:f>ABS('Counter_PnL'!AV511-('Counter_PnL'!AK511+'Counter_PnL'!AT511))</x:f>
        <x:v>0</x:v>
      </x:c>
      <x:c r="I511" s="79" t="n">
        <x:f>ABS('Counter_PnL'!BE511-SUM('Counter_PnL'!AX511:'Counter_PnL'!BB511,'Counter_PnL'!BD511))</x:f>
        <x:v>0</x:v>
      </x:c>
      <x:c r="J511" s="79" t="n">
        <x:f>ABS('Counter_PnL'!BL511-SUM('Counter_PnL'!AV511,'Counter_PnL'!BE511,'Counter_PnL'!BJ511,'Counter_PnL'!BK511))</x:f>
        <x:v>0</x:v>
      </x:c>
      <x:c r="K511" s="79" t="n">
        <x:f>ABS('Counter_PnL'!BO511-('Counter_PnL'!BL511+'Counter_PnL'!BN511))</x:f>
        <x:v>0</x:v>
      </x:c>
      <x:c r="L511" s="79" t="n">
        <x:f>MAX(ABS('Counter_PnL'!AW511-'Counter_PnL'!AV511/'Counter_PnL'!AK511),ABS('Counter_PnL'!BM511-'Counter_PnL'!BL511/'Counter_PnL'!AK511),ABS('Counter_PnL'!BP511-'Counter_PnL'!BO511/'Counter_PnL'!AK511))</x:f>
        <x:v>0</x:v>
      </x:c>
      <x:c r="M511" s="30" t="n">
        <x:f>IF(AND('Counter_PnL'!Q511&gt;0,'Counter_PnL'!AK511&gt;0,'Counter_PnL'!R511&lt;=0,'Counter_PnL'!T511&lt;=0,'Counter_PnL'!AT511&lt;=0,'Counter_PnL'!BE511&lt;=0,'Counter_PnL'!BJ511&lt;=0,'Counter_PnL'!BK511&lt;=0,'Counter_PnL'!BN511&lt;=0),0,1)</x:f>
        <x:v>0</x:v>
      </x:c>
    </x:row>
    <x:row r="512">
      <x:c r="A512" t="str">
        <x:f>'Counter_PnL'!D512</x:f>
        <x:v>CNCT0128</x:v>
      </x:c>
      <x:c r="B512" t="str">
        <x:f>'Counter_PnL'!C512</x:f>
        <x:v>2026 S1</x:v>
      </x:c>
      <x:c r="C512" s="30" t="n">
        <x:f>COUNTIFS('Counter_PnL'!$D$2:$D$641,A512,'Counter_PnL'!$C$2:$C$641,B512)</x:f>
        <x:v>1</x:v>
      </x:c>
      <x:c r="D512" s="79" t="n">
        <x:f>ABS('Counter_PnL'!AC512-SUM('Counter_PnL'!V512:'Counter_PnL'!AB512))</x:f>
        <x:v>0</x:v>
      </x:c>
      <x:c r="E512" s="79" t="n">
        <x:f>ABS('Counter_PnL'!AI512-SUM('Counter_PnL'!R512,'Counter_PnL'!T512,'Counter_PnL'!AC512,'Counter_PnL'!AE512,'Counter_PnL'!AG512,'Counter_PnL'!AH512))</x:f>
        <x:v>0</x:v>
      </x:c>
      <x:c r="F512" s="79" t="n">
        <x:f>ABS('Counter_PnL'!AK512-('Counter_PnL'!Q512+'Counter_PnL'!AI512))</x:f>
        <x:v>0</x:v>
      </x:c>
      <x:c r="G512" s="79" t="n">
        <x:f>ABS('Counter_PnL'!AT512-SUM('Counter_PnL'!AO512:'Counter_PnL'!AS512))</x:f>
        <x:v>0</x:v>
      </x:c>
      <x:c r="H512" s="79" t="n">
        <x:f>ABS('Counter_PnL'!AV512-('Counter_PnL'!AK512+'Counter_PnL'!AT512))</x:f>
        <x:v>0</x:v>
      </x:c>
      <x:c r="I512" s="79" t="n">
        <x:f>ABS('Counter_PnL'!BE512-SUM('Counter_PnL'!AX512:'Counter_PnL'!BB512,'Counter_PnL'!BD512))</x:f>
        <x:v>0</x:v>
      </x:c>
      <x:c r="J512" s="79" t="n">
        <x:f>ABS('Counter_PnL'!BL512-SUM('Counter_PnL'!AV512,'Counter_PnL'!BE512,'Counter_PnL'!BJ512,'Counter_PnL'!BK512))</x:f>
        <x:v>0</x:v>
      </x:c>
      <x:c r="K512" s="79" t="n">
        <x:f>ABS('Counter_PnL'!BO512-('Counter_PnL'!BL512+'Counter_PnL'!BN512))</x:f>
        <x:v>0</x:v>
      </x:c>
      <x:c r="L512" s="79" t="n">
        <x:f>MAX(ABS('Counter_PnL'!AW512-'Counter_PnL'!AV512/'Counter_PnL'!AK512),ABS('Counter_PnL'!BM512-'Counter_PnL'!BL512/'Counter_PnL'!AK512),ABS('Counter_PnL'!BP512-'Counter_PnL'!BO512/'Counter_PnL'!AK512))</x:f>
        <x:v>0</x:v>
      </x:c>
      <x:c r="M512" s="30" t="n">
        <x:f>IF(AND('Counter_PnL'!Q512&gt;0,'Counter_PnL'!AK512&gt;0,'Counter_PnL'!R512&lt;=0,'Counter_PnL'!T512&lt;=0,'Counter_PnL'!AT512&lt;=0,'Counter_PnL'!BE512&lt;=0,'Counter_PnL'!BJ512&lt;=0,'Counter_PnL'!BK512&lt;=0,'Counter_PnL'!BN512&lt;=0),0,1)</x:f>
        <x:v>0</x:v>
      </x:c>
    </x:row>
    <x:row r="513">
      <x:c r="A513" t="str">
        <x:f>'Counter_PnL'!D513</x:f>
        <x:v>CNCT0128</x:v>
      </x:c>
      <x:c r="B513" t="str">
        <x:f>'Counter_PnL'!C513</x:f>
        <x:v>2026 S2</x:v>
      </x:c>
      <x:c r="C513" s="30" t="n">
        <x:f>COUNTIFS('Counter_PnL'!$D$2:$D$641,A513,'Counter_PnL'!$C$2:$C$641,B513)</x:f>
        <x:v>1</x:v>
      </x:c>
      <x:c r="D513" s="79" t="n">
        <x:f>ABS('Counter_PnL'!AC513-SUM('Counter_PnL'!V513:'Counter_PnL'!AB513))</x:f>
        <x:v>0</x:v>
      </x:c>
      <x:c r="E513" s="79" t="n">
        <x:f>ABS('Counter_PnL'!AI513-SUM('Counter_PnL'!R513,'Counter_PnL'!T513,'Counter_PnL'!AC513,'Counter_PnL'!AE513,'Counter_PnL'!AG513,'Counter_PnL'!AH513))</x:f>
        <x:v>0</x:v>
      </x:c>
      <x:c r="F513" s="79" t="n">
        <x:f>ABS('Counter_PnL'!AK513-('Counter_PnL'!Q513+'Counter_PnL'!AI513))</x:f>
        <x:v>0</x:v>
      </x:c>
      <x:c r="G513" s="79" t="n">
        <x:f>ABS('Counter_PnL'!AT513-SUM('Counter_PnL'!AO513:'Counter_PnL'!AS513))</x:f>
        <x:v>0</x:v>
      </x:c>
      <x:c r="H513" s="79" t="n">
        <x:f>ABS('Counter_PnL'!AV513-('Counter_PnL'!AK513+'Counter_PnL'!AT513))</x:f>
        <x:v>0</x:v>
      </x:c>
      <x:c r="I513" s="79" t="n">
        <x:f>ABS('Counter_PnL'!BE513-SUM('Counter_PnL'!AX513:'Counter_PnL'!BB513,'Counter_PnL'!BD513))</x:f>
        <x:v>0</x:v>
      </x:c>
      <x:c r="J513" s="79" t="n">
        <x:f>ABS('Counter_PnL'!BL513-SUM('Counter_PnL'!AV513,'Counter_PnL'!BE513,'Counter_PnL'!BJ513,'Counter_PnL'!BK513))</x:f>
        <x:v>0</x:v>
      </x:c>
      <x:c r="K513" s="79" t="n">
        <x:f>ABS('Counter_PnL'!BO513-('Counter_PnL'!BL513+'Counter_PnL'!BN513))</x:f>
        <x:v>0</x:v>
      </x:c>
      <x:c r="L513" s="79" t="n">
        <x:f>MAX(ABS('Counter_PnL'!AW513-'Counter_PnL'!AV513/'Counter_PnL'!AK513),ABS('Counter_PnL'!BM513-'Counter_PnL'!BL513/'Counter_PnL'!AK513),ABS('Counter_PnL'!BP513-'Counter_PnL'!BO513/'Counter_PnL'!AK513))</x:f>
        <x:v>0</x:v>
      </x:c>
      <x:c r="M513" s="30" t="n">
        <x:f>IF(AND('Counter_PnL'!Q513&gt;0,'Counter_PnL'!AK513&gt;0,'Counter_PnL'!R513&lt;=0,'Counter_PnL'!T513&lt;=0,'Counter_PnL'!AT513&lt;=0,'Counter_PnL'!BE513&lt;=0,'Counter_PnL'!BJ513&lt;=0,'Counter_PnL'!BK513&lt;=0,'Counter_PnL'!BN513&lt;=0),0,1)</x:f>
        <x:v>0</x:v>
      </x:c>
    </x:row>
    <x:row r="514">
      <x:c r="A514" t="str">
        <x:f>'Counter_PnL'!D514</x:f>
        <x:v>CNCT0129</x:v>
      </x:c>
      <x:c r="B514" t="str">
        <x:f>'Counter_PnL'!C514</x:f>
        <x:v>2025 S1</x:v>
      </x:c>
      <x:c r="C514" s="30" t="n">
        <x:f>COUNTIFS('Counter_PnL'!$D$2:$D$641,A514,'Counter_PnL'!$C$2:$C$641,B514)</x:f>
        <x:v>1</x:v>
      </x:c>
      <x:c r="D514" s="79" t="n">
        <x:f>ABS('Counter_PnL'!AC514-SUM('Counter_PnL'!V514:'Counter_PnL'!AB514))</x:f>
        <x:v>0</x:v>
      </x:c>
      <x:c r="E514" s="79" t="n">
        <x:f>ABS('Counter_PnL'!AI514-SUM('Counter_PnL'!R514,'Counter_PnL'!T514,'Counter_PnL'!AC514,'Counter_PnL'!AE514,'Counter_PnL'!AG514,'Counter_PnL'!AH514))</x:f>
        <x:v>0</x:v>
      </x:c>
      <x:c r="F514" s="79" t="n">
        <x:f>ABS('Counter_PnL'!AK514-('Counter_PnL'!Q514+'Counter_PnL'!AI514))</x:f>
        <x:v>0</x:v>
      </x:c>
      <x:c r="G514" s="79" t="n">
        <x:f>ABS('Counter_PnL'!AT514-SUM('Counter_PnL'!AO514:'Counter_PnL'!AS514))</x:f>
        <x:v>0</x:v>
      </x:c>
      <x:c r="H514" s="79" t="n">
        <x:f>ABS('Counter_PnL'!AV514-('Counter_PnL'!AK514+'Counter_PnL'!AT514))</x:f>
        <x:v>0</x:v>
      </x:c>
      <x:c r="I514" s="79" t="n">
        <x:f>ABS('Counter_PnL'!BE514-SUM('Counter_PnL'!AX514:'Counter_PnL'!BB514,'Counter_PnL'!BD514))</x:f>
        <x:v>0</x:v>
      </x:c>
      <x:c r="J514" s="79" t="n">
        <x:f>ABS('Counter_PnL'!BL514-SUM('Counter_PnL'!AV514,'Counter_PnL'!BE514,'Counter_PnL'!BJ514,'Counter_PnL'!BK514))</x:f>
        <x:v>0</x:v>
      </x:c>
      <x:c r="K514" s="79" t="n">
        <x:f>ABS('Counter_PnL'!BO514-('Counter_PnL'!BL514+'Counter_PnL'!BN514))</x:f>
        <x:v>0</x:v>
      </x:c>
      <x:c r="L514" s="79" t="n">
        <x:f>MAX(ABS('Counter_PnL'!AW514-'Counter_PnL'!AV514/'Counter_PnL'!AK514),ABS('Counter_PnL'!BM514-'Counter_PnL'!BL514/'Counter_PnL'!AK514),ABS('Counter_PnL'!BP514-'Counter_PnL'!BO514/'Counter_PnL'!AK514))</x:f>
        <x:v>0</x:v>
      </x:c>
      <x:c r="M514" s="30" t="n">
        <x:f>IF(AND('Counter_PnL'!Q514&gt;0,'Counter_PnL'!AK514&gt;0,'Counter_PnL'!R514&lt;=0,'Counter_PnL'!T514&lt;=0,'Counter_PnL'!AT514&lt;=0,'Counter_PnL'!BE514&lt;=0,'Counter_PnL'!BJ514&lt;=0,'Counter_PnL'!BK514&lt;=0,'Counter_PnL'!BN514&lt;=0),0,1)</x:f>
        <x:v>0</x:v>
      </x:c>
    </x:row>
    <x:row r="515">
      <x:c r="A515" t="str">
        <x:f>'Counter_PnL'!D515</x:f>
        <x:v>CNCT0129</x:v>
      </x:c>
      <x:c r="B515" t="str">
        <x:f>'Counter_PnL'!C515</x:f>
        <x:v>2025 S2</x:v>
      </x:c>
      <x:c r="C515" s="30" t="n">
        <x:f>COUNTIFS('Counter_PnL'!$D$2:$D$641,A515,'Counter_PnL'!$C$2:$C$641,B515)</x:f>
        <x:v>1</x:v>
      </x:c>
      <x:c r="D515" s="79" t="n">
        <x:f>ABS('Counter_PnL'!AC515-SUM('Counter_PnL'!V515:'Counter_PnL'!AB515))</x:f>
        <x:v>0</x:v>
      </x:c>
      <x:c r="E515" s="79" t="n">
        <x:f>ABS('Counter_PnL'!AI515-SUM('Counter_PnL'!R515,'Counter_PnL'!T515,'Counter_PnL'!AC515,'Counter_PnL'!AE515,'Counter_PnL'!AG515,'Counter_PnL'!AH515))</x:f>
        <x:v>0</x:v>
      </x:c>
      <x:c r="F515" s="79" t="n">
        <x:f>ABS('Counter_PnL'!AK515-('Counter_PnL'!Q515+'Counter_PnL'!AI515))</x:f>
        <x:v>0</x:v>
      </x:c>
      <x:c r="G515" s="79" t="n">
        <x:f>ABS('Counter_PnL'!AT515-SUM('Counter_PnL'!AO515:'Counter_PnL'!AS515))</x:f>
        <x:v>0</x:v>
      </x:c>
      <x:c r="H515" s="79" t="n">
        <x:f>ABS('Counter_PnL'!AV515-('Counter_PnL'!AK515+'Counter_PnL'!AT515))</x:f>
        <x:v>0</x:v>
      </x:c>
      <x:c r="I515" s="79" t="n">
        <x:f>ABS('Counter_PnL'!BE515-SUM('Counter_PnL'!AX515:'Counter_PnL'!BB515,'Counter_PnL'!BD515))</x:f>
        <x:v>0</x:v>
      </x:c>
      <x:c r="J515" s="79" t="n">
        <x:f>ABS('Counter_PnL'!BL515-SUM('Counter_PnL'!AV515,'Counter_PnL'!BE515,'Counter_PnL'!BJ515,'Counter_PnL'!BK515))</x:f>
        <x:v>0</x:v>
      </x:c>
      <x:c r="K515" s="79" t="n">
        <x:f>ABS('Counter_PnL'!BO515-('Counter_PnL'!BL515+'Counter_PnL'!BN515))</x:f>
        <x:v>0</x:v>
      </x:c>
      <x:c r="L515" s="79" t="n">
        <x:f>MAX(ABS('Counter_PnL'!AW515-'Counter_PnL'!AV515/'Counter_PnL'!AK515),ABS('Counter_PnL'!BM515-'Counter_PnL'!BL515/'Counter_PnL'!AK515),ABS('Counter_PnL'!BP515-'Counter_PnL'!BO515/'Counter_PnL'!AK515))</x:f>
        <x:v>0</x:v>
      </x:c>
      <x:c r="M515" s="30" t="n">
        <x:f>IF(AND('Counter_PnL'!Q515&gt;0,'Counter_PnL'!AK515&gt;0,'Counter_PnL'!R515&lt;=0,'Counter_PnL'!T515&lt;=0,'Counter_PnL'!AT515&lt;=0,'Counter_PnL'!BE515&lt;=0,'Counter_PnL'!BJ515&lt;=0,'Counter_PnL'!BK515&lt;=0,'Counter_PnL'!BN515&lt;=0),0,1)</x:f>
        <x:v>0</x:v>
      </x:c>
    </x:row>
    <x:row r="516">
      <x:c r="A516" t="str">
        <x:f>'Counter_PnL'!D516</x:f>
        <x:v>CNCT0129</x:v>
      </x:c>
      <x:c r="B516" t="str">
        <x:f>'Counter_PnL'!C516</x:f>
        <x:v>2026 S1</x:v>
      </x:c>
      <x:c r="C516" s="30" t="n">
        <x:f>COUNTIFS('Counter_PnL'!$D$2:$D$641,A516,'Counter_PnL'!$C$2:$C$641,B516)</x:f>
        <x:v>1</x:v>
      </x:c>
      <x:c r="D516" s="79" t="n">
        <x:f>ABS('Counter_PnL'!AC516-SUM('Counter_PnL'!V516:'Counter_PnL'!AB516))</x:f>
        <x:v>0</x:v>
      </x:c>
      <x:c r="E516" s="79" t="n">
        <x:f>ABS('Counter_PnL'!AI516-SUM('Counter_PnL'!R516,'Counter_PnL'!T516,'Counter_PnL'!AC516,'Counter_PnL'!AE516,'Counter_PnL'!AG516,'Counter_PnL'!AH516))</x:f>
        <x:v>0</x:v>
      </x:c>
      <x:c r="F516" s="79" t="n">
        <x:f>ABS('Counter_PnL'!AK516-('Counter_PnL'!Q516+'Counter_PnL'!AI516))</x:f>
        <x:v>0</x:v>
      </x:c>
      <x:c r="G516" s="79" t="n">
        <x:f>ABS('Counter_PnL'!AT516-SUM('Counter_PnL'!AO516:'Counter_PnL'!AS516))</x:f>
        <x:v>0</x:v>
      </x:c>
      <x:c r="H516" s="79" t="n">
        <x:f>ABS('Counter_PnL'!AV516-('Counter_PnL'!AK516+'Counter_PnL'!AT516))</x:f>
        <x:v>0</x:v>
      </x:c>
      <x:c r="I516" s="79" t="n">
        <x:f>ABS('Counter_PnL'!BE516-SUM('Counter_PnL'!AX516:'Counter_PnL'!BB516,'Counter_PnL'!BD516))</x:f>
        <x:v>0</x:v>
      </x:c>
      <x:c r="J516" s="79" t="n">
        <x:f>ABS('Counter_PnL'!BL516-SUM('Counter_PnL'!AV516,'Counter_PnL'!BE516,'Counter_PnL'!BJ516,'Counter_PnL'!BK516))</x:f>
        <x:v>0</x:v>
      </x:c>
      <x:c r="K516" s="79" t="n">
        <x:f>ABS('Counter_PnL'!BO516-('Counter_PnL'!BL516+'Counter_PnL'!BN516))</x:f>
        <x:v>0</x:v>
      </x:c>
      <x:c r="L516" s="79" t="n">
        <x:f>MAX(ABS('Counter_PnL'!AW516-'Counter_PnL'!AV516/'Counter_PnL'!AK516),ABS('Counter_PnL'!BM516-'Counter_PnL'!BL516/'Counter_PnL'!AK516),ABS('Counter_PnL'!BP516-'Counter_PnL'!BO516/'Counter_PnL'!AK516))</x:f>
        <x:v>0</x:v>
      </x:c>
      <x:c r="M516" s="30" t="n">
        <x:f>IF(AND('Counter_PnL'!Q516&gt;0,'Counter_PnL'!AK516&gt;0,'Counter_PnL'!R516&lt;=0,'Counter_PnL'!T516&lt;=0,'Counter_PnL'!AT516&lt;=0,'Counter_PnL'!BE516&lt;=0,'Counter_PnL'!BJ516&lt;=0,'Counter_PnL'!BK516&lt;=0,'Counter_PnL'!BN516&lt;=0),0,1)</x:f>
        <x:v>0</x:v>
      </x:c>
    </x:row>
    <x:row r="517">
      <x:c r="A517" t="str">
        <x:f>'Counter_PnL'!D517</x:f>
        <x:v>CNCT0129</x:v>
      </x:c>
      <x:c r="B517" t="str">
        <x:f>'Counter_PnL'!C517</x:f>
        <x:v>2026 S2</x:v>
      </x:c>
      <x:c r="C517" s="30" t="n">
        <x:f>COUNTIFS('Counter_PnL'!$D$2:$D$641,A517,'Counter_PnL'!$C$2:$C$641,B517)</x:f>
        <x:v>1</x:v>
      </x:c>
      <x:c r="D517" s="79" t="n">
        <x:f>ABS('Counter_PnL'!AC517-SUM('Counter_PnL'!V517:'Counter_PnL'!AB517))</x:f>
        <x:v>0</x:v>
      </x:c>
      <x:c r="E517" s="79" t="n">
        <x:f>ABS('Counter_PnL'!AI517-SUM('Counter_PnL'!R517,'Counter_PnL'!T517,'Counter_PnL'!AC517,'Counter_PnL'!AE517,'Counter_PnL'!AG517,'Counter_PnL'!AH517))</x:f>
        <x:v>0</x:v>
      </x:c>
      <x:c r="F517" s="79" t="n">
        <x:f>ABS('Counter_PnL'!AK517-('Counter_PnL'!Q517+'Counter_PnL'!AI517))</x:f>
        <x:v>0</x:v>
      </x:c>
      <x:c r="G517" s="79" t="n">
        <x:f>ABS('Counter_PnL'!AT517-SUM('Counter_PnL'!AO517:'Counter_PnL'!AS517))</x:f>
        <x:v>0</x:v>
      </x:c>
      <x:c r="H517" s="79" t="n">
        <x:f>ABS('Counter_PnL'!AV517-('Counter_PnL'!AK517+'Counter_PnL'!AT517))</x:f>
        <x:v>0</x:v>
      </x:c>
      <x:c r="I517" s="79" t="n">
        <x:f>ABS('Counter_PnL'!BE517-SUM('Counter_PnL'!AX517:'Counter_PnL'!BB517,'Counter_PnL'!BD517))</x:f>
        <x:v>0</x:v>
      </x:c>
      <x:c r="J517" s="79" t="n">
        <x:f>ABS('Counter_PnL'!BL517-SUM('Counter_PnL'!AV517,'Counter_PnL'!BE517,'Counter_PnL'!BJ517,'Counter_PnL'!BK517))</x:f>
        <x:v>0</x:v>
      </x:c>
      <x:c r="K517" s="79" t="n">
        <x:f>ABS('Counter_PnL'!BO517-('Counter_PnL'!BL517+'Counter_PnL'!BN517))</x:f>
        <x:v>0</x:v>
      </x:c>
      <x:c r="L517" s="79" t="n">
        <x:f>MAX(ABS('Counter_PnL'!AW517-'Counter_PnL'!AV517/'Counter_PnL'!AK517),ABS('Counter_PnL'!BM517-'Counter_PnL'!BL517/'Counter_PnL'!AK517),ABS('Counter_PnL'!BP517-'Counter_PnL'!BO517/'Counter_PnL'!AK517))</x:f>
        <x:v>0</x:v>
      </x:c>
      <x:c r="M517" s="30" t="n">
        <x:f>IF(AND('Counter_PnL'!Q517&gt;0,'Counter_PnL'!AK517&gt;0,'Counter_PnL'!R517&lt;=0,'Counter_PnL'!T517&lt;=0,'Counter_PnL'!AT517&lt;=0,'Counter_PnL'!BE517&lt;=0,'Counter_PnL'!BJ517&lt;=0,'Counter_PnL'!BK517&lt;=0,'Counter_PnL'!BN517&lt;=0),0,1)</x:f>
        <x:v>0</x:v>
      </x:c>
    </x:row>
    <x:row r="518">
      <x:c r="A518" t="str">
        <x:f>'Counter_PnL'!D518</x:f>
        <x:v>CNCT0130</x:v>
      </x:c>
      <x:c r="B518" t="str">
        <x:f>'Counter_PnL'!C518</x:f>
        <x:v>2025 S1</x:v>
      </x:c>
      <x:c r="C518" s="30" t="n">
        <x:f>COUNTIFS('Counter_PnL'!$D$2:$D$641,A518,'Counter_PnL'!$C$2:$C$641,B518)</x:f>
        <x:v>1</x:v>
      </x:c>
      <x:c r="D518" s="79" t="n">
        <x:f>ABS('Counter_PnL'!AC518-SUM('Counter_PnL'!V518:'Counter_PnL'!AB518))</x:f>
        <x:v>0</x:v>
      </x:c>
      <x:c r="E518" s="79" t="n">
        <x:f>ABS('Counter_PnL'!AI518-SUM('Counter_PnL'!R518,'Counter_PnL'!T518,'Counter_PnL'!AC518,'Counter_PnL'!AE518,'Counter_PnL'!AG518,'Counter_PnL'!AH518))</x:f>
        <x:v>0</x:v>
      </x:c>
      <x:c r="F518" s="79" t="n">
        <x:f>ABS('Counter_PnL'!AK518-('Counter_PnL'!Q518+'Counter_PnL'!AI518))</x:f>
        <x:v>0</x:v>
      </x:c>
      <x:c r="G518" s="79" t="n">
        <x:f>ABS('Counter_PnL'!AT518-SUM('Counter_PnL'!AO518:'Counter_PnL'!AS518))</x:f>
        <x:v>0</x:v>
      </x:c>
      <x:c r="H518" s="79" t="n">
        <x:f>ABS('Counter_PnL'!AV518-('Counter_PnL'!AK518+'Counter_PnL'!AT518))</x:f>
        <x:v>0</x:v>
      </x:c>
      <x:c r="I518" s="79" t="n">
        <x:f>ABS('Counter_PnL'!BE518-SUM('Counter_PnL'!AX518:'Counter_PnL'!BB518,'Counter_PnL'!BD518))</x:f>
        <x:v>0</x:v>
      </x:c>
      <x:c r="J518" s="79" t="n">
        <x:f>ABS('Counter_PnL'!BL518-SUM('Counter_PnL'!AV518,'Counter_PnL'!BE518,'Counter_PnL'!BJ518,'Counter_PnL'!BK518))</x:f>
        <x:v>0</x:v>
      </x:c>
      <x:c r="K518" s="79" t="n">
        <x:f>ABS('Counter_PnL'!BO518-('Counter_PnL'!BL518+'Counter_PnL'!BN518))</x:f>
        <x:v>0</x:v>
      </x:c>
      <x:c r="L518" s="79" t="n">
        <x:f>MAX(ABS('Counter_PnL'!AW518-'Counter_PnL'!AV518/'Counter_PnL'!AK518),ABS('Counter_PnL'!BM518-'Counter_PnL'!BL518/'Counter_PnL'!AK518),ABS('Counter_PnL'!BP518-'Counter_PnL'!BO518/'Counter_PnL'!AK518))</x:f>
        <x:v>0</x:v>
      </x:c>
      <x:c r="M518" s="30" t="n">
        <x:f>IF(AND('Counter_PnL'!Q518&gt;0,'Counter_PnL'!AK518&gt;0,'Counter_PnL'!R518&lt;=0,'Counter_PnL'!T518&lt;=0,'Counter_PnL'!AT518&lt;=0,'Counter_PnL'!BE518&lt;=0,'Counter_PnL'!BJ518&lt;=0,'Counter_PnL'!BK518&lt;=0,'Counter_PnL'!BN518&lt;=0),0,1)</x:f>
        <x:v>0</x:v>
      </x:c>
    </x:row>
    <x:row r="519">
      <x:c r="A519" t="str">
        <x:f>'Counter_PnL'!D519</x:f>
        <x:v>CNCT0130</x:v>
      </x:c>
      <x:c r="B519" t="str">
        <x:f>'Counter_PnL'!C519</x:f>
        <x:v>2025 S2</x:v>
      </x:c>
      <x:c r="C519" s="30" t="n">
        <x:f>COUNTIFS('Counter_PnL'!$D$2:$D$641,A519,'Counter_PnL'!$C$2:$C$641,B519)</x:f>
        <x:v>1</x:v>
      </x:c>
      <x:c r="D519" s="79" t="n">
        <x:f>ABS('Counter_PnL'!AC519-SUM('Counter_PnL'!V519:'Counter_PnL'!AB519))</x:f>
        <x:v>0</x:v>
      </x:c>
      <x:c r="E519" s="79" t="n">
        <x:f>ABS('Counter_PnL'!AI519-SUM('Counter_PnL'!R519,'Counter_PnL'!T519,'Counter_PnL'!AC519,'Counter_PnL'!AE519,'Counter_PnL'!AG519,'Counter_PnL'!AH519))</x:f>
        <x:v>0</x:v>
      </x:c>
      <x:c r="F519" s="79" t="n">
        <x:f>ABS('Counter_PnL'!AK519-('Counter_PnL'!Q519+'Counter_PnL'!AI519))</x:f>
        <x:v>0</x:v>
      </x:c>
      <x:c r="G519" s="79" t="n">
        <x:f>ABS('Counter_PnL'!AT519-SUM('Counter_PnL'!AO519:'Counter_PnL'!AS519))</x:f>
        <x:v>0</x:v>
      </x:c>
      <x:c r="H519" s="79" t="n">
        <x:f>ABS('Counter_PnL'!AV519-('Counter_PnL'!AK519+'Counter_PnL'!AT519))</x:f>
        <x:v>0</x:v>
      </x:c>
      <x:c r="I519" s="79" t="n">
        <x:f>ABS('Counter_PnL'!BE519-SUM('Counter_PnL'!AX519:'Counter_PnL'!BB519,'Counter_PnL'!BD519))</x:f>
        <x:v>0</x:v>
      </x:c>
      <x:c r="J519" s="79" t="n">
        <x:f>ABS('Counter_PnL'!BL519-SUM('Counter_PnL'!AV519,'Counter_PnL'!BE519,'Counter_PnL'!BJ519,'Counter_PnL'!BK519))</x:f>
        <x:v>0</x:v>
      </x:c>
      <x:c r="K519" s="79" t="n">
        <x:f>ABS('Counter_PnL'!BO519-('Counter_PnL'!BL519+'Counter_PnL'!BN519))</x:f>
        <x:v>0</x:v>
      </x:c>
      <x:c r="L519" s="79" t="n">
        <x:f>MAX(ABS('Counter_PnL'!AW519-'Counter_PnL'!AV519/'Counter_PnL'!AK519),ABS('Counter_PnL'!BM519-'Counter_PnL'!BL519/'Counter_PnL'!AK519),ABS('Counter_PnL'!BP519-'Counter_PnL'!BO519/'Counter_PnL'!AK519))</x:f>
        <x:v>0</x:v>
      </x:c>
      <x:c r="M519" s="30" t="n">
        <x:f>IF(AND('Counter_PnL'!Q519&gt;0,'Counter_PnL'!AK519&gt;0,'Counter_PnL'!R519&lt;=0,'Counter_PnL'!T519&lt;=0,'Counter_PnL'!AT519&lt;=0,'Counter_PnL'!BE519&lt;=0,'Counter_PnL'!BJ519&lt;=0,'Counter_PnL'!BK519&lt;=0,'Counter_PnL'!BN519&lt;=0),0,1)</x:f>
        <x:v>0</x:v>
      </x:c>
    </x:row>
    <x:row r="520">
      <x:c r="A520" t="str">
        <x:f>'Counter_PnL'!D520</x:f>
        <x:v>CNCT0130</x:v>
      </x:c>
      <x:c r="B520" t="str">
        <x:f>'Counter_PnL'!C520</x:f>
        <x:v>2026 S1</x:v>
      </x:c>
      <x:c r="C520" s="30" t="n">
        <x:f>COUNTIFS('Counter_PnL'!$D$2:$D$641,A520,'Counter_PnL'!$C$2:$C$641,B520)</x:f>
        <x:v>1</x:v>
      </x:c>
      <x:c r="D520" s="79" t="n">
        <x:f>ABS('Counter_PnL'!AC520-SUM('Counter_PnL'!V520:'Counter_PnL'!AB520))</x:f>
        <x:v>0</x:v>
      </x:c>
      <x:c r="E520" s="79" t="n">
        <x:f>ABS('Counter_PnL'!AI520-SUM('Counter_PnL'!R520,'Counter_PnL'!T520,'Counter_PnL'!AC520,'Counter_PnL'!AE520,'Counter_PnL'!AG520,'Counter_PnL'!AH520))</x:f>
        <x:v>0</x:v>
      </x:c>
      <x:c r="F520" s="79" t="n">
        <x:f>ABS('Counter_PnL'!AK520-('Counter_PnL'!Q520+'Counter_PnL'!AI520))</x:f>
        <x:v>0</x:v>
      </x:c>
      <x:c r="G520" s="79" t="n">
        <x:f>ABS('Counter_PnL'!AT520-SUM('Counter_PnL'!AO520:'Counter_PnL'!AS520))</x:f>
        <x:v>0</x:v>
      </x:c>
      <x:c r="H520" s="79" t="n">
        <x:f>ABS('Counter_PnL'!AV520-('Counter_PnL'!AK520+'Counter_PnL'!AT520))</x:f>
        <x:v>0</x:v>
      </x:c>
      <x:c r="I520" s="79" t="n">
        <x:f>ABS('Counter_PnL'!BE520-SUM('Counter_PnL'!AX520:'Counter_PnL'!BB520,'Counter_PnL'!BD520))</x:f>
        <x:v>0</x:v>
      </x:c>
      <x:c r="J520" s="79" t="n">
        <x:f>ABS('Counter_PnL'!BL520-SUM('Counter_PnL'!AV520,'Counter_PnL'!BE520,'Counter_PnL'!BJ520,'Counter_PnL'!BK520))</x:f>
        <x:v>0</x:v>
      </x:c>
      <x:c r="K520" s="79" t="n">
        <x:f>ABS('Counter_PnL'!BO520-('Counter_PnL'!BL520+'Counter_PnL'!BN520))</x:f>
        <x:v>0</x:v>
      </x:c>
      <x:c r="L520" s="79" t="n">
        <x:f>MAX(ABS('Counter_PnL'!AW520-'Counter_PnL'!AV520/'Counter_PnL'!AK520),ABS('Counter_PnL'!BM520-'Counter_PnL'!BL520/'Counter_PnL'!AK520),ABS('Counter_PnL'!BP520-'Counter_PnL'!BO520/'Counter_PnL'!AK520))</x:f>
        <x:v>0</x:v>
      </x:c>
      <x:c r="M520" s="30" t="n">
        <x:f>IF(AND('Counter_PnL'!Q520&gt;0,'Counter_PnL'!AK520&gt;0,'Counter_PnL'!R520&lt;=0,'Counter_PnL'!T520&lt;=0,'Counter_PnL'!AT520&lt;=0,'Counter_PnL'!BE520&lt;=0,'Counter_PnL'!BJ520&lt;=0,'Counter_PnL'!BK520&lt;=0,'Counter_PnL'!BN520&lt;=0),0,1)</x:f>
        <x:v>0</x:v>
      </x:c>
    </x:row>
    <x:row r="521">
      <x:c r="A521" t="str">
        <x:f>'Counter_PnL'!D521</x:f>
        <x:v>CNCT0130</x:v>
      </x:c>
      <x:c r="B521" t="str">
        <x:f>'Counter_PnL'!C521</x:f>
        <x:v>2026 S2</x:v>
      </x:c>
      <x:c r="C521" s="30" t="n">
        <x:f>COUNTIFS('Counter_PnL'!$D$2:$D$641,A521,'Counter_PnL'!$C$2:$C$641,B521)</x:f>
        <x:v>1</x:v>
      </x:c>
      <x:c r="D521" s="79" t="n">
        <x:f>ABS('Counter_PnL'!AC521-SUM('Counter_PnL'!V521:'Counter_PnL'!AB521))</x:f>
        <x:v>0</x:v>
      </x:c>
      <x:c r="E521" s="79" t="n">
        <x:f>ABS('Counter_PnL'!AI521-SUM('Counter_PnL'!R521,'Counter_PnL'!T521,'Counter_PnL'!AC521,'Counter_PnL'!AE521,'Counter_PnL'!AG521,'Counter_PnL'!AH521))</x:f>
        <x:v>0</x:v>
      </x:c>
      <x:c r="F521" s="79" t="n">
        <x:f>ABS('Counter_PnL'!AK521-('Counter_PnL'!Q521+'Counter_PnL'!AI521))</x:f>
        <x:v>0</x:v>
      </x:c>
      <x:c r="G521" s="79" t="n">
        <x:f>ABS('Counter_PnL'!AT521-SUM('Counter_PnL'!AO521:'Counter_PnL'!AS521))</x:f>
        <x:v>0</x:v>
      </x:c>
      <x:c r="H521" s="79" t="n">
        <x:f>ABS('Counter_PnL'!AV521-('Counter_PnL'!AK521+'Counter_PnL'!AT521))</x:f>
        <x:v>0</x:v>
      </x:c>
      <x:c r="I521" s="79" t="n">
        <x:f>ABS('Counter_PnL'!BE521-SUM('Counter_PnL'!AX521:'Counter_PnL'!BB521,'Counter_PnL'!BD521))</x:f>
        <x:v>0</x:v>
      </x:c>
      <x:c r="J521" s="79" t="n">
        <x:f>ABS('Counter_PnL'!BL521-SUM('Counter_PnL'!AV521,'Counter_PnL'!BE521,'Counter_PnL'!BJ521,'Counter_PnL'!BK521))</x:f>
        <x:v>0</x:v>
      </x:c>
      <x:c r="K521" s="79" t="n">
        <x:f>ABS('Counter_PnL'!BO521-('Counter_PnL'!BL521+'Counter_PnL'!BN521))</x:f>
        <x:v>0</x:v>
      </x:c>
      <x:c r="L521" s="79" t="n">
        <x:f>MAX(ABS('Counter_PnL'!AW521-'Counter_PnL'!AV521/'Counter_PnL'!AK521),ABS('Counter_PnL'!BM521-'Counter_PnL'!BL521/'Counter_PnL'!AK521),ABS('Counter_PnL'!BP521-'Counter_PnL'!BO521/'Counter_PnL'!AK521))</x:f>
        <x:v>0</x:v>
      </x:c>
      <x:c r="M521" s="30" t="n">
        <x:f>IF(AND('Counter_PnL'!Q521&gt;0,'Counter_PnL'!AK521&gt;0,'Counter_PnL'!R521&lt;=0,'Counter_PnL'!T521&lt;=0,'Counter_PnL'!AT521&lt;=0,'Counter_PnL'!BE521&lt;=0,'Counter_PnL'!BJ521&lt;=0,'Counter_PnL'!BK521&lt;=0,'Counter_PnL'!BN521&lt;=0),0,1)</x:f>
        <x:v>0</x:v>
      </x:c>
    </x:row>
    <x:row r="522">
      <x:c r="A522" t="str">
        <x:f>'Counter_PnL'!D522</x:f>
        <x:v>CNCT0131</x:v>
      </x:c>
      <x:c r="B522" t="str">
        <x:f>'Counter_PnL'!C522</x:f>
        <x:v>2025 S1</x:v>
      </x:c>
      <x:c r="C522" s="30" t="n">
        <x:f>COUNTIFS('Counter_PnL'!$D$2:$D$641,A522,'Counter_PnL'!$C$2:$C$641,B522)</x:f>
        <x:v>1</x:v>
      </x:c>
      <x:c r="D522" s="79" t="n">
        <x:f>ABS('Counter_PnL'!AC522-SUM('Counter_PnL'!V522:'Counter_PnL'!AB522))</x:f>
        <x:v>0</x:v>
      </x:c>
      <x:c r="E522" s="79" t="n">
        <x:f>ABS('Counter_PnL'!AI522-SUM('Counter_PnL'!R522,'Counter_PnL'!T522,'Counter_PnL'!AC522,'Counter_PnL'!AE522,'Counter_PnL'!AG522,'Counter_PnL'!AH522))</x:f>
        <x:v>0</x:v>
      </x:c>
      <x:c r="F522" s="79" t="n">
        <x:f>ABS('Counter_PnL'!AK522-('Counter_PnL'!Q522+'Counter_PnL'!AI522))</x:f>
        <x:v>0</x:v>
      </x:c>
      <x:c r="G522" s="79" t="n">
        <x:f>ABS('Counter_PnL'!AT522-SUM('Counter_PnL'!AO522:'Counter_PnL'!AS522))</x:f>
        <x:v>0</x:v>
      </x:c>
      <x:c r="H522" s="79" t="n">
        <x:f>ABS('Counter_PnL'!AV522-('Counter_PnL'!AK522+'Counter_PnL'!AT522))</x:f>
        <x:v>0</x:v>
      </x:c>
      <x:c r="I522" s="79" t="n">
        <x:f>ABS('Counter_PnL'!BE522-SUM('Counter_PnL'!AX522:'Counter_PnL'!BB522,'Counter_PnL'!BD522))</x:f>
        <x:v>0</x:v>
      </x:c>
      <x:c r="J522" s="79" t="n">
        <x:f>ABS('Counter_PnL'!BL522-SUM('Counter_PnL'!AV522,'Counter_PnL'!BE522,'Counter_PnL'!BJ522,'Counter_PnL'!BK522))</x:f>
        <x:v>0</x:v>
      </x:c>
      <x:c r="K522" s="79" t="n">
        <x:f>ABS('Counter_PnL'!BO522-('Counter_PnL'!BL522+'Counter_PnL'!BN522))</x:f>
        <x:v>0</x:v>
      </x:c>
      <x:c r="L522" s="79" t="n">
        <x:f>MAX(ABS('Counter_PnL'!AW522-'Counter_PnL'!AV522/'Counter_PnL'!AK522),ABS('Counter_PnL'!BM522-'Counter_PnL'!BL522/'Counter_PnL'!AK522),ABS('Counter_PnL'!BP522-'Counter_PnL'!BO522/'Counter_PnL'!AK522))</x:f>
        <x:v>0</x:v>
      </x:c>
      <x:c r="M522" s="30" t="n">
        <x:f>IF(AND('Counter_PnL'!Q522&gt;0,'Counter_PnL'!AK522&gt;0,'Counter_PnL'!R522&lt;=0,'Counter_PnL'!T522&lt;=0,'Counter_PnL'!AT522&lt;=0,'Counter_PnL'!BE522&lt;=0,'Counter_PnL'!BJ522&lt;=0,'Counter_PnL'!BK522&lt;=0,'Counter_PnL'!BN522&lt;=0),0,1)</x:f>
        <x:v>0</x:v>
      </x:c>
    </x:row>
    <x:row r="523">
      <x:c r="A523" t="str">
        <x:f>'Counter_PnL'!D523</x:f>
        <x:v>CNCT0131</x:v>
      </x:c>
      <x:c r="B523" t="str">
        <x:f>'Counter_PnL'!C523</x:f>
        <x:v>2025 S2</x:v>
      </x:c>
      <x:c r="C523" s="30" t="n">
        <x:f>COUNTIFS('Counter_PnL'!$D$2:$D$641,A523,'Counter_PnL'!$C$2:$C$641,B523)</x:f>
        <x:v>1</x:v>
      </x:c>
      <x:c r="D523" s="79" t="n">
        <x:f>ABS('Counter_PnL'!AC523-SUM('Counter_PnL'!V523:'Counter_PnL'!AB523))</x:f>
        <x:v>0</x:v>
      </x:c>
      <x:c r="E523" s="79" t="n">
        <x:f>ABS('Counter_PnL'!AI523-SUM('Counter_PnL'!R523,'Counter_PnL'!T523,'Counter_PnL'!AC523,'Counter_PnL'!AE523,'Counter_PnL'!AG523,'Counter_PnL'!AH523))</x:f>
        <x:v>0</x:v>
      </x:c>
      <x:c r="F523" s="79" t="n">
        <x:f>ABS('Counter_PnL'!AK523-('Counter_PnL'!Q523+'Counter_PnL'!AI523))</x:f>
        <x:v>0</x:v>
      </x:c>
      <x:c r="G523" s="79" t="n">
        <x:f>ABS('Counter_PnL'!AT523-SUM('Counter_PnL'!AO523:'Counter_PnL'!AS523))</x:f>
        <x:v>0</x:v>
      </x:c>
      <x:c r="H523" s="79" t="n">
        <x:f>ABS('Counter_PnL'!AV523-('Counter_PnL'!AK523+'Counter_PnL'!AT523))</x:f>
        <x:v>0</x:v>
      </x:c>
      <x:c r="I523" s="79" t="n">
        <x:f>ABS('Counter_PnL'!BE523-SUM('Counter_PnL'!AX523:'Counter_PnL'!BB523,'Counter_PnL'!BD523))</x:f>
        <x:v>0</x:v>
      </x:c>
      <x:c r="J523" s="79" t="n">
        <x:f>ABS('Counter_PnL'!BL523-SUM('Counter_PnL'!AV523,'Counter_PnL'!BE523,'Counter_PnL'!BJ523,'Counter_PnL'!BK523))</x:f>
        <x:v>0</x:v>
      </x:c>
      <x:c r="K523" s="79" t="n">
        <x:f>ABS('Counter_PnL'!BO523-('Counter_PnL'!BL523+'Counter_PnL'!BN523))</x:f>
        <x:v>0</x:v>
      </x:c>
      <x:c r="L523" s="79" t="n">
        <x:f>MAX(ABS('Counter_PnL'!AW523-'Counter_PnL'!AV523/'Counter_PnL'!AK523),ABS('Counter_PnL'!BM523-'Counter_PnL'!BL523/'Counter_PnL'!AK523),ABS('Counter_PnL'!BP523-'Counter_PnL'!BO523/'Counter_PnL'!AK523))</x:f>
        <x:v>0</x:v>
      </x:c>
      <x:c r="M523" s="30" t="n">
        <x:f>IF(AND('Counter_PnL'!Q523&gt;0,'Counter_PnL'!AK523&gt;0,'Counter_PnL'!R523&lt;=0,'Counter_PnL'!T523&lt;=0,'Counter_PnL'!AT523&lt;=0,'Counter_PnL'!BE523&lt;=0,'Counter_PnL'!BJ523&lt;=0,'Counter_PnL'!BK523&lt;=0,'Counter_PnL'!BN523&lt;=0),0,1)</x:f>
        <x:v>0</x:v>
      </x:c>
    </x:row>
    <x:row r="524">
      <x:c r="A524" t="str">
        <x:f>'Counter_PnL'!D524</x:f>
        <x:v>CNCT0131</x:v>
      </x:c>
      <x:c r="B524" t="str">
        <x:f>'Counter_PnL'!C524</x:f>
        <x:v>2026 S1</x:v>
      </x:c>
      <x:c r="C524" s="30" t="n">
        <x:f>COUNTIFS('Counter_PnL'!$D$2:$D$641,A524,'Counter_PnL'!$C$2:$C$641,B524)</x:f>
        <x:v>1</x:v>
      </x:c>
      <x:c r="D524" s="79" t="n">
        <x:f>ABS('Counter_PnL'!AC524-SUM('Counter_PnL'!V524:'Counter_PnL'!AB524))</x:f>
        <x:v>0</x:v>
      </x:c>
      <x:c r="E524" s="79" t="n">
        <x:f>ABS('Counter_PnL'!AI524-SUM('Counter_PnL'!R524,'Counter_PnL'!T524,'Counter_PnL'!AC524,'Counter_PnL'!AE524,'Counter_PnL'!AG524,'Counter_PnL'!AH524))</x:f>
        <x:v>0</x:v>
      </x:c>
      <x:c r="F524" s="79" t="n">
        <x:f>ABS('Counter_PnL'!AK524-('Counter_PnL'!Q524+'Counter_PnL'!AI524))</x:f>
        <x:v>0</x:v>
      </x:c>
      <x:c r="G524" s="79" t="n">
        <x:f>ABS('Counter_PnL'!AT524-SUM('Counter_PnL'!AO524:'Counter_PnL'!AS524))</x:f>
        <x:v>0</x:v>
      </x:c>
      <x:c r="H524" s="79" t="n">
        <x:f>ABS('Counter_PnL'!AV524-('Counter_PnL'!AK524+'Counter_PnL'!AT524))</x:f>
        <x:v>0</x:v>
      </x:c>
      <x:c r="I524" s="79" t="n">
        <x:f>ABS('Counter_PnL'!BE524-SUM('Counter_PnL'!AX524:'Counter_PnL'!BB524,'Counter_PnL'!BD524))</x:f>
        <x:v>0</x:v>
      </x:c>
      <x:c r="J524" s="79" t="n">
        <x:f>ABS('Counter_PnL'!BL524-SUM('Counter_PnL'!AV524,'Counter_PnL'!BE524,'Counter_PnL'!BJ524,'Counter_PnL'!BK524))</x:f>
        <x:v>0</x:v>
      </x:c>
      <x:c r="K524" s="79" t="n">
        <x:f>ABS('Counter_PnL'!BO524-('Counter_PnL'!BL524+'Counter_PnL'!BN524))</x:f>
        <x:v>0</x:v>
      </x:c>
      <x:c r="L524" s="79" t="n">
        <x:f>MAX(ABS('Counter_PnL'!AW524-'Counter_PnL'!AV524/'Counter_PnL'!AK524),ABS('Counter_PnL'!BM524-'Counter_PnL'!BL524/'Counter_PnL'!AK524),ABS('Counter_PnL'!BP524-'Counter_PnL'!BO524/'Counter_PnL'!AK524))</x:f>
        <x:v>0</x:v>
      </x:c>
      <x:c r="M524" s="30" t="n">
        <x:f>IF(AND('Counter_PnL'!Q524&gt;0,'Counter_PnL'!AK524&gt;0,'Counter_PnL'!R524&lt;=0,'Counter_PnL'!T524&lt;=0,'Counter_PnL'!AT524&lt;=0,'Counter_PnL'!BE524&lt;=0,'Counter_PnL'!BJ524&lt;=0,'Counter_PnL'!BK524&lt;=0,'Counter_PnL'!BN524&lt;=0),0,1)</x:f>
        <x:v>0</x:v>
      </x:c>
    </x:row>
    <x:row r="525">
      <x:c r="A525" t="str">
        <x:f>'Counter_PnL'!D525</x:f>
        <x:v>CNCT0131</x:v>
      </x:c>
      <x:c r="B525" t="str">
        <x:f>'Counter_PnL'!C525</x:f>
        <x:v>2026 S2</x:v>
      </x:c>
      <x:c r="C525" s="30" t="n">
        <x:f>COUNTIFS('Counter_PnL'!$D$2:$D$641,A525,'Counter_PnL'!$C$2:$C$641,B525)</x:f>
        <x:v>1</x:v>
      </x:c>
      <x:c r="D525" s="79" t="n">
        <x:f>ABS('Counter_PnL'!AC525-SUM('Counter_PnL'!V525:'Counter_PnL'!AB525))</x:f>
        <x:v>0</x:v>
      </x:c>
      <x:c r="E525" s="79" t="n">
        <x:f>ABS('Counter_PnL'!AI525-SUM('Counter_PnL'!R525,'Counter_PnL'!T525,'Counter_PnL'!AC525,'Counter_PnL'!AE525,'Counter_PnL'!AG525,'Counter_PnL'!AH525))</x:f>
        <x:v>0</x:v>
      </x:c>
      <x:c r="F525" s="79" t="n">
        <x:f>ABS('Counter_PnL'!AK525-('Counter_PnL'!Q525+'Counter_PnL'!AI525))</x:f>
        <x:v>0</x:v>
      </x:c>
      <x:c r="G525" s="79" t="n">
        <x:f>ABS('Counter_PnL'!AT525-SUM('Counter_PnL'!AO525:'Counter_PnL'!AS525))</x:f>
        <x:v>0</x:v>
      </x:c>
      <x:c r="H525" s="79" t="n">
        <x:f>ABS('Counter_PnL'!AV525-('Counter_PnL'!AK525+'Counter_PnL'!AT525))</x:f>
        <x:v>0</x:v>
      </x:c>
      <x:c r="I525" s="79" t="n">
        <x:f>ABS('Counter_PnL'!BE525-SUM('Counter_PnL'!AX525:'Counter_PnL'!BB525,'Counter_PnL'!BD525))</x:f>
        <x:v>0</x:v>
      </x:c>
      <x:c r="J525" s="79" t="n">
        <x:f>ABS('Counter_PnL'!BL525-SUM('Counter_PnL'!AV525,'Counter_PnL'!BE525,'Counter_PnL'!BJ525,'Counter_PnL'!BK525))</x:f>
        <x:v>0</x:v>
      </x:c>
      <x:c r="K525" s="79" t="n">
        <x:f>ABS('Counter_PnL'!BO525-('Counter_PnL'!BL525+'Counter_PnL'!BN525))</x:f>
        <x:v>0</x:v>
      </x:c>
      <x:c r="L525" s="79" t="n">
        <x:f>MAX(ABS('Counter_PnL'!AW525-'Counter_PnL'!AV525/'Counter_PnL'!AK525),ABS('Counter_PnL'!BM525-'Counter_PnL'!BL525/'Counter_PnL'!AK525),ABS('Counter_PnL'!BP525-'Counter_PnL'!BO525/'Counter_PnL'!AK525))</x:f>
        <x:v>0</x:v>
      </x:c>
      <x:c r="M525" s="30" t="n">
        <x:f>IF(AND('Counter_PnL'!Q525&gt;0,'Counter_PnL'!AK525&gt;0,'Counter_PnL'!R525&lt;=0,'Counter_PnL'!T525&lt;=0,'Counter_PnL'!AT525&lt;=0,'Counter_PnL'!BE525&lt;=0,'Counter_PnL'!BJ525&lt;=0,'Counter_PnL'!BK525&lt;=0,'Counter_PnL'!BN525&lt;=0),0,1)</x:f>
        <x:v>0</x:v>
      </x:c>
    </x:row>
    <x:row r="526">
      <x:c r="A526" t="str">
        <x:f>'Counter_PnL'!D526</x:f>
        <x:v>CNCT0132</x:v>
      </x:c>
      <x:c r="B526" t="str">
        <x:f>'Counter_PnL'!C526</x:f>
        <x:v>2025 S1</x:v>
      </x:c>
      <x:c r="C526" s="30" t="n">
        <x:f>COUNTIFS('Counter_PnL'!$D$2:$D$641,A526,'Counter_PnL'!$C$2:$C$641,B526)</x:f>
        <x:v>1</x:v>
      </x:c>
      <x:c r="D526" s="79" t="n">
        <x:f>ABS('Counter_PnL'!AC526-SUM('Counter_PnL'!V526:'Counter_PnL'!AB526))</x:f>
        <x:v>0</x:v>
      </x:c>
      <x:c r="E526" s="79" t="n">
        <x:f>ABS('Counter_PnL'!AI526-SUM('Counter_PnL'!R526,'Counter_PnL'!T526,'Counter_PnL'!AC526,'Counter_PnL'!AE526,'Counter_PnL'!AG526,'Counter_PnL'!AH526))</x:f>
        <x:v>0</x:v>
      </x:c>
      <x:c r="F526" s="79" t="n">
        <x:f>ABS('Counter_PnL'!AK526-('Counter_PnL'!Q526+'Counter_PnL'!AI526))</x:f>
        <x:v>0</x:v>
      </x:c>
      <x:c r="G526" s="79" t="n">
        <x:f>ABS('Counter_PnL'!AT526-SUM('Counter_PnL'!AO526:'Counter_PnL'!AS526))</x:f>
        <x:v>0</x:v>
      </x:c>
      <x:c r="H526" s="79" t="n">
        <x:f>ABS('Counter_PnL'!AV526-('Counter_PnL'!AK526+'Counter_PnL'!AT526))</x:f>
        <x:v>0</x:v>
      </x:c>
      <x:c r="I526" s="79" t="n">
        <x:f>ABS('Counter_PnL'!BE526-SUM('Counter_PnL'!AX526:'Counter_PnL'!BB526,'Counter_PnL'!BD526))</x:f>
        <x:v>0</x:v>
      </x:c>
      <x:c r="J526" s="79" t="n">
        <x:f>ABS('Counter_PnL'!BL526-SUM('Counter_PnL'!AV526,'Counter_PnL'!BE526,'Counter_PnL'!BJ526,'Counter_PnL'!BK526))</x:f>
        <x:v>0</x:v>
      </x:c>
      <x:c r="K526" s="79" t="n">
        <x:f>ABS('Counter_PnL'!BO526-('Counter_PnL'!BL526+'Counter_PnL'!BN526))</x:f>
        <x:v>0</x:v>
      </x:c>
      <x:c r="L526" s="79" t="n">
        <x:f>MAX(ABS('Counter_PnL'!AW526-'Counter_PnL'!AV526/'Counter_PnL'!AK526),ABS('Counter_PnL'!BM526-'Counter_PnL'!BL526/'Counter_PnL'!AK526),ABS('Counter_PnL'!BP526-'Counter_PnL'!BO526/'Counter_PnL'!AK526))</x:f>
        <x:v>0</x:v>
      </x:c>
      <x:c r="M526" s="30" t="n">
        <x:f>IF(AND('Counter_PnL'!Q526&gt;0,'Counter_PnL'!AK526&gt;0,'Counter_PnL'!R526&lt;=0,'Counter_PnL'!T526&lt;=0,'Counter_PnL'!AT526&lt;=0,'Counter_PnL'!BE526&lt;=0,'Counter_PnL'!BJ526&lt;=0,'Counter_PnL'!BK526&lt;=0,'Counter_PnL'!BN526&lt;=0),0,1)</x:f>
        <x:v>0</x:v>
      </x:c>
    </x:row>
    <x:row r="527">
      <x:c r="A527" t="str">
        <x:f>'Counter_PnL'!D527</x:f>
        <x:v>CNCT0132</x:v>
      </x:c>
      <x:c r="B527" t="str">
        <x:f>'Counter_PnL'!C527</x:f>
        <x:v>2025 S2</x:v>
      </x:c>
      <x:c r="C527" s="30" t="n">
        <x:f>COUNTIFS('Counter_PnL'!$D$2:$D$641,A527,'Counter_PnL'!$C$2:$C$641,B527)</x:f>
        <x:v>1</x:v>
      </x:c>
      <x:c r="D527" s="79" t="n">
        <x:f>ABS('Counter_PnL'!AC527-SUM('Counter_PnL'!V527:'Counter_PnL'!AB527))</x:f>
        <x:v>0</x:v>
      </x:c>
      <x:c r="E527" s="79" t="n">
        <x:f>ABS('Counter_PnL'!AI527-SUM('Counter_PnL'!R527,'Counter_PnL'!T527,'Counter_PnL'!AC527,'Counter_PnL'!AE527,'Counter_PnL'!AG527,'Counter_PnL'!AH527))</x:f>
        <x:v>0</x:v>
      </x:c>
      <x:c r="F527" s="79" t="n">
        <x:f>ABS('Counter_PnL'!AK527-('Counter_PnL'!Q527+'Counter_PnL'!AI527))</x:f>
        <x:v>0</x:v>
      </x:c>
      <x:c r="G527" s="79" t="n">
        <x:f>ABS('Counter_PnL'!AT527-SUM('Counter_PnL'!AO527:'Counter_PnL'!AS527))</x:f>
        <x:v>0</x:v>
      </x:c>
      <x:c r="H527" s="79" t="n">
        <x:f>ABS('Counter_PnL'!AV527-('Counter_PnL'!AK527+'Counter_PnL'!AT527))</x:f>
        <x:v>0</x:v>
      </x:c>
      <x:c r="I527" s="79" t="n">
        <x:f>ABS('Counter_PnL'!BE527-SUM('Counter_PnL'!AX527:'Counter_PnL'!BB527,'Counter_PnL'!BD527))</x:f>
        <x:v>0</x:v>
      </x:c>
      <x:c r="J527" s="79" t="n">
        <x:f>ABS('Counter_PnL'!BL527-SUM('Counter_PnL'!AV527,'Counter_PnL'!BE527,'Counter_PnL'!BJ527,'Counter_PnL'!BK527))</x:f>
        <x:v>0</x:v>
      </x:c>
      <x:c r="K527" s="79" t="n">
        <x:f>ABS('Counter_PnL'!BO527-('Counter_PnL'!BL527+'Counter_PnL'!BN527))</x:f>
        <x:v>0</x:v>
      </x:c>
      <x:c r="L527" s="79" t="n">
        <x:f>MAX(ABS('Counter_PnL'!AW527-'Counter_PnL'!AV527/'Counter_PnL'!AK527),ABS('Counter_PnL'!BM527-'Counter_PnL'!BL527/'Counter_PnL'!AK527),ABS('Counter_PnL'!BP527-'Counter_PnL'!BO527/'Counter_PnL'!AK527))</x:f>
        <x:v>0</x:v>
      </x:c>
      <x:c r="M527" s="30" t="n">
        <x:f>IF(AND('Counter_PnL'!Q527&gt;0,'Counter_PnL'!AK527&gt;0,'Counter_PnL'!R527&lt;=0,'Counter_PnL'!T527&lt;=0,'Counter_PnL'!AT527&lt;=0,'Counter_PnL'!BE527&lt;=0,'Counter_PnL'!BJ527&lt;=0,'Counter_PnL'!BK527&lt;=0,'Counter_PnL'!BN527&lt;=0),0,1)</x:f>
        <x:v>0</x:v>
      </x:c>
    </x:row>
    <x:row r="528">
      <x:c r="A528" t="str">
        <x:f>'Counter_PnL'!D528</x:f>
        <x:v>CNCT0132</x:v>
      </x:c>
      <x:c r="B528" t="str">
        <x:f>'Counter_PnL'!C528</x:f>
        <x:v>2026 S1</x:v>
      </x:c>
      <x:c r="C528" s="30" t="n">
        <x:f>COUNTIFS('Counter_PnL'!$D$2:$D$641,A528,'Counter_PnL'!$C$2:$C$641,B528)</x:f>
        <x:v>1</x:v>
      </x:c>
      <x:c r="D528" s="79" t="n">
        <x:f>ABS('Counter_PnL'!AC528-SUM('Counter_PnL'!V528:'Counter_PnL'!AB528))</x:f>
        <x:v>0</x:v>
      </x:c>
      <x:c r="E528" s="79" t="n">
        <x:f>ABS('Counter_PnL'!AI528-SUM('Counter_PnL'!R528,'Counter_PnL'!T528,'Counter_PnL'!AC528,'Counter_PnL'!AE528,'Counter_PnL'!AG528,'Counter_PnL'!AH528))</x:f>
        <x:v>0</x:v>
      </x:c>
      <x:c r="F528" s="79" t="n">
        <x:f>ABS('Counter_PnL'!AK528-('Counter_PnL'!Q528+'Counter_PnL'!AI528))</x:f>
        <x:v>0</x:v>
      </x:c>
      <x:c r="G528" s="79" t="n">
        <x:f>ABS('Counter_PnL'!AT528-SUM('Counter_PnL'!AO528:'Counter_PnL'!AS528))</x:f>
        <x:v>0</x:v>
      </x:c>
      <x:c r="H528" s="79" t="n">
        <x:f>ABS('Counter_PnL'!AV528-('Counter_PnL'!AK528+'Counter_PnL'!AT528))</x:f>
        <x:v>0</x:v>
      </x:c>
      <x:c r="I528" s="79" t="n">
        <x:f>ABS('Counter_PnL'!BE528-SUM('Counter_PnL'!AX528:'Counter_PnL'!BB528,'Counter_PnL'!BD528))</x:f>
        <x:v>0</x:v>
      </x:c>
      <x:c r="J528" s="79" t="n">
        <x:f>ABS('Counter_PnL'!BL528-SUM('Counter_PnL'!AV528,'Counter_PnL'!BE528,'Counter_PnL'!BJ528,'Counter_PnL'!BK528))</x:f>
        <x:v>0</x:v>
      </x:c>
      <x:c r="K528" s="79" t="n">
        <x:f>ABS('Counter_PnL'!BO528-('Counter_PnL'!BL528+'Counter_PnL'!BN528))</x:f>
        <x:v>0</x:v>
      </x:c>
      <x:c r="L528" s="79" t="n">
        <x:f>MAX(ABS('Counter_PnL'!AW528-'Counter_PnL'!AV528/'Counter_PnL'!AK528),ABS('Counter_PnL'!BM528-'Counter_PnL'!BL528/'Counter_PnL'!AK528),ABS('Counter_PnL'!BP528-'Counter_PnL'!BO528/'Counter_PnL'!AK528))</x:f>
        <x:v>0</x:v>
      </x:c>
      <x:c r="M528" s="30" t="n">
        <x:f>IF(AND('Counter_PnL'!Q528&gt;0,'Counter_PnL'!AK528&gt;0,'Counter_PnL'!R528&lt;=0,'Counter_PnL'!T528&lt;=0,'Counter_PnL'!AT528&lt;=0,'Counter_PnL'!BE528&lt;=0,'Counter_PnL'!BJ528&lt;=0,'Counter_PnL'!BK528&lt;=0,'Counter_PnL'!BN528&lt;=0),0,1)</x:f>
        <x:v>0</x:v>
      </x:c>
    </x:row>
    <x:row r="529">
      <x:c r="A529" t="str">
        <x:f>'Counter_PnL'!D529</x:f>
        <x:v>CNCT0132</x:v>
      </x:c>
      <x:c r="B529" t="str">
        <x:f>'Counter_PnL'!C529</x:f>
        <x:v>2026 S2</x:v>
      </x:c>
      <x:c r="C529" s="30" t="n">
        <x:f>COUNTIFS('Counter_PnL'!$D$2:$D$641,A529,'Counter_PnL'!$C$2:$C$641,B529)</x:f>
        <x:v>1</x:v>
      </x:c>
      <x:c r="D529" s="79" t="n">
        <x:f>ABS('Counter_PnL'!AC529-SUM('Counter_PnL'!V529:'Counter_PnL'!AB529))</x:f>
        <x:v>0</x:v>
      </x:c>
      <x:c r="E529" s="79" t="n">
        <x:f>ABS('Counter_PnL'!AI529-SUM('Counter_PnL'!R529,'Counter_PnL'!T529,'Counter_PnL'!AC529,'Counter_PnL'!AE529,'Counter_PnL'!AG529,'Counter_PnL'!AH529))</x:f>
        <x:v>0</x:v>
      </x:c>
      <x:c r="F529" s="79" t="n">
        <x:f>ABS('Counter_PnL'!AK529-('Counter_PnL'!Q529+'Counter_PnL'!AI529))</x:f>
        <x:v>0</x:v>
      </x:c>
      <x:c r="G529" s="79" t="n">
        <x:f>ABS('Counter_PnL'!AT529-SUM('Counter_PnL'!AO529:'Counter_PnL'!AS529))</x:f>
        <x:v>0</x:v>
      </x:c>
      <x:c r="H529" s="79" t="n">
        <x:f>ABS('Counter_PnL'!AV529-('Counter_PnL'!AK529+'Counter_PnL'!AT529))</x:f>
        <x:v>0</x:v>
      </x:c>
      <x:c r="I529" s="79" t="n">
        <x:f>ABS('Counter_PnL'!BE529-SUM('Counter_PnL'!AX529:'Counter_PnL'!BB529,'Counter_PnL'!BD529))</x:f>
        <x:v>0</x:v>
      </x:c>
      <x:c r="J529" s="79" t="n">
        <x:f>ABS('Counter_PnL'!BL529-SUM('Counter_PnL'!AV529,'Counter_PnL'!BE529,'Counter_PnL'!BJ529,'Counter_PnL'!BK529))</x:f>
        <x:v>0</x:v>
      </x:c>
      <x:c r="K529" s="79" t="n">
        <x:f>ABS('Counter_PnL'!BO529-('Counter_PnL'!BL529+'Counter_PnL'!BN529))</x:f>
        <x:v>0</x:v>
      </x:c>
      <x:c r="L529" s="79" t="n">
        <x:f>MAX(ABS('Counter_PnL'!AW529-'Counter_PnL'!AV529/'Counter_PnL'!AK529),ABS('Counter_PnL'!BM529-'Counter_PnL'!BL529/'Counter_PnL'!AK529),ABS('Counter_PnL'!BP529-'Counter_PnL'!BO529/'Counter_PnL'!AK529))</x:f>
        <x:v>0</x:v>
      </x:c>
      <x:c r="M529" s="30" t="n">
        <x:f>IF(AND('Counter_PnL'!Q529&gt;0,'Counter_PnL'!AK529&gt;0,'Counter_PnL'!R529&lt;=0,'Counter_PnL'!T529&lt;=0,'Counter_PnL'!AT529&lt;=0,'Counter_PnL'!BE529&lt;=0,'Counter_PnL'!BJ529&lt;=0,'Counter_PnL'!BK529&lt;=0,'Counter_PnL'!BN529&lt;=0),0,1)</x:f>
        <x:v>0</x:v>
      </x:c>
    </x:row>
    <x:row r="530">
      <x:c r="A530" t="str">
        <x:f>'Counter_PnL'!D530</x:f>
        <x:v>CNCT0133</x:v>
      </x:c>
      <x:c r="B530" t="str">
        <x:f>'Counter_PnL'!C530</x:f>
        <x:v>2025 S1</x:v>
      </x:c>
      <x:c r="C530" s="30" t="n">
        <x:f>COUNTIFS('Counter_PnL'!$D$2:$D$641,A530,'Counter_PnL'!$C$2:$C$641,B530)</x:f>
        <x:v>1</x:v>
      </x:c>
      <x:c r="D530" s="79" t="n">
        <x:f>ABS('Counter_PnL'!AC530-SUM('Counter_PnL'!V530:'Counter_PnL'!AB530))</x:f>
        <x:v>0</x:v>
      </x:c>
      <x:c r="E530" s="79" t="n">
        <x:f>ABS('Counter_PnL'!AI530-SUM('Counter_PnL'!R530,'Counter_PnL'!T530,'Counter_PnL'!AC530,'Counter_PnL'!AE530,'Counter_PnL'!AG530,'Counter_PnL'!AH530))</x:f>
        <x:v>0</x:v>
      </x:c>
      <x:c r="F530" s="79" t="n">
        <x:f>ABS('Counter_PnL'!AK530-('Counter_PnL'!Q530+'Counter_PnL'!AI530))</x:f>
        <x:v>0</x:v>
      </x:c>
      <x:c r="G530" s="79" t="n">
        <x:f>ABS('Counter_PnL'!AT530-SUM('Counter_PnL'!AO530:'Counter_PnL'!AS530))</x:f>
        <x:v>0</x:v>
      </x:c>
      <x:c r="H530" s="79" t="n">
        <x:f>ABS('Counter_PnL'!AV530-('Counter_PnL'!AK530+'Counter_PnL'!AT530))</x:f>
        <x:v>0</x:v>
      </x:c>
      <x:c r="I530" s="79" t="n">
        <x:f>ABS('Counter_PnL'!BE530-SUM('Counter_PnL'!AX530:'Counter_PnL'!BB530,'Counter_PnL'!BD530))</x:f>
        <x:v>0</x:v>
      </x:c>
      <x:c r="J530" s="79" t="n">
        <x:f>ABS('Counter_PnL'!BL530-SUM('Counter_PnL'!AV530,'Counter_PnL'!BE530,'Counter_PnL'!BJ530,'Counter_PnL'!BK530))</x:f>
        <x:v>0</x:v>
      </x:c>
      <x:c r="K530" s="79" t="n">
        <x:f>ABS('Counter_PnL'!BO530-('Counter_PnL'!BL530+'Counter_PnL'!BN530))</x:f>
        <x:v>0</x:v>
      </x:c>
      <x:c r="L530" s="79" t="n">
        <x:f>MAX(ABS('Counter_PnL'!AW530-'Counter_PnL'!AV530/'Counter_PnL'!AK530),ABS('Counter_PnL'!BM530-'Counter_PnL'!BL530/'Counter_PnL'!AK530),ABS('Counter_PnL'!BP530-'Counter_PnL'!BO530/'Counter_PnL'!AK530))</x:f>
        <x:v>0</x:v>
      </x:c>
      <x:c r="M530" s="30" t="n">
        <x:f>IF(AND('Counter_PnL'!Q530&gt;0,'Counter_PnL'!AK530&gt;0,'Counter_PnL'!R530&lt;=0,'Counter_PnL'!T530&lt;=0,'Counter_PnL'!AT530&lt;=0,'Counter_PnL'!BE530&lt;=0,'Counter_PnL'!BJ530&lt;=0,'Counter_PnL'!BK530&lt;=0,'Counter_PnL'!BN530&lt;=0),0,1)</x:f>
        <x:v>0</x:v>
      </x:c>
    </x:row>
    <x:row r="531">
      <x:c r="A531" t="str">
        <x:f>'Counter_PnL'!D531</x:f>
        <x:v>CNCT0133</x:v>
      </x:c>
      <x:c r="B531" t="str">
        <x:f>'Counter_PnL'!C531</x:f>
        <x:v>2025 S2</x:v>
      </x:c>
      <x:c r="C531" s="30" t="n">
        <x:f>COUNTIFS('Counter_PnL'!$D$2:$D$641,A531,'Counter_PnL'!$C$2:$C$641,B531)</x:f>
        <x:v>1</x:v>
      </x:c>
      <x:c r="D531" s="79" t="n">
        <x:f>ABS('Counter_PnL'!AC531-SUM('Counter_PnL'!V531:'Counter_PnL'!AB531))</x:f>
        <x:v>0</x:v>
      </x:c>
      <x:c r="E531" s="79" t="n">
        <x:f>ABS('Counter_PnL'!AI531-SUM('Counter_PnL'!R531,'Counter_PnL'!T531,'Counter_PnL'!AC531,'Counter_PnL'!AE531,'Counter_PnL'!AG531,'Counter_PnL'!AH531))</x:f>
        <x:v>0</x:v>
      </x:c>
      <x:c r="F531" s="79" t="n">
        <x:f>ABS('Counter_PnL'!AK531-('Counter_PnL'!Q531+'Counter_PnL'!AI531))</x:f>
        <x:v>0</x:v>
      </x:c>
      <x:c r="G531" s="79" t="n">
        <x:f>ABS('Counter_PnL'!AT531-SUM('Counter_PnL'!AO531:'Counter_PnL'!AS531))</x:f>
        <x:v>0</x:v>
      </x:c>
      <x:c r="H531" s="79" t="n">
        <x:f>ABS('Counter_PnL'!AV531-('Counter_PnL'!AK531+'Counter_PnL'!AT531))</x:f>
        <x:v>0</x:v>
      </x:c>
      <x:c r="I531" s="79" t="n">
        <x:f>ABS('Counter_PnL'!BE531-SUM('Counter_PnL'!AX531:'Counter_PnL'!BB531,'Counter_PnL'!BD531))</x:f>
        <x:v>0</x:v>
      </x:c>
      <x:c r="J531" s="79" t="n">
        <x:f>ABS('Counter_PnL'!BL531-SUM('Counter_PnL'!AV531,'Counter_PnL'!BE531,'Counter_PnL'!BJ531,'Counter_PnL'!BK531))</x:f>
        <x:v>0</x:v>
      </x:c>
      <x:c r="K531" s="79" t="n">
        <x:f>ABS('Counter_PnL'!BO531-('Counter_PnL'!BL531+'Counter_PnL'!BN531))</x:f>
        <x:v>0</x:v>
      </x:c>
      <x:c r="L531" s="79" t="n">
        <x:f>MAX(ABS('Counter_PnL'!AW531-'Counter_PnL'!AV531/'Counter_PnL'!AK531),ABS('Counter_PnL'!BM531-'Counter_PnL'!BL531/'Counter_PnL'!AK531),ABS('Counter_PnL'!BP531-'Counter_PnL'!BO531/'Counter_PnL'!AK531))</x:f>
        <x:v>0</x:v>
      </x:c>
      <x:c r="M531" s="30" t="n">
        <x:f>IF(AND('Counter_PnL'!Q531&gt;0,'Counter_PnL'!AK531&gt;0,'Counter_PnL'!R531&lt;=0,'Counter_PnL'!T531&lt;=0,'Counter_PnL'!AT531&lt;=0,'Counter_PnL'!BE531&lt;=0,'Counter_PnL'!BJ531&lt;=0,'Counter_PnL'!BK531&lt;=0,'Counter_PnL'!BN531&lt;=0),0,1)</x:f>
        <x:v>0</x:v>
      </x:c>
    </x:row>
    <x:row r="532">
      <x:c r="A532" t="str">
        <x:f>'Counter_PnL'!D532</x:f>
        <x:v>CNCT0133</x:v>
      </x:c>
      <x:c r="B532" t="str">
        <x:f>'Counter_PnL'!C532</x:f>
        <x:v>2026 S1</x:v>
      </x:c>
      <x:c r="C532" s="30" t="n">
        <x:f>COUNTIFS('Counter_PnL'!$D$2:$D$641,A532,'Counter_PnL'!$C$2:$C$641,B532)</x:f>
        <x:v>1</x:v>
      </x:c>
      <x:c r="D532" s="79" t="n">
        <x:f>ABS('Counter_PnL'!AC532-SUM('Counter_PnL'!V532:'Counter_PnL'!AB532))</x:f>
        <x:v>0</x:v>
      </x:c>
      <x:c r="E532" s="79" t="n">
        <x:f>ABS('Counter_PnL'!AI532-SUM('Counter_PnL'!R532,'Counter_PnL'!T532,'Counter_PnL'!AC532,'Counter_PnL'!AE532,'Counter_PnL'!AG532,'Counter_PnL'!AH532))</x:f>
        <x:v>0</x:v>
      </x:c>
      <x:c r="F532" s="79" t="n">
        <x:f>ABS('Counter_PnL'!AK532-('Counter_PnL'!Q532+'Counter_PnL'!AI532))</x:f>
        <x:v>0</x:v>
      </x:c>
      <x:c r="G532" s="79" t="n">
        <x:f>ABS('Counter_PnL'!AT532-SUM('Counter_PnL'!AO532:'Counter_PnL'!AS532))</x:f>
        <x:v>0</x:v>
      </x:c>
      <x:c r="H532" s="79" t="n">
        <x:f>ABS('Counter_PnL'!AV532-('Counter_PnL'!AK532+'Counter_PnL'!AT532))</x:f>
        <x:v>0</x:v>
      </x:c>
      <x:c r="I532" s="79" t="n">
        <x:f>ABS('Counter_PnL'!BE532-SUM('Counter_PnL'!AX532:'Counter_PnL'!BB532,'Counter_PnL'!BD532))</x:f>
        <x:v>0</x:v>
      </x:c>
      <x:c r="J532" s="79" t="n">
        <x:f>ABS('Counter_PnL'!BL532-SUM('Counter_PnL'!AV532,'Counter_PnL'!BE532,'Counter_PnL'!BJ532,'Counter_PnL'!BK532))</x:f>
        <x:v>0</x:v>
      </x:c>
      <x:c r="K532" s="79" t="n">
        <x:f>ABS('Counter_PnL'!BO532-('Counter_PnL'!BL532+'Counter_PnL'!BN532))</x:f>
        <x:v>0</x:v>
      </x:c>
      <x:c r="L532" s="79" t="n">
        <x:f>MAX(ABS('Counter_PnL'!AW532-'Counter_PnL'!AV532/'Counter_PnL'!AK532),ABS('Counter_PnL'!BM532-'Counter_PnL'!BL532/'Counter_PnL'!AK532),ABS('Counter_PnL'!BP532-'Counter_PnL'!BO532/'Counter_PnL'!AK532))</x:f>
        <x:v>0</x:v>
      </x:c>
      <x:c r="M532" s="30" t="n">
        <x:f>IF(AND('Counter_PnL'!Q532&gt;0,'Counter_PnL'!AK532&gt;0,'Counter_PnL'!R532&lt;=0,'Counter_PnL'!T532&lt;=0,'Counter_PnL'!AT532&lt;=0,'Counter_PnL'!BE532&lt;=0,'Counter_PnL'!BJ532&lt;=0,'Counter_PnL'!BK532&lt;=0,'Counter_PnL'!BN532&lt;=0),0,1)</x:f>
        <x:v>0</x:v>
      </x:c>
    </x:row>
    <x:row r="533">
      <x:c r="A533" t="str">
        <x:f>'Counter_PnL'!D533</x:f>
        <x:v>CNCT0133</x:v>
      </x:c>
      <x:c r="B533" t="str">
        <x:f>'Counter_PnL'!C533</x:f>
        <x:v>2026 S2</x:v>
      </x:c>
      <x:c r="C533" s="30" t="n">
        <x:f>COUNTIFS('Counter_PnL'!$D$2:$D$641,A533,'Counter_PnL'!$C$2:$C$641,B533)</x:f>
        <x:v>1</x:v>
      </x:c>
      <x:c r="D533" s="79" t="n">
        <x:f>ABS('Counter_PnL'!AC533-SUM('Counter_PnL'!V533:'Counter_PnL'!AB533))</x:f>
        <x:v>0</x:v>
      </x:c>
      <x:c r="E533" s="79" t="n">
        <x:f>ABS('Counter_PnL'!AI533-SUM('Counter_PnL'!R533,'Counter_PnL'!T533,'Counter_PnL'!AC533,'Counter_PnL'!AE533,'Counter_PnL'!AG533,'Counter_PnL'!AH533))</x:f>
        <x:v>0</x:v>
      </x:c>
      <x:c r="F533" s="79" t="n">
        <x:f>ABS('Counter_PnL'!AK533-('Counter_PnL'!Q533+'Counter_PnL'!AI533))</x:f>
        <x:v>0</x:v>
      </x:c>
      <x:c r="G533" s="79" t="n">
        <x:f>ABS('Counter_PnL'!AT533-SUM('Counter_PnL'!AO533:'Counter_PnL'!AS533))</x:f>
        <x:v>0</x:v>
      </x:c>
      <x:c r="H533" s="79" t="n">
        <x:f>ABS('Counter_PnL'!AV533-('Counter_PnL'!AK533+'Counter_PnL'!AT533))</x:f>
        <x:v>0</x:v>
      </x:c>
      <x:c r="I533" s="79" t="n">
        <x:f>ABS('Counter_PnL'!BE533-SUM('Counter_PnL'!AX533:'Counter_PnL'!BB533,'Counter_PnL'!BD533))</x:f>
        <x:v>0</x:v>
      </x:c>
      <x:c r="J533" s="79" t="n">
        <x:f>ABS('Counter_PnL'!BL533-SUM('Counter_PnL'!AV533,'Counter_PnL'!BE533,'Counter_PnL'!BJ533,'Counter_PnL'!BK533))</x:f>
        <x:v>0</x:v>
      </x:c>
      <x:c r="K533" s="79" t="n">
        <x:f>ABS('Counter_PnL'!BO533-('Counter_PnL'!BL533+'Counter_PnL'!BN533))</x:f>
        <x:v>0</x:v>
      </x:c>
      <x:c r="L533" s="79" t="n">
        <x:f>MAX(ABS('Counter_PnL'!AW533-'Counter_PnL'!AV533/'Counter_PnL'!AK533),ABS('Counter_PnL'!BM533-'Counter_PnL'!BL533/'Counter_PnL'!AK533),ABS('Counter_PnL'!BP533-'Counter_PnL'!BO533/'Counter_PnL'!AK533))</x:f>
        <x:v>0</x:v>
      </x:c>
      <x:c r="M533" s="30" t="n">
        <x:f>IF(AND('Counter_PnL'!Q533&gt;0,'Counter_PnL'!AK533&gt;0,'Counter_PnL'!R533&lt;=0,'Counter_PnL'!T533&lt;=0,'Counter_PnL'!AT533&lt;=0,'Counter_PnL'!BE533&lt;=0,'Counter_PnL'!BJ533&lt;=0,'Counter_PnL'!BK533&lt;=0,'Counter_PnL'!BN533&lt;=0),0,1)</x:f>
        <x:v>0</x:v>
      </x:c>
    </x:row>
    <x:row r="534">
      <x:c r="A534" t="str">
        <x:f>'Counter_PnL'!D534</x:f>
        <x:v>CNCT0134</x:v>
      </x:c>
      <x:c r="B534" t="str">
        <x:f>'Counter_PnL'!C534</x:f>
        <x:v>2025 S1</x:v>
      </x:c>
      <x:c r="C534" s="30" t="n">
        <x:f>COUNTIFS('Counter_PnL'!$D$2:$D$641,A534,'Counter_PnL'!$C$2:$C$641,B534)</x:f>
        <x:v>1</x:v>
      </x:c>
      <x:c r="D534" s="79" t="n">
        <x:f>ABS('Counter_PnL'!AC534-SUM('Counter_PnL'!V534:'Counter_PnL'!AB534))</x:f>
        <x:v>0</x:v>
      </x:c>
      <x:c r="E534" s="79" t="n">
        <x:f>ABS('Counter_PnL'!AI534-SUM('Counter_PnL'!R534,'Counter_PnL'!T534,'Counter_PnL'!AC534,'Counter_PnL'!AE534,'Counter_PnL'!AG534,'Counter_PnL'!AH534))</x:f>
        <x:v>0</x:v>
      </x:c>
      <x:c r="F534" s="79" t="n">
        <x:f>ABS('Counter_PnL'!AK534-('Counter_PnL'!Q534+'Counter_PnL'!AI534))</x:f>
        <x:v>0</x:v>
      </x:c>
      <x:c r="G534" s="79" t="n">
        <x:f>ABS('Counter_PnL'!AT534-SUM('Counter_PnL'!AO534:'Counter_PnL'!AS534))</x:f>
        <x:v>0</x:v>
      </x:c>
      <x:c r="H534" s="79" t="n">
        <x:f>ABS('Counter_PnL'!AV534-('Counter_PnL'!AK534+'Counter_PnL'!AT534))</x:f>
        <x:v>0</x:v>
      </x:c>
      <x:c r="I534" s="79" t="n">
        <x:f>ABS('Counter_PnL'!BE534-SUM('Counter_PnL'!AX534:'Counter_PnL'!BB534,'Counter_PnL'!BD534))</x:f>
        <x:v>0</x:v>
      </x:c>
      <x:c r="J534" s="79" t="n">
        <x:f>ABS('Counter_PnL'!BL534-SUM('Counter_PnL'!AV534,'Counter_PnL'!BE534,'Counter_PnL'!BJ534,'Counter_PnL'!BK534))</x:f>
        <x:v>0</x:v>
      </x:c>
      <x:c r="K534" s="79" t="n">
        <x:f>ABS('Counter_PnL'!BO534-('Counter_PnL'!BL534+'Counter_PnL'!BN534))</x:f>
        <x:v>0</x:v>
      </x:c>
      <x:c r="L534" s="79" t="n">
        <x:f>MAX(ABS('Counter_PnL'!AW534-'Counter_PnL'!AV534/'Counter_PnL'!AK534),ABS('Counter_PnL'!BM534-'Counter_PnL'!BL534/'Counter_PnL'!AK534),ABS('Counter_PnL'!BP534-'Counter_PnL'!BO534/'Counter_PnL'!AK534))</x:f>
        <x:v>0</x:v>
      </x:c>
      <x:c r="M534" s="30" t="n">
        <x:f>IF(AND('Counter_PnL'!Q534&gt;0,'Counter_PnL'!AK534&gt;0,'Counter_PnL'!R534&lt;=0,'Counter_PnL'!T534&lt;=0,'Counter_PnL'!AT534&lt;=0,'Counter_PnL'!BE534&lt;=0,'Counter_PnL'!BJ534&lt;=0,'Counter_PnL'!BK534&lt;=0,'Counter_PnL'!BN534&lt;=0),0,1)</x:f>
        <x:v>0</x:v>
      </x:c>
    </x:row>
    <x:row r="535">
      <x:c r="A535" t="str">
        <x:f>'Counter_PnL'!D535</x:f>
        <x:v>CNCT0134</x:v>
      </x:c>
      <x:c r="B535" t="str">
        <x:f>'Counter_PnL'!C535</x:f>
        <x:v>2025 S2</x:v>
      </x:c>
      <x:c r="C535" s="30" t="n">
        <x:f>COUNTIFS('Counter_PnL'!$D$2:$D$641,A535,'Counter_PnL'!$C$2:$C$641,B535)</x:f>
        <x:v>1</x:v>
      </x:c>
      <x:c r="D535" s="79" t="n">
        <x:f>ABS('Counter_PnL'!AC535-SUM('Counter_PnL'!V535:'Counter_PnL'!AB535))</x:f>
        <x:v>0</x:v>
      </x:c>
      <x:c r="E535" s="79" t="n">
        <x:f>ABS('Counter_PnL'!AI535-SUM('Counter_PnL'!R535,'Counter_PnL'!T535,'Counter_PnL'!AC535,'Counter_PnL'!AE535,'Counter_PnL'!AG535,'Counter_PnL'!AH535))</x:f>
        <x:v>0</x:v>
      </x:c>
      <x:c r="F535" s="79" t="n">
        <x:f>ABS('Counter_PnL'!AK535-('Counter_PnL'!Q535+'Counter_PnL'!AI535))</x:f>
        <x:v>0</x:v>
      </x:c>
      <x:c r="G535" s="79" t="n">
        <x:f>ABS('Counter_PnL'!AT535-SUM('Counter_PnL'!AO535:'Counter_PnL'!AS535))</x:f>
        <x:v>0</x:v>
      </x:c>
      <x:c r="H535" s="79" t="n">
        <x:f>ABS('Counter_PnL'!AV535-('Counter_PnL'!AK535+'Counter_PnL'!AT535))</x:f>
        <x:v>0</x:v>
      </x:c>
      <x:c r="I535" s="79" t="n">
        <x:f>ABS('Counter_PnL'!BE535-SUM('Counter_PnL'!AX535:'Counter_PnL'!BB535,'Counter_PnL'!BD535))</x:f>
        <x:v>0</x:v>
      </x:c>
      <x:c r="J535" s="79" t="n">
        <x:f>ABS('Counter_PnL'!BL535-SUM('Counter_PnL'!AV535,'Counter_PnL'!BE535,'Counter_PnL'!BJ535,'Counter_PnL'!BK535))</x:f>
        <x:v>0</x:v>
      </x:c>
      <x:c r="K535" s="79" t="n">
        <x:f>ABS('Counter_PnL'!BO535-('Counter_PnL'!BL535+'Counter_PnL'!BN535))</x:f>
        <x:v>0</x:v>
      </x:c>
      <x:c r="L535" s="79" t="n">
        <x:f>MAX(ABS('Counter_PnL'!AW535-'Counter_PnL'!AV535/'Counter_PnL'!AK535),ABS('Counter_PnL'!BM535-'Counter_PnL'!BL535/'Counter_PnL'!AK535),ABS('Counter_PnL'!BP535-'Counter_PnL'!BO535/'Counter_PnL'!AK535))</x:f>
        <x:v>0</x:v>
      </x:c>
      <x:c r="M535" s="30" t="n">
        <x:f>IF(AND('Counter_PnL'!Q535&gt;0,'Counter_PnL'!AK535&gt;0,'Counter_PnL'!R535&lt;=0,'Counter_PnL'!T535&lt;=0,'Counter_PnL'!AT535&lt;=0,'Counter_PnL'!BE535&lt;=0,'Counter_PnL'!BJ535&lt;=0,'Counter_PnL'!BK535&lt;=0,'Counter_PnL'!BN535&lt;=0),0,1)</x:f>
        <x:v>0</x:v>
      </x:c>
    </x:row>
    <x:row r="536">
      <x:c r="A536" t="str">
        <x:f>'Counter_PnL'!D536</x:f>
        <x:v>CNCT0134</x:v>
      </x:c>
      <x:c r="B536" t="str">
        <x:f>'Counter_PnL'!C536</x:f>
        <x:v>2026 S1</x:v>
      </x:c>
      <x:c r="C536" s="30" t="n">
        <x:f>COUNTIFS('Counter_PnL'!$D$2:$D$641,A536,'Counter_PnL'!$C$2:$C$641,B536)</x:f>
        <x:v>1</x:v>
      </x:c>
      <x:c r="D536" s="79" t="n">
        <x:f>ABS('Counter_PnL'!AC536-SUM('Counter_PnL'!V536:'Counter_PnL'!AB536))</x:f>
        <x:v>0</x:v>
      </x:c>
      <x:c r="E536" s="79" t="n">
        <x:f>ABS('Counter_PnL'!AI536-SUM('Counter_PnL'!R536,'Counter_PnL'!T536,'Counter_PnL'!AC536,'Counter_PnL'!AE536,'Counter_PnL'!AG536,'Counter_PnL'!AH536))</x:f>
        <x:v>0</x:v>
      </x:c>
      <x:c r="F536" s="79" t="n">
        <x:f>ABS('Counter_PnL'!AK536-('Counter_PnL'!Q536+'Counter_PnL'!AI536))</x:f>
        <x:v>0</x:v>
      </x:c>
      <x:c r="G536" s="79" t="n">
        <x:f>ABS('Counter_PnL'!AT536-SUM('Counter_PnL'!AO536:'Counter_PnL'!AS536))</x:f>
        <x:v>0</x:v>
      </x:c>
      <x:c r="H536" s="79" t="n">
        <x:f>ABS('Counter_PnL'!AV536-('Counter_PnL'!AK536+'Counter_PnL'!AT536))</x:f>
        <x:v>0</x:v>
      </x:c>
      <x:c r="I536" s="79" t="n">
        <x:f>ABS('Counter_PnL'!BE536-SUM('Counter_PnL'!AX536:'Counter_PnL'!BB536,'Counter_PnL'!BD536))</x:f>
        <x:v>0</x:v>
      </x:c>
      <x:c r="J536" s="79" t="n">
        <x:f>ABS('Counter_PnL'!BL536-SUM('Counter_PnL'!AV536,'Counter_PnL'!BE536,'Counter_PnL'!BJ536,'Counter_PnL'!BK536))</x:f>
        <x:v>0</x:v>
      </x:c>
      <x:c r="K536" s="79" t="n">
        <x:f>ABS('Counter_PnL'!BO536-('Counter_PnL'!BL536+'Counter_PnL'!BN536))</x:f>
        <x:v>0</x:v>
      </x:c>
      <x:c r="L536" s="79" t="n">
        <x:f>MAX(ABS('Counter_PnL'!AW536-'Counter_PnL'!AV536/'Counter_PnL'!AK536),ABS('Counter_PnL'!BM536-'Counter_PnL'!BL536/'Counter_PnL'!AK536),ABS('Counter_PnL'!BP536-'Counter_PnL'!BO536/'Counter_PnL'!AK536))</x:f>
        <x:v>0</x:v>
      </x:c>
      <x:c r="M536" s="30" t="n">
        <x:f>IF(AND('Counter_PnL'!Q536&gt;0,'Counter_PnL'!AK536&gt;0,'Counter_PnL'!R536&lt;=0,'Counter_PnL'!T536&lt;=0,'Counter_PnL'!AT536&lt;=0,'Counter_PnL'!BE536&lt;=0,'Counter_PnL'!BJ536&lt;=0,'Counter_PnL'!BK536&lt;=0,'Counter_PnL'!BN536&lt;=0),0,1)</x:f>
        <x:v>0</x:v>
      </x:c>
    </x:row>
    <x:row r="537">
      <x:c r="A537" t="str">
        <x:f>'Counter_PnL'!D537</x:f>
        <x:v>CNCT0134</x:v>
      </x:c>
      <x:c r="B537" t="str">
        <x:f>'Counter_PnL'!C537</x:f>
        <x:v>2026 S2</x:v>
      </x:c>
      <x:c r="C537" s="30" t="n">
        <x:f>COUNTIFS('Counter_PnL'!$D$2:$D$641,A537,'Counter_PnL'!$C$2:$C$641,B537)</x:f>
        <x:v>1</x:v>
      </x:c>
      <x:c r="D537" s="79" t="n">
        <x:f>ABS('Counter_PnL'!AC537-SUM('Counter_PnL'!V537:'Counter_PnL'!AB537))</x:f>
        <x:v>0</x:v>
      </x:c>
      <x:c r="E537" s="79" t="n">
        <x:f>ABS('Counter_PnL'!AI537-SUM('Counter_PnL'!R537,'Counter_PnL'!T537,'Counter_PnL'!AC537,'Counter_PnL'!AE537,'Counter_PnL'!AG537,'Counter_PnL'!AH537))</x:f>
        <x:v>0</x:v>
      </x:c>
      <x:c r="F537" s="79" t="n">
        <x:f>ABS('Counter_PnL'!AK537-('Counter_PnL'!Q537+'Counter_PnL'!AI537))</x:f>
        <x:v>0</x:v>
      </x:c>
      <x:c r="G537" s="79" t="n">
        <x:f>ABS('Counter_PnL'!AT537-SUM('Counter_PnL'!AO537:'Counter_PnL'!AS537))</x:f>
        <x:v>0</x:v>
      </x:c>
      <x:c r="H537" s="79" t="n">
        <x:f>ABS('Counter_PnL'!AV537-('Counter_PnL'!AK537+'Counter_PnL'!AT537))</x:f>
        <x:v>0</x:v>
      </x:c>
      <x:c r="I537" s="79" t="n">
        <x:f>ABS('Counter_PnL'!BE537-SUM('Counter_PnL'!AX537:'Counter_PnL'!BB537,'Counter_PnL'!BD537))</x:f>
        <x:v>0</x:v>
      </x:c>
      <x:c r="J537" s="79" t="n">
        <x:f>ABS('Counter_PnL'!BL537-SUM('Counter_PnL'!AV537,'Counter_PnL'!BE537,'Counter_PnL'!BJ537,'Counter_PnL'!BK537))</x:f>
        <x:v>0</x:v>
      </x:c>
      <x:c r="K537" s="79" t="n">
        <x:f>ABS('Counter_PnL'!BO537-('Counter_PnL'!BL537+'Counter_PnL'!BN537))</x:f>
        <x:v>0</x:v>
      </x:c>
      <x:c r="L537" s="79" t="n">
        <x:f>MAX(ABS('Counter_PnL'!AW537-'Counter_PnL'!AV537/'Counter_PnL'!AK537),ABS('Counter_PnL'!BM537-'Counter_PnL'!BL537/'Counter_PnL'!AK537),ABS('Counter_PnL'!BP537-'Counter_PnL'!BO537/'Counter_PnL'!AK537))</x:f>
        <x:v>0</x:v>
      </x:c>
      <x:c r="M537" s="30" t="n">
        <x:f>IF(AND('Counter_PnL'!Q537&gt;0,'Counter_PnL'!AK537&gt;0,'Counter_PnL'!R537&lt;=0,'Counter_PnL'!T537&lt;=0,'Counter_PnL'!AT537&lt;=0,'Counter_PnL'!BE537&lt;=0,'Counter_PnL'!BJ537&lt;=0,'Counter_PnL'!BK537&lt;=0,'Counter_PnL'!BN537&lt;=0),0,1)</x:f>
        <x:v>0</x:v>
      </x:c>
    </x:row>
    <x:row r="538">
      <x:c r="A538" t="str">
        <x:f>'Counter_PnL'!D538</x:f>
        <x:v>CNCT0135</x:v>
      </x:c>
      <x:c r="B538" t="str">
        <x:f>'Counter_PnL'!C538</x:f>
        <x:v>2025 S1</x:v>
      </x:c>
      <x:c r="C538" s="30" t="n">
        <x:f>COUNTIFS('Counter_PnL'!$D$2:$D$641,A538,'Counter_PnL'!$C$2:$C$641,B538)</x:f>
        <x:v>1</x:v>
      </x:c>
      <x:c r="D538" s="79" t="n">
        <x:f>ABS('Counter_PnL'!AC538-SUM('Counter_PnL'!V538:'Counter_PnL'!AB538))</x:f>
        <x:v>0</x:v>
      </x:c>
      <x:c r="E538" s="79" t="n">
        <x:f>ABS('Counter_PnL'!AI538-SUM('Counter_PnL'!R538,'Counter_PnL'!T538,'Counter_PnL'!AC538,'Counter_PnL'!AE538,'Counter_PnL'!AG538,'Counter_PnL'!AH538))</x:f>
        <x:v>0</x:v>
      </x:c>
      <x:c r="F538" s="79" t="n">
        <x:f>ABS('Counter_PnL'!AK538-('Counter_PnL'!Q538+'Counter_PnL'!AI538))</x:f>
        <x:v>0</x:v>
      </x:c>
      <x:c r="G538" s="79" t="n">
        <x:f>ABS('Counter_PnL'!AT538-SUM('Counter_PnL'!AO538:'Counter_PnL'!AS538))</x:f>
        <x:v>0</x:v>
      </x:c>
      <x:c r="H538" s="79" t="n">
        <x:f>ABS('Counter_PnL'!AV538-('Counter_PnL'!AK538+'Counter_PnL'!AT538))</x:f>
        <x:v>0</x:v>
      </x:c>
      <x:c r="I538" s="79" t="n">
        <x:f>ABS('Counter_PnL'!BE538-SUM('Counter_PnL'!AX538:'Counter_PnL'!BB538,'Counter_PnL'!BD538))</x:f>
        <x:v>0</x:v>
      </x:c>
      <x:c r="J538" s="79" t="n">
        <x:f>ABS('Counter_PnL'!BL538-SUM('Counter_PnL'!AV538,'Counter_PnL'!BE538,'Counter_PnL'!BJ538,'Counter_PnL'!BK538))</x:f>
        <x:v>0</x:v>
      </x:c>
      <x:c r="K538" s="79" t="n">
        <x:f>ABS('Counter_PnL'!BO538-('Counter_PnL'!BL538+'Counter_PnL'!BN538))</x:f>
        <x:v>0</x:v>
      </x:c>
      <x:c r="L538" s="79" t="n">
        <x:f>MAX(ABS('Counter_PnL'!AW538-'Counter_PnL'!AV538/'Counter_PnL'!AK538),ABS('Counter_PnL'!BM538-'Counter_PnL'!BL538/'Counter_PnL'!AK538),ABS('Counter_PnL'!BP538-'Counter_PnL'!BO538/'Counter_PnL'!AK538))</x:f>
        <x:v>0</x:v>
      </x:c>
      <x:c r="M538" s="30" t="n">
        <x:f>IF(AND('Counter_PnL'!Q538&gt;0,'Counter_PnL'!AK538&gt;0,'Counter_PnL'!R538&lt;=0,'Counter_PnL'!T538&lt;=0,'Counter_PnL'!AT538&lt;=0,'Counter_PnL'!BE538&lt;=0,'Counter_PnL'!BJ538&lt;=0,'Counter_PnL'!BK538&lt;=0,'Counter_PnL'!BN538&lt;=0),0,1)</x:f>
        <x:v>0</x:v>
      </x:c>
    </x:row>
    <x:row r="539">
      <x:c r="A539" t="str">
        <x:f>'Counter_PnL'!D539</x:f>
        <x:v>CNCT0135</x:v>
      </x:c>
      <x:c r="B539" t="str">
        <x:f>'Counter_PnL'!C539</x:f>
        <x:v>2025 S2</x:v>
      </x:c>
      <x:c r="C539" s="30" t="n">
        <x:f>COUNTIFS('Counter_PnL'!$D$2:$D$641,A539,'Counter_PnL'!$C$2:$C$641,B539)</x:f>
        <x:v>1</x:v>
      </x:c>
      <x:c r="D539" s="79" t="n">
        <x:f>ABS('Counter_PnL'!AC539-SUM('Counter_PnL'!V539:'Counter_PnL'!AB539))</x:f>
        <x:v>0</x:v>
      </x:c>
      <x:c r="E539" s="79" t="n">
        <x:f>ABS('Counter_PnL'!AI539-SUM('Counter_PnL'!R539,'Counter_PnL'!T539,'Counter_PnL'!AC539,'Counter_PnL'!AE539,'Counter_PnL'!AG539,'Counter_PnL'!AH539))</x:f>
        <x:v>0</x:v>
      </x:c>
      <x:c r="F539" s="79" t="n">
        <x:f>ABS('Counter_PnL'!AK539-('Counter_PnL'!Q539+'Counter_PnL'!AI539))</x:f>
        <x:v>0</x:v>
      </x:c>
      <x:c r="G539" s="79" t="n">
        <x:f>ABS('Counter_PnL'!AT539-SUM('Counter_PnL'!AO539:'Counter_PnL'!AS539))</x:f>
        <x:v>0</x:v>
      </x:c>
      <x:c r="H539" s="79" t="n">
        <x:f>ABS('Counter_PnL'!AV539-('Counter_PnL'!AK539+'Counter_PnL'!AT539))</x:f>
        <x:v>0</x:v>
      </x:c>
      <x:c r="I539" s="79" t="n">
        <x:f>ABS('Counter_PnL'!BE539-SUM('Counter_PnL'!AX539:'Counter_PnL'!BB539,'Counter_PnL'!BD539))</x:f>
        <x:v>0</x:v>
      </x:c>
      <x:c r="J539" s="79" t="n">
        <x:f>ABS('Counter_PnL'!BL539-SUM('Counter_PnL'!AV539,'Counter_PnL'!BE539,'Counter_PnL'!BJ539,'Counter_PnL'!BK539))</x:f>
        <x:v>0</x:v>
      </x:c>
      <x:c r="K539" s="79" t="n">
        <x:f>ABS('Counter_PnL'!BO539-('Counter_PnL'!BL539+'Counter_PnL'!BN539))</x:f>
        <x:v>0</x:v>
      </x:c>
      <x:c r="L539" s="79" t="n">
        <x:f>MAX(ABS('Counter_PnL'!AW539-'Counter_PnL'!AV539/'Counter_PnL'!AK539),ABS('Counter_PnL'!BM539-'Counter_PnL'!BL539/'Counter_PnL'!AK539),ABS('Counter_PnL'!BP539-'Counter_PnL'!BO539/'Counter_PnL'!AK539))</x:f>
        <x:v>0</x:v>
      </x:c>
      <x:c r="M539" s="30" t="n">
        <x:f>IF(AND('Counter_PnL'!Q539&gt;0,'Counter_PnL'!AK539&gt;0,'Counter_PnL'!R539&lt;=0,'Counter_PnL'!T539&lt;=0,'Counter_PnL'!AT539&lt;=0,'Counter_PnL'!BE539&lt;=0,'Counter_PnL'!BJ539&lt;=0,'Counter_PnL'!BK539&lt;=0,'Counter_PnL'!BN539&lt;=0),0,1)</x:f>
        <x:v>0</x:v>
      </x:c>
    </x:row>
    <x:row r="540">
      <x:c r="A540" t="str">
        <x:f>'Counter_PnL'!D540</x:f>
        <x:v>CNCT0135</x:v>
      </x:c>
      <x:c r="B540" t="str">
        <x:f>'Counter_PnL'!C540</x:f>
        <x:v>2026 S1</x:v>
      </x:c>
      <x:c r="C540" s="30" t="n">
        <x:f>COUNTIFS('Counter_PnL'!$D$2:$D$641,A540,'Counter_PnL'!$C$2:$C$641,B540)</x:f>
        <x:v>1</x:v>
      </x:c>
      <x:c r="D540" s="79" t="n">
        <x:f>ABS('Counter_PnL'!AC540-SUM('Counter_PnL'!V540:'Counter_PnL'!AB540))</x:f>
        <x:v>0</x:v>
      </x:c>
      <x:c r="E540" s="79" t="n">
        <x:f>ABS('Counter_PnL'!AI540-SUM('Counter_PnL'!R540,'Counter_PnL'!T540,'Counter_PnL'!AC540,'Counter_PnL'!AE540,'Counter_PnL'!AG540,'Counter_PnL'!AH540))</x:f>
        <x:v>0</x:v>
      </x:c>
      <x:c r="F540" s="79" t="n">
        <x:f>ABS('Counter_PnL'!AK540-('Counter_PnL'!Q540+'Counter_PnL'!AI540))</x:f>
        <x:v>0</x:v>
      </x:c>
      <x:c r="G540" s="79" t="n">
        <x:f>ABS('Counter_PnL'!AT540-SUM('Counter_PnL'!AO540:'Counter_PnL'!AS540))</x:f>
        <x:v>0</x:v>
      </x:c>
      <x:c r="H540" s="79" t="n">
        <x:f>ABS('Counter_PnL'!AV540-('Counter_PnL'!AK540+'Counter_PnL'!AT540))</x:f>
        <x:v>0</x:v>
      </x:c>
      <x:c r="I540" s="79" t="n">
        <x:f>ABS('Counter_PnL'!BE540-SUM('Counter_PnL'!AX540:'Counter_PnL'!BB540,'Counter_PnL'!BD540))</x:f>
        <x:v>0</x:v>
      </x:c>
      <x:c r="J540" s="79" t="n">
        <x:f>ABS('Counter_PnL'!BL540-SUM('Counter_PnL'!AV540,'Counter_PnL'!BE540,'Counter_PnL'!BJ540,'Counter_PnL'!BK540))</x:f>
        <x:v>0</x:v>
      </x:c>
      <x:c r="K540" s="79" t="n">
        <x:f>ABS('Counter_PnL'!BO540-('Counter_PnL'!BL540+'Counter_PnL'!BN540))</x:f>
        <x:v>0</x:v>
      </x:c>
      <x:c r="L540" s="79" t="n">
        <x:f>MAX(ABS('Counter_PnL'!AW540-'Counter_PnL'!AV540/'Counter_PnL'!AK540),ABS('Counter_PnL'!BM540-'Counter_PnL'!BL540/'Counter_PnL'!AK540),ABS('Counter_PnL'!BP540-'Counter_PnL'!BO540/'Counter_PnL'!AK540))</x:f>
        <x:v>0</x:v>
      </x:c>
      <x:c r="M540" s="30" t="n">
        <x:f>IF(AND('Counter_PnL'!Q540&gt;0,'Counter_PnL'!AK540&gt;0,'Counter_PnL'!R540&lt;=0,'Counter_PnL'!T540&lt;=0,'Counter_PnL'!AT540&lt;=0,'Counter_PnL'!BE540&lt;=0,'Counter_PnL'!BJ540&lt;=0,'Counter_PnL'!BK540&lt;=0,'Counter_PnL'!BN540&lt;=0),0,1)</x:f>
        <x:v>0</x:v>
      </x:c>
    </x:row>
    <x:row r="541">
      <x:c r="A541" t="str">
        <x:f>'Counter_PnL'!D541</x:f>
        <x:v>CNCT0135</x:v>
      </x:c>
      <x:c r="B541" t="str">
        <x:f>'Counter_PnL'!C541</x:f>
        <x:v>2026 S2</x:v>
      </x:c>
      <x:c r="C541" s="30" t="n">
        <x:f>COUNTIFS('Counter_PnL'!$D$2:$D$641,A541,'Counter_PnL'!$C$2:$C$641,B541)</x:f>
        <x:v>1</x:v>
      </x:c>
      <x:c r="D541" s="79" t="n">
        <x:f>ABS('Counter_PnL'!AC541-SUM('Counter_PnL'!V541:'Counter_PnL'!AB541))</x:f>
        <x:v>0</x:v>
      </x:c>
      <x:c r="E541" s="79" t="n">
        <x:f>ABS('Counter_PnL'!AI541-SUM('Counter_PnL'!R541,'Counter_PnL'!T541,'Counter_PnL'!AC541,'Counter_PnL'!AE541,'Counter_PnL'!AG541,'Counter_PnL'!AH541))</x:f>
        <x:v>0</x:v>
      </x:c>
      <x:c r="F541" s="79" t="n">
        <x:f>ABS('Counter_PnL'!AK541-('Counter_PnL'!Q541+'Counter_PnL'!AI541))</x:f>
        <x:v>0</x:v>
      </x:c>
      <x:c r="G541" s="79" t="n">
        <x:f>ABS('Counter_PnL'!AT541-SUM('Counter_PnL'!AO541:'Counter_PnL'!AS541))</x:f>
        <x:v>0</x:v>
      </x:c>
      <x:c r="H541" s="79" t="n">
        <x:f>ABS('Counter_PnL'!AV541-('Counter_PnL'!AK541+'Counter_PnL'!AT541))</x:f>
        <x:v>0</x:v>
      </x:c>
      <x:c r="I541" s="79" t="n">
        <x:f>ABS('Counter_PnL'!BE541-SUM('Counter_PnL'!AX541:'Counter_PnL'!BB541,'Counter_PnL'!BD541))</x:f>
        <x:v>0</x:v>
      </x:c>
      <x:c r="J541" s="79" t="n">
        <x:f>ABS('Counter_PnL'!BL541-SUM('Counter_PnL'!AV541,'Counter_PnL'!BE541,'Counter_PnL'!BJ541,'Counter_PnL'!BK541))</x:f>
        <x:v>0</x:v>
      </x:c>
      <x:c r="K541" s="79" t="n">
        <x:f>ABS('Counter_PnL'!BO541-('Counter_PnL'!BL541+'Counter_PnL'!BN541))</x:f>
        <x:v>0</x:v>
      </x:c>
      <x:c r="L541" s="79" t="n">
        <x:f>MAX(ABS('Counter_PnL'!AW541-'Counter_PnL'!AV541/'Counter_PnL'!AK541),ABS('Counter_PnL'!BM541-'Counter_PnL'!BL541/'Counter_PnL'!AK541),ABS('Counter_PnL'!BP541-'Counter_PnL'!BO541/'Counter_PnL'!AK541))</x:f>
        <x:v>0</x:v>
      </x:c>
      <x:c r="M541" s="30" t="n">
        <x:f>IF(AND('Counter_PnL'!Q541&gt;0,'Counter_PnL'!AK541&gt;0,'Counter_PnL'!R541&lt;=0,'Counter_PnL'!T541&lt;=0,'Counter_PnL'!AT541&lt;=0,'Counter_PnL'!BE541&lt;=0,'Counter_PnL'!BJ541&lt;=0,'Counter_PnL'!BK541&lt;=0,'Counter_PnL'!BN541&lt;=0),0,1)</x:f>
        <x:v>0</x:v>
      </x:c>
    </x:row>
    <x:row r="542">
      <x:c r="A542" t="str">
        <x:f>'Counter_PnL'!D542</x:f>
        <x:v>CNCT0136</x:v>
      </x:c>
      <x:c r="B542" t="str">
        <x:f>'Counter_PnL'!C542</x:f>
        <x:v>2025 S1</x:v>
      </x:c>
      <x:c r="C542" s="30" t="n">
        <x:f>COUNTIFS('Counter_PnL'!$D$2:$D$641,A542,'Counter_PnL'!$C$2:$C$641,B542)</x:f>
        <x:v>1</x:v>
      </x:c>
      <x:c r="D542" s="79" t="n">
        <x:f>ABS('Counter_PnL'!AC542-SUM('Counter_PnL'!V542:'Counter_PnL'!AB542))</x:f>
        <x:v>0</x:v>
      </x:c>
      <x:c r="E542" s="79" t="n">
        <x:f>ABS('Counter_PnL'!AI542-SUM('Counter_PnL'!R542,'Counter_PnL'!T542,'Counter_PnL'!AC542,'Counter_PnL'!AE542,'Counter_PnL'!AG542,'Counter_PnL'!AH542))</x:f>
        <x:v>0</x:v>
      </x:c>
      <x:c r="F542" s="79" t="n">
        <x:f>ABS('Counter_PnL'!AK542-('Counter_PnL'!Q542+'Counter_PnL'!AI542))</x:f>
        <x:v>0</x:v>
      </x:c>
      <x:c r="G542" s="79" t="n">
        <x:f>ABS('Counter_PnL'!AT542-SUM('Counter_PnL'!AO542:'Counter_PnL'!AS542))</x:f>
        <x:v>0</x:v>
      </x:c>
      <x:c r="H542" s="79" t="n">
        <x:f>ABS('Counter_PnL'!AV542-('Counter_PnL'!AK542+'Counter_PnL'!AT542))</x:f>
        <x:v>0</x:v>
      </x:c>
      <x:c r="I542" s="79" t="n">
        <x:f>ABS('Counter_PnL'!BE542-SUM('Counter_PnL'!AX542:'Counter_PnL'!BB542,'Counter_PnL'!BD542))</x:f>
        <x:v>0</x:v>
      </x:c>
      <x:c r="J542" s="79" t="n">
        <x:f>ABS('Counter_PnL'!BL542-SUM('Counter_PnL'!AV542,'Counter_PnL'!BE542,'Counter_PnL'!BJ542,'Counter_PnL'!BK542))</x:f>
        <x:v>0</x:v>
      </x:c>
      <x:c r="K542" s="79" t="n">
        <x:f>ABS('Counter_PnL'!BO542-('Counter_PnL'!BL542+'Counter_PnL'!BN542))</x:f>
        <x:v>0</x:v>
      </x:c>
      <x:c r="L542" s="79" t="n">
        <x:f>MAX(ABS('Counter_PnL'!AW542-'Counter_PnL'!AV542/'Counter_PnL'!AK542),ABS('Counter_PnL'!BM542-'Counter_PnL'!BL542/'Counter_PnL'!AK542),ABS('Counter_PnL'!BP542-'Counter_PnL'!BO542/'Counter_PnL'!AK542))</x:f>
        <x:v>0</x:v>
      </x:c>
      <x:c r="M542" s="30" t="n">
        <x:f>IF(AND('Counter_PnL'!Q542&gt;0,'Counter_PnL'!AK542&gt;0,'Counter_PnL'!R542&lt;=0,'Counter_PnL'!T542&lt;=0,'Counter_PnL'!AT542&lt;=0,'Counter_PnL'!BE542&lt;=0,'Counter_PnL'!BJ542&lt;=0,'Counter_PnL'!BK542&lt;=0,'Counter_PnL'!BN542&lt;=0),0,1)</x:f>
        <x:v>0</x:v>
      </x:c>
    </x:row>
    <x:row r="543">
      <x:c r="A543" t="str">
        <x:f>'Counter_PnL'!D543</x:f>
        <x:v>CNCT0136</x:v>
      </x:c>
      <x:c r="B543" t="str">
        <x:f>'Counter_PnL'!C543</x:f>
        <x:v>2025 S2</x:v>
      </x:c>
      <x:c r="C543" s="30" t="n">
        <x:f>COUNTIFS('Counter_PnL'!$D$2:$D$641,A543,'Counter_PnL'!$C$2:$C$641,B543)</x:f>
        <x:v>1</x:v>
      </x:c>
      <x:c r="D543" s="79" t="n">
        <x:f>ABS('Counter_PnL'!AC543-SUM('Counter_PnL'!V543:'Counter_PnL'!AB543))</x:f>
        <x:v>0</x:v>
      </x:c>
      <x:c r="E543" s="79" t="n">
        <x:f>ABS('Counter_PnL'!AI543-SUM('Counter_PnL'!R543,'Counter_PnL'!T543,'Counter_PnL'!AC543,'Counter_PnL'!AE543,'Counter_PnL'!AG543,'Counter_PnL'!AH543))</x:f>
        <x:v>0</x:v>
      </x:c>
      <x:c r="F543" s="79" t="n">
        <x:f>ABS('Counter_PnL'!AK543-('Counter_PnL'!Q543+'Counter_PnL'!AI543))</x:f>
        <x:v>0</x:v>
      </x:c>
      <x:c r="G543" s="79" t="n">
        <x:f>ABS('Counter_PnL'!AT543-SUM('Counter_PnL'!AO543:'Counter_PnL'!AS543))</x:f>
        <x:v>0</x:v>
      </x:c>
      <x:c r="H543" s="79" t="n">
        <x:f>ABS('Counter_PnL'!AV543-('Counter_PnL'!AK543+'Counter_PnL'!AT543))</x:f>
        <x:v>0</x:v>
      </x:c>
      <x:c r="I543" s="79" t="n">
        <x:f>ABS('Counter_PnL'!BE543-SUM('Counter_PnL'!AX543:'Counter_PnL'!BB543,'Counter_PnL'!BD543))</x:f>
        <x:v>0</x:v>
      </x:c>
      <x:c r="J543" s="79" t="n">
        <x:f>ABS('Counter_PnL'!BL543-SUM('Counter_PnL'!AV543,'Counter_PnL'!BE543,'Counter_PnL'!BJ543,'Counter_PnL'!BK543))</x:f>
        <x:v>0</x:v>
      </x:c>
      <x:c r="K543" s="79" t="n">
        <x:f>ABS('Counter_PnL'!BO543-('Counter_PnL'!BL543+'Counter_PnL'!BN543))</x:f>
        <x:v>0</x:v>
      </x:c>
      <x:c r="L543" s="79" t="n">
        <x:f>MAX(ABS('Counter_PnL'!AW543-'Counter_PnL'!AV543/'Counter_PnL'!AK543),ABS('Counter_PnL'!BM543-'Counter_PnL'!BL543/'Counter_PnL'!AK543),ABS('Counter_PnL'!BP543-'Counter_PnL'!BO543/'Counter_PnL'!AK543))</x:f>
        <x:v>0</x:v>
      </x:c>
      <x:c r="M543" s="30" t="n">
        <x:f>IF(AND('Counter_PnL'!Q543&gt;0,'Counter_PnL'!AK543&gt;0,'Counter_PnL'!R543&lt;=0,'Counter_PnL'!T543&lt;=0,'Counter_PnL'!AT543&lt;=0,'Counter_PnL'!BE543&lt;=0,'Counter_PnL'!BJ543&lt;=0,'Counter_PnL'!BK543&lt;=0,'Counter_PnL'!BN543&lt;=0),0,1)</x:f>
        <x:v>0</x:v>
      </x:c>
    </x:row>
    <x:row r="544">
      <x:c r="A544" t="str">
        <x:f>'Counter_PnL'!D544</x:f>
        <x:v>CNCT0136</x:v>
      </x:c>
      <x:c r="B544" t="str">
        <x:f>'Counter_PnL'!C544</x:f>
        <x:v>2026 S1</x:v>
      </x:c>
      <x:c r="C544" s="30" t="n">
        <x:f>COUNTIFS('Counter_PnL'!$D$2:$D$641,A544,'Counter_PnL'!$C$2:$C$641,B544)</x:f>
        <x:v>1</x:v>
      </x:c>
      <x:c r="D544" s="79" t="n">
        <x:f>ABS('Counter_PnL'!AC544-SUM('Counter_PnL'!V544:'Counter_PnL'!AB544))</x:f>
        <x:v>0</x:v>
      </x:c>
      <x:c r="E544" s="79" t="n">
        <x:f>ABS('Counter_PnL'!AI544-SUM('Counter_PnL'!R544,'Counter_PnL'!T544,'Counter_PnL'!AC544,'Counter_PnL'!AE544,'Counter_PnL'!AG544,'Counter_PnL'!AH544))</x:f>
        <x:v>0</x:v>
      </x:c>
      <x:c r="F544" s="79" t="n">
        <x:f>ABS('Counter_PnL'!AK544-('Counter_PnL'!Q544+'Counter_PnL'!AI544))</x:f>
        <x:v>0</x:v>
      </x:c>
      <x:c r="G544" s="79" t="n">
        <x:f>ABS('Counter_PnL'!AT544-SUM('Counter_PnL'!AO544:'Counter_PnL'!AS544))</x:f>
        <x:v>0</x:v>
      </x:c>
      <x:c r="H544" s="79" t="n">
        <x:f>ABS('Counter_PnL'!AV544-('Counter_PnL'!AK544+'Counter_PnL'!AT544))</x:f>
        <x:v>0</x:v>
      </x:c>
      <x:c r="I544" s="79" t="n">
        <x:f>ABS('Counter_PnL'!BE544-SUM('Counter_PnL'!AX544:'Counter_PnL'!BB544,'Counter_PnL'!BD544))</x:f>
        <x:v>0</x:v>
      </x:c>
      <x:c r="J544" s="79" t="n">
        <x:f>ABS('Counter_PnL'!BL544-SUM('Counter_PnL'!AV544,'Counter_PnL'!BE544,'Counter_PnL'!BJ544,'Counter_PnL'!BK544))</x:f>
        <x:v>0</x:v>
      </x:c>
      <x:c r="K544" s="79" t="n">
        <x:f>ABS('Counter_PnL'!BO544-('Counter_PnL'!BL544+'Counter_PnL'!BN544))</x:f>
        <x:v>0</x:v>
      </x:c>
      <x:c r="L544" s="79" t="n">
        <x:f>MAX(ABS('Counter_PnL'!AW544-'Counter_PnL'!AV544/'Counter_PnL'!AK544),ABS('Counter_PnL'!BM544-'Counter_PnL'!BL544/'Counter_PnL'!AK544),ABS('Counter_PnL'!BP544-'Counter_PnL'!BO544/'Counter_PnL'!AK544))</x:f>
        <x:v>0</x:v>
      </x:c>
      <x:c r="M544" s="30" t="n">
        <x:f>IF(AND('Counter_PnL'!Q544&gt;0,'Counter_PnL'!AK544&gt;0,'Counter_PnL'!R544&lt;=0,'Counter_PnL'!T544&lt;=0,'Counter_PnL'!AT544&lt;=0,'Counter_PnL'!BE544&lt;=0,'Counter_PnL'!BJ544&lt;=0,'Counter_PnL'!BK544&lt;=0,'Counter_PnL'!BN544&lt;=0),0,1)</x:f>
        <x:v>0</x:v>
      </x:c>
    </x:row>
    <x:row r="545">
      <x:c r="A545" t="str">
        <x:f>'Counter_PnL'!D545</x:f>
        <x:v>CNCT0136</x:v>
      </x:c>
      <x:c r="B545" t="str">
        <x:f>'Counter_PnL'!C545</x:f>
        <x:v>2026 S2</x:v>
      </x:c>
      <x:c r="C545" s="30" t="n">
        <x:f>COUNTIFS('Counter_PnL'!$D$2:$D$641,A545,'Counter_PnL'!$C$2:$C$641,B545)</x:f>
        <x:v>1</x:v>
      </x:c>
      <x:c r="D545" s="79" t="n">
        <x:f>ABS('Counter_PnL'!AC545-SUM('Counter_PnL'!V545:'Counter_PnL'!AB545))</x:f>
        <x:v>0</x:v>
      </x:c>
      <x:c r="E545" s="79" t="n">
        <x:f>ABS('Counter_PnL'!AI545-SUM('Counter_PnL'!R545,'Counter_PnL'!T545,'Counter_PnL'!AC545,'Counter_PnL'!AE545,'Counter_PnL'!AG545,'Counter_PnL'!AH545))</x:f>
        <x:v>0</x:v>
      </x:c>
      <x:c r="F545" s="79" t="n">
        <x:f>ABS('Counter_PnL'!AK545-('Counter_PnL'!Q545+'Counter_PnL'!AI545))</x:f>
        <x:v>0</x:v>
      </x:c>
      <x:c r="G545" s="79" t="n">
        <x:f>ABS('Counter_PnL'!AT545-SUM('Counter_PnL'!AO545:'Counter_PnL'!AS545))</x:f>
        <x:v>0</x:v>
      </x:c>
      <x:c r="H545" s="79" t="n">
        <x:f>ABS('Counter_PnL'!AV545-('Counter_PnL'!AK545+'Counter_PnL'!AT545))</x:f>
        <x:v>0</x:v>
      </x:c>
      <x:c r="I545" s="79" t="n">
        <x:f>ABS('Counter_PnL'!BE545-SUM('Counter_PnL'!AX545:'Counter_PnL'!BB545,'Counter_PnL'!BD545))</x:f>
        <x:v>0</x:v>
      </x:c>
      <x:c r="J545" s="79" t="n">
        <x:f>ABS('Counter_PnL'!BL545-SUM('Counter_PnL'!AV545,'Counter_PnL'!BE545,'Counter_PnL'!BJ545,'Counter_PnL'!BK545))</x:f>
        <x:v>0</x:v>
      </x:c>
      <x:c r="K545" s="79" t="n">
        <x:f>ABS('Counter_PnL'!BO545-('Counter_PnL'!BL545+'Counter_PnL'!BN545))</x:f>
        <x:v>0</x:v>
      </x:c>
      <x:c r="L545" s="79" t="n">
        <x:f>MAX(ABS('Counter_PnL'!AW545-'Counter_PnL'!AV545/'Counter_PnL'!AK545),ABS('Counter_PnL'!BM545-'Counter_PnL'!BL545/'Counter_PnL'!AK545),ABS('Counter_PnL'!BP545-'Counter_PnL'!BO545/'Counter_PnL'!AK545))</x:f>
        <x:v>0</x:v>
      </x:c>
      <x:c r="M545" s="30" t="n">
        <x:f>IF(AND('Counter_PnL'!Q545&gt;0,'Counter_PnL'!AK545&gt;0,'Counter_PnL'!R545&lt;=0,'Counter_PnL'!T545&lt;=0,'Counter_PnL'!AT545&lt;=0,'Counter_PnL'!BE545&lt;=0,'Counter_PnL'!BJ545&lt;=0,'Counter_PnL'!BK545&lt;=0,'Counter_PnL'!BN545&lt;=0),0,1)</x:f>
        <x:v>0</x:v>
      </x:c>
    </x:row>
    <x:row r="546">
      <x:c r="A546" t="str">
        <x:f>'Counter_PnL'!D546</x:f>
        <x:v>CNCT0137</x:v>
      </x:c>
      <x:c r="B546" t="str">
        <x:f>'Counter_PnL'!C546</x:f>
        <x:v>2025 S1</x:v>
      </x:c>
      <x:c r="C546" s="30" t="n">
        <x:f>COUNTIFS('Counter_PnL'!$D$2:$D$641,A546,'Counter_PnL'!$C$2:$C$641,B546)</x:f>
        <x:v>1</x:v>
      </x:c>
      <x:c r="D546" s="79" t="n">
        <x:f>ABS('Counter_PnL'!AC546-SUM('Counter_PnL'!V546:'Counter_PnL'!AB546))</x:f>
        <x:v>0</x:v>
      </x:c>
      <x:c r="E546" s="79" t="n">
        <x:f>ABS('Counter_PnL'!AI546-SUM('Counter_PnL'!R546,'Counter_PnL'!T546,'Counter_PnL'!AC546,'Counter_PnL'!AE546,'Counter_PnL'!AG546,'Counter_PnL'!AH546))</x:f>
        <x:v>0</x:v>
      </x:c>
      <x:c r="F546" s="79" t="n">
        <x:f>ABS('Counter_PnL'!AK546-('Counter_PnL'!Q546+'Counter_PnL'!AI546))</x:f>
        <x:v>0</x:v>
      </x:c>
      <x:c r="G546" s="79" t="n">
        <x:f>ABS('Counter_PnL'!AT546-SUM('Counter_PnL'!AO546:'Counter_PnL'!AS546))</x:f>
        <x:v>0</x:v>
      </x:c>
      <x:c r="H546" s="79" t="n">
        <x:f>ABS('Counter_PnL'!AV546-('Counter_PnL'!AK546+'Counter_PnL'!AT546))</x:f>
        <x:v>0</x:v>
      </x:c>
      <x:c r="I546" s="79" t="n">
        <x:f>ABS('Counter_PnL'!BE546-SUM('Counter_PnL'!AX546:'Counter_PnL'!BB546,'Counter_PnL'!BD546))</x:f>
        <x:v>0</x:v>
      </x:c>
      <x:c r="J546" s="79" t="n">
        <x:f>ABS('Counter_PnL'!BL546-SUM('Counter_PnL'!AV546,'Counter_PnL'!BE546,'Counter_PnL'!BJ546,'Counter_PnL'!BK546))</x:f>
        <x:v>0</x:v>
      </x:c>
      <x:c r="K546" s="79" t="n">
        <x:f>ABS('Counter_PnL'!BO546-('Counter_PnL'!BL546+'Counter_PnL'!BN546))</x:f>
        <x:v>0</x:v>
      </x:c>
      <x:c r="L546" s="79" t="n">
        <x:f>MAX(ABS('Counter_PnL'!AW546-'Counter_PnL'!AV546/'Counter_PnL'!AK546),ABS('Counter_PnL'!BM546-'Counter_PnL'!BL546/'Counter_PnL'!AK546),ABS('Counter_PnL'!BP546-'Counter_PnL'!BO546/'Counter_PnL'!AK546))</x:f>
        <x:v>0</x:v>
      </x:c>
      <x:c r="M546" s="30" t="n">
        <x:f>IF(AND('Counter_PnL'!Q546&gt;0,'Counter_PnL'!AK546&gt;0,'Counter_PnL'!R546&lt;=0,'Counter_PnL'!T546&lt;=0,'Counter_PnL'!AT546&lt;=0,'Counter_PnL'!BE546&lt;=0,'Counter_PnL'!BJ546&lt;=0,'Counter_PnL'!BK546&lt;=0,'Counter_PnL'!BN546&lt;=0),0,1)</x:f>
        <x:v>0</x:v>
      </x:c>
    </x:row>
    <x:row r="547">
      <x:c r="A547" t="str">
        <x:f>'Counter_PnL'!D547</x:f>
        <x:v>CNCT0137</x:v>
      </x:c>
      <x:c r="B547" t="str">
        <x:f>'Counter_PnL'!C547</x:f>
        <x:v>2025 S2</x:v>
      </x:c>
      <x:c r="C547" s="30" t="n">
        <x:f>COUNTIFS('Counter_PnL'!$D$2:$D$641,A547,'Counter_PnL'!$C$2:$C$641,B547)</x:f>
        <x:v>1</x:v>
      </x:c>
      <x:c r="D547" s="79" t="n">
        <x:f>ABS('Counter_PnL'!AC547-SUM('Counter_PnL'!V547:'Counter_PnL'!AB547))</x:f>
        <x:v>0</x:v>
      </x:c>
      <x:c r="E547" s="79" t="n">
        <x:f>ABS('Counter_PnL'!AI547-SUM('Counter_PnL'!R547,'Counter_PnL'!T547,'Counter_PnL'!AC547,'Counter_PnL'!AE547,'Counter_PnL'!AG547,'Counter_PnL'!AH547))</x:f>
        <x:v>0</x:v>
      </x:c>
      <x:c r="F547" s="79" t="n">
        <x:f>ABS('Counter_PnL'!AK547-('Counter_PnL'!Q547+'Counter_PnL'!AI547))</x:f>
        <x:v>0</x:v>
      </x:c>
      <x:c r="G547" s="79" t="n">
        <x:f>ABS('Counter_PnL'!AT547-SUM('Counter_PnL'!AO547:'Counter_PnL'!AS547))</x:f>
        <x:v>0</x:v>
      </x:c>
      <x:c r="H547" s="79" t="n">
        <x:f>ABS('Counter_PnL'!AV547-('Counter_PnL'!AK547+'Counter_PnL'!AT547))</x:f>
        <x:v>0</x:v>
      </x:c>
      <x:c r="I547" s="79" t="n">
        <x:f>ABS('Counter_PnL'!BE547-SUM('Counter_PnL'!AX547:'Counter_PnL'!BB547,'Counter_PnL'!BD547))</x:f>
        <x:v>0</x:v>
      </x:c>
      <x:c r="J547" s="79" t="n">
        <x:f>ABS('Counter_PnL'!BL547-SUM('Counter_PnL'!AV547,'Counter_PnL'!BE547,'Counter_PnL'!BJ547,'Counter_PnL'!BK547))</x:f>
        <x:v>0</x:v>
      </x:c>
      <x:c r="K547" s="79" t="n">
        <x:f>ABS('Counter_PnL'!BO547-('Counter_PnL'!BL547+'Counter_PnL'!BN547))</x:f>
        <x:v>0</x:v>
      </x:c>
      <x:c r="L547" s="79" t="n">
        <x:f>MAX(ABS('Counter_PnL'!AW547-'Counter_PnL'!AV547/'Counter_PnL'!AK547),ABS('Counter_PnL'!BM547-'Counter_PnL'!BL547/'Counter_PnL'!AK547),ABS('Counter_PnL'!BP547-'Counter_PnL'!BO547/'Counter_PnL'!AK547))</x:f>
        <x:v>0</x:v>
      </x:c>
      <x:c r="M547" s="30" t="n">
        <x:f>IF(AND('Counter_PnL'!Q547&gt;0,'Counter_PnL'!AK547&gt;0,'Counter_PnL'!R547&lt;=0,'Counter_PnL'!T547&lt;=0,'Counter_PnL'!AT547&lt;=0,'Counter_PnL'!BE547&lt;=0,'Counter_PnL'!BJ547&lt;=0,'Counter_PnL'!BK547&lt;=0,'Counter_PnL'!BN547&lt;=0),0,1)</x:f>
        <x:v>0</x:v>
      </x:c>
    </x:row>
    <x:row r="548">
      <x:c r="A548" t="str">
        <x:f>'Counter_PnL'!D548</x:f>
        <x:v>CNCT0137</x:v>
      </x:c>
      <x:c r="B548" t="str">
        <x:f>'Counter_PnL'!C548</x:f>
        <x:v>2026 S1</x:v>
      </x:c>
      <x:c r="C548" s="30" t="n">
        <x:f>COUNTIFS('Counter_PnL'!$D$2:$D$641,A548,'Counter_PnL'!$C$2:$C$641,B548)</x:f>
        <x:v>1</x:v>
      </x:c>
      <x:c r="D548" s="79" t="n">
        <x:f>ABS('Counter_PnL'!AC548-SUM('Counter_PnL'!V548:'Counter_PnL'!AB548))</x:f>
        <x:v>0</x:v>
      </x:c>
      <x:c r="E548" s="79" t="n">
        <x:f>ABS('Counter_PnL'!AI548-SUM('Counter_PnL'!R548,'Counter_PnL'!T548,'Counter_PnL'!AC548,'Counter_PnL'!AE548,'Counter_PnL'!AG548,'Counter_PnL'!AH548))</x:f>
        <x:v>0</x:v>
      </x:c>
      <x:c r="F548" s="79" t="n">
        <x:f>ABS('Counter_PnL'!AK548-('Counter_PnL'!Q548+'Counter_PnL'!AI548))</x:f>
        <x:v>0</x:v>
      </x:c>
      <x:c r="G548" s="79" t="n">
        <x:f>ABS('Counter_PnL'!AT548-SUM('Counter_PnL'!AO548:'Counter_PnL'!AS548))</x:f>
        <x:v>0</x:v>
      </x:c>
      <x:c r="H548" s="79" t="n">
        <x:f>ABS('Counter_PnL'!AV548-('Counter_PnL'!AK548+'Counter_PnL'!AT548))</x:f>
        <x:v>0</x:v>
      </x:c>
      <x:c r="I548" s="79" t="n">
        <x:f>ABS('Counter_PnL'!BE548-SUM('Counter_PnL'!AX548:'Counter_PnL'!BB548,'Counter_PnL'!BD548))</x:f>
        <x:v>0</x:v>
      </x:c>
      <x:c r="J548" s="79" t="n">
        <x:f>ABS('Counter_PnL'!BL548-SUM('Counter_PnL'!AV548,'Counter_PnL'!BE548,'Counter_PnL'!BJ548,'Counter_PnL'!BK548))</x:f>
        <x:v>0</x:v>
      </x:c>
      <x:c r="K548" s="79" t="n">
        <x:f>ABS('Counter_PnL'!BO548-('Counter_PnL'!BL548+'Counter_PnL'!BN548))</x:f>
        <x:v>0</x:v>
      </x:c>
      <x:c r="L548" s="79" t="n">
        <x:f>MAX(ABS('Counter_PnL'!AW548-'Counter_PnL'!AV548/'Counter_PnL'!AK548),ABS('Counter_PnL'!BM548-'Counter_PnL'!BL548/'Counter_PnL'!AK548),ABS('Counter_PnL'!BP548-'Counter_PnL'!BO548/'Counter_PnL'!AK548))</x:f>
        <x:v>0</x:v>
      </x:c>
      <x:c r="M548" s="30" t="n">
        <x:f>IF(AND('Counter_PnL'!Q548&gt;0,'Counter_PnL'!AK548&gt;0,'Counter_PnL'!R548&lt;=0,'Counter_PnL'!T548&lt;=0,'Counter_PnL'!AT548&lt;=0,'Counter_PnL'!BE548&lt;=0,'Counter_PnL'!BJ548&lt;=0,'Counter_PnL'!BK548&lt;=0,'Counter_PnL'!BN548&lt;=0),0,1)</x:f>
        <x:v>0</x:v>
      </x:c>
    </x:row>
    <x:row r="549">
      <x:c r="A549" t="str">
        <x:f>'Counter_PnL'!D549</x:f>
        <x:v>CNCT0137</x:v>
      </x:c>
      <x:c r="B549" t="str">
        <x:f>'Counter_PnL'!C549</x:f>
        <x:v>2026 S2</x:v>
      </x:c>
      <x:c r="C549" s="30" t="n">
        <x:f>COUNTIFS('Counter_PnL'!$D$2:$D$641,A549,'Counter_PnL'!$C$2:$C$641,B549)</x:f>
        <x:v>1</x:v>
      </x:c>
      <x:c r="D549" s="79" t="n">
        <x:f>ABS('Counter_PnL'!AC549-SUM('Counter_PnL'!V549:'Counter_PnL'!AB549))</x:f>
        <x:v>0</x:v>
      </x:c>
      <x:c r="E549" s="79" t="n">
        <x:f>ABS('Counter_PnL'!AI549-SUM('Counter_PnL'!R549,'Counter_PnL'!T549,'Counter_PnL'!AC549,'Counter_PnL'!AE549,'Counter_PnL'!AG549,'Counter_PnL'!AH549))</x:f>
        <x:v>0</x:v>
      </x:c>
      <x:c r="F549" s="79" t="n">
        <x:f>ABS('Counter_PnL'!AK549-('Counter_PnL'!Q549+'Counter_PnL'!AI549))</x:f>
        <x:v>0</x:v>
      </x:c>
      <x:c r="G549" s="79" t="n">
        <x:f>ABS('Counter_PnL'!AT549-SUM('Counter_PnL'!AO549:'Counter_PnL'!AS549))</x:f>
        <x:v>0</x:v>
      </x:c>
      <x:c r="H549" s="79" t="n">
        <x:f>ABS('Counter_PnL'!AV549-('Counter_PnL'!AK549+'Counter_PnL'!AT549))</x:f>
        <x:v>0</x:v>
      </x:c>
      <x:c r="I549" s="79" t="n">
        <x:f>ABS('Counter_PnL'!BE549-SUM('Counter_PnL'!AX549:'Counter_PnL'!BB549,'Counter_PnL'!BD549))</x:f>
        <x:v>0</x:v>
      </x:c>
      <x:c r="J549" s="79" t="n">
        <x:f>ABS('Counter_PnL'!BL549-SUM('Counter_PnL'!AV549,'Counter_PnL'!BE549,'Counter_PnL'!BJ549,'Counter_PnL'!BK549))</x:f>
        <x:v>0</x:v>
      </x:c>
      <x:c r="K549" s="79" t="n">
        <x:f>ABS('Counter_PnL'!BO549-('Counter_PnL'!BL549+'Counter_PnL'!BN549))</x:f>
        <x:v>0</x:v>
      </x:c>
      <x:c r="L549" s="79" t="n">
        <x:f>MAX(ABS('Counter_PnL'!AW549-'Counter_PnL'!AV549/'Counter_PnL'!AK549),ABS('Counter_PnL'!BM549-'Counter_PnL'!BL549/'Counter_PnL'!AK549),ABS('Counter_PnL'!BP549-'Counter_PnL'!BO549/'Counter_PnL'!AK549))</x:f>
        <x:v>0</x:v>
      </x:c>
      <x:c r="M549" s="30" t="n">
        <x:f>IF(AND('Counter_PnL'!Q549&gt;0,'Counter_PnL'!AK549&gt;0,'Counter_PnL'!R549&lt;=0,'Counter_PnL'!T549&lt;=0,'Counter_PnL'!AT549&lt;=0,'Counter_PnL'!BE549&lt;=0,'Counter_PnL'!BJ549&lt;=0,'Counter_PnL'!BK549&lt;=0,'Counter_PnL'!BN549&lt;=0),0,1)</x:f>
        <x:v>0</x:v>
      </x:c>
    </x:row>
    <x:row r="550">
      <x:c r="A550" t="str">
        <x:f>'Counter_PnL'!D550</x:f>
        <x:v>CNCT0138</x:v>
      </x:c>
      <x:c r="B550" t="str">
        <x:f>'Counter_PnL'!C550</x:f>
        <x:v>2025 S1</x:v>
      </x:c>
      <x:c r="C550" s="30" t="n">
        <x:f>COUNTIFS('Counter_PnL'!$D$2:$D$641,A550,'Counter_PnL'!$C$2:$C$641,B550)</x:f>
        <x:v>1</x:v>
      </x:c>
      <x:c r="D550" s="79" t="n">
        <x:f>ABS('Counter_PnL'!AC550-SUM('Counter_PnL'!V550:'Counter_PnL'!AB550))</x:f>
        <x:v>0</x:v>
      </x:c>
      <x:c r="E550" s="79" t="n">
        <x:f>ABS('Counter_PnL'!AI550-SUM('Counter_PnL'!R550,'Counter_PnL'!T550,'Counter_PnL'!AC550,'Counter_PnL'!AE550,'Counter_PnL'!AG550,'Counter_PnL'!AH550))</x:f>
        <x:v>0</x:v>
      </x:c>
      <x:c r="F550" s="79" t="n">
        <x:f>ABS('Counter_PnL'!AK550-('Counter_PnL'!Q550+'Counter_PnL'!AI550))</x:f>
        <x:v>0</x:v>
      </x:c>
      <x:c r="G550" s="79" t="n">
        <x:f>ABS('Counter_PnL'!AT550-SUM('Counter_PnL'!AO550:'Counter_PnL'!AS550))</x:f>
        <x:v>0</x:v>
      </x:c>
      <x:c r="H550" s="79" t="n">
        <x:f>ABS('Counter_PnL'!AV550-('Counter_PnL'!AK550+'Counter_PnL'!AT550))</x:f>
        <x:v>0</x:v>
      </x:c>
      <x:c r="I550" s="79" t="n">
        <x:f>ABS('Counter_PnL'!BE550-SUM('Counter_PnL'!AX550:'Counter_PnL'!BB550,'Counter_PnL'!BD550))</x:f>
        <x:v>0</x:v>
      </x:c>
      <x:c r="J550" s="79" t="n">
        <x:f>ABS('Counter_PnL'!BL550-SUM('Counter_PnL'!AV550,'Counter_PnL'!BE550,'Counter_PnL'!BJ550,'Counter_PnL'!BK550))</x:f>
        <x:v>0</x:v>
      </x:c>
      <x:c r="K550" s="79" t="n">
        <x:f>ABS('Counter_PnL'!BO550-('Counter_PnL'!BL550+'Counter_PnL'!BN550))</x:f>
        <x:v>0</x:v>
      </x:c>
      <x:c r="L550" s="79" t="n">
        <x:f>MAX(ABS('Counter_PnL'!AW550-'Counter_PnL'!AV550/'Counter_PnL'!AK550),ABS('Counter_PnL'!BM550-'Counter_PnL'!BL550/'Counter_PnL'!AK550),ABS('Counter_PnL'!BP550-'Counter_PnL'!BO550/'Counter_PnL'!AK550))</x:f>
        <x:v>0</x:v>
      </x:c>
      <x:c r="M550" s="30" t="n">
        <x:f>IF(AND('Counter_PnL'!Q550&gt;0,'Counter_PnL'!AK550&gt;0,'Counter_PnL'!R550&lt;=0,'Counter_PnL'!T550&lt;=0,'Counter_PnL'!AT550&lt;=0,'Counter_PnL'!BE550&lt;=0,'Counter_PnL'!BJ550&lt;=0,'Counter_PnL'!BK550&lt;=0,'Counter_PnL'!BN550&lt;=0),0,1)</x:f>
        <x:v>0</x:v>
      </x:c>
    </x:row>
    <x:row r="551">
      <x:c r="A551" t="str">
        <x:f>'Counter_PnL'!D551</x:f>
        <x:v>CNCT0138</x:v>
      </x:c>
      <x:c r="B551" t="str">
        <x:f>'Counter_PnL'!C551</x:f>
        <x:v>2025 S2</x:v>
      </x:c>
      <x:c r="C551" s="30" t="n">
        <x:f>COUNTIFS('Counter_PnL'!$D$2:$D$641,A551,'Counter_PnL'!$C$2:$C$641,B551)</x:f>
        <x:v>1</x:v>
      </x:c>
      <x:c r="D551" s="79" t="n">
        <x:f>ABS('Counter_PnL'!AC551-SUM('Counter_PnL'!V551:'Counter_PnL'!AB551))</x:f>
        <x:v>0</x:v>
      </x:c>
      <x:c r="E551" s="79" t="n">
        <x:f>ABS('Counter_PnL'!AI551-SUM('Counter_PnL'!R551,'Counter_PnL'!T551,'Counter_PnL'!AC551,'Counter_PnL'!AE551,'Counter_PnL'!AG551,'Counter_PnL'!AH551))</x:f>
        <x:v>0</x:v>
      </x:c>
      <x:c r="F551" s="79" t="n">
        <x:f>ABS('Counter_PnL'!AK551-('Counter_PnL'!Q551+'Counter_PnL'!AI551))</x:f>
        <x:v>0</x:v>
      </x:c>
      <x:c r="G551" s="79" t="n">
        <x:f>ABS('Counter_PnL'!AT551-SUM('Counter_PnL'!AO551:'Counter_PnL'!AS551))</x:f>
        <x:v>0</x:v>
      </x:c>
      <x:c r="H551" s="79" t="n">
        <x:f>ABS('Counter_PnL'!AV551-('Counter_PnL'!AK551+'Counter_PnL'!AT551))</x:f>
        <x:v>0</x:v>
      </x:c>
      <x:c r="I551" s="79" t="n">
        <x:f>ABS('Counter_PnL'!BE551-SUM('Counter_PnL'!AX551:'Counter_PnL'!BB551,'Counter_PnL'!BD551))</x:f>
        <x:v>0</x:v>
      </x:c>
      <x:c r="J551" s="79" t="n">
        <x:f>ABS('Counter_PnL'!BL551-SUM('Counter_PnL'!AV551,'Counter_PnL'!BE551,'Counter_PnL'!BJ551,'Counter_PnL'!BK551))</x:f>
        <x:v>0</x:v>
      </x:c>
      <x:c r="K551" s="79" t="n">
        <x:f>ABS('Counter_PnL'!BO551-('Counter_PnL'!BL551+'Counter_PnL'!BN551))</x:f>
        <x:v>0</x:v>
      </x:c>
      <x:c r="L551" s="79" t="n">
        <x:f>MAX(ABS('Counter_PnL'!AW551-'Counter_PnL'!AV551/'Counter_PnL'!AK551),ABS('Counter_PnL'!BM551-'Counter_PnL'!BL551/'Counter_PnL'!AK551),ABS('Counter_PnL'!BP551-'Counter_PnL'!BO551/'Counter_PnL'!AK551))</x:f>
        <x:v>0</x:v>
      </x:c>
      <x:c r="M551" s="30" t="n">
        <x:f>IF(AND('Counter_PnL'!Q551&gt;0,'Counter_PnL'!AK551&gt;0,'Counter_PnL'!R551&lt;=0,'Counter_PnL'!T551&lt;=0,'Counter_PnL'!AT551&lt;=0,'Counter_PnL'!BE551&lt;=0,'Counter_PnL'!BJ551&lt;=0,'Counter_PnL'!BK551&lt;=0,'Counter_PnL'!BN551&lt;=0),0,1)</x:f>
        <x:v>0</x:v>
      </x:c>
    </x:row>
    <x:row r="552">
      <x:c r="A552" t="str">
        <x:f>'Counter_PnL'!D552</x:f>
        <x:v>CNCT0138</x:v>
      </x:c>
      <x:c r="B552" t="str">
        <x:f>'Counter_PnL'!C552</x:f>
        <x:v>2026 S1</x:v>
      </x:c>
      <x:c r="C552" s="30" t="n">
        <x:f>COUNTIFS('Counter_PnL'!$D$2:$D$641,A552,'Counter_PnL'!$C$2:$C$641,B552)</x:f>
        <x:v>1</x:v>
      </x:c>
      <x:c r="D552" s="79" t="n">
        <x:f>ABS('Counter_PnL'!AC552-SUM('Counter_PnL'!V552:'Counter_PnL'!AB552))</x:f>
        <x:v>0</x:v>
      </x:c>
      <x:c r="E552" s="79" t="n">
        <x:f>ABS('Counter_PnL'!AI552-SUM('Counter_PnL'!R552,'Counter_PnL'!T552,'Counter_PnL'!AC552,'Counter_PnL'!AE552,'Counter_PnL'!AG552,'Counter_PnL'!AH552))</x:f>
        <x:v>0</x:v>
      </x:c>
      <x:c r="F552" s="79" t="n">
        <x:f>ABS('Counter_PnL'!AK552-('Counter_PnL'!Q552+'Counter_PnL'!AI552))</x:f>
        <x:v>0</x:v>
      </x:c>
      <x:c r="G552" s="79" t="n">
        <x:f>ABS('Counter_PnL'!AT552-SUM('Counter_PnL'!AO552:'Counter_PnL'!AS552))</x:f>
        <x:v>0</x:v>
      </x:c>
      <x:c r="H552" s="79" t="n">
        <x:f>ABS('Counter_PnL'!AV552-('Counter_PnL'!AK552+'Counter_PnL'!AT552))</x:f>
        <x:v>0</x:v>
      </x:c>
      <x:c r="I552" s="79" t="n">
        <x:f>ABS('Counter_PnL'!BE552-SUM('Counter_PnL'!AX552:'Counter_PnL'!BB552,'Counter_PnL'!BD552))</x:f>
        <x:v>0</x:v>
      </x:c>
      <x:c r="J552" s="79" t="n">
        <x:f>ABS('Counter_PnL'!BL552-SUM('Counter_PnL'!AV552,'Counter_PnL'!BE552,'Counter_PnL'!BJ552,'Counter_PnL'!BK552))</x:f>
        <x:v>0</x:v>
      </x:c>
      <x:c r="K552" s="79" t="n">
        <x:f>ABS('Counter_PnL'!BO552-('Counter_PnL'!BL552+'Counter_PnL'!BN552))</x:f>
        <x:v>0</x:v>
      </x:c>
      <x:c r="L552" s="79" t="n">
        <x:f>MAX(ABS('Counter_PnL'!AW552-'Counter_PnL'!AV552/'Counter_PnL'!AK552),ABS('Counter_PnL'!BM552-'Counter_PnL'!BL552/'Counter_PnL'!AK552),ABS('Counter_PnL'!BP552-'Counter_PnL'!BO552/'Counter_PnL'!AK552))</x:f>
        <x:v>0</x:v>
      </x:c>
      <x:c r="M552" s="30" t="n">
        <x:f>IF(AND('Counter_PnL'!Q552&gt;0,'Counter_PnL'!AK552&gt;0,'Counter_PnL'!R552&lt;=0,'Counter_PnL'!T552&lt;=0,'Counter_PnL'!AT552&lt;=0,'Counter_PnL'!BE552&lt;=0,'Counter_PnL'!BJ552&lt;=0,'Counter_PnL'!BK552&lt;=0,'Counter_PnL'!BN552&lt;=0),0,1)</x:f>
        <x:v>0</x:v>
      </x:c>
    </x:row>
    <x:row r="553">
      <x:c r="A553" t="str">
        <x:f>'Counter_PnL'!D553</x:f>
        <x:v>CNCT0138</x:v>
      </x:c>
      <x:c r="B553" t="str">
        <x:f>'Counter_PnL'!C553</x:f>
        <x:v>2026 S2</x:v>
      </x:c>
      <x:c r="C553" s="30" t="n">
        <x:f>COUNTIFS('Counter_PnL'!$D$2:$D$641,A553,'Counter_PnL'!$C$2:$C$641,B553)</x:f>
        <x:v>1</x:v>
      </x:c>
      <x:c r="D553" s="79" t="n">
        <x:f>ABS('Counter_PnL'!AC553-SUM('Counter_PnL'!V553:'Counter_PnL'!AB553))</x:f>
        <x:v>0</x:v>
      </x:c>
      <x:c r="E553" s="79" t="n">
        <x:f>ABS('Counter_PnL'!AI553-SUM('Counter_PnL'!R553,'Counter_PnL'!T553,'Counter_PnL'!AC553,'Counter_PnL'!AE553,'Counter_PnL'!AG553,'Counter_PnL'!AH553))</x:f>
        <x:v>0</x:v>
      </x:c>
      <x:c r="F553" s="79" t="n">
        <x:f>ABS('Counter_PnL'!AK553-('Counter_PnL'!Q553+'Counter_PnL'!AI553))</x:f>
        <x:v>0</x:v>
      </x:c>
      <x:c r="G553" s="79" t="n">
        <x:f>ABS('Counter_PnL'!AT553-SUM('Counter_PnL'!AO553:'Counter_PnL'!AS553))</x:f>
        <x:v>0</x:v>
      </x:c>
      <x:c r="H553" s="79" t="n">
        <x:f>ABS('Counter_PnL'!AV553-('Counter_PnL'!AK553+'Counter_PnL'!AT553))</x:f>
        <x:v>0</x:v>
      </x:c>
      <x:c r="I553" s="79" t="n">
        <x:f>ABS('Counter_PnL'!BE553-SUM('Counter_PnL'!AX553:'Counter_PnL'!BB553,'Counter_PnL'!BD553))</x:f>
        <x:v>0</x:v>
      </x:c>
      <x:c r="J553" s="79" t="n">
        <x:f>ABS('Counter_PnL'!BL553-SUM('Counter_PnL'!AV553,'Counter_PnL'!BE553,'Counter_PnL'!BJ553,'Counter_PnL'!BK553))</x:f>
        <x:v>0</x:v>
      </x:c>
      <x:c r="K553" s="79" t="n">
        <x:f>ABS('Counter_PnL'!BO553-('Counter_PnL'!BL553+'Counter_PnL'!BN553))</x:f>
        <x:v>0</x:v>
      </x:c>
      <x:c r="L553" s="79" t="n">
        <x:f>MAX(ABS('Counter_PnL'!AW553-'Counter_PnL'!AV553/'Counter_PnL'!AK553),ABS('Counter_PnL'!BM553-'Counter_PnL'!BL553/'Counter_PnL'!AK553),ABS('Counter_PnL'!BP553-'Counter_PnL'!BO553/'Counter_PnL'!AK553))</x:f>
        <x:v>0</x:v>
      </x:c>
      <x:c r="M553" s="30" t="n">
        <x:f>IF(AND('Counter_PnL'!Q553&gt;0,'Counter_PnL'!AK553&gt;0,'Counter_PnL'!R553&lt;=0,'Counter_PnL'!T553&lt;=0,'Counter_PnL'!AT553&lt;=0,'Counter_PnL'!BE553&lt;=0,'Counter_PnL'!BJ553&lt;=0,'Counter_PnL'!BK553&lt;=0,'Counter_PnL'!BN553&lt;=0),0,1)</x:f>
        <x:v>0</x:v>
      </x:c>
    </x:row>
    <x:row r="554">
      <x:c r="A554" t="str">
        <x:f>'Counter_PnL'!D554</x:f>
        <x:v>CNCT0139</x:v>
      </x:c>
      <x:c r="B554" t="str">
        <x:f>'Counter_PnL'!C554</x:f>
        <x:v>2025 S1</x:v>
      </x:c>
      <x:c r="C554" s="30" t="n">
        <x:f>COUNTIFS('Counter_PnL'!$D$2:$D$641,A554,'Counter_PnL'!$C$2:$C$641,B554)</x:f>
        <x:v>1</x:v>
      </x:c>
      <x:c r="D554" s="79" t="n">
        <x:f>ABS('Counter_PnL'!AC554-SUM('Counter_PnL'!V554:'Counter_PnL'!AB554))</x:f>
        <x:v>0</x:v>
      </x:c>
      <x:c r="E554" s="79" t="n">
        <x:f>ABS('Counter_PnL'!AI554-SUM('Counter_PnL'!R554,'Counter_PnL'!T554,'Counter_PnL'!AC554,'Counter_PnL'!AE554,'Counter_PnL'!AG554,'Counter_PnL'!AH554))</x:f>
        <x:v>0</x:v>
      </x:c>
      <x:c r="F554" s="79" t="n">
        <x:f>ABS('Counter_PnL'!AK554-('Counter_PnL'!Q554+'Counter_PnL'!AI554))</x:f>
        <x:v>0</x:v>
      </x:c>
      <x:c r="G554" s="79" t="n">
        <x:f>ABS('Counter_PnL'!AT554-SUM('Counter_PnL'!AO554:'Counter_PnL'!AS554))</x:f>
        <x:v>0</x:v>
      </x:c>
      <x:c r="H554" s="79" t="n">
        <x:f>ABS('Counter_PnL'!AV554-('Counter_PnL'!AK554+'Counter_PnL'!AT554))</x:f>
        <x:v>0</x:v>
      </x:c>
      <x:c r="I554" s="79" t="n">
        <x:f>ABS('Counter_PnL'!BE554-SUM('Counter_PnL'!AX554:'Counter_PnL'!BB554,'Counter_PnL'!BD554))</x:f>
        <x:v>0</x:v>
      </x:c>
      <x:c r="J554" s="79" t="n">
        <x:f>ABS('Counter_PnL'!BL554-SUM('Counter_PnL'!AV554,'Counter_PnL'!BE554,'Counter_PnL'!BJ554,'Counter_PnL'!BK554))</x:f>
        <x:v>0</x:v>
      </x:c>
      <x:c r="K554" s="79" t="n">
        <x:f>ABS('Counter_PnL'!BO554-('Counter_PnL'!BL554+'Counter_PnL'!BN554))</x:f>
        <x:v>0</x:v>
      </x:c>
      <x:c r="L554" s="79" t="n">
        <x:f>MAX(ABS('Counter_PnL'!AW554-'Counter_PnL'!AV554/'Counter_PnL'!AK554),ABS('Counter_PnL'!BM554-'Counter_PnL'!BL554/'Counter_PnL'!AK554),ABS('Counter_PnL'!BP554-'Counter_PnL'!BO554/'Counter_PnL'!AK554))</x:f>
        <x:v>0</x:v>
      </x:c>
      <x:c r="M554" s="30" t="n">
        <x:f>IF(AND('Counter_PnL'!Q554&gt;0,'Counter_PnL'!AK554&gt;0,'Counter_PnL'!R554&lt;=0,'Counter_PnL'!T554&lt;=0,'Counter_PnL'!AT554&lt;=0,'Counter_PnL'!BE554&lt;=0,'Counter_PnL'!BJ554&lt;=0,'Counter_PnL'!BK554&lt;=0,'Counter_PnL'!BN554&lt;=0),0,1)</x:f>
        <x:v>0</x:v>
      </x:c>
    </x:row>
    <x:row r="555">
      <x:c r="A555" t="str">
        <x:f>'Counter_PnL'!D555</x:f>
        <x:v>CNCT0139</x:v>
      </x:c>
      <x:c r="B555" t="str">
        <x:f>'Counter_PnL'!C555</x:f>
        <x:v>2025 S2</x:v>
      </x:c>
      <x:c r="C555" s="30" t="n">
        <x:f>COUNTIFS('Counter_PnL'!$D$2:$D$641,A555,'Counter_PnL'!$C$2:$C$641,B555)</x:f>
        <x:v>1</x:v>
      </x:c>
      <x:c r="D555" s="79" t="n">
        <x:f>ABS('Counter_PnL'!AC555-SUM('Counter_PnL'!V555:'Counter_PnL'!AB555))</x:f>
        <x:v>0</x:v>
      </x:c>
      <x:c r="E555" s="79" t="n">
        <x:f>ABS('Counter_PnL'!AI555-SUM('Counter_PnL'!R555,'Counter_PnL'!T555,'Counter_PnL'!AC555,'Counter_PnL'!AE555,'Counter_PnL'!AG555,'Counter_PnL'!AH555))</x:f>
        <x:v>0</x:v>
      </x:c>
      <x:c r="F555" s="79" t="n">
        <x:f>ABS('Counter_PnL'!AK555-('Counter_PnL'!Q555+'Counter_PnL'!AI555))</x:f>
        <x:v>0</x:v>
      </x:c>
      <x:c r="G555" s="79" t="n">
        <x:f>ABS('Counter_PnL'!AT555-SUM('Counter_PnL'!AO555:'Counter_PnL'!AS555))</x:f>
        <x:v>0</x:v>
      </x:c>
      <x:c r="H555" s="79" t="n">
        <x:f>ABS('Counter_PnL'!AV555-('Counter_PnL'!AK555+'Counter_PnL'!AT555))</x:f>
        <x:v>0</x:v>
      </x:c>
      <x:c r="I555" s="79" t="n">
        <x:f>ABS('Counter_PnL'!BE555-SUM('Counter_PnL'!AX555:'Counter_PnL'!BB555,'Counter_PnL'!BD555))</x:f>
        <x:v>0</x:v>
      </x:c>
      <x:c r="J555" s="79" t="n">
        <x:f>ABS('Counter_PnL'!BL555-SUM('Counter_PnL'!AV555,'Counter_PnL'!BE555,'Counter_PnL'!BJ555,'Counter_PnL'!BK555))</x:f>
        <x:v>0</x:v>
      </x:c>
      <x:c r="K555" s="79" t="n">
        <x:f>ABS('Counter_PnL'!BO555-('Counter_PnL'!BL555+'Counter_PnL'!BN555))</x:f>
        <x:v>0</x:v>
      </x:c>
      <x:c r="L555" s="79" t="n">
        <x:f>MAX(ABS('Counter_PnL'!AW555-'Counter_PnL'!AV555/'Counter_PnL'!AK555),ABS('Counter_PnL'!BM555-'Counter_PnL'!BL555/'Counter_PnL'!AK555),ABS('Counter_PnL'!BP555-'Counter_PnL'!BO555/'Counter_PnL'!AK555))</x:f>
        <x:v>0</x:v>
      </x:c>
      <x:c r="M555" s="30" t="n">
        <x:f>IF(AND('Counter_PnL'!Q555&gt;0,'Counter_PnL'!AK555&gt;0,'Counter_PnL'!R555&lt;=0,'Counter_PnL'!T555&lt;=0,'Counter_PnL'!AT555&lt;=0,'Counter_PnL'!BE555&lt;=0,'Counter_PnL'!BJ555&lt;=0,'Counter_PnL'!BK555&lt;=0,'Counter_PnL'!BN555&lt;=0),0,1)</x:f>
        <x:v>0</x:v>
      </x:c>
    </x:row>
    <x:row r="556">
      <x:c r="A556" t="str">
        <x:f>'Counter_PnL'!D556</x:f>
        <x:v>CNCT0139</x:v>
      </x:c>
      <x:c r="B556" t="str">
        <x:f>'Counter_PnL'!C556</x:f>
        <x:v>2026 S1</x:v>
      </x:c>
      <x:c r="C556" s="30" t="n">
        <x:f>COUNTIFS('Counter_PnL'!$D$2:$D$641,A556,'Counter_PnL'!$C$2:$C$641,B556)</x:f>
        <x:v>1</x:v>
      </x:c>
      <x:c r="D556" s="79" t="n">
        <x:f>ABS('Counter_PnL'!AC556-SUM('Counter_PnL'!V556:'Counter_PnL'!AB556))</x:f>
        <x:v>0</x:v>
      </x:c>
      <x:c r="E556" s="79" t="n">
        <x:f>ABS('Counter_PnL'!AI556-SUM('Counter_PnL'!R556,'Counter_PnL'!T556,'Counter_PnL'!AC556,'Counter_PnL'!AE556,'Counter_PnL'!AG556,'Counter_PnL'!AH556))</x:f>
        <x:v>0</x:v>
      </x:c>
      <x:c r="F556" s="79" t="n">
        <x:f>ABS('Counter_PnL'!AK556-('Counter_PnL'!Q556+'Counter_PnL'!AI556))</x:f>
        <x:v>0</x:v>
      </x:c>
      <x:c r="G556" s="79" t="n">
        <x:f>ABS('Counter_PnL'!AT556-SUM('Counter_PnL'!AO556:'Counter_PnL'!AS556))</x:f>
        <x:v>0</x:v>
      </x:c>
      <x:c r="H556" s="79" t="n">
        <x:f>ABS('Counter_PnL'!AV556-('Counter_PnL'!AK556+'Counter_PnL'!AT556))</x:f>
        <x:v>0</x:v>
      </x:c>
      <x:c r="I556" s="79" t="n">
        <x:f>ABS('Counter_PnL'!BE556-SUM('Counter_PnL'!AX556:'Counter_PnL'!BB556,'Counter_PnL'!BD556))</x:f>
        <x:v>0</x:v>
      </x:c>
      <x:c r="J556" s="79" t="n">
        <x:f>ABS('Counter_PnL'!BL556-SUM('Counter_PnL'!AV556,'Counter_PnL'!BE556,'Counter_PnL'!BJ556,'Counter_PnL'!BK556))</x:f>
        <x:v>0</x:v>
      </x:c>
      <x:c r="K556" s="79" t="n">
        <x:f>ABS('Counter_PnL'!BO556-('Counter_PnL'!BL556+'Counter_PnL'!BN556))</x:f>
        <x:v>0</x:v>
      </x:c>
      <x:c r="L556" s="79" t="n">
        <x:f>MAX(ABS('Counter_PnL'!AW556-'Counter_PnL'!AV556/'Counter_PnL'!AK556),ABS('Counter_PnL'!BM556-'Counter_PnL'!BL556/'Counter_PnL'!AK556),ABS('Counter_PnL'!BP556-'Counter_PnL'!BO556/'Counter_PnL'!AK556))</x:f>
        <x:v>0</x:v>
      </x:c>
      <x:c r="M556" s="30" t="n">
        <x:f>IF(AND('Counter_PnL'!Q556&gt;0,'Counter_PnL'!AK556&gt;0,'Counter_PnL'!R556&lt;=0,'Counter_PnL'!T556&lt;=0,'Counter_PnL'!AT556&lt;=0,'Counter_PnL'!BE556&lt;=0,'Counter_PnL'!BJ556&lt;=0,'Counter_PnL'!BK556&lt;=0,'Counter_PnL'!BN556&lt;=0),0,1)</x:f>
        <x:v>0</x:v>
      </x:c>
    </x:row>
    <x:row r="557">
      <x:c r="A557" t="str">
        <x:f>'Counter_PnL'!D557</x:f>
        <x:v>CNCT0139</x:v>
      </x:c>
      <x:c r="B557" t="str">
        <x:f>'Counter_PnL'!C557</x:f>
        <x:v>2026 S2</x:v>
      </x:c>
      <x:c r="C557" s="30" t="n">
        <x:f>COUNTIFS('Counter_PnL'!$D$2:$D$641,A557,'Counter_PnL'!$C$2:$C$641,B557)</x:f>
        <x:v>1</x:v>
      </x:c>
      <x:c r="D557" s="79" t="n">
        <x:f>ABS('Counter_PnL'!AC557-SUM('Counter_PnL'!V557:'Counter_PnL'!AB557))</x:f>
        <x:v>0</x:v>
      </x:c>
      <x:c r="E557" s="79" t="n">
        <x:f>ABS('Counter_PnL'!AI557-SUM('Counter_PnL'!R557,'Counter_PnL'!T557,'Counter_PnL'!AC557,'Counter_PnL'!AE557,'Counter_PnL'!AG557,'Counter_PnL'!AH557))</x:f>
        <x:v>0</x:v>
      </x:c>
      <x:c r="F557" s="79" t="n">
        <x:f>ABS('Counter_PnL'!AK557-('Counter_PnL'!Q557+'Counter_PnL'!AI557))</x:f>
        <x:v>0</x:v>
      </x:c>
      <x:c r="G557" s="79" t="n">
        <x:f>ABS('Counter_PnL'!AT557-SUM('Counter_PnL'!AO557:'Counter_PnL'!AS557))</x:f>
        <x:v>0</x:v>
      </x:c>
      <x:c r="H557" s="79" t="n">
        <x:f>ABS('Counter_PnL'!AV557-('Counter_PnL'!AK557+'Counter_PnL'!AT557))</x:f>
        <x:v>0</x:v>
      </x:c>
      <x:c r="I557" s="79" t="n">
        <x:f>ABS('Counter_PnL'!BE557-SUM('Counter_PnL'!AX557:'Counter_PnL'!BB557,'Counter_PnL'!BD557))</x:f>
        <x:v>0</x:v>
      </x:c>
      <x:c r="J557" s="79" t="n">
        <x:f>ABS('Counter_PnL'!BL557-SUM('Counter_PnL'!AV557,'Counter_PnL'!BE557,'Counter_PnL'!BJ557,'Counter_PnL'!BK557))</x:f>
        <x:v>0</x:v>
      </x:c>
      <x:c r="K557" s="79" t="n">
        <x:f>ABS('Counter_PnL'!BO557-('Counter_PnL'!BL557+'Counter_PnL'!BN557))</x:f>
        <x:v>0</x:v>
      </x:c>
      <x:c r="L557" s="79" t="n">
        <x:f>MAX(ABS('Counter_PnL'!AW557-'Counter_PnL'!AV557/'Counter_PnL'!AK557),ABS('Counter_PnL'!BM557-'Counter_PnL'!BL557/'Counter_PnL'!AK557),ABS('Counter_PnL'!BP557-'Counter_PnL'!BO557/'Counter_PnL'!AK557))</x:f>
        <x:v>0</x:v>
      </x:c>
      <x:c r="M557" s="30" t="n">
        <x:f>IF(AND('Counter_PnL'!Q557&gt;0,'Counter_PnL'!AK557&gt;0,'Counter_PnL'!R557&lt;=0,'Counter_PnL'!T557&lt;=0,'Counter_PnL'!AT557&lt;=0,'Counter_PnL'!BE557&lt;=0,'Counter_PnL'!BJ557&lt;=0,'Counter_PnL'!BK557&lt;=0,'Counter_PnL'!BN557&lt;=0),0,1)</x:f>
        <x:v>0</x:v>
      </x:c>
    </x:row>
    <x:row r="558">
      <x:c r="A558" t="str">
        <x:f>'Counter_PnL'!D558</x:f>
        <x:v>CNCT0140</x:v>
      </x:c>
      <x:c r="B558" t="str">
        <x:f>'Counter_PnL'!C558</x:f>
        <x:v>2025 S1</x:v>
      </x:c>
      <x:c r="C558" s="30" t="n">
        <x:f>COUNTIFS('Counter_PnL'!$D$2:$D$641,A558,'Counter_PnL'!$C$2:$C$641,B558)</x:f>
        <x:v>1</x:v>
      </x:c>
      <x:c r="D558" s="79" t="n">
        <x:f>ABS('Counter_PnL'!AC558-SUM('Counter_PnL'!V558:'Counter_PnL'!AB558))</x:f>
        <x:v>0</x:v>
      </x:c>
      <x:c r="E558" s="79" t="n">
        <x:f>ABS('Counter_PnL'!AI558-SUM('Counter_PnL'!R558,'Counter_PnL'!T558,'Counter_PnL'!AC558,'Counter_PnL'!AE558,'Counter_PnL'!AG558,'Counter_PnL'!AH558))</x:f>
        <x:v>0</x:v>
      </x:c>
      <x:c r="F558" s="79" t="n">
        <x:f>ABS('Counter_PnL'!AK558-('Counter_PnL'!Q558+'Counter_PnL'!AI558))</x:f>
        <x:v>0</x:v>
      </x:c>
      <x:c r="G558" s="79" t="n">
        <x:f>ABS('Counter_PnL'!AT558-SUM('Counter_PnL'!AO558:'Counter_PnL'!AS558))</x:f>
        <x:v>0</x:v>
      </x:c>
      <x:c r="H558" s="79" t="n">
        <x:f>ABS('Counter_PnL'!AV558-('Counter_PnL'!AK558+'Counter_PnL'!AT558))</x:f>
        <x:v>0</x:v>
      </x:c>
      <x:c r="I558" s="79" t="n">
        <x:f>ABS('Counter_PnL'!BE558-SUM('Counter_PnL'!AX558:'Counter_PnL'!BB558,'Counter_PnL'!BD558))</x:f>
        <x:v>0</x:v>
      </x:c>
      <x:c r="J558" s="79" t="n">
        <x:f>ABS('Counter_PnL'!BL558-SUM('Counter_PnL'!AV558,'Counter_PnL'!BE558,'Counter_PnL'!BJ558,'Counter_PnL'!BK558))</x:f>
        <x:v>0</x:v>
      </x:c>
      <x:c r="K558" s="79" t="n">
        <x:f>ABS('Counter_PnL'!BO558-('Counter_PnL'!BL558+'Counter_PnL'!BN558))</x:f>
        <x:v>0</x:v>
      </x:c>
      <x:c r="L558" s="79" t="n">
        <x:f>MAX(ABS('Counter_PnL'!AW558-'Counter_PnL'!AV558/'Counter_PnL'!AK558),ABS('Counter_PnL'!BM558-'Counter_PnL'!BL558/'Counter_PnL'!AK558),ABS('Counter_PnL'!BP558-'Counter_PnL'!BO558/'Counter_PnL'!AK558))</x:f>
        <x:v>0</x:v>
      </x:c>
      <x:c r="M558" s="30" t="n">
        <x:f>IF(AND('Counter_PnL'!Q558&gt;0,'Counter_PnL'!AK558&gt;0,'Counter_PnL'!R558&lt;=0,'Counter_PnL'!T558&lt;=0,'Counter_PnL'!AT558&lt;=0,'Counter_PnL'!BE558&lt;=0,'Counter_PnL'!BJ558&lt;=0,'Counter_PnL'!BK558&lt;=0,'Counter_PnL'!BN558&lt;=0),0,1)</x:f>
        <x:v>0</x:v>
      </x:c>
    </x:row>
    <x:row r="559">
      <x:c r="A559" t="str">
        <x:f>'Counter_PnL'!D559</x:f>
        <x:v>CNCT0140</x:v>
      </x:c>
      <x:c r="B559" t="str">
        <x:f>'Counter_PnL'!C559</x:f>
        <x:v>2025 S2</x:v>
      </x:c>
      <x:c r="C559" s="30" t="n">
        <x:f>COUNTIFS('Counter_PnL'!$D$2:$D$641,A559,'Counter_PnL'!$C$2:$C$641,B559)</x:f>
        <x:v>1</x:v>
      </x:c>
      <x:c r="D559" s="79" t="n">
        <x:f>ABS('Counter_PnL'!AC559-SUM('Counter_PnL'!V559:'Counter_PnL'!AB559))</x:f>
        <x:v>0</x:v>
      </x:c>
      <x:c r="E559" s="79" t="n">
        <x:f>ABS('Counter_PnL'!AI559-SUM('Counter_PnL'!R559,'Counter_PnL'!T559,'Counter_PnL'!AC559,'Counter_PnL'!AE559,'Counter_PnL'!AG559,'Counter_PnL'!AH559))</x:f>
        <x:v>0</x:v>
      </x:c>
      <x:c r="F559" s="79" t="n">
        <x:f>ABS('Counter_PnL'!AK559-('Counter_PnL'!Q559+'Counter_PnL'!AI559))</x:f>
        <x:v>0</x:v>
      </x:c>
      <x:c r="G559" s="79" t="n">
        <x:f>ABS('Counter_PnL'!AT559-SUM('Counter_PnL'!AO559:'Counter_PnL'!AS559))</x:f>
        <x:v>0</x:v>
      </x:c>
      <x:c r="H559" s="79" t="n">
        <x:f>ABS('Counter_PnL'!AV559-('Counter_PnL'!AK559+'Counter_PnL'!AT559))</x:f>
        <x:v>0</x:v>
      </x:c>
      <x:c r="I559" s="79" t="n">
        <x:f>ABS('Counter_PnL'!BE559-SUM('Counter_PnL'!AX559:'Counter_PnL'!BB559,'Counter_PnL'!BD559))</x:f>
        <x:v>0</x:v>
      </x:c>
      <x:c r="J559" s="79" t="n">
        <x:f>ABS('Counter_PnL'!BL559-SUM('Counter_PnL'!AV559,'Counter_PnL'!BE559,'Counter_PnL'!BJ559,'Counter_PnL'!BK559))</x:f>
        <x:v>0</x:v>
      </x:c>
      <x:c r="K559" s="79" t="n">
        <x:f>ABS('Counter_PnL'!BO559-('Counter_PnL'!BL559+'Counter_PnL'!BN559))</x:f>
        <x:v>0</x:v>
      </x:c>
      <x:c r="L559" s="79" t="n">
        <x:f>MAX(ABS('Counter_PnL'!AW559-'Counter_PnL'!AV559/'Counter_PnL'!AK559),ABS('Counter_PnL'!BM559-'Counter_PnL'!BL559/'Counter_PnL'!AK559),ABS('Counter_PnL'!BP559-'Counter_PnL'!BO559/'Counter_PnL'!AK559))</x:f>
        <x:v>0</x:v>
      </x:c>
      <x:c r="M559" s="30" t="n">
        <x:f>IF(AND('Counter_PnL'!Q559&gt;0,'Counter_PnL'!AK559&gt;0,'Counter_PnL'!R559&lt;=0,'Counter_PnL'!T559&lt;=0,'Counter_PnL'!AT559&lt;=0,'Counter_PnL'!BE559&lt;=0,'Counter_PnL'!BJ559&lt;=0,'Counter_PnL'!BK559&lt;=0,'Counter_PnL'!BN559&lt;=0),0,1)</x:f>
        <x:v>0</x:v>
      </x:c>
    </x:row>
    <x:row r="560">
      <x:c r="A560" t="str">
        <x:f>'Counter_PnL'!D560</x:f>
        <x:v>CNCT0140</x:v>
      </x:c>
      <x:c r="B560" t="str">
        <x:f>'Counter_PnL'!C560</x:f>
        <x:v>2026 S1</x:v>
      </x:c>
      <x:c r="C560" s="30" t="n">
        <x:f>COUNTIFS('Counter_PnL'!$D$2:$D$641,A560,'Counter_PnL'!$C$2:$C$641,B560)</x:f>
        <x:v>1</x:v>
      </x:c>
      <x:c r="D560" s="79" t="n">
        <x:f>ABS('Counter_PnL'!AC560-SUM('Counter_PnL'!V560:'Counter_PnL'!AB560))</x:f>
        <x:v>0</x:v>
      </x:c>
      <x:c r="E560" s="79" t="n">
        <x:f>ABS('Counter_PnL'!AI560-SUM('Counter_PnL'!R560,'Counter_PnL'!T560,'Counter_PnL'!AC560,'Counter_PnL'!AE560,'Counter_PnL'!AG560,'Counter_PnL'!AH560))</x:f>
        <x:v>0</x:v>
      </x:c>
      <x:c r="F560" s="79" t="n">
        <x:f>ABS('Counter_PnL'!AK560-('Counter_PnL'!Q560+'Counter_PnL'!AI560))</x:f>
        <x:v>0</x:v>
      </x:c>
      <x:c r="G560" s="79" t="n">
        <x:f>ABS('Counter_PnL'!AT560-SUM('Counter_PnL'!AO560:'Counter_PnL'!AS560))</x:f>
        <x:v>0</x:v>
      </x:c>
      <x:c r="H560" s="79" t="n">
        <x:f>ABS('Counter_PnL'!AV560-('Counter_PnL'!AK560+'Counter_PnL'!AT560))</x:f>
        <x:v>0</x:v>
      </x:c>
      <x:c r="I560" s="79" t="n">
        <x:f>ABS('Counter_PnL'!BE560-SUM('Counter_PnL'!AX560:'Counter_PnL'!BB560,'Counter_PnL'!BD560))</x:f>
        <x:v>0</x:v>
      </x:c>
      <x:c r="J560" s="79" t="n">
        <x:f>ABS('Counter_PnL'!BL560-SUM('Counter_PnL'!AV560,'Counter_PnL'!BE560,'Counter_PnL'!BJ560,'Counter_PnL'!BK560))</x:f>
        <x:v>0</x:v>
      </x:c>
      <x:c r="K560" s="79" t="n">
        <x:f>ABS('Counter_PnL'!BO560-('Counter_PnL'!BL560+'Counter_PnL'!BN560))</x:f>
        <x:v>0</x:v>
      </x:c>
      <x:c r="L560" s="79" t="n">
        <x:f>MAX(ABS('Counter_PnL'!AW560-'Counter_PnL'!AV560/'Counter_PnL'!AK560),ABS('Counter_PnL'!BM560-'Counter_PnL'!BL560/'Counter_PnL'!AK560),ABS('Counter_PnL'!BP560-'Counter_PnL'!BO560/'Counter_PnL'!AK560))</x:f>
        <x:v>0</x:v>
      </x:c>
      <x:c r="M560" s="30" t="n">
        <x:f>IF(AND('Counter_PnL'!Q560&gt;0,'Counter_PnL'!AK560&gt;0,'Counter_PnL'!R560&lt;=0,'Counter_PnL'!T560&lt;=0,'Counter_PnL'!AT560&lt;=0,'Counter_PnL'!BE560&lt;=0,'Counter_PnL'!BJ560&lt;=0,'Counter_PnL'!BK560&lt;=0,'Counter_PnL'!BN560&lt;=0),0,1)</x:f>
        <x:v>0</x:v>
      </x:c>
    </x:row>
    <x:row r="561">
      <x:c r="A561" t="str">
        <x:f>'Counter_PnL'!D561</x:f>
        <x:v>CNCT0140</x:v>
      </x:c>
      <x:c r="B561" t="str">
        <x:f>'Counter_PnL'!C561</x:f>
        <x:v>2026 S2</x:v>
      </x:c>
      <x:c r="C561" s="30" t="n">
        <x:f>COUNTIFS('Counter_PnL'!$D$2:$D$641,A561,'Counter_PnL'!$C$2:$C$641,B561)</x:f>
        <x:v>1</x:v>
      </x:c>
      <x:c r="D561" s="79" t="n">
        <x:f>ABS('Counter_PnL'!AC561-SUM('Counter_PnL'!V561:'Counter_PnL'!AB561))</x:f>
        <x:v>0</x:v>
      </x:c>
      <x:c r="E561" s="79" t="n">
        <x:f>ABS('Counter_PnL'!AI561-SUM('Counter_PnL'!R561,'Counter_PnL'!T561,'Counter_PnL'!AC561,'Counter_PnL'!AE561,'Counter_PnL'!AG561,'Counter_PnL'!AH561))</x:f>
        <x:v>0</x:v>
      </x:c>
      <x:c r="F561" s="79" t="n">
        <x:f>ABS('Counter_PnL'!AK561-('Counter_PnL'!Q561+'Counter_PnL'!AI561))</x:f>
        <x:v>0</x:v>
      </x:c>
      <x:c r="G561" s="79" t="n">
        <x:f>ABS('Counter_PnL'!AT561-SUM('Counter_PnL'!AO561:'Counter_PnL'!AS561))</x:f>
        <x:v>0</x:v>
      </x:c>
      <x:c r="H561" s="79" t="n">
        <x:f>ABS('Counter_PnL'!AV561-('Counter_PnL'!AK561+'Counter_PnL'!AT561))</x:f>
        <x:v>0</x:v>
      </x:c>
      <x:c r="I561" s="79" t="n">
        <x:f>ABS('Counter_PnL'!BE561-SUM('Counter_PnL'!AX561:'Counter_PnL'!BB561,'Counter_PnL'!BD561))</x:f>
        <x:v>0</x:v>
      </x:c>
      <x:c r="J561" s="79" t="n">
        <x:f>ABS('Counter_PnL'!BL561-SUM('Counter_PnL'!AV561,'Counter_PnL'!BE561,'Counter_PnL'!BJ561,'Counter_PnL'!BK561))</x:f>
        <x:v>0</x:v>
      </x:c>
      <x:c r="K561" s="79" t="n">
        <x:f>ABS('Counter_PnL'!BO561-('Counter_PnL'!BL561+'Counter_PnL'!BN561))</x:f>
        <x:v>0</x:v>
      </x:c>
      <x:c r="L561" s="79" t="n">
        <x:f>MAX(ABS('Counter_PnL'!AW561-'Counter_PnL'!AV561/'Counter_PnL'!AK561),ABS('Counter_PnL'!BM561-'Counter_PnL'!BL561/'Counter_PnL'!AK561),ABS('Counter_PnL'!BP561-'Counter_PnL'!BO561/'Counter_PnL'!AK561))</x:f>
        <x:v>0</x:v>
      </x:c>
      <x:c r="M561" s="30" t="n">
        <x:f>IF(AND('Counter_PnL'!Q561&gt;0,'Counter_PnL'!AK561&gt;0,'Counter_PnL'!R561&lt;=0,'Counter_PnL'!T561&lt;=0,'Counter_PnL'!AT561&lt;=0,'Counter_PnL'!BE561&lt;=0,'Counter_PnL'!BJ561&lt;=0,'Counter_PnL'!BK561&lt;=0,'Counter_PnL'!BN561&lt;=0),0,1)</x:f>
        <x:v>0</x:v>
      </x:c>
    </x:row>
    <x:row r="562">
      <x:c r="A562" t="str">
        <x:f>'Counter_PnL'!D562</x:f>
        <x:v>CNCT0141</x:v>
      </x:c>
      <x:c r="B562" t="str">
        <x:f>'Counter_PnL'!C562</x:f>
        <x:v>2025 S1</x:v>
      </x:c>
      <x:c r="C562" s="30" t="n">
        <x:f>COUNTIFS('Counter_PnL'!$D$2:$D$641,A562,'Counter_PnL'!$C$2:$C$641,B562)</x:f>
        <x:v>1</x:v>
      </x:c>
      <x:c r="D562" s="79" t="n">
        <x:f>ABS('Counter_PnL'!AC562-SUM('Counter_PnL'!V562:'Counter_PnL'!AB562))</x:f>
        <x:v>0</x:v>
      </x:c>
      <x:c r="E562" s="79" t="n">
        <x:f>ABS('Counter_PnL'!AI562-SUM('Counter_PnL'!R562,'Counter_PnL'!T562,'Counter_PnL'!AC562,'Counter_PnL'!AE562,'Counter_PnL'!AG562,'Counter_PnL'!AH562))</x:f>
        <x:v>0</x:v>
      </x:c>
      <x:c r="F562" s="79" t="n">
        <x:f>ABS('Counter_PnL'!AK562-('Counter_PnL'!Q562+'Counter_PnL'!AI562))</x:f>
        <x:v>0</x:v>
      </x:c>
      <x:c r="G562" s="79" t="n">
        <x:f>ABS('Counter_PnL'!AT562-SUM('Counter_PnL'!AO562:'Counter_PnL'!AS562))</x:f>
        <x:v>0</x:v>
      </x:c>
      <x:c r="H562" s="79" t="n">
        <x:f>ABS('Counter_PnL'!AV562-('Counter_PnL'!AK562+'Counter_PnL'!AT562))</x:f>
        <x:v>0</x:v>
      </x:c>
      <x:c r="I562" s="79" t="n">
        <x:f>ABS('Counter_PnL'!BE562-SUM('Counter_PnL'!AX562:'Counter_PnL'!BB562,'Counter_PnL'!BD562))</x:f>
        <x:v>0</x:v>
      </x:c>
      <x:c r="J562" s="79" t="n">
        <x:f>ABS('Counter_PnL'!BL562-SUM('Counter_PnL'!AV562,'Counter_PnL'!BE562,'Counter_PnL'!BJ562,'Counter_PnL'!BK562))</x:f>
        <x:v>0</x:v>
      </x:c>
      <x:c r="K562" s="79" t="n">
        <x:f>ABS('Counter_PnL'!BO562-('Counter_PnL'!BL562+'Counter_PnL'!BN562))</x:f>
        <x:v>0</x:v>
      </x:c>
      <x:c r="L562" s="79" t="n">
        <x:f>MAX(ABS('Counter_PnL'!AW562-'Counter_PnL'!AV562/'Counter_PnL'!AK562),ABS('Counter_PnL'!BM562-'Counter_PnL'!BL562/'Counter_PnL'!AK562),ABS('Counter_PnL'!BP562-'Counter_PnL'!BO562/'Counter_PnL'!AK562))</x:f>
        <x:v>0</x:v>
      </x:c>
      <x:c r="M562" s="30" t="n">
        <x:f>IF(AND('Counter_PnL'!Q562&gt;0,'Counter_PnL'!AK562&gt;0,'Counter_PnL'!R562&lt;=0,'Counter_PnL'!T562&lt;=0,'Counter_PnL'!AT562&lt;=0,'Counter_PnL'!BE562&lt;=0,'Counter_PnL'!BJ562&lt;=0,'Counter_PnL'!BK562&lt;=0,'Counter_PnL'!BN562&lt;=0),0,1)</x:f>
        <x:v>0</x:v>
      </x:c>
    </x:row>
    <x:row r="563">
      <x:c r="A563" t="str">
        <x:f>'Counter_PnL'!D563</x:f>
        <x:v>CNCT0141</x:v>
      </x:c>
      <x:c r="B563" t="str">
        <x:f>'Counter_PnL'!C563</x:f>
        <x:v>2025 S2</x:v>
      </x:c>
      <x:c r="C563" s="30" t="n">
        <x:f>COUNTIFS('Counter_PnL'!$D$2:$D$641,A563,'Counter_PnL'!$C$2:$C$641,B563)</x:f>
        <x:v>1</x:v>
      </x:c>
      <x:c r="D563" s="79" t="n">
        <x:f>ABS('Counter_PnL'!AC563-SUM('Counter_PnL'!V563:'Counter_PnL'!AB563))</x:f>
        <x:v>0</x:v>
      </x:c>
      <x:c r="E563" s="79" t="n">
        <x:f>ABS('Counter_PnL'!AI563-SUM('Counter_PnL'!R563,'Counter_PnL'!T563,'Counter_PnL'!AC563,'Counter_PnL'!AE563,'Counter_PnL'!AG563,'Counter_PnL'!AH563))</x:f>
        <x:v>0</x:v>
      </x:c>
      <x:c r="F563" s="79" t="n">
        <x:f>ABS('Counter_PnL'!AK563-('Counter_PnL'!Q563+'Counter_PnL'!AI563))</x:f>
        <x:v>0</x:v>
      </x:c>
      <x:c r="G563" s="79" t="n">
        <x:f>ABS('Counter_PnL'!AT563-SUM('Counter_PnL'!AO563:'Counter_PnL'!AS563))</x:f>
        <x:v>0</x:v>
      </x:c>
      <x:c r="H563" s="79" t="n">
        <x:f>ABS('Counter_PnL'!AV563-('Counter_PnL'!AK563+'Counter_PnL'!AT563))</x:f>
        <x:v>0</x:v>
      </x:c>
      <x:c r="I563" s="79" t="n">
        <x:f>ABS('Counter_PnL'!BE563-SUM('Counter_PnL'!AX563:'Counter_PnL'!BB563,'Counter_PnL'!BD563))</x:f>
        <x:v>0</x:v>
      </x:c>
      <x:c r="J563" s="79" t="n">
        <x:f>ABS('Counter_PnL'!BL563-SUM('Counter_PnL'!AV563,'Counter_PnL'!BE563,'Counter_PnL'!BJ563,'Counter_PnL'!BK563))</x:f>
        <x:v>0</x:v>
      </x:c>
      <x:c r="K563" s="79" t="n">
        <x:f>ABS('Counter_PnL'!BO563-('Counter_PnL'!BL563+'Counter_PnL'!BN563))</x:f>
        <x:v>0</x:v>
      </x:c>
      <x:c r="L563" s="79" t="n">
        <x:f>MAX(ABS('Counter_PnL'!AW563-'Counter_PnL'!AV563/'Counter_PnL'!AK563),ABS('Counter_PnL'!BM563-'Counter_PnL'!BL563/'Counter_PnL'!AK563),ABS('Counter_PnL'!BP563-'Counter_PnL'!BO563/'Counter_PnL'!AK563))</x:f>
        <x:v>0</x:v>
      </x:c>
      <x:c r="M563" s="30" t="n">
        <x:f>IF(AND('Counter_PnL'!Q563&gt;0,'Counter_PnL'!AK563&gt;0,'Counter_PnL'!R563&lt;=0,'Counter_PnL'!T563&lt;=0,'Counter_PnL'!AT563&lt;=0,'Counter_PnL'!BE563&lt;=0,'Counter_PnL'!BJ563&lt;=0,'Counter_PnL'!BK563&lt;=0,'Counter_PnL'!BN563&lt;=0),0,1)</x:f>
        <x:v>0</x:v>
      </x:c>
    </x:row>
    <x:row r="564">
      <x:c r="A564" t="str">
        <x:f>'Counter_PnL'!D564</x:f>
        <x:v>CNCT0141</x:v>
      </x:c>
      <x:c r="B564" t="str">
        <x:f>'Counter_PnL'!C564</x:f>
        <x:v>2026 S1</x:v>
      </x:c>
      <x:c r="C564" s="30" t="n">
        <x:f>COUNTIFS('Counter_PnL'!$D$2:$D$641,A564,'Counter_PnL'!$C$2:$C$641,B564)</x:f>
        <x:v>1</x:v>
      </x:c>
      <x:c r="D564" s="79" t="n">
        <x:f>ABS('Counter_PnL'!AC564-SUM('Counter_PnL'!V564:'Counter_PnL'!AB564))</x:f>
        <x:v>0</x:v>
      </x:c>
      <x:c r="E564" s="79" t="n">
        <x:f>ABS('Counter_PnL'!AI564-SUM('Counter_PnL'!R564,'Counter_PnL'!T564,'Counter_PnL'!AC564,'Counter_PnL'!AE564,'Counter_PnL'!AG564,'Counter_PnL'!AH564))</x:f>
        <x:v>0</x:v>
      </x:c>
      <x:c r="F564" s="79" t="n">
        <x:f>ABS('Counter_PnL'!AK564-('Counter_PnL'!Q564+'Counter_PnL'!AI564))</x:f>
        <x:v>0</x:v>
      </x:c>
      <x:c r="G564" s="79" t="n">
        <x:f>ABS('Counter_PnL'!AT564-SUM('Counter_PnL'!AO564:'Counter_PnL'!AS564))</x:f>
        <x:v>0</x:v>
      </x:c>
      <x:c r="H564" s="79" t="n">
        <x:f>ABS('Counter_PnL'!AV564-('Counter_PnL'!AK564+'Counter_PnL'!AT564))</x:f>
        <x:v>0</x:v>
      </x:c>
      <x:c r="I564" s="79" t="n">
        <x:f>ABS('Counter_PnL'!BE564-SUM('Counter_PnL'!AX564:'Counter_PnL'!BB564,'Counter_PnL'!BD564))</x:f>
        <x:v>0</x:v>
      </x:c>
      <x:c r="J564" s="79" t="n">
        <x:f>ABS('Counter_PnL'!BL564-SUM('Counter_PnL'!AV564,'Counter_PnL'!BE564,'Counter_PnL'!BJ564,'Counter_PnL'!BK564))</x:f>
        <x:v>0</x:v>
      </x:c>
      <x:c r="K564" s="79" t="n">
        <x:f>ABS('Counter_PnL'!BO564-('Counter_PnL'!BL564+'Counter_PnL'!BN564))</x:f>
        <x:v>0</x:v>
      </x:c>
      <x:c r="L564" s="79" t="n">
        <x:f>MAX(ABS('Counter_PnL'!AW564-'Counter_PnL'!AV564/'Counter_PnL'!AK564),ABS('Counter_PnL'!BM564-'Counter_PnL'!BL564/'Counter_PnL'!AK564),ABS('Counter_PnL'!BP564-'Counter_PnL'!BO564/'Counter_PnL'!AK564))</x:f>
        <x:v>0</x:v>
      </x:c>
      <x:c r="M564" s="30" t="n">
        <x:f>IF(AND('Counter_PnL'!Q564&gt;0,'Counter_PnL'!AK564&gt;0,'Counter_PnL'!R564&lt;=0,'Counter_PnL'!T564&lt;=0,'Counter_PnL'!AT564&lt;=0,'Counter_PnL'!BE564&lt;=0,'Counter_PnL'!BJ564&lt;=0,'Counter_PnL'!BK564&lt;=0,'Counter_PnL'!BN564&lt;=0),0,1)</x:f>
        <x:v>0</x:v>
      </x:c>
    </x:row>
    <x:row r="565">
      <x:c r="A565" t="str">
        <x:f>'Counter_PnL'!D565</x:f>
        <x:v>CNCT0141</x:v>
      </x:c>
      <x:c r="B565" t="str">
        <x:f>'Counter_PnL'!C565</x:f>
        <x:v>2026 S2</x:v>
      </x:c>
      <x:c r="C565" s="30" t="n">
        <x:f>COUNTIFS('Counter_PnL'!$D$2:$D$641,A565,'Counter_PnL'!$C$2:$C$641,B565)</x:f>
        <x:v>1</x:v>
      </x:c>
      <x:c r="D565" s="79" t="n">
        <x:f>ABS('Counter_PnL'!AC565-SUM('Counter_PnL'!V565:'Counter_PnL'!AB565))</x:f>
        <x:v>0</x:v>
      </x:c>
      <x:c r="E565" s="79" t="n">
        <x:f>ABS('Counter_PnL'!AI565-SUM('Counter_PnL'!R565,'Counter_PnL'!T565,'Counter_PnL'!AC565,'Counter_PnL'!AE565,'Counter_PnL'!AG565,'Counter_PnL'!AH565))</x:f>
        <x:v>0</x:v>
      </x:c>
      <x:c r="F565" s="79" t="n">
        <x:f>ABS('Counter_PnL'!AK565-('Counter_PnL'!Q565+'Counter_PnL'!AI565))</x:f>
        <x:v>0</x:v>
      </x:c>
      <x:c r="G565" s="79" t="n">
        <x:f>ABS('Counter_PnL'!AT565-SUM('Counter_PnL'!AO565:'Counter_PnL'!AS565))</x:f>
        <x:v>0</x:v>
      </x:c>
      <x:c r="H565" s="79" t="n">
        <x:f>ABS('Counter_PnL'!AV565-('Counter_PnL'!AK565+'Counter_PnL'!AT565))</x:f>
        <x:v>0</x:v>
      </x:c>
      <x:c r="I565" s="79" t="n">
        <x:f>ABS('Counter_PnL'!BE565-SUM('Counter_PnL'!AX565:'Counter_PnL'!BB565,'Counter_PnL'!BD565))</x:f>
        <x:v>0</x:v>
      </x:c>
      <x:c r="J565" s="79" t="n">
        <x:f>ABS('Counter_PnL'!BL565-SUM('Counter_PnL'!AV565,'Counter_PnL'!BE565,'Counter_PnL'!BJ565,'Counter_PnL'!BK565))</x:f>
        <x:v>0</x:v>
      </x:c>
      <x:c r="K565" s="79" t="n">
        <x:f>ABS('Counter_PnL'!BO565-('Counter_PnL'!BL565+'Counter_PnL'!BN565))</x:f>
        <x:v>0</x:v>
      </x:c>
      <x:c r="L565" s="79" t="n">
        <x:f>MAX(ABS('Counter_PnL'!AW565-'Counter_PnL'!AV565/'Counter_PnL'!AK565),ABS('Counter_PnL'!BM565-'Counter_PnL'!BL565/'Counter_PnL'!AK565),ABS('Counter_PnL'!BP565-'Counter_PnL'!BO565/'Counter_PnL'!AK565))</x:f>
        <x:v>0</x:v>
      </x:c>
      <x:c r="M565" s="30" t="n">
        <x:f>IF(AND('Counter_PnL'!Q565&gt;0,'Counter_PnL'!AK565&gt;0,'Counter_PnL'!R565&lt;=0,'Counter_PnL'!T565&lt;=0,'Counter_PnL'!AT565&lt;=0,'Counter_PnL'!BE565&lt;=0,'Counter_PnL'!BJ565&lt;=0,'Counter_PnL'!BK565&lt;=0,'Counter_PnL'!BN565&lt;=0),0,1)</x:f>
        <x:v>0</x:v>
      </x:c>
    </x:row>
    <x:row r="566">
      <x:c r="A566" t="str">
        <x:f>'Counter_PnL'!D566</x:f>
        <x:v>CNCT0142</x:v>
      </x:c>
      <x:c r="B566" t="str">
        <x:f>'Counter_PnL'!C566</x:f>
        <x:v>2025 S1</x:v>
      </x:c>
      <x:c r="C566" s="30" t="n">
        <x:f>COUNTIFS('Counter_PnL'!$D$2:$D$641,A566,'Counter_PnL'!$C$2:$C$641,B566)</x:f>
        <x:v>1</x:v>
      </x:c>
      <x:c r="D566" s="79" t="n">
        <x:f>ABS('Counter_PnL'!AC566-SUM('Counter_PnL'!V566:'Counter_PnL'!AB566))</x:f>
        <x:v>0</x:v>
      </x:c>
      <x:c r="E566" s="79" t="n">
        <x:f>ABS('Counter_PnL'!AI566-SUM('Counter_PnL'!R566,'Counter_PnL'!T566,'Counter_PnL'!AC566,'Counter_PnL'!AE566,'Counter_PnL'!AG566,'Counter_PnL'!AH566))</x:f>
        <x:v>0</x:v>
      </x:c>
      <x:c r="F566" s="79" t="n">
        <x:f>ABS('Counter_PnL'!AK566-('Counter_PnL'!Q566+'Counter_PnL'!AI566))</x:f>
        <x:v>0</x:v>
      </x:c>
      <x:c r="G566" s="79" t="n">
        <x:f>ABS('Counter_PnL'!AT566-SUM('Counter_PnL'!AO566:'Counter_PnL'!AS566))</x:f>
        <x:v>0</x:v>
      </x:c>
      <x:c r="H566" s="79" t="n">
        <x:f>ABS('Counter_PnL'!AV566-('Counter_PnL'!AK566+'Counter_PnL'!AT566))</x:f>
        <x:v>0</x:v>
      </x:c>
      <x:c r="I566" s="79" t="n">
        <x:f>ABS('Counter_PnL'!BE566-SUM('Counter_PnL'!AX566:'Counter_PnL'!BB566,'Counter_PnL'!BD566))</x:f>
        <x:v>0</x:v>
      </x:c>
      <x:c r="J566" s="79" t="n">
        <x:f>ABS('Counter_PnL'!BL566-SUM('Counter_PnL'!AV566,'Counter_PnL'!BE566,'Counter_PnL'!BJ566,'Counter_PnL'!BK566))</x:f>
        <x:v>0</x:v>
      </x:c>
      <x:c r="K566" s="79" t="n">
        <x:f>ABS('Counter_PnL'!BO566-('Counter_PnL'!BL566+'Counter_PnL'!BN566))</x:f>
        <x:v>0</x:v>
      </x:c>
      <x:c r="L566" s="79" t="n">
        <x:f>MAX(ABS('Counter_PnL'!AW566-'Counter_PnL'!AV566/'Counter_PnL'!AK566),ABS('Counter_PnL'!BM566-'Counter_PnL'!BL566/'Counter_PnL'!AK566),ABS('Counter_PnL'!BP566-'Counter_PnL'!BO566/'Counter_PnL'!AK566))</x:f>
        <x:v>0</x:v>
      </x:c>
      <x:c r="M566" s="30" t="n">
        <x:f>IF(AND('Counter_PnL'!Q566&gt;0,'Counter_PnL'!AK566&gt;0,'Counter_PnL'!R566&lt;=0,'Counter_PnL'!T566&lt;=0,'Counter_PnL'!AT566&lt;=0,'Counter_PnL'!BE566&lt;=0,'Counter_PnL'!BJ566&lt;=0,'Counter_PnL'!BK566&lt;=0,'Counter_PnL'!BN566&lt;=0),0,1)</x:f>
        <x:v>0</x:v>
      </x:c>
    </x:row>
    <x:row r="567">
      <x:c r="A567" t="str">
        <x:f>'Counter_PnL'!D567</x:f>
        <x:v>CNCT0142</x:v>
      </x:c>
      <x:c r="B567" t="str">
        <x:f>'Counter_PnL'!C567</x:f>
        <x:v>2025 S2</x:v>
      </x:c>
      <x:c r="C567" s="30" t="n">
        <x:f>COUNTIFS('Counter_PnL'!$D$2:$D$641,A567,'Counter_PnL'!$C$2:$C$641,B567)</x:f>
        <x:v>1</x:v>
      </x:c>
      <x:c r="D567" s="79" t="n">
        <x:f>ABS('Counter_PnL'!AC567-SUM('Counter_PnL'!V567:'Counter_PnL'!AB567))</x:f>
        <x:v>0</x:v>
      </x:c>
      <x:c r="E567" s="79" t="n">
        <x:f>ABS('Counter_PnL'!AI567-SUM('Counter_PnL'!R567,'Counter_PnL'!T567,'Counter_PnL'!AC567,'Counter_PnL'!AE567,'Counter_PnL'!AG567,'Counter_PnL'!AH567))</x:f>
        <x:v>0</x:v>
      </x:c>
      <x:c r="F567" s="79" t="n">
        <x:f>ABS('Counter_PnL'!AK567-('Counter_PnL'!Q567+'Counter_PnL'!AI567))</x:f>
        <x:v>0</x:v>
      </x:c>
      <x:c r="G567" s="79" t="n">
        <x:f>ABS('Counter_PnL'!AT567-SUM('Counter_PnL'!AO567:'Counter_PnL'!AS567))</x:f>
        <x:v>0</x:v>
      </x:c>
      <x:c r="H567" s="79" t="n">
        <x:f>ABS('Counter_PnL'!AV567-('Counter_PnL'!AK567+'Counter_PnL'!AT567))</x:f>
        <x:v>0</x:v>
      </x:c>
      <x:c r="I567" s="79" t="n">
        <x:f>ABS('Counter_PnL'!BE567-SUM('Counter_PnL'!AX567:'Counter_PnL'!BB567,'Counter_PnL'!BD567))</x:f>
        <x:v>0</x:v>
      </x:c>
      <x:c r="J567" s="79" t="n">
        <x:f>ABS('Counter_PnL'!BL567-SUM('Counter_PnL'!AV567,'Counter_PnL'!BE567,'Counter_PnL'!BJ567,'Counter_PnL'!BK567))</x:f>
        <x:v>0</x:v>
      </x:c>
      <x:c r="K567" s="79" t="n">
        <x:f>ABS('Counter_PnL'!BO567-('Counter_PnL'!BL567+'Counter_PnL'!BN567))</x:f>
        <x:v>0</x:v>
      </x:c>
      <x:c r="L567" s="79" t="n">
        <x:f>MAX(ABS('Counter_PnL'!AW567-'Counter_PnL'!AV567/'Counter_PnL'!AK567),ABS('Counter_PnL'!BM567-'Counter_PnL'!BL567/'Counter_PnL'!AK567),ABS('Counter_PnL'!BP567-'Counter_PnL'!BO567/'Counter_PnL'!AK567))</x:f>
        <x:v>0</x:v>
      </x:c>
      <x:c r="M567" s="30" t="n">
        <x:f>IF(AND('Counter_PnL'!Q567&gt;0,'Counter_PnL'!AK567&gt;0,'Counter_PnL'!R567&lt;=0,'Counter_PnL'!T567&lt;=0,'Counter_PnL'!AT567&lt;=0,'Counter_PnL'!BE567&lt;=0,'Counter_PnL'!BJ567&lt;=0,'Counter_PnL'!BK567&lt;=0,'Counter_PnL'!BN567&lt;=0),0,1)</x:f>
        <x:v>0</x:v>
      </x:c>
    </x:row>
    <x:row r="568">
      <x:c r="A568" t="str">
        <x:f>'Counter_PnL'!D568</x:f>
        <x:v>CNCT0142</x:v>
      </x:c>
      <x:c r="B568" t="str">
        <x:f>'Counter_PnL'!C568</x:f>
        <x:v>2026 S1</x:v>
      </x:c>
      <x:c r="C568" s="30" t="n">
        <x:f>COUNTIFS('Counter_PnL'!$D$2:$D$641,A568,'Counter_PnL'!$C$2:$C$641,B568)</x:f>
        <x:v>1</x:v>
      </x:c>
      <x:c r="D568" s="79" t="n">
        <x:f>ABS('Counter_PnL'!AC568-SUM('Counter_PnL'!V568:'Counter_PnL'!AB568))</x:f>
        <x:v>0</x:v>
      </x:c>
      <x:c r="E568" s="79" t="n">
        <x:f>ABS('Counter_PnL'!AI568-SUM('Counter_PnL'!R568,'Counter_PnL'!T568,'Counter_PnL'!AC568,'Counter_PnL'!AE568,'Counter_PnL'!AG568,'Counter_PnL'!AH568))</x:f>
        <x:v>0</x:v>
      </x:c>
      <x:c r="F568" s="79" t="n">
        <x:f>ABS('Counter_PnL'!AK568-('Counter_PnL'!Q568+'Counter_PnL'!AI568))</x:f>
        <x:v>0</x:v>
      </x:c>
      <x:c r="G568" s="79" t="n">
        <x:f>ABS('Counter_PnL'!AT568-SUM('Counter_PnL'!AO568:'Counter_PnL'!AS568))</x:f>
        <x:v>0</x:v>
      </x:c>
      <x:c r="H568" s="79" t="n">
        <x:f>ABS('Counter_PnL'!AV568-('Counter_PnL'!AK568+'Counter_PnL'!AT568))</x:f>
        <x:v>0</x:v>
      </x:c>
      <x:c r="I568" s="79" t="n">
        <x:f>ABS('Counter_PnL'!BE568-SUM('Counter_PnL'!AX568:'Counter_PnL'!BB568,'Counter_PnL'!BD568))</x:f>
        <x:v>0</x:v>
      </x:c>
      <x:c r="J568" s="79" t="n">
        <x:f>ABS('Counter_PnL'!BL568-SUM('Counter_PnL'!AV568,'Counter_PnL'!BE568,'Counter_PnL'!BJ568,'Counter_PnL'!BK568))</x:f>
        <x:v>0</x:v>
      </x:c>
      <x:c r="K568" s="79" t="n">
        <x:f>ABS('Counter_PnL'!BO568-('Counter_PnL'!BL568+'Counter_PnL'!BN568))</x:f>
        <x:v>0</x:v>
      </x:c>
      <x:c r="L568" s="79" t="n">
        <x:f>MAX(ABS('Counter_PnL'!AW568-'Counter_PnL'!AV568/'Counter_PnL'!AK568),ABS('Counter_PnL'!BM568-'Counter_PnL'!BL568/'Counter_PnL'!AK568),ABS('Counter_PnL'!BP568-'Counter_PnL'!BO568/'Counter_PnL'!AK568))</x:f>
        <x:v>0</x:v>
      </x:c>
      <x:c r="M568" s="30" t="n">
        <x:f>IF(AND('Counter_PnL'!Q568&gt;0,'Counter_PnL'!AK568&gt;0,'Counter_PnL'!R568&lt;=0,'Counter_PnL'!T568&lt;=0,'Counter_PnL'!AT568&lt;=0,'Counter_PnL'!BE568&lt;=0,'Counter_PnL'!BJ568&lt;=0,'Counter_PnL'!BK568&lt;=0,'Counter_PnL'!BN568&lt;=0),0,1)</x:f>
        <x:v>0</x:v>
      </x:c>
    </x:row>
    <x:row r="569">
      <x:c r="A569" t="str">
        <x:f>'Counter_PnL'!D569</x:f>
        <x:v>CNCT0142</x:v>
      </x:c>
      <x:c r="B569" t="str">
        <x:f>'Counter_PnL'!C569</x:f>
        <x:v>2026 S2</x:v>
      </x:c>
      <x:c r="C569" s="30" t="n">
        <x:f>COUNTIFS('Counter_PnL'!$D$2:$D$641,A569,'Counter_PnL'!$C$2:$C$641,B569)</x:f>
        <x:v>1</x:v>
      </x:c>
      <x:c r="D569" s="79" t="n">
        <x:f>ABS('Counter_PnL'!AC569-SUM('Counter_PnL'!V569:'Counter_PnL'!AB569))</x:f>
        <x:v>0</x:v>
      </x:c>
      <x:c r="E569" s="79" t="n">
        <x:f>ABS('Counter_PnL'!AI569-SUM('Counter_PnL'!R569,'Counter_PnL'!T569,'Counter_PnL'!AC569,'Counter_PnL'!AE569,'Counter_PnL'!AG569,'Counter_PnL'!AH569))</x:f>
        <x:v>0</x:v>
      </x:c>
      <x:c r="F569" s="79" t="n">
        <x:f>ABS('Counter_PnL'!AK569-('Counter_PnL'!Q569+'Counter_PnL'!AI569))</x:f>
        <x:v>0</x:v>
      </x:c>
      <x:c r="G569" s="79" t="n">
        <x:f>ABS('Counter_PnL'!AT569-SUM('Counter_PnL'!AO569:'Counter_PnL'!AS569))</x:f>
        <x:v>0</x:v>
      </x:c>
      <x:c r="H569" s="79" t="n">
        <x:f>ABS('Counter_PnL'!AV569-('Counter_PnL'!AK569+'Counter_PnL'!AT569))</x:f>
        <x:v>0</x:v>
      </x:c>
      <x:c r="I569" s="79" t="n">
        <x:f>ABS('Counter_PnL'!BE569-SUM('Counter_PnL'!AX569:'Counter_PnL'!BB569,'Counter_PnL'!BD569))</x:f>
        <x:v>0</x:v>
      </x:c>
      <x:c r="J569" s="79" t="n">
        <x:f>ABS('Counter_PnL'!BL569-SUM('Counter_PnL'!AV569,'Counter_PnL'!BE569,'Counter_PnL'!BJ569,'Counter_PnL'!BK569))</x:f>
        <x:v>0</x:v>
      </x:c>
      <x:c r="K569" s="79" t="n">
        <x:f>ABS('Counter_PnL'!BO569-('Counter_PnL'!BL569+'Counter_PnL'!BN569))</x:f>
        <x:v>0</x:v>
      </x:c>
      <x:c r="L569" s="79" t="n">
        <x:f>MAX(ABS('Counter_PnL'!AW569-'Counter_PnL'!AV569/'Counter_PnL'!AK569),ABS('Counter_PnL'!BM569-'Counter_PnL'!BL569/'Counter_PnL'!AK569),ABS('Counter_PnL'!BP569-'Counter_PnL'!BO569/'Counter_PnL'!AK569))</x:f>
        <x:v>0</x:v>
      </x:c>
      <x:c r="M569" s="30" t="n">
        <x:f>IF(AND('Counter_PnL'!Q569&gt;0,'Counter_PnL'!AK569&gt;0,'Counter_PnL'!R569&lt;=0,'Counter_PnL'!T569&lt;=0,'Counter_PnL'!AT569&lt;=0,'Counter_PnL'!BE569&lt;=0,'Counter_PnL'!BJ569&lt;=0,'Counter_PnL'!BK569&lt;=0,'Counter_PnL'!BN569&lt;=0),0,1)</x:f>
        <x:v>0</x:v>
      </x:c>
    </x:row>
    <x:row r="570">
      <x:c r="A570" t="str">
        <x:f>'Counter_PnL'!D570</x:f>
        <x:v>CNCT0143</x:v>
      </x:c>
      <x:c r="B570" t="str">
        <x:f>'Counter_PnL'!C570</x:f>
        <x:v>2025 S1</x:v>
      </x:c>
      <x:c r="C570" s="30" t="n">
        <x:f>COUNTIFS('Counter_PnL'!$D$2:$D$641,A570,'Counter_PnL'!$C$2:$C$641,B570)</x:f>
        <x:v>1</x:v>
      </x:c>
      <x:c r="D570" s="79" t="n">
        <x:f>ABS('Counter_PnL'!AC570-SUM('Counter_PnL'!V570:'Counter_PnL'!AB570))</x:f>
        <x:v>0</x:v>
      </x:c>
      <x:c r="E570" s="79" t="n">
        <x:f>ABS('Counter_PnL'!AI570-SUM('Counter_PnL'!R570,'Counter_PnL'!T570,'Counter_PnL'!AC570,'Counter_PnL'!AE570,'Counter_PnL'!AG570,'Counter_PnL'!AH570))</x:f>
        <x:v>0</x:v>
      </x:c>
      <x:c r="F570" s="79" t="n">
        <x:f>ABS('Counter_PnL'!AK570-('Counter_PnL'!Q570+'Counter_PnL'!AI570))</x:f>
        <x:v>0</x:v>
      </x:c>
      <x:c r="G570" s="79" t="n">
        <x:f>ABS('Counter_PnL'!AT570-SUM('Counter_PnL'!AO570:'Counter_PnL'!AS570))</x:f>
        <x:v>0</x:v>
      </x:c>
      <x:c r="H570" s="79" t="n">
        <x:f>ABS('Counter_PnL'!AV570-('Counter_PnL'!AK570+'Counter_PnL'!AT570))</x:f>
        <x:v>0</x:v>
      </x:c>
      <x:c r="I570" s="79" t="n">
        <x:f>ABS('Counter_PnL'!BE570-SUM('Counter_PnL'!AX570:'Counter_PnL'!BB570,'Counter_PnL'!BD570))</x:f>
        <x:v>0</x:v>
      </x:c>
      <x:c r="J570" s="79" t="n">
        <x:f>ABS('Counter_PnL'!BL570-SUM('Counter_PnL'!AV570,'Counter_PnL'!BE570,'Counter_PnL'!BJ570,'Counter_PnL'!BK570))</x:f>
        <x:v>0</x:v>
      </x:c>
      <x:c r="K570" s="79" t="n">
        <x:f>ABS('Counter_PnL'!BO570-('Counter_PnL'!BL570+'Counter_PnL'!BN570))</x:f>
        <x:v>0</x:v>
      </x:c>
      <x:c r="L570" s="79" t="n">
        <x:f>MAX(ABS('Counter_PnL'!AW570-'Counter_PnL'!AV570/'Counter_PnL'!AK570),ABS('Counter_PnL'!BM570-'Counter_PnL'!BL570/'Counter_PnL'!AK570),ABS('Counter_PnL'!BP570-'Counter_PnL'!BO570/'Counter_PnL'!AK570))</x:f>
        <x:v>0</x:v>
      </x:c>
      <x:c r="M570" s="30" t="n">
        <x:f>IF(AND('Counter_PnL'!Q570&gt;0,'Counter_PnL'!AK570&gt;0,'Counter_PnL'!R570&lt;=0,'Counter_PnL'!T570&lt;=0,'Counter_PnL'!AT570&lt;=0,'Counter_PnL'!BE570&lt;=0,'Counter_PnL'!BJ570&lt;=0,'Counter_PnL'!BK570&lt;=0,'Counter_PnL'!BN570&lt;=0),0,1)</x:f>
        <x:v>0</x:v>
      </x:c>
    </x:row>
    <x:row r="571">
      <x:c r="A571" t="str">
        <x:f>'Counter_PnL'!D571</x:f>
        <x:v>CNCT0143</x:v>
      </x:c>
      <x:c r="B571" t="str">
        <x:f>'Counter_PnL'!C571</x:f>
        <x:v>2025 S2</x:v>
      </x:c>
      <x:c r="C571" s="30" t="n">
        <x:f>COUNTIFS('Counter_PnL'!$D$2:$D$641,A571,'Counter_PnL'!$C$2:$C$641,B571)</x:f>
        <x:v>1</x:v>
      </x:c>
      <x:c r="D571" s="79" t="n">
        <x:f>ABS('Counter_PnL'!AC571-SUM('Counter_PnL'!V571:'Counter_PnL'!AB571))</x:f>
        <x:v>0</x:v>
      </x:c>
      <x:c r="E571" s="79" t="n">
        <x:f>ABS('Counter_PnL'!AI571-SUM('Counter_PnL'!R571,'Counter_PnL'!T571,'Counter_PnL'!AC571,'Counter_PnL'!AE571,'Counter_PnL'!AG571,'Counter_PnL'!AH571))</x:f>
        <x:v>0</x:v>
      </x:c>
      <x:c r="F571" s="79" t="n">
        <x:f>ABS('Counter_PnL'!AK571-('Counter_PnL'!Q571+'Counter_PnL'!AI571))</x:f>
        <x:v>0</x:v>
      </x:c>
      <x:c r="G571" s="79" t="n">
        <x:f>ABS('Counter_PnL'!AT571-SUM('Counter_PnL'!AO571:'Counter_PnL'!AS571))</x:f>
        <x:v>0</x:v>
      </x:c>
      <x:c r="H571" s="79" t="n">
        <x:f>ABS('Counter_PnL'!AV571-('Counter_PnL'!AK571+'Counter_PnL'!AT571))</x:f>
        <x:v>0</x:v>
      </x:c>
      <x:c r="I571" s="79" t="n">
        <x:f>ABS('Counter_PnL'!BE571-SUM('Counter_PnL'!AX571:'Counter_PnL'!BB571,'Counter_PnL'!BD571))</x:f>
        <x:v>0</x:v>
      </x:c>
      <x:c r="J571" s="79" t="n">
        <x:f>ABS('Counter_PnL'!BL571-SUM('Counter_PnL'!AV571,'Counter_PnL'!BE571,'Counter_PnL'!BJ571,'Counter_PnL'!BK571))</x:f>
        <x:v>0</x:v>
      </x:c>
      <x:c r="K571" s="79" t="n">
        <x:f>ABS('Counter_PnL'!BO571-('Counter_PnL'!BL571+'Counter_PnL'!BN571))</x:f>
        <x:v>0</x:v>
      </x:c>
      <x:c r="L571" s="79" t="n">
        <x:f>MAX(ABS('Counter_PnL'!AW571-'Counter_PnL'!AV571/'Counter_PnL'!AK571),ABS('Counter_PnL'!BM571-'Counter_PnL'!BL571/'Counter_PnL'!AK571),ABS('Counter_PnL'!BP571-'Counter_PnL'!BO571/'Counter_PnL'!AK571))</x:f>
        <x:v>0</x:v>
      </x:c>
      <x:c r="M571" s="30" t="n">
        <x:f>IF(AND('Counter_PnL'!Q571&gt;0,'Counter_PnL'!AK571&gt;0,'Counter_PnL'!R571&lt;=0,'Counter_PnL'!T571&lt;=0,'Counter_PnL'!AT571&lt;=0,'Counter_PnL'!BE571&lt;=0,'Counter_PnL'!BJ571&lt;=0,'Counter_PnL'!BK571&lt;=0,'Counter_PnL'!BN571&lt;=0),0,1)</x:f>
        <x:v>0</x:v>
      </x:c>
    </x:row>
    <x:row r="572">
      <x:c r="A572" t="str">
        <x:f>'Counter_PnL'!D572</x:f>
        <x:v>CNCT0143</x:v>
      </x:c>
      <x:c r="B572" t="str">
        <x:f>'Counter_PnL'!C572</x:f>
        <x:v>2026 S1</x:v>
      </x:c>
      <x:c r="C572" s="30" t="n">
        <x:f>COUNTIFS('Counter_PnL'!$D$2:$D$641,A572,'Counter_PnL'!$C$2:$C$641,B572)</x:f>
        <x:v>1</x:v>
      </x:c>
      <x:c r="D572" s="79" t="n">
        <x:f>ABS('Counter_PnL'!AC572-SUM('Counter_PnL'!V572:'Counter_PnL'!AB572))</x:f>
        <x:v>0</x:v>
      </x:c>
      <x:c r="E572" s="79" t="n">
        <x:f>ABS('Counter_PnL'!AI572-SUM('Counter_PnL'!R572,'Counter_PnL'!T572,'Counter_PnL'!AC572,'Counter_PnL'!AE572,'Counter_PnL'!AG572,'Counter_PnL'!AH572))</x:f>
        <x:v>0</x:v>
      </x:c>
      <x:c r="F572" s="79" t="n">
        <x:f>ABS('Counter_PnL'!AK572-('Counter_PnL'!Q572+'Counter_PnL'!AI572))</x:f>
        <x:v>0</x:v>
      </x:c>
      <x:c r="G572" s="79" t="n">
        <x:f>ABS('Counter_PnL'!AT572-SUM('Counter_PnL'!AO572:'Counter_PnL'!AS572))</x:f>
        <x:v>0</x:v>
      </x:c>
      <x:c r="H572" s="79" t="n">
        <x:f>ABS('Counter_PnL'!AV572-('Counter_PnL'!AK572+'Counter_PnL'!AT572))</x:f>
        <x:v>0</x:v>
      </x:c>
      <x:c r="I572" s="79" t="n">
        <x:f>ABS('Counter_PnL'!BE572-SUM('Counter_PnL'!AX572:'Counter_PnL'!BB572,'Counter_PnL'!BD572))</x:f>
        <x:v>0</x:v>
      </x:c>
      <x:c r="J572" s="79" t="n">
        <x:f>ABS('Counter_PnL'!BL572-SUM('Counter_PnL'!AV572,'Counter_PnL'!BE572,'Counter_PnL'!BJ572,'Counter_PnL'!BK572))</x:f>
        <x:v>0</x:v>
      </x:c>
      <x:c r="K572" s="79" t="n">
        <x:f>ABS('Counter_PnL'!BO572-('Counter_PnL'!BL572+'Counter_PnL'!BN572))</x:f>
        <x:v>0</x:v>
      </x:c>
      <x:c r="L572" s="79" t="n">
        <x:f>MAX(ABS('Counter_PnL'!AW572-'Counter_PnL'!AV572/'Counter_PnL'!AK572),ABS('Counter_PnL'!BM572-'Counter_PnL'!BL572/'Counter_PnL'!AK572),ABS('Counter_PnL'!BP572-'Counter_PnL'!BO572/'Counter_PnL'!AK572))</x:f>
        <x:v>0</x:v>
      </x:c>
      <x:c r="M572" s="30" t="n">
        <x:f>IF(AND('Counter_PnL'!Q572&gt;0,'Counter_PnL'!AK572&gt;0,'Counter_PnL'!R572&lt;=0,'Counter_PnL'!T572&lt;=0,'Counter_PnL'!AT572&lt;=0,'Counter_PnL'!BE572&lt;=0,'Counter_PnL'!BJ572&lt;=0,'Counter_PnL'!BK572&lt;=0,'Counter_PnL'!BN572&lt;=0),0,1)</x:f>
        <x:v>0</x:v>
      </x:c>
    </x:row>
    <x:row r="573">
      <x:c r="A573" t="str">
        <x:f>'Counter_PnL'!D573</x:f>
        <x:v>CNCT0143</x:v>
      </x:c>
      <x:c r="B573" t="str">
        <x:f>'Counter_PnL'!C573</x:f>
        <x:v>2026 S2</x:v>
      </x:c>
      <x:c r="C573" s="30" t="n">
        <x:f>COUNTIFS('Counter_PnL'!$D$2:$D$641,A573,'Counter_PnL'!$C$2:$C$641,B573)</x:f>
        <x:v>1</x:v>
      </x:c>
      <x:c r="D573" s="79" t="n">
        <x:f>ABS('Counter_PnL'!AC573-SUM('Counter_PnL'!V573:'Counter_PnL'!AB573))</x:f>
        <x:v>0</x:v>
      </x:c>
      <x:c r="E573" s="79" t="n">
        <x:f>ABS('Counter_PnL'!AI573-SUM('Counter_PnL'!R573,'Counter_PnL'!T573,'Counter_PnL'!AC573,'Counter_PnL'!AE573,'Counter_PnL'!AG573,'Counter_PnL'!AH573))</x:f>
        <x:v>0</x:v>
      </x:c>
      <x:c r="F573" s="79" t="n">
        <x:f>ABS('Counter_PnL'!AK573-('Counter_PnL'!Q573+'Counter_PnL'!AI573))</x:f>
        <x:v>0</x:v>
      </x:c>
      <x:c r="G573" s="79" t="n">
        <x:f>ABS('Counter_PnL'!AT573-SUM('Counter_PnL'!AO573:'Counter_PnL'!AS573))</x:f>
        <x:v>0</x:v>
      </x:c>
      <x:c r="H573" s="79" t="n">
        <x:f>ABS('Counter_PnL'!AV573-('Counter_PnL'!AK573+'Counter_PnL'!AT573))</x:f>
        <x:v>0</x:v>
      </x:c>
      <x:c r="I573" s="79" t="n">
        <x:f>ABS('Counter_PnL'!BE573-SUM('Counter_PnL'!AX573:'Counter_PnL'!BB573,'Counter_PnL'!BD573))</x:f>
        <x:v>0</x:v>
      </x:c>
      <x:c r="J573" s="79" t="n">
        <x:f>ABS('Counter_PnL'!BL573-SUM('Counter_PnL'!AV573,'Counter_PnL'!BE573,'Counter_PnL'!BJ573,'Counter_PnL'!BK573))</x:f>
        <x:v>0</x:v>
      </x:c>
      <x:c r="K573" s="79" t="n">
        <x:f>ABS('Counter_PnL'!BO573-('Counter_PnL'!BL573+'Counter_PnL'!BN573))</x:f>
        <x:v>0</x:v>
      </x:c>
      <x:c r="L573" s="79" t="n">
        <x:f>MAX(ABS('Counter_PnL'!AW573-'Counter_PnL'!AV573/'Counter_PnL'!AK573),ABS('Counter_PnL'!BM573-'Counter_PnL'!BL573/'Counter_PnL'!AK573),ABS('Counter_PnL'!BP573-'Counter_PnL'!BO573/'Counter_PnL'!AK573))</x:f>
        <x:v>0</x:v>
      </x:c>
      <x:c r="M573" s="30" t="n">
        <x:f>IF(AND('Counter_PnL'!Q573&gt;0,'Counter_PnL'!AK573&gt;0,'Counter_PnL'!R573&lt;=0,'Counter_PnL'!T573&lt;=0,'Counter_PnL'!AT573&lt;=0,'Counter_PnL'!BE573&lt;=0,'Counter_PnL'!BJ573&lt;=0,'Counter_PnL'!BK573&lt;=0,'Counter_PnL'!BN573&lt;=0),0,1)</x:f>
        <x:v>0</x:v>
      </x:c>
    </x:row>
    <x:row r="574">
      <x:c r="A574" t="str">
        <x:f>'Counter_PnL'!D574</x:f>
        <x:v>CNCT0144</x:v>
      </x:c>
      <x:c r="B574" t="str">
        <x:f>'Counter_PnL'!C574</x:f>
        <x:v>2025 S1</x:v>
      </x:c>
      <x:c r="C574" s="30" t="n">
        <x:f>COUNTIFS('Counter_PnL'!$D$2:$D$641,A574,'Counter_PnL'!$C$2:$C$641,B574)</x:f>
        <x:v>1</x:v>
      </x:c>
      <x:c r="D574" s="79" t="n">
        <x:f>ABS('Counter_PnL'!AC574-SUM('Counter_PnL'!V574:'Counter_PnL'!AB574))</x:f>
        <x:v>0</x:v>
      </x:c>
      <x:c r="E574" s="79" t="n">
        <x:f>ABS('Counter_PnL'!AI574-SUM('Counter_PnL'!R574,'Counter_PnL'!T574,'Counter_PnL'!AC574,'Counter_PnL'!AE574,'Counter_PnL'!AG574,'Counter_PnL'!AH574))</x:f>
        <x:v>0</x:v>
      </x:c>
      <x:c r="F574" s="79" t="n">
        <x:f>ABS('Counter_PnL'!AK574-('Counter_PnL'!Q574+'Counter_PnL'!AI574))</x:f>
        <x:v>0</x:v>
      </x:c>
      <x:c r="G574" s="79" t="n">
        <x:f>ABS('Counter_PnL'!AT574-SUM('Counter_PnL'!AO574:'Counter_PnL'!AS574))</x:f>
        <x:v>0</x:v>
      </x:c>
      <x:c r="H574" s="79" t="n">
        <x:f>ABS('Counter_PnL'!AV574-('Counter_PnL'!AK574+'Counter_PnL'!AT574))</x:f>
        <x:v>0</x:v>
      </x:c>
      <x:c r="I574" s="79" t="n">
        <x:f>ABS('Counter_PnL'!BE574-SUM('Counter_PnL'!AX574:'Counter_PnL'!BB574,'Counter_PnL'!BD574))</x:f>
        <x:v>0</x:v>
      </x:c>
      <x:c r="J574" s="79" t="n">
        <x:f>ABS('Counter_PnL'!BL574-SUM('Counter_PnL'!AV574,'Counter_PnL'!BE574,'Counter_PnL'!BJ574,'Counter_PnL'!BK574))</x:f>
        <x:v>0</x:v>
      </x:c>
      <x:c r="K574" s="79" t="n">
        <x:f>ABS('Counter_PnL'!BO574-('Counter_PnL'!BL574+'Counter_PnL'!BN574))</x:f>
        <x:v>0</x:v>
      </x:c>
      <x:c r="L574" s="79" t="n">
        <x:f>MAX(ABS('Counter_PnL'!AW574-'Counter_PnL'!AV574/'Counter_PnL'!AK574),ABS('Counter_PnL'!BM574-'Counter_PnL'!BL574/'Counter_PnL'!AK574),ABS('Counter_PnL'!BP574-'Counter_PnL'!BO574/'Counter_PnL'!AK574))</x:f>
        <x:v>0</x:v>
      </x:c>
      <x:c r="M574" s="30" t="n">
        <x:f>IF(AND('Counter_PnL'!Q574&gt;0,'Counter_PnL'!AK574&gt;0,'Counter_PnL'!R574&lt;=0,'Counter_PnL'!T574&lt;=0,'Counter_PnL'!AT574&lt;=0,'Counter_PnL'!BE574&lt;=0,'Counter_PnL'!BJ574&lt;=0,'Counter_PnL'!BK574&lt;=0,'Counter_PnL'!BN574&lt;=0),0,1)</x:f>
        <x:v>0</x:v>
      </x:c>
    </x:row>
    <x:row r="575">
      <x:c r="A575" t="str">
        <x:f>'Counter_PnL'!D575</x:f>
        <x:v>CNCT0144</x:v>
      </x:c>
      <x:c r="B575" t="str">
        <x:f>'Counter_PnL'!C575</x:f>
        <x:v>2025 S2</x:v>
      </x:c>
      <x:c r="C575" s="30" t="n">
        <x:f>COUNTIFS('Counter_PnL'!$D$2:$D$641,A575,'Counter_PnL'!$C$2:$C$641,B575)</x:f>
        <x:v>1</x:v>
      </x:c>
      <x:c r="D575" s="79" t="n">
        <x:f>ABS('Counter_PnL'!AC575-SUM('Counter_PnL'!V575:'Counter_PnL'!AB575))</x:f>
        <x:v>0</x:v>
      </x:c>
      <x:c r="E575" s="79" t="n">
        <x:f>ABS('Counter_PnL'!AI575-SUM('Counter_PnL'!R575,'Counter_PnL'!T575,'Counter_PnL'!AC575,'Counter_PnL'!AE575,'Counter_PnL'!AG575,'Counter_PnL'!AH575))</x:f>
        <x:v>0</x:v>
      </x:c>
      <x:c r="F575" s="79" t="n">
        <x:f>ABS('Counter_PnL'!AK575-('Counter_PnL'!Q575+'Counter_PnL'!AI575))</x:f>
        <x:v>0</x:v>
      </x:c>
      <x:c r="G575" s="79" t="n">
        <x:f>ABS('Counter_PnL'!AT575-SUM('Counter_PnL'!AO575:'Counter_PnL'!AS575))</x:f>
        <x:v>0</x:v>
      </x:c>
      <x:c r="H575" s="79" t="n">
        <x:f>ABS('Counter_PnL'!AV575-('Counter_PnL'!AK575+'Counter_PnL'!AT575))</x:f>
        <x:v>0</x:v>
      </x:c>
      <x:c r="I575" s="79" t="n">
        <x:f>ABS('Counter_PnL'!BE575-SUM('Counter_PnL'!AX575:'Counter_PnL'!BB575,'Counter_PnL'!BD575))</x:f>
        <x:v>0</x:v>
      </x:c>
      <x:c r="J575" s="79" t="n">
        <x:f>ABS('Counter_PnL'!BL575-SUM('Counter_PnL'!AV575,'Counter_PnL'!BE575,'Counter_PnL'!BJ575,'Counter_PnL'!BK575))</x:f>
        <x:v>0</x:v>
      </x:c>
      <x:c r="K575" s="79" t="n">
        <x:f>ABS('Counter_PnL'!BO575-('Counter_PnL'!BL575+'Counter_PnL'!BN575))</x:f>
        <x:v>0</x:v>
      </x:c>
      <x:c r="L575" s="79" t="n">
        <x:f>MAX(ABS('Counter_PnL'!AW575-'Counter_PnL'!AV575/'Counter_PnL'!AK575),ABS('Counter_PnL'!BM575-'Counter_PnL'!BL575/'Counter_PnL'!AK575),ABS('Counter_PnL'!BP575-'Counter_PnL'!BO575/'Counter_PnL'!AK575))</x:f>
        <x:v>0</x:v>
      </x:c>
      <x:c r="M575" s="30" t="n">
        <x:f>IF(AND('Counter_PnL'!Q575&gt;0,'Counter_PnL'!AK575&gt;0,'Counter_PnL'!R575&lt;=0,'Counter_PnL'!T575&lt;=0,'Counter_PnL'!AT575&lt;=0,'Counter_PnL'!BE575&lt;=0,'Counter_PnL'!BJ575&lt;=0,'Counter_PnL'!BK575&lt;=0,'Counter_PnL'!BN575&lt;=0),0,1)</x:f>
        <x:v>0</x:v>
      </x:c>
    </x:row>
    <x:row r="576">
      <x:c r="A576" t="str">
        <x:f>'Counter_PnL'!D576</x:f>
        <x:v>CNCT0144</x:v>
      </x:c>
      <x:c r="B576" t="str">
        <x:f>'Counter_PnL'!C576</x:f>
        <x:v>2026 S1</x:v>
      </x:c>
      <x:c r="C576" s="30" t="n">
        <x:f>COUNTIFS('Counter_PnL'!$D$2:$D$641,A576,'Counter_PnL'!$C$2:$C$641,B576)</x:f>
        <x:v>1</x:v>
      </x:c>
      <x:c r="D576" s="79" t="n">
        <x:f>ABS('Counter_PnL'!AC576-SUM('Counter_PnL'!V576:'Counter_PnL'!AB576))</x:f>
        <x:v>0</x:v>
      </x:c>
      <x:c r="E576" s="79" t="n">
        <x:f>ABS('Counter_PnL'!AI576-SUM('Counter_PnL'!R576,'Counter_PnL'!T576,'Counter_PnL'!AC576,'Counter_PnL'!AE576,'Counter_PnL'!AG576,'Counter_PnL'!AH576))</x:f>
        <x:v>0</x:v>
      </x:c>
      <x:c r="F576" s="79" t="n">
        <x:f>ABS('Counter_PnL'!AK576-('Counter_PnL'!Q576+'Counter_PnL'!AI576))</x:f>
        <x:v>0</x:v>
      </x:c>
      <x:c r="G576" s="79" t="n">
        <x:f>ABS('Counter_PnL'!AT576-SUM('Counter_PnL'!AO576:'Counter_PnL'!AS576))</x:f>
        <x:v>0</x:v>
      </x:c>
      <x:c r="H576" s="79" t="n">
        <x:f>ABS('Counter_PnL'!AV576-('Counter_PnL'!AK576+'Counter_PnL'!AT576))</x:f>
        <x:v>0</x:v>
      </x:c>
      <x:c r="I576" s="79" t="n">
        <x:f>ABS('Counter_PnL'!BE576-SUM('Counter_PnL'!AX576:'Counter_PnL'!BB576,'Counter_PnL'!BD576))</x:f>
        <x:v>0</x:v>
      </x:c>
      <x:c r="J576" s="79" t="n">
        <x:f>ABS('Counter_PnL'!BL576-SUM('Counter_PnL'!AV576,'Counter_PnL'!BE576,'Counter_PnL'!BJ576,'Counter_PnL'!BK576))</x:f>
        <x:v>0</x:v>
      </x:c>
      <x:c r="K576" s="79" t="n">
        <x:f>ABS('Counter_PnL'!BO576-('Counter_PnL'!BL576+'Counter_PnL'!BN576))</x:f>
        <x:v>0</x:v>
      </x:c>
      <x:c r="L576" s="79" t="n">
        <x:f>MAX(ABS('Counter_PnL'!AW576-'Counter_PnL'!AV576/'Counter_PnL'!AK576),ABS('Counter_PnL'!BM576-'Counter_PnL'!BL576/'Counter_PnL'!AK576),ABS('Counter_PnL'!BP576-'Counter_PnL'!BO576/'Counter_PnL'!AK576))</x:f>
        <x:v>0</x:v>
      </x:c>
      <x:c r="M576" s="30" t="n">
        <x:f>IF(AND('Counter_PnL'!Q576&gt;0,'Counter_PnL'!AK576&gt;0,'Counter_PnL'!R576&lt;=0,'Counter_PnL'!T576&lt;=0,'Counter_PnL'!AT576&lt;=0,'Counter_PnL'!BE576&lt;=0,'Counter_PnL'!BJ576&lt;=0,'Counter_PnL'!BK576&lt;=0,'Counter_PnL'!BN576&lt;=0),0,1)</x:f>
        <x:v>0</x:v>
      </x:c>
    </x:row>
    <x:row r="577">
      <x:c r="A577" t="str">
        <x:f>'Counter_PnL'!D577</x:f>
        <x:v>CNCT0144</x:v>
      </x:c>
      <x:c r="B577" t="str">
        <x:f>'Counter_PnL'!C577</x:f>
        <x:v>2026 S2</x:v>
      </x:c>
      <x:c r="C577" s="30" t="n">
        <x:f>COUNTIFS('Counter_PnL'!$D$2:$D$641,A577,'Counter_PnL'!$C$2:$C$641,B577)</x:f>
        <x:v>1</x:v>
      </x:c>
      <x:c r="D577" s="79" t="n">
        <x:f>ABS('Counter_PnL'!AC577-SUM('Counter_PnL'!V577:'Counter_PnL'!AB577))</x:f>
        <x:v>0</x:v>
      </x:c>
      <x:c r="E577" s="79" t="n">
        <x:f>ABS('Counter_PnL'!AI577-SUM('Counter_PnL'!R577,'Counter_PnL'!T577,'Counter_PnL'!AC577,'Counter_PnL'!AE577,'Counter_PnL'!AG577,'Counter_PnL'!AH577))</x:f>
        <x:v>0</x:v>
      </x:c>
      <x:c r="F577" s="79" t="n">
        <x:f>ABS('Counter_PnL'!AK577-('Counter_PnL'!Q577+'Counter_PnL'!AI577))</x:f>
        <x:v>0</x:v>
      </x:c>
      <x:c r="G577" s="79" t="n">
        <x:f>ABS('Counter_PnL'!AT577-SUM('Counter_PnL'!AO577:'Counter_PnL'!AS577))</x:f>
        <x:v>0</x:v>
      </x:c>
      <x:c r="H577" s="79" t="n">
        <x:f>ABS('Counter_PnL'!AV577-('Counter_PnL'!AK577+'Counter_PnL'!AT577))</x:f>
        <x:v>0</x:v>
      </x:c>
      <x:c r="I577" s="79" t="n">
        <x:f>ABS('Counter_PnL'!BE577-SUM('Counter_PnL'!AX577:'Counter_PnL'!BB577,'Counter_PnL'!BD577))</x:f>
        <x:v>0</x:v>
      </x:c>
      <x:c r="J577" s="79" t="n">
        <x:f>ABS('Counter_PnL'!BL577-SUM('Counter_PnL'!AV577,'Counter_PnL'!BE577,'Counter_PnL'!BJ577,'Counter_PnL'!BK577))</x:f>
        <x:v>0</x:v>
      </x:c>
      <x:c r="K577" s="79" t="n">
        <x:f>ABS('Counter_PnL'!BO577-('Counter_PnL'!BL577+'Counter_PnL'!BN577))</x:f>
        <x:v>0</x:v>
      </x:c>
      <x:c r="L577" s="79" t="n">
        <x:f>MAX(ABS('Counter_PnL'!AW577-'Counter_PnL'!AV577/'Counter_PnL'!AK577),ABS('Counter_PnL'!BM577-'Counter_PnL'!BL577/'Counter_PnL'!AK577),ABS('Counter_PnL'!BP577-'Counter_PnL'!BO577/'Counter_PnL'!AK577))</x:f>
        <x:v>0</x:v>
      </x:c>
      <x:c r="M577" s="30" t="n">
        <x:f>IF(AND('Counter_PnL'!Q577&gt;0,'Counter_PnL'!AK577&gt;0,'Counter_PnL'!R577&lt;=0,'Counter_PnL'!T577&lt;=0,'Counter_PnL'!AT577&lt;=0,'Counter_PnL'!BE577&lt;=0,'Counter_PnL'!BJ577&lt;=0,'Counter_PnL'!BK577&lt;=0,'Counter_PnL'!BN577&lt;=0),0,1)</x:f>
        <x:v>0</x:v>
      </x:c>
    </x:row>
    <x:row r="578">
      <x:c r="A578" t="str">
        <x:f>'Counter_PnL'!D578</x:f>
        <x:v>CNCT0145</x:v>
      </x:c>
      <x:c r="B578" t="str">
        <x:f>'Counter_PnL'!C578</x:f>
        <x:v>2025 S1</x:v>
      </x:c>
      <x:c r="C578" s="30" t="n">
        <x:f>COUNTIFS('Counter_PnL'!$D$2:$D$641,A578,'Counter_PnL'!$C$2:$C$641,B578)</x:f>
        <x:v>1</x:v>
      </x:c>
      <x:c r="D578" s="79" t="n">
        <x:f>ABS('Counter_PnL'!AC578-SUM('Counter_PnL'!V578:'Counter_PnL'!AB578))</x:f>
        <x:v>0</x:v>
      </x:c>
      <x:c r="E578" s="79" t="n">
        <x:f>ABS('Counter_PnL'!AI578-SUM('Counter_PnL'!R578,'Counter_PnL'!T578,'Counter_PnL'!AC578,'Counter_PnL'!AE578,'Counter_PnL'!AG578,'Counter_PnL'!AH578))</x:f>
        <x:v>0</x:v>
      </x:c>
      <x:c r="F578" s="79" t="n">
        <x:f>ABS('Counter_PnL'!AK578-('Counter_PnL'!Q578+'Counter_PnL'!AI578))</x:f>
        <x:v>0</x:v>
      </x:c>
      <x:c r="G578" s="79" t="n">
        <x:f>ABS('Counter_PnL'!AT578-SUM('Counter_PnL'!AO578:'Counter_PnL'!AS578))</x:f>
        <x:v>0</x:v>
      </x:c>
      <x:c r="H578" s="79" t="n">
        <x:f>ABS('Counter_PnL'!AV578-('Counter_PnL'!AK578+'Counter_PnL'!AT578))</x:f>
        <x:v>0</x:v>
      </x:c>
      <x:c r="I578" s="79" t="n">
        <x:f>ABS('Counter_PnL'!BE578-SUM('Counter_PnL'!AX578:'Counter_PnL'!BB578,'Counter_PnL'!BD578))</x:f>
        <x:v>0</x:v>
      </x:c>
      <x:c r="J578" s="79" t="n">
        <x:f>ABS('Counter_PnL'!BL578-SUM('Counter_PnL'!AV578,'Counter_PnL'!BE578,'Counter_PnL'!BJ578,'Counter_PnL'!BK578))</x:f>
        <x:v>0</x:v>
      </x:c>
      <x:c r="K578" s="79" t="n">
        <x:f>ABS('Counter_PnL'!BO578-('Counter_PnL'!BL578+'Counter_PnL'!BN578))</x:f>
        <x:v>0</x:v>
      </x:c>
      <x:c r="L578" s="79" t="n">
        <x:f>MAX(ABS('Counter_PnL'!AW578-'Counter_PnL'!AV578/'Counter_PnL'!AK578),ABS('Counter_PnL'!BM578-'Counter_PnL'!BL578/'Counter_PnL'!AK578),ABS('Counter_PnL'!BP578-'Counter_PnL'!BO578/'Counter_PnL'!AK578))</x:f>
        <x:v>0</x:v>
      </x:c>
      <x:c r="M578" s="30" t="n">
        <x:f>IF(AND('Counter_PnL'!Q578&gt;0,'Counter_PnL'!AK578&gt;0,'Counter_PnL'!R578&lt;=0,'Counter_PnL'!T578&lt;=0,'Counter_PnL'!AT578&lt;=0,'Counter_PnL'!BE578&lt;=0,'Counter_PnL'!BJ578&lt;=0,'Counter_PnL'!BK578&lt;=0,'Counter_PnL'!BN578&lt;=0),0,1)</x:f>
        <x:v>0</x:v>
      </x:c>
    </x:row>
    <x:row r="579">
      <x:c r="A579" t="str">
        <x:f>'Counter_PnL'!D579</x:f>
        <x:v>CNCT0145</x:v>
      </x:c>
      <x:c r="B579" t="str">
        <x:f>'Counter_PnL'!C579</x:f>
        <x:v>2025 S2</x:v>
      </x:c>
      <x:c r="C579" s="30" t="n">
        <x:f>COUNTIFS('Counter_PnL'!$D$2:$D$641,A579,'Counter_PnL'!$C$2:$C$641,B579)</x:f>
        <x:v>1</x:v>
      </x:c>
      <x:c r="D579" s="79" t="n">
        <x:f>ABS('Counter_PnL'!AC579-SUM('Counter_PnL'!V579:'Counter_PnL'!AB579))</x:f>
        <x:v>0</x:v>
      </x:c>
      <x:c r="E579" s="79" t="n">
        <x:f>ABS('Counter_PnL'!AI579-SUM('Counter_PnL'!R579,'Counter_PnL'!T579,'Counter_PnL'!AC579,'Counter_PnL'!AE579,'Counter_PnL'!AG579,'Counter_PnL'!AH579))</x:f>
        <x:v>0</x:v>
      </x:c>
      <x:c r="F579" s="79" t="n">
        <x:f>ABS('Counter_PnL'!AK579-('Counter_PnL'!Q579+'Counter_PnL'!AI579))</x:f>
        <x:v>0</x:v>
      </x:c>
      <x:c r="G579" s="79" t="n">
        <x:f>ABS('Counter_PnL'!AT579-SUM('Counter_PnL'!AO579:'Counter_PnL'!AS579))</x:f>
        <x:v>0</x:v>
      </x:c>
      <x:c r="H579" s="79" t="n">
        <x:f>ABS('Counter_PnL'!AV579-('Counter_PnL'!AK579+'Counter_PnL'!AT579))</x:f>
        <x:v>0</x:v>
      </x:c>
      <x:c r="I579" s="79" t="n">
        <x:f>ABS('Counter_PnL'!BE579-SUM('Counter_PnL'!AX579:'Counter_PnL'!BB579,'Counter_PnL'!BD579))</x:f>
        <x:v>0</x:v>
      </x:c>
      <x:c r="J579" s="79" t="n">
        <x:f>ABS('Counter_PnL'!BL579-SUM('Counter_PnL'!AV579,'Counter_PnL'!BE579,'Counter_PnL'!BJ579,'Counter_PnL'!BK579))</x:f>
        <x:v>0</x:v>
      </x:c>
      <x:c r="K579" s="79" t="n">
        <x:f>ABS('Counter_PnL'!BO579-('Counter_PnL'!BL579+'Counter_PnL'!BN579))</x:f>
        <x:v>0</x:v>
      </x:c>
      <x:c r="L579" s="79" t="n">
        <x:f>MAX(ABS('Counter_PnL'!AW579-'Counter_PnL'!AV579/'Counter_PnL'!AK579),ABS('Counter_PnL'!BM579-'Counter_PnL'!BL579/'Counter_PnL'!AK579),ABS('Counter_PnL'!BP579-'Counter_PnL'!BO579/'Counter_PnL'!AK579))</x:f>
        <x:v>0</x:v>
      </x:c>
      <x:c r="M579" s="30" t="n">
        <x:f>IF(AND('Counter_PnL'!Q579&gt;0,'Counter_PnL'!AK579&gt;0,'Counter_PnL'!R579&lt;=0,'Counter_PnL'!T579&lt;=0,'Counter_PnL'!AT579&lt;=0,'Counter_PnL'!BE579&lt;=0,'Counter_PnL'!BJ579&lt;=0,'Counter_PnL'!BK579&lt;=0,'Counter_PnL'!BN579&lt;=0),0,1)</x:f>
        <x:v>0</x:v>
      </x:c>
    </x:row>
    <x:row r="580">
      <x:c r="A580" t="str">
        <x:f>'Counter_PnL'!D580</x:f>
        <x:v>CNCT0145</x:v>
      </x:c>
      <x:c r="B580" t="str">
        <x:f>'Counter_PnL'!C580</x:f>
        <x:v>2026 S1</x:v>
      </x:c>
      <x:c r="C580" s="30" t="n">
        <x:f>COUNTIFS('Counter_PnL'!$D$2:$D$641,A580,'Counter_PnL'!$C$2:$C$641,B580)</x:f>
        <x:v>1</x:v>
      </x:c>
      <x:c r="D580" s="79" t="n">
        <x:f>ABS('Counter_PnL'!AC580-SUM('Counter_PnL'!V580:'Counter_PnL'!AB580))</x:f>
        <x:v>0</x:v>
      </x:c>
      <x:c r="E580" s="79" t="n">
        <x:f>ABS('Counter_PnL'!AI580-SUM('Counter_PnL'!R580,'Counter_PnL'!T580,'Counter_PnL'!AC580,'Counter_PnL'!AE580,'Counter_PnL'!AG580,'Counter_PnL'!AH580))</x:f>
        <x:v>0</x:v>
      </x:c>
      <x:c r="F580" s="79" t="n">
        <x:f>ABS('Counter_PnL'!AK580-('Counter_PnL'!Q580+'Counter_PnL'!AI580))</x:f>
        <x:v>0</x:v>
      </x:c>
      <x:c r="G580" s="79" t="n">
        <x:f>ABS('Counter_PnL'!AT580-SUM('Counter_PnL'!AO580:'Counter_PnL'!AS580))</x:f>
        <x:v>0</x:v>
      </x:c>
      <x:c r="H580" s="79" t="n">
        <x:f>ABS('Counter_PnL'!AV580-('Counter_PnL'!AK580+'Counter_PnL'!AT580))</x:f>
        <x:v>0</x:v>
      </x:c>
      <x:c r="I580" s="79" t="n">
        <x:f>ABS('Counter_PnL'!BE580-SUM('Counter_PnL'!AX580:'Counter_PnL'!BB580,'Counter_PnL'!BD580))</x:f>
        <x:v>0</x:v>
      </x:c>
      <x:c r="J580" s="79" t="n">
        <x:f>ABS('Counter_PnL'!BL580-SUM('Counter_PnL'!AV580,'Counter_PnL'!BE580,'Counter_PnL'!BJ580,'Counter_PnL'!BK580))</x:f>
        <x:v>0</x:v>
      </x:c>
      <x:c r="K580" s="79" t="n">
        <x:f>ABS('Counter_PnL'!BO580-('Counter_PnL'!BL580+'Counter_PnL'!BN580))</x:f>
        <x:v>0</x:v>
      </x:c>
      <x:c r="L580" s="79" t="n">
        <x:f>MAX(ABS('Counter_PnL'!AW580-'Counter_PnL'!AV580/'Counter_PnL'!AK580),ABS('Counter_PnL'!BM580-'Counter_PnL'!BL580/'Counter_PnL'!AK580),ABS('Counter_PnL'!BP580-'Counter_PnL'!BO580/'Counter_PnL'!AK580))</x:f>
        <x:v>0</x:v>
      </x:c>
      <x:c r="M580" s="30" t="n">
        <x:f>IF(AND('Counter_PnL'!Q580&gt;0,'Counter_PnL'!AK580&gt;0,'Counter_PnL'!R580&lt;=0,'Counter_PnL'!T580&lt;=0,'Counter_PnL'!AT580&lt;=0,'Counter_PnL'!BE580&lt;=0,'Counter_PnL'!BJ580&lt;=0,'Counter_PnL'!BK580&lt;=0,'Counter_PnL'!BN580&lt;=0),0,1)</x:f>
        <x:v>0</x:v>
      </x:c>
    </x:row>
    <x:row r="581">
      <x:c r="A581" t="str">
        <x:f>'Counter_PnL'!D581</x:f>
        <x:v>CNCT0145</x:v>
      </x:c>
      <x:c r="B581" t="str">
        <x:f>'Counter_PnL'!C581</x:f>
        <x:v>2026 S2</x:v>
      </x:c>
      <x:c r="C581" s="30" t="n">
        <x:f>COUNTIFS('Counter_PnL'!$D$2:$D$641,A581,'Counter_PnL'!$C$2:$C$641,B581)</x:f>
        <x:v>1</x:v>
      </x:c>
      <x:c r="D581" s="79" t="n">
        <x:f>ABS('Counter_PnL'!AC581-SUM('Counter_PnL'!V581:'Counter_PnL'!AB581))</x:f>
        <x:v>0</x:v>
      </x:c>
      <x:c r="E581" s="79" t="n">
        <x:f>ABS('Counter_PnL'!AI581-SUM('Counter_PnL'!R581,'Counter_PnL'!T581,'Counter_PnL'!AC581,'Counter_PnL'!AE581,'Counter_PnL'!AG581,'Counter_PnL'!AH581))</x:f>
        <x:v>0</x:v>
      </x:c>
      <x:c r="F581" s="79" t="n">
        <x:f>ABS('Counter_PnL'!AK581-('Counter_PnL'!Q581+'Counter_PnL'!AI581))</x:f>
        <x:v>0</x:v>
      </x:c>
      <x:c r="G581" s="79" t="n">
        <x:f>ABS('Counter_PnL'!AT581-SUM('Counter_PnL'!AO581:'Counter_PnL'!AS581))</x:f>
        <x:v>0</x:v>
      </x:c>
      <x:c r="H581" s="79" t="n">
        <x:f>ABS('Counter_PnL'!AV581-('Counter_PnL'!AK581+'Counter_PnL'!AT581))</x:f>
        <x:v>0</x:v>
      </x:c>
      <x:c r="I581" s="79" t="n">
        <x:f>ABS('Counter_PnL'!BE581-SUM('Counter_PnL'!AX581:'Counter_PnL'!BB581,'Counter_PnL'!BD581))</x:f>
        <x:v>0</x:v>
      </x:c>
      <x:c r="J581" s="79" t="n">
        <x:f>ABS('Counter_PnL'!BL581-SUM('Counter_PnL'!AV581,'Counter_PnL'!BE581,'Counter_PnL'!BJ581,'Counter_PnL'!BK581))</x:f>
        <x:v>0</x:v>
      </x:c>
      <x:c r="K581" s="79" t="n">
        <x:f>ABS('Counter_PnL'!BO581-('Counter_PnL'!BL581+'Counter_PnL'!BN581))</x:f>
        <x:v>0</x:v>
      </x:c>
      <x:c r="L581" s="79" t="n">
        <x:f>MAX(ABS('Counter_PnL'!AW581-'Counter_PnL'!AV581/'Counter_PnL'!AK581),ABS('Counter_PnL'!BM581-'Counter_PnL'!BL581/'Counter_PnL'!AK581),ABS('Counter_PnL'!BP581-'Counter_PnL'!BO581/'Counter_PnL'!AK581))</x:f>
        <x:v>0</x:v>
      </x:c>
      <x:c r="M581" s="30" t="n">
        <x:f>IF(AND('Counter_PnL'!Q581&gt;0,'Counter_PnL'!AK581&gt;0,'Counter_PnL'!R581&lt;=0,'Counter_PnL'!T581&lt;=0,'Counter_PnL'!AT581&lt;=0,'Counter_PnL'!BE581&lt;=0,'Counter_PnL'!BJ581&lt;=0,'Counter_PnL'!BK581&lt;=0,'Counter_PnL'!BN581&lt;=0),0,1)</x:f>
        <x:v>0</x:v>
      </x:c>
    </x:row>
    <x:row r="582">
      <x:c r="A582" t="str">
        <x:f>'Counter_PnL'!D582</x:f>
        <x:v>CNCT0146</x:v>
      </x:c>
      <x:c r="B582" t="str">
        <x:f>'Counter_PnL'!C582</x:f>
        <x:v>2025 S1</x:v>
      </x:c>
      <x:c r="C582" s="30" t="n">
        <x:f>COUNTIFS('Counter_PnL'!$D$2:$D$641,A582,'Counter_PnL'!$C$2:$C$641,B582)</x:f>
        <x:v>1</x:v>
      </x:c>
      <x:c r="D582" s="79" t="n">
        <x:f>ABS('Counter_PnL'!AC582-SUM('Counter_PnL'!V582:'Counter_PnL'!AB582))</x:f>
        <x:v>0</x:v>
      </x:c>
      <x:c r="E582" s="79" t="n">
        <x:f>ABS('Counter_PnL'!AI582-SUM('Counter_PnL'!R582,'Counter_PnL'!T582,'Counter_PnL'!AC582,'Counter_PnL'!AE582,'Counter_PnL'!AG582,'Counter_PnL'!AH582))</x:f>
        <x:v>0</x:v>
      </x:c>
      <x:c r="F582" s="79" t="n">
        <x:f>ABS('Counter_PnL'!AK582-('Counter_PnL'!Q582+'Counter_PnL'!AI582))</x:f>
        <x:v>0</x:v>
      </x:c>
      <x:c r="G582" s="79" t="n">
        <x:f>ABS('Counter_PnL'!AT582-SUM('Counter_PnL'!AO582:'Counter_PnL'!AS582))</x:f>
        <x:v>0</x:v>
      </x:c>
      <x:c r="H582" s="79" t="n">
        <x:f>ABS('Counter_PnL'!AV582-('Counter_PnL'!AK582+'Counter_PnL'!AT582))</x:f>
        <x:v>0</x:v>
      </x:c>
      <x:c r="I582" s="79" t="n">
        <x:f>ABS('Counter_PnL'!BE582-SUM('Counter_PnL'!AX582:'Counter_PnL'!BB582,'Counter_PnL'!BD582))</x:f>
        <x:v>0</x:v>
      </x:c>
      <x:c r="J582" s="79" t="n">
        <x:f>ABS('Counter_PnL'!BL582-SUM('Counter_PnL'!AV582,'Counter_PnL'!BE582,'Counter_PnL'!BJ582,'Counter_PnL'!BK582))</x:f>
        <x:v>0</x:v>
      </x:c>
      <x:c r="K582" s="79" t="n">
        <x:f>ABS('Counter_PnL'!BO582-('Counter_PnL'!BL582+'Counter_PnL'!BN582))</x:f>
        <x:v>0</x:v>
      </x:c>
      <x:c r="L582" s="79" t="n">
        <x:f>MAX(ABS('Counter_PnL'!AW582-'Counter_PnL'!AV582/'Counter_PnL'!AK582),ABS('Counter_PnL'!BM582-'Counter_PnL'!BL582/'Counter_PnL'!AK582),ABS('Counter_PnL'!BP582-'Counter_PnL'!BO582/'Counter_PnL'!AK582))</x:f>
        <x:v>0</x:v>
      </x:c>
      <x:c r="M582" s="30" t="n">
        <x:f>IF(AND('Counter_PnL'!Q582&gt;0,'Counter_PnL'!AK582&gt;0,'Counter_PnL'!R582&lt;=0,'Counter_PnL'!T582&lt;=0,'Counter_PnL'!AT582&lt;=0,'Counter_PnL'!BE582&lt;=0,'Counter_PnL'!BJ582&lt;=0,'Counter_PnL'!BK582&lt;=0,'Counter_PnL'!BN582&lt;=0),0,1)</x:f>
        <x:v>0</x:v>
      </x:c>
    </x:row>
    <x:row r="583">
      <x:c r="A583" t="str">
        <x:f>'Counter_PnL'!D583</x:f>
        <x:v>CNCT0146</x:v>
      </x:c>
      <x:c r="B583" t="str">
        <x:f>'Counter_PnL'!C583</x:f>
        <x:v>2025 S2</x:v>
      </x:c>
      <x:c r="C583" s="30" t="n">
        <x:f>COUNTIFS('Counter_PnL'!$D$2:$D$641,A583,'Counter_PnL'!$C$2:$C$641,B583)</x:f>
        <x:v>1</x:v>
      </x:c>
      <x:c r="D583" s="79" t="n">
        <x:f>ABS('Counter_PnL'!AC583-SUM('Counter_PnL'!V583:'Counter_PnL'!AB583))</x:f>
        <x:v>0</x:v>
      </x:c>
      <x:c r="E583" s="79" t="n">
        <x:f>ABS('Counter_PnL'!AI583-SUM('Counter_PnL'!R583,'Counter_PnL'!T583,'Counter_PnL'!AC583,'Counter_PnL'!AE583,'Counter_PnL'!AG583,'Counter_PnL'!AH583))</x:f>
        <x:v>0</x:v>
      </x:c>
      <x:c r="F583" s="79" t="n">
        <x:f>ABS('Counter_PnL'!AK583-('Counter_PnL'!Q583+'Counter_PnL'!AI583))</x:f>
        <x:v>0</x:v>
      </x:c>
      <x:c r="G583" s="79" t="n">
        <x:f>ABS('Counter_PnL'!AT583-SUM('Counter_PnL'!AO583:'Counter_PnL'!AS583))</x:f>
        <x:v>0</x:v>
      </x:c>
      <x:c r="H583" s="79" t="n">
        <x:f>ABS('Counter_PnL'!AV583-('Counter_PnL'!AK583+'Counter_PnL'!AT583))</x:f>
        <x:v>0</x:v>
      </x:c>
      <x:c r="I583" s="79" t="n">
        <x:f>ABS('Counter_PnL'!BE583-SUM('Counter_PnL'!AX583:'Counter_PnL'!BB583,'Counter_PnL'!BD583))</x:f>
        <x:v>0</x:v>
      </x:c>
      <x:c r="J583" s="79" t="n">
        <x:f>ABS('Counter_PnL'!BL583-SUM('Counter_PnL'!AV583,'Counter_PnL'!BE583,'Counter_PnL'!BJ583,'Counter_PnL'!BK583))</x:f>
        <x:v>0</x:v>
      </x:c>
      <x:c r="K583" s="79" t="n">
        <x:f>ABS('Counter_PnL'!BO583-('Counter_PnL'!BL583+'Counter_PnL'!BN583))</x:f>
        <x:v>0</x:v>
      </x:c>
      <x:c r="L583" s="79" t="n">
        <x:f>MAX(ABS('Counter_PnL'!AW583-'Counter_PnL'!AV583/'Counter_PnL'!AK583),ABS('Counter_PnL'!BM583-'Counter_PnL'!BL583/'Counter_PnL'!AK583),ABS('Counter_PnL'!BP583-'Counter_PnL'!BO583/'Counter_PnL'!AK583))</x:f>
        <x:v>0</x:v>
      </x:c>
      <x:c r="M583" s="30" t="n">
        <x:f>IF(AND('Counter_PnL'!Q583&gt;0,'Counter_PnL'!AK583&gt;0,'Counter_PnL'!R583&lt;=0,'Counter_PnL'!T583&lt;=0,'Counter_PnL'!AT583&lt;=0,'Counter_PnL'!BE583&lt;=0,'Counter_PnL'!BJ583&lt;=0,'Counter_PnL'!BK583&lt;=0,'Counter_PnL'!BN583&lt;=0),0,1)</x:f>
        <x:v>0</x:v>
      </x:c>
    </x:row>
    <x:row r="584">
      <x:c r="A584" t="str">
        <x:f>'Counter_PnL'!D584</x:f>
        <x:v>CNCT0146</x:v>
      </x:c>
      <x:c r="B584" t="str">
        <x:f>'Counter_PnL'!C584</x:f>
        <x:v>2026 S1</x:v>
      </x:c>
      <x:c r="C584" s="30" t="n">
        <x:f>COUNTIFS('Counter_PnL'!$D$2:$D$641,A584,'Counter_PnL'!$C$2:$C$641,B584)</x:f>
        <x:v>1</x:v>
      </x:c>
      <x:c r="D584" s="79" t="n">
        <x:f>ABS('Counter_PnL'!AC584-SUM('Counter_PnL'!V584:'Counter_PnL'!AB584))</x:f>
        <x:v>0</x:v>
      </x:c>
      <x:c r="E584" s="79" t="n">
        <x:f>ABS('Counter_PnL'!AI584-SUM('Counter_PnL'!R584,'Counter_PnL'!T584,'Counter_PnL'!AC584,'Counter_PnL'!AE584,'Counter_PnL'!AG584,'Counter_PnL'!AH584))</x:f>
        <x:v>0</x:v>
      </x:c>
      <x:c r="F584" s="79" t="n">
        <x:f>ABS('Counter_PnL'!AK584-('Counter_PnL'!Q584+'Counter_PnL'!AI584))</x:f>
        <x:v>0</x:v>
      </x:c>
      <x:c r="G584" s="79" t="n">
        <x:f>ABS('Counter_PnL'!AT584-SUM('Counter_PnL'!AO584:'Counter_PnL'!AS584))</x:f>
        <x:v>0</x:v>
      </x:c>
      <x:c r="H584" s="79" t="n">
        <x:f>ABS('Counter_PnL'!AV584-('Counter_PnL'!AK584+'Counter_PnL'!AT584))</x:f>
        <x:v>0</x:v>
      </x:c>
      <x:c r="I584" s="79" t="n">
        <x:f>ABS('Counter_PnL'!BE584-SUM('Counter_PnL'!AX584:'Counter_PnL'!BB584,'Counter_PnL'!BD584))</x:f>
        <x:v>0</x:v>
      </x:c>
      <x:c r="J584" s="79" t="n">
        <x:f>ABS('Counter_PnL'!BL584-SUM('Counter_PnL'!AV584,'Counter_PnL'!BE584,'Counter_PnL'!BJ584,'Counter_PnL'!BK584))</x:f>
        <x:v>0</x:v>
      </x:c>
      <x:c r="K584" s="79" t="n">
        <x:f>ABS('Counter_PnL'!BO584-('Counter_PnL'!BL584+'Counter_PnL'!BN584))</x:f>
        <x:v>0</x:v>
      </x:c>
      <x:c r="L584" s="79" t="n">
        <x:f>MAX(ABS('Counter_PnL'!AW584-'Counter_PnL'!AV584/'Counter_PnL'!AK584),ABS('Counter_PnL'!BM584-'Counter_PnL'!BL584/'Counter_PnL'!AK584),ABS('Counter_PnL'!BP584-'Counter_PnL'!BO584/'Counter_PnL'!AK584))</x:f>
        <x:v>0</x:v>
      </x:c>
      <x:c r="M584" s="30" t="n">
        <x:f>IF(AND('Counter_PnL'!Q584&gt;0,'Counter_PnL'!AK584&gt;0,'Counter_PnL'!R584&lt;=0,'Counter_PnL'!T584&lt;=0,'Counter_PnL'!AT584&lt;=0,'Counter_PnL'!BE584&lt;=0,'Counter_PnL'!BJ584&lt;=0,'Counter_PnL'!BK584&lt;=0,'Counter_PnL'!BN584&lt;=0),0,1)</x:f>
        <x:v>0</x:v>
      </x:c>
    </x:row>
    <x:row r="585">
      <x:c r="A585" t="str">
        <x:f>'Counter_PnL'!D585</x:f>
        <x:v>CNCT0146</x:v>
      </x:c>
      <x:c r="B585" t="str">
        <x:f>'Counter_PnL'!C585</x:f>
        <x:v>2026 S2</x:v>
      </x:c>
      <x:c r="C585" s="30" t="n">
        <x:f>COUNTIFS('Counter_PnL'!$D$2:$D$641,A585,'Counter_PnL'!$C$2:$C$641,B585)</x:f>
        <x:v>1</x:v>
      </x:c>
      <x:c r="D585" s="79" t="n">
        <x:f>ABS('Counter_PnL'!AC585-SUM('Counter_PnL'!V585:'Counter_PnL'!AB585))</x:f>
        <x:v>0</x:v>
      </x:c>
      <x:c r="E585" s="79" t="n">
        <x:f>ABS('Counter_PnL'!AI585-SUM('Counter_PnL'!R585,'Counter_PnL'!T585,'Counter_PnL'!AC585,'Counter_PnL'!AE585,'Counter_PnL'!AG585,'Counter_PnL'!AH585))</x:f>
        <x:v>0</x:v>
      </x:c>
      <x:c r="F585" s="79" t="n">
        <x:f>ABS('Counter_PnL'!AK585-('Counter_PnL'!Q585+'Counter_PnL'!AI585))</x:f>
        <x:v>0</x:v>
      </x:c>
      <x:c r="G585" s="79" t="n">
        <x:f>ABS('Counter_PnL'!AT585-SUM('Counter_PnL'!AO585:'Counter_PnL'!AS585))</x:f>
        <x:v>0</x:v>
      </x:c>
      <x:c r="H585" s="79" t="n">
        <x:f>ABS('Counter_PnL'!AV585-('Counter_PnL'!AK585+'Counter_PnL'!AT585))</x:f>
        <x:v>0</x:v>
      </x:c>
      <x:c r="I585" s="79" t="n">
        <x:f>ABS('Counter_PnL'!BE585-SUM('Counter_PnL'!AX585:'Counter_PnL'!BB585,'Counter_PnL'!BD585))</x:f>
        <x:v>0</x:v>
      </x:c>
      <x:c r="J585" s="79" t="n">
        <x:f>ABS('Counter_PnL'!BL585-SUM('Counter_PnL'!AV585,'Counter_PnL'!BE585,'Counter_PnL'!BJ585,'Counter_PnL'!BK585))</x:f>
        <x:v>0</x:v>
      </x:c>
      <x:c r="K585" s="79" t="n">
        <x:f>ABS('Counter_PnL'!BO585-('Counter_PnL'!BL585+'Counter_PnL'!BN585))</x:f>
        <x:v>0</x:v>
      </x:c>
      <x:c r="L585" s="79" t="n">
        <x:f>MAX(ABS('Counter_PnL'!AW585-'Counter_PnL'!AV585/'Counter_PnL'!AK585),ABS('Counter_PnL'!BM585-'Counter_PnL'!BL585/'Counter_PnL'!AK585),ABS('Counter_PnL'!BP585-'Counter_PnL'!BO585/'Counter_PnL'!AK585))</x:f>
        <x:v>0</x:v>
      </x:c>
      <x:c r="M585" s="30" t="n">
        <x:f>IF(AND('Counter_PnL'!Q585&gt;0,'Counter_PnL'!AK585&gt;0,'Counter_PnL'!R585&lt;=0,'Counter_PnL'!T585&lt;=0,'Counter_PnL'!AT585&lt;=0,'Counter_PnL'!BE585&lt;=0,'Counter_PnL'!BJ585&lt;=0,'Counter_PnL'!BK585&lt;=0,'Counter_PnL'!BN585&lt;=0),0,1)</x:f>
        <x:v>0</x:v>
      </x:c>
    </x:row>
    <x:row r="586">
      <x:c r="A586" t="str">
        <x:f>'Counter_PnL'!D586</x:f>
        <x:v>CNCT0147</x:v>
      </x:c>
      <x:c r="B586" t="str">
        <x:f>'Counter_PnL'!C586</x:f>
        <x:v>2025 S1</x:v>
      </x:c>
      <x:c r="C586" s="30" t="n">
        <x:f>COUNTIFS('Counter_PnL'!$D$2:$D$641,A586,'Counter_PnL'!$C$2:$C$641,B586)</x:f>
        <x:v>1</x:v>
      </x:c>
      <x:c r="D586" s="79" t="n">
        <x:f>ABS('Counter_PnL'!AC586-SUM('Counter_PnL'!V586:'Counter_PnL'!AB586))</x:f>
        <x:v>0</x:v>
      </x:c>
      <x:c r="E586" s="79" t="n">
        <x:f>ABS('Counter_PnL'!AI586-SUM('Counter_PnL'!R586,'Counter_PnL'!T586,'Counter_PnL'!AC586,'Counter_PnL'!AE586,'Counter_PnL'!AG586,'Counter_PnL'!AH586))</x:f>
        <x:v>0</x:v>
      </x:c>
      <x:c r="F586" s="79" t="n">
        <x:f>ABS('Counter_PnL'!AK586-('Counter_PnL'!Q586+'Counter_PnL'!AI586))</x:f>
        <x:v>0</x:v>
      </x:c>
      <x:c r="G586" s="79" t="n">
        <x:f>ABS('Counter_PnL'!AT586-SUM('Counter_PnL'!AO586:'Counter_PnL'!AS586))</x:f>
        <x:v>0</x:v>
      </x:c>
      <x:c r="H586" s="79" t="n">
        <x:f>ABS('Counter_PnL'!AV586-('Counter_PnL'!AK586+'Counter_PnL'!AT586))</x:f>
        <x:v>0</x:v>
      </x:c>
      <x:c r="I586" s="79" t="n">
        <x:f>ABS('Counter_PnL'!BE586-SUM('Counter_PnL'!AX586:'Counter_PnL'!BB586,'Counter_PnL'!BD586))</x:f>
        <x:v>0</x:v>
      </x:c>
      <x:c r="J586" s="79" t="n">
        <x:f>ABS('Counter_PnL'!BL586-SUM('Counter_PnL'!AV586,'Counter_PnL'!BE586,'Counter_PnL'!BJ586,'Counter_PnL'!BK586))</x:f>
        <x:v>0</x:v>
      </x:c>
      <x:c r="K586" s="79" t="n">
        <x:f>ABS('Counter_PnL'!BO586-('Counter_PnL'!BL586+'Counter_PnL'!BN586))</x:f>
        <x:v>0</x:v>
      </x:c>
      <x:c r="L586" s="79" t="n">
        <x:f>MAX(ABS('Counter_PnL'!AW586-'Counter_PnL'!AV586/'Counter_PnL'!AK586),ABS('Counter_PnL'!BM586-'Counter_PnL'!BL586/'Counter_PnL'!AK586),ABS('Counter_PnL'!BP586-'Counter_PnL'!BO586/'Counter_PnL'!AK586))</x:f>
        <x:v>0</x:v>
      </x:c>
      <x:c r="M586" s="30" t="n">
        <x:f>IF(AND('Counter_PnL'!Q586&gt;0,'Counter_PnL'!AK586&gt;0,'Counter_PnL'!R586&lt;=0,'Counter_PnL'!T586&lt;=0,'Counter_PnL'!AT586&lt;=0,'Counter_PnL'!BE586&lt;=0,'Counter_PnL'!BJ586&lt;=0,'Counter_PnL'!BK586&lt;=0,'Counter_PnL'!BN586&lt;=0),0,1)</x:f>
        <x:v>0</x:v>
      </x:c>
    </x:row>
    <x:row r="587">
      <x:c r="A587" t="str">
        <x:f>'Counter_PnL'!D587</x:f>
        <x:v>CNCT0147</x:v>
      </x:c>
      <x:c r="B587" t="str">
        <x:f>'Counter_PnL'!C587</x:f>
        <x:v>2025 S2</x:v>
      </x:c>
      <x:c r="C587" s="30" t="n">
        <x:f>COUNTIFS('Counter_PnL'!$D$2:$D$641,A587,'Counter_PnL'!$C$2:$C$641,B587)</x:f>
        <x:v>1</x:v>
      </x:c>
      <x:c r="D587" s="79" t="n">
        <x:f>ABS('Counter_PnL'!AC587-SUM('Counter_PnL'!V587:'Counter_PnL'!AB587))</x:f>
        <x:v>0</x:v>
      </x:c>
      <x:c r="E587" s="79" t="n">
        <x:f>ABS('Counter_PnL'!AI587-SUM('Counter_PnL'!R587,'Counter_PnL'!T587,'Counter_PnL'!AC587,'Counter_PnL'!AE587,'Counter_PnL'!AG587,'Counter_PnL'!AH587))</x:f>
        <x:v>0</x:v>
      </x:c>
      <x:c r="F587" s="79" t="n">
        <x:f>ABS('Counter_PnL'!AK587-('Counter_PnL'!Q587+'Counter_PnL'!AI587))</x:f>
        <x:v>0</x:v>
      </x:c>
      <x:c r="G587" s="79" t="n">
        <x:f>ABS('Counter_PnL'!AT587-SUM('Counter_PnL'!AO587:'Counter_PnL'!AS587))</x:f>
        <x:v>0</x:v>
      </x:c>
      <x:c r="H587" s="79" t="n">
        <x:f>ABS('Counter_PnL'!AV587-('Counter_PnL'!AK587+'Counter_PnL'!AT587))</x:f>
        <x:v>0</x:v>
      </x:c>
      <x:c r="I587" s="79" t="n">
        <x:f>ABS('Counter_PnL'!BE587-SUM('Counter_PnL'!AX587:'Counter_PnL'!BB587,'Counter_PnL'!BD587))</x:f>
        <x:v>0</x:v>
      </x:c>
      <x:c r="J587" s="79" t="n">
        <x:f>ABS('Counter_PnL'!BL587-SUM('Counter_PnL'!AV587,'Counter_PnL'!BE587,'Counter_PnL'!BJ587,'Counter_PnL'!BK587))</x:f>
        <x:v>0</x:v>
      </x:c>
      <x:c r="K587" s="79" t="n">
        <x:f>ABS('Counter_PnL'!BO587-('Counter_PnL'!BL587+'Counter_PnL'!BN587))</x:f>
        <x:v>0</x:v>
      </x:c>
      <x:c r="L587" s="79" t="n">
        <x:f>MAX(ABS('Counter_PnL'!AW587-'Counter_PnL'!AV587/'Counter_PnL'!AK587),ABS('Counter_PnL'!BM587-'Counter_PnL'!BL587/'Counter_PnL'!AK587),ABS('Counter_PnL'!BP587-'Counter_PnL'!BO587/'Counter_PnL'!AK587))</x:f>
        <x:v>0</x:v>
      </x:c>
      <x:c r="M587" s="30" t="n">
        <x:f>IF(AND('Counter_PnL'!Q587&gt;0,'Counter_PnL'!AK587&gt;0,'Counter_PnL'!R587&lt;=0,'Counter_PnL'!T587&lt;=0,'Counter_PnL'!AT587&lt;=0,'Counter_PnL'!BE587&lt;=0,'Counter_PnL'!BJ587&lt;=0,'Counter_PnL'!BK587&lt;=0,'Counter_PnL'!BN587&lt;=0),0,1)</x:f>
        <x:v>0</x:v>
      </x:c>
    </x:row>
    <x:row r="588">
      <x:c r="A588" t="str">
        <x:f>'Counter_PnL'!D588</x:f>
        <x:v>CNCT0147</x:v>
      </x:c>
      <x:c r="B588" t="str">
        <x:f>'Counter_PnL'!C588</x:f>
        <x:v>2026 S1</x:v>
      </x:c>
      <x:c r="C588" s="30" t="n">
        <x:f>COUNTIFS('Counter_PnL'!$D$2:$D$641,A588,'Counter_PnL'!$C$2:$C$641,B588)</x:f>
        <x:v>1</x:v>
      </x:c>
      <x:c r="D588" s="79" t="n">
        <x:f>ABS('Counter_PnL'!AC588-SUM('Counter_PnL'!V588:'Counter_PnL'!AB588))</x:f>
        <x:v>0</x:v>
      </x:c>
      <x:c r="E588" s="79" t="n">
        <x:f>ABS('Counter_PnL'!AI588-SUM('Counter_PnL'!R588,'Counter_PnL'!T588,'Counter_PnL'!AC588,'Counter_PnL'!AE588,'Counter_PnL'!AG588,'Counter_PnL'!AH588))</x:f>
        <x:v>0</x:v>
      </x:c>
      <x:c r="F588" s="79" t="n">
        <x:f>ABS('Counter_PnL'!AK588-('Counter_PnL'!Q588+'Counter_PnL'!AI588))</x:f>
        <x:v>0</x:v>
      </x:c>
      <x:c r="G588" s="79" t="n">
        <x:f>ABS('Counter_PnL'!AT588-SUM('Counter_PnL'!AO588:'Counter_PnL'!AS588))</x:f>
        <x:v>0</x:v>
      </x:c>
      <x:c r="H588" s="79" t="n">
        <x:f>ABS('Counter_PnL'!AV588-('Counter_PnL'!AK588+'Counter_PnL'!AT588))</x:f>
        <x:v>0</x:v>
      </x:c>
      <x:c r="I588" s="79" t="n">
        <x:f>ABS('Counter_PnL'!BE588-SUM('Counter_PnL'!AX588:'Counter_PnL'!BB588,'Counter_PnL'!BD588))</x:f>
        <x:v>0</x:v>
      </x:c>
      <x:c r="J588" s="79" t="n">
        <x:f>ABS('Counter_PnL'!BL588-SUM('Counter_PnL'!AV588,'Counter_PnL'!BE588,'Counter_PnL'!BJ588,'Counter_PnL'!BK588))</x:f>
        <x:v>0</x:v>
      </x:c>
      <x:c r="K588" s="79" t="n">
        <x:f>ABS('Counter_PnL'!BO588-('Counter_PnL'!BL588+'Counter_PnL'!BN588))</x:f>
        <x:v>0</x:v>
      </x:c>
      <x:c r="L588" s="79" t="n">
        <x:f>MAX(ABS('Counter_PnL'!AW588-'Counter_PnL'!AV588/'Counter_PnL'!AK588),ABS('Counter_PnL'!BM588-'Counter_PnL'!BL588/'Counter_PnL'!AK588),ABS('Counter_PnL'!BP588-'Counter_PnL'!BO588/'Counter_PnL'!AK588))</x:f>
        <x:v>0</x:v>
      </x:c>
      <x:c r="M588" s="30" t="n">
        <x:f>IF(AND('Counter_PnL'!Q588&gt;0,'Counter_PnL'!AK588&gt;0,'Counter_PnL'!R588&lt;=0,'Counter_PnL'!T588&lt;=0,'Counter_PnL'!AT588&lt;=0,'Counter_PnL'!BE588&lt;=0,'Counter_PnL'!BJ588&lt;=0,'Counter_PnL'!BK588&lt;=0,'Counter_PnL'!BN588&lt;=0),0,1)</x:f>
        <x:v>0</x:v>
      </x:c>
    </x:row>
    <x:row r="589">
      <x:c r="A589" t="str">
        <x:f>'Counter_PnL'!D589</x:f>
        <x:v>CNCT0147</x:v>
      </x:c>
      <x:c r="B589" t="str">
        <x:f>'Counter_PnL'!C589</x:f>
        <x:v>2026 S2</x:v>
      </x:c>
      <x:c r="C589" s="30" t="n">
        <x:f>COUNTIFS('Counter_PnL'!$D$2:$D$641,A589,'Counter_PnL'!$C$2:$C$641,B589)</x:f>
        <x:v>1</x:v>
      </x:c>
      <x:c r="D589" s="79" t="n">
        <x:f>ABS('Counter_PnL'!AC589-SUM('Counter_PnL'!V589:'Counter_PnL'!AB589))</x:f>
        <x:v>0</x:v>
      </x:c>
      <x:c r="E589" s="79" t="n">
        <x:f>ABS('Counter_PnL'!AI589-SUM('Counter_PnL'!R589,'Counter_PnL'!T589,'Counter_PnL'!AC589,'Counter_PnL'!AE589,'Counter_PnL'!AG589,'Counter_PnL'!AH589))</x:f>
        <x:v>0</x:v>
      </x:c>
      <x:c r="F589" s="79" t="n">
        <x:f>ABS('Counter_PnL'!AK589-('Counter_PnL'!Q589+'Counter_PnL'!AI589))</x:f>
        <x:v>0</x:v>
      </x:c>
      <x:c r="G589" s="79" t="n">
        <x:f>ABS('Counter_PnL'!AT589-SUM('Counter_PnL'!AO589:'Counter_PnL'!AS589))</x:f>
        <x:v>0</x:v>
      </x:c>
      <x:c r="H589" s="79" t="n">
        <x:f>ABS('Counter_PnL'!AV589-('Counter_PnL'!AK589+'Counter_PnL'!AT589))</x:f>
        <x:v>0</x:v>
      </x:c>
      <x:c r="I589" s="79" t="n">
        <x:f>ABS('Counter_PnL'!BE589-SUM('Counter_PnL'!AX589:'Counter_PnL'!BB589,'Counter_PnL'!BD589))</x:f>
        <x:v>0</x:v>
      </x:c>
      <x:c r="J589" s="79" t="n">
        <x:f>ABS('Counter_PnL'!BL589-SUM('Counter_PnL'!AV589,'Counter_PnL'!BE589,'Counter_PnL'!BJ589,'Counter_PnL'!BK589))</x:f>
        <x:v>0</x:v>
      </x:c>
      <x:c r="K589" s="79" t="n">
        <x:f>ABS('Counter_PnL'!BO589-('Counter_PnL'!BL589+'Counter_PnL'!BN589))</x:f>
        <x:v>0</x:v>
      </x:c>
      <x:c r="L589" s="79" t="n">
        <x:f>MAX(ABS('Counter_PnL'!AW589-'Counter_PnL'!AV589/'Counter_PnL'!AK589),ABS('Counter_PnL'!BM589-'Counter_PnL'!BL589/'Counter_PnL'!AK589),ABS('Counter_PnL'!BP589-'Counter_PnL'!BO589/'Counter_PnL'!AK589))</x:f>
        <x:v>0</x:v>
      </x:c>
      <x:c r="M589" s="30" t="n">
        <x:f>IF(AND('Counter_PnL'!Q589&gt;0,'Counter_PnL'!AK589&gt;0,'Counter_PnL'!R589&lt;=0,'Counter_PnL'!T589&lt;=0,'Counter_PnL'!AT589&lt;=0,'Counter_PnL'!BE589&lt;=0,'Counter_PnL'!BJ589&lt;=0,'Counter_PnL'!BK589&lt;=0,'Counter_PnL'!BN589&lt;=0),0,1)</x:f>
        <x:v>0</x:v>
      </x:c>
    </x:row>
    <x:row r="590">
      <x:c r="A590" t="str">
        <x:f>'Counter_PnL'!D590</x:f>
        <x:v>CNCT0148</x:v>
      </x:c>
      <x:c r="B590" t="str">
        <x:f>'Counter_PnL'!C590</x:f>
        <x:v>2025 S1</x:v>
      </x:c>
      <x:c r="C590" s="30" t="n">
        <x:f>COUNTIFS('Counter_PnL'!$D$2:$D$641,A590,'Counter_PnL'!$C$2:$C$641,B590)</x:f>
        <x:v>1</x:v>
      </x:c>
      <x:c r="D590" s="79" t="n">
        <x:f>ABS('Counter_PnL'!AC590-SUM('Counter_PnL'!V590:'Counter_PnL'!AB590))</x:f>
        <x:v>0</x:v>
      </x:c>
      <x:c r="E590" s="79" t="n">
        <x:f>ABS('Counter_PnL'!AI590-SUM('Counter_PnL'!R590,'Counter_PnL'!T590,'Counter_PnL'!AC590,'Counter_PnL'!AE590,'Counter_PnL'!AG590,'Counter_PnL'!AH590))</x:f>
        <x:v>0</x:v>
      </x:c>
      <x:c r="F590" s="79" t="n">
        <x:f>ABS('Counter_PnL'!AK590-('Counter_PnL'!Q590+'Counter_PnL'!AI590))</x:f>
        <x:v>0</x:v>
      </x:c>
      <x:c r="G590" s="79" t="n">
        <x:f>ABS('Counter_PnL'!AT590-SUM('Counter_PnL'!AO590:'Counter_PnL'!AS590))</x:f>
        <x:v>0</x:v>
      </x:c>
      <x:c r="H590" s="79" t="n">
        <x:f>ABS('Counter_PnL'!AV590-('Counter_PnL'!AK590+'Counter_PnL'!AT590))</x:f>
        <x:v>0</x:v>
      </x:c>
      <x:c r="I590" s="79" t="n">
        <x:f>ABS('Counter_PnL'!BE590-SUM('Counter_PnL'!AX590:'Counter_PnL'!BB590,'Counter_PnL'!BD590))</x:f>
        <x:v>0</x:v>
      </x:c>
      <x:c r="J590" s="79" t="n">
        <x:f>ABS('Counter_PnL'!BL590-SUM('Counter_PnL'!AV590,'Counter_PnL'!BE590,'Counter_PnL'!BJ590,'Counter_PnL'!BK590))</x:f>
        <x:v>0</x:v>
      </x:c>
      <x:c r="K590" s="79" t="n">
        <x:f>ABS('Counter_PnL'!BO590-('Counter_PnL'!BL590+'Counter_PnL'!BN590))</x:f>
        <x:v>0</x:v>
      </x:c>
      <x:c r="L590" s="79" t="n">
        <x:f>MAX(ABS('Counter_PnL'!AW590-'Counter_PnL'!AV590/'Counter_PnL'!AK590),ABS('Counter_PnL'!BM590-'Counter_PnL'!BL590/'Counter_PnL'!AK590),ABS('Counter_PnL'!BP590-'Counter_PnL'!BO590/'Counter_PnL'!AK590))</x:f>
        <x:v>0</x:v>
      </x:c>
      <x:c r="M590" s="30" t="n">
        <x:f>IF(AND('Counter_PnL'!Q590&gt;0,'Counter_PnL'!AK590&gt;0,'Counter_PnL'!R590&lt;=0,'Counter_PnL'!T590&lt;=0,'Counter_PnL'!AT590&lt;=0,'Counter_PnL'!BE590&lt;=0,'Counter_PnL'!BJ590&lt;=0,'Counter_PnL'!BK590&lt;=0,'Counter_PnL'!BN590&lt;=0),0,1)</x:f>
        <x:v>0</x:v>
      </x:c>
    </x:row>
    <x:row r="591">
      <x:c r="A591" t="str">
        <x:f>'Counter_PnL'!D591</x:f>
        <x:v>CNCT0148</x:v>
      </x:c>
      <x:c r="B591" t="str">
        <x:f>'Counter_PnL'!C591</x:f>
        <x:v>2025 S2</x:v>
      </x:c>
      <x:c r="C591" s="30" t="n">
        <x:f>COUNTIFS('Counter_PnL'!$D$2:$D$641,A591,'Counter_PnL'!$C$2:$C$641,B591)</x:f>
        <x:v>1</x:v>
      </x:c>
      <x:c r="D591" s="79" t="n">
        <x:f>ABS('Counter_PnL'!AC591-SUM('Counter_PnL'!V591:'Counter_PnL'!AB591))</x:f>
        <x:v>0</x:v>
      </x:c>
      <x:c r="E591" s="79" t="n">
        <x:f>ABS('Counter_PnL'!AI591-SUM('Counter_PnL'!R591,'Counter_PnL'!T591,'Counter_PnL'!AC591,'Counter_PnL'!AE591,'Counter_PnL'!AG591,'Counter_PnL'!AH591))</x:f>
        <x:v>0</x:v>
      </x:c>
      <x:c r="F591" s="79" t="n">
        <x:f>ABS('Counter_PnL'!AK591-('Counter_PnL'!Q591+'Counter_PnL'!AI591))</x:f>
        <x:v>0</x:v>
      </x:c>
      <x:c r="G591" s="79" t="n">
        <x:f>ABS('Counter_PnL'!AT591-SUM('Counter_PnL'!AO591:'Counter_PnL'!AS591))</x:f>
        <x:v>0</x:v>
      </x:c>
      <x:c r="H591" s="79" t="n">
        <x:f>ABS('Counter_PnL'!AV591-('Counter_PnL'!AK591+'Counter_PnL'!AT591))</x:f>
        <x:v>0</x:v>
      </x:c>
      <x:c r="I591" s="79" t="n">
        <x:f>ABS('Counter_PnL'!BE591-SUM('Counter_PnL'!AX591:'Counter_PnL'!BB591,'Counter_PnL'!BD591))</x:f>
        <x:v>0</x:v>
      </x:c>
      <x:c r="J591" s="79" t="n">
        <x:f>ABS('Counter_PnL'!BL591-SUM('Counter_PnL'!AV591,'Counter_PnL'!BE591,'Counter_PnL'!BJ591,'Counter_PnL'!BK591))</x:f>
        <x:v>0</x:v>
      </x:c>
      <x:c r="K591" s="79" t="n">
        <x:f>ABS('Counter_PnL'!BO591-('Counter_PnL'!BL591+'Counter_PnL'!BN591))</x:f>
        <x:v>0</x:v>
      </x:c>
      <x:c r="L591" s="79" t="n">
        <x:f>MAX(ABS('Counter_PnL'!AW591-'Counter_PnL'!AV591/'Counter_PnL'!AK591),ABS('Counter_PnL'!BM591-'Counter_PnL'!BL591/'Counter_PnL'!AK591),ABS('Counter_PnL'!BP591-'Counter_PnL'!BO591/'Counter_PnL'!AK591))</x:f>
        <x:v>0</x:v>
      </x:c>
      <x:c r="M591" s="30" t="n">
        <x:f>IF(AND('Counter_PnL'!Q591&gt;0,'Counter_PnL'!AK591&gt;0,'Counter_PnL'!R591&lt;=0,'Counter_PnL'!T591&lt;=0,'Counter_PnL'!AT591&lt;=0,'Counter_PnL'!BE591&lt;=0,'Counter_PnL'!BJ591&lt;=0,'Counter_PnL'!BK591&lt;=0,'Counter_PnL'!BN591&lt;=0),0,1)</x:f>
        <x:v>0</x:v>
      </x:c>
    </x:row>
    <x:row r="592">
      <x:c r="A592" t="str">
        <x:f>'Counter_PnL'!D592</x:f>
        <x:v>CNCT0148</x:v>
      </x:c>
      <x:c r="B592" t="str">
        <x:f>'Counter_PnL'!C592</x:f>
        <x:v>2026 S1</x:v>
      </x:c>
      <x:c r="C592" s="30" t="n">
        <x:f>COUNTIFS('Counter_PnL'!$D$2:$D$641,A592,'Counter_PnL'!$C$2:$C$641,B592)</x:f>
        <x:v>1</x:v>
      </x:c>
      <x:c r="D592" s="79" t="n">
        <x:f>ABS('Counter_PnL'!AC592-SUM('Counter_PnL'!V592:'Counter_PnL'!AB592))</x:f>
        <x:v>0</x:v>
      </x:c>
      <x:c r="E592" s="79" t="n">
        <x:f>ABS('Counter_PnL'!AI592-SUM('Counter_PnL'!R592,'Counter_PnL'!T592,'Counter_PnL'!AC592,'Counter_PnL'!AE592,'Counter_PnL'!AG592,'Counter_PnL'!AH592))</x:f>
        <x:v>0</x:v>
      </x:c>
      <x:c r="F592" s="79" t="n">
        <x:f>ABS('Counter_PnL'!AK592-('Counter_PnL'!Q592+'Counter_PnL'!AI592))</x:f>
        <x:v>0</x:v>
      </x:c>
      <x:c r="G592" s="79" t="n">
        <x:f>ABS('Counter_PnL'!AT592-SUM('Counter_PnL'!AO592:'Counter_PnL'!AS592))</x:f>
        <x:v>0</x:v>
      </x:c>
      <x:c r="H592" s="79" t="n">
        <x:f>ABS('Counter_PnL'!AV592-('Counter_PnL'!AK592+'Counter_PnL'!AT592))</x:f>
        <x:v>0</x:v>
      </x:c>
      <x:c r="I592" s="79" t="n">
        <x:f>ABS('Counter_PnL'!BE592-SUM('Counter_PnL'!AX592:'Counter_PnL'!BB592,'Counter_PnL'!BD592))</x:f>
        <x:v>0</x:v>
      </x:c>
      <x:c r="J592" s="79" t="n">
        <x:f>ABS('Counter_PnL'!BL592-SUM('Counter_PnL'!AV592,'Counter_PnL'!BE592,'Counter_PnL'!BJ592,'Counter_PnL'!BK592))</x:f>
        <x:v>0</x:v>
      </x:c>
      <x:c r="K592" s="79" t="n">
        <x:f>ABS('Counter_PnL'!BO592-('Counter_PnL'!BL592+'Counter_PnL'!BN592))</x:f>
        <x:v>0</x:v>
      </x:c>
      <x:c r="L592" s="79" t="n">
        <x:f>MAX(ABS('Counter_PnL'!AW592-'Counter_PnL'!AV592/'Counter_PnL'!AK592),ABS('Counter_PnL'!BM592-'Counter_PnL'!BL592/'Counter_PnL'!AK592),ABS('Counter_PnL'!BP592-'Counter_PnL'!BO592/'Counter_PnL'!AK592))</x:f>
        <x:v>0</x:v>
      </x:c>
      <x:c r="M592" s="30" t="n">
        <x:f>IF(AND('Counter_PnL'!Q592&gt;0,'Counter_PnL'!AK592&gt;0,'Counter_PnL'!R592&lt;=0,'Counter_PnL'!T592&lt;=0,'Counter_PnL'!AT592&lt;=0,'Counter_PnL'!BE592&lt;=0,'Counter_PnL'!BJ592&lt;=0,'Counter_PnL'!BK592&lt;=0,'Counter_PnL'!BN592&lt;=0),0,1)</x:f>
        <x:v>0</x:v>
      </x:c>
    </x:row>
    <x:row r="593">
      <x:c r="A593" t="str">
        <x:f>'Counter_PnL'!D593</x:f>
        <x:v>CNCT0148</x:v>
      </x:c>
      <x:c r="B593" t="str">
        <x:f>'Counter_PnL'!C593</x:f>
        <x:v>2026 S2</x:v>
      </x:c>
      <x:c r="C593" s="30" t="n">
        <x:f>COUNTIFS('Counter_PnL'!$D$2:$D$641,A593,'Counter_PnL'!$C$2:$C$641,B593)</x:f>
        <x:v>1</x:v>
      </x:c>
      <x:c r="D593" s="79" t="n">
        <x:f>ABS('Counter_PnL'!AC593-SUM('Counter_PnL'!V593:'Counter_PnL'!AB593))</x:f>
        <x:v>0</x:v>
      </x:c>
      <x:c r="E593" s="79" t="n">
        <x:f>ABS('Counter_PnL'!AI593-SUM('Counter_PnL'!R593,'Counter_PnL'!T593,'Counter_PnL'!AC593,'Counter_PnL'!AE593,'Counter_PnL'!AG593,'Counter_PnL'!AH593))</x:f>
        <x:v>0</x:v>
      </x:c>
      <x:c r="F593" s="79" t="n">
        <x:f>ABS('Counter_PnL'!AK593-('Counter_PnL'!Q593+'Counter_PnL'!AI593))</x:f>
        <x:v>0</x:v>
      </x:c>
      <x:c r="G593" s="79" t="n">
        <x:f>ABS('Counter_PnL'!AT593-SUM('Counter_PnL'!AO593:'Counter_PnL'!AS593))</x:f>
        <x:v>0</x:v>
      </x:c>
      <x:c r="H593" s="79" t="n">
        <x:f>ABS('Counter_PnL'!AV593-('Counter_PnL'!AK593+'Counter_PnL'!AT593))</x:f>
        <x:v>0</x:v>
      </x:c>
      <x:c r="I593" s="79" t="n">
        <x:f>ABS('Counter_PnL'!BE593-SUM('Counter_PnL'!AX593:'Counter_PnL'!BB593,'Counter_PnL'!BD593))</x:f>
        <x:v>0</x:v>
      </x:c>
      <x:c r="J593" s="79" t="n">
        <x:f>ABS('Counter_PnL'!BL593-SUM('Counter_PnL'!AV593,'Counter_PnL'!BE593,'Counter_PnL'!BJ593,'Counter_PnL'!BK593))</x:f>
        <x:v>0</x:v>
      </x:c>
      <x:c r="K593" s="79" t="n">
        <x:f>ABS('Counter_PnL'!BO593-('Counter_PnL'!BL593+'Counter_PnL'!BN593))</x:f>
        <x:v>0</x:v>
      </x:c>
      <x:c r="L593" s="79" t="n">
        <x:f>MAX(ABS('Counter_PnL'!AW593-'Counter_PnL'!AV593/'Counter_PnL'!AK593),ABS('Counter_PnL'!BM593-'Counter_PnL'!BL593/'Counter_PnL'!AK593),ABS('Counter_PnL'!BP593-'Counter_PnL'!BO593/'Counter_PnL'!AK593))</x:f>
        <x:v>0</x:v>
      </x:c>
      <x:c r="M593" s="30" t="n">
        <x:f>IF(AND('Counter_PnL'!Q593&gt;0,'Counter_PnL'!AK593&gt;0,'Counter_PnL'!R593&lt;=0,'Counter_PnL'!T593&lt;=0,'Counter_PnL'!AT593&lt;=0,'Counter_PnL'!BE593&lt;=0,'Counter_PnL'!BJ593&lt;=0,'Counter_PnL'!BK593&lt;=0,'Counter_PnL'!BN593&lt;=0),0,1)</x:f>
        <x:v>0</x:v>
      </x:c>
    </x:row>
    <x:row r="594">
      <x:c r="A594" t="str">
        <x:f>'Counter_PnL'!D594</x:f>
        <x:v>CNCT0149</x:v>
      </x:c>
      <x:c r="B594" t="str">
        <x:f>'Counter_PnL'!C594</x:f>
        <x:v>2025 S1</x:v>
      </x:c>
      <x:c r="C594" s="30" t="n">
        <x:f>COUNTIFS('Counter_PnL'!$D$2:$D$641,A594,'Counter_PnL'!$C$2:$C$641,B594)</x:f>
        <x:v>1</x:v>
      </x:c>
      <x:c r="D594" s="79" t="n">
        <x:f>ABS('Counter_PnL'!AC594-SUM('Counter_PnL'!V594:'Counter_PnL'!AB594))</x:f>
        <x:v>0</x:v>
      </x:c>
      <x:c r="E594" s="79" t="n">
        <x:f>ABS('Counter_PnL'!AI594-SUM('Counter_PnL'!R594,'Counter_PnL'!T594,'Counter_PnL'!AC594,'Counter_PnL'!AE594,'Counter_PnL'!AG594,'Counter_PnL'!AH594))</x:f>
        <x:v>0</x:v>
      </x:c>
      <x:c r="F594" s="79" t="n">
        <x:f>ABS('Counter_PnL'!AK594-('Counter_PnL'!Q594+'Counter_PnL'!AI594))</x:f>
        <x:v>0</x:v>
      </x:c>
      <x:c r="G594" s="79" t="n">
        <x:f>ABS('Counter_PnL'!AT594-SUM('Counter_PnL'!AO594:'Counter_PnL'!AS594))</x:f>
        <x:v>0</x:v>
      </x:c>
      <x:c r="H594" s="79" t="n">
        <x:f>ABS('Counter_PnL'!AV594-('Counter_PnL'!AK594+'Counter_PnL'!AT594))</x:f>
        <x:v>0</x:v>
      </x:c>
      <x:c r="I594" s="79" t="n">
        <x:f>ABS('Counter_PnL'!BE594-SUM('Counter_PnL'!AX594:'Counter_PnL'!BB594,'Counter_PnL'!BD594))</x:f>
        <x:v>0</x:v>
      </x:c>
      <x:c r="J594" s="79" t="n">
        <x:f>ABS('Counter_PnL'!BL594-SUM('Counter_PnL'!AV594,'Counter_PnL'!BE594,'Counter_PnL'!BJ594,'Counter_PnL'!BK594))</x:f>
        <x:v>0</x:v>
      </x:c>
      <x:c r="K594" s="79" t="n">
        <x:f>ABS('Counter_PnL'!BO594-('Counter_PnL'!BL594+'Counter_PnL'!BN594))</x:f>
        <x:v>0</x:v>
      </x:c>
      <x:c r="L594" s="79" t="n">
        <x:f>MAX(ABS('Counter_PnL'!AW594-'Counter_PnL'!AV594/'Counter_PnL'!AK594),ABS('Counter_PnL'!BM594-'Counter_PnL'!BL594/'Counter_PnL'!AK594),ABS('Counter_PnL'!BP594-'Counter_PnL'!BO594/'Counter_PnL'!AK594))</x:f>
        <x:v>0</x:v>
      </x:c>
      <x:c r="M594" s="30" t="n">
        <x:f>IF(AND('Counter_PnL'!Q594&gt;0,'Counter_PnL'!AK594&gt;0,'Counter_PnL'!R594&lt;=0,'Counter_PnL'!T594&lt;=0,'Counter_PnL'!AT594&lt;=0,'Counter_PnL'!BE594&lt;=0,'Counter_PnL'!BJ594&lt;=0,'Counter_PnL'!BK594&lt;=0,'Counter_PnL'!BN594&lt;=0),0,1)</x:f>
        <x:v>0</x:v>
      </x:c>
    </x:row>
    <x:row r="595">
      <x:c r="A595" t="str">
        <x:f>'Counter_PnL'!D595</x:f>
        <x:v>CNCT0149</x:v>
      </x:c>
      <x:c r="B595" t="str">
        <x:f>'Counter_PnL'!C595</x:f>
        <x:v>2025 S2</x:v>
      </x:c>
      <x:c r="C595" s="30" t="n">
        <x:f>COUNTIFS('Counter_PnL'!$D$2:$D$641,A595,'Counter_PnL'!$C$2:$C$641,B595)</x:f>
        <x:v>1</x:v>
      </x:c>
      <x:c r="D595" s="79" t="n">
        <x:f>ABS('Counter_PnL'!AC595-SUM('Counter_PnL'!V595:'Counter_PnL'!AB595))</x:f>
        <x:v>0</x:v>
      </x:c>
      <x:c r="E595" s="79" t="n">
        <x:f>ABS('Counter_PnL'!AI595-SUM('Counter_PnL'!R595,'Counter_PnL'!T595,'Counter_PnL'!AC595,'Counter_PnL'!AE595,'Counter_PnL'!AG595,'Counter_PnL'!AH595))</x:f>
        <x:v>0</x:v>
      </x:c>
      <x:c r="F595" s="79" t="n">
        <x:f>ABS('Counter_PnL'!AK595-('Counter_PnL'!Q595+'Counter_PnL'!AI595))</x:f>
        <x:v>0</x:v>
      </x:c>
      <x:c r="G595" s="79" t="n">
        <x:f>ABS('Counter_PnL'!AT595-SUM('Counter_PnL'!AO595:'Counter_PnL'!AS595))</x:f>
        <x:v>0</x:v>
      </x:c>
      <x:c r="H595" s="79" t="n">
        <x:f>ABS('Counter_PnL'!AV595-('Counter_PnL'!AK595+'Counter_PnL'!AT595))</x:f>
        <x:v>0</x:v>
      </x:c>
      <x:c r="I595" s="79" t="n">
        <x:f>ABS('Counter_PnL'!BE595-SUM('Counter_PnL'!AX595:'Counter_PnL'!BB595,'Counter_PnL'!BD595))</x:f>
        <x:v>0</x:v>
      </x:c>
      <x:c r="J595" s="79" t="n">
        <x:f>ABS('Counter_PnL'!BL595-SUM('Counter_PnL'!AV595,'Counter_PnL'!BE595,'Counter_PnL'!BJ595,'Counter_PnL'!BK595))</x:f>
        <x:v>0</x:v>
      </x:c>
      <x:c r="K595" s="79" t="n">
        <x:f>ABS('Counter_PnL'!BO595-('Counter_PnL'!BL595+'Counter_PnL'!BN595))</x:f>
        <x:v>0</x:v>
      </x:c>
      <x:c r="L595" s="79" t="n">
        <x:f>MAX(ABS('Counter_PnL'!AW595-'Counter_PnL'!AV595/'Counter_PnL'!AK595),ABS('Counter_PnL'!BM595-'Counter_PnL'!BL595/'Counter_PnL'!AK595),ABS('Counter_PnL'!BP595-'Counter_PnL'!BO595/'Counter_PnL'!AK595))</x:f>
        <x:v>0</x:v>
      </x:c>
      <x:c r="M595" s="30" t="n">
        <x:f>IF(AND('Counter_PnL'!Q595&gt;0,'Counter_PnL'!AK595&gt;0,'Counter_PnL'!R595&lt;=0,'Counter_PnL'!T595&lt;=0,'Counter_PnL'!AT595&lt;=0,'Counter_PnL'!BE595&lt;=0,'Counter_PnL'!BJ595&lt;=0,'Counter_PnL'!BK595&lt;=0,'Counter_PnL'!BN595&lt;=0),0,1)</x:f>
        <x:v>0</x:v>
      </x:c>
    </x:row>
    <x:row r="596">
      <x:c r="A596" t="str">
        <x:f>'Counter_PnL'!D596</x:f>
        <x:v>CNCT0149</x:v>
      </x:c>
      <x:c r="B596" t="str">
        <x:f>'Counter_PnL'!C596</x:f>
        <x:v>2026 S1</x:v>
      </x:c>
      <x:c r="C596" s="30" t="n">
        <x:f>COUNTIFS('Counter_PnL'!$D$2:$D$641,A596,'Counter_PnL'!$C$2:$C$641,B596)</x:f>
        <x:v>1</x:v>
      </x:c>
      <x:c r="D596" s="79" t="n">
        <x:f>ABS('Counter_PnL'!AC596-SUM('Counter_PnL'!V596:'Counter_PnL'!AB596))</x:f>
        <x:v>0</x:v>
      </x:c>
      <x:c r="E596" s="79" t="n">
        <x:f>ABS('Counter_PnL'!AI596-SUM('Counter_PnL'!R596,'Counter_PnL'!T596,'Counter_PnL'!AC596,'Counter_PnL'!AE596,'Counter_PnL'!AG596,'Counter_PnL'!AH596))</x:f>
        <x:v>0</x:v>
      </x:c>
      <x:c r="F596" s="79" t="n">
        <x:f>ABS('Counter_PnL'!AK596-('Counter_PnL'!Q596+'Counter_PnL'!AI596))</x:f>
        <x:v>0</x:v>
      </x:c>
      <x:c r="G596" s="79" t="n">
        <x:f>ABS('Counter_PnL'!AT596-SUM('Counter_PnL'!AO596:'Counter_PnL'!AS596))</x:f>
        <x:v>0</x:v>
      </x:c>
      <x:c r="H596" s="79" t="n">
        <x:f>ABS('Counter_PnL'!AV596-('Counter_PnL'!AK596+'Counter_PnL'!AT596))</x:f>
        <x:v>0</x:v>
      </x:c>
      <x:c r="I596" s="79" t="n">
        <x:f>ABS('Counter_PnL'!BE596-SUM('Counter_PnL'!AX596:'Counter_PnL'!BB596,'Counter_PnL'!BD596))</x:f>
        <x:v>0</x:v>
      </x:c>
      <x:c r="J596" s="79" t="n">
        <x:f>ABS('Counter_PnL'!BL596-SUM('Counter_PnL'!AV596,'Counter_PnL'!BE596,'Counter_PnL'!BJ596,'Counter_PnL'!BK596))</x:f>
        <x:v>0</x:v>
      </x:c>
      <x:c r="K596" s="79" t="n">
        <x:f>ABS('Counter_PnL'!BO596-('Counter_PnL'!BL596+'Counter_PnL'!BN596))</x:f>
        <x:v>0</x:v>
      </x:c>
      <x:c r="L596" s="79" t="n">
        <x:f>MAX(ABS('Counter_PnL'!AW596-'Counter_PnL'!AV596/'Counter_PnL'!AK596),ABS('Counter_PnL'!BM596-'Counter_PnL'!BL596/'Counter_PnL'!AK596),ABS('Counter_PnL'!BP596-'Counter_PnL'!BO596/'Counter_PnL'!AK596))</x:f>
        <x:v>0</x:v>
      </x:c>
      <x:c r="M596" s="30" t="n">
        <x:f>IF(AND('Counter_PnL'!Q596&gt;0,'Counter_PnL'!AK596&gt;0,'Counter_PnL'!R596&lt;=0,'Counter_PnL'!T596&lt;=0,'Counter_PnL'!AT596&lt;=0,'Counter_PnL'!BE596&lt;=0,'Counter_PnL'!BJ596&lt;=0,'Counter_PnL'!BK596&lt;=0,'Counter_PnL'!BN596&lt;=0),0,1)</x:f>
        <x:v>0</x:v>
      </x:c>
    </x:row>
    <x:row r="597">
      <x:c r="A597" t="str">
        <x:f>'Counter_PnL'!D597</x:f>
        <x:v>CNCT0149</x:v>
      </x:c>
      <x:c r="B597" t="str">
        <x:f>'Counter_PnL'!C597</x:f>
        <x:v>2026 S2</x:v>
      </x:c>
      <x:c r="C597" s="30" t="n">
        <x:f>COUNTIFS('Counter_PnL'!$D$2:$D$641,A597,'Counter_PnL'!$C$2:$C$641,B597)</x:f>
        <x:v>1</x:v>
      </x:c>
      <x:c r="D597" s="79" t="n">
        <x:f>ABS('Counter_PnL'!AC597-SUM('Counter_PnL'!V597:'Counter_PnL'!AB597))</x:f>
        <x:v>0</x:v>
      </x:c>
      <x:c r="E597" s="79" t="n">
        <x:f>ABS('Counter_PnL'!AI597-SUM('Counter_PnL'!R597,'Counter_PnL'!T597,'Counter_PnL'!AC597,'Counter_PnL'!AE597,'Counter_PnL'!AG597,'Counter_PnL'!AH597))</x:f>
        <x:v>0</x:v>
      </x:c>
      <x:c r="F597" s="79" t="n">
        <x:f>ABS('Counter_PnL'!AK597-('Counter_PnL'!Q597+'Counter_PnL'!AI597))</x:f>
        <x:v>0</x:v>
      </x:c>
      <x:c r="G597" s="79" t="n">
        <x:f>ABS('Counter_PnL'!AT597-SUM('Counter_PnL'!AO597:'Counter_PnL'!AS597))</x:f>
        <x:v>0</x:v>
      </x:c>
      <x:c r="H597" s="79" t="n">
        <x:f>ABS('Counter_PnL'!AV597-('Counter_PnL'!AK597+'Counter_PnL'!AT597))</x:f>
        <x:v>0</x:v>
      </x:c>
      <x:c r="I597" s="79" t="n">
        <x:f>ABS('Counter_PnL'!BE597-SUM('Counter_PnL'!AX597:'Counter_PnL'!BB597,'Counter_PnL'!BD597))</x:f>
        <x:v>0</x:v>
      </x:c>
      <x:c r="J597" s="79" t="n">
        <x:f>ABS('Counter_PnL'!BL597-SUM('Counter_PnL'!AV597,'Counter_PnL'!BE597,'Counter_PnL'!BJ597,'Counter_PnL'!BK597))</x:f>
        <x:v>0</x:v>
      </x:c>
      <x:c r="K597" s="79" t="n">
        <x:f>ABS('Counter_PnL'!BO597-('Counter_PnL'!BL597+'Counter_PnL'!BN597))</x:f>
        <x:v>0</x:v>
      </x:c>
      <x:c r="L597" s="79" t="n">
        <x:f>MAX(ABS('Counter_PnL'!AW597-'Counter_PnL'!AV597/'Counter_PnL'!AK597),ABS('Counter_PnL'!BM597-'Counter_PnL'!BL597/'Counter_PnL'!AK597),ABS('Counter_PnL'!BP597-'Counter_PnL'!BO597/'Counter_PnL'!AK597))</x:f>
        <x:v>0</x:v>
      </x:c>
      <x:c r="M597" s="30" t="n">
        <x:f>IF(AND('Counter_PnL'!Q597&gt;0,'Counter_PnL'!AK597&gt;0,'Counter_PnL'!R597&lt;=0,'Counter_PnL'!T597&lt;=0,'Counter_PnL'!AT597&lt;=0,'Counter_PnL'!BE597&lt;=0,'Counter_PnL'!BJ597&lt;=0,'Counter_PnL'!BK597&lt;=0,'Counter_PnL'!BN597&lt;=0),0,1)</x:f>
        <x:v>0</x:v>
      </x:c>
    </x:row>
    <x:row r="598">
      <x:c r="A598" t="str">
        <x:f>'Counter_PnL'!D598</x:f>
        <x:v>CNCT0150</x:v>
      </x:c>
      <x:c r="B598" t="str">
        <x:f>'Counter_PnL'!C598</x:f>
        <x:v>2025 S1</x:v>
      </x:c>
      <x:c r="C598" s="30" t="n">
        <x:f>COUNTIFS('Counter_PnL'!$D$2:$D$641,A598,'Counter_PnL'!$C$2:$C$641,B598)</x:f>
        <x:v>1</x:v>
      </x:c>
      <x:c r="D598" s="79" t="n">
        <x:f>ABS('Counter_PnL'!AC598-SUM('Counter_PnL'!V598:'Counter_PnL'!AB598))</x:f>
        <x:v>0</x:v>
      </x:c>
      <x:c r="E598" s="79" t="n">
        <x:f>ABS('Counter_PnL'!AI598-SUM('Counter_PnL'!R598,'Counter_PnL'!T598,'Counter_PnL'!AC598,'Counter_PnL'!AE598,'Counter_PnL'!AG598,'Counter_PnL'!AH598))</x:f>
        <x:v>0</x:v>
      </x:c>
      <x:c r="F598" s="79" t="n">
        <x:f>ABS('Counter_PnL'!AK598-('Counter_PnL'!Q598+'Counter_PnL'!AI598))</x:f>
        <x:v>0</x:v>
      </x:c>
      <x:c r="G598" s="79" t="n">
        <x:f>ABS('Counter_PnL'!AT598-SUM('Counter_PnL'!AO598:'Counter_PnL'!AS598))</x:f>
        <x:v>0</x:v>
      </x:c>
      <x:c r="H598" s="79" t="n">
        <x:f>ABS('Counter_PnL'!AV598-('Counter_PnL'!AK598+'Counter_PnL'!AT598))</x:f>
        <x:v>0</x:v>
      </x:c>
      <x:c r="I598" s="79" t="n">
        <x:f>ABS('Counter_PnL'!BE598-SUM('Counter_PnL'!AX598:'Counter_PnL'!BB598,'Counter_PnL'!BD598))</x:f>
        <x:v>0</x:v>
      </x:c>
      <x:c r="J598" s="79" t="n">
        <x:f>ABS('Counter_PnL'!BL598-SUM('Counter_PnL'!AV598,'Counter_PnL'!BE598,'Counter_PnL'!BJ598,'Counter_PnL'!BK598))</x:f>
        <x:v>0</x:v>
      </x:c>
      <x:c r="K598" s="79" t="n">
        <x:f>ABS('Counter_PnL'!BO598-('Counter_PnL'!BL598+'Counter_PnL'!BN598))</x:f>
        <x:v>0</x:v>
      </x:c>
      <x:c r="L598" s="79" t="n">
        <x:f>MAX(ABS('Counter_PnL'!AW598-'Counter_PnL'!AV598/'Counter_PnL'!AK598),ABS('Counter_PnL'!BM598-'Counter_PnL'!BL598/'Counter_PnL'!AK598),ABS('Counter_PnL'!BP598-'Counter_PnL'!BO598/'Counter_PnL'!AK598))</x:f>
        <x:v>0</x:v>
      </x:c>
      <x:c r="M598" s="30" t="n">
        <x:f>IF(AND('Counter_PnL'!Q598&gt;0,'Counter_PnL'!AK598&gt;0,'Counter_PnL'!R598&lt;=0,'Counter_PnL'!T598&lt;=0,'Counter_PnL'!AT598&lt;=0,'Counter_PnL'!BE598&lt;=0,'Counter_PnL'!BJ598&lt;=0,'Counter_PnL'!BK598&lt;=0,'Counter_PnL'!BN598&lt;=0),0,1)</x:f>
        <x:v>0</x:v>
      </x:c>
    </x:row>
    <x:row r="599">
      <x:c r="A599" t="str">
        <x:f>'Counter_PnL'!D599</x:f>
        <x:v>CNCT0150</x:v>
      </x:c>
      <x:c r="B599" t="str">
        <x:f>'Counter_PnL'!C599</x:f>
        <x:v>2025 S2</x:v>
      </x:c>
      <x:c r="C599" s="30" t="n">
        <x:f>COUNTIFS('Counter_PnL'!$D$2:$D$641,A599,'Counter_PnL'!$C$2:$C$641,B599)</x:f>
        <x:v>1</x:v>
      </x:c>
      <x:c r="D599" s="79" t="n">
        <x:f>ABS('Counter_PnL'!AC599-SUM('Counter_PnL'!V599:'Counter_PnL'!AB599))</x:f>
        <x:v>0</x:v>
      </x:c>
      <x:c r="E599" s="79" t="n">
        <x:f>ABS('Counter_PnL'!AI599-SUM('Counter_PnL'!R599,'Counter_PnL'!T599,'Counter_PnL'!AC599,'Counter_PnL'!AE599,'Counter_PnL'!AG599,'Counter_PnL'!AH599))</x:f>
        <x:v>0</x:v>
      </x:c>
      <x:c r="F599" s="79" t="n">
        <x:f>ABS('Counter_PnL'!AK599-('Counter_PnL'!Q599+'Counter_PnL'!AI599))</x:f>
        <x:v>0</x:v>
      </x:c>
      <x:c r="G599" s="79" t="n">
        <x:f>ABS('Counter_PnL'!AT599-SUM('Counter_PnL'!AO599:'Counter_PnL'!AS599))</x:f>
        <x:v>0</x:v>
      </x:c>
      <x:c r="H599" s="79" t="n">
        <x:f>ABS('Counter_PnL'!AV599-('Counter_PnL'!AK599+'Counter_PnL'!AT599))</x:f>
        <x:v>0</x:v>
      </x:c>
      <x:c r="I599" s="79" t="n">
        <x:f>ABS('Counter_PnL'!BE599-SUM('Counter_PnL'!AX599:'Counter_PnL'!BB599,'Counter_PnL'!BD599))</x:f>
        <x:v>0</x:v>
      </x:c>
      <x:c r="J599" s="79" t="n">
        <x:f>ABS('Counter_PnL'!BL599-SUM('Counter_PnL'!AV599,'Counter_PnL'!BE599,'Counter_PnL'!BJ599,'Counter_PnL'!BK599))</x:f>
        <x:v>0</x:v>
      </x:c>
      <x:c r="K599" s="79" t="n">
        <x:f>ABS('Counter_PnL'!BO599-('Counter_PnL'!BL599+'Counter_PnL'!BN599))</x:f>
        <x:v>0</x:v>
      </x:c>
      <x:c r="L599" s="79" t="n">
        <x:f>MAX(ABS('Counter_PnL'!AW599-'Counter_PnL'!AV599/'Counter_PnL'!AK599),ABS('Counter_PnL'!BM599-'Counter_PnL'!BL599/'Counter_PnL'!AK599),ABS('Counter_PnL'!BP599-'Counter_PnL'!BO599/'Counter_PnL'!AK599))</x:f>
        <x:v>0</x:v>
      </x:c>
      <x:c r="M599" s="30" t="n">
        <x:f>IF(AND('Counter_PnL'!Q599&gt;0,'Counter_PnL'!AK599&gt;0,'Counter_PnL'!R599&lt;=0,'Counter_PnL'!T599&lt;=0,'Counter_PnL'!AT599&lt;=0,'Counter_PnL'!BE599&lt;=0,'Counter_PnL'!BJ599&lt;=0,'Counter_PnL'!BK599&lt;=0,'Counter_PnL'!BN599&lt;=0),0,1)</x:f>
        <x:v>0</x:v>
      </x:c>
    </x:row>
    <x:row r="600">
      <x:c r="A600" t="str">
        <x:f>'Counter_PnL'!D600</x:f>
        <x:v>CNCT0150</x:v>
      </x:c>
      <x:c r="B600" t="str">
        <x:f>'Counter_PnL'!C600</x:f>
        <x:v>2026 S1</x:v>
      </x:c>
      <x:c r="C600" s="30" t="n">
        <x:f>COUNTIFS('Counter_PnL'!$D$2:$D$641,A600,'Counter_PnL'!$C$2:$C$641,B600)</x:f>
        <x:v>1</x:v>
      </x:c>
      <x:c r="D600" s="79" t="n">
        <x:f>ABS('Counter_PnL'!AC600-SUM('Counter_PnL'!V600:'Counter_PnL'!AB600))</x:f>
        <x:v>0</x:v>
      </x:c>
      <x:c r="E600" s="79" t="n">
        <x:f>ABS('Counter_PnL'!AI600-SUM('Counter_PnL'!R600,'Counter_PnL'!T600,'Counter_PnL'!AC600,'Counter_PnL'!AE600,'Counter_PnL'!AG600,'Counter_PnL'!AH600))</x:f>
        <x:v>0</x:v>
      </x:c>
      <x:c r="F600" s="79" t="n">
        <x:f>ABS('Counter_PnL'!AK600-('Counter_PnL'!Q600+'Counter_PnL'!AI600))</x:f>
        <x:v>0</x:v>
      </x:c>
      <x:c r="G600" s="79" t="n">
        <x:f>ABS('Counter_PnL'!AT600-SUM('Counter_PnL'!AO600:'Counter_PnL'!AS600))</x:f>
        <x:v>0</x:v>
      </x:c>
      <x:c r="H600" s="79" t="n">
        <x:f>ABS('Counter_PnL'!AV600-('Counter_PnL'!AK600+'Counter_PnL'!AT600))</x:f>
        <x:v>0</x:v>
      </x:c>
      <x:c r="I600" s="79" t="n">
        <x:f>ABS('Counter_PnL'!BE600-SUM('Counter_PnL'!AX600:'Counter_PnL'!BB600,'Counter_PnL'!BD600))</x:f>
        <x:v>0</x:v>
      </x:c>
      <x:c r="J600" s="79" t="n">
        <x:f>ABS('Counter_PnL'!BL600-SUM('Counter_PnL'!AV600,'Counter_PnL'!BE600,'Counter_PnL'!BJ600,'Counter_PnL'!BK600))</x:f>
        <x:v>0</x:v>
      </x:c>
      <x:c r="K600" s="79" t="n">
        <x:f>ABS('Counter_PnL'!BO600-('Counter_PnL'!BL600+'Counter_PnL'!BN600))</x:f>
        <x:v>0</x:v>
      </x:c>
      <x:c r="L600" s="79" t="n">
        <x:f>MAX(ABS('Counter_PnL'!AW600-'Counter_PnL'!AV600/'Counter_PnL'!AK600),ABS('Counter_PnL'!BM600-'Counter_PnL'!BL600/'Counter_PnL'!AK600),ABS('Counter_PnL'!BP600-'Counter_PnL'!BO600/'Counter_PnL'!AK600))</x:f>
        <x:v>0</x:v>
      </x:c>
      <x:c r="M600" s="30" t="n">
        <x:f>IF(AND('Counter_PnL'!Q600&gt;0,'Counter_PnL'!AK600&gt;0,'Counter_PnL'!R600&lt;=0,'Counter_PnL'!T600&lt;=0,'Counter_PnL'!AT600&lt;=0,'Counter_PnL'!BE600&lt;=0,'Counter_PnL'!BJ600&lt;=0,'Counter_PnL'!BK600&lt;=0,'Counter_PnL'!BN600&lt;=0),0,1)</x:f>
        <x:v>0</x:v>
      </x:c>
    </x:row>
    <x:row r="601">
      <x:c r="A601" t="str">
        <x:f>'Counter_PnL'!D601</x:f>
        <x:v>CNCT0150</x:v>
      </x:c>
      <x:c r="B601" t="str">
        <x:f>'Counter_PnL'!C601</x:f>
        <x:v>2026 S2</x:v>
      </x:c>
      <x:c r="C601" s="30" t="n">
        <x:f>COUNTIFS('Counter_PnL'!$D$2:$D$641,A601,'Counter_PnL'!$C$2:$C$641,B601)</x:f>
        <x:v>1</x:v>
      </x:c>
      <x:c r="D601" s="79" t="n">
        <x:f>ABS('Counter_PnL'!AC601-SUM('Counter_PnL'!V601:'Counter_PnL'!AB601))</x:f>
        <x:v>0</x:v>
      </x:c>
      <x:c r="E601" s="79" t="n">
        <x:f>ABS('Counter_PnL'!AI601-SUM('Counter_PnL'!R601,'Counter_PnL'!T601,'Counter_PnL'!AC601,'Counter_PnL'!AE601,'Counter_PnL'!AG601,'Counter_PnL'!AH601))</x:f>
        <x:v>0</x:v>
      </x:c>
      <x:c r="F601" s="79" t="n">
        <x:f>ABS('Counter_PnL'!AK601-('Counter_PnL'!Q601+'Counter_PnL'!AI601))</x:f>
        <x:v>0</x:v>
      </x:c>
      <x:c r="G601" s="79" t="n">
        <x:f>ABS('Counter_PnL'!AT601-SUM('Counter_PnL'!AO601:'Counter_PnL'!AS601))</x:f>
        <x:v>0</x:v>
      </x:c>
      <x:c r="H601" s="79" t="n">
        <x:f>ABS('Counter_PnL'!AV601-('Counter_PnL'!AK601+'Counter_PnL'!AT601))</x:f>
        <x:v>0</x:v>
      </x:c>
      <x:c r="I601" s="79" t="n">
        <x:f>ABS('Counter_PnL'!BE601-SUM('Counter_PnL'!AX601:'Counter_PnL'!BB601,'Counter_PnL'!BD601))</x:f>
        <x:v>0</x:v>
      </x:c>
      <x:c r="J601" s="79" t="n">
        <x:f>ABS('Counter_PnL'!BL601-SUM('Counter_PnL'!AV601,'Counter_PnL'!BE601,'Counter_PnL'!BJ601,'Counter_PnL'!BK601))</x:f>
        <x:v>0</x:v>
      </x:c>
      <x:c r="K601" s="79" t="n">
        <x:f>ABS('Counter_PnL'!BO601-('Counter_PnL'!BL601+'Counter_PnL'!BN601))</x:f>
        <x:v>0</x:v>
      </x:c>
      <x:c r="L601" s="79" t="n">
        <x:f>MAX(ABS('Counter_PnL'!AW601-'Counter_PnL'!AV601/'Counter_PnL'!AK601),ABS('Counter_PnL'!BM601-'Counter_PnL'!BL601/'Counter_PnL'!AK601),ABS('Counter_PnL'!BP601-'Counter_PnL'!BO601/'Counter_PnL'!AK601))</x:f>
        <x:v>0</x:v>
      </x:c>
      <x:c r="M601" s="30" t="n">
        <x:f>IF(AND('Counter_PnL'!Q601&gt;0,'Counter_PnL'!AK601&gt;0,'Counter_PnL'!R601&lt;=0,'Counter_PnL'!T601&lt;=0,'Counter_PnL'!AT601&lt;=0,'Counter_PnL'!BE601&lt;=0,'Counter_PnL'!BJ601&lt;=0,'Counter_PnL'!BK601&lt;=0,'Counter_PnL'!BN601&lt;=0),0,1)</x:f>
        <x:v>0</x:v>
      </x:c>
    </x:row>
    <x:row r="602">
      <x:c r="A602" t="str">
        <x:f>'Counter_PnL'!D602</x:f>
        <x:v>CNCT0151</x:v>
      </x:c>
      <x:c r="B602" t="str">
        <x:f>'Counter_PnL'!C602</x:f>
        <x:v>2025 S1</x:v>
      </x:c>
      <x:c r="C602" s="30" t="n">
        <x:f>COUNTIFS('Counter_PnL'!$D$2:$D$641,A602,'Counter_PnL'!$C$2:$C$641,B602)</x:f>
        <x:v>1</x:v>
      </x:c>
      <x:c r="D602" s="79" t="n">
        <x:f>ABS('Counter_PnL'!AC602-SUM('Counter_PnL'!V602:'Counter_PnL'!AB602))</x:f>
        <x:v>0</x:v>
      </x:c>
      <x:c r="E602" s="79" t="n">
        <x:f>ABS('Counter_PnL'!AI602-SUM('Counter_PnL'!R602,'Counter_PnL'!T602,'Counter_PnL'!AC602,'Counter_PnL'!AE602,'Counter_PnL'!AG602,'Counter_PnL'!AH602))</x:f>
        <x:v>0</x:v>
      </x:c>
      <x:c r="F602" s="79" t="n">
        <x:f>ABS('Counter_PnL'!AK602-('Counter_PnL'!Q602+'Counter_PnL'!AI602))</x:f>
        <x:v>0</x:v>
      </x:c>
      <x:c r="G602" s="79" t="n">
        <x:f>ABS('Counter_PnL'!AT602-SUM('Counter_PnL'!AO602:'Counter_PnL'!AS602))</x:f>
        <x:v>0</x:v>
      </x:c>
      <x:c r="H602" s="79" t="n">
        <x:f>ABS('Counter_PnL'!AV602-('Counter_PnL'!AK602+'Counter_PnL'!AT602))</x:f>
        <x:v>0</x:v>
      </x:c>
      <x:c r="I602" s="79" t="n">
        <x:f>ABS('Counter_PnL'!BE602-SUM('Counter_PnL'!AX602:'Counter_PnL'!BB602,'Counter_PnL'!BD602))</x:f>
        <x:v>0</x:v>
      </x:c>
      <x:c r="J602" s="79" t="n">
        <x:f>ABS('Counter_PnL'!BL602-SUM('Counter_PnL'!AV602,'Counter_PnL'!BE602,'Counter_PnL'!BJ602,'Counter_PnL'!BK602))</x:f>
        <x:v>0</x:v>
      </x:c>
      <x:c r="K602" s="79" t="n">
        <x:f>ABS('Counter_PnL'!BO602-('Counter_PnL'!BL602+'Counter_PnL'!BN602))</x:f>
        <x:v>0</x:v>
      </x:c>
      <x:c r="L602" s="79" t="n">
        <x:f>MAX(ABS('Counter_PnL'!AW602-'Counter_PnL'!AV602/'Counter_PnL'!AK602),ABS('Counter_PnL'!BM602-'Counter_PnL'!BL602/'Counter_PnL'!AK602),ABS('Counter_PnL'!BP602-'Counter_PnL'!BO602/'Counter_PnL'!AK602))</x:f>
        <x:v>0</x:v>
      </x:c>
      <x:c r="M602" s="30" t="n">
        <x:f>IF(AND('Counter_PnL'!Q602&gt;0,'Counter_PnL'!AK602&gt;0,'Counter_PnL'!R602&lt;=0,'Counter_PnL'!T602&lt;=0,'Counter_PnL'!AT602&lt;=0,'Counter_PnL'!BE602&lt;=0,'Counter_PnL'!BJ602&lt;=0,'Counter_PnL'!BK602&lt;=0,'Counter_PnL'!BN602&lt;=0),0,1)</x:f>
        <x:v>0</x:v>
      </x:c>
    </x:row>
    <x:row r="603">
      <x:c r="A603" t="str">
        <x:f>'Counter_PnL'!D603</x:f>
        <x:v>CNCT0151</x:v>
      </x:c>
      <x:c r="B603" t="str">
        <x:f>'Counter_PnL'!C603</x:f>
        <x:v>2025 S2</x:v>
      </x:c>
      <x:c r="C603" s="30" t="n">
        <x:f>COUNTIFS('Counter_PnL'!$D$2:$D$641,A603,'Counter_PnL'!$C$2:$C$641,B603)</x:f>
        <x:v>1</x:v>
      </x:c>
      <x:c r="D603" s="79" t="n">
        <x:f>ABS('Counter_PnL'!AC603-SUM('Counter_PnL'!V603:'Counter_PnL'!AB603))</x:f>
        <x:v>0</x:v>
      </x:c>
      <x:c r="E603" s="79" t="n">
        <x:f>ABS('Counter_PnL'!AI603-SUM('Counter_PnL'!R603,'Counter_PnL'!T603,'Counter_PnL'!AC603,'Counter_PnL'!AE603,'Counter_PnL'!AG603,'Counter_PnL'!AH603))</x:f>
        <x:v>0</x:v>
      </x:c>
      <x:c r="F603" s="79" t="n">
        <x:f>ABS('Counter_PnL'!AK603-('Counter_PnL'!Q603+'Counter_PnL'!AI603))</x:f>
        <x:v>0</x:v>
      </x:c>
      <x:c r="G603" s="79" t="n">
        <x:f>ABS('Counter_PnL'!AT603-SUM('Counter_PnL'!AO603:'Counter_PnL'!AS603))</x:f>
        <x:v>0</x:v>
      </x:c>
      <x:c r="H603" s="79" t="n">
        <x:f>ABS('Counter_PnL'!AV603-('Counter_PnL'!AK603+'Counter_PnL'!AT603))</x:f>
        <x:v>0</x:v>
      </x:c>
      <x:c r="I603" s="79" t="n">
        <x:f>ABS('Counter_PnL'!BE603-SUM('Counter_PnL'!AX603:'Counter_PnL'!BB603,'Counter_PnL'!BD603))</x:f>
        <x:v>0</x:v>
      </x:c>
      <x:c r="J603" s="79" t="n">
        <x:f>ABS('Counter_PnL'!BL603-SUM('Counter_PnL'!AV603,'Counter_PnL'!BE603,'Counter_PnL'!BJ603,'Counter_PnL'!BK603))</x:f>
        <x:v>0</x:v>
      </x:c>
      <x:c r="K603" s="79" t="n">
        <x:f>ABS('Counter_PnL'!BO603-('Counter_PnL'!BL603+'Counter_PnL'!BN603))</x:f>
        <x:v>0</x:v>
      </x:c>
      <x:c r="L603" s="79" t="n">
        <x:f>MAX(ABS('Counter_PnL'!AW603-'Counter_PnL'!AV603/'Counter_PnL'!AK603),ABS('Counter_PnL'!BM603-'Counter_PnL'!BL603/'Counter_PnL'!AK603),ABS('Counter_PnL'!BP603-'Counter_PnL'!BO603/'Counter_PnL'!AK603))</x:f>
        <x:v>0</x:v>
      </x:c>
      <x:c r="M603" s="30" t="n">
        <x:f>IF(AND('Counter_PnL'!Q603&gt;0,'Counter_PnL'!AK603&gt;0,'Counter_PnL'!R603&lt;=0,'Counter_PnL'!T603&lt;=0,'Counter_PnL'!AT603&lt;=0,'Counter_PnL'!BE603&lt;=0,'Counter_PnL'!BJ603&lt;=0,'Counter_PnL'!BK603&lt;=0,'Counter_PnL'!BN603&lt;=0),0,1)</x:f>
        <x:v>0</x:v>
      </x:c>
    </x:row>
    <x:row r="604">
      <x:c r="A604" t="str">
        <x:f>'Counter_PnL'!D604</x:f>
        <x:v>CNCT0151</x:v>
      </x:c>
      <x:c r="B604" t="str">
        <x:f>'Counter_PnL'!C604</x:f>
        <x:v>2026 S1</x:v>
      </x:c>
      <x:c r="C604" s="30" t="n">
        <x:f>COUNTIFS('Counter_PnL'!$D$2:$D$641,A604,'Counter_PnL'!$C$2:$C$641,B604)</x:f>
        <x:v>1</x:v>
      </x:c>
      <x:c r="D604" s="79" t="n">
        <x:f>ABS('Counter_PnL'!AC604-SUM('Counter_PnL'!V604:'Counter_PnL'!AB604))</x:f>
        <x:v>0</x:v>
      </x:c>
      <x:c r="E604" s="79" t="n">
        <x:f>ABS('Counter_PnL'!AI604-SUM('Counter_PnL'!R604,'Counter_PnL'!T604,'Counter_PnL'!AC604,'Counter_PnL'!AE604,'Counter_PnL'!AG604,'Counter_PnL'!AH604))</x:f>
        <x:v>0</x:v>
      </x:c>
      <x:c r="F604" s="79" t="n">
        <x:f>ABS('Counter_PnL'!AK604-('Counter_PnL'!Q604+'Counter_PnL'!AI604))</x:f>
        <x:v>0</x:v>
      </x:c>
      <x:c r="G604" s="79" t="n">
        <x:f>ABS('Counter_PnL'!AT604-SUM('Counter_PnL'!AO604:'Counter_PnL'!AS604))</x:f>
        <x:v>0</x:v>
      </x:c>
      <x:c r="H604" s="79" t="n">
        <x:f>ABS('Counter_PnL'!AV604-('Counter_PnL'!AK604+'Counter_PnL'!AT604))</x:f>
        <x:v>0</x:v>
      </x:c>
      <x:c r="I604" s="79" t="n">
        <x:f>ABS('Counter_PnL'!BE604-SUM('Counter_PnL'!AX604:'Counter_PnL'!BB604,'Counter_PnL'!BD604))</x:f>
        <x:v>0</x:v>
      </x:c>
      <x:c r="J604" s="79" t="n">
        <x:f>ABS('Counter_PnL'!BL604-SUM('Counter_PnL'!AV604,'Counter_PnL'!BE604,'Counter_PnL'!BJ604,'Counter_PnL'!BK604))</x:f>
        <x:v>0</x:v>
      </x:c>
      <x:c r="K604" s="79" t="n">
        <x:f>ABS('Counter_PnL'!BO604-('Counter_PnL'!BL604+'Counter_PnL'!BN604))</x:f>
        <x:v>0</x:v>
      </x:c>
      <x:c r="L604" s="79" t="n">
        <x:f>MAX(ABS('Counter_PnL'!AW604-'Counter_PnL'!AV604/'Counter_PnL'!AK604),ABS('Counter_PnL'!BM604-'Counter_PnL'!BL604/'Counter_PnL'!AK604),ABS('Counter_PnL'!BP604-'Counter_PnL'!BO604/'Counter_PnL'!AK604))</x:f>
        <x:v>0</x:v>
      </x:c>
      <x:c r="M604" s="30" t="n">
        <x:f>IF(AND('Counter_PnL'!Q604&gt;0,'Counter_PnL'!AK604&gt;0,'Counter_PnL'!R604&lt;=0,'Counter_PnL'!T604&lt;=0,'Counter_PnL'!AT604&lt;=0,'Counter_PnL'!BE604&lt;=0,'Counter_PnL'!BJ604&lt;=0,'Counter_PnL'!BK604&lt;=0,'Counter_PnL'!BN604&lt;=0),0,1)</x:f>
        <x:v>0</x:v>
      </x:c>
    </x:row>
    <x:row r="605">
      <x:c r="A605" t="str">
        <x:f>'Counter_PnL'!D605</x:f>
        <x:v>CNCT0151</x:v>
      </x:c>
      <x:c r="B605" t="str">
        <x:f>'Counter_PnL'!C605</x:f>
        <x:v>2026 S2</x:v>
      </x:c>
      <x:c r="C605" s="30" t="n">
        <x:f>COUNTIFS('Counter_PnL'!$D$2:$D$641,A605,'Counter_PnL'!$C$2:$C$641,B605)</x:f>
        <x:v>1</x:v>
      </x:c>
      <x:c r="D605" s="79" t="n">
        <x:f>ABS('Counter_PnL'!AC605-SUM('Counter_PnL'!V605:'Counter_PnL'!AB605))</x:f>
        <x:v>0</x:v>
      </x:c>
      <x:c r="E605" s="79" t="n">
        <x:f>ABS('Counter_PnL'!AI605-SUM('Counter_PnL'!R605,'Counter_PnL'!T605,'Counter_PnL'!AC605,'Counter_PnL'!AE605,'Counter_PnL'!AG605,'Counter_PnL'!AH605))</x:f>
        <x:v>0</x:v>
      </x:c>
      <x:c r="F605" s="79" t="n">
        <x:f>ABS('Counter_PnL'!AK605-('Counter_PnL'!Q605+'Counter_PnL'!AI605))</x:f>
        <x:v>0</x:v>
      </x:c>
      <x:c r="G605" s="79" t="n">
        <x:f>ABS('Counter_PnL'!AT605-SUM('Counter_PnL'!AO605:'Counter_PnL'!AS605))</x:f>
        <x:v>0</x:v>
      </x:c>
      <x:c r="H605" s="79" t="n">
        <x:f>ABS('Counter_PnL'!AV605-('Counter_PnL'!AK605+'Counter_PnL'!AT605))</x:f>
        <x:v>0</x:v>
      </x:c>
      <x:c r="I605" s="79" t="n">
        <x:f>ABS('Counter_PnL'!BE605-SUM('Counter_PnL'!AX605:'Counter_PnL'!BB605,'Counter_PnL'!BD605))</x:f>
        <x:v>0</x:v>
      </x:c>
      <x:c r="J605" s="79" t="n">
        <x:f>ABS('Counter_PnL'!BL605-SUM('Counter_PnL'!AV605,'Counter_PnL'!BE605,'Counter_PnL'!BJ605,'Counter_PnL'!BK605))</x:f>
        <x:v>0</x:v>
      </x:c>
      <x:c r="K605" s="79" t="n">
        <x:f>ABS('Counter_PnL'!BO605-('Counter_PnL'!BL605+'Counter_PnL'!BN605))</x:f>
        <x:v>0</x:v>
      </x:c>
      <x:c r="L605" s="79" t="n">
        <x:f>MAX(ABS('Counter_PnL'!AW605-'Counter_PnL'!AV605/'Counter_PnL'!AK605),ABS('Counter_PnL'!BM605-'Counter_PnL'!BL605/'Counter_PnL'!AK605),ABS('Counter_PnL'!BP605-'Counter_PnL'!BO605/'Counter_PnL'!AK605))</x:f>
        <x:v>0</x:v>
      </x:c>
      <x:c r="M605" s="30" t="n">
        <x:f>IF(AND('Counter_PnL'!Q605&gt;0,'Counter_PnL'!AK605&gt;0,'Counter_PnL'!R605&lt;=0,'Counter_PnL'!T605&lt;=0,'Counter_PnL'!AT605&lt;=0,'Counter_PnL'!BE605&lt;=0,'Counter_PnL'!BJ605&lt;=0,'Counter_PnL'!BK605&lt;=0,'Counter_PnL'!BN605&lt;=0),0,1)</x:f>
        <x:v>0</x:v>
      </x:c>
    </x:row>
    <x:row r="606">
      <x:c r="A606" t="str">
        <x:f>'Counter_PnL'!D606</x:f>
        <x:v>CNCT0152</x:v>
      </x:c>
      <x:c r="B606" t="str">
        <x:f>'Counter_PnL'!C606</x:f>
        <x:v>2025 S1</x:v>
      </x:c>
      <x:c r="C606" s="30" t="n">
        <x:f>COUNTIFS('Counter_PnL'!$D$2:$D$641,A606,'Counter_PnL'!$C$2:$C$641,B606)</x:f>
        <x:v>1</x:v>
      </x:c>
      <x:c r="D606" s="79" t="n">
        <x:f>ABS('Counter_PnL'!AC606-SUM('Counter_PnL'!V606:'Counter_PnL'!AB606))</x:f>
        <x:v>0</x:v>
      </x:c>
      <x:c r="E606" s="79" t="n">
        <x:f>ABS('Counter_PnL'!AI606-SUM('Counter_PnL'!R606,'Counter_PnL'!T606,'Counter_PnL'!AC606,'Counter_PnL'!AE606,'Counter_PnL'!AG606,'Counter_PnL'!AH606))</x:f>
        <x:v>0</x:v>
      </x:c>
      <x:c r="F606" s="79" t="n">
        <x:f>ABS('Counter_PnL'!AK606-('Counter_PnL'!Q606+'Counter_PnL'!AI606))</x:f>
        <x:v>0</x:v>
      </x:c>
      <x:c r="G606" s="79" t="n">
        <x:f>ABS('Counter_PnL'!AT606-SUM('Counter_PnL'!AO606:'Counter_PnL'!AS606))</x:f>
        <x:v>0</x:v>
      </x:c>
      <x:c r="H606" s="79" t="n">
        <x:f>ABS('Counter_PnL'!AV606-('Counter_PnL'!AK606+'Counter_PnL'!AT606))</x:f>
        <x:v>0</x:v>
      </x:c>
      <x:c r="I606" s="79" t="n">
        <x:f>ABS('Counter_PnL'!BE606-SUM('Counter_PnL'!AX606:'Counter_PnL'!BB606,'Counter_PnL'!BD606))</x:f>
        <x:v>0</x:v>
      </x:c>
      <x:c r="J606" s="79" t="n">
        <x:f>ABS('Counter_PnL'!BL606-SUM('Counter_PnL'!AV606,'Counter_PnL'!BE606,'Counter_PnL'!BJ606,'Counter_PnL'!BK606))</x:f>
        <x:v>0</x:v>
      </x:c>
      <x:c r="K606" s="79" t="n">
        <x:f>ABS('Counter_PnL'!BO606-('Counter_PnL'!BL606+'Counter_PnL'!BN606))</x:f>
        <x:v>0</x:v>
      </x:c>
      <x:c r="L606" s="79" t="n">
        <x:f>MAX(ABS('Counter_PnL'!AW606-'Counter_PnL'!AV606/'Counter_PnL'!AK606),ABS('Counter_PnL'!BM606-'Counter_PnL'!BL606/'Counter_PnL'!AK606),ABS('Counter_PnL'!BP606-'Counter_PnL'!BO606/'Counter_PnL'!AK606))</x:f>
        <x:v>0</x:v>
      </x:c>
      <x:c r="M606" s="30" t="n">
        <x:f>IF(AND('Counter_PnL'!Q606&gt;0,'Counter_PnL'!AK606&gt;0,'Counter_PnL'!R606&lt;=0,'Counter_PnL'!T606&lt;=0,'Counter_PnL'!AT606&lt;=0,'Counter_PnL'!BE606&lt;=0,'Counter_PnL'!BJ606&lt;=0,'Counter_PnL'!BK606&lt;=0,'Counter_PnL'!BN606&lt;=0),0,1)</x:f>
        <x:v>0</x:v>
      </x:c>
    </x:row>
    <x:row r="607">
      <x:c r="A607" t="str">
        <x:f>'Counter_PnL'!D607</x:f>
        <x:v>CNCT0152</x:v>
      </x:c>
      <x:c r="B607" t="str">
        <x:f>'Counter_PnL'!C607</x:f>
        <x:v>2025 S2</x:v>
      </x:c>
      <x:c r="C607" s="30" t="n">
        <x:f>COUNTIFS('Counter_PnL'!$D$2:$D$641,A607,'Counter_PnL'!$C$2:$C$641,B607)</x:f>
        <x:v>1</x:v>
      </x:c>
      <x:c r="D607" s="79" t="n">
        <x:f>ABS('Counter_PnL'!AC607-SUM('Counter_PnL'!V607:'Counter_PnL'!AB607))</x:f>
        <x:v>0</x:v>
      </x:c>
      <x:c r="E607" s="79" t="n">
        <x:f>ABS('Counter_PnL'!AI607-SUM('Counter_PnL'!R607,'Counter_PnL'!T607,'Counter_PnL'!AC607,'Counter_PnL'!AE607,'Counter_PnL'!AG607,'Counter_PnL'!AH607))</x:f>
        <x:v>0</x:v>
      </x:c>
      <x:c r="F607" s="79" t="n">
        <x:f>ABS('Counter_PnL'!AK607-('Counter_PnL'!Q607+'Counter_PnL'!AI607))</x:f>
        <x:v>0</x:v>
      </x:c>
      <x:c r="G607" s="79" t="n">
        <x:f>ABS('Counter_PnL'!AT607-SUM('Counter_PnL'!AO607:'Counter_PnL'!AS607))</x:f>
        <x:v>0</x:v>
      </x:c>
      <x:c r="H607" s="79" t="n">
        <x:f>ABS('Counter_PnL'!AV607-('Counter_PnL'!AK607+'Counter_PnL'!AT607))</x:f>
        <x:v>0</x:v>
      </x:c>
      <x:c r="I607" s="79" t="n">
        <x:f>ABS('Counter_PnL'!BE607-SUM('Counter_PnL'!AX607:'Counter_PnL'!BB607,'Counter_PnL'!BD607))</x:f>
        <x:v>0</x:v>
      </x:c>
      <x:c r="J607" s="79" t="n">
        <x:f>ABS('Counter_PnL'!BL607-SUM('Counter_PnL'!AV607,'Counter_PnL'!BE607,'Counter_PnL'!BJ607,'Counter_PnL'!BK607))</x:f>
        <x:v>0</x:v>
      </x:c>
      <x:c r="K607" s="79" t="n">
        <x:f>ABS('Counter_PnL'!BO607-('Counter_PnL'!BL607+'Counter_PnL'!BN607))</x:f>
        <x:v>0</x:v>
      </x:c>
      <x:c r="L607" s="79" t="n">
        <x:f>MAX(ABS('Counter_PnL'!AW607-'Counter_PnL'!AV607/'Counter_PnL'!AK607),ABS('Counter_PnL'!BM607-'Counter_PnL'!BL607/'Counter_PnL'!AK607),ABS('Counter_PnL'!BP607-'Counter_PnL'!BO607/'Counter_PnL'!AK607))</x:f>
        <x:v>0</x:v>
      </x:c>
      <x:c r="M607" s="30" t="n">
        <x:f>IF(AND('Counter_PnL'!Q607&gt;0,'Counter_PnL'!AK607&gt;0,'Counter_PnL'!R607&lt;=0,'Counter_PnL'!T607&lt;=0,'Counter_PnL'!AT607&lt;=0,'Counter_PnL'!BE607&lt;=0,'Counter_PnL'!BJ607&lt;=0,'Counter_PnL'!BK607&lt;=0,'Counter_PnL'!BN607&lt;=0),0,1)</x:f>
        <x:v>0</x:v>
      </x:c>
    </x:row>
    <x:row r="608">
      <x:c r="A608" t="str">
        <x:f>'Counter_PnL'!D608</x:f>
        <x:v>CNCT0152</x:v>
      </x:c>
      <x:c r="B608" t="str">
        <x:f>'Counter_PnL'!C608</x:f>
        <x:v>2026 S1</x:v>
      </x:c>
      <x:c r="C608" s="30" t="n">
        <x:f>COUNTIFS('Counter_PnL'!$D$2:$D$641,A608,'Counter_PnL'!$C$2:$C$641,B608)</x:f>
        <x:v>1</x:v>
      </x:c>
      <x:c r="D608" s="79" t="n">
        <x:f>ABS('Counter_PnL'!AC608-SUM('Counter_PnL'!V608:'Counter_PnL'!AB608))</x:f>
        <x:v>0</x:v>
      </x:c>
      <x:c r="E608" s="79" t="n">
        <x:f>ABS('Counter_PnL'!AI608-SUM('Counter_PnL'!R608,'Counter_PnL'!T608,'Counter_PnL'!AC608,'Counter_PnL'!AE608,'Counter_PnL'!AG608,'Counter_PnL'!AH608))</x:f>
        <x:v>0</x:v>
      </x:c>
      <x:c r="F608" s="79" t="n">
        <x:f>ABS('Counter_PnL'!AK608-('Counter_PnL'!Q608+'Counter_PnL'!AI608))</x:f>
        <x:v>0</x:v>
      </x:c>
      <x:c r="G608" s="79" t="n">
        <x:f>ABS('Counter_PnL'!AT608-SUM('Counter_PnL'!AO608:'Counter_PnL'!AS608))</x:f>
        <x:v>0</x:v>
      </x:c>
      <x:c r="H608" s="79" t="n">
        <x:f>ABS('Counter_PnL'!AV608-('Counter_PnL'!AK608+'Counter_PnL'!AT608))</x:f>
        <x:v>0</x:v>
      </x:c>
      <x:c r="I608" s="79" t="n">
        <x:f>ABS('Counter_PnL'!BE608-SUM('Counter_PnL'!AX608:'Counter_PnL'!BB608,'Counter_PnL'!BD608))</x:f>
        <x:v>0</x:v>
      </x:c>
      <x:c r="J608" s="79" t="n">
        <x:f>ABS('Counter_PnL'!BL608-SUM('Counter_PnL'!AV608,'Counter_PnL'!BE608,'Counter_PnL'!BJ608,'Counter_PnL'!BK608))</x:f>
        <x:v>0</x:v>
      </x:c>
      <x:c r="K608" s="79" t="n">
        <x:f>ABS('Counter_PnL'!BO608-('Counter_PnL'!BL608+'Counter_PnL'!BN608))</x:f>
        <x:v>0</x:v>
      </x:c>
      <x:c r="L608" s="79" t="n">
        <x:f>MAX(ABS('Counter_PnL'!AW608-'Counter_PnL'!AV608/'Counter_PnL'!AK608),ABS('Counter_PnL'!BM608-'Counter_PnL'!BL608/'Counter_PnL'!AK608),ABS('Counter_PnL'!BP608-'Counter_PnL'!BO608/'Counter_PnL'!AK608))</x:f>
        <x:v>0</x:v>
      </x:c>
      <x:c r="M608" s="30" t="n">
        <x:f>IF(AND('Counter_PnL'!Q608&gt;0,'Counter_PnL'!AK608&gt;0,'Counter_PnL'!R608&lt;=0,'Counter_PnL'!T608&lt;=0,'Counter_PnL'!AT608&lt;=0,'Counter_PnL'!BE608&lt;=0,'Counter_PnL'!BJ608&lt;=0,'Counter_PnL'!BK608&lt;=0,'Counter_PnL'!BN608&lt;=0),0,1)</x:f>
        <x:v>0</x:v>
      </x:c>
    </x:row>
    <x:row r="609">
      <x:c r="A609" t="str">
        <x:f>'Counter_PnL'!D609</x:f>
        <x:v>CNCT0152</x:v>
      </x:c>
      <x:c r="B609" t="str">
        <x:f>'Counter_PnL'!C609</x:f>
        <x:v>2026 S2</x:v>
      </x:c>
      <x:c r="C609" s="30" t="n">
        <x:f>COUNTIFS('Counter_PnL'!$D$2:$D$641,A609,'Counter_PnL'!$C$2:$C$641,B609)</x:f>
        <x:v>1</x:v>
      </x:c>
      <x:c r="D609" s="79" t="n">
        <x:f>ABS('Counter_PnL'!AC609-SUM('Counter_PnL'!V609:'Counter_PnL'!AB609))</x:f>
        <x:v>0</x:v>
      </x:c>
      <x:c r="E609" s="79" t="n">
        <x:f>ABS('Counter_PnL'!AI609-SUM('Counter_PnL'!R609,'Counter_PnL'!T609,'Counter_PnL'!AC609,'Counter_PnL'!AE609,'Counter_PnL'!AG609,'Counter_PnL'!AH609))</x:f>
        <x:v>0</x:v>
      </x:c>
      <x:c r="F609" s="79" t="n">
        <x:f>ABS('Counter_PnL'!AK609-('Counter_PnL'!Q609+'Counter_PnL'!AI609))</x:f>
        <x:v>0</x:v>
      </x:c>
      <x:c r="G609" s="79" t="n">
        <x:f>ABS('Counter_PnL'!AT609-SUM('Counter_PnL'!AO609:'Counter_PnL'!AS609))</x:f>
        <x:v>0</x:v>
      </x:c>
      <x:c r="H609" s="79" t="n">
        <x:f>ABS('Counter_PnL'!AV609-('Counter_PnL'!AK609+'Counter_PnL'!AT609))</x:f>
        <x:v>0</x:v>
      </x:c>
      <x:c r="I609" s="79" t="n">
        <x:f>ABS('Counter_PnL'!BE609-SUM('Counter_PnL'!AX609:'Counter_PnL'!BB609,'Counter_PnL'!BD609))</x:f>
        <x:v>0</x:v>
      </x:c>
      <x:c r="J609" s="79" t="n">
        <x:f>ABS('Counter_PnL'!BL609-SUM('Counter_PnL'!AV609,'Counter_PnL'!BE609,'Counter_PnL'!BJ609,'Counter_PnL'!BK609))</x:f>
        <x:v>0</x:v>
      </x:c>
      <x:c r="K609" s="79" t="n">
        <x:f>ABS('Counter_PnL'!BO609-('Counter_PnL'!BL609+'Counter_PnL'!BN609))</x:f>
        <x:v>0</x:v>
      </x:c>
      <x:c r="L609" s="79" t="n">
        <x:f>MAX(ABS('Counter_PnL'!AW609-'Counter_PnL'!AV609/'Counter_PnL'!AK609),ABS('Counter_PnL'!BM609-'Counter_PnL'!BL609/'Counter_PnL'!AK609),ABS('Counter_PnL'!BP609-'Counter_PnL'!BO609/'Counter_PnL'!AK609))</x:f>
        <x:v>0</x:v>
      </x:c>
      <x:c r="M609" s="30" t="n">
        <x:f>IF(AND('Counter_PnL'!Q609&gt;0,'Counter_PnL'!AK609&gt;0,'Counter_PnL'!R609&lt;=0,'Counter_PnL'!T609&lt;=0,'Counter_PnL'!AT609&lt;=0,'Counter_PnL'!BE609&lt;=0,'Counter_PnL'!BJ609&lt;=0,'Counter_PnL'!BK609&lt;=0,'Counter_PnL'!BN609&lt;=0),0,1)</x:f>
        <x:v>0</x:v>
      </x:c>
    </x:row>
    <x:row r="610">
      <x:c r="A610" t="str">
        <x:f>'Counter_PnL'!D610</x:f>
        <x:v>CNCT0153</x:v>
      </x:c>
      <x:c r="B610" t="str">
        <x:f>'Counter_PnL'!C610</x:f>
        <x:v>2025 S1</x:v>
      </x:c>
      <x:c r="C610" s="30" t="n">
        <x:f>COUNTIFS('Counter_PnL'!$D$2:$D$641,A610,'Counter_PnL'!$C$2:$C$641,B610)</x:f>
        <x:v>1</x:v>
      </x:c>
      <x:c r="D610" s="79" t="n">
        <x:f>ABS('Counter_PnL'!AC610-SUM('Counter_PnL'!V610:'Counter_PnL'!AB610))</x:f>
        <x:v>0</x:v>
      </x:c>
      <x:c r="E610" s="79" t="n">
        <x:f>ABS('Counter_PnL'!AI610-SUM('Counter_PnL'!R610,'Counter_PnL'!T610,'Counter_PnL'!AC610,'Counter_PnL'!AE610,'Counter_PnL'!AG610,'Counter_PnL'!AH610))</x:f>
        <x:v>0</x:v>
      </x:c>
      <x:c r="F610" s="79" t="n">
        <x:f>ABS('Counter_PnL'!AK610-('Counter_PnL'!Q610+'Counter_PnL'!AI610))</x:f>
        <x:v>0</x:v>
      </x:c>
      <x:c r="G610" s="79" t="n">
        <x:f>ABS('Counter_PnL'!AT610-SUM('Counter_PnL'!AO610:'Counter_PnL'!AS610))</x:f>
        <x:v>0</x:v>
      </x:c>
      <x:c r="H610" s="79" t="n">
        <x:f>ABS('Counter_PnL'!AV610-('Counter_PnL'!AK610+'Counter_PnL'!AT610))</x:f>
        <x:v>0</x:v>
      </x:c>
      <x:c r="I610" s="79" t="n">
        <x:f>ABS('Counter_PnL'!BE610-SUM('Counter_PnL'!AX610:'Counter_PnL'!BB610,'Counter_PnL'!BD610))</x:f>
        <x:v>0</x:v>
      </x:c>
      <x:c r="J610" s="79" t="n">
        <x:f>ABS('Counter_PnL'!BL610-SUM('Counter_PnL'!AV610,'Counter_PnL'!BE610,'Counter_PnL'!BJ610,'Counter_PnL'!BK610))</x:f>
        <x:v>0</x:v>
      </x:c>
      <x:c r="K610" s="79" t="n">
        <x:f>ABS('Counter_PnL'!BO610-('Counter_PnL'!BL610+'Counter_PnL'!BN610))</x:f>
        <x:v>0</x:v>
      </x:c>
      <x:c r="L610" s="79" t="n">
        <x:f>MAX(ABS('Counter_PnL'!AW610-'Counter_PnL'!AV610/'Counter_PnL'!AK610),ABS('Counter_PnL'!BM610-'Counter_PnL'!BL610/'Counter_PnL'!AK610),ABS('Counter_PnL'!BP610-'Counter_PnL'!BO610/'Counter_PnL'!AK610))</x:f>
        <x:v>0</x:v>
      </x:c>
      <x:c r="M610" s="30" t="n">
        <x:f>IF(AND('Counter_PnL'!Q610&gt;0,'Counter_PnL'!AK610&gt;0,'Counter_PnL'!R610&lt;=0,'Counter_PnL'!T610&lt;=0,'Counter_PnL'!AT610&lt;=0,'Counter_PnL'!BE610&lt;=0,'Counter_PnL'!BJ610&lt;=0,'Counter_PnL'!BK610&lt;=0,'Counter_PnL'!BN610&lt;=0),0,1)</x:f>
        <x:v>0</x:v>
      </x:c>
    </x:row>
    <x:row r="611">
      <x:c r="A611" t="str">
        <x:f>'Counter_PnL'!D611</x:f>
        <x:v>CNCT0153</x:v>
      </x:c>
      <x:c r="B611" t="str">
        <x:f>'Counter_PnL'!C611</x:f>
        <x:v>2025 S2</x:v>
      </x:c>
      <x:c r="C611" s="30" t="n">
        <x:f>COUNTIFS('Counter_PnL'!$D$2:$D$641,A611,'Counter_PnL'!$C$2:$C$641,B611)</x:f>
        <x:v>1</x:v>
      </x:c>
      <x:c r="D611" s="79" t="n">
        <x:f>ABS('Counter_PnL'!AC611-SUM('Counter_PnL'!V611:'Counter_PnL'!AB611))</x:f>
        <x:v>0</x:v>
      </x:c>
      <x:c r="E611" s="79" t="n">
        <x:f>ABS('Counter_PnL'!AI611-SUM('Counter_PnL'!R611,'Counter_PnL'!T611,'Counter_PnL'!AC611,'Counter_PnL'!AE611,'Counter_PnL'!AG611,'Counter_PnL'!AH611))</x:f>
        <x:v>0</x:v>
      </x:c>
      <x:c r="F611" s="79" t="n">
        <x:f>ABS('Counter_PnL'!AK611-('Counter_PnL'!Q611+'Counter_PnL'!AI611))</x:f>
        <x:v>0</x:v>
      </x:c>
      <x:c r="G611" s="79" t="n">
        <x:f>ABS('Counter_PnL'!AT611-SUM('Counter_PnL'!AO611:'Counter_PnL'!AS611))</x:f>
        <x:v>0</x:v>
      </x:c>
      <x:c r="H611" s="79" t="n">
        <x:f>ABS('Counter_PnL'!AV611-('Counter_PnL'!AK611+'Counter_PnL'!AT611))</x:f>
        <x:v>0</x:v>
      </x:c>
      <x:c r="I611" s="79" t="n">
        <x:f>ABS('Counter_PnL'!BE611-SUM('Counter_PnL'!AX611:'Counter_PnL'!BB611,'Counter_PnL'!BD611))</x:f>
        <x:v>0</x:v>
      </x:c>
      <x:c r="J611" s="79" t="n">
        <x:f>ABS('Counter_PnL'!BL611-SUM('Counter_PnL'!AV611,'Counter_PnL'!BE611,'Counter_PnL'!BJ611,'Counter_PnL'!BK611))</x:f>
        <x:v>0</x:v>
      </x:c>
      <x:c r="K611" s="79" t="n">
        <x:f>ABS('Counter_PnL'!BO611-('Counter_PnL'!BL611+'Counter_PnL'!BN611))</x:f>
        <x:v>0</x:v>
      </x:c>
      <x:c r="L611" s="79" t="n">
        <x:f>MAX(ABS('Counter_PnL'!AW611-'Counter_PnL'!AV611/'Counter_PnL'!AK611),ABS('Counter_PnL'!BM611-'Counter_PnL'!BL611/'Counter_PnL'!AK611),ABS('Counter_PnL'!BP611-'Counter_PnL'!BO611/'Counter_PnL'!AK611))</x:f>
        <x:v>0</x:v>
      </x:c>
      <x:c r="M611" s="30" t="n">
        <x:f>IF(AND('Counter_PnL'!Q611&gt;0,'Counter_PnL'!AK611&gt;0,'Counter_PnL'!R611&lt;=0,'Counter_PnL'!T611&lt;=0,'Counter_PnL'!AT611&lt;=0,'Counter_PnL'!BE611&lt;=0,'Counter_PnL'!BJ611&lt;=0,'Counter_PnL'!BK611&lt;=0,'Counter_PnL'!BN611&lt;=0),0,1)</x:f>
        <x:v>0</x:v>
      </x:c>
    </x:row>
    <x:row r="612">
      <x:c r="A612" t="str">
        <x:f>'Counter_PnL'!D612</x:f>
        <x:v>CNCT0153</x:v>
      </x:c>
      <x:c r="B612" t="str">
        <x:f>'Counter_PnL'!C612</x:f>
        <x:v>2026 S1</x:v>
      </x:c>
      <x:c r="C612" s="30" t="n">
        <x:f>COUNTIFS('Counter_PnL'!$D$2:$D$641,A612,'Counter_PnL'!$C$2:$C$641,B612)</x:f>
        <x:v>1</x:v>
      </x:c>
      <x:c r="D612" s="79" t="n">
        <x:f>ABS('Counter_PnL'!AC612-SUM('Counter_PnL'!V612:'Counter_PnL'!AB612))</x:f>
        <x:v>0</x:v>
      </x:c>
      <x:c r="E612" s="79" t="n">
        <x:f>ABS('Counter_PnL'!AI612-SUM('Counter_PnL'!R612,'Counter_PnL'!T612,'Counter_PnL'!AC612,'Counter_PnL'!AE612,'Counter_PnL'!AG612,'Counter_PnL'!AH612))</x:f>
        <x:v>0</x:v>
      </x:c>
      <x:c r="F612" s="79" t="n">
        <x:f>ABS('Counter_PnL'!AK612-('Counter_PnL'!Q612+'Counter_PnL'!AI612))</x:f>
        <x:v>0</x:v>
      </x:c>
      <x:c r="G612" s="79" t="n">
        <x:f>ABS('Counter_PnL'!AT612-SUM('Counter_PnL'!AO612:'Counter_PnL'!AS612))</x:f>
        <x:v>0</x:v>
      </x:c>
      <x:c r="H612" s="79" t="n">
        <x:f>ABS('Counter_PnL'!AV612-('Counter_PnL'!AK612+'Counter_PnL'!AT612))</x:f>
        <x:v>0</x:v>
      </x:c>
      <x:c r="I612" s="79" t="n">
        <x:f>ABS('Counter_PnL'!BE612-SUM('Counter_PnL'!AX612:'Counter_PnL'!BB612,'Counter_PnL'!BD612))</x:f>
        <x:v>0</x:v>
      </x:c>
      <x:c r="J612" s="79" t="n">
        <x:f>ABS('Counter_PnL'!BL612-SUM('Counter_PnL'!AV612,'Counter_PnL'!BE612,'Counter_PnL'!BJ612,'Counter_PnL'!BK612))</x:f>
        <x:v>0</x:v>
      </x:c>
      <x:c r="K612" s="79" t="n">
        <x:f>ABS('Counter_PnL'!BO612-('Counter_PnL'!BL612+'Counter_PnL'!BN612))</x:f>
        <x:v>0</x:v>
      </x:c>
      <x:c r="L612" s="79" t="n">
        <x:f>MAX(ABS('Counter_PnL'!AW612-'Counter_PnL'!AV612/'Counter_PnL'!AK612),ABS('Counter_PnL'!BM612-'Counter_PnL'!BL612/'Counter_PnL'!AK612),ABS('Counter_PnL'!BP612-'Counter_PnL'!BO612/'Counter_PnL'!AK612))</x:f>
        <x:v>0</x:v>
      </x:c>
      <x:c r="M612" s="30" t="n">
        <x:f>IF(AND('Counter_PnL'!Q612&gt;0,'Counter_PnL'!AK612&gt;0,'Counter_PnL'!R612&lt;=0,'Counter_PnL'!T612&lt;=0,'Counter_PnL'!AT612&lt;=0,'Counter_PnL'!BE612&lt;=0,'Counter_PnL'!BJ612&lt;=0,'Counter_PnL'!BK612&lt;=0,'Counter_PnL'!BN612&lt;=0),0,1)</x:f>
        <x:v>0</x:v>
      </x:c>
    </x:row>
    <x:row r="613">
      <x:c r="A613" t="str">
        <x:f>'Counter_PnL'!D613</x:f>
        <x:v>CNCT0153</x:v>
      </x:c>
      <x:c r="B613" t="str">
        <x:f>'Counter_PnL'!C613</x:f>
        <x:v>2026 S2</x:v>
      </x:c>
      <x:c r="C613" s="30" t="n">
        <x:f>COUNTIFS('Counter_PnL'!$D$2:$D$641,A613,'Counter_PnL'!$C$2:$C$641,B613)</x:f>
        <x:v>1</x:v>
      </x:c>
      <x:c r="D613" s="79" t="n">
        <x:f>ABS('Counter_PnL'!AC613-SUM('Counter_PnL'!V613:'Counter_PnL'!AB613))</x:f>
        <x:v>0</x:v>
      </x:c>
      <x:c r="E613" s="79" t="n">
        <x:f>ABS('Counter_PnL'!AI613-SUM('Counter_PnL'!R613,'Counter_PnL'!T613,'Counter_PnL'!AC613,'Counter_PnL'!AE613,'Counter_PnL'!AG613,'Counter_PnL'!AH613))</x:f>
        <x:v>0</x:v>
      </x:c>
      <x:c r="F613" s="79" t="n">
        <x:f>ABS('Counter_PnL'!AK613-('Counter_PnL'!Q613+'Counter_PnL'!AI613))</x:f>
        <x:v>0</x:v>
      </x:c>
      <x:c r="G613" s="79" t="n">
        <x:f>ABS('Counter_PnL'!AT613-SUM('Counter_PnL'!AO613:'Counter_PnL'!AS613))</x:f>
        <x:v>0</x:v>
      </x:c>
      <x:c r="H613" s="79" t="n">
        <x:f>ABS('Counter_PnL'!AV613-('Counter_PnL'!AK613+'Counter_PnL'!AT613))</x:f>
        <x:v>0</x:v>
      </x:c>
      <x:c r="I613" s="79" t="n">
        <x:f>ABS('Counter_PnL'!BE613-SUM('Counter_PnL'!AX613:'Counter_PnL'!BB613,'Counter_PnL'!BD613))</x:f>
        <x:v>0</x:v>
      </x:c>
      <x:c r="J613" s="79" t="n">
        <x:f>ABS('Counter_PnL'!BL613-SUM('Counter_PnL'!AV613,'Counter_PnL'!BE613,'Counter_PnL'!BJ613,'Counter_PnL'!BK613))</x:f>
        <x:v>0</x:v>
      </x:c>
      <x:c r="K613" s="79" t="n">
        <x:f>ABS('Counter_PnL'!BO613-('Counter_PnL'!BL613+'Counter_PnL'!BN613))</x:f>
        <x:v>0</x:v>
      </x:c>
      <x:c r="L613" s="79" t="n">
        <x:f>MAX(ABS('Counter_PnL'!AW613-'Counter_PnL'!AV613/'Counter_PnL'!AK613),ABS('Counter_PnL'!BM613-'Counter_PnL'!BL613/'Counter_PnL'!AK613),ABS('Counter_PnL'!BP613-'Counter_PnL'!BO613/'Counter_PnL'!AK613))</x:f>
        <x:v>0</x:v>
      </x:c>
      <x:c r="M613" s="30" t="n">
        <x:f>IF(AND('Counter_PnL'!Q613&gt;0,'Counter_PnL'!AK613&gt;0,'Counter_PnL'!R613&lt;=0,'Counter_PnL'!T613&lt;=0,'Counter_PnL'!AT613&lt;=0,'Counter_PnL'!BE613&lt;=0,'Counter_PnL'!BJ613&lt;=0,'Counter_PnL'!BK613&lt;=0,'Counter_PnL'!BN613&lt;=0),0,1)</x:f>
        <x:v>0</x:v>
      </x:c>
    </x:row>
    <x:row r="614">
      <x:c r="A614" t="str">
        <x:f>'Counter_PnL'!D614</x:f>
        <x:v>CNCT0154</x:v>
      </x:c>
      <x:c r="B614" t="str">
        <x:f>'Counter_PnL'!C614</x:f>
        <x:v>2025 S1</x:v>
      </x:c>
      <x:c r="C614" s="30" t="n">
        <x:f>COUNTIFS('Counter_PnL'!$D$2:$D$641,A614,'Counter_PnL'!$C$2:$C$641,B614)</x:f>
        <x:v>1</x:v>
      </x:c>
      <x:c r="D614" s="79" t="n">
        <x:f>ABS('Counter_PnL'!AC614-SUM('Counter_PnL'!V614:'Counter_PnL'!AB614))</x:f>
        <x:v>0</x:v>
      </x:c>
      <x:c r="E614" s="79" t="n">
        <x:f>ABS('Counter_PnL'!AI614-SUM('Counter_PnL'!R614,'Counter_PnL'!T614,'Counter_PnL'!AC614,'Counter_PnL'!AE614,'Counter_PnL'!AG614,'Counter_PnL'!AH614))</x:f>
        <x:v>0</x:v>
      </x:c>
      <x:c r="F614" s="79" t="n">
        <x:f>ABS('Counter_PnL'!AK614-('Counter_PnL'!Q614+'Counter_PnL'!AI614))</x:f>
        <x:v>0</x:v>
      </x:c>
      <x:c r="G614" s="79" t="n">
        <x:f>ABS('Counter_PnL'!AT614-SUM('Counter_PnL'!AO614:'Counter_PnL'!AS614))</x:f>
        <x:v>0</x:v>
      </x:c>
      <x:c r="H614" s="79" t="n">
        <x:f>ABS('Counter_PnL'!AV614-('Counter_PnL'!AK614+'Counter_PnL'!AT614))</x:f>
        <x:v>0</x:v>
      </x:c>
      <x:c r="I614" s="79" t="n">
        <x:f>ABS('Counter_PnL'!BE614-SUM('Counter_PnL'!AX614:'Counter_PnL'!BB614,'Counter_PnL'!BD614))</x:f>
        <x:v>0</x:v>
      </x:c>
      <x:c r="J614" s="79" t="n">
        <x:f>ABS('Counter_PnL'!BL614-SUM('Counter_PnL'!AV614,'Counter_PnL'!BE614,'Counter_PnL'!BJ614,'Counter_PnL'!BK614))</x:f>
        <x:v>0</x:v>
      </x:c>
      <x:c r="K614" s="79" t="n">
        <x:f>ABS('Counter_PnL'!BO614-('Counter_PnL'!BL614+'Counter_PnL'!BN614))</x:f>
        <x:v>0</x:v>
      </x:c>
      <x:c r="L614" s="79" t="n">
        <x:f>MAX(ABS('Counter_PnL'!AW614-'Counter_PnL'!AV614/'Counter_PnL'!AK614),ABS('Counter_PnL'!BM614-'Counter_PnL'!BL614/'Counter_PnL'!AK614),ABS('Counter_PnL'!BP614-'Counter_PnL'!BO614/'Counter_PnL'!AK614))</x:f>
        <x:v>0</x:v>
      </x:c>
      <x:c r="M614" s="30" t="n">
        <x:f>IF(AND('Counter_PnL'!Q614&gt;0,'Counter_PnL'!AK614&gt;0,'Counter_PnL'!R614&lt;=0,'Counter_PnL'!T614&lt;=0,'Counter_PnL'!AT614&lt;=0,'Counter_PnL'!BE614&lt;=0,'Counter_PnL'!BJ614&lt;=0,'Counter_PnL'!BK614&lt;=0,'Counter_PnL'!BN614&lt;=0),0,1)</x:f>
        <x:v>0</x:v>
      </x:c>
    </x:row>
    <x:row r="615">
      <x:c r="A615" t="str">
        <x:f>'Counter_PnL'!D615</x:f>
        <x:v>CNCT0154</x:v>
      </x:c>
      <x:c r="B615" t="str">
        <x:f>'Counter_PnL'!C615</x:f>
        <x:v>2025 S2</x:v>
      </x:c>
      <x:c r="C615" s="30" t="n">
        <x:f>COUNTIFS('Counter_PnL'!$D$2:$D$641,A615,'Counter_PnL'!$C$2:$C$641,B615)</x:f>
        <x:v>1</x:v>
      </x:c>
      <x:c r="D615" s="79" t="n">
        <x:f>ABS('Counter_PnL'!AC615-SUM('Counter_PnL'!V615:'Counter_PnL'!AB615))</x:f>
        <x:v>0</x:v>
      </x:c>
      <x:c r="E615" s="79" t="n">
        <x:f>ABS('Counter_PnL'!AI615-SUM('Counter_PnL'!R615,'Counter_PnL'!T615,'Counter_PnL'!AC615,'Counter_PnL'!AE615,'Counter_PnL'!AG615,'Counter_PnL'!AH615))</x:f>
        <x:v>0</x:v>
      </x:c>
      <x:c r="F615" s="79" t="n">
        <x:f>ABS('Counter_PnL'!AK615-('Counter_PnL'!Q615+'Counter_PnL'!AI615))</x:f>
        <x:v>0</x:v>
      </x:c>
      <x:c r="G615" s="79" t="n">
        <x:f>ABS('Counter_PnL'!AT615-SUM('Counter_PnL'!AO615:'Counter_PnL'!AS615))</x:f>
        <x:v>0</x:v>
      </x:c>
      <x:c r="H615" s="79" t="n">
        <x:f>ABS('Counter_PnL'!AV615-('Counter_PnL'!AK615+'Counter_PnL'!AT615))</x:f>
        <x:v>0</x:v>
      </x:c>
      <x:c r="I615" s="79" t="n">
        <x:f>ABS('Counter_PnL'!BE615-SUM('Counter_PnL'!AX615:'Counter_PnL'!BB615,'Counter_PnL'!BD615))</x:f>
        <x:v>0</x:v>
      </x:c>
      <x:c r="J615" s="79" t="n">
        <x:f>ABS('Counter_PnL'!BL615-SUM('Counter_PnL'!AV615,'Counter_PnL'!BE615,'Counter_PnL'!BJ615,'Counter_PnL'!BK615))</x:f>
        <x:v>0</x:v>
      </x:c>
      <x:c r="K615" s="79" t="n">
        <x:f>ABS('Counter_PnL'!BO615-('Counter_PnL'!BL615+'Counter_PnL'!BN615))</x:f>
        <x:v>0</x:v>
      </x:c>
      <x:c r="L615" s="79" t="n">
        <x:f>MAX(ABS('Counter_PnL'!AW615-'Counter_PnL'!AV615/'Counter_PnL'!AK615),ABS('Counter_PnL'!BM615-'Counter_PnL'!BL615/'Counter_PnL'!AK615),ABS('Counter_PnL'!BP615-'Counter_PnL'!BO615/'Counter_PnL'!AK615))</x:f>
        <x:v>0</x:v>
      </x:c>
      <x:c r="M615" s="30" t="n">
        <x:f>IF(AND('Counter_PnL'!Q615&gt;0,'Counter_PnL'!AK615&gt;0,'Counter_PnL'!R615&lt;=0,'Counter_PnL'!T615&lt;=0,'Counter_PnL'!AT615&lt;=0,'Counter_PnL'!BE615&lt;=0,'Counter_PnL'!BJ615&lt;=0,'Counter_PnL'!BK615&lt;=0,'Counter_PnL'!BN615&lt;=0),0,1)</x:f>
        <x:v>0</x:v>
      </x:c>
    </x:row>
    <x:row r="616">
      <x:c r="A616" t="str">
        <x:f>'Counter_PnL'!D616</x:f>
        <x:v>CNCT0154</x:v>
      </x:c>
      <x:c r="B616" t="str">
        <x:f>'Counter_PnL'!C616</x:f>
        <x:v>2026 S1</x:v>
      </x:c>
      <x:c r="C616" s="30" t="n">
        <x:f>COUNTIFS('Counter_PnL'!$D$2:$D$641,A616,'Counter_PnL'!$C$2:$C$641,B616)</x:f>
        <x:v>1</x:v>
      </x:c>
      <x:c r="D616" s="79" t="n">
        <x:f>ABS('Counter_PnL'!AC616-SUM('Counter_PnL'!V616:'Counter_PnL'!AB616))</x:f>
        <x:v>0</x:v>
      </x:c>
      <x:c r="E616" s="79" t="n">
        <x:f>ABS('Counter_PnL'!AI616-SUM('Counter_PnL'!R616,'Counter_PnL'!T616,'Counter_PnL'!AC616,'Counter_PnL'!AE616,'Counter_PnL'!AG616,'Counter_PnL'!AH616))</x:f>
        <x:v>0</x:v>
      </x:c>
      <x:c r="F616" s="79" t="n">
        <x:f>ABS('Counter_PnL'!AK616-('Counter_PnL'!Q616+'Counter_PnL'!AI616))</x:f>
        <x:v>0</x:v>
      </x:c>
      <x:c r="G616" s="79" t="n">
        <x:f>ABS('Counter_PnL'!AT616-SUM('Counter_PnL'!AO616:'Counter_PnL'!AS616))</x:f>
        <x:v>0</x:v>
      </x:c>
      <x:c r="H616" s="79" t="n">
        <x:f>ABS('Counter_PnL'!AV616-('Counter_PnL'!AK616+'Counter_PnL'!AT616))</x:f>
        <x:v>0</x:v>
      </x:c>
      <x:c r="I616" s="79" t="n">
        <x:f>ABS('Counter_PnL'!BE616-SUM('Counter_PnL'!AX616:'Counter_PnL'!BB616,'Counter_PnL'!BD616))</x:f>
        <x:v>0</x:v>
      </x:c>
      <x:c r="J616" s="79" t="n">
        <x:f>ABS('Counter_PnL'!BL616-SUM('Counter_PnL'!AV616,'Counter_PnL'!BE616,'Counter_PnL'!BJ616,'Counter_PnL'!BK616))</x:f>
        <x:v>0</x:v>
      </x:c>
      <x:c r="K616" s="79" t="n">
        <x:f>ABS('Counter_PnL'!BO616-('Counter_PnL'!BL616+'Counter_PnL'!BN616))</x:f>
        <x:v>0</x:v>
      </x:c>
      <x:c r="L616" s="79" t="n">
        <x:f>MAX(ABS('Counter_PnL'!AW616-'Counter_PnL'!AV616/'Counter_PnL'!AK616),ABS('Counter_PnL'!BM616-'Counter_PnL'!BL616/'Counter_PnL'!AK616),ABS('Counter_PnL'!BP616-'Counter_PnL'!BO616/'Counter_PnL'!AK616))</x:f>
        <x:v>0</x:v>
      </x:c>
      <x:c r="M616" s="30" t="n">
        <x:f>IF(AND('Counter_PnL'!Q616&gt;0,'Counter_PnL'!AK616&gt;0,'Counter_PnL'!R616&lt;=0,'Counter_PnL'!T616&lt;=0,'Counter_PnL'!AT616&lt;=0,'Counter_PnL'!BE616&lt;=0,'Counter_PnL'!BJ616&lt;=0,'Counter_PnL'!BK616&lt;=0,'Counter_PnL'!BN616&lt;=0),0,1)</x:f>
        <x:v>0</x:v>
      </x:c>
    </x:row>
    <x:row r="617">
      <x:c r="A617" t="str">
        <x:f>'Counter_PnL'!D617</x:f>
        <x:v>CNCT0154</x:v>
      </x:c>
      <x:c r="B617" t="str">
        <x:f>'Counter_PnL'!C617</x:f>
        <x:v>2026 S2</x:v>
      </x:c>
      <x:c r="C617" s="30" t="n">
        <x:f>COUNTIFS('Counter_PnL'!$D$2:$D$641,A617,'Counter_PnL'!$C$2:$C$641,B617)</x:f>
        <x:v>1</x:v>
      </x:c>
      <x:c r="D617" s="79" t="n">
        <x:f>ABS('Counter_PnL'!AC617-SUM('Counter_PnL'!V617:'Counter_PnL'!AB617))</x:f>
        <x:v>0</x:v>
      </x:c>
      <x:c r="E617" s="79" t="n">
        <x:f>ABS('Counter_PnL'!AI617-SUM('Counter_PnL'!R617,'Counter_PnL'!T617,'Counter_PnL'!AC617,'Counter_PnL'!AE617,'Counter_PnL'!AG617,'Counter_PnL'!AH617))</x:f>
        <x:v>0</x:v>
      </x:c>
      <x:c r="F617" s="79" t="n">
        <x:f>ABS('Counter_PnL'!AK617-('Counter_PnL'!Q617+'Counter_PnL'!AI617))</x:f>
        <x:v>0</x:v>
      </x:c>
      <x:c r="G617" s="79" t="n">
        <x:f>ABS('Counter_PnL'!AT617-SUM('Counter_PnL'!AO617:'Counter_PnL'!AS617))</x:f>
        <x:v>0</x:v>
      </x:c>
      <x:c r="H617" s="79" t="n">
        <x:f>ABS('Counter_PnL'!AV617-('Counter_PnL'!AK617+'Counter_PnL'!AT617))</x:f>
        <x:v>0</x:v>
      </x:c>
      <x:c r="I617" s="79" t="n">
        <x:f>ABS('Counter_PnL'!BE617-SUM('Counter_PnL'!AX617:'Counter_PnL'!BB617,'Counter_PnL'!BD617))</x:f>
        <x:v>0</x:v>
      </x:c>
      <x:c r="J617" s="79" t="n">
        <x:f>ABS('Counter_PnL'!BL617-SUM('Counter_PnL'!AV617,'Counter_PnL'!BE617,'Counter_PnL'!BJ617,'Counter_PnL'!BK617))</x:f>
        <x:v>0</x:v>
      </x:c>
      <x:c r="K617" s="79" t="n">
        <x:f>ABS('Counter_PnL'!BO617-('Counter_PnL'!BL617+'Counter_PnL'!BN617))</x:f>
        <x:v>0</x:v>
      </x:c>
      <x:c r="L617" s="79" t="n">
        <x:f>MAX(ABS('Counter_PnL'!AW617-'Counter_PnL'!AV617/'Counter_PnL'!AK617),ABS('Counter_PnL'!BM617-'Counter_PnL'!BL617/'Counter_PnL'!AK617),ABS('Counter_PnL'!BP617-'Counter_PnL'!BO617/'Counter_PnL'!AK617))</x:f>
        <x:v>0</x:v>
      </x:c>
      <x:c r="M617" s="30" t="n">
        <x:f>IF(AND('Counter_PnL'!Q617&gt;0,'Counter_PnL'!AK617&gt;0,'Counter_PnL'!R617&lt;=0,'Counter_PnL'!T617&lt;=0,'Counter_PnL'!AT617&lt;=0,'Counter_PnL'!BE617&lt;=0,'Counter_PnL'!BJ617&lt;=0,'Counter_PnL'!BK617&lt;=0,'Counter_PnL'!BN617&lt;=0),0,1)</x:f>
        <x:v>0</x:v>
      </x:c>
    </x:row>
    <x:row r="618">
      <x:c r="A618" t="str">
        <x:f>'Counter_PnL'!D618</x:f>
        <x:v>CNCT0155</x:v>
      </x:c>
      <x:c r="B618" t="str">
        <x:f>'Counter_PnL'!C618</x:f>
        <x:v>2025 S1</x:v>
      </x:c>
      <x:c r="C618" s="30" t="n">
        <x:f>COUNTIFS('Counter_PnL'!$D$2:$D$641,A618,'Counter_PnL'!$C$2:$C$641,B618)</x:f>
        <x:v>1</x:v>
      </x:c>
      <x:c r="D618" s="79" t="n">
        <x:f>ABS('Counter_PnL'!AC618-SUM('Counter_PnL'!V618:'Counter_PnL'!AB618))</x:f>
        <x:v>0</x:v>
      </x:c>
      <x:c r="E618" s="79" t="n">
        <x:f>ABS('Counter_PnL'!AI618-SUM('Counter_PnL'!R618,'Counter_PnL'!T618,'Counter_PnL'!AC618,'Counter_PnL'!AE618,'Counter_PnL'!AG618,'Counter_PnL'!AH618))</x:f>
        <x:v>0</x:v>
      </x:c>
      <x:c r="F618" s="79" t="n">
        <x:f>ABS('Counter_PnL'!AK618-('Counter_PnL'!Q618+'Counter_PnL'!AI618))</x:f>
        <x:v>0</x:v>
      </x:c>
      <x:c r="G618" s="79" t="n">
        <x:f>ABS('Counter_PnL'!AT618-SUM('Counter_PnL'!AO618:'Counter_PnL'!AS618))</x:f>
        <x:v>0</x:v>
      </x:c>
      <x:c r="H618" s="79" t="n">
        <x:f>ABS('Counter_PnL'!AV618-('Counter_PnL'!AK618+'Counter_PnL'!AT618))</x:f>
        <x:v>0</x:v>
      </x:c>
      <x:c r="I618" s="79" t="n">
        <x:f>ABS('Counter_PnL'!BE618-SUM('Counter_PnL'!AX618:'Counter_PnL'!BB618,'Counter_PnL'!BD618))</x:f>
        <x:v>0</x:v>
      </x:c>
      <x:c r="J618" s="79" t="n">
        <x:f>ABS('Counter_PnL'!BL618-SUM('Counter_PnL'!AV618,'Counter_PnL'!BE618,'Counter_PnL'!BJ618,'Counter_PnL'!BK618))</x:f>
        <x:v>0</x:v>
      </x:c>
      <x:c r="K618" s="79" t="n">
        <x:f>ABS('Counter_PnL'!BO618-('Counter_PnL'!BL618+'Counter_PnL'!BN618))</x:f>
        <x:v>0</x:v>
      </x:c>
      <x:c r="L618" s="79" t="n">
        <x:f>MAX(ABS('Counter_PnL'!AW618-'Counter_PnL'!AV618/'Counter_PnL'!AK618),ABS('Counter_PnL'!BM618-'Counter_PnL'!BL618/'Counter_PnL'!AK618),ABS('Counter_PnL'!BP618-'Counter_PnL'!BO618/'Counter_PnL'!AK618))</x:f>
        <x:v>0</x:v>
      </x:c>
      <x:c r="M618" s="30" t="n">
        <x:f>IF(AND('Counter_PnL'!Q618&gt;0,'Counter_PnL'!AK618&gt;0,'Counter_PnL'!R618&lt;=0,'Counter_PnL'!T618&lt;=0,'Counter_PnL'!AT618&lt;=0,'Counter_PnL'!BE618&lt;=0,'Counter_PnL'!BJ618&lt;=0,'Counter_PnL'!BK618&lt;=0,'Counter_PnL'!BN618&lt;=0),0,1)</x:f>
        <x:v>0</x:v>
      </x:c>
    </x:row>
    <x:row r="619">
      <x:c r="A619" t="str">
        <x:f>'Counter_PnL'!D619</x:f>
        <x:v>CNCT0155</x:v>
      </x:c>
      <x:c r="B619" t="str">
        <x:f>'Counter_PnL'!C619</x:f>
        <x:v>2025 S2</x:v>
      </x:c>
      <x:c r="C619" s="30" t="n">
        <x:f>COUNTIFS('Counter_PnL'!$D$2:$D$641,A619,'Counter_PnL'!$C$2:$C$641,B619)</x:f>
        <x:v>1</x:v>
      </x:c>
      <x:c r="D619" s="79" t="n">
        <x:f>ABS('Counter_PnL'!AC619-SUM('Counter_PnL'!V619:'Counter_PnL'!AB619))</x:f>
        <x:v>0</x:v>
      </x:c>
      <x:c r="E619" s="79" t="n">
        <x:f>ABS('Counter_PnL'!AI619-SUM('Counter_PnL'!R619,'Counter_PnL'!T619,'Counter_PnL'!AC619,'Counter_PnL'!AE619,'Counter_PnL'!AG619,'Counter_PnL'!AH619))</x:f>
        <x:v>0</x:v>
      </x:c>
      <x:c r="F619" s="79" t="n">
        <x:f>ABS('Counter_PnL'!AK619-('Counter_PnL'!Q619+'Counter_PnL'!AI619))</x:f>
        <x:v>0</x:v>
      </x:c>
      <x:c r="G619" s="79" t="n">
        <x:f>ABS('Counter_PnL'!AT619-SUM('Counter_PnL'!AO619:'Counter_PnL'!AS619))</x:f>
        <x:v>0</x:v>
      </x:c>
      <x:c r="H619" s="79" t="n">
        <x:f>ABS('Counter_PnL'!AV619-('Counter_PnL'!AK619+'Counter_PnL'!AT619))</x:f>
        <x:v>0</x:v>
      </x:c>
      <x:c r="I619" s="79" t="n">
        <x:f>ABS('Counter_PnL'!BE619-SUM('Counter_PnL'!AX619:'Counter_PnL'!BB619,'Counter_PnL'!BD619))</x:f>
        <x:v>0</x:v>
      </x:c>
      <x:c r="J619" s="79" t="n">
        <x:f>ABS('Counter_PnL'!BL619-SUM('Counter_PnL'!AV619,'Counter_PnL'!BE619,'Counter_PnL'!BJ619,'Counter_PnL'!BK619))</x:f>
        <x:v>0</x:v>
      </x:c>
      <x:c r="K619" s="79" t="n">
        <x:f>ABS('Counter_PnL'!BO619-('Counter_PnL'!BL619+'Counter_PnL'!BN619))</x:f>
        <x:v>0</x:v>
      </x:c>
      <x:c r="L619" s="79" t="n">
        <x:f>MAX(ABS('Counter_PnL'!AW619-'Counter_PnL'!AV619/'Counter_PnL'!AK619),ABS('Counter_PnL'!BM619-'Counter_PnL'!BL619/'Counter_PnL'!AK619),ABS('Counter_PnL'!BP619-'Counter_PnL'!BO619/'Counter_PnL'!AK619))</x:f>
        <x:v>0</x:v>
      </x:c>
      <x:c r="M619" s="30" t="n">
        <x:f>IF(AND('Counter_PnL'!Q619&gt;0,'Counter_PnL'!AK619&gt;0,'Counter_PnL'!R619&lt;=0,'Counter_PnL'!T619&lt;=0,'Counter_PnL'!AT619&lt;=0,'Counter_PnL'!BE619&lt;=0,'Counter_PnL'!BJ619&lt;=0,'Counter_PnL'!BK619&lt;=0,'Counter_PnL'!BN619&lt;=0),0,1)</x:f>
        <x:v>0</x:v>
      </x:c>
    </x:row>
    <x:row r="620">
      <x:c r="A620" t="str">
        <x:f>'Counter_PnL'!D620</x:f>
        <x:v>CNCT0155</x:v>
      </x:c>
      <x:c r="B620" t="str">
        <x:f>'Counter_PnL'!C620</x:f>
        <x:v>2026 S1</x:v>
      </x:c>
      <x:c r="C620" s="30" t="n">
        <x:f>COUNTIFS('Counter_PnL'!$D$2:$D$641,A620,'Counter_PnL'!$C$2:$C$641,B620)</x:f>
        <x:v>1</x:v>
      </x:c>
      <x:c r="D620" s="79" t="n">
        <x:f>ABS('Counter_PnL'!AC620-SUM('Counter_PnL'!V620:'Counter_PnL'!AB620))</x:f>
        <x:v>0</x:v>
      </x:c>
      <x:c r="E620" s="79" t="n">
        <x:f>ABS('Counter_PnL'!AI620-SUM('Counter_PnL'!R620,'Counter_PnL'!T620,'Counter_PnL'!AC620,'Counter_PnL'!AE620,'Counter_PnL'!AG620,'Counter_PnL'!AH620))</x:f>
        <x:v>0</x:v>
      </x:c>
      <x:c r="F620" s="79" t="n">
        <x:f>ABS('Counter_PnL'!AK620-('Counter_PnL'!Q620+'Counter_PnL'!AI620))</x:f>
        <x:v>0</x:v>
      </x:c>
      <x:c r="G620" s="79" t="n">
        <x:f>ABS('Counter_PnL'!AT620-SUM('Counter_PnL'!AO620:'Counter_PnL'!AS620))</x:f>
        <x:v>0</x:v>
      </x:c>
      <x:c r="H620" s="79" t="n">
        <x:f>ABS('Counter_PnL'!AV620-('Counter_PnL'!AK620+'Counter_PnL'!AT620))</x:f>
        <x:v>0</x:v>
      </x:c>
      <x:c r="I620" s="79" t="n">
        <x:f>ABS('Counter_PnL'!BE620-SUM('Counter_PnL'!AX620:'Counter_PnL'!BB620,'Counter_PnL'!BD620))</x:f>
        <x:v>0</x:v>
      </x:c>
      <x:c r="J620" s="79" t="n">
        <x:f>ABS('Counter_PnL'!BL620-SUM('Counter_PnL'!AV620,'Counter_PnL'!BE620,'Counter_PnL'!BJ620,'Counter_PnL'!BK620))</x:f>
        <x:v>0</x:v>
      </x:c>
      <x:c r="K620" s="79" t="n">
        <x:f>ABS('Counter_PnL'!BO620-('Counter_PnL'!BL620+'Counter_PnL'!BN620))</x:f>
        <x:v>0</x:v>
      </x:c>
      <x:c r="L620" s="79" t="n">
        <x:f>MAX(ABS('Counter_PnL'!AW620-'Counter_PnL'!AV620/'Counter_PnL'!AK620),ABS('Counter_PnL'!BM620-'Counter_PnL'!BL620/'Counter_PnL'!AK620),ABS('Counter_PnL'!BP620-'Counter_PnL'!BO620/'Counter_PnL'!AK620))</x:f>
        <x:v>0</x:v>
      </x:c>
      <x:c r="M620" s="30" t="n">
        <x:f>IF(AND('Counter_PnL'!Q620&gt;0,'Counter_PnL'!AK620&gt;0,'Counter_PnL'!R620&lt;=0,'Counter_PnL'!T620&lt;=0,'Counter_PnL'!AT620&lt;=0,'Counter_PnL'!BE620&lt;=0,'Counter_PnL'!BJ620&lt;=0,'Counter_PnL'!BK620&lt;=0,'Counter_PnL'!BN620&lt;=0),0,1)</x:f>
        <x:v>0</x:v>
      </x:c>
    </x:row>
    <x:row r="621">
      <x:c r="A621" t="str">
        <x:f>'Counter_PnL'!D621</x:f>
        <x:v>CNCT0155</x:v>
      </x:c>
      <x:c r="B621" t="str">
        <x:f>'Counter_PnL'!C621</x:f>
        <x:v>2026 S2</x:v>
      </x:c>
      <x:c r="C621" s="30" t="n">
        <x:f>COUNTIFS('Counter_PnL'!$D$2:$D$641,A621,'Counter_PnL'!$C$2:$C$641,B621)</x:f>
        <x:v>1</x:v>
      </x:c>
      <x:c r="D621" s="79" t="n">
        <x:f>ABS('Counter_PnL'!AC621-SUM('Counter_PnL'!V621:'Counter_PnL'!AB621))</x:f>
        <x:v>0</x:v>
      </x:c>
      <x:c r="E621" s="79" t="n">
        <x:f>ABS('Counter_PnL'!AI621-SUM('Counter_PnL'!R621,'Counter_PnL'!T621,'Counter_PnL'!AC621,'Counter_PnL'!AE621,'Counter_PnL'!AG621,'Counter_PnL'!AH621))</x:f>
        <x:v>0</x:v>
      </x:c>
      <x:c r="F621" s="79" t="n">
        <x:f>ABS('Counter_PnL'!AK621-('Counter_PnL'!Q621+'Counter_PnL'!AI621))</x:f>
        <x:v>0</x:v>
      </x:c>
      <x:c r="G621" s="79" t="n">
        <x:f>ABS('Counter_PnL'!AT621-SUM('Counter_PnL'!AO621:'Counter_PnL'!AS621))</x:f>
        <x:v>0</x:v>
      </x:c>
      <x:c r="H621" s="79" t="n">
        <x:f>ABS('Counter_PnL'!AV621-('Counter_PnL'!AK621+'Counter_PnL'!AT621))</x:f>
        <x:v>0</x:v>
      </x:c>
      <x:c r="I621" s="79" t="n">
        <x:f>ABS('Counter_PnL'!BE621-SUM('Counter_PnL'!AX621:'Counter_PnL'!BB621,'Counter_PnL'!BD621))</x:f>
        <x:v>0</x:v>
      </x:c>
      <x:c r="J621" s="79" t="n">
        <x:f>ABS('Counter_PnL'!BL621-SUM('Counter_PnL'!AV621,'Counter_PnL'!BE621,'Counter_PnL'!BJ621,'Counter_PnL'!BK621))</x:f>
        <x:v>0</x:v>
      </x:c>
      <x:c r="K621" s="79" t="n">
        <x:f>ABS('Counter_PnL'!BO621-('Counter_PnL'!BL621+'Counter_PnL'!BN621))</x:f>
        <x:v>0</x:v>
      </x:c>
      <x:c r="L621" s="79" t="n">
        <x:f>MAX(ABS('Counter_PnL'!AW621-'Counter_PnL'!AV621/'Counter_PnL'!AK621),ABS('Counter_PnL'!BM621-'Counter_PnL'!BL621/'Counter_PnL'!AK621),ABS('Counter_PnL'!BP621-'Counter_PnL'!BO621/'Counter_PnL'!AK621))</x:f>
        <x:v>0</x:v>
      </x:c>
      <x:c r="M621" s="30" t="n">
        <x:f>IF(AND('Counter_PnL'!Q621&gt;0,'Counter_PnL'!AK621&gt;0,'Counter_PnL'!R621&lt;=0,'Counter_PnL'!T621&lt;=0,'Counter_PnL'!AT621&lt;=0,'Counter_PnL'!BE621&lt;=0,'Counter_PnL'!BJ621&lt;=0,'Counter_PnL'!BK621&lt;=0,'Counter_PnL'!BN621&lt;=0),0,1)</x:f>
        <x:v>0</x:v>
      </x:c>
    </x:row>
    <x:row r="622">
      <x:c r="A622" t="str">
        <x:f>'Counter_PnL'!D622</x:f>
        <x:v>CNCT0156</x:v>
      </x:c>
      <x:c r="B622" t="str">
        <x:f>'Counter_PnL'!C622</x:f>
        <x:v>2025 S1</x:v>
      </x:c>
      <x:c r="C622" s="30" t="n">
        <x:f>COUNTIFS('Counter_PnL'!$D$2:$D$641,A622,'Counter_PnL'!$C$2:$C$641,B622)</x:f>
        <x:v>1</x:v>
      </x:c>
      <x:c r="D622" s="79" t="n">
        <x:f>ABS('Counter_PnL'!AC622-SUM('Counter_PnL'!V622:'Counter_PnL'!AB622))</x:f>
        <x:v>0</x:v>
      </x:c>
      <x:c r="E622" s="79" t="n">
        <x:f>ABS('Counter_PnL'!AI622-SUM('Counter_PnL'!R622,'Counter_PnL'!T622,'Counter_PnL'!AC622,'Counter_PnL'!AE622,'Counter_PnL'!AG622,'Counter_PnL'!AH622))</x:f>
        <x:v>0</x:v>
      </x:c>
      <x:c r="F622" s="79" t="n">
        <x:f>ABS('Counter_PnL'!AK622-('Counter_PnL'!Q622+'Counter_PnL'!AI622))</x:f>
        <x:v>0</x:v>
      </x:c>
      <x:c r="G622" s="79" t="n">
        <x:f>ABS('Counter_PnL'!AT622-SUM('Counter_PnL'!AO622:'Counter_PnL'!AS622))</x:f>
        <x:v>0</x:v>
      </x:c>
      <x:c r="H622" s="79" t="n">
        <x:f>ABS('Counter_PnL'!AV622-('Counter_PnL'!AK622+'Counter_PnL'!AT622))</x:f>
        <x:v>0</x:v>
      </x:c>
      <x:c r="I622" s="79" t="n">
        <x:f>ABS('Counter_PnL'!BE622-SUM('Counter_PnL'!AX622:'Counter_PnL'!BB622,'Counter_PnL'!BD622))</x:f>
        <x:v>0</x:v>
      </x:c>
      <x:c r="J622" s="79" t="n">
        <x:f>ABS('Counter_PnL'!BL622-SUM('Counter_PnL'!AV622,'Counter_PnL'!BE622,'Counter_PnL'!BJ622,'Counter_PnL'!BK622))</x:f>
        <x:v>0</x:v>
      </x:c>
      <x:c r="K622" s="79" t="n">
        <x:f>ABS('Counter_PnL'!BO622-('Counter_PnL'!BL622+'Counter_PnL'!BN622))</x:f>
        <x:v>0</x:v>
      </x:c>
      <x:c r="L622" s="79" t="n">
        <x:f>MAX(ABS('Counter_PnL'!AW622-'Counter_PnL'!AV622/'Counter_PnL'!AK622),ABS('Counter_PnL'!BM622-'Counter_PnL'!BL622/'Counter_PnL'!AK622),ABS('Counter_PnL'!BP622-'Counter_PnL'!BO622/'Counter_PnL'!AK622))</x:f>
        <x:v>0</x:v>
      </x:c>
      <x:c r="M622" s="30" t="n">
        <x:f>IF(AND('Counter_PnL'!Q622&gt;0,'Counter_PnL'!AK622&gt;0,'Counter_PnL'!R622&lt;=0,'Counter_PnL'!T622&lt;=0,'Counter_PnL'!AT622&lt;=0,'Counter_PnL'!BE622&lt;=0,'Counter_PnL'!BJ622&lt;=0,'Counter_PnL'!BK622&lt;=0,'Counter_PnL'!BN622&lt;=0),0,1)</x:f>
        <x:v>0</x:v>
      </x:c>
    </x:row>
    <x:row r="623">
      <x:c r="A623" t="str">
        <x:f>'Counter_PnL'!D623</x:f>
        <x:v>CNCT0156</x:v>
      </x:c>
      <x:c r="B623" t="str">
        <x:f>'Counter_PnL'!C623</x:f>
        <x:v>2025 S2</x:v>
      </x:c>
      <x:c r="C623" s="30" t="n">
        <x:f>COUNTIFS('Counter_PnL'!$D$2:$D$641,A623,'Counter_PnL'!$C$2:$C$641,B623)</x:f>
        <x:v>1</x:v>
      </x:c>
      <x:c r="D623" s="79" t="n">
        <x:f>ABS('Counter_PnL'!AC623-SUM('Counter_PnL'!V623:'Counter_PnL'!AB623))</x:f>
        <x:v>0</x:v>
      </x:c>
      <x:c r="E623" s="79" t="n">
        <x:f>ABS('Counter_PnL'!AI623-SUM('Counter_PnL'!R623,'Counter_PnL'!T623,'Counter_PnL'!AC623,'Counter_PnL'!AE623,'Counter_PnL'!AG623,'Counter_PnL'!AH623))</x:f>
        <x:v>0</x:v>
      </x:c>
      <x:c r="F623" s="79" t="n">
        <x:f>ABS('Counter_PnL'!AK623-('Counter_PnL'!Q623+'Counter_PnL'!AI623))</x:f>
        <x:v>0</x:v>
      </x:c>
      <x:c r="G623" s="79" t="n">
        <x:f>ABS('Counter_PnL'!AT623-SUM('Counter_PnL'!AO623:'Counter_PnL'!AS623))</x:f>
        <x:v>0</x:v>
      </x:c>
      <x:c r="H623" s="79" t="n">
        <x:f>ABS('Counter_PnL'!AV623-('Counter_PnL'!AK623+'Counter_PnL'!AT623))</x:f>
        <x:v>0</x:v>
      </x:c>
      <x:c r="I623" s="79" t="n">
        <x:f>ABS('Counter_PnL'!BE623-SUM('Counter_PnL'!AX623:'Counter_PnL'!BB623,'Counter_PnL'!BD623))</x:f>
        <x:v>0</x:v>
      </x:c>
      <x:c r="J623" s="79" t="n">
        <x:f>ABS('Counter_PnL'!BL623-SUM('Counter_PnL'!AV623,'Counter_PnL'!BE623,'Counter_PnL'!BJ623,'Counter_PnL'!BK623))</x:f>
        <x:v>0</x:v>
      </x:c>
      <x:c r="K623" s="79" t="n">
        <x:f>ABS('Counter_PnL'!BO623-('Counter_PnL'!BL623+'Counter_PnL'!BN623))</x:f>
        <x:v>0</x:v>
      </x:c>
      <x:c r="L623" s="79" t="n">
        <x:f>MAX(ABS('Counter_PnL'!AW623-'Counter_PnL'!AV623/'Counter_PnL'!AK623),ABS('Counter_PnL'!BM623-'Counter_PnL'!BL623/'Counter_PnL'!AK623),ABS('Counter_PnL'!BP623-'Counter_PnL'!BO623/'Counter_PnL'!AK623))</x:f>
        <x:v>0</x:v>
      </x:c>
      <x:c r="M623" s="30" t="n">
        <x:f>IF(AND('Counter_PnL'!Q623&gt;0,'Counter_PnL'!AK623&gt;0,'Counter_PnL'!R623&lt;=0,'Counter_PnL'!T623&lt;=0,'Counter_PnL'!AT623&lt;=0,'Counter_PnL'!BE623&lt;=0,'Counter_PnL'!BJ623&lt;=0,'Counter_PnL'!BK623&lt;=0,'Counter_PnL'!BN623&lt;=0),0,1)</x:f>
        <x:v>0</x:v>
      </x:c>
    </x:row>
    <x:row r="624">
      <x:c r="A624" t="str">
        <x:f>'Counter_PnL'!D624</x:f>
        <x:v>CNCT0156</x:v>
      </x:c>
      <x:c r="B624" t="str">
        <x:f>'Counter_PnL'!C624</x:f>
        <x:v>2026 S1</x:v>
      </x:c>
      <x:c r="C624" s="30" t="n">
        <x:f>COUNTIFS('Counter_PnL'!$D$2:$D$641,A624,'Counter_PnL'!$C$2:$C$641,B624)</x:f>
        <x:v>1</x:v>
      </x:c>
      <x:c r="D624" s="79" t="n">
        <x:f>ABS('Counter_PnL'!AC624-SUM('Counter_PnL'!V624:'Counter_PnL'!AB624))</x:f>
        <x:v>0</x:v>
      </x:c>
      <x:c r="E624" s="79" t="n">
        <x:f>ABS('Counter_PnL'!AI624-SUM('Counter_PnL'!R624,'Counter_PnL'!T624,'Counter_PnL'!AC624,'Counter_PnL'!AE624,'Counter_PnL'!AG624,'Counter_PnL'!AH624))</x:f>
        <x:v>0</x:v>
      </x:c>
      <x:c r="F624" s="79" t="n">
        <x:f>ABS('Counter_PnL'!AK624-('Counter_PnL'!Q624+'Counter_PnL'!AI624))</x:f>
        <x:v>0</x:v>
      </x:c>
      <x:c r="G624" s="79" t="n">
        <x:f>ABS('Counter_PnL'!AT624-SUM('Counter_PnL'!AO624:'Counter_PnL'!AS624))</x:f>
        <x:v>0</x:v>
      </x:c>
      <x:c r="H624" s="79" t="n">
        <x:f>ABS('Counter_PnL'!AV624-('Counter_PnL'!AK624+'Counter_PnL'!AT624))</x:f>
        <x:v>0</x:v>
      </x:c>
      <x:c r="I624" s="79" t="n">
        <x:f>ABS('Counter_PnL'!BE624-SUM('Counter_PnL'!AX624:'Counter_PnL'!BB624,'Counter_PnL'!BD624))</x:f>
        <x:v>0</x:v>
      </x:c>
      <x:c r="J624" s="79" t="n">
        <x:f>ABS('Counter_PnL'!BL624-SUM('Counter_PnL'!AV624,'Counter_PnL'!BE624,'Counter_PnL'!BJ624,'Counter_PnL'!BK624))</x:f>
        <x:v>0</x:v>
      </x:c>
      <x:c r="K624" s="79" t="n">
        <x:f>ABS('Counter_PnL'!BO624-('Counter_PnL'!BL624+'Counter_PnL'!BN624))</x:f>
        <x:v>0</x:v>
      </x:c>
      <x:c r="L624" s="79" t="n">
        <x:f>MAX(ABS('Counter_PnL'!AW624-'Counter_PnL'!AV624/'Counter_PnL'!AK624),ABS('Counter_PnL'!BM624-'Counter_PnL'!BL624/'Counter_PnL'!AK624),ABS('Counter_PnL'!BP624-'Counter_PnL'!BO624/'Counter_PnL'!AK624))</x:f>
        <x:v>0</x:v>
      </x:c>
      <x:c r="M624" s="30" t="n">
        <x:f>IF(AND('Counter_PnL'!Q624&gt;0,'Counter_PnL'!AK624&gt;0,'Counter_PnL'!R624&lt;=0,'Counter_PnL'!T624&lt;=0,'Counter_PnL'!AT624&lt;=0,'Counter_PnL'!BE624&lt;=0,'Counter_PnL'!BJ624&lt;=0,'Counter_PnL'!BK624&lt;=0,'Counter_PnL'!BN624&lt;=0),0,1)</x:f>
        <x:v>0</x:v>
      </x:c>
    </x:row>
    <x:row r="625">
      <x:c r="A625" t="str">
        <x:f>'Counter_PnL'!D625</x:f>
        <x:v>CNCT0156</x:v>
      </x:c>
      <x:c r="B625" t="str">
        <x:f>'Counter_PnL'!C625</x:f>
        <x:v>2026 S2</x:v>
      </x:c>
      <x:c r="C625" s="30" t="n">
        <x:f>COUNTIFS('Counter_PnL'!$D$2:$D$641,A625,'Counter_PnL'!$C$2:$C$641,B625)</x:f>
        <x:v>1</x:v>
      </x:c>
      <x:c r="D625" s="79" t="n">
        <x:f>ABS('Counter_PnL'!AC625-SUM('Counter_PnL'!V625:'Counter_PnL'!AB625))</x:f>
        <x:v>0</x:v>
      </x:c>
      <x:c r="E625" s="79" t="n">
        <x:f>ABS('Counter_PnL'!AI625-SUM('Counter_PnL'!R625,'Counter_PnL'!T625,'Counter_PnL'!AC625,'Counter_PnL'!AE625,'Counter_PnL'!AG625,'Counter_PnL'!AH625))</x:f>
        <x:v>0</x:v>
      </x:c>
      <x:c r="F625" s="79" t="n">
        <x:f>ABS('Counter_PnL'!AK625-('Counter_PnL'!Q625+'Counter_PnL'!AI625))</x:f>
        <x:v>0</x:v>
      </x:c>
      <x:c r="G625" s="79" t="n">
        <x:f>ABS('Counter_PnL'!AT625-SUM('Counter_PnL'!AO625:'Counter_PnL'!AS625))</x:f>
        <x:v>0</x:v>
      </x:c>
      <x:c r="H625" s="79" t="n">
        <x:f>ABS('Counter_PnL'!AV625-('Counter_PnL'!AK625+'Counter_PnL'!AT625))</x:f>
        <x:v>0</x:v>
      </x:c>
      <x:c r="I625" s="79" t="n">
        <x:f>ABS('Counter_PnL'!BE625-SUM('Counter_PnL'!AX625:'Counter_PnL'!BB625,'Counter_PnL'!BD625))</x:f>
        <x:v>0</x:v>
      </x:c>
      <x:c r="J625" s="79" t="n">
        <x:f>ABS('Counter_PnL'!BL625-SUM('Counter_PnL'!AV625,'Counter_PnL'!BE625,'Counter_PnL'!BJ625,'Counter_PnL'!BK625))</x:f>
        <x:v>0</x:v>
      </x:c>
      <x:c r="K625" s="79" t="n">
        <x:f>ABS('Counter_PnL'!BO625-('Counter_PnL'!BL625+'Counter_PnL'!BN625))</x:f>
        <x:v>0</x:v>
      </x:c>
      <x:c r="L625" s="79" t="n">
        <x:f>MAX(ABS('Counter_PnL'!AW625-'Counter_PnL'!AV625/'Counter_PnL'!AK625),ABS('Counter_PnL'!BM625-'Counter_PnL'!BL625/'Counter_PnL'!AK625),ABS('Counter_PnL'!BP625-'Counter_PnL'!BO625/'Counter_PnL'!AK625))</x:f>
        <x:v>0</x:v>
      </x:c>
      <x:c r="M625" s="30" t="n">
        <x:f>IF(AND('Counter_PnL'!Q625&gt;0,'Counter_PnL'!AK625&gt;0,'Counter_PnL'!R625&lt;=0,'Counter_PnL'!T625&lt;=0,'Counter_PnL'!AT625&lt;=0,'Counter_PnL'!BE625&lt;=0,'Counter_PnL'!BJ625&lt;=0,'Counter_PnL'!BK625&lt;=0,'Counter_PnL'!BN625&lt;=0),0,1)</x:f>
        <x:v>0</x:v>
      </x:c>
    </x:row>
    <x:row r="626">
      <x:c r="A626" t="str">
        <x:f>'Counter_PnL'!D626</x:f>
        <x:v>CNCT0157</x:v>
      </x:c>
      <x:c r="B626" t="str">
        <x:f>'Counter_PnL'!C626</x:f>
        <x:v>2025 S1</x:v>
      </x:c>
      <x:c r="C626" s="30" t="n">
        <x:f>COUNTIFS('Counter_PnL'!$D$2:$D$641,A626,'Counter_PnL'!$C$2:$C$641,B626)</x:f>
        <x:v>1</x:v>
      </x:c>
      <x:c r="D626" s="79" t="n">
        <x:f>ABS('Counter_PnL'!AC626-SUM('Counter_PnL'!V626:'Counter_PnL'!AB626))</x:f>
        <x:v>0</x:v>
      </x:c>
      <x:c r="E626" s="79" t="n">
        <x:f>ABS('Counter_PnL'!AI626-SUM('Counter_PnL'!R626,'Counter_PnL'!T626,'Counter_PnL'!AC626,'Counter_PnL'!AE626,'Counter_PnL'!AG626,'Counter_PnL'!AH626))</x:f>
        <x:v>0</x:v>
      </x:c>
      <x:c r="F626" s="79" t="n">
        <x:f>ABS('Counter_PnL'!AK626-('Counter_PnL'!Q626+'Counter_PnL'!AI626))</x:f>
        <x:v>0</x:v>
      </x:c>
      <x:c r="G626" s="79" t="n">
        <x:f>ABS('Counter_PnL'!AT626-SUM('Counter_PnL'!AO626:'Counter_PnL'!AS626))</x:f>
        <x:v>0</x:v>
      </x:c>
      <x:c r="H626" s="79" t="n">
        <x:f>ABS('Counter_PnL'!AV626-('Counter_PnL'!AK626+'Counter_PnL'!AT626))</x:f>
        <x:v>0</x:v>
      </x:c>
      <x:c r="I626" s="79" t="n">
        <x:f>ABS('Counter_PnL'!BE626-SUM('Counter_PnL'!AX626:'Counter_PnL'!BB626,'Counter_PnL'!BD626))</x:f>
        <x:v>0</x:v>
      </x:c>
      <x:c r="J626" s="79" t="n">
        <x:f>ABS('Counter_PnL'!BL626-SUM('Counter_PnL'!AV626,'Counter_PnL'!BE626,'Counter_PnL'!BJ626,'Counter_PnL'!BK626))</x:f>
        <x:v>0</x:v>
      </x:c>
      <x:c r="K626" s="79" t="n">
        <x:f>ABS('Counter_PnL'!BO626-('Counter_PnL'!BL626+'Counter_PnL'!BN626))</x:f>
        <x:v>0</x:v>
      </x:c>
      <x:c r="L626" s="79" t="n">
        <x:f>MAX(ABS('Counter_PnL'!AW626-'Counter_PnL'!AV626/'Counter_PnL'!AK626),ABS('Counter_PnL'!BM626-'Counter_PnL'!BL626/'Counter_PnL'!AK626),ABS('Counter_PnL'!BP626-'Counter_PnL'!BO626/'Counter_PnL'!AK626))</x:f>
        <x:v>0</x:v>
      </x:c>
      <x:c r="M626" s="30" t="n">
        <x:f>IF(AND('Counter_PnL'!Q626&gt;0,'Counter_PnL'!AK626&gt;0,'Counter_PnL'!R626&lt;=0,'Counter_PnL'!T626&lt;=0,'Counter_PnL'!AT626&lt;=0,'Counter_PnL'!BE626&lt;=0,'Counter_PnL'!BJ626&lt;=0,'Counter_PnL'!BK626&lt;=0,'Counter_PnL'!BN626&lt;=0),0,1)</x:f>
        <x:v>0</x:v>
      </x:c>
    </x:row>
    <x:row r="627">
      <x:c r="A627" t="str">
        <x:f>'Counter_PnL'!D627</x:f>
        <x:v>CNCT0157</x:v>
      </x:c>
      <x:c r="B627" t="str">
        <x:f>'Counter_PnL'!C627</x:f>
        <x:v>2025 S2</x:v>
      </x:c>
      <x:c r="C627" s="30" t="n">
        <x:f>COUNTIFS('Counter_PnL'!$D$2:$D$641,A627,'Counter_PnL'!$C$2:$C$641,B627)</x:f>
        <x:v>1</x:v>
      </x:c>
      <x:c r="D627" s="79" t="n">
        <x:f>ABS('Counter_PnL'!AC627-SUM('Counter_PnL'!V627:'Counter_PnL'!AB627))</x:f>
        <x:v>0</x:v>
      </x:c>
      <x:c r="E627" s="79" t="n">
        <x:f>ABS('Counter_PnL'!AI627-SUM('Counter_PnL'!R627,'Counter_PnL'!T627,'Counter_PnL'!AC627,'Counter_PnL'!AE627,'Counter_PnL'!AG627,'Counter_PnL'!AH627))</x:f>
        <x:v>0</x:v>
      </x:c>
      <x:c r="F627" s="79" t="n">
        <x:f>ABS('Counter_PnL'!AK627-('Counter_PnL'!Q627+'Counter_PnL'!AI627))</x:f>
        <x:v>0</x:v>
      </x:c>
      <x:c r="G627" s="79" t="n">
        <x:f>ABS('Counter_PnL'!AT627-SUM('Counter_PnL'!AO627:'Counter_PnL'!AS627))</x:f>
        <x:v>0</x:v>
      </x:c>
      <x:c r="H627" s="79" t="n">
        <x:f>ABS('Counter_PnL'!AV627-('Counter_PnL'!AK627+'Counter_PnL'!AT627))</x:f>
        <x:v>0</x:v>
      </x:c>
      <x:c r="I627" s="79" t="n">
        <x:f>ABS('Counter_PnL'!BE627-SUM('Counter_PnL'!AX627:'Counter_PnL'!BB627,'Counter_PnL'!BD627))</x:f>
        <x:v>0</x:v>
      </x:c>
      <x:c r="J627" s="79" t="n">
        <x:f>ABS('Counter_PnL'!BL627-SUM('Counter_PnL'!AV627,'Counter_PnL'!BE627,'Counter_PnL'!BJ627,'Counter_PnL'!BK627))</x:f>
        <x:v>0</x:v>
      </x:c>
      <x:c r="K627" s="79" t="n">
        <x:f>ABS('Counter_PnL'!BO627-('Counter_PnL'!BL627+'Counter_PnL'!BN627))</x:f>
        <x:v>0</x:v>
      </x:c>
      <x:c r="L627" s="79" t="n">
        <x:f>MAX(ABS('Counter_PnL'!AW627-'Counter_PnL'!AV627/'Counter_PnL'!AK627),ABS('Counter_PnL'!BM627-'Counter_PnL'!BL627/'Counter_PnL'!AK627),ABS('Counter_PnL'!BP627-'Counter_PnL'!BO627/'Counter_PnL'!AK627))</x:f>
        <x:v>0</x:v>
      </x:c>
      <x:c r="M627" s="30" t="n">
        <x:f>IF(AND('Counter_PnL'!Q627&gt;0,'Counter_PnL'!AK627&gt;0,'Counter_PnL'!R627&lt;=0,'Counter_PnL'!T627&lt;=0,'Counter_PnL'!AT627&lt;=0,'Counter_PnL'!BE627&lt;=0,'Counter_PnL'!BJ627&lt;=0,'Counter_PnL'!BK627&lt;=0,'Counter_PnL'!BN627&lt;=0),0,1)</x:f>
        <x:v>0</x:v>
      </x:c>
    </x:row>
    <x:row r="628">
      <x:c r="A628" t="str">
        <x:f>'Counter_PnL'!D628</x:f>
        <x:v>CNCT0157</x:v>
      </x:c>
      <x:c r="B628" t="str">
        <x:f>'Counter_PnL'!C628</x:f>
        <x:v>2026 S1</x:v>
      </x:c>
      <x:c r="C628" s="30" t="n">
        <x:f>COUNTIFS('Counter_PnL'!$D$2:$D$641,A628,'Counter_PnL'!$C$2:$C$641,B628)</x:f>
        <x:v>1</x:v>
      </x:c>
      <x:c r="D628" s="79" t="n">
        <x:f>ABS('Counter_PnL'!AC628-SUM('Counter_PnL'!V628:'Counter_PnL'!AB628))</x:f>
        <x:v>0</x:v>
      </x:c>
      <x:c r="E628" s="79" t="n">
        <x:f>ABS('Counter_PnL'!AI628-SUM('Counter_PnL'!R628,'Counter_PnL'!T628,'Counter_PnL'!AC628,'Counter_PnL'!AE628,'Counter_PnL'!AG628,'Counter_PnL'!AH628))</x:f>
        <x:v>0</x:v>
      </x:c>
      <x:c r="F628" s="79" t="n">
        <x:f>ABS('Counter_PnL'!AK628-('Counter_PnL'!Q628+'Counter_PnL'!AI628))</x:f>
        <x:v>0</x:v>
      </x:c>
      <x:c r="G628" s="79" t="n">
        <x:f>ABS('Counter_PnL'!AT628-SUM('Counter_PnL'!AO628:'Counter_PnL'!AS628))</x:f>
        <x:v>0</x:v>
      </x:c>
      <x:c r="H628" s="79" t="n">
        <x:f>ABS('Counter_PnL'!AV628-('Counter_PnL'!AK628+'Counter_PnL'!AT628))</x:f>
        <x:v>0</x:v>
      </x:c>
      <x:c r="I628" s="79" t="n">
        <x:f>ABS('Counter_PnL'!BE628-SUM('Counter_PnL'!AX628:'Counter_PnL'!BB628,'Counter_PnL'!BD628))</x:f>
        <x:v>0</x:v>
      </x:c>
      <x:c r="J628" s="79" t="n">
        <x:f>ABS('Counter_PnL'!BL628-SUM('Counter_PnL'!AV628,'Counter_PnL'!BE628,'Counter_PnL'!BJ628,'Counter_PnL'!BK628))</x:f>
        <x:v>0</x:v>
      </x:c>
      <x:c r="K628" s="79" t="n">
        <x:f>ABS('Counter_PnL'!BO628-('Counter_PnL'!BL628+'Counter_PnL'!BN628))</x:f>
        <x:v>0</x:v>
      </x:c>
      <x:c r="L628" s="79" t="n">
        <x:f>MAX(ABS('Counter_PnL'!AW628-'Counter_PnL'!AV628/'Counter_PnL'!AK628),ABS('Counter_PnL'!BM628-'Counter_PnL'!BL628/'Counter_PnL'!AK628),ABS('Counter_PnL'!BP628-'Counter_PnL'!BO628/'Counter_PnL'!AK628))</x:f>
        <x:v>0</x:v>
      </x:c>
      <x:c r="M628" s="30" t="n">
        <x:f>IF(AND('Counter_PnL'!Q628&gt;0,'Counter_PnL'!AK628&gt;0,'Counter_PnL'!R628&lt;=0,'Counter_PnL'!T628&lt;=0,'Counter_PnL'!AT628&lt;=0,'Counter_PnL'!BE628&lt;=0,'Counter_PnL'!BJ628&lt;=0,'Counter_PnL'!BK628&lt;=0,'Counter_PnL'!BN628&lt;=0),0,1)</x:f>
        <x:v>0</x:v>
      </x:c>
    </x:row>
    <x:row r="629">
      <x:c r="A629" t="str">
        <x:f>'Counter_PnL'!D629</x:f>
        <x:v>CNCT0157</x:v>
      </x:c>
      <x:c r="B629" t="str">
        <x:f>'Counter_PnL'!C629</x:f>
        <x:v>2026 S2</x:v>
      </x:c>
      <x:c r="C629" s="30" t="n">
        <x:f>COUNTIFS('Counter_PnL'!$D$2:$D$641,A629,'Counter_PnL'!$C$2:$C$641,B629)</x:f>
        <x:v>1</x:v>
      </x:c>
      <x:c r="D629" s="79" t="n">
        <x:f>ABS('Counter_PnL'!AC629-SUM('Counter_PnL'!V629:'Counter_PnL'!AB629))</x:f>
        <x:v>0</x:v>
      </x:c>
      <x:c r="E629" s="79" t="n">
        <x:f>ABS('Counter_PnL'!AI629-SUM('Counter_PnL'!R629,'Counter_PnL'!T629,'Counter_PnL'!AC629,'Counter_PnL'!AE629,'Counter_PnL'!AG629,'Counter_PnL'!AH629))</x:f>
        <x:v>0</x:v>
      </x:c>
      <x:c r="F629" s="79" t="n">
        <x:f>ABS('Counter_PnL'!AK629-('Counter_PnL'!Q629+'Counter_PnL'!AI629))</x:f>
        <x:v>0</x:v>
      </x:c>
      <x:c r="G629" s="79" t="n">
        <x:f>ABS('Counter_PnL'!AT629-SUM('Counter_PnL'!AO629:'Counter_PnL'!AS629))</x:f>
        <x:v>0</x:v>
      </x:c>
      <x:c r="H629" s="79" t="n">
        <x:f>ABS('Counter_PnL'!AV629-('Counter_PnL'!AK629+'Counter_PnL'!AT629))</x:f>
        <x:v>0</x:v>
      </x:c>
      <x:c r="I629" s="79" t="n">
        <x:f>ABS('Counter_PnL'!BE629-SUM('Counter_PnL'!AX629:'Counter_PnL'!BB629,'Counter_PnL'!BD629))</x:f>
        <x:v>0</x:v>
      </x:c>
      <x:c r="J629" s="79" t="n">
        <x:f>ABS('Counter_PnL'!BL629-SUM('Counter_PnL'!AV629,'Counter_PnL'!BE629,'Counter_PnL'!BJ629,'Counter_PnL'!BK629))</x:f>
        <x:v>0</x:v>
      </x:c>
      <x:c r="K629" s="79" t="n">
        <x:f>ABS('Counter_PnL'!BO629-('Counter_PnL'!BL629+'Counter_PnL'!BN629))</x:f>
        <x:v>0</x:v>
      </x:c>
      <x:c r="L629" s="79" t="n">
        <x:f>MAX(ABS('Counter_PnL'!AW629-'Counter_PnL'!AV629/'Counter_PnL'!AK629),ABS('Counter_PnL'!BM629-'Counter_PnL'!BL629/'Counter_PnL'!AK629),ABS('Counter_PnL'!BP629-'Counter_PnL'!BO629/'Counter_PnL'!AK629))</x:f>
        <x:v>0</x:v>
      </x:c>
      <x:c r="M629" s="30" t="n">
        <x:f>IF(AND('Counter_PnL'!Q629&gt;0,'Counter_PnL'!AK629&gt;0,'Counter_PnL'!R629&lt;=0,'Counter_PnL'!T629&lt;=0,'Counter_PnL'!AT629&lt;=0,'Counter_PnL'!BE629&lt;=0,'Counter_PnL'!BJ629&lt;=0,'Counter_PnL'!BK629&lt;=0,'Counter_PnL'!BN629&lt;=0),0,1)</x:f>
        <x:v>0</x:v>
      </x:c>
    </x:row>
    <x:row r="630">
      <x:c r="A630" t="str">
        <x:f>'Counter_PnL'!D630</x:f>
        <x:v>CNCT0158</x:v>
      </x:c>
      <x:c r="B630" t="str">
        <x:f>'Counter_PnL'!C630</x:f>
        <x:v>2025 S1</x:v>
      </x:c>
      <x:c r="C630" s="30" t="n">
        <x:f>COUNTIFS('Counter_PnL'!$D$2:$D$641,A630,'Counter_PnL'!$C$2:$C$641,B630)</x:f>
        <x:v>1</x:v>
      </x:c>
      <x:c r="D630" s="79" t="n">
        <x:f>ABS('Counter_PnL'!AC630-SUM('Counter_PnL'!V630:'Counter_PnL'!AB630))</x:f>
        <x:v>0</x:v>
      </x:c>
      <x:c r="E630" s="79" t="n">
        <x:f>ABS('Counter_PnL'!AI630-SUM('Counter_PnL'!R630,'Counter_PnL'!T630,'Counter_PnL'!AC630,'Counter_PnL'!AE630,'Counter_PnL'!AG630,'Counter_PnL'!AH630))</x:f>
        <x:v>0</x:v>
      </x:c>
      <x:c r="F630" s="79" t="n">
        <x:f>ABS('Counter_PnL'!AK630-('Counter_PnL'!Q630+'Counter_PnL'!AI630))</x:f>
        <x:v>0</x:v>
      </x:c>
      <x:c r="G630" s="79" t="n">
        <x:f>ABS('Counter_PnL'!AT630-SUM('Counter_PnL'!AO630:'Counter_PnL'!AS630))</x:f>
        <x:v>0</x:v>
      </x:c>
      <x:c r="H630" s="79" t="n">
        <x:f>ABS('Counter_PnL'!AV630-('Counter_PnL'!AK630+'Counter_PnL'!AT630))</x:f>
        <x:v>0</x:v>
      </x:c>
      <x:c r="I630" s="79" t="n">
        <x:f>ABS('Counter_PnL'!BE630-SUM('Counter_PnL'!AX630:'Counter_PnL'!BB630,'Counter_PnL'!BD630))</x:f>
        <x:v>0</x:v>
      </x:c>
      <x:c r="J630" s="79" t="n">
        <x:f>ABS('Counter_PnL'!BL630-SUM('Counter_PnL'!AV630,'Counter_PnL'!BE630,'Counter_PnL'!BJ630,'Counter_PnL'!BK630))</x:f>
        <x:v>0</x:v>
      </x:c>
      <x:c r="K630" s="79" t="n">
        <x:f>ABS('Counter_PnL'!BO630-('Counter_PnL'!BL630+'Counter_PnL'!BN630))</x:f>
        <x:v>0</x:v>
      </x:c>
      <x:c r="L630" s="79" t="n">
        <x:f>MAX(ABS('Counter_PnL'!AW630-'Counter_PnL'!AV630/'Counter_PnL'!AK630),ABS('Counter_PnL'!BM630-'Counter_PnL'!BL630/'Counter_PnL'!AK630),ABS('Counter_PnL'!BP630-'Counter_PnL'!BO630/'Counter_PnL'!AK630))</x:f>
        <x:v>0</x:v>
      </x:c>
      <x:c r="M630" s="30" t="n">
        <x:f>IF(AND('Counter_PnL'!Q630&gt;0,'Counter_PnL'!AK630&gt;0,'Counter_PnL'!R630&lt;=0,'Counter_PnL'!T630&lt;=0,'Counter_PnL'!AT630&lt;=0,'Counter_PnL'!BE630&lt;=0,'Counter_PnL'!BJ630&lt;=0,'Counter_PnL'!BK630&lt;=0,'Counter_PnL'!BN630&lt;=0),0,1)</x:f>
        <x:v>0</x:v>
      </x:c>
    </x:row>
    <x:row r="631">
      <x:c r="A631" t="str">
        <x:f>'Counter_PnL'!D631</x:f>
        <x:v>CNCT0158</x:v>
      </x:c>
      <x:c r="B631" t="str">
        <x:f>'Counter_PnL'!C631</x:f>
        <x:v>2025 S2</x:v>
      </x:c>
      <x:c r="C631" s="30" t="n">
        <x:f>COUNTIFS('Counter_PnL'!$D$2:$D$641,A631,'Counter_PnL'!$C$2:$C$641,B631)</x:f>
        <x:v>1</x:v>
      </x:c>
      <x:c r="D631" s="79" t="n">
        <x:f>ABS('Counter_PnL'!AC631-SUM('Counter_PnL'!V631:'Counter_PnL'!AB631))</x:f>
        <x:v>0</x:v>
      </x:c>
      <x:c r="E631" s="79" t="n">
        <x:f>ABS('Counter_PnL'!AI631-SUM('Counter_PnL'!R631,'Counter_PnL'!T631,'Counter_PnL'!AC631,'Counter_PnL'!AE631,'Counter_PnL'!AG631,'Counter_PnL'!AH631))</x:f>
        <x:v>0</x:v>
      </x:c>
      <x:c r="F631" s="79" t="n">
        <x:f>ABS('Counter_PnL'!AK631-('Counter_PnL'!Q631+'Counter_PnL'!AI631))</x:f>
        <x:v>0</x:v>
      </x:c>
      <x:c r="G631" s="79" t="n">
        <x:f>ABS('Counter_PnL'!AT631-SUM('Counter_PnL'!AO631:'Counter_PnL'!AS631))</x:f>
        <x:v>0</x:v>
      </x:c>
      <x:c r="H631" s="79" t="n">
        <x:f>ABS('Counter_PnL'!AV631-('Counter_PnL'!AK631+'Counter_PnL'!AT631))</x:f>
        <x:v>0</x:v>
      </x:c>
      <x:c r="I631" s="79" t="n">
        <x:f>ABS('Counter_PnL'!BE631-SUM('Counter_PnL'!AX631:'Counter_PnL'!BB631,'Counter_PnL'!BD631))</x:f>
        <x:v>0</x:v>
      </x:c>
      <x:c r="J631" s="79" t="n">
        <x:f>ABS('Counter_PnL'!BL631-SUM('Counter_PnL'!AV631,'Counter_PnL'!BE631,'Counter_PnL'!BJ631,'Counter_PnL'!BK631))</x:f>
        <x:v>0</x:v>
      </x:c>
      <x:c r="K631" s="79" t="n">
        <x:f>ABS('Counter_PnL'!BO631-('Counter_PnL'!BL631+'Counter_PnL'!BN631))</x:f>
        <x:v>0</x:v>
      </x:c>
      <x:c r="L631" s="79" t="n">
        <x:f>MAX(ABS('Counter_PnL'!AW631-'Counter_PnL'!AV631/'Counter_PnL'!AK631),ABS('Counter_PnL'!BM631-'Counter_PnL'!BL631/'Counter_PnL'!AK631),ABS('Counter_PnL'!BP631-'Counter_PnL'!BO631/'Counter_PnL'!AK631))</x:f>
        <x:v>0</x:v>
      </x:c>
      <x:c r="M631" s="30" t="n">
        <x:f>IF(AND('Counter_PnL'!Q631&gt;0,'Counter_PnL'!AK631&gt;0,'Counter_PnL'!R631&lt;=0,'Counter_PnL'!T631&lt;=0,'Counter_PnL'!AT631&lt;=0,'Counter_PnL'!BE631&lt;=0,'Counter_PnL'!BJ631&lt;=0,'Counter_PnL'!BK631&lt;=0,'Counter_PnL'!BN631&lt;=0),0,1)</x:f>
        <x:v>0</x:v>
      </x:c>
    </x:row>
    <x:row r="632">
      <x:c r="A632" t="str">
        <x:f>'Counter_PnL'!D632</x:f>
        <x:v>CNCT0158</x:v>
      </x:c>
      <x:c r="B632" t="str">
        <x:f>'Counter_PnL'!C632</x:f>
        <x:v>2026 S1</x:v>
      </x:c>
      <x:c r="C632" s="30" t="n">
        <x:f>COUNTIFS('Counter_PnL'!$D$2:$D$641,A632,'Counter_PnL'!$C$2:$C$641,B632)</x:f>
        <x:v>1</x:v>
      </x:c>
      <x:c r="D632" s="79" t="n">
        <x:f>ABS('Counter_PnL'!AC632-SUM('Counter_PnL'!V632:'Counter_PnL'!AB632))</x:f>
        <x:v>0</x:v>
      </x:c>
      <x:c r="E632" s="79" t="n">
        <x:f>ABS('Counter_PnL'!AI632-SUM('Counter_PnL'!R632,'Counter_PnL'!T632,'Counter_PnL'!AC632,'Counter_PnL'!AE632,'Counter_PnL'!AG632,'Counter_PnL'!AH632))</x:f>
        <x:v>0</x:v>
      </x:c>
      <x:c r="F632" s="79" t="n">
        <x:f>ABS('Counter_PnL'!AK632-('Counter_PnL'!Q632+'Counter_PnL'!AI632))</x:f>
        <x:v>0</x:v>
      </x:c>
      <x:c r="G632" s="79" t="n">
        <x:f>ABS('Counter_PnL'!AT632-SUM('Counter_PnL'!AO632:'Counter_PnL'!AS632))</x:f>
        <x:v>0</x:v>
      </x:c>
      <x:c r="H632" s="79" t="n">
        <x:f>ABS('Counter_PnL'!AV632-('Counter_PnL'!AK632+'Counter_PnL'!AT632))</x:f>
        <x:v>0</x:v>
      </x:c>
      <x:c r="I632" s="79" t="n">
        <x:f>ABS('Counter_PnL'!BE632-SUM('Counter_PnL'!AX632:'Counter_PnL'!BB632,'Counter_PnL'!BD632))</x:f>
        <x:v>0</x:v>
      </x:c>
      <x:c r="J632" s="79" t="n">
        <x:f>ABS('Counter_PnL'!BL632-SUM('Counter_PnL'!AV632,'Counter_PnL'!BE632,'Counter_PnL'!BJ632,'Counter_PnL'!BK632))</x:f>
        <x:v>0</x:v>
      </x:c>
      <x:c r="K632" s="79" t="n">
        <x:f>ABS('Counter_PnL'!BO632-('Counter_PnL'!BL632+'Counter_PnL'!BN632))</x:f>
        <x:v>0</x:v>
      </x:c>
      <x:c r="L632" s="79" t="n">
        <x:f>MAX(ABS('Counter_PnL'!AW632-'Counter_PnL'!AV632/'Counter_PnL'!AK632),ABS('Counter_PnL'!BM632-'Counter_PnL'!BL632/'Counter_PnL'!AK632),ABS('Counter_PnL'!BP632-'Counter_PnL'!BO632/'Counter_PnL'!AK632))</x:f>
        <x:v>0</x:v>
      </x:c>
      <x:c r="M632" s="30" t="n">
        <x:f>IF(AND('Counter_PnL'!Q632&gt;0,'Counter_PnL'!AK632&gt;0,'Counter_PnL'!R632&lt;=0,'Counter_PnL'!T632&lt;=0,'Counter_PnL'!AT632&lt;=0,'Counter_PnL'!BE632&lt;=0,'Counter_PnL'!BJ632&lt;=0,'Counter_PnL'!BK632&lt;=0,'Counter_PnL'!BN632&lt;=0),0,1)</x:f>
        <x:v>0</x:v>
      </x:c>
    </x:row>
    <x:row r="633">
      <x:c r="A633" t="str">
        <x:f>'Counter_PnL'!D633</x:f>
        <x:v>CNCT0158</x:v>
      </x:c>
      <x:c r="B633" t="str">
        <x:f>'Counter_PnL'!C633</x:f>
        <x:v>2026 S2</x:v>
      </x:c>
      <x:c r="C633" s="30" t="n">
        <x:f>COUNTIFS('Counter_PnL'!$D$2:$D$641,A633,'Counter_PnL'!$C$2:$C$641,B633)</x:f>
        <x:v>1</x:v>
      </x:c>
      <x:c r="D633" s="79" t="n">
        <x:f>ABS('Counter_PnL'!AC633-SUM('Counter_PnL'!V633:'Counter_PnL'!AB633))</x:f>
        <x:v>0</x:v>
      </x:c>
      <x:c r="E633" s="79" t="n">
        <x:f>ABS('Counter_PnL'!AI633-SUM('Counter_PnL'!R633,'Counter_PnL'!T633,'Counter_PnL'!AC633,'Counter_PnL'!AE633,'Counter_PnL'!AG633,'Counter_PnL'!AH633))</x:f>
        <x:v>0</x:v>
      </x:c>
      <x:c r="F633" s="79" t="n">
        <x:f>ABS('Counter_PnL'!AK633-('Counter_PnL'!Q633+'Counter_PnL'!AI633))</x:f>
        <x:v>0</x:v>
      </x:c>
      <x:c r="G633" s="79" t="n">
        <x:f>ABS('Counter_PnL'!AT633-SUM('Counter_PnL'!AO633:'Counter_PnL'!AS633))</x:f>
        <x:v>0</x:v>
      </x:c>
      <x:c r="H633" s="79" t="n">
        <x:f>ABS('Counter_PnL'!AV633-('Counter_PnL'!AK633+'Counter_PnL'!AT633))</x:f>
        <x:v>0</x:v>
      </x:c>
      <x:c r="I633" s="79" t="n">
        <x:f>ABS('Counter_PnL'!BE633-SUM('Counter_PnL'!AX633:'Counter_PnL'!BB633,'Counter_PnL'!BD633))</x:f>
        <x:v>0</x:v>
      </x:c>
      <x:c r="J633" s="79" t="n">
        <x:f>ABS('Counter_PnL'!BL633-SUM('Counter_PnL'!AV633,'Counter_PnL'!BE633,'Counter_PnL'!BJ633,'Counter_PnL'!BK633))</x:f>
        <x:v>0</x:v>
      </x:c>
      <x:c r="K633" s="79" t="n">
        <x:f>ABS('Counter_PnL'!BO633-('Counter_PnL'!BL633+'Counter_PnL'!BN633))</x:f>
        <x:v>0</x:v>
      </x:c>
      <x:c r="L633" s="79" t="n">
        <x:f>MAX(ABS('Counter_PnL'!AW633-'Counter_PnL'!AV633/'Counter_PnL'!AK633),ABS('Counter_PnL'!BM633-'Counter_PnL'!BL633/'Counter_PnL'!AK633),ABS('Counter_PnL'!BP633-'Counter_PnL'!BO633/'Counter_PnL'!AK633))</x:f>
        <x:v>0</x:v>
      </x:c>
      <x:c r="M633" s="30" t="n">
        <x:f>IF(AND('Counter_PnL'!Q633&gt;0,'Counter_PnL'!AK633&gt;0,'Counter_PnL'!R633&lt;=0,'Counter_PnL'!T633&lt;=0,'Counter_PnL'!AT633&lt;=0,'Counter_PnL'!BE633&lt;=0,'Counter_PnL'!BJ633&lt;=0,'Counter_PnL'!BK633&lt;=0,'Counter_PnL'!BN633&lt;=0),0,1)</x:f>
        <x:v>0</x:v>
      </x:c>
    </x:row>
    <x:row r="634">
      <x:c r="A634" t="str">
        <x:f>'Counter_PnL'!D634</x:f>
        <x:v>CNCT0159</x:v>
      </x:c>
      <x:c r="B634" t="str">
        <x:f>'Counter_PnL'!C634</x:f>
        <x:v>2025 S1</x:v>
      </x:c>
      <x:c r="C634" s="30" t="n">
        <x:f>COUNTIFS('Counter_PnL'!$D$2:$D$641,A634,'Counter_PnL'!$C$2:$C$641,B634)</x:f>
        <x:v>1</x:v>
      </x:c>
      <x:c r="D634" s="79" t="n">
        <x:f>ABS('Counter_PnL'!AC634-SUM('Counter_PnL'!V634:'Counter_PnL'!AB634))</x:f>
        <x:v>0</x:v>
      </x:c>
      <x:c r="E634" s="79" t="n">
        <x:f>ABS('Counter_PnL'!AI634-SUM('Counter_PnL'!R634,'Counter_PnL'!T634,'Counter_PnL'!AC634,'Counter_PnL'!AE634,'Counter_PnL'!AG634,'Counter_PnL'!AH634))</x:f>
        <x:v>0</x:v>
      </x:c>
      <x:c r="F634" s="79" t="n">
        <x:f>ABS('Counter_PnL'!AK634-('Counter_PnL'!Q634+'Counter_PnL'!AI634))</x:f>
        <x:v>0</x:v>
      </x:c>
      <x:c r="G634" s="79" t="n">
        <x:f>ABS('Counter_PnL'!AT634-SUM('Counter_PnL'!AO634:'Counter_PnL'!AS634))</x:f>
        <x:v>0</x:v>
      </x:c>
      <x:c r="H634" s="79" t="n">
        <x:f>ABS('Counter_PnL'!AV634-('Counter_PnL'!AK634+'Counter_PnL'!AT634))</x:f>
        <x:v>0</x:v>
      </x:c>
      <x:c r="I634" s="79" t="n">
        <x:f>ABS('Counter_PnL'!BE634-SUM('Counter_PnL'!AX634:'Counter_PnL'!BB634,'Counter_PnL'!BD634))</x:f>
        <x:v>0</x:v>
      </x:c>
      <x:c r="J634" s="79" t="n">
        <x:f>ABS('Counter_PnL'!BL634-SUM('Counter_PnL'!AV634,'Counter_PnL'!BE634,'Counter_PnL'!BJ634,'Counter_PnL'!BK634))</x:f>
        <x:v>0</x:v>
      </x:c>
      <x:c r="K634" s="79" t="n">
        <x:f>ABS('Counter_PnL'!BO634-('Counter_PnL'!BL634+'Counter_PnL'!BN634))</x:f>
        <x:v>0</x:v>
      </x:c>
      <x:c r="L634" s="79" t="n">
        <x:f>MAX(ABS('Counter_PnL'!AW634-'Counter_PnL'!AV634/'Counter_PnL'!AK634),ABS('Counter_PnL'!BM634-'Counter_PnL'!BL634/'Counter_PnL'!AK634),ABS('Counter_PnL'!BP634-'Counter_PnL'!BO634/'Counter_PnL'!AK634))</x:f>
        <x:v>0</x:v>
      </x:c>
      <x:c r="M634" s="30" t="n">
        <x:f>IF(AND('Counter_PnL'!Q634&gt;0,'Counter_PnL'!AK634&gt;0,'Counter_PnL'!R634&lt;=0,'Counter_PnL'!T634&lt;=0,'Counter_PnL'!AT634&lt;=0,'Counter_PnL'!BE634&lt;=0,'Counter_PnL'!BJ634&lt;=0,'Counter_PnL'!BK634&lt;=0,'Counter_PnL'!BN634&lt;=0),0,1)</x:f>
        <x:v>0</x:v>
      </x:c>
    </x:row>
    <x:row r="635">
      <x:c r="A635" t="str">
        <x:f>'Counter_PnL'!D635</x:f>
        <x:v>CNCT0159</x:v>
      </x:c>
      <x:c r="B635" t="str">
        <x:f>'Counter_PnL'!C635</x:f>
        <x:v>2025 S2</x:v>
      </x:c>
      <x:c r="C635" s="30" t="n">
        <x:f>COUNTIFS('Counter_PnL'!$D$2:$D$641,A635,'Counter_PnL'!$C$2:$C$641,B635)</x:f>
        <x:v>1</x:v>
      </x:c>
      <x:c r="D635" s="79" t="n">
        <x:f>ABS('Counter_PnL'!AC635-SUM('Counter_PnL'!V635:'Counter_PnL'!AB635))</x:f>
        <x:v>0</x:v>
      </x:c>
      <x:c r="E635" s="79" t="n">
        <x:f>ABS('Counter_PnL'!AI635-SUM('Counter_PnL'!R635,'Counter_PnL'!T635,'Counter_PnL'!AC635,'Counter_PnL'!AE635,'Counter_PnL'!AG635,'Counter_PnL'!AH635))</x:f>
        <x:v>0</x:v>
      </x:c>
      <x:c r="F635" s="79" t="n">
        <x:f>ABS('Counter_PnL'!AK635-('Counter_PnL'!Q635+'Counter_PnL'!AI635))</x:f>
        <x:v>0</x:v>
      </x:c>
      <x:c r="G635" s="79" t="n">
        <x:f>ABS('Counter_PnL'!AT635-SUM('Counter_PnL'!AO635:'Counter_PnL'!AS635))</x:f>
        <x:v>0</x:v>
      </x:c>
      <x:c r="H635" s="79" t="n">
        <x:f>ABS('Counter_PnL'!AV635-('Counter_PnL'!AK635+'Counter_PnL'!AT635))</x:f>
        <x:v>0</x:v>
      </x:c>
      <x:c r="I635" s="79" t="n">
        <x:f>ABS('Counter_PnL'!BE635-SUM('Counter_PnL'!AX635:'Counter_PnL'!BB635,'Counter_PnL'!BD635))</x:f>
        <x:v>0</x:v>
      </x:c>
      <x:c r="J635" s="79" t="n">
        <x:f>ABS('Counter_PnL'!BL635-SUM('Counter_PnL'!AV635,'Counter_PnL'!BE635,'Counter_PnL'!BJ635,'Counter_PnL'!BK635))</x:f>
        <x:v>0</x:v>
      </x:c>
      <x:c r="K635" s="79" t="n">
        <x:f>ABS('Counter_PnL'!BO635-('Counter_PnL'!BL635+'Counter_PnL'!BN635))</x:f>
        <x:v>0</x:v>
      </x:c>
      <x:c r="L635" s="79" t="n">
        <x:f>MAX(ABS('Counter_PnL'!AW635-'Counter_PnL'!AV635/'Counter_PnL'!AK635),ABS('Counter_PnL'!BM635-'Counter_PnL'!BL635/'Counter_PnL'!AK635),ABS('Counter_PnL'!BP635-'Counter_PnL'!BO635/'Counter_PnL'!AK635))</x:f>
        <x:v>0</x:v>
      </x:c>
      <x:c r="M635" s="30" t="n">
        <x:f>IF(AND('Counter_PnL'!Q635&gt;0,'Counter_PnL'!AK635&gt;0,'Counter_PnL'!R635&lt;=0,'Counter_PnL'!T635&lt;=0,'Counter_PnL'!AT635&lt;=0,'Counter_PnL'!BE635&lt;=0,'Counter_PnL'!BJ635&lt;=0,'Counter_PnL'!BK635&lt;=0,'Counter_PnL'!BN635&lt;=0),0,1)</x:f>
        <x:v>0</x:v>
      </x:c>
    </x:row>
    <x:row r="636">
      <x:c r="A636" t="str">
        <x:f>'Counter_PnL'!D636</x:f>
        <x:v>CNCT0159</x:v>
      </x:c>
      <x:c r="B636" t="str">
        <x:f>'Counter_PnL'!C636</x:f>
        <x:v>2026 S1</x:v>
      </x:c>
      <x:c r="C636" s="30" t="n">
        <x:f>COUNTIFS('Counter_PnL'!$D$2:$D$641,A636,'Counter_PnL'!$C$2:$C$641,B636)</x:f>
        <x:v>1</x:v>
      </x:c>
      <x:c r="D636" s="79" t="n">
        <x:f>ABS('Counter_PnL'!AC636-SUM('Counter_PnL'!V636:'Counter_PnL'!AB636))</x:f>
        <x:v>0</x:v>
      </x:c>
      <x:c r="E636" s="79" t="n">
        <x:f>ABS('Counter_PnL'!AI636-SUM('Counter_PnL'!R636,'Counter_PnL'!T636,'Counter_PnL'!AC636,'Counter_PnL'!AE636,'Counter_PnL'!AG636,'Counter_PnL'!AH636))</x:f>
        <x:v>0</x:v>
      </x:c>
      <x:c r="F636" s="79" t="n">
        <x:f>ABS('Counter_PnL'!AK636-('Counter_PnL'!Q636+'Counter_PnL'!AI636))</x:f>
        <x:v>0</x:v>
      </x:c>
      <x:c r="G636" s="79" t="n">
        <x:f>ABS('Counter_PnL'!AT636-SUM('Counter_PnL'!AO636:'Counter_PnL'!AS636))</x:f>
        <x:v>0</x:v>
      </x:c>
      <x:c r="H636" s="79" t="n">
        <x:f>ABS('Counter_PnL'!AV636-('Counter_PnL'!AK636+'Counter_PnL'!AT636))</x:f>
        <x:v>0</x:v>
      </x:c>
      <x:c r="I636" s="79" t="n">
        <x:f>ABS('Counter_PnL'!BE636-SUM('Counter_PnL'!AX636:'Counter_PnL'!BB636,'Counter_PnL'!BD636))</x:f>
        <x:v>0</x:v>
      </x:c>
      <x:c r="J636" s="79" t="n">
        <x:f>ABS('Counter_PnL'!BL636-SUM('Counter_PnL'!AV636,'Counter_PnL'!BE636,'Counter_PnL'!BJ636,'Counter_PnL'!BK636))</x:f>
        <x:v>0</x:v>
      </x:c>
      <x:c r="K636" s="79" t="n">
        <x:f>ABS('Counter_PnL'!BO636-('Counter_PnL'!BL636+'Counter_PnL'!BN636))</x:f>
        <x:v>0</x:v>
      </x:c>
      <x:c r="L636" s="79" t="n">
        <x:f>MAX(ABS('Counter_PnL'!AW636-'Counter_PnL'!AV636/'Counter_PnL'!AK636),ABS('Counter_PnL'!BM636-'Counter_PnL'!BL636/'Counter_PnL'!AK636),ABS('Counter_PnL'!BP636-'Counter_PnL'!BO636/'Counter_PnL'!AK636))</x:f>
        <x:v>0</x:v>
      </x:c>
      <x:c r="M636" s="30" t="n">
        <x:f>IF(AND('Counter_PnL'!Q636&gt;0,'Counter_PnL'!AK636&gt;0,'Counter_PnL'!R636&lt;=0,'Counter_PnL'!T636&lt;=0,'Counter_PnL'!AT636&lt;=0,'Counter_PnL'!BE636&lt;=0,'Counter_PnL'!BJ636&lt;=0,'Counter_PnL'!BK636&lt;=0,'Counter_PnL'!BN636&lt;=0),0,1)</x:f>
        <x:v>0</x:v>
      </x:c>
    </x:row>
    <x:row r="637">
      <x:c r="A637" t="str">
        <x:f>'Counter_PnL'!D637</x:f>
        <x:v>CNCT0159</x:v>
      </x:c>
      <x:c r="B637" t="str">
        <x:f>'Counter_PnL'!C637</x:f>
        <x:v>2026 S2</x:v>
      </x:c>
      <x:c r="C637" s="30" t="n">
        <x:f>COUNTIFS('Counter_PnL'!$D$2:$D$641,A637,'Counter_PnL'!$C$2:$C$641,B637)</x:f>
        <x:v>1</x:v>
      </x:c>
      <x:c r="D637" s="79" t="n">
        <x:f>ABS('Counter_PnL'!AC637-SUM('Counter_PnL'!V637:'Counter_PnL'!AB637))</x:f>
        <x:v>0</x:v>
      </x:c>
      <x:c r="E637" s="79" t="n">
        <x:f>ABS('Counter_PnL'!AI637-SUM('Counter_PnL'!R637,'Counter_PnL'!T637,'Counter_PnL'!AC637,'Counter_PnL'!AE637,'Counter_PnL'!AG637,'Counter_PnL'!AH637))</x:f>
        <x:v>0</x:v>
      </x:c>
      <x:c r="F637" s="79" t="n">
        <x:f>ABS('Counter_PnL'!AK637-('Counter_PnL'!Q637+'Counter_PnL'!AI637))</x:f>
        <x:v>0</x:v>
      </x:c>
      <x:c r="G637" s="79" t="n">
        <x:f>ABS('Counter_PnL'!AT637-SUM('Counter_PnL'!AO637:'Counter_PnL'!AS637))</x:f>
        <x:v>0</x:v>
      </x:c>
      <x:c r="H637" s="79" t="n">
        <x:f>ABS('Counter_PnL'!AV637-('Counter_PnL'!AK637+'Counter_PnL'!AT637))</x:f>
        <x:v>0</x:v>
      </x:c>
      <x:c r="I637" s="79" t="n">
        <x:f>ABS('Counter_PnL'!BE637-SUM('Counter_PnL'!AX637:'Counter_PnL'!BB637,'Counter_PnL'!BD637))</x:f>
        <x:v>0</x:v>
      </x:c>
      <x:c r="J637" s="79" t="n">
        <x:f>ABS('Counter_PnL'!BL637-SUM('Counter_PnL'!AV637,'Counter_PnL'!BE637,'Counter_PnL'!BJ637,'Counter_PnL'!BK637))</x:f>
        <x:v>0</x:v>
      </x:c>
      <x:c r="K637" s="79" t="n">
        <x:f>ABS('Counter_PnL'!BO637-('Counter_PnL'!BL637+'Counter_PnL'!BN637))</x:f>
        <x:v>0</x:v>
      </x:c>
      <x:c r="L637" s="79" t="n">
        <x:f>MAX(ABS('Counter_PnL'!AW637-'Counter_PnL'!AV637/'Counter_PnL'!AK637),ABS('Counter_PnL'!BM637-'Counter_PnL'!BL637/'Counter_PnL'!AK637),ABS('Counter_PnL'!BP637-'Counter_PnL'!BO637/'Counter_PnL'!AK637))</x:f>
        <x:v>0</x:v>
      </x:c>
      <x:c r="M637" s="30" t="n">
        <x:f>IF(AND('Counter_PnL'!Q637&gt;0,'Counter_PnL'!AK637&gt;0,'Counter_PnL'!R637&lt;=0,'Counter_PnL'!T637&lt;=0,'Counter_PnL'!AT637&lt;=0,'Counter_PnL'!BE637&lt;=0,'Counter_PnL'!BJ637&lt;=0,'Counter_PnL'!BK637&lt;=0,'Counter_PnL'!BN637&lt;=0),0,1)</x:f>
        <x:v>0</x:v>
      </x:c>
    </x:row>
    <x:row r="638">
      <x:c r="A638" t="str">
        <x:f>'Counter_PnL'!D638</x:f>
        <x:v>CNCT0160</x:v>
      </x:c>
      <x:c r="B638" t="str">
        <x:f>'Counter_PnL'!C638</x:f>
        <x:v>2025 S1</x:v>
      </x:c>
      <x:c r="C638" s="30" t="n">
        <x:f>COUNTIFS('Counter_PnL'!$D$2:$D$641,A638,'Counter_PnL'!$C$2:$C$641,B638)</x:f>
        <x:v>1</x:v>
      </x:c>
      <x:c r="D638" s="79" t="n">
        <x:f>ABS('Counter_PnL'!AC638-SUM('Counter_PnL'!V638:'Counter_PnL'!AB638))</x:f>
        <x:v>0</x:v>
      </x:c>
      <x:c r="E638" s="79" t="n">
        <x:f>ABS('Counter_PnL'!AI638-SUM('Counter_PnL'!R638,'Counter_PnL'!T638,'Counter_PnL'!AC638,'Counter_PnL'!AE638,'Counter_PnL'!AG638,'Counter_PnL'!AH638))</x:f>
        <x:v>0</x:v>
      </x:c>
      <x:c r="F638" s="79" t="n">
        <x:f>ABS('Counter_PnL'!AK638-('Counter_PnL'!Q638+'Counter_PnL'!AI638))</x:f>
        <x:v>0</x:v>
      </x:c>
      <x:c r="G638" s="79" t="n">
        <x:f>ABS('Counter_PnL'!AT638-SUM('Counter_PnL'!AO638:'Counter_PnL'!AS638))</x:f>
        <x:v>0</x:v>
      </x:c>
      <x:c r="H638" s="79" t="n">
        <x:f>ABS('Counter_PnL'!AV638-('Counter_PnL'!AK638+'Counter_PnL'!AT638))</x:f>
        <x:v>0</x:v>
      </x:c>
      <x:c r="I638" s="79" t="n">
        <x:f>ABS('Counter_PnL'!BE638-SUM('Counter_PnL'!AX638:'Counter_PnL'!BB638,'Counter_PnL'!BD638))</x:f>
        <x:v>0</x:v>
      </x:c>
      <x:c r="J638" s="79" t="n">
        <x:f>ABS('Counter_PnL'!BL638-SUM('Counter_PnL'!AV638,'Counter_PnL'!BE638,'Counter_PnL'!BJ638,'Counter_PnL'!BK638))</x:f>
        <x:v>0</x:v>
      </x:c>
      <x:c r="K638" s="79" t="n">
        <x:f>ABS('Counter_PnL'!BO638-('Counter_PnL'!BL638+'Counter_PnL'!BN638))</x:f>
        <x:v>0</x:v>
      </x:c>
      <x:c r="L638" s="79" t="n">
        <x:f>MAX(ABS('Counter_PnL'!AW638-'Counter_PnL'!AV638/'Counter_PnL'!AK638),ABS('Counter_PnL'!BM638-'Counter_PnL'!BL638/'Counter_PnL'!AK638),ABS('Counter_PnL'!BP638-'Counter_PnL'!BO638/'Counter_PnL'!AK638))</x:f>
        <x:v>0</x:v>
      </x:c>
      <x:c r="M638" s="30" t="n">
        <x:f>IF(AND('Counter_PnL'!Q638&gt;0,'Counter_PnL'!AK638&gt;0,'Counter_PnL'!R638&lt;=0,'Counter_PnL'!T638&lt;=0,'Counter_PnL'!AT638&lt;=0,'Counter_PnL'!BE638&lt;=0,'Counter_PnL'!BJ638&lt;=0,'Counter_PnL'!BK638&lt;=0,'Counter_PnL'!BN638&lt;=0),0,1)</x:f>
        <x:v>0</x:v>
      </x:c>
    </x:row>
    <x:row r="639">
      <x:c r="A639" t="str">
        <x:f>'Counter_PnL'!D639</x:f>
        <x:v>CNCT0160</x:v>
      </x:c>
      <x:c r="B639" t="str">
        <x:f>'Counter_PnL'!C639</x:f>
        <x:v>2025 S2</x:v>
      </x:c>
      <x:c r="C639" s="30" t="n">
        <x:f>COUNTIFS('Counter_PnL'!$D$2:$D$641,A639,'Counter_PnL'!$C$2:$C$641,B639)</x:f>
        <x:v>1</x:v>
      </x:c>
      <x:c r="D639" s="79" t="n">
        <x:f>ABS('Counter_PnL'!AC639-SUM('Counter_PnL'!V639:'Counter_PnL'!AB639))</x:f>
        <x:v>0</x:v>
      </x:c>
      <x:c r="E639" s="79" t="n">
        <x:f>ABS('Counter_PnL'!AI639-SUM('Counter_PnL'!R639,'Counter_PnL'!T639,'Counter_PnL'!AC639,'Counter_PnL'!AE639,'Counter_PnL'!AG639,'Counter_PnL'!AH639))</x:f>
        <x:v>0</x:v>
      </x:c>
      <x:c r="F639" s="79" t="n">
        <x:f>ABS('Counter_PnL'!AK639-('Counter_PnL'!Q639+'Counter_PnL'!AI639))</x:f>
        <x:v>0</x:v>
      </x:c>
      <x:c r="G639" s="79" t="n">
        <x:f>ABS('Counter_PnL'!AT639-SUM('Counter_PnL'!AO639:'Counter_PnL'!AS639))</x:f>
        <x:v>0</x:v>
      </x:c>
      <x:c r="H639" s="79" t="n">
        <x:f>ABS('Counter_PnL'!AV639-('Counter_PnL'!AK639+'Counter_PnL'!AT639))</x:f>
        <x:v>0</x:v>
      </x:c>
      <x:c r="I639" s="79" t="n">
        <x:f>ABS('Counter_PnL'!BE639-SUM('Counter_PnL'!AX639:'Counter_PnL'!BB639,'Counter_PnL'!BD639))</x:f>
        <x:v>0</x:v>
      </x:c>
      <x:c r="J639" s="79" t="n">
        <x:f>ABS('Counter_PnL'!BL639-SUM('Counter_PnL'!AV639,'Counter_PnL'!BE639,'Counter_PnL'!BJ639,'Counter_PnL'!BK639))</x:f>
        <x:v>0</x:v>
      </x:c>
      <x:c r="K639" s="79" t="n">
        <x:f>ABS('Counter_PnL'!BO639-('Counter_PnL'!BL639+'Counter_PnL'!BN639))</x:f>
        <x:v>0</x:v>
      </x:c>
      <x:c r="L639" s="79" t="n">
        <x:f>MAX(ABS('Counter_PnL'!AW639-'Counter_PnL'!AV639/'Counter_PnL'!AK639),ABS('Counter_PnL'!BM639-'Counter_PnL'!BL639/'Counter_PnL'!AK639),ABS('Counter_PnL'!BP639-'Counter_PnL'!BO639/'Counter_PnL'!AK639))</x:f>
        <x:v>0</x:v>
      </x:c>
      <x:c r="M639" s="30" t="n">
        <x:f>IF(AND('Counter_PnL'!Q639&gt;0,'Counter_PnL'!AK639&gt;0,'Counter_PnL'!R639&lt;=0,'Counter_PnL'!T639&lt;=0,'Counter_PnL'!AT639&lt;=0,'Counter_PnL'!BE639&lt;=0,'Counter_PnL'!BJ639&lt;=0,'Counter_PnL'!BK639&lt;=0,'Counter_PnL'!BN639&lt;=0),0,1)</x:f>
        <x:v>0</x:v>
      </x:c>
    </x:row>
    <x:row r="640">
      <x:c r="A640" t="str">
        <x:f>'Counter_PnL'!D640</x:f>
        <x:v>CNCT0160</x:v>
      </x:c>
      <x:c r="B640" t="str">
        <x:f>'Counter_PnL'!C640</x:f>
        <x:v>2026 S1</x:v>
      </x:c>
      <x:c r="C640" s="30" t="n">
        <x:f>COUNTIFS('Counter_PnL'!$D$2:$D$641,A640,'Counter_PnL'!$C$2:$C$641,B640)</x:f>
        <x:v>1</x:v>
      </x:c>
      <x:c r="D640" s="79" t="n">
        <x:f>ABS('Counter_PnL'!AC640-SUM('Counter_PnL'!V640:'Counter_PnL'!AB640))</x:f>
        <x:v>0</x:v>
      </x:c>
      <x:c r="E640" s="79" t="n">
        <x:f>ABS('Counter_PnL'!AI640-SUM('Counter_PnL'!R640,'Counter_PnL'!T640,'Counter_PnL'!AC640,'Counter_PnL'!AE640,'Counter_PnL'!AG640,'Counter_PnL'!AH640))</x:f>
        <x:v>0</x:v>
      </x:c>
      <x:c r="F640" s="79" t="n">
        <x:f>ABS('Counter_PnL'!AK640-('Counter_PnL'!Q640+'Counter_PnL'!AI640))</x:f>
        <x:v>0</x:v>
      </x:c>
      <x:c r="G640" s="79" t="n">
        <x:f>ABS('Counter_PnL'!AT640-SUM('Counter_PnL'!AO640:'Counter_PnL'!AS640))</x:f>
        <x:v>0</x:v>
      </x:c>
      <x:c r="H640" s="79" t="n">
        <x:f>ABS('Counter_PnL'!AV640-('Counter_PnL'!AK640+'Counter_PnL'!AT640))</x:f>
        <x:v>0</x:v>
      </x:c>
      <x:c r="I640" s="79" t="n">
        <x:f>ABS('Counter_PnL'!BE640-SUM('Counter_PnL'!AX640:'Counter_PnL'!BB640,'Counter_PnL'!BD640))</x:f>
        <x:v>0</x:v>
      </x:c>
      <x:c r="J640" s="79" t="n">
        <x:f>ABS('Counter_PnL'!BL640-SUM('Counter_PnL'!AV640,'Counter_PnL'!BE640,'Counter_PnL'!BJ640,'Counter_PnL'!BK640))</x:f>
        <x:v>0</x:v>
      </x:c>
      <x:c r="K640" s="79" t="n">
        <x:f>ABS('Counter_PnL'!BO640-('Counter_PnL'!BL640+'Counter_PnL'!BN640))</x:f>
        <x:v>0</x:v>
      </x:c>
      <x:c r="L640" s="79" t="n">
        <x:f>MAX(ABS('Counter_PnL'!AW640-'Counter_PnL'!AV640/'Counter_PnL'!AK640),ABS('Counter_PnL'!BM640-'Counter_PnL'!BL640/'Counter_PnL'!AK640),ABS('Counter_PnL'!BP640-'Counter_PnL'!BO640/'Counter_PnL'!AK640))</x:f>
        <x:v>0</x:v>
      </x:c>
      <x:c r="M640" s="30" t="n">
        <x:f>IF(AND('Counter_PnL'!Q640&gt;0,'Counter_PnL'!AK640&gt;0,'Counter_PnL'!R640&lt;=0,'Counter_PnL'!T640&lt;=0,'Counter_PnL'!AT640&lt;=0,'Counter_PnL'!BE640&lt;=0,'Counter_PnL'!BJ640&lt;=0,'Counter_PnL'!BK640&lt;=0,'Counter_PnL'!BN640&lt;=0),0,1)</x:f>
        <x:v>0</x:v>
      </x:c>
    </x:row>
    <x:row r="641">
      <x:c r="A641" t="str">
        <x:f>'Counter_PnL'!D641</x:f>
        <x:v>CNCT0160</x:v>
      </x:c>
      <x:c r="B641" t="str">
        <x:f>'Counter_PnL'!C641</x:f>
        <x:v>2026 S2</x:v>
      </x:c>
      <x:c r="C641" s="30" t="n">
        <x:f>COUNTIFS('Counter_PnL'!$D$2:$D$641,A641,'Counter_PnL'!$C$2:$C$641,B641)</x:f>
        <x:v>1</x:v>
      </x:c>
      <x:c r="D641" s="79" t="n">
        <x:f>ABS('Counter_PnL'!AC641-SUM('Counter_PnL'!V641:'Counter_PnL'!AB641))</x:f>
        <x:v>0</x:v>
      </x:c>
      <x:c r="E641" s="79" t="n">
        <x:f>ABS('Counter_PnL'!AI641-SUM('Counter_PnL'!R641,'Counter_PnL'!T641,'Counter_PnL'!AC641,'Counter_PnL'!AE641,'Counter_PnL'!AG641,'Counter_PnL'!AH641))</x:f>
        <x:v>0</x:v>
      </x:c>
      <x:c r="F641" s="79" t="n">
        <x:f>ABS('Counter_PnL'!AK641-('Counter_PnL'!Q641+'Counter_PnL'!AI641))</x:f>
        <x:v>0</x:v>
      </x:c>
      <x:c r="G641" s="79" t="n">
        <x:f>ABS('Counter_PnL'!AT641-SUM('Counter_PnL'!AO641:'Counter_PnL'!AS641))</x:f>
        <x:v>0</x:v>
      </x:c>
      <x:c r="H641" s="79" t="n">
        <x:f>ABS('Counter_PnL'!AV641-('Counter_PnL'!AK641+'Counter_PnL'!AT641))</x:f>
        <x:v>0</x:v>
      </x:c>
      <x:c r="I641" s="79" t="n">
        <x:f>ABS('Counter_PnL'!BE641-SUM('Counter_PnL'!AX641:'Counter_PnL'!BB641,'Counter_PnL'!BD641))</x:f>
        <x:v>0</x:v>
      </x:c>
      <x:c r="J641" s="79" t="n">
        <x:f>ABS('Counter_PnL'!BL641-SUM('Counter_PnL'!AV641,'Counter_PnL'!BE641,'Counter_PnL'!BJ641,'Counter_PnL'!BK641))</x:f>
        <x:v>0</x:v>
      </x:c>
      <x:c r="K641" s="79" t="n">
        <x:f>ABS('Counter_PnL'!BO641-('Counter_PnL'!BL641+'Counter_PnL'!BN641))</x:f>
        <x:v>0</x:v>
      </x:c>
      <x:c r="L641" s="79" t="n">
        <x:f>MAX(ABS('Counter_PnL'!AW641-'Counter_PnL'!AV641/'Counter_PnL'!AK641),ABS('Counter_PnL'!BM641-'Counter_PnL'!BL641/'Counter_PnL'!AK641),ABS('Counter_PnL'!BP641-'Counter_PnL'!BO641/'Counter_PnL'!AK641))</x:f>
        <x:v>0</x:v>
      </x:c>
      <x:c r="M641" s="30" t="n">
        <x:f>IF(AND('Counter_PnL'!Q641&gt;0,'Counter_PnL'!AK641&gt;0,'Counter_PnL'!R641&lt;=0,'Counter_PnL'!T641&lt;=0,'Counter_PnL'!AT641&lt;=0,'Counter_PnL'!BE641&lt;=0,'Counter_PnL'!BJ641&lt;=0,'Counter_PnL'!BK641&lt;=0,'Counter_PnL'!BN641&lt;=0),0,1)</x:f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70fcaeb40fd498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62" hidden="0" customWidth="1"/>
    <x:col min="4" max="4" width="30" hidden="0" customWidth="1"/>
  </x:cols>
  <x:sheetData>
    <x:row r="1" ht="28" customHeight="1">
      <x:c r="A1" s="5" t="str">
        <x:v>Field</x:v>
      </x:c>
      <x:c r="B1" s="5" t="str">
        <x:v>Data type / unit</x:v>
      </x:c>
      <x:c r="C1" s="5" t="str">
        <x:v>Definition / calculation</x:v>
      </x:c>
      <x:c r="D1" s="5" t="str">
        <x:v>Dashboard role</x:v>
      </x:c>
    </x:row>
    <x:row r="2">
      <x:c r="A2" s="92" t="str">
        <x:v>Year</x:v>
      </x:c>
      <x:c r="B2" s="92" t="str">
        <x:v>Integer</x:v>
      </x:c>
      <x:c r="C2" s="92" t="str">
        <x:v>Source dimension or formula-driven P&amp;L line</x:v>
      </x:c>
      <x:c r="D2" s="92" t="str">
        <x:v>Period filter / YoY key</x:v>
      </x:c>
    </x:row>
    <x:row r="3">
      <x:c r="A3" s="92" t="str">
        <x:v>Review Period</x:v>
      </x:c>
      <x:c r="B3" s="92" t="str">
        <x:v>Text / dimension</x:v>
      </x:c>
      <x:c r="C3" s="92" t="str">
        <x:v>Source dimension or formula-driven P&amp;L line</x:v>
      </x:c>
      <x:c r="D3" s="92" t="str">
        <x:v>Period filter / YoY key</x:v>
      </x:c>
    </x:row>
    <x:row r="4">
      <x:c r="A4" s="92" t="str">
        <x:v>Period Key</x:v>
      </x:c>
      <x:c r="B4" s="92" t="str">
        <x:v>Text / dimension</x:v>
      </x:c>
      <x:c r="C4" s="92" t="str">
        <x:v>Source dimension or formula-driven P&amp;L line</x:v>
      </x:c>
      <x:c r="D4" s="92" t="str">
        <x:v>Period filter / YoY key</x:v>
      </x:c>
    </x:row>
    <x:row r="5">
      <x:c r="A5" s="92" t="str">
        <x:v>Store ID</x:v>
      </x:c>
      <x:c r="B5" s="92" t="str">
        <x:v>Text / dimension</x:v>
      </x:c>
      <x:c r="C5" s="92" t="str">
        <x:v>Source dimension or formula-driven P&amp;L line</x:v>
      </x:c>
      <x:c r="D5" s="92" t="str">
        <x:v>Filter / drill-down</x:v>
      </x:c>
    </x:row>
    <x:row r="6">
      <x:c r="A6" s="92" t="str">
        <x:v>Store</x:v>
      </x:c>
      <x:c r="B6" s="92" t="str">
        <x:v>Text / dimension</x:v>
      </x:c>
      <x:c r="C6" s="92" t="str">
        <x:v>Source dimension or formula-driven P&amp;L line</x:v>
      </x:c>
      <x:c r="D6" s="92" t="str">
        <x:v>Filter / drill-down</x:v>
      </x:c>
    </x:row>
    <x:row r="7">
      <x:c r="A7" s="92" t="str">
        <x:v>City</x:v>
      </x:c>
      <x:c r="B7" s="92" t="str">
        <x:v>Text / dimension</x:v>
      </x:c>
      <x:c r="C7" s="92" t="str">
        <x:v>Source dimension or formula-driven P&amp;L line</x:v>
      </x:c>
      <x:c r="D7" s="92" t="str">
        <x:v>Filter / drill-down</x:v>
      </x:c>
    </x:row>
    <x:row r="8">
      <x:c r="A8" s="92" t="str">
        <x:v>Province</x:v>
      </x:c>
      <x:c r="B8" s="92" t="str">
        <x:v>Text / dimension</x:v>
      </x:c>
      <x:c r="C8" s="92" t="str">
        <x:v>Source dimension or formula-driven P&amp;L line</x:v>
      </x:c>
      <x:c r="D8" s="92" t="str">
        <x:v>P&amp;L driver analysis</x:v>
      </x:c>
    </x:row>
    <x:row r="9">
      <x:c r="A9" s="92" t="str">
        <x:v>Region</x:v>
      </x:c>
      <x:c r="B9" s="92" t="str">
        <x:v>Text / dimension</x:v>
      </x:c>
      <x:c r="C9" s="92" t="str">
        <x:v>Source dimension or formula-driven P&amp;L line</x:v>
      </x:c>
      <x:c r="D9" s="92" t="str">
        <x:v>Filter / drill-down</x:v>
      </x:c>
    </x:row>
    <x:row r="10">
      <x:c r="A10" s="92" t="str">
        <x:v>Channel</x:v>
      </x:c>
      <x:c r="B10" s="92" t="str">
        <x:v>Text / dimension</x:v>
      </x:c>
      <x:c r="C10" s="92" t="str">
        <x:v>Source dimension or formula-driven P&amp;L line</x:v>
      </x:c>
      <x:c r="D10" s="92" t="str">
        <x:v>Filter / drill-down</x:v>
      </x:c>
    </x:row>
    <x:row r="11">
      <x:c r="A11" s="92" t="str">
        <x:v>Store Type</x:v>
      </x:c>
      <x:c r="B11" s="92" t="str">
        <x:v>Text / dimension</x:v>
      </x:c>
      <x:c r="C11" s="92" t="str">
        <x:v>Source dimension or formula-driven P&amp;L line</x:v>
      </x:c>
      <x:c r="D11" s="92" t="str">
        <x:v>Filter / drill-down</x:v>
      </x:c>
    </x:row>
    <x:row r="12">
      <x:c r="A12" s="92" t="str">
        <x:v>Status</x:v>
      </x:c>
      <x:c r="B12" s="92" t="str">
        <x:v>Text / dimension</x:v>
      </x:c>
      <x:c r="C12" s="92" t="str">
        <x:v>Source dimension or formula-driven P&amp;L line</x:v>
      </x:c>
      <x:c r="D12" s="92" t="str">
        <x:v>Filter / drill-down</x:v>
      </x:c>
    </x:row>
    <x:row r="13">
      <x:c r="A13" s="92" t="str">
        <x:v>POS Count</x:v>
      </x:c>
      <x:c r="B13" s="92" t="str">
        <x:v>Integer</x:v>
      </x:c>
      <x:c r="C13" s="92" t="str">
        <x:v>Source dimension or formula-driven P&amp;L line</x:v>
      </x:c>
      <x:c r="D13" s="92" t="str">
        <x:v>Productivity / bubble analysis</x:v>
      </x:c>
    </x:row>
    <x:row r="14">
      <x:c r="A14" s="92" t="str">
        <x:v>City POS Count</x:v>
      </x:c>
      <x:c r="B14" s="92" t="str">
        <x:v>Integer</x:v>
      </x:c>
      <x:c r="C14" s="92" t="str">
        <x:v>Source dimension or formula-driven P&amp;L line</x:v>
      </x:c>
      <x:c r="D14" s="92" t="str">
        <x:v>P&amp;L driver analysis</x:v>
      </x:c>
    </x:row>
    <x:row r="15">
      <x:c r="A15" s="92" t="str">
        <x:v>Customer Transactions</x:v>
      </x:c>
      <x:c r="B15" s="92" t="str">
        <x:v>Integer</x:v>
      </x:c>
      <x:c r="C15" s="92" t="str">
        <x:v>Source dimension or formula-driven P&amp;L line</x:v>
      </x:c>
      <x:c r="D15" s="92" t="str">
        <x:v>Productivity / bubble analysis</x:v>
      </x:c>
    </x:row>
    <x:row r="16">
      <x:c r="A16" s="92" t="str">
        <x:v>Average Ticket</x:v>
      </x:c>
      <x:c r="B16" s="92" t="str">
        <x:v>RMB per transaction</x:v>
      </x:c>
      <x:c r="C16" s="92" t="str">
        <x:v>Source dimension or formula-driven P&amp;L line</x:v>
      </x:c>
      <x:c r="D16" s="92" t="str">
        <x:v>P&amp;L driver analysis</x:v>
      </x:c>
    </x:row>
    <x:row r="17">
      <x:c r="A17" s="92" t="str">
        <x:v>RSP</x:v>
      </x:c>
      <x:c r="B17" s="92" t="str">
        <x:v>RMB 000</x:v>
      </x:c>
      <x:c r="C17" s="92" t="str">
        <x:v>Source dimension or formula-driven P&amp;L line</x:v>
      </x:c>
      <x:c r="D17" s="92" t="str">
        <x:v>P&amp;L driver analysis</x:v>
      </x:c>
    </x:row>
    <x:row r="18">
      <x:c r="A18" s="92" t="str">
        <x:v>Gross Sales</x:v>
      </x:c>
      <x:c r="B18" s="92" t="str">
        <x:v>RMB 000</x:v>
      </x:c>
      <x:c r="C18" s="92" t="str">
        <x:v>Source dimension or formula-driven P&amp;L line</x:v>
      </x:c>
      <x:c r="D18" s="92" t="str">
        <x:v>P&amp;L driver analysis</x:v>
      </x:c>
    </x:row>
    <x:row r="19">
      <x:c r="A19" s="92" t="str">
        <x:v>Discount</x:v>
      </x:c>
      <x:c r="B19" s="92" t="str">
        <x:v>RMB 000</x:v>
      </x:c>
      <x:c r="C19" s="92" t="str">
        <x:v>Source dimension or formula-driven P&amp;L line</x:v>
      </x:c>
      <x:c r="D19" s="92" t="str">
        <x:v>P&amp;L driver analysis</x:v>
      </x:c>
    </x:row>
    <x:row r="20">
      <x:c r="A20" s="92" t="str">
        <x:v>Discount % of GS</x:v>
      </x:c>
      <x:c r="B20" s="92" t="str">
        <x:v>Decimal percentage</x:v>
      </x:c>
      <x:c r="C20" s="92" t="str">
        <x:v>Discount amount divided by stated base</x:v>
      </x:c>
      <x:c r="D20" s="92" t="str">
        <x:v>P&amp;L driver analysis</x:v>
      </x:c>
    </x:row>
    <x:row r="21">
      <x:c r="A21" s="92" t="str">
        <x:v>Rebates</x:v>
      </x:c>
      <x:c r="B21" s="92" t="str">
        <x:v>RMB 000</x:v>
      </x:c>
      <x:c r="C21" s="92" t="str">
        <x:v>Source dimension or formula-driven P&amp;L line</x:v>
      </x:c>
      <x:c r="D21" s="92" t="str">
        <x:v>P&amp;L driver analysis</x:v>
      </x:c>
    </x:row>
    <x:row r="22">
      <x:c r="A22" s="92" t="str">
        <x:v>Rebates % of GS</x:v>
      </x:c>
      <x:c r="B22" s="92" t="str">
        <x:v>Decimal percentage</x:v>
      </x:c>
      <x:c r="C22" s="92" t="str">
        <x:v>Rebates amount divided by stated base</x:v>
      </x:c>
      <x:c r="D22" s="92" t="str">
        <x:v>P&amp;L driver analysis</x:v>
      </x:c>
    </x:row>
    <x:row r="23">
      <x:c r="A23" s="92" t="str">
        <x:v>Structural Conditions On</x:v>
      </x:c>
      <x:c r="B23" s="92" t="str">
        <x:v>RMB 000</x:v>
      </x:c>
      <x:c r="C23" s="92" t="str">
        <x:v>Source dimension or formula-driven P&amp;L line</x:v>
      </x:c>
      <x:c r="D23" s="92" t="str">
        <x:v>P&amp;L driver analysis</x:v>
      </x:c>
    </x:row>
    <x:row r="24">
      <x:c r="A24" s="92" t="str">
        <x:v>Structural Conditions Off</x:v>
      </x:c>
      <x:c r="B24" s="92" t="str">
        <x:v>RMB 000</x:v>
      </x:c>
      <x:c r="C24" s="92" t="str">
        <x:v>Source dimension or formula-driven P&amp;L line</x:v>
      </x:c>
      <x:c r="D24" s="92" t="str">
        <x:v>P&amp;L driver analysis</x:v>
      </x:c>
    </x:row>
    <x:row r="25">
      <x:c r="A25" s="92" t="str">
        <x:v>Active Support</x:v>
      </x:c>
      <x:c r="B25" s="92" t="str">
        <x:v>RMB 000</x:v>
      </x:c>
      <x:c r="C25" s="92" t="str">
        <x:v>Source dimension or formula-driven P&amp;L line</x:v>
      </x:c>
      <x:c r="D25" s="92" t="str">
        <x:v>P&amp;L driver analysis</x:v>
      </x:c>
    </x:row>
    <x:row r="26">
      <x:c r="A26" s="92" t="str">
        <x:v>Shopper Investment</x:v>
      </x:c>
      <x:c r="B26" s="92" t="str">
        <x:v>RMB 000</x:v>
      </x:c>
      <x:c r="C26" s="92" t="str">
        <x:v>Source dimension or formula-driven P&amp;L line</x:v>
      </x:c>
      <x:c r="D26" s="92" t="str">
        <x:v>P&amp;L driver analysis</x:v>
      </x:c>
    </x:row>
    <x:row r="27">
      <x:c r="A27" s="92" t="str">
        <x:v>Promo Allow On Invoice</x:v>
      </x:c>
      <x:c r="B27" s="92" t="str">
        <x:v>RMB 000</x:v>
      </x:c>
      <x:c r="C27" s="92" t="str">
        <x:v>Source dimension or formula-driven P&amp;L line</x:v>
      </x:c>
      <x:c r="D27" s="92" t="str">
        <x:v>P&amp;L driver analysis</x:v>
      </x:c>
    </x:row>
    <x:row r="28">
      <x:c r="A28" s="92" t="str">
        <x:v>Promo Allow Applied Separately</x:v>
      </x:c>
      <x:c r="B28" s="92" t="str">
        <x:v>RMB 000</x:v>
      </x:c>
      <x:c r="C28" s="92" t="str">
        <x:v>Source dimension or formula-driven P&amp;L line</x:v>
      </x:c>
      <x:c r="D28" s="92" t="str">
        <x:v>P&amp;L driver analysis</x:v>
      </x:c>
    </x:row>
    <x:row r="29">
      <x:c r="A29" s="92" t="str">
        <x:v>Promo Allow Loyalty</x:v>
      </x:c>
      <x:c r="B29" s="92" t="str">
        <x:v>RMB 000</x:v>
      </x:c>
      <x:c r="C29" s="92" t="str">
        <x:v>Source dimension or formula-driven P&amp;L line</x:v>
      </x:c>
      <x:c r="D29" s="92" t="str">
        <x:v>P&amp;L driver analysis</x:v>
      </x:c>
    </x:row>
    <x:row r="30">
      <x:c r="A30" s="92" t="str">
        <x:v>Promotional Allowance</x:v>
      </x:c>
      <x:c r="B30" s="92" t="str">
        <x:v>RMB 000</x:v>
      </x:c>
      <x:c r="C30" s="92" t="str">
        <x:v>Sum of seven promotional allowance components</x:v>
      </x:c>
      <x:c r="D30" s="92" t="str">
        <x:v>P&amp;L driver analysis</x:v>
      </x:c>
    </x:row>
    <x:row r="31">
      <x:c r="A31" s="92" t="str">
        <x:v>Promotional Allowance % of GS</x:v>
      </x:c>
      <x:c r="B31" s="92" t="str">
        <x:v>Decimal percentage</x:v>
      </x:c>
      <x:c r="C31" s="92" t="str">
        <x:v>Promotional Allowance amount divided by stated base</x:v>
      </x:c>
      <x:c r="D31" s="92" t="str">
        <x:v>P&amp;L driver analysis</x:v>
      </x:c>
    </x:row>
    <x:row r="32">
      <x:c r="A32" s="92" t="str">
        <x:v>Returns</x:v>
      </x:c>
      <x:c r="B32" s="92" t="str">
        <x:v>RMB 000</x:v>
      </x:c>
      <x:c r="C32" s="92" t="str">
        <x:v>Source dimension or formula-driven P&amp;L line</x:v>
      </x:c>
      <x:c r="D32" s="92" t="str">
        <x:v>P&amp;L driver analysis</x:v>
      </x:c>
    </x:row>
    <x:row r="33">
      <x:c r="A33" s="92" t="str">
        <x:v>Returns % of GS</x:v>
      </x:c>
      <x:c r="B33" s="92" t="str">
        <x:v>Decimal percentage</x:v>
      </x:c>
      <x:c r="C33" s="92" t="str">
        <x:v>Returns amount divided by stated base</x:v>
      </x:c>
      <x:c r="D33" s="92" t="str">
        <x:v>P&amp;L driver analysis</x:v>
      </x:c>
    </x:row>
    <x:row r="34">
      <x:c r="A34" s="92" t="str">
        <x:v>OCA</x:v>
      </x:c>
      <x:c r="B34" s="92" t="str">
        <x:v>RMB 000</x:v>
      </x:c>
      <x:c r="C34" s="92" t="str">
        <x:v>Source dimension or formula-driven P&amp;L line</x:v>
      </x:c>
      <x:c r="D34" s="92" t="str">
        <x:v>P&amp;L driver analysis</x:v>
      </x:c>
    </x:row>
    <x:row r="35">
      <x:c r="A35" s="92" t="str">
        <x:v>Coupon</x:v>
      </x:c>
      <x:c r="B35" s="92" t="str">
        <x:v>RMB 000</x:v>
      </x:c>
      <x:c r="C35" s="92" t="str">
        <x:v>Source dimension or formula-driven P&amp;L line</x:v>
      </x:c>
      <x:c r="D35" s="92" t="str">
        <x:v>P&amp;L driver analysis</x:v>
      </x:c>
    </x:row>
    <x:row r="36">
      <x:c r="A36" s="92" t="str">
        <x:v>Minorations</x:v>
      </x:c>
      <x:c r="B36" s="92" t="str">
        <x:v>RMB 000</x:v>
      </x:c>
      <x:c r="C36" s="92" t="str">
        <x:v>Discount + Rebates + Promotional Allowance + Returns + OCA + Coupon</x:v>
      </x:c>
      <x:c r="D36" s="92" t="str">
        <x:v>P&amp;L driver analysis</x:v>
      </x:c>
    </x:row>
    <x:row r="37">
      <x:c r="A37" s="92" t="str">
        <x:v>Minorations % of GS</x:v>
      </x:c>
      <x:c r="B37" s="92" t="str">
        <x:v>Decimal percentage</x:v>
      </x:c>
      <x:c r="C37" s="92" t="str">
        <x:v>Minorations amount divided by stated base</x:v>
      </x:c>
      <x:c r="D37" s="92" t="str">
        <x:v>P&amp;L driver analysis</x:v>
      </x:c>
    </x:row>
    <x:row r="38">
      <x:c r="A38" s="92" t="str">
        <x:v>Net Sales</x:v>
      </x:c>
      <x:c r="B38" s="92" t="str">
        <x:v>RMB 000</x:v>
      </x:c>
      <x:c r="C38" s="92" t="str">
        <x:v>Gross Sales + Minorations</x:v>
      </x:c>
      <x:c r="D38" s="92" t="str">
        <x:v>Core KPI / variance analysis</x:v>
      </x:c>
    </x:row>
    <x:row r="39">
      <x:c r="A39" s="92" t="str">
        <x:v>Net Sales % of GS</x:v>
      </x:c>
      <x:c r="B39" s="92" t="str">
        <x:v>Decimal percentage</x:v>
      </x:c>
      <x:c r="C39" s="92" t="str">
        <x:v>Net Sales amount divided by stated base</x:v>
      </x:c>
      <x:c r="D39" s="92" t="str">
        <x:v>P&amp;L driver analysis</x:v>
      </x:c>
    </x:row>
    <x:row r="40">
      <x:c r="A40" s="92" t="str">
        <x:v>Net Sales / POS</x:v>
      </x:c>
      <x:c r="B40" s="92" t="str">
        <x:v>RMB 000</x:v>
      </x:c>
      <x:c r="C40" s="92" t="str">
        <x:v>Net Sales ÷ POS Count</x:v>
      </x:c>
      <x:c r="D40" s="92" t="str">
        <x:v>Productivity / bubble analysis</x:v>
      </x:c>
    </x:row>
    <x:row r="41">
      <x:c r="A41" s="92" t="str">
        <x:v>Store Productivity Tier</x:v>
      </x:c>
      <x:c r="B41" s="92" t="str">
        <x:v>Text / dimension</x:v>
      </x:c>
      <x:c r="C41" s="92" t="str">
        <x:v>Source dimension or formula-driven P&amp;L line</x:v>
      </x:c>
      <x:c r="D41" s="92" t="str">
        <x:v>Productivity / bubble analysis</x:v>
      </x:c>
    </x:row>
    <x:row r="42">
      <x:c r="A42" s="92" t="str">
        <x:v>Std COS</x:v>
      </x:c>
      <x:c r="B42" s="92" t="str">
        <x:v>RMB 000</x:v>
      </x:c>
      <x:c r="C42" s="92" t="str">
        <x:v>Source dimension or formula-driven P&amp;L line</x:v>
      </x:c>
      <x:c r="D42" s="92" t="str">
        <x:v>P&amp;L driver analysis</x:v>
      </x:c>
    </x:row>
    <x:row r="43">
      <x:c r="A43" s="92" t="str">
        <x:v>Royal / TA / MS</x:v>
      </x:c>
      <x:c r="B43" s="92" t="str">
        <x:v>RMB 000</x:v>
      </x:c>
      <x:c r="C43" s="92" t="str">
        <x:v>Source dimension or formula-driven P&amp;L line</x:v>
      </x:c>
      <x:c r="D43" s="92" t="str">
        <x:v>P&amp;L driver analysis</x:v>
      </x:c>
    </x:row>
    <x:row r="44">
      <x:c r="A44" s="92" t="str">
        <x:v>Special Operations Cost</x:v>
      </x:c>
      <x:c r="B44" s="92" t="str">
        <x:v>RMB 000</x:v>
      </x:c>
      <x:c r="C44" s="92" t="str">
        <x:v>Source dimension or formula-driven P&amp;L line</x:v>
      </x:c>
      <x:c r="D44" s="92" t="str">
        <x:v>P&amp;L driver analysis</x:v>
      </x:c>
    </x:row>
    <x:row r="45">
      <x:c r="A45" s="92" t="str">
        <x:v>Obsolete / Slow Moving / Return</x:v>
      </x:c>
      <x:c r="B45" s="92" t="str">
        <x:v>RMB 000</x:v>
      </x:c>
      <x:c r="C45" s="92" t="str">
        <x:v>Source dimension or formula-driven P&amp;L line</x:v>
      </x:c>
      <x:c r="D45" s="92" t="str">
        <x:v>P&amp;L driver analysis</x:v>
      </x:c>
    </x:row>
    <x:row r="46">
      <x:c r="A46" s="92" t="str">
        <x:v>Physical Distribution</x:v>
      </x:c>
      <x:c r="B46" s="92" t="str">
        <x:v>RMB 000</x:v>
      </x:c>
      <x:c r="C46" s="92" t="str">
        <x:v>Source dimension or formula-driven P&amp;L line</x:v>
      </x:c>
      <x:c r="D46" s="92" t="str">
        <x:v>P&amp;L driver analysis</x:v>
      </x:c>
    </x:row>
    <x:row r="47">
      <x:c r="A47" s="92" t="str">
        <x:v>Cost of Sales</x:v>
      </x:c>
      <x:c r="B47" s="92" t="str">
        <x:v>RMB 000</x:v>
      </x:c>
      <x:c r="C47" s="92" t="str">
        <x:v>Sum of five Cost of Sales components</x:v>
      </x:c>
      <x:c r="D47" s="92" t="str">
        <x:v>P&amp;L driver analysis</x:v>
      </x:c>
    </x:row>
    <x:row r="48">
      <x:c r="A48" s="92" t="str">
        <x:v>Cost of Sales % of Net Sales</x:v>
      </x:c>
      <x:c r="B48" s="92" t="str">
        <x:v>Decimal percentage</x:v>
      </x:c>
      <x:c r="C48" s="92" t="str">
        <x:v>Cost of Sales amount divided by stated base</x:v>
      </x:c>
      <x:c r="D48" s="92" t="str">
        <x:v>P&amp;L driver analysis</x:v>
      </x:c>
    </x:row>
    <x:row r="49">
      <x:c r="A49" s="92" t="str">
        <x:v>Gross Margin</x:v>
      </x:c>
      <x:c r="B49" s="92" t="str">
        <x:v>RMB 000</x:v>
      </x:c>
      <x:c r="C49" s="92" t="str">
        <x:v>Net Sales + Cost of Sales</x:v>
      </x:c>
      <x:c r="D49" s="92" t="str">
        <x:v>Core KPI / variance analysis</x:v>
      </x:c>
    </x:row>
    <x:row r="50">
      <x:c r="A50" s="92" t="str">
        <x:v>Gross Margin %</x:v>
      </x:c>
      <x:c r="B50" s="92" t="str">
        <x:v>Decimal percentage</x:v>
      </x:c>
      <x:c r="C50" s="92" t="str">
        <x:v>Gross Margin amount divided by stated base</x:v>
      </x:c>
      <x:c r="D50" s="92" t="str">
        <x:v>Core KPI / variance analysis</x:v>
      </x:c>
    </x:row>
    <x:row r="51">
      <x:c r="A51" s="92" t="str">
        <x:v>Customer Samples</x:v>
      </x:c>
      <x:c r="B51" s="92" t="str">
        <x:v>RMB 000</x:v>
      </x:c>
      <x:c r="C51" s="92" t="str">
        <x:v>Source dimension or formula-driven P&amp;L line</x:v>
      </x:c>
      <x:c r="D51" s="92" t="str">
        <x:v>P&amp;L driver analysis</x:v>
      </x:c>
    </x:row>
    <x:row r="52">
      <x:c r="A52" s="92" t="str">
        <x:v>Promotional Gifts</x:v>
      </x:c>
      <x:c r="B52" s="92" t="str">
        <x:v>RMB 000</x:v>
      </x:c>
      <x:c r="C52" s="92" t="str">
        <x:v>Source dimension or formula-driven P&amp;L line</x:v>
      </x:c>
      <x:c r="D52" s="92" t="str">
        <x:v>P&amp;L driver analysis</x:v>
      </x:c>
    </x:row>
    <x:row r="53">
      <x:c r="A53" s="92" t="str">
        <x:v>Animations</x:v>
      </x:c>
      <x:c r="B53" s="92" t="str">
        <x:v>RMB 000</x:v>
      </x:c>
      <x:c r="C53" s="92" t="str">
        <x:v>Source dimension or formula-driven P&amp;L line</x:v>
      </x:c>
      <x:c r="D53" s="92" t="str">
        <x:v>P&amp;L driver analysis</x:v>
      </x:c>
    </x:row>
    <x:row r="54">
      <x:c r="A54" s="92" t="str">
        <x:v>POS Advertising Amortization</x:v>
      </x:c>
      <x:c r="B54" s="92" t="str">
        <x:v>RMB 000</x:v>
      </x:c>
      <x:c r="C54" s="92" t="str">
        <x:v>Source dimension or formula-driven P&amp;L line</x:v>
      </x:c>
      <x:c r="D54" s="92" t="str">
        <x:v>P&amp;L driver analysis</x:v>
      </x:c>
    </x:row>
    <x:row r="55">
      <x:c r="A55" s="92" t="str">
        <x:v>Other POS Advertising</x:v>
      </x:c>
      <x:c r="B55" s="92" t="str">
        <x:v>RMB 000</x:v>
      </x:c>
      <x:c r="C55" s="92" t="str">
        <x:v>Source dimension or formula-driven P&amp;L line</x:v>
      </x:c>
      <x:c r="D55" s="92" t="str">
        <x:v>P&amp;L driver analysis</x:v>
      </x:c>
    </x:row>
    <x:row r="56">
      <x:c r="A56" s="92" t="str">
        <x:v>POS Advertising</x:v>
      </x:c>
      <x:c r="B56" s="92" t="str">
        <x:v>RMB 000</x:v>
      </x:c>
      <x:c r="C56" s="92" t="str">
        <x:v>POS Advertising Amortization + Other POS Advertising</x:v>
      </x:c>
      <x:c r="D56" s="92" t="str">
        <x:v>P&amp;L driver analysis</x:v>
      </x:c>
    </x:row>
    <x:row r="57">
      <x:c r="A57" s="92" t="str">
        <x:v>Specific Development</x:v>
      </x:c>
      <x:c r="B57" s="92" t="str">
        <x:v>RMB 000</x:v>
      </x:c>
      <x:c r="C57" s="92" t="str">
        <x:v>Source dimension or formula-driven P&amp;L line</x:v>
      </x:c>
      <x:c r="D57" s="92" t="str">
        <x:v>P&amp;L driver analysis</x:v>
      </x:c>
    </x:row>
    <x:row r="58">
      <x:c r="A58" s="92" t="str">
        <x:v>DA Cost</x:v>
      </x:c>
      <x:c r="B58" s="92" t="str">
        <x:v>RMB 000</x:v>
      </x:c>
      <x:c r="C58" s="92" t="str">
        <x:v>Customer Samples + Promotional Gifts + Animations + POS Advertising components + Specific Development</x:v>
      </x:c>
      <x:c r="D58" s="92" t="str">
        <x:v>P&amp;L driver analysis</x:v>
      </x:c>
    </x:row>
    <x:row r="59">
      <x:c r="A59" s="92" t="str">
        <x:v>DA HC</x:v>
      </x:c>
      <x:c r="B59" s="92" t="str">
        <x:v>Integer</x:v>
      </x:c>
      <x:c r="C59" s="92" t="str">
        <x:v>Source dimension or formula-driven P&amp;L line</x:v>
      </x:c>
      <x:c r="D59" s="92" t="str">
        <x:v>P&amp;L driver analysis</x:v>
      </x:c>
    </x:row>
    <x:row r="60">
      <x:c r="A60" s="92" t="str">
        <x:v>Non DA Cost</x:v>
      </x:c>
      <x:c r="B60" s="92" t="str">
        <x:v>RMB 000</x:v>
      </x:c>
      <x:c r="C60" s="92" t="str">
        <x:v>Alias of Specific A&amp;P for compatibility</x:v>
      </x:c>
      <x:c r="D60" s="92" t="str">
        <x:v>P&amp;L driver analysis</x:v>
      </x:c>
    </x:row>
    <x:row r="61">
      <x:c r="A61" s="92" t="str">
        <x:v>DA Cost / HC</x:v>
      </x:c>
      <x:c r="B61" s="92" t="str">
        <x:v>RMB 000</x:v>
      </x:c>
      <x:c r="C61" s="92" t="str">
        <x:v>Source dimension or formula-driven P&amp;L line</x:v>
      </x:c>
      <x:c r="D61" s="92" t="str">
        <x:v>P&amp;L driver analysis</x:v>
      </x:c>
    </x:row>
    <x:row r="62">
      <x:c r="A62" s="92" t="str">
        <x:v>DA HC / POS</x:v>
      </x:c>
      <x:c r="B62" s="92" t="str">
        <x:v>Ratio</x:v>
      </x:c>
      <x:c r="C62" s="92" t="str">
        <x:v>Source dimension or formula-driven P&amp;L line</x:v>
      </x:c>
      <x:c r="D62" s="92" t="str">
        <x:v>P&amp;L driver analysis</x:v>
      </x:c>
    </x:row>
    <x:row r="63">
      <x:c r="A63" s="92" t="str">
        <x:v>Specific A&amp;P</x:v>
      </x:c>
      <x:c r="B63" s="92" t="str">
        <x:v>RMB 000</x:v>
      </x:c>
      <x:c r="C63" s="92" t="str">
        <x:v>Source dimension or formula-driven P&amp;L line</x:v>
      </x:c>
      <x:c r="D63" s="92" t="str">
        <x:v>P&amp;L driver analysis</x:v>
      </x:c>
    </x:row>
    <x:row r="64">
      <x:c r="A64" s="92" t="str">
        <x:v>Specific SG&amp;A</x:v>
      </x:c>
      <x:c r="B64" s="92" t="str">
        <x:v>RMB 000</x:v>
      </x:c>
      <x:c r="C64" s="92" t="str">
        <x:v>Source dimension or formula-driven P&amp;L line</x:v>
      </x:c>
      <x:c r="D64" s="92" t="str">
        <x:v>P&amp;L driver analysis</x:v>
      </x:c>
    </x:row>
    <x:row r="65">
      <x:c r="A65" s="92" t="str">
        <x:v>Customer Contribution</x:v>
      </x:c>
      <x:c r="B65" s="92" t="str">
        <x:v>RMB 000</x:v>
      </x:c>
      <x:c r="C65" s="92" t="str">
        <x:v>Gross Margin + DA Cost + Specific A&amp;P + Specific SG&amp;A</x:v>
      </x:c>
      <x:c r="D65" s="92" t="str">
        <x:v>Core KPI / variance analysis</x:v>
      </x:c>
    </x:row>
    <x:row r="66">
      <x:c r="A66" s="92" t="str">
        <x:v>Customer Contribution %</x:v>
      </x:c>
      <x:c r="B66" s="92" t="str">
        <x:v>Decimal percentage</x:v>
      </x:c>
      <x:c r="C66" s="92" t="str">
        <x:v>Customer Contribution amount divided by stated base</x:v>
      </x:c>
      <x:c r="D66" s="92" t="str">
        <x:v>Core KPI / variance analysis</x:v>
      </x:c>
    </x:row>
    <x:row r="67">
      <x:c r="A67" s="92" t="str">
        <x:v>Non-specific Costs</x:v>
      </x:c>
      <x:c r="B67" s="92" t="str">
        <x:v>RMB 000</x:v>
      </x:c>
      <x:c r="C67" s="92" t="str">
        <x:v>Source dimension or formula-driven P&amp;L line</x:v>
      </x:c>
      <x:c r="D67" s="92" t="str">
        <x:v>P&amp;L driver analysis</x:v>
      </x:c>
    </x:row>
    <x:row r="68">
      <x:c r="A68" s="92" t="str">
        <x:v>Operating Profit</x:v>
      </x:c>
      <x:c r="B68" s="92" t="str">
        <x:v>RMB 000</x:v>
      </x:c>
      <x:c r="C68" s="92" t="str">
        <x:v>Customer Contribution + Non-specific Costs</x:v>
      </x:c>
      <x:c r="D68" s="92" t="str">
        <x:v>Core KPI / variance analysis</x:v>
      </x:c>
    </x:row>
    <x:row r="69">
      <x:c r="A69" s="92" t="str">
        <x:v>Operating Margin %</x:v>
      </x:c>
      <x:c r="B69" s="92" t="str">
        <x:v>Decimal percentage</x:v>
      </x:c>
      <x:c r="C69" s="92" t="str">
        <x:v>Operating Margin amount divided by stated base</x:v>
      </x:c>
      <x:c r="D69" s="92" t="str">
        <x:v>Core KPI / variance analysis</x:v>
      </x:c>
    </x:row>
  </x:sheetData>
  <x:pageMargins left="0.7" right="0.7" top="0.75" bottom="0.75" header="0.3" footer="0.3"/>
  <x:tableParts count="1">
    <x:tablePart xmlns:r="http://schemas.openxmlformats.org/officeDocument/2006/relationships" r:id="R96b39b4ebef946e8"/>
  </x:tableParts>
</x:worksheet>
</file>